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Industrials\"/>
    </mc:Choice>
  </mc:AlternateContent>
  <xr:revisionPtr revIDLastSave="0" documentId="13_ncr:1_{1818F1E6-2E12-4F15-98BC-A37B5E5E82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25" i="2" l="1"/>
  <c r="BU124" i="2"/>
  <c r="BU24" i="2"/>
  <c r="BU23" i="2"/>
  <c r="BU29" i="2" s="1"/>
  <c r="BU22" i="2"/>
  <c r="BU28" i="2" s="1"/>
  <c r="BU21" i="2"/>
  <c r="BU27" i="2" s="1"/>
  <c r="BU127" i="2"/>
  <c r="BU116" i="2"/>
  <c r="BU115" i="2"/>
  <c r="BU114" i="2"/>
  <c r="BU110" i="2"/>
  <c r="BU112" i="2" s="1"/>
  <c r="BU100" i="2"/>
  <c r="BU119" i="2"/>
  <c r="BU61" i="2"/>
  <c r="BU60" i="2"/>
  <c r="BU59" i="2"/>
  <c r="BU58" i="2"/>
  <c r="BU57" i="2"/>
  <c r="BU55" i="2"/>
  <c r="BU47" i="2"/>
  <c r="BU46" i="2"/>
  <c r="BU45" i="2"/>
  <c r="BU30" i="2"/>
  <c r="BU25" i="2"/>
  <c r="BU13" i="2"/>
  <c r="BU12" i="2"/>
  <c r="BU11" i="2"/>
  <c r="BU10" i="2"/>
  <c r="BU8" i="2"/>
  <c r="DD92" i="2"/>
  <c r="DC92" i="2"/>
  <c r="DF102" i="2"/>
  <c r="BT71" i="2"/>
  <c r="BT72" i="2" s="1"/>
  <c r="BT84" i="2" s="1"/>
  <c r="BT70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T132" i="2"/>
  <c r="BT130" i="2"/>
  <c r="BT127" i="2"/>
  <c r="BT126" i="2"/>
  <c r="BT128" i="2" s="1"/>
  <c r="BT117" i="2"/>
  <c r="BT116" i="2"/>
  <c r="BT115" i="2"/>
  <c r="BT114" i="2"/>
  <c r="BT110" i="2"/>
  <c r="BT112" i="2" s="1"/>
  <c r="BT118" i="2" s="1"/>
  <c r="BT100" i="2"/>
  <c r="BT85" i="2"/>
  <c r="BT61" i="2"/>
  <c r="BT60" i="2"/>
  <c r="BT59" i="2"/>
  <c r="BT58" i="2"/>
  <c r="BT57" i="2"/>
  <c r="BT55" i="2"/>
  <c r="BT68" i="2" s="1"/>
  <c r="BT47" i="2"/>
  <c r="BT46" i="2"/>
  <c r="BT45" i="2"/>
  <c r="BT38" i="2"/>
  <c r="BT44" i="2" s="1"/>
  <c r="BT30" i="2"/>
  <c r="BT29" i="2"/>
  <c r="BT28" i="2"/>
  <c r="BT27" i="2"/>
  <c r="BT25" i="2"/>
  <c r="BT31" i="2" s="1"/>
  <c r="BT13" i="2"/>
  <c r="BT12" i="2"/>
  <c r="BT11" i="2"/>
  <c r="BT10" i="2"/>
  <c r="BT8" i="2"/>
  <c r="BT17" i="2" s="1"/>
  <c r="T288" i="3"/>
  <c r="T289" i="3" s="1"/>
  <c r="T290" i="3" s="1"/>
  <c r="T291" i="3" s="1"/>
  <c r="T292" i="3" s="1"/>
  <c r="T293" i="3" s="1"/>
  <c r="T294" i="3" s="1"/>
  <c r="T295" i="3" s="1"/>
  <c r="T296" i="3" s="1"/>
  <c r="T297" i="3" s="1"/>
  <c r="T298" i="3" s="1"/>
  <c r="T299" i="3" s="1"/>
  <c r="T300" i="3" s="1"/>
  <c r="T301" i="3" s="1"/>
  <c r="T302" i="3" s="1"/>
  <c r="T303" i="3" s="1"/>
  <c r="T304" i="3" s="1"/>
  <c r="T305" i="3" s="1"/>
  <c r="T306" i="3" s="1"/>
  <c r="T307" i="3" s="1"/>
  <c r="T308" i="3" s="1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286" i="3"/>
  <c r="T285" i="3" s="1"/>
  <c r="T284" i="3" s="1"/>
  <c r="T283" i="3" s="1"/>
  <c r="T282" i="3" s="1"/>
  <c r="T281" i="3" s="1"/>
  <c r="T280" i="3" s="1"/>
  <c r="T279" i="3" s="1"/>
  <c r="T278" i="3" s="1"/>
  <c r="T277" i="3" s="1"/>
  <c r="T276" i="3" s="1"/>
  <c r="T275" i="3" s="1"/>
  <c r="T274" i="3" s="1"/>
  <c r="T273" i="3" s="1"/>
  <c r="T272" i="3" s="1"/>
  <c r="T271" i="3" s="1"/>
  <c r="T270" i="3" s="1"/>
  <c r="T269" i="3" s="1"/>
  <c r="T268" i="3" s="1"/>
  <c r="T267" i="3" s="1"/>
  <c r="T266" i="3" s="1"/>
  <c r="T265" i="3" s="1"/>
  <c r="T264" i="3" s="1"/>
  <c r="T263" i="3" s="1"/>
  <c r="T262" i="3" s="1"/>
  <c r="T261" i="3" s="1"/>
  <c r="T260" i="3" s="1"/>
  <c r="T259" i="3" s="1"/>
  <c r="T258" i="3" s="1"/>
  <c r="T257" i="3" s="1"/>
  <c r="T256" i="3" s="1"/>
  <c r="T255" i="3" s="1"/>
  <c r="T254" i="3" s="1"/>
  <c r="T253" i="3" s="1"/>
  <c r="T252" i="3" s="1"/>
  <c r="T251" i="3" s="1"/>
  <c r="T250" i="3" s="1"/>
  <c r="T249" i="3" s="1"/>
  <c r="T248" i="3" s="1"/>
  <c r="T247" i="3" s="1"/>
  <c r="T246" i="3" s="1"/>
  <c r="BU126" i="2" l="1"/>
  <c r="BU128" i="2"/>
  <c r="BU67" i="2"/>
  <c r="BU64" i="2"/>
  <c r="BU62" i="2"/>
  <c r="BU68" i="2"/>
  <c r="BU66" i="2"/>
  <c r="BU65" i="2"/>
  <c r="BU44" i="2"/>
  <c r="BU42" i="2"/>
  <c r="BU48" i="2" s="1"/>
  <c r="BU34" i="2"/>
  <c r="BU31" i="2"/>
  <c r="BU35" i="2"/>
  <c r="BU33" i="2"/>
  <c r="BU36" i="2"/>
  <c r="BU14" i="2"/>
  <c r="BU17" i="2"/>
  <c r="BU18" i="2"/>
  <c r="BU19" i="2"/>
  <c r="BU16" i="2"/>
  <c r="BU70" i="2"/>
  <c r="BU131" i="2" s="1"/>
  <c r="BT131" i="2"/>
  <c r="BT119" i="2"/>
  <c r="BT74" i="2"/>
  <c r="BT78" i="2" s="1"/>
  <c r="BT87" i="2" s="1"/>
  <c r="BT62" i="2"/>
  <c r="BT64" i="2"/>
  <c r="BT34" i="2"/>
  <c r="BT33" i="2"/>
  <c r="BT18" i="2"/>
  <c r="BT36" i="2"/>
  <c r="BT65" i="2"/>
  <c r="BT66" i="2"/>
  <c r="BT19" i="2"/>
  <c r="BT35" i="2"/>
  <c r="BT14" i="2"/>
  <c r="BT42" i="2"/>
  <c r="BT48" i="2" s="1"/>
  <c r="BT67" i="2"/>
  <c r="BT16" i="2"/>
  <c r="T328" i="3"/>
  <c r="T329" i="3" s="1"/>
  <c r="T245" i="3"/>
  <c r="BU85" i="2" l="1"/>
  <c r="BU130" i="2"/>
  <c r="BU132" i="2"/>
  <c r="BU72" i="2"/>
  <c r="BU117" i="2"/>
  <c r="BU118" i="2"/>
  <c r="BT80" i="2"/>
  <c r="BT123" i="2" s="1"/>
  <c r="BT86" i="2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DK100" i="2"/>
  <c r="CQ111" i="2"/>
  <c r="CP111" i="2"/>
  <c r="CO111" i="2"/>
  <c r="CN111" i="2"/>
  <c r="CQ109" i="2"/>
  <c r="CP109" i="2"/>
  <c r="CO109" i="2"/>
  <c r="CN109" i="2"/>
  <c r="CQ108" i="2"/>
  <c r="CP108" i="2"/>
  <c r="CO108" i="2"/>
  <c r="CN108" i="2"/>
  <c r="CQ107" i="2"/>
  <c r="DF98" i="2" s="1"/>
  <c r="CP107" i="2"/>
  <c r="CO107" i="2"/>
  <c r="CN107" i="2"/>
  <c r="CQ106" i="2"/>
  <c r="CP106" i="2"/>
  <c r="CO106" i="2"/>
  <c r="CN106" i="2"/>
  <c r="CQ105" i="2"/>
  <c r="CP105" i="2"/>
  <c r="CO105" i="2"/>
  <c r="CN105" i="2"/>
  <c r="CQ104" i="2"/>
  <c r="CP104" i="2"/>
  <c r="CO104" i="2"/>
  <c r="CN104" i="2"/>
  <c r="CQ103" i="2"/>
  <c r="CP103" i="2"/>
  <c r="CO103" i="2"/>
  <c r="CN103" i="2"/>
  <c r="CQ102" i="2"/>
  <c r="CP102" i="2"/>
  <c r="CO102" i="2"/>
  <c r="CN102" i="2"/>
  <c r="CQ99" i="2"/>
  <c r="CP99" i="2"/>
  <c r="CO99" i="2"/>
  <c r="CN99" i="2"/>
  <c r="CQ98" i="2"/>
  <c r="CP98" i="2"/>
  <c r="CO98" i="2"/>
  <c r="CN98" i="2"/>
  <c r="CQ97" i="2"/>
  <c r="CP97" i="2"/>
  <c r="CO97" i="2"/>
  <c r="CN97" i="2"/>
  <c r="CQ96" i="2"/>
  <c r="CP96" i="2"/>
  <c r="CO96" i="2"/>
  <c r="CN96" i="2"/>
  <c r="CQ95" i="2"/>
  <c r="CP95" i="2"/>
  <c r="CO95" i="2"/>
  <c r="CN95" i="2"/>
  <c r="CQ94" i="2"/>
  <c r="CP94" i="2"/>
  <c r="CO94" i="2"/>
  <c r="CN94" i="2"/>
  <c r="CQ93" i="2"/>
  <c r="CP93" i="2"/>
  <c r="CO93" i="2"/>
  <c r="CN93" i="2"/>
  <c r="CQ92" i="2"/>
  <c r="CP92" i="2"/>
  <c r="CO92" i="2"/>
  <c r="CN92" i="2"/>
  <c r="CQ91" i="2"/>
  <c r="CP91" i="2"/>
  <c r="CO91" i="2"/>
  <c r="CN91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S119" i="2"/>
  <c r="BS117" i="2"/>
  <c r="BU74" i="2" l="1"/>
  <c r="BU84" i="2"/>
  <c r="BT88" i="2"/>
  <c r="BT120" i="2"/>
  <c r="BT82" i="2"/>
  <c r="BT121" i="2"/>
  <c r="CR75" i="2"/>
  <c r="CR107" i="2" s="1"/>
  <c r="CS75" i="2" s="1"/>
  <c r="BU86" i="2" l="1"/>
  <c r="BU78" i="2"/>
  <c r="CS107" i="2"/>
  <c r="CT75" i="2"/>
  <c r="CT107" i="2" s="1"/>
  <c r="BU80" i="2" l="1"/>
  <c r="BU87" i="2"/>
  <c r="CU75" i="2"/>
  <c r="CU107" i="2" s="1"/>
  <c r="BU88" i="2" l="1"/>
  <c r="BU82" i="2"/>
  <c r="BU120" i="2"/>
  <c r="BU123" i="2"/>
  <c r="BU121" i="2"/>
  <c r="CV75" i="2"/>
  <c r="CV107" i="2" s="1"/>
  <c r="CW75" i="2" l="1"/>
  <c r="CW107" i="2" s="1"/>
  <c r="CX75" i="2" l="1"/>
  <c r="CX107" i="2" s="1"/>
  <c r="CY75" i="2" l="1"/>
  <c r="CY107" i="2" s="1"/>
  <c r="CZ75" i="2" l="1"/>
  <c r="CZ107" i="2" s="1"/>
  <c r="DA75" i="2" l="1"/>
  <c r="DA107" i="2" s="1"/>
  <c r="BS116" i="2" l="1"/>
  <c r="BS115" i="2"/>
  <c r="BS114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S85" i="2"/>
  <c r="AR85" i="2"/>
  <c r="AQ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S85" i="2"/>
  <c r="BF110" i="2"/>
  <c r="BF100" i="2"/>
  <c r="CN100" i="2" s="1"/>
  <c r="BN54" i="2"/>
  <c r="CP54" i="2" s="1"/>
  <c r="BN53" i="2"/>
  <c r="BN52" i="2"/>
  <c r="BN51" i="2"/>
  <c r="BN50" i="2"/>
  <c r="BR54" i="2"/>
  <c r="CQ54" i="2" s="1"/>
  <c r="BR53" i="2"/>
  <c r="BR52" i="2"/>
  <c r="BR51" i="2"/>
  <c r="BR50" i="2"/>
  <c r="BR41" i="2"/>
  <c r="CQ41" i="2" s="1"/>
  <c r="BR40" i="2"/>
  <c r="CQ40" i="2" s="1"/>
  <c r="BR39" i="2"/>
  <c r="CQ39" i="2" s="1"/>
  <c r="BS38" i="2"/>
  <c r="BP42" i="2"/>
  <c r="BO42" i="2"/>
  <c r="BK42" i="2"/>
  <c r="BS42" i="2"/>
  <c r="BN24" i="2"/>
  <c r="BN23" i="2"/>
  <c r="BN22" i="2"/>
  <c r="BN21" i="2"/>
  <c r="BR24" i="2"/>
  <c r="BR23" i="2"/>
  <c r="BR22" i="2"/>
  <c r="BR21" i="2"/>
  <c r="CQ125" i="2"/>
  <c r="CP125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CQ124" i="2"/>
  <c r="CP124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CI79" i="2"/>
  <c r="CF79" i="2"/>
  <c r="CD79" i="2"/>
  <c r="CC79" i="2"/>
  <c r="CB79" i="2"/>
  <c r="CA79" i="2"/>
  <c r="CN77" i="2"/>
  <c r="CI77" i="2"/>
  <c r="CH77" i="2"/>
  <c r="CG77" i="2"/>
  <c r="CF77" i="2"/>
  <c r="CE77" i="2"/>
  <c r="CD77" i="2"/>
  <c r="CC77" i="2"/>
  <c r="CB77" i="2"/>
  <c r="CA77" i="2"/>
  <c r="CI76" i="2"/>
  <c r="CH76" i="2"/>
  <c r="CG76" i="2"/>
  <c r="CF76" i="2"/>
  <c r="CE76" i="2"/>
  <c r="CD76" i="2"/>
  <c r="CC76" i="2"/>
  <c r="CB76" i="2"/>
  <c r="CA76" i="2"/>
  <c r="CI75" i="2"/>
  <c r="CH75" i="2"/>
  <c r="CG75" i="2"/>
  <c r="CF75" i="2"/>
  <c r="CE75" i="2"/>
  <c r="CD75" i="2"/>
  <c r="CC75" i="2"/>
  <c r="CB75" i="2"/>
  <c r="CA75" i="2"/>
  <c r="CQ73" i="2"/>
  <c r="CP73" i="2"/>
  <c r="CO73" i="2"/>
  <c r="CO85" i="2" s="1"/>
  <c r="CN73" i="2"/>
  <c r="CM73" i="2"/>
  <c r="CL73" i="2"/>
  <c r="CI73" i="2"/>
  <c r="CH73" i="2"/>
  <c r="CG73" i="2"/>
  <c r="CF73" i="2"/>
  <c r="CE73" i="2"/>
  <c r="CD73" i="2"/>
  <c r="CC73" i="2"/>
  <c r="CB73" i="2"/>
  <c r="CA73" i="2"/>
  <c r="CQ71" i="2"/>
  <c r="CQ119" i="2" s="1"/>
  <c r="CP71" i="2"/>
  <c r="CP119" i="2" s="1"/>
  <c r="CO71" i="2"/>
  <c r="CO119" i="2" s="1"/>
  <c r="CN71" i="2"/>
  <c r="CN119" i="2" s="1"/>
  <c r="CM71" i="2"/>
  <c r="CL71" i="2"/>
  <c r="CI71" i="2"/>
  <c r="CH71" i="2"/>
  <c r="CG71" i="2"/>
  <c r="CF71" i="2"/>
  <c r="CE71" i="2"/>
  <c r="CD71" i="2"/>
  <c r="CC71" i="2"/>
  <c r="CB71" i="2"/>
  <c r="CA71" i="2"/>
  <c r="CA70" i="2"/>
  <c r="CB70" i="2"/>
  <c r="CC70" i="2"/>
  <c r="CD70" i="2"/>
  <c r="CE70" i="2"/>
  <c r="CF70" i="2"/>
  <c r="CG70" i="2"/>
  <c r="CH70" i="2"/>
  <c r="CI70" i="2"/>
  <c r="CJ70" i="2"/>
  <c r="CQ81" i="2"/>
  <c r="CQ127" i="2" s="1"/>
  <c r="CP81" i="2"/>
  <c r="CP127" i="2" s="1"/>
  <c r="CO81" i="2"/>
  <c r="CO127" i="2" s="1"/>
  <c r="CN81" i="2"/>
  <c r="CN127" i="2" s="1"/>
  <c r="CM81" i="2"/>
  <c r="CM127" i="2" s="1"/>
  <c r="CL81" i="2"/>
  <c r="CL127" i="2" s="1"/>
  <c r="CK81" i="2"/>
  <c r="CK127" i="2" s="1"/>
  <c r="CJ81" i="2"/>
  <c r="CJ127" i="2" s="1"/>
  <c r="CI81" i="2"/>
  <c r="CI127" i="2" s="1"/>
  <c r="CH81" i="2"/>
  <c r="CH127" i="2" s="1"/>
  <c r="CG81" i="2"/>
  <c r="CG127" i="2" s="1"/>
  <c r="CF81" i="2"/>
  <c r="CF127" i="2" s="1"/>
  <c r="CE81" i="2"/>
  <c r="CE127" i="2" s="1"/>
  <c r="CD81" i="2"/>
  <c r="CD127" i="2" s="1"/>
  <c r="CC81" i="2"/>
  <c r="CC127" i="2" s="1"/>
  <c r="CB81" i="2"/>
  <c r="CB127" i="2" s="1"/>
  <c r="CA81" i="2"/>
  <c r="CA127" i="2" s="1"/>
  <c r="CQ70" i="2"/>
  <c r="CP70" i="2"/>
  <c r="CO70" i="2"/>
  <c r="CN70" i="2"/>
  <c r="CM70" i="2"/>
  <c r="CL70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S127" i="2"/>
  <c r="BB79" i="2"/>
  <c r="CM79" i="2" s="1"/>
  <c r="AX79" i="2"/>
  <c r="CL79" i="2" s="1"/>
  <c r="AX77" i="2"/>
  <c r="CL77" i="2" s="1"/>
  <c r="AX76" i="2"/>
  <c r="CL76" i="2" s="1"/>
  <c r="AX75" i="2"/>
  <c r="CL75" i="2" s="1"/>
  <c r="BB77" i="2"/>
  <c r="CM77" i="2" s="1"/>
  <c r="BB76" i="2"/>
  <c r="CM76" i="2" s="1"/>
  <c r="BB75" i="2"/>
  <c r="CM75" i="2" s="1"/>
  <c r="BF79" i="2"/>
  <c r="CN79" i="2" s="1"/>
  <c r="BF77" i="2"/>
  <c r="BF76" i="2"/>
  <c r="CN76" i="2" s="1"/>
  <c r="BF75" i="2"/>
  <c r="CN75" i="2" s="1"/>
  <c r="CQ117" i="2" l="1"/>
  <c r="CF85" i="2"/>
  <c r="CP85" i="2"/>
  <c r="CG85" i="2"/>
  <c r="CQ85" i="2"/>
  <c r="CH85" i="2"/>
  <c r="BF112" i="2"/>
  <c r="CN110" i="2"/>
  <c r="CP117" i="2"/>
  <c r="CE85" i="2"/>
  <c r="CA85" i="2"/>
  <c r="CI85" i="2"/>
  <c r="CQ61" i="2"/>
  <c r="CB85" i="2"/>
  <c r="CL85" i="2"/>
  <c r="CN117" i="2"/>
  <c r="CC85" i="2"/>
  <c r="CM85" i="2"/>
  <c r="CO117" i="2"/>
  <c r="CD85" i="2"/>
  <c r="CN85" i="2"/>
  <c r="BJ79" i="2"/>
  <c r="BN79" i="2"/>
  <c r="BJ77" i="2"/>
  <c r="CO77" i="2" s="1"/>
  <c r="BJ76" i="2"/>
  <c r="CO76" i="2" s="1"/>
  <c r="BJ75" i="2"/>
  <c r="CO75" i="2" s="1"/>
  <c r="BN77" i="2"/>
  <c r="CP77" i="2" s="1"/>
  <c r="BN76" i="2"/>
  <c r="CP76" i="2" s="1"/>
  <c r="BN75" i="2"/>
  <c r="CP75" i="2" s="1"/>
  <c r="BR79" i="2"/>
  <c r="BR77" i="2"/>
  <c r="CQ77" i="2" s="1"/>
  <c r="BR76" i="2"/>
  <c r="CQ76" i="2" s="1"/>
  <c r="CR76" i="2" s="1"/>
  <c r="CS76" i="2" s="1"/>
  <c r="CT76" i="2" s="1"/>
  <c r="CU76" i="2" s="1"/>
  <c r="CV76" i="2" s="1"/>
  <c r="CW76" i="2" s="1"/>
  <c r="CX76" i="2" s="1"/>
  <c r="CY76" i="2" s="1"/>
  <c r="CZ76" i="2" s="1"/>
  <c r="DA76" i="2" s="1"/>
  <c r="BR75" i="2"/>
  <c r="CQ75" i="2" s="1"/>
  <c r="BO25" i="2"/>
  <c r="BN7" i="2"/>
  <c r="BN6" i="2"/>
  <c r="BN5" i="2"/>
  <c r="BN4" i="2"/>
  <c r="BR7" i="2"/>
  <c r="BR6" i="2"/>
  <c r="BR5" i="2"/>
  <c r="BR4" i="2"/>
  <c r="AH79" i="2"/>
  <c r="AG79" i="2"/>
  <c r="AD79" i="2"/>
  <c r="AC79" i="2"/>
  <c r="U79" i="2"/>
  <c r="AT73" i="2"/>
  <c r="AP79" i="2"/>
  <c r="AP77" i="2"/>
  <c r="CJ77" i="2" s="1"/>
  <c r="AP75" i="2"/>
  <c r="CJ75" i="2" s="1"/>
  <c r="AP73" i="2"/>
  <c r="AP71" i="2"/>
  <c r="CJ71" i="2" s="1"/>
  <c r="AP76" i="2"/>
  <c r="CJ76" i="2" s="1"/>
  <c r="BF118" i="2" l="1"/>
  <c r="CN112" i="2"/>
  <c r="CN118" i="2" s="1"/>
  <c r="CJ79" i="2"/>
  <c r="CJ73" i="2"/>
  <c r="CJ85" i="2" s="1"/>
  <c r="AP85" i="2"/>
  <c r="CK73" i="2"/>
  <c r="CE79" i="2"/>
  <c r="CH79" i="2"/>
  <c r="CP79" i="2"/>
  <c r="CQ79" i="2"/>
  <c r="CO79" i="2"/>
  <c r="CG79" i="2"/>
  <c r="BQ42" i="2"/>
  <c r="BR38" i="2"/>
  <c r="CQ42" i="2" l="1"/>
  <c r="BR42" i="2"/>
  <c r="CQ38" i="2"/>
  <c r="AT79" i="2" l="1"/>
  <c r="AT77" i="2"/>
  <c r="CK77" i="2" s="1"/>
  <c r="AT76" i="2"/>
  <c r="CK76" i="2" s="1"/>
  <c r="AT75" i="2"/>
  <c r="CK75" i="2" s="1"/>
  <c r="AT71" i="2"/>
  <c r="CK71" i="2" s="1"/>
  <c r="BQ110" i="2"/>
  <c r="BQ112" i="2" s="1"/>
  <c r="BQ118" i="2" s="1"/>
  <c r="BP110" i="2"/>
  <c r="BP112" i="2" s="1"/>
  <c r="BP118" i="2" s="1"/>
  <c r="BO110" i="2"/>
  <c r="BN110" i="2"/>
  <c r="BM110" i="2"/>
  <c r="BM112" i="2" s="1"/>
  <c r="BM118" i="2" s="1"/>
  <c r="BL110" i="2"/>
  <c r="BL112" i="2" s="1"/>
  <c r="BL118" i="2" s="1"/>
  <c r="BK110" i="2"/>
  <c r="BK112" i="2" s="1"/>
  <c r="BK118" i="2" s="1"/>
  <c r="BJ110" i="2"/>
  <c r="BI110" i="2"/>
  <c r="BI112" i="2" s="1"/>
  <c r="BI118" i="2" s="1"/>
  <c r="BH110" i="2"/>
  <c r="BH112" i="2" s="1"/>
  <c r="BH118" i="2" s="1"/>
  <c r="BG110" i="2"/>
  <c r="BG112" i="2" s="1"/>
  <c r="BG118" i="2" s="1"/>
  <c r="BQ100" i="2"/>
  <c r="BP100" i="2"/>
  <c r="BO100" i="2"/>
  <c r="CQ100" i="2" s="1"/>
  <c r="BN100" i="2"/>
  <c r="CP100" i="2" s="1"/>
  <c r="BM100" i="2"/>
  <c r="BL100" i="2"/>
  <c r="BK100" i="2"/>
  <c r="BJ100" i="2"/>
  <c r="CO100" i="2" s="1"/>
  <c r="BI100" i="2"/>
  <c r="BH100" i="2"/>
  <c r="BG100" i="2"/>
  <c r="AT70" i="2"/>
  <c r="BS72" i="2"/>
  <c r="BS84" i="2" s="1"/>
  <c r="BR72" i="2"/>
  <c r="BR84" i="2" s="1"/>
  <c r="BQ72" i="2"/>
  <c r="BQ84" i="2" s="1"/>
  <c r="BP72" i="2"/>
  <c r="BP84" i="2" s="1"/>
  <c r="BO72" i="2"/>
  <c r="BN72" i="2"/>
  <c r="BN84" i="2" s="1"/>
  <c r="BM72" i="2"/>
  <c r="BM84" i="2" s="1"/>
  <c r="BL72" i="2"/>
  <c r="BL84" i="2" s="1"/>
  <c r="BK72" i="2"/>
  <c r="BK84" i="2" s="1"/>
  <c r="BJ72" i="2"/>
  <c r="BJ84" i="2" s="1"/>
  <c r="BI72" i="2"/>
  <c r="BI84" i="2" s="1"/>
  <c r="BH72" i="2"/>
  <c r="BH84" i="2" s="1"/>
  <c r="BG72" i="2"/>
  <c r="BF72" i="2"/>
  <c r="BF84" i="2" s="1"/>
  <c r="BE72" i="2"/>
  <c r="BE84" i="2" s="1"/>
  <c r="BD72" i="2"/>
  <c r="BD84" i="2" s="1"/>
  <c r="BC72" i="2"/>
  <c r="BC84" i="2" s="1"/>
  <c r="BB72" i="2"/>
  <c r="BB84" i="2" s="1"/>
  <c r="BA72" i="2"/>
  <c r="BA84" i="2" s="1"/>
  <c r="AZ72" i="2"/>
  <c r="AZ84" i="2" s="1"/>
  <c r="AY72" i="2"/>
  <c r="AX72" i="2"/>
  <c r="AX84" i="2" s="1"/>
  <c r="AW72" i="2"/>
  <c r="AW84" i="2" s="1"/>
  <c r="AV72" i="2"/>
  <c r="AV84" i="2" s="1"/>
  <c r="AU72" i="2"/>
  <c r="AU84" i="2" s="1"/>
  <c r="C3" i="2" a="1"/>
  <c r="AS72" i="2"/>
  <c r="AR72" i="2"/>
  <c r="AQ72" i="2"/>
  <c r="AQ84" i="2" s="1"/>
  <c r="AP72" i="2"/>
  <c r="AO72" i="2"/>
  <c r="AN72" i="2"/>
  <c r="AM72" i="2"/>
  <c r="AM84" i="2" s="1"/>
  <c r="AL72" i="2"/>
  <c r="AK72" i="2"/>
  <c r="AJ72" i="2"/>
  <c r="AI72" i="2"/>
  <c r="AI84" i="2" s="1"/>
  <c r="AH72" i="2"/>
  <c r="AG72" i="2"/>
  <c r="AF72" i="2"/>
  <c r="AE72" i="2"/>
  <c r="AE84" i="2" s="1"/>
  <c r="AD72" i="2"/>
  <c r="AC72" i="2"/>
  <c r="AB72" i="2"/>
  <c r="AA72" i="2"/>
  <c r="AA84" i="2" s="1"/>
  <c r="Z72" i="2"/>
  <c r="Y72" i="2"/>
  <c r="X72" i="2"/>
  <c r="W72" i="2"/>
  <c r="W84" i="2" s="1"/>
  <c r="V72" i="2"/>
  <c r="U72" i="2"/>
  <c r="T72" i="2"/>
  <c r="S72" i="2"/>
  <c r="S84" i="2" s="1"/>
  <c r="R72" i="2"/>
  <c r="R84" i="2" s="1"/>
  <c r="Q72" i="2"/>
  <c r="P72" i="2"/>
  <c r="O72" i="2"/>
  <c r="O84" i="2" s="1"/>
  <c r="N72" i="2"/>
  <c r="M72" i="2"/>
  <c r="L72" i="2"/>
  <c r="K72" i="2"/>
  <c r="K84" i="2" s="1"/>
  <c r="J72" i="2"/>
  <c r="I72" i="2"/>
  <c r="H72" i="2"/>
  <c r="G72" i="2"/>
  <c r="G84" i="2" s="1"/>
  <c r="F72" i="2"/>
  <c r="E72" i="2"/>
  <c r="D72" i="2"/>
  <c r="C72" i="2"/>
  <c r="C84" i="2" s="1"/>
  <c r="DK98" i="2"/>
  <c r="DF109" i="2"/>
  <c r="BS47" i="2"/>
  <c r="BR47" i="2"/>
  <c r="BQ47" i="2"/>
  <c r="BP47" i="2"/>
  <c r="BO47" i="2"/>
  <c r="BM41" i="2"/>
  <c r="BL47" i="2"/>
  <c r="BK47" i="2"/>
  <c r="BS46" i="2"/>
  <c r="BR46" i="2"/>
  <c r="BQ46" i="2"/>
  <c r="BP46" i="2"/>
  <c r="BO46" i="2"/>
  <c r="BM40" i="2"/>
  <c r="BL46" i="2"/>
  <c r="BK46" i="2"/>
  <c r="BS45" i="2"/>
  <c r="BR45" i="2"/>
  <c r="BQ45" i="2"/>
  <c r="BP45" i="2"/>
  <c r="BO45" i="2"/>
  <c r="BM39" i="2"/>
  <c r="BL45" i="2"/>
  <c r="BK45" i="2"/>
  <c r="BS44" i="2"/>
  <c r="BR44" i="2"/>
  <c r="BQ44" i="2"/>
  <c r="BP44" i="2"/>
  <c r="BO44" i="2"/>
  <c r="BM38" i="2"/>
  <c r="BL38" i="2"/>
  <c r="BK44" i="2"/>
  <c r="BS30" i="2"/>
  <c r="BR30" i="2"/>
  <c r="BQ30" i="2"/>
  <c r="BP30" i="2"/>
  <c r="BO30" i="2"/>
  <c r="BS29" i="2"/>
  <c r="BR29" i="2"/>
  <c r="BQ29" i="2"/>
  <c r="BP29" i="2"/>
  <c r="BO29" i="2"/>
  <c r="BS28" i="2"/>
  <c r="BR28" i="2"/>
  <c r="BQ28" i="2"/>
  <c r="BP28" i="2"/>
  <c r="BO28" i="2"/>
  <c r="BS27" i="2"/>
  <c r="BR27" i="2"/>
  <c r="BQ27" i="2"/>
  <c r="BP27" i="2"/>
  <c r="BO27" i="2"/>
  <c r="BS25" i="2"/>
  <c r="BS35" i="2" s="1"/>
  <c r="BR25" i="2"/>
  <c r="BR36" i="2" s="1"/>
  <c r="BQ25" i="2"/>
  <c r="BQ36" i="2" s="1"/>
  <c r="BP25" i="2"/>
  <c r="BP34" i="2" s="1"/>
  <c r="BO33" i="2"/>
  <c r="BN25" i="2"/>
  <c r="BN33" i="2" s="1"/>
  <c r="BM25" i="2"/>
  <c r="BM34" i="2" s="1"/>
  <c r="BL25" i="2"/>
  <c r="BL34" i="2" s="1"/>
  <c r="BK25" i="2"/>
  <c r="BK35" i="2" s="1"/>
  <c r="CQ24" i="2"/>
  <c r="CP24" i="2"/>
  <c r="CQ23" i="2"/>
  <c r="CP23" i="2"/>
  <c r="CQ22" i="2"/>
  <c r="CP22" i="2"/>
  <c r="CQ21" i="2"/>
  <c r="CP21" i="2"/>
  <c r="BR55" i="2"/>
  <c r="BR66" i="2" s="1"/>
  <c r="BQ55" i="2"/>
  <c r="BP55" i="2"/>
  <c r="BP68" i="2" s="1"/>
  <c r="BO55" i="2"/>
  <c r="BN55" i="2"/>
  <c r="BN68" i="2" s="1"/>
  <c r="BM55" i="2"/>
  <c r="BM68" i="2" s="1"/>
  <c r="BL55" i="2"/>
  <c r="BK55" i="2"/>
  <c r="BS61" i="2"/>
  <c r="BR61" i="2"/>
  <c r="BQ61" i="2"/>
  <c r="BP61" i="2"/>
  <c r="BO61" i="2"/>
  <c r="BS55" i="2"/>
  <c r="BS68" i="2" s="1"/>
  <c r="F74" i="2" l="1"/>
  <c r="F84" i="2"/>
  <c r="N74" i="2"/>
  <c r="N84" i="2"/>
  <c r="V74" i="2"/>
  <c r="V84" i="2"/>
  <c r="AD74" i="2"/>
  <c r="AD84" i="2"/>
  <c r="CQ29" i="2"/>
  <c r="H74" i="2"/>
  <c r="H84" i="2"/>
  <c r="P74" i="2"/>
  <c r="P84" i="2"/>
  <c r="X74" i="2"/>
  <c r="X84" i="2"/>
  <c r="AF74" i="2"/>
  <c r="AF84" i="2"/>
  <c r="AN74" i="2"/>
  <c r="AN84" i="2"/>
  <c r="CK70" i="2"/>
  <c r="CK85" i="2" s="1"/>
  <c r="AT85" i="2"/>
  <c r="Q74" i="2"/>
  <c r="Q84" i="2"/>
  <c r="AO74" i="2"/>
  <c r="AO84" i="2"/>
  <c r="CQ30" i="2"/>
  <c r="CP40" i="2"/>
  <c r="CP41" i="2"/>
  <c r="J74" i="2"/>
  <c r="J84" i="2"/>
  <c r="Z74" i="2"/>
  <c r="Z84" i="2"/>
  <c r="AH74" i="2"/>
  <c r="AH84" i="2"/>
  <c r="AP74" i="2"/>
  <c r="AP84" i="2"/>
  <c r="BK68" i="2"/>
  <c r="CP55" i="2"/>
  <c r="CP68" i="2" s="1"/>
  <c r="CM72" i="2"/>
  <c r="CM84" i="2" s="1"/>
  <c r="AY84" i="2"/>
  <c r="CO72" i="2"/>
  <c r="CO84" i="2" s="1"/>
  <c r="BG84" i="2"/>
  <c r="CQ72" i="2"/>
  <c r="CQ84" i="2" s="1"/>
  <c r="BO84" i="2"/>
  <c r="BN112" i="2"/>
  <c r="CP110" i="2"/>
  <c r="CK79" i="2"/>
  <c r="Y74" i="2"/>
  <c r="Y84" i="2"/>
  <c r="CQ27" i="2"/>
  <c r="D74" i="2"/>
  <c r="D84" i="2"/>
  <c r="L74" i="2"/>
  <c r="L84" i="2"/>
  <c r="T74" i="2"/>
  <c r="T84" i="2"/>
  <c r="AB74" i="2"/>
  <c r="AB84" i="2"/>
  <c r="AJ74" i="2"/>
  <c r="AJ84" i="2"/>
  <c r="AR74" i="2"/>
  <c r="AR84" i="2"/>
  <c r="BO112" i="2"/>
  <c r="CQ110" i="2"/>
  <c r="I74" i="2"/>
  <c r="I84" i="2"/>
  <c r="AG74" i="2"/>
  <c r="AG84" i="2"/>
  <c r="E74" i="2"/>
  <c r="E84" i="2"/>
  <c r="M74" i="2"/>
  <c r="M84" i="2"/>
  <c r="U74" i="2"/>
  <c r="U84" i="2"/>
  <c r="AC74" i="2"/>
  <c r="AC84" i="2"/>
  <c r="AK74" i="2"/>
  <c r="AK84" i="2"/>
  <c r="AS74" i="2"/>
  <c r="AS84" i="2"/>
  <c r="CQ28" i="2"/>
  <c r="AL74" i="2"/>
  <c r="AL84" i="2"/>
  <c r="BO68" i="2"/>
  <c r="CQ55" i="2"/>
  <c r="BJ112" i="2"/>
  <c r="CO110" i="2"/>
  <c r="BM44" i="2"/>
  <c r="BM42" i="2"/>
  <c r="BM46" i="2"/>
  <c r="BN40" i="2"/>
  <c r="BN46" i="2" s="1"/>
  <c r="BM45" i="2"/>
  <c r="BN39" i="2"/>
  <c r="BN45" i="2" s="1"/>
  <c r="BM47" i="2"/>
  <c r="BN41" i="2"/>
  <c r="BN47" i="2" s="1"/>
  <c r="C74" i="2"/>
  <c r="C86" i="2" s="1"/>
  <c r="CA72" i="2"/>
  <c r="CA84" i="2" s="1"/>
  <c r="K74" i="2"/>
  <c r="K86" i="2" s="1"/>
  <c r="CC72" i="2"/>
  <c r="CC84" i="2" s="1"/>
  <c r="S74" i="2"/>
  <c r="S86" i="2" s="1"/>
  <c r="CE72" i="2"/>
  <c r="CE84" i="2" s="1"/>
  <c r="AA74" i="2"/>
  <c r="AA86" i="2" s="1"/>
  <c r="CG72" i="2"/>
  <c r="CG84" i="2" s="1"/>
  <c r="AI74" i="2"/>
  <c r="AI86" i="2" s="1"/>
  <c r="CI72" i="2"/>
  <c r="CI84" i="2" s="1"/>
  <c r="BL44" i="2"/>
  <c r="BN38" i="2"/>
  <c r="CP38" i="2" s="1"/>
  <c r="BL42" i="2"/>
  <c r="G74" i="2"/>
  <c r="G86" i="2" s="1"/>
  <c r="CB72" i="2"/>
  <c r="CB84" i="2" s="1"/>
  <c r="O74" i="2"/>
  <c r="O86" i="2" s="1"/>
  <c r="CD72" i="2"/>
  <c r="CD84" i="2" s="1"/>
  <c r="W74" i="2"/>
  <c r="W86" i="2" s="1"/>
  <c r="CF72" i="2"/>
  <c r="CF84" i="2" s="1"/>
  <c r="AE74" i="2"/>
  <c r="AE86" i="2" s="1"/>
  <c r="CH72" i="2"/>
  <c r="CH84" i="2" s="1"/>
  <c r="AM74" i="2"/>
  <c r="AM86" i="2" s="1"/>
  <c r="CJ72" i="2"/>
  <c r="CJ84" i="2" s="1"/>
  <c r="CL72" i="2"/>
  <c r="CL84" i="2" s="1"/>
  <c r="CN72" i="2"/>
  <c r="CN84" i="2" s="1"/>
  <c r="CP72" i="2"/>
  <c r="CP84" i="2" s="1"/>
  <c r="AQ74" i="2"/>
  <c r="AQ86" i="2" s="1"/>
  <c r="R74" i="2"/>
  <c r="AT72" i="2"/>
  <c r="BK33" i="2"/>
  <c r="BS33" i="2"/>
  <c r="BL66" i="2"/>
  <c r="BO35" i="2"/>
  <c r="BQ62" i="2"/>
  <c r="BL67" i="2"/>
  <c r="BR68" i="2"/>
  <c r="BR67" i="2"/>
  <c r="BQ68" i="2"/>
  <c r="BQ33" i="2"/>
  <c r="BS67" i="2"/>
  <c r="BL64" i="2"/>
  <c r="BQ64" i="2"/>
  <c r="BL65" i="2"/>
  <c r="BO31" i="2"/>
  <c r="BR64" i="2"/>
  <c r="BQ65" i="2"/>
  <c r="BL35" i="2"/>
  <c r="BK36" i="2"/>
  <c r="BR65" i="2"/>
  <c r="BQ66" i="2"/>
  <c r="CQ25" i="2"/>
  <c r="CQ31" i="2" s="1"/>
  <c r="BL36" i="2"/>
  <c r="BQ67" i="2"/>
  <c r="BL68" i="2"/>
  <c r="BP33" i="2"/>
  <c r="BS36" i="2"/>
  <c r="BN34" i="2"/>
  <c r="BM35" i="2"/>
  <c r="BK64" i="2"/>
  <c r="BK65" i="2"/>
  <c r="BK66" i="2"/>
  <c r="BK67" i="2"/>
  <c r="BR33" i="2"/>
  <c r="BO34" i="2"/>
  <c r="BN35" i="2"/>
  <c r="BM36" i="2"/>
  <c r="BN36" i="2"/>
  <c r="BS62" i="2"/>
  <c r="BM64" i="2"/>
  <c r="BM65" i="2"/>
  <c r="BM66" i="2"/>
  <c r="BM67" i="2"/>
  <c r="BP31" i="2"/>
  <c r="BL33" i="2"/>
  <c r="BQ34" i="2"/>
  <c r="BP35" i="2"/>
  <c r="BO36" i="2"/>
  <c r="BS64" i="2"/>
  <c r="BN64" i="2"/>
  <c r="BN65" i="2"/>
  <c r="BN66" i="2"/>
  <c r="BN67" i="2"/>
  <c r="BQ31" i="2"/>
  <c r="BM33" i="2"/>
  <c r="BR34" i="2"/>
  <c r="BQ35" i="2"/>
  <c r="BP36" i="2"/>
  <c r="BS65" i="2"/>
  <c r="BO64" i="2"/>
  <c r="BO65" i="2"/>
  <c r="BO66" i="2"/>
  <c r="BO67" i="2"/>
  <c r="BR31" i="2"/>
  <c r="BK34" i="2"/>
  <c r="BS34" i="2"/>
  <c r="BR35" i="2"/>
  <c r="BS66" i="2"/>
  <c r="BP64" i="2"/>
  <c r="BP65" i="2"/>
  <c r="BP66" i="2"/>
  <c r="BP67" i="2"/>
  <c r="CP25" i="2"/>
  <c r="CP35" i="2" s="1"/>
  <c r="BS31" i="2"/>
  <c r="BP62" i="2"/>
  <c r="BR62" i="2"/>
  <c r="BO62" i="2"/>
  <c r="AT74" i="2" l="1"/>
  <c r="AT84" i="2"/>
  <c r="CQ112" i="2"/>
  <c r="CQ118" i="2" s="1"/>
  <c r="BO118" i="2"/>
  <c r="Q78" i="2"/>
  <c r="Q86" i="2"/>
  <c r="CP34" i="2"/>
  <c r="CP36" i="2"/>
  <c r="CP39" i="2"/>
  <c r="AK78" i="2"/>
  <c r="AK86" i="2"/>
  <c r="E78" i="2"/>
  <c r="E86" i="2"/>
  <c r="T78" i="2"/>
  <c r="T86" i="2"/>
  <c r="Y78" i="2"/>
  <c r="Y86" i="2"/>
  <c r="AP78" i="2"/>
  <c r="AP86" i="2"/>
  <c r="AD78" i="2"/>
  <c r="AD86" i="2"/>
  <c r="R78" i="2"/>
  <c r="R86" i="2"/>
  <c r="AL78" i="2"/>
  <c r="AL86" i="2"/>
  <c r="AC78" i="2"/>
  <c r="AC86" i="2"/>
  <c r="AR78" i="2"/>
  <c r="AR86" i="2"/>
  <c r="L78" i="2"/>
  <c r="L86" i="2"/>
  <c r="AH78" i="2"/>
  <c r="AH86" i="2"/>
  <c r="P78" i="2"/>
  <c r="P86" i="2"/>
  <c r="V78" i="2"/>
  <c r="V86" i="2"/>
  <c r="X78" i="2"/>
  <c r="X86" i="2"/>
  <c r="AG78" i="2"/>
  <c r="AG86" i="2"/>
  <c r="CQ36" i="2"/>
  <c r="CQ34" i="2"/>
  <c r="U78" i="2"/>
  <c r="U86" i="2"/>
  <c r="AJ78" i="2"/>
  <c r="AJ86" i="2"/>
  <c r="D78" i="2"/>
  <c r="D86" i="2"/>
  <c r="CP33" i="2"/>
  <c r="Z78" i="2"/>
  <c r="Z86" i="2"/>
  <c r="AN78" i="2"/>
  <c r="AN86" i="2"/>
  <c r="H78" i="2"/>
  <c r="H86" i="2"/>
  <c r="N78" i="2"/>
  <c r="N86" i="2"/>
  <c r="BJ118" i="2"/>
  <c r="CO112" i="2"/>
  <c r="CO118" i="2" s="1"/>
  <c r="I78" i="2"/>
  <c r="I86" i="2"/>
  <c r="CP112" i="2"/>
  <c r="CP118" i="2" s="1"/>
  <c r="BN118" i="2"/>
  <c r="CQ35" i="2"/>
  <c r="CQ62" i="2"/>
  <c r="CQ68" i="2"/>
  <c r="AS78" i="2"/>
  <c r="AS86" i="2"/>
  <c r="M78" i="2"/>
  <c r="M86" i="2"/>
  <c r="AB78" i="2"/>
  <c r="AB86" i="2"/>
  <c r="CQ33" i="2"/>
  <c r="J78" i="2"/>
  <c r="J86" i="2"/>
  <c r="AO78" i="2"/>
  <c r="AO86" i="2"/>
  <c r="AF78" i="2"/>
  <c r="AF86" i="2"/>
  <c r="F78" i="2"/>
  <c r="F86" i="2"/>
  <c r="AM78" i="2"/>
  <c r="AM87" i="2" s="1"/>
  <c r="CJ74" i="2"/>
  <c r="CJ86" i="2" s="1"/>
  <c r="AA78" i="2"/>
  <c r="AA87" i="2" s="1"/>
  <c r="CG74" i="2"/>
  <c r="CG86" i="2" s="1"/>
  <c r="BN42" i="2"/>
  <c r="CP42" i="2" s="1"/>
  <c r="BN44" i="2"/>
  <c r="S78" i="2"/>
  <c r="S87" i="2" s="1"/>
  <c r="CE74" i="2"/>
  <c r="CE86" i="2" s="1"/>
  <c r="AQ78" i="2"/>
  <c r="AQ87" i="2" s="1"/>
  <c r="CK74" i="2"/>
  <c r="CK86" i="2" s="1"/>
  <c r="G78" i="2"/>
  <c r="G87" i="2" s="1"/>
  <c r="CB74" i="2"/>
  <c r="CB86" i="2" s="1"/>
  <c r="W78" i="2"/>
  <c r="W87" i="2" s="1"/>
  <c r="CF74" i="2"/>
  <c r="CF86" i="2" s="1"/>
  <c r="CK72" i="2"/>
  <c r="CK84" i="2" s="1"/>
  <c r="K78" i="2"/>
  <c r="K87" i="2" s="1"/>
  <c r="CC74" i="2"/>
  <c r="CC86" i="2" s="1"/>
  <c r="AE78" i="2"/>
  <c r="AE87" i="2" s="1"/>
  <c r="CH74" i="2"/>
  <c r="CH86" i="2" s="1"/>
  <c r="O78" i="2"/>
  <c r="O87" i="2" s="1"/>
  <c r="CD74" i="2"/>
  <c r="CD86" i="2" s="1"/>
  <c r="AI78" i="2"/>
  <c r="AI87" i="2" s="1"/>
  <c r="CI74" i="2"/>
  <c r="CI86" i="2" s="1"/>
  <c r="C78" i="2"/>
  <c r="C87" i="2" s="1"/>
  <c r="CA74" i="2"/>
  <c r="CA86" i="2" s="1"/>
  <c r="V80" i="2" l="1"/>
  <c r="V87" i="2"/>
  <c r="F80" i="2"/>
  <c r="F87" i="2"/>
  <c r="N80" i="2"/>
  <c r="N87" i="2"/>
  <c r="Q80" i="2"/>
  <c r="Q87" i="2"/>
  <c r="AB80" i="2"/>
  <c r="AB87" i="2"/>
  <c r="D80" i="2"/>
  <c r="D87" i="2"/>
  <c r="P80" i="2"/>
  <c r="P87" i="2"/>
  <c r="AC80" i="2"/>
  <c r="AC87" i="2"/>
  <c r="AP80" i="2"/>
  <c r="AP87" i="2"/>
  <c r="AK80" i="2"/>
  <c r="AK87" i="2"/>
  <c r="Z80" i="2"/>
  <c r="Z87" i="2"/>
  <c r="E80" i="2"/>
  <c r="E87" i="2"/>
  <c r="AF80" i="2"/>
  <c r="AF87" i="2"/>
  <c r="H80" i="2"/>
  <c r="H87" i="2"/>
  <c r="AD80" i="2"/>
  <c r="AD87" i="2"/>
  <c r="M80" i="2"/>
  <c r="M87" i="2"/>
  <c r="AJ80" i="2"/>
  <c r="AJ87" i="2"/>
  <c r="AG80" i="2"/>
  <c r="AG87" i="2"/>
  <c r="AH80" i="2"/>
  <c r="AH87" i="2"/>
  <c r="AL80" i="2"/>
  <c r="AL87" i="2"/>
  <c r="Y80" i="2"/>
  <c r="Y87" i="2"/>
  <c r="AT78" i="2"/>
  <c r="AT86" i="2"/>
  <c r="J80" i="2"/>
  <c r="J87" i="2"/>
  <c r="AO80" i="2"/>
  <c r="AO87" i="2"/>
  <c r="I80" i="2"/>
  <c r="I87" i="2"/>
  <c r="AN80" i="2"/>
  <c r="AN87" i="2"/>
  <c r="AR80" i="2"/>
  <c r="AR87" i="2"/>
  <c r="AS80" i="2"/>
  <c r="AS87" i="2"/>
  <c r="U80" i="2"/>
  <c r="U87" i="2"/>
  <c r="X80" i="2"/>
  <c r="X87" i="2"/>
  <c r="L80" i="2"/>
  <c r="L87" i="2"/>
  <c r="R80" i="2"/>
  <c r="R87" i="2"/>
  <c r="T80" i="2"/>
  <c r="T87" i="2"/>
  <c r="O80" i="2"/>
  <c r="O88" i="2" s="1"/>
  <c r="CD78" i="2"/>
  <c r="CD87" i="2" s="1"/>
  <c r="G80" i="2"/>
  <c r="G88" i="2" s="1"/>
  <c r="CB78" i="2"/>
  <c r="CB87" i="2" s="1"/>
  <c r="W80" i="2"/>
  <c r="W88" i="2" s="1"/>
  <c r="CF78" i="2"/>
  <c r="CF87" i="2" s="1"/>
  <c r="C80" i="2"/>
  <c r="C88" i="2" s="1"/>
  <c r="CA78" i="2"/>
  <c r="CA87" i="2" s="1"/>
  <c r="AE80" i="2"/>
  <c r="AE88" i="2" s="1"/>
  <c r="CH78" i="2"/>
  <c r="CH87" i="2" s="1"/>
  <c r="AQ80" i="2"/>
  <c r="AQ88" i="2" s="1"/>
  <c r="CK78" i="2"/>
  <c r="CK87" i="2" s="1"/>
  <c r="AA80" i="2"/>
  <c r="AA88" i="2" s="1"/>
  <c r="CG78" i="2"/>
  <c r="CG87" i="2" s="1"/>
  <c r="AI80" i="2"/>
  <c r="AI88" i="2" s="1"/>
  <c r="CI78" i="2"/>
  <c r="CI87" i="2" s="1"/>
  <c r="K80" i="2"/>
  <c r="K88" i="2" s="1"/>
  <c r="CC78" i="2"/>
  <c r="CC87" i="2" s="1"/>
  <c r="S80" i="2"/>
  <c r="S88" i="2" s="1"/>
  <c r="CE78" i="2"/>
  <c r="CE87" i="2" s="1"/>
  <c r="AM80" i="2"/>
  <c r="AM88" i="2" s="1"/>
  <c r="CJ78" i="2"/>
  <c r="CJ87" i="2" s="1"/>
  <c r="L88" i="2" l="1"/>
  <c r="L123" i="2"/>
  <c r="L82" i="2"/>
  <c r="AR88" i="2"/>
  <c r="AR123" i="2"/>
  <c r="AR82" i="2"/>
  <c r="J88" i="2"/>
  <c r="J82" i="2"/>
  <c r="J123" i="2"/>
  <c r="AH88" i="2"/>
  <c r="AH123" i="2"/>
  <c r="AH82" i="2"/>
  <c r="AD88" i="2"/>
  <c r="AD123" i="2"/>
  <c r="AD82" i="2"/>
  <c r="Z88" i="2"/>
  <c r="Z82" i="2"/>
  <c r="Z123" i="2"/>
  <c r="P88" i="2"/>
  <c r="P82" i="2"/>
  <c r="P123" i="2"/>
  <c r="N88" i="2"/>
  <c r="N82" i="2"/>
  <c r="N123" i="2"/>
  <c r="Q88" i="2"/>
  <c r="Q82" i="2"/>
  <c r="Q123" i="2"/>
  <c r="AN88" i="2"/>
  <c r="AN82" i="2"/>
  <c r="AN123" i="2"/>
  <c r="AT80" i="2"/>
  <c r="AT87" i="2"/>
  <c r="AG88" i="2"/>
  <c r="AG123" i="2"/>
  <c r="AG82" i="2"/>
  <c r="X88" i="2"/>
  <c r="X82" i="2"/>
  <c r="X123" i="2"/>
  <c r="H88" i="2"/>
  <c r="H82" i="2"/>
  <c r="H123" i="2"/>
  <c r="AK88" i="2"/>
  <c r="AK82" i="2"/>
  <c r="AK123" i="2"/>
  <c r="D88" i="2"/>
  <c r="D82" i="2"/>
  <c r="D123" i="2"/>
  <c r="F88" i="2"/>
  <c r="F123" i="2"/>
  <c r="F82" i="2"/>
  <c r="T88" i="2"/>
  <c r="T82" i="2"/>
  <c r="T123" i="2"/>
  <c r="U88" i="2"/>
  <c r="U82" i="2"/>
  <c r="U123" i="2"/>
  <c r="I88" i="2"/>
  <c r="I82" i="2"/>
  <c r="I123" i="2"/>
  <c r="Y88" i="2"/>
  <c r="Y82" i="2"/>
  <c r="Y123" i="2"/>
  <c r="AJ88" i="2"/>
  <c r="AJ123" i="2"/>
  <c r="AJ82" i="2"/>
  <c r="E88" i="2"/>
  <c r="E82" i="2"/>
  <c r="E123" i="2"/>
  <c r="AF88" i="2"/>
  <c r="AF123" i="2"/>
  <c r="AF82" i="2"/>
  <c r="AP88" i="2"/>
  <c r="AP123" i="2"/>
  <c r="AP82" i="2"/>
  <c r="AB88" i="2"/>
  <c r="AB82" i="2"/>
  <c r="AB123" i="2"/>
  <c r="V88" i="2"/>
  <c r="V123" i="2"/>
  <c r="V82" i="2"/>
  <c r="AC88" i="2"/>
  <c r="AC123" i="2"/>
  <c r="AC82" i="2"/>
  <c r="R88" i="2"/>
  <c r="R123" i="2"/>
  <c r="R82" i="2"/>
  <c r="AS88" i="2"/>
  <c r="AS82" i="2"/>
  <c r="AS123" i="2"/>
  <c r="AO88" i="2"/>
  <c r="AO123" i="2"/>
  <c r="AO82" i="2"/>
  <c r="AL88" i="2"/>
  <c r="AL82" i="2"/>
  <c r="AL123" i="2"/>
  <c r="M88" i="2"/>
  <c r="M82" i="2"/>
  <c r="M123" i="2"/>
  <c r="AI82" i="2"/>
  <c r="AI123" i="2"/>
  <c r="CI80" i="2"/>
  <c r="C82" i="2"/>
  <c r="CA82" i="2" s="1"/>
  <c r="C123" i="2"/>
  <c r="CA80" i="2"/>
  <c r="AM82" i="2"/>
  <c r="CJ80" i="2"/>
  <c r="AM123" i="2"/>
  <c r="AA82" i="2"/>
  <c r="AA123" i="2"/>
  <c r="CG80" i="2"/>
  <c r="AQ82" i="2"/>
  <c r="AQ123" i="2"/>
  <c r="W82" i="2"/>
  <c r="W123" i="2"/>
  <c r="CF80" i="2"/>
  <c r="S82" i="2"/>
  <c r="S123" i="2"/>
  <c r="CE80" i="2"/>
  <c r="G82" i="2"/>
  <c r="CB82" i="2" s="1"/>
  <c r="CB80" i="2"/>
  <c r="G123" i="2"/>
  <c r="K82" i="2"/>
  <c r="K123" i="2"/>
  <c r="CC80" i="2"/>
  <c r="AE82" i="2"/>
  <c r="CH80" i="2"/>
  <c r="AE123" i="2"/>
  <c r="O82" i="2"/>
  <c r="CD80" i="2"/>
  <c r="O123" i="2"/>
  <c r="BS126" i="2"/>
  <c r="BS128" i="2" s="1"/>
  <c r="BR126" i="2"/>
  <c r="BR128" i="2" s="1"/>
  <c r="BQ126" i="2"/>
  <c r="BQ128" i="2" s="1"/>
  <c r="BP126" i="2"/>
  <c r="BP128" i="2" s="1"/>
  <c r="BO126" i="2"/>
  <c r="BN126" i="2"/>
  <c r="BN128" i="2" s="1"/>
  <c r="BM126" i="2"/>
  <c r="BM128" i="2" s="1"/>
  <c r="BL126" i="2"/>
  <c r="BL128" i="2" s="1"/>
  <c r="BK126" i="2"/>
  <c r="BJ126" i="2"/>
  <c r="BJ128" i="2" s="1"/>
  <c r="BI126" i="2"/>
  <c r="BI128" i="2" s="1"/>
  <c r="BH126" i="2"/>
  <c r="BH128" i="2" s="1"/>
  <c r="BG126" i="2"/>
  <c r="BF126" i="2"/>
  <c r="BF128" i="2" s="1"/>
  <c r="BE126" i="2"/>
  <c r="BE128" i="2" s="1"/>
  <c r="BD126" i="2"/>
  <c r="BD128" i="2" s="1"/>
  <c r="BC126" i="2"/>
  <c r="BB126" i="2"/>
  <c r="BB128" i="2" s="1"/>
  <c r="BA126" i="2"/>
  <c r="BA128" i="2" s="1"/>
  <c r="AZ126" i="2"/>
  <c r="AZ128" i="2" s="1"/>
  <c r="AY126" i="2"/>
  <c r="AX126" i="2"/>
  <c r="AX128" i="2" s="1"/>
  <c r="AW126" i="2"/>
  <c r="AW128" i="2" s="1"/>
  <c r="AV126" i="2"/>
  <c r="AV128" i="2" s="1"/>
  <c r="AU126" i="2"/>
  <c r="AT126" i="2"/>
  <c r="AT128" i="2" s="1"/>
  <c r="AS126" i="2"/>
  <c r="AS128" i="2" s="1"/>
  <c r="AR126" i="2"/>
  <c r="AR128" i="2" s="1"/>
  <c r="AQ126" i="2"/>
  <c r="AP126" i="2"/>
  <c r="AP128" i="2" s="1"/>
  <c r="AO126" i="2"/>
  <c r="AO128" i="2" s="1"/>
  <c r="AN126" i="2"/>
  <c r="AN128" i="2" s="1"/>
  <c r="AM126" i="2"/>
  <c r="AL126" i="2"/>
  <c r="AL128" i="2" s="1"/>
  <c r="AK126" i="2"/>
  <c r="AK128" i="2" s="1"/>
  <c r="AJ126" i="2"/>
  <c r="AJ128" i="2" s="1"/>
  <c r="AI126" i="2"/>
  <c r="AH126" i="2"/>
  <c r="AH128" i="2" s="1"/>
  <c r="AG126" i="2"/>
  <c r="AG128" i="2" s="1"/>
  <c r="AF126" i="2"/>
  <c r="AF128" i="2" s="1"/>
  <c r="AE126" i="2"/>
  <c r="AD126" i="2"/>
  <c r="AD128" i="2" s="1"/>
  <c r="AC126" i="2"/>
  <c r="AC128" i="2" s="1"/>
  <c r="AB126" i="2"/>
  <c r="AB128" i="2" s="1"/>
  <c r="AA126" i="2"/>
  <c r="Z126" i="2"/>
  <c r="Z128" i="2" s="1"/>
  <c r="Y126" i="2"/>
  <c r="Y128" i="2" s="1"/>
  <c r="X126" i="2"/>
  <c r="X128" i="2" s="1"/>
  <c r="W126" i="2"/>
  <c r="V126" i="2"/>
  <c r="V128" i="2" s="1"/>
  <c r="U126" i="2"/>
  <c r="U128" i="2" s="1"/>
  <c r="T126" i="2"/>
  <c r="T128" i="2" s="1"/>
  <c r="S126" i="2"/>
  <c r="R126" i="2"/>
  <c r="R128" i="2" s="1"/>
  <c r="Q126" i="2"/>
  <c r="Q128" i="2" s="1"/>
  <c r="P126" i="2"/>
  <c r="P128" i="2" s="1"/>
  <c r="O126" i="2"/>
  <c r="N126" i="2"/>
  <c r="N128" i="2" s="1"/>
  <c r="M126" i="2"/>
  <c r="M128" i="2" s="1"/>
  <c r="L126" i="2"/>
  <c r="L128" i="2" s="1"/>
  <c r="K126" i="2"/>
  <c r="J126" i="2"/>
  <c r="J128" i="2" s="1"/>
  <c r="I126" i="2"/>
  <c r="I128" i="2" s="1"/>
  <c r="H126" i="2"/>
  <c r="H128" i="2" s="1"/>
  <c r="G126" i="2"/>
  <c r="F126" i="2"/>
  <c r="F128" i="2" s="1"/>
  <c r="E126" i="2"/>
  <c r="E128" i="2" s="1"/>
  <c r="D126" i="2"/>
  <c r="D128" i="2" s="1"/>
  <c r="C126" i="2"/>
  <c r="BS110" i="2"/>
  <c r="BS112" i="2" s="1"/>
  <c r="BS118" i="2" s="1"/>
  <c r="BR110" i="2"/>
  <c r="BR112" i="2" s="1"/>
  <c r="BR118" i="2" s="1"/>
  <c r="BS100" i="2"/>
  <c r="BR100" i="2"/>
  <c r="CQ90" i="2"/>
  <c r="CP90" i="2"/>
  <c r="CO90" i="2"/>
  <c r="CN90" i="2"/>
  <c r="AX74" i="2"/>
  <c r="AW74" i="2"/>
  <c r="AV74" i="2"/>
  <c r="AU74" i="2"/>
  <c r="AU86" i="2" s="1"/>
  <c r="BS60" i="2"/>
  <c r="BR60" i="2"/>
  <c r="BQ60" i="2"/>
  <c r="BP60" i="2"/>
  <c r="BO60" i="2"/>
  <c r="BS59" i="2"/>
  <c r="BR59" i="2"/>
  <c r="BQ59" i="2"/>
  <c r="BP59" i="2"/>
  <c r="BO59" i="2"/>
  <c r="BS58" i="2"/>
  <c r="BR58" i="2"/>
  <c r="BQ58" i="2"/>
  <c r="BP58" i="2"/>
  <c r="BO58" i="2"/>
  <c r="BS57" i="2"/>
  <c r="BR57" i="2"/>
  <c r="BQ57" i="2"/>
  <c r="BP57" i="2"/>
  <c r="BO57" i="2"/>
  <c r="CQ53" i="2"/>
  <c r="CP53" i="2"/>
  <c r="CP67" i="2" s="1"/>
  <c r="CQ52" i="2"/>
  <c r="CP52" i="2"/>
  <c r="CP66" i="2" s="1"/>
  <c r="CQ51" i="2"/>
  <c r="CP51" i="2"/>
  <c r="CP65" i="2" s="1"/>
  <c r="CQ50" i="2"/>
  <c r="CP50" i="2"/>
  <c r="CP64" i="2" s="1"/>
  <c r="BS13" i="2"/>
  <c r="BR13" i="2"/>
  <c r="BQ13" i="2"/>
  <c r="BP13" i="2"/>
  <c r="BO13" i="2"/>
  <c r="BS12" i="2"/>
  <c r="BR12" i="2"/>
  <c r="BQ12" i="2"/>
  <c r="BP12" i="2"/>
  <c r="BO12" i="2"/>
  <c r="BS11" i="2"/>
  <c r="BR11" i="2"/>
  <c r="BQ11" i="2"/>
  <c r="BP11" i="2"/>
  <c r="BO11" i="2"/>
  <c r="BS10" i="2"/>
  <c r="BR10" i="2"/>
  <c r="BQ10" i="2"/>
  <c r="BP10" i="2"/>
  <c r="BO10" i="2"/>
  <c r="BS8" i="2"/>
  <c r="BS48" i="2" s="1"/>
  <c r="BR8" i="2"/>
  <c r="BQ8" i="2"/>
  <c r="BP8" i="2"/>
  <c r="BO8" i="2"/>
  <c r="BN8" i="2"/>
  <c r="BM8" i="2"/>
  <c r="BL8" i="2"/>
  <c r="BK8" i="2"/>
  <c r="CQ7" i="2"/>
  <c r="CP7" i="2"/>
  <c r="CQ6" i="2"/>
  <c r="CP6" i="2"/>
  <c r="CQ5" i="2"/>
  <c r="CP5" i="2"/>
  <c r="CQ4" i="2"/>
  <c r="CP4" i="2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CP45" i="2" l="1"/>
  <c r="CQ66" i="2"/>
  <c r="CQ59" i="2"/>
  <c r="AV78" i="2"/>
  <c r="AV86" i="2"/>
  <c r="CA123" i="2"/>
  <c r="CA88" i="2"/>
  <c r="AW78" i="2"/>
  <c r="AW86" i="2"/>
  <c r="CH82" i="2"/>
  <c r="CG123" i="2"/>
  <c r="CG88" i="2"/>
  <c r="CE123" i="2"/>
  <c r="CE88" i="2"/>
  <c r="CP46" i="2"/>
  <c r="CQ12" i="2"/>
  <c r="CQ46" i="2"/>
  <c r="CN116" i="2"/>
  <c r="CN114" i="2"/>
  <c r="CN115" i="2"/>
  <c r="CC123" i="2"/>
  <c r="CC88" i="2"/>
  <c r="CE82" i="2"/>
  <c r="CI123" i="2"/>
  <c r="CI88" i="2"/>
  <c r="AT88" i="2"/>
  <c r="AT82" i="2"/>
  <c r="AT123" i="2"/>
  <c r="CP47" i="2"/>
  <c r="CQ57" i="2"/>
  <c r="CQ64" i="2"/>
  <c r="CO115" i="2"/>
  <c r="CO116" i="2"/>
  <c r="CO114" i="2"/>
  <c r="CF123" i="2"/>
  <c r="CF88" i="2"/>
  <c r="CG82" i="2"/>
  <c r="CH123" i="2"/>
  <c r="CH88" i="2"/>
  <c r="CQ67" i="2"/>
  <c r="CQ60" i="2"/>
  <c r="CQ13" i="2"/>
  <c r="CQ47" i="2"/>
  <c r="CP115" i="2"/>
  <c r="CP116" i="2"/>
  <c r="CP114" i="2"/>
  <c r="CC82" i="2"/>
  <c r="CI82" i="2"/>
  <c r="CQ114" i="2"/>
  <c r="CQ115" i="2"/>
  <c r="CQ116" i="2"/>
  <c r="CR77" i="2"/>
  <c r="CD123" i="2"/>
  <c r="CD88" i="2"/>
  <c r="CF82" i="2"/>
  <c r="CJ123" i="2"/>
  <c r="CJ88" i="2"/>
  <c r="CQ11" i="2"/>
  <c r="CQ45" i="2"/>
  <c r="CK82" i="2"/>
  <c r="AX78" i="2"/>
  <c r="AX86" i="2"/>
  <c r="CP16" i="2"/>
  <c r="CP44" i="2"/>
  <c r="CQ65" i="2"/>
  <c r="CQ58" i="2"/>
  <c r="CQ10" i="2"/>
  <c r="CQ44" i="2"/>
  <c r="CD82" i="2"/>
  <c r="CB123" i="2"/>
  <c r="CB88" i="2"/>
  <c r="CK80" i="2"/>
  <c r="CJ82" i="2"/>
  <c r="AE128" i="2"/>
  <c r="CH128" i="2" s="1"/>
  <c r="CH126" i="2"/>
  <c r="AU78" i="2"/>
  <c r="AU87" i="2" s="1"/>
  <c r="CL74" i="2"/>
  <c r="CL86" i="2" s="1"/>
  <c r="W128" i="2"/>
  <c r="CF128" i="2" s="1"/>
  <c r="CF126" i="2"/>
  <c r="AM128" i="2"/>
  <c r="CJ128" i="2" s="1"/>
  <c r="CJ126" i="2"/>
  <c r="BK128" i="2"/>
  <c r="CP128" i="2" s="1"/>
  <c r="CP126" i="2"/>
  <c r="C128" i="2"/>
  <c r="CA128" i="2" s="1"/>
  <c r="CA126" i="2"/>
  <c r="K128" i="2"/>
  <c r="CC128" i="2" s="1"/>
  <c r="CC126" i="2"/>
  <c r="S128" i="2"/>
  <c r="CE128" i="2" s="1"/>
  <c r="CE126" i="2"/>
  <c r="AA128" i="2"/>
  <c r="CG128" i="2" s="1"/>
  <c r="CG126" i="2"/>
  <c r="AI128" i="2"/>
  <c r="CI128" i="2" s="1"/>
  <c r="CI126" i="2"/>
  <c r="AQ128" i="2"/>
  <c r="CK128" i="2" s="1"/>
  <c r="CK126" i="2"/>
  <c r="AY128" i="2"/>
  <c r="CM128" i="2" s="1"/>
  <c r="CM126" i="2"/>
  <c r="BG128" i="2"/>
  <c r="CO128" i="2" s="1"/>
  <c r="CO126" i="2"/>
  <c r="BO128" i="2"/>
  <c r="CQ128" i="2" s="1"/>
  <c r="CQ126" i="2"/>
  <c r="G128" i="2"/>
  <c r="CB128" i="2" s="1"/>
  <c r="CB126" i="2"/>
  <c r="AU128" i="2"/>
  <c r="CL128" i="2" s="1"/>
  <c r="CL126" i="2"/>
  <c r="O128" i="2"/>
  <c r="CD128" i="2" s="1"/>
  <c r="CD126" i="2"/>
  <c r="BC128" i="2"/>
  <c r="CN128" i="2" s="1"/>
  <c r="CN126" i="2"/>
  <c r="DF92" i="2"/>
  <c r="CR7" i="2"/>
  <c r="CS7" i="2" s="1"/>
  <c r="CT7" i="2" s="1"/>
  <c r="CU7" i="2" s="1"/>
  <c r="CV7" i="2" s="1"/>
  <c r="CW7" i="2" s="1"/>
  <c r="CX7" i="2" s="1"/>
  <c r="CY7" i="2" s="1"/>
  <c r="CZ7" i="2" s="1"/>
  <c r="DA7" i="2" s="1"/>
  <c r="BN48" i="2"/>
  <c r="BN19" i="2"/>
  <c r="BN18" i="2"/>
  <c r="BN17" i="2"/>
  <c r="BN16" i="2"/>
  <c r="BM48" i="2"/>
  <c r="BM19" i="2"/>
  <c r="BM18" i="2"/>
  <c r="BM17" i="2"/>
  <c r="BM16" i="2"/>
  <c r="BO48" i="2"/>
  <c r="BO19" i="2"/>
  <c r="BO18" i="2"/>
  <c r="BO17" i="2"/>
  <c r="BO16" i="2"/>
  <c r="BQ48" i="2"/>
  <c r="BQ19" i="2"/>
  <c r="BQ18" i="2"/>
  <c r="BQ17" i="2"/>
  <c r="BQ16" i="2"/>
  <c r="CR5" i="2"/>
  <c r="CS5" i="2" s="1"/>
  <c r="CT5" i="2" s="1"/>
  <c r="CU5" i="2" s="1"/>
  <c r="CV5" i="2" s="1"/>
  <c r="CW5" i="2" s="1"/>
  <c r="CX5" i="2" s="1"/>
  <c r="CY5" i="2" s="1"/>
  <c r="CZ5" i="2" s="1"/>
  <c r="DA5" i="2" s="1"/>
  <c r="BR48" i="2"/>
  <c r="BR19" i="2"/>
  <c r="BR18" i="2"/>
  <c r="BR17" i="2"/>
  <c r="BR16" i="2"/>
  <c r="BK48" i="2"/>
  <c r="BK19" i="2"/>
  <c r="BK18" i="2"/>
  <c r="BK17" i="2"/>
  <c r="BK16" i="2"/>
  <c r="BP48" i="2"/>
  <c r="BP19" i="2"/>
  <c r="BP18" i="2"/>
  <c r="BP17" i="2"/>
  <c r="BP16" i="2"/>
  <c r="BL48" i="2"/>
  <c r="BL17" i="2"/>
  <c r="BL16" i="2"/>
  <c r="BL18" i="2"/>
  <c r="BL19" i="2"/>
  <c r="BB74" i="2"/>
  <c r="BJ74" i="2"/>
  <c r="BR74" i="2"/>
  <c r="BC74" i="2"/>
  <c r="BC86" i="2" s="1"/>
  <c r="BK74" i="2"/>
  <c r="BK86" i="2" s="1"/>
  <c r="BS74" i="2"/>
  <c r="BS19" i="2"/>
  <c r="BS18" i="2"/>
  <c r="BQ14" i="2"/>
  <c r="CP8" i="2"/>
  <c r="CP48" i="2" s="1"/>
  <c r="BE74" i="2"/>
  <c r="BO14" i="2"/>
  <c r="BM74" i="2"/>
  <c r="BP14" i="2"/>
  <c r="BS14" i="2"/>
  <c r="BR14" i="2"/>
  <c r="BD74" i="2"/>
  <c r="BL74" i="2"/>
  <c r="CR4" i="2"/>
  <c r="CR6" i="2"/>
  <c r="CS6" i="2" s="1"/>
  <c r="CT6" i="2" s="1"/>
  <c r="CU6" i="2" s="1"/>
  <c r="CV6" i="2" s="1"/>
  <c r="CW6" i="2" s="1"/>
  <c r="CX6" i="2" s="1"/>
  <c r="CY6" i="2" s="1"/>
  <c r="CZ6" i="2" s="1"/>
  <c r="DA6" i="2" s="1"/>
  <c r="BS17" i="2"/>
  <c r="BF74" i="2"/>
  <c r="BN74" i="2"/>
  <c r="AY74" i="2"/>
  <c r="AY86" i="2" s="1"/>
  <c r="BG74" i="2"/>
  <c r="BG86" i="2" s="1"/>
  <c r="AZ74" i="2"/>
  <c r="BH74" i="2"/>
  <c r="BP74" i="2"/>
  <c r="BA74" i="2"/>
  <c r="BI74" i="2"/>
  <c r="BQ74" i="2"/>
  <c r="CQ8" i="2"/>
  <c r="CQ19" i="2" s="1"/>
  <c r="BS16" i="2"/>
  <c r="BP78" i="2" l="1"/>
  <c r="BP86" i="2"/>
  <c r="CP19" i="2"/>
  <c r="CP18" i="2"/>
  <c r="BM78" i="2"/>
  <c r="BM86" i="2"/>
  <c r="BL78" i="2"/>
  <c r="BL86" i="2"/>
  <c r="BD78" i="2"/>
  <c r="BD86" i="2"/>
  <c r="AX80" i="2"/>
  <c r="AX87" i="2"/>
  <c r="AV80" i="2"/>
  <c r="AV87" i="2"/>
  <c r="CQ14" i="2"/>
  <c r="CQ48" i="2"/>
  <c r="BE78" i="2"/>
  <c r="BE86" i="2"/>
  <c r="BR78" i="2"/>
  <c r="BR86" i="2"/>
  <c r="CQ16" i="2"/>
  <c r="BH78" i="2"/>
  <c r="BH86" i="2"/>
  <c r="BN78" i="2"/>
  <c r="BN86" i="2"/>
  <c r="BJ78" i="2"/>
  <c r="BJ86" i="2"/>
  <c r="AZ78" i="2"/>
  <c r="AZ86" i="2"/>
  <c r="BF78" i="2"/>
  <c r="BF86" i="2"/>
  <c r="BB78" i="2"/>
  <c r="BB86" i="2"/>
  <c r="CQ18" i="2"/>
  <c r="BQ78" i="2"/>
  <c r="BQ86" i="2"/>
  <c r="BI78" i="2"/>
  <c r="BI86" i="2"/>
  <c r="BA78" i="2"/>
  <c r="BA86" i="2"/>
  <c r="CK123" i="2"/>
  <c r="CK88" i="2"/>
  <c r="CQ17" i="2"/>
  <c r="AW80" i="2"/>
  <c r="AW87" i="2"/>
  <c r="CP17" i="2"/>
  <c r="BG78" i="2"/>
  <c r="BG87" i="2" s="1"/>
  <c r="CO74" i="2"/>
  <c r="CO86" i="2" s="1"/>
  <c r="BK78" i="2"/>
  <c r="BK87" i="2" s="1"/>
  <c r="CP74" i="2"/>
  <c r="CP86" i="2" s="1"/>
  <c r="AY78" i="2"/>
  <c r="AY87" i="2" s="1"/>
  <c r="CM74" i="2"/>
  <c r="CM86" i="2" s="1"/>
  <c r="AU80" i="2"/>
  <c r="AU88" i="2" s="1"/>
  <c r="CL78" i="2"/>
  <c r="CL87" i="2" s="1"/>
  <c r="BC78" i="2"/>
  <c r="BC87" i="2" s="1"/>
  <c r="CN74" i="2"/>
  <c r="CN86" i="2" s="1"/>
  <c r="BS78" i="2"/>
  <c r="BS86" i="2"/>
  <c r="CR8" i="2"/>
  <c r="CS4" i="2"/>
  <c r="BO74" i="2"/>
  <c r="BO86" i="2" s="1"/>
  <c r="BS80" i="2" l="1"/>
  <c r="BS87" i="2"/>
  <c r="BA80" i="2"/>
  <c r="BA87" i="2"/>
  <c r="BL80" i="2"/>
  <c r="BL87" i="2"/>
  <c r="BI80" i="2"/>
  <c r="BI87" i="2"/>
  <c r="AW88" i="2"/>
  <c r="AW82" i="2"/>
  <c r="AW123" i="2"/>
  <c r="AZ80" i="2"/>
  <c r="AZ87" i="2"/>
  <c r="BM80" i="2"/>
  <c r="BM87" i="2"/>
  <c r="BF80" i="2"/>
  <c r="BF87" i="2"/>
  <c r="BQ80" i="2"/>
  <c r="BQ87" i="2"/>
  <c r="BR80" i="2"/>
  <c r="BR87" i="2"/>
  <c r="AX88" i="2"/>
  <c r="AX82" i="2"/>
  <c r="AX123" i="2"/>
  <c r="AV88" i="2"/>
  <c r="AV82" i="2"/>
  <c r="AV123" i="2"/>
  <c r="BJ80" i="2"/>
  <c r="BJ87" i="2"/>
  <c r="BH80" i="2"/>
  <c r="BH87" i="2"/>
  <c r="BE80" i="2"/>
  <c r="BE87" i="2"/>
  <c r="BB80" i="2"/>
  <c r="BB87" i="2"/>
  <c r="BN80" i="2"/>
  <c r="BN87" i="2"/>
  <c r="BD80" i="2"/>
  <c r="BD87" i="2"/>
  <c r="BP80" i="2"/>
  <c r="BP87" i="2"/>
  <c r="CR14" i="2"/>
  <c r="CR70" i="2"/>
  <c r="BK80" i="2"/>
  <c r="CP78" i="2"/>
  <c r="CP87" i="2" s="1"/>
  <c r="BO78" i="2"/>
  <c r="BO87" i="2" s="1"/>
  <c r="CQ74" i="2"/>
  <c r="CQ86" i="2" s="1"/>
  <c r="BG80" i="2"/>
  <c r="CO78" i="2"/>
  <c r="CO87" i="2" s="1"/>
  <c r="BC80" i="2"/>
  <c r="BC88" i="2" s="1"/>
  <c r="CN78" i="2"/>
  <c r="CN87" i="2" s="1"/>
  <c r="AY80" i="2"/>
  <c r="AY88" i="2" s="1"/>
  <c r="CM78" i="2"/>
  <c r="CM87" i="2" s="1"/>
  <c r="BS82" i="2"/>
  <c r="BS123" i="2"/>
  <c r="AU82" i="2"/>
  <c r="CL82" i="2" s="1"/>
  <c r="CL80" i="2"/>
  <c r="AU123" i="2"/>
  <c r="CT4" i="2"/>
  <c r="CS8" i="2"/>
  <c r="BF121" i="2" l="1"/>
  <c r="BF120" i="2"/>
  <c r="BF88" i="2"/>
  <c r="BF82" i="2"/>
  <c r="BF123" i="2"/>
  <c r="BE88" i="2"/>
  <c r="BE123" i="2"/>
  <c r="BE82" i="2"/>
  <c r="BD88" i="2"/>
  <c r="BD82" i="2"/>
  <c r="BD123" i="2"/>
  <c r="BM120" i="2"/>
  <c r="BM121" i="2"/>
  <c r="BM88" i="2"/>
  <c r="BM123" i="2"/>
  <c r="BM82" i="2"/>
  <c r="BL121" i="2"/>
  <c r="BL120" i="2"/>
  <c r="BL88" i="2"/>
  <c r="BL123" i="2"/>
  <c r="BL82" i="2"/>
  <c r="BG120" i="2"/>
  <c r="BG121" i="2"/>
  <c r="BG88" i="2"/>
  <c r="BI120" i="2"/>
  <c r="BI121" i="2"/>
  <c r="BI88" i="2"/>
  <c r="BI123" i="2"/>
  <c r="BI82" i="2"/>
  <c r="BH120" i="2"/>
  <c r="BH121" i="2"/>
  <c r="BH88" i="2"/>
  <c r="BH82" i="2"/>
  <c r="BH123" i="2"/>
  <c r="BJ121" i="2"/>
  <c r="BJ120" i="2"/>
  <c r="BJ88" i="2"/>
  <c r="BJ123" i="2"/>
  <c r="BJ82" i="2"/>
  <c r="BR121" i="2"/>
  <c r="BR120" i="2"/>
  <c r="BR88" i="2"/>
  <c r="BR123" i="2"/>
  <c r="BR82" i="2"/>
  <c r="AZ88" i="2"/>
  <c r="AZ82" i="2"/>
  <c r="AZ123" i="2"/>
  <c r="BA88" i="2"/>
  <c r="BA82" i="2"/>
  <c r="BA123" i="2"/>
  <c r="BP120" i="2"/>
  <c r="BP121" i="2"/>
  <c r="BP88" i="2"/>
  <c r="BP82" i="2"/>
  <c r="BP123" i="2"/>
  <c r="BN120" i="2"/>
  <c r="BN121" i="2"/>
  <c r="BN88" i="2"/>
  <c r="BN82" i="2"/>
  <c r="BN123" i="2"/>
  <c r="BB88" i="2"/>
  <c r="BB123" i="2"/>
  <c r="BB82" i="2"/>
  <c r="BQ120" i="2"/>
  <c r="BQ121" i="2"/>
  <c r="BQ88" i="2"/>
  <c r="BQ82" i="2"/>
  <c r="BQ123" i="2"/>
  <c r="BK121" i="2"/>
  <c r="BK120" i="2"/>
  <c r="BK88" i="2"/>
  <c r="CL123" i="2"/>
  <c r="CL88" i="2"/>
  <c r="BS121" i="2"/>
  <c r="BS120" i="2"/>
  <c r="BS88" i="2"/>
  <c r="CR73" i="2"/>
  <c r="CR72" i="2"/>
  <c r="CR74" i="2" s="1"/>
  <c r="CR71" i="2"/>
  <c r="CS14" i="2"/>
  <c r="CS70" i="2"/>
  <c r="BC82" i="2"/>
  <c r="BC123" i="2"/>
  <c r="CN80" i="2"/>
  <c r="BG82" i="2"/>
  <c r="BG123" i="2"/>
  <c r="CO80" i="2"/>
  <c r="BO80" i="2"/>
  <c r="CQ78" i="2"/>
  <c r="CQ87" i="2" s="1"/>
  <c r="AY82" i="2"/>
  <c r="AY123" i="2"/>
  <c r="CM80" i="2"/>
  <c r="BK82" i="2"/>
  <c r="CP80" i="2"/>
  <c r="BK123" i="2"/>
  <c r="CT8" i="2"/>
  <c r="CU4" i="2"/>
  <c r="BO120" i="2" l="1"/>
  <c r="BO121" i="2"/>
  <c r="BO88" i="2"/>
  <c r="CR78" i="2"/>
  <c r="CR79" i="2" s="1"/>
  <c r="CR80" i="2" s="1"/>
  <c r="CR90" i="2" s="1"/>
  <c r="CS77" i="2" s="1"/>
  <c r="DH92" i="2"/>
  <c r="DH93" i="2" s="1"/>
  <c r="CO82" i="2"/>
  <c r="CN123" i="2"/>
  <c r="CN120" i="2"/>
  <c r="CN88" i="2"/>
  <c r="CN121" i="2"/>
  <c r="CP123" i="2"/>
  <c r="CP120" i="2"/>
  <c r="CP88" i="2"/>
  <c r="CP121" i="2"/>
  <c r="CP82" i="2"/>
  <c r="CO123" i="2"/>
  <c r="CO121" i="2"/>
  <c r="CO120" i="2"/>
  <c r="CO88" i="2"/>
  <c r="CM123" i="2"/>
  <c r="CM88" i="2"/>
  <c r="CM82" i="2"/>
  <c r="CN82" i="2"/>
  <c r="CS73" i="2"/>
  <c r="CS72" i="2"/>
  <c r="CS71" i="2"/>
  <c r="CT14" i="2"/>
  <c r="CT70" i="2"/>
  <c r="BO82" i="2"/>
  <c r="CQ82" i="2" s="1"/>
  <c r="BO123" i="2"/>
  <c r="CQ80" i="2"/>
  <c r="CV4" i="2"/>
  <c r="CU8" i="2"/>
  <c r="CQ123" i="2" l="1"/>
  <c r="CQ121" i="2"/>
  <c r="CQ88" i="2"/>
  <c r="CQ120" i="2"/>
  <c r="CU14" i="2"/>
  <c r="CU70" i="2"/>
  <c r="CT72" i="2"/>
  <c r="CT71" i="2"/>
  <c r="CT73" i="2"/>
  <c r="CS74" i="2"/>
  <c r="CS78" i="2" s="1"/>
  <c r="CS79" i="2" s="1"/>
  <c r="CS80" i="2" s="1"/>
  <c r="CW4" i="2"/>
  <c r="CV8" i="2"/>
  <c r="CS90" i="2" l="1"/>
  <c r="CT77" i="2" s="1"/>
  <c r="CV14" i="2"/>
  <c r="CV70" i="2"/>
  <c r="CT74" i="2"/>
  <c r="CU73" i="2"/>
  <c r="CU72" i="2"/>
  <c r="CU71" i="2"/>
  <c r="CW8" i="2"/>
  <c r="CX4" i="2"/>
  <c r="S240" i="3"/>
  <c r="DK94" i="2" s="1"/>
  <c r="G221" i="3"/>
  <c r="O221" i="3"/>
  <c r="C5" i="1"/>
  <c r="DF95" i="2" s="1"/>
  <c r="S234" i="3" l="1"/>
  <c r="S235" i="3"/>
  <c r="S238" i="3"/>
  <c r="S239" i="3" s="1"/>
  <c r="S237" i="3"/>
  <c r="S236" i="3"/>
  <c r="DF97" i="2"/>
  <c r="DF96" i="2"/>
  <c r="CU74" i="2"/>
  <c r="CV72" i="2"/>
  <c r="CV71" i="2"/>
  <c r="CV73" i="2"/>
  <c r="CW14" i="2"/>
  <c r="CW70" i="2"/>
  <c r="CT78" i="2"/>
  <c r="CT79" i="2" s="1"/>
  <c r="CT80" i="2" s="1"/>
  <c r="CX8" i="2"/>
  <c r="CY4" i="2"/>
  <c r="C8" i="1"/>
  <c r="U287" i="3" l="1"/>
  <c r="U327" i="3"/>
  <c r="U295" i="3"/>
  <c r="U292" i="3"/>
  <c r="U277" i="3"/>
  <c r="U266" i="3"/>
  <c r="U298" i="3"/>
  <c r="U281" i="3"/>
  <c r="U328" i="3"/>
  <c r="U264" i="3"/>
  <c r="U286" i="3"/>
  <c r="U326" i="3"/>
  <c r="U323" i="3"/>
  <c r="U246" i="3"/>
  <c r="U269" i="3"/>
  <c r="U268" i="3"/>
  <c r="U282" i="3"/>
  <c r="U273" i="3"/>
  <c r="U320" i="3"/>
  <c r="U256" i="3"/>
  <c r="U300" i="3"/>
  <c r="U310" i="3"/>
  <c r="U307" i="3"/>
  <c r="U325" i="3"/>
  <c r="U261" i="3"/>
  <c r="U275" i="3"/>
  <c r="U258" i="3"/>
  <c r="U265" i="3"/>
  <c r="U312" i="3"/>
  <c r="U248" i="3"/>
  <c r="U270" i="3"/>
  <c r="U294" i="3"/>
  <c r="U319" i="3"/>
  <c r="U253" i="3"/>
  <c r="U259" i="3"/>
  <c r="U257" i="3"/>
  <c r="U304" i="3"/>
  <c r="U279" i="3"/>
  <c r="U262" i="3"/>
  <c r="U315" i="3"/>
  <c r="U303" i="3"/>
  <c r="U309" i="3"/>
  <c r="U251" i="3"/>
  <c r="U249" i="3"/>
  <c r="U271" i="3"/>
  <c r="U297" i="3"/>
  <c r="U280" i="3"/>
  <c r="U284" i="3"/>
  <c r="U306" i="3"/>
  <c r="U272" i="3"/>
  <c r="U317" i="3"/>
  <c r="U321" i="3"/>
  <c r="U318" i="3"/>
  <c r="U276" i="3"/>
  <c r="U313" i="3"/>
  <c r="U296" i="3"/>
  <c r="U254" i="3"/>
  <c r="U314" i="3"/>
  <c r="U255" i="3"/>
  <c r="U311" i="3"/>
  <c r="U285" i="3"/>
  <c r="U289" i="3"/>
  <c r="U247" i="3"/>
  <c r="U299" i="3"/>
  <c r="U308" i="3"/>
  <c r="U290" i="3"/>
  <c r="U301" i="3"/>
  <c r="U252" i="3"/>
  <c r="U322" i="3"/>
  <c r="U305" i="3"/>
  <c r="U260" i="3"/>
  <c r="U288" i="3"/>
  <c r="U263" i="3"/>
  <c r="U302" i="3"/>
  <c r="U291" i="3"/>
  <c r="U316" i="3"/>
  <c r="U293" i="3"/>
  <c r="U283" i="3"/>
  <c r="U274" i="3"/>
  <c r="U324" i="3"/>
  <c r="U267" i="3"/>
  <c r="U250" i="3"/>
  <c r="U278" i="3"/>
  <c r="U329" i="3"/>
  <c r="U245" i="3"/>
  <c r="X256" i="3"/>
  <c r="CT90" i="2"/>
  <c r="CU77" i="2" s="1"/>
  <c r="CU78" i="2" s="1"/>
  <c r="CU79" i="2" s="1"/>
  <c r="CU80" i="2" s="1"/>
  <c r="CU90" i="2" s="1"/>
  <c r="CV77" i="2" s="1"/>
  <c r="CW71" i="2"/>
  <c r="CW73" i="2"/>
  <c r="CW72" i="2"/>
  <c r="CV74" i="2"/>
  <c r="CX14" i="2"/>
  <c r="CX70" i="2"/>
  <c r="CY8" i="2"/>
  <c r="CZ4" i="2"/>
  <c r="X246" i="3"/>
  <c r="X245" i="3"/>
  <c r="X248" i="3"/>
  <c r="X255" i="3"/>
  <c r="X247" i="3"/>
  <c r="X258" i="3"/>
  <c r="X254" i="3"/>
  <c r="X250" i="3"/>
  <c r="X253" i="3"/>
  <c r="X257" i="3"/>
  <c r="X252" i="3"/>
  <c r="X249" i="3"/>
  <c r="X251" i="3"/>
  <c r="CW74" i="2" l="1"/>
  <c r="CX71" i="2"/>
  <c r="CX72" i="2"/>
  <c r="CX73" i="2"/>
  <c r="CY14" i="2"/>
  <c r="CY70" i="2"/>
  <c r="CV78" i="2"/>
  <c r="CV79" i="2" s="1"/>
  <c r="CV80" i="2" s="1"/>
  <c r="CZ8" i="2"/>
  <c r="DA4" i="2"/>
  <c r="DA8" i="2" s="1"/>
  <c r="DA70" i="2" s="1"/>
  <c r="CX74" i="2" l="1"/>
  <c r="CZ14" i="2"/>
  <c r="CZ70" i="2"/>
  <c r="CY73" i="2"/>
  <c r="CY72" i="2"/>
  <c r="CY71" i="2"/>
  <c r="CV90" i="2"/>
  <c r="CW77" i="2" s="1"/>
  <c r="CW78" i="2" s="1"/>
  <c r="CW79" i="2" s="1"/>
  <c r="CW80" i="2" s="1"/>
  <c r="CW90" i="2" s="1"/>
  <c r="CX77" i="2" s="1"/>
  <c r="DA73" i="2"/>
  <c r="DA72" i="2"/>
  <c r="DA71" i="2"/>
  <c r="DA14" i="2"/>
  <c r="CX78" i="2" l="1"/>
  <c r="CX79" i="2" s="1"/>
  <c r="CX80" i="2" s="1"/>
  <c r="CX90" i="2" s="1"/>
  <c r="CY77" i="2" s="1"/>
  <c r="CY74" i="2"/>
  <c r="DA74" i="2"/>
  <c r="CZ73" i="2"/>
  <c r="CZ72" i="2"/>
  <c r="CZ71" i="2"/>
  <c r="CY78" i="2" l="1"/>
  <c r="CY79" i="2" s="1"/>
  <c r="CY80" i="2" s="1"/>
  <c r="CY90" i="2" s="1"/>
  <c r="CZ77" i="2" s="1"/>
  <c r="CZ74" i="2"/>
  <c r="CZ78" i="2" l="1"/>
  <c r="CZ79" i="2" s="1"/>
  <c r="CZ80" i="2" s="1"/>
  <c r="CZ90" i="2" s="1"/>
  <c r="DA77" i="2" s="1"/>
  <c r="DA78" i="2" s="1"/>
  <c r="DA79" i="2" l="1"/>
  <c r="DA80" i="2" s="1"/>
  <c r="DB80" i="2" l="1"/>
  <c r="DC80" i="2" s="1"/>
  <c r="DD80" i="2" s="1"/>
  <c r="DE80" i="2" s="1"/>
  <c r="DF80" i="2" s="1"/>
  <c r="DG80" i="2" s="1"/>
  <c r="DH80" i="2" s="1"/>
  <c r="DI80" i="2" s="1"/>
  <c r="DJ80" i="2" s="1"/>
  <c r="DK80" i="2" s="1"/>
  <c r="DL80" i="2" s="1"/>
  <c r="DM80" i="2" s="1"/>
  <c r="DN80" i="2" s="1"/>
  <c r="DO80" i="2" s="1"/>
  <c r="DP80" i="2" s="1"/>
  <c r="DQ80" i="2" s="1"/>
  <c r="DR80" i="2" s="1"/>
  <c r="DS80" i="2" s="1"/>
  <c r="DT80" i="2" s="1"/>
  <c r="DU80" i="2" s="1"/>
  <c r="DV80" i="2" s="1"/>
  <c r="DW80" i="2" s="1"/>
  <c r="DX80" i="2" s="1"/>
  <c r="DY80" i="2" s="1"/>
  <c r="DZ80" i="2" s="1"/>
  <c r="EA80" i="2" s="1"/>
  <c r="EB80" i="2" s="1"/>
  <c r="EC80" i="2" s="1"/>
  <c r="ED80" i="2" s="1"/>
  <c r="EE80" i="2" s="1"/>
  <c r="EF80" i="2" s="1"/>
  <c r="EG80" i="2" s="1"/>
  <c r="EH80" i="2" s="1"/>
  <c r="EI80" i="2" s="1"/>
  <c r="EJ80" i="2" s="1"/>
  <c r="EK80" i="2" s="1"/>
  <c r="EL80" i="2" s="1"/>
  <c r="EM80" i="2" s="1"/>
  <c r="EN80" i="2" s="1"/>
  <c r="EO80" i="2" s="1"/>
  <c r="EP80" i="2" s="1"/>
  <c r="EQ80" i="2" s="1"/>
  <c r="ER80" i="2" s="1"/>
  <c r="ES80" i="2" s="1"/>
  <c r="ET80" i="2" s="1"/>
  <c r="EU80" i="2" s="1"/>
  <c r="EV80" i="2" s="1"/>
  <c r="EW80" i="2" s="1"/>
  <c r="EX80" i="2" s="1"/>
  <c r="EY80" i="2" s="1"/>
  <c r="DA90" i="2"/>
  <c r="DK92" i="2" l="1"/>
  <c r="DK93" i="2" s="1"/>
  <c r="DK95" i="2" s="1"/>
  <c r="DK97" i="2" s="1"/>
  <c r="DK99" i="2" s="1"/>
  <c r="DF104" i="2"/>
  <c r="DF111" i="2" s="1"/>
  <c r="DK101" i="2" l="1"/>
  <c r="DJ102" i="2" l="1" a="1"/>
  <c r="DL1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<sst xmlns="http://schemas.openxmlformats.org/spreadsheetml/2006/main" count="3344" uniqueCount="1781">
  <si>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</si>
  <si>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</si>
  <si>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</si>
  <si>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</si>
  <si>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</si>
  <si>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</si>
  <si>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</si>
  <si>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</si>
  <si>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</si>
  <si>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</si>
  <si>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</si>
  <si>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</si>
  <si>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</si>
  <si>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</si>
  <si>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</si>
  <si>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</si>
  <si>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</si>
  <si>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</si>
  <si>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</si>
  <si>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</si>
  <si>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</si>
  <si>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</si>
  <si>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</si>
  <si>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</si>
  <si>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</si>
  <si>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</si>
  <si>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</si>
  <si>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</si>
  <si>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</si>
  <si>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</si>
  <si>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</si>
  <si>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</si>
  <si>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</si>
  <si>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</si>
  <si>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</si>
  <si>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</si>
  <si>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</si>
  <si>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</si>
  <si>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</si>
  <si>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</si>
  <si>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</si>
  <si>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</si>
  <si>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</si>
  <si>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</si>
  <si>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</si>
  <si>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</si>
  <si>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</si>
  <si>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</si>
  <si>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</si>
  <si>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</si>
  <si>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</si>
  <si>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</si>
  <si>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</si>
  <si>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Revenues</t>
  </si>
  <si>
    <t>COGS</t>
  </si>
  <si>
    <t>GP</t>
  </si>
  <si>
    <t>Gross Profit Margin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</si>
  <si>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</si>
  <si>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</si>
  <si>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</si>
  <si>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</si>
  <si>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</si>
  <si>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</si>
  <si>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</si>
  <si>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</si>
  <si>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</si>
  <si>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</si>
  <si>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</si>
  <si>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</si>
  <si>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</si>
  <si>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</si>
  <si>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</si>
  <si>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</si>
  <si>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</si>
  <si>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</si>
  <si>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</si>
  <si>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</si>
  <si>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</si>
  <si>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</si>
  <si>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</si>
  <si>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</si>
  <si>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</si>
  <si>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</si>
  <si>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</si>
  <si>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</si>
  <si>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</si>
  <si>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</si>
  <si>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</si>
  <si>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</si>
  <si>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</si>
  <si>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</si>
  <si>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</si>
  <si>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</si>
  <si>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</si>
  <si>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</si>
  <si>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</si>
  <si>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</si>
  <si>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</si>
  <si>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</si>
  <si>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</si>
  <si>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</si>
  <si>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</si>
  <si>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</si>
  <si>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</si>
  <si>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</si>
  <si>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</si>
  <si>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</si>
  <si>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</si>
  <si>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</si>
  <si>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</si>
  <si>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</si>
  <si>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</si>
  <si>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</si>
  <si>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</si>
  <si>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</si>
  <si>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</si>
  <si>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</si>
  <si>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</si>
  <si>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</si>
  <si>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</si>
  <si>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</si>
  <si>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</si>
  <si>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</si>
  <si>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</si>
  <si>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</si>
  <si>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</si>
  <si>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</si>
  <si>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</si>
  <si>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</si>
  <si>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</si>
  <si>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</si>
  <si>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</si>
  <si>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</si>
  <si>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</si>
  <si>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</si>
  <si>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</si>
  <si>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</si>
  <si>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</si>
  <si>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</si>
  <si>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</si>
  <si>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</si>
  <si>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LMT</t>
  </si>
  <si>
    <t>https://www.sec.gov/edgar/browse/?CIK=936468&amp;owner=exclude</t>
  </si>
  <si>
    <t>https://stockanalysis.com/stocks/lmt/company/</t>
  </si>
  <si>
    <t>https://www.lockheedmartin.com/</t>
  </si>
  <si>
    <t>https://investors.lockheedmartin.com/</t>
  </si>
  <si>
    <t>https://www.investing.com/equities/boeing-co-news#transcripts</t>
  </si>
  <si>
    <t>https://www.macrotrends.net/stocks/charts/LMT/lockheed-martin/income-statement</t>
  </si>
  <si>
    <t>https://www.gurufocus.com/term/wacc/LMT</t>
  </si>
  <si>
    <t>Lockheed Martin Corporation, an aerospace and defense company, engages in the research, design, development, manufacture, integration, and sustainment of technology systems, products, and services</t>
  </si>
  <si>
    <t>Lockheed Martin Corporation (LMT)</t>
  </si>
  <si>
    <t>Founder(s): Lockheed Corporation and Martin Marietta (Merger)</t>
  </si>
  <si>
    <t>Founded: 1912</t>
  </si>
  <si>
    <t>Headquarters: Bethesda, MD</t>
  </si>
  <si>
    <t>Current CEO: James Taiclet</t>
  </si>
  <si>
    <t>Employees: 123,000</t>
  </si>
  <si>
    <t>Sector: Industrials</t>
  </si>
  <si>
    <t xml:space="preserve">Industry: Aerospace &amp; Defense </t>
  </si>
  <si>
    <t xml:space="preserve">IPO: </t>
  </si>
  <si>
    <t>Fiscal Year: [January - December]</t>
  </si>
  <si>
    <t>Registered Exchange: NYSE</t>
  </si>
  <si>
    <t>Address: 6801 Rockledge Drive, Bethesda, MD 20817 US</t>
  </si>
  <si>
    <t>(301) 897 - 6000</t>
  </si>
  <si>
    <t>The Company operates through four segments: Aeronautics; Missiles and Fire Control (MFC); Rotary and Mission Systems (RMS); and Space</t>
  </si>
  <si>
    <t>The MFC segment provides air and missile defense systems; tactical missiles and precision strike weapon systems; logistics; fire control systems; mission operations support, readiness, engineering support, and integration services; and ground vehicles</t>
  </si>
  <si>
    <t>The RMS segment offers military and commercial helicopters, surface ships, sea- and land-based missile defense systems, radar and laser systems, sea- and air-based mission and combat systems, command and control mission solutions, cyber solutions, simulation and training solutions, and services and support for surface ships</t>
  </si>
  <si>
    <t>The Space segment provides satellites; space transportation systems; strategic, advanced strike, and defensive systems; and classified systems and services in support of national security systems</t>
  </si>
  <si>
    <t>This segment also provides network-enabled situational awareness; and integrates space and ground global systems to help its customers gather, analyze, and securely distribute critical intelligence data</t>
  </si>
  <si>
    <t>The Company serves customers in the United States, Europe, Asia, the Middle East, and internationally … It primarily serves the U.S. government and international customers, as well as foreign military sales contracted through the U.S. government</t>
  </si>
  <si>
    <t>The Company was formerly known as The Lockheed Corporation and changed its name to Lockheed Martin Corporation in March 1995</t>
  </si>
  <si>
    <t>Lockheed Martin Corporation was founded in 1912 and is based in Bethesda, Maryland</t>
  </si>
  <si>
    <t>Aeronautics</t>
  </si>
  <si>
    <t>Missles &amp; Fire Control</t>
  </si>
  <si>
    <t>Rotary &amp; Mission Control</t>
  </si>
  <si>
    <t>Space</t>
  </si>
  <si>
    <t>Aeronautics Growth Y/y</t>
  </si>
  <si>
    <t>Missles &amp; Fire Control Growth Y/y</t>
  </si>
  <si>
    <t>Rotary &amp; Mission Control Growth Y/y</t>
  </si>
  <si>
    <t>Space Growth Y/y</t>
  </si>
  <si>
    <t>Aeronautics % of Ttl Revenues</t>
  </si>
  <si>
    <t>Missles &amp; Fire Control % of Ttl Revenues</t>
  </si>
  <si>
    <t>Rotary &amp; Mission Control % of Ttl Revenues</t>
  </si>
  <si>
    <t>Space % of Ttl Revenues</t>
  </si>
  <si>
    <t>Europe Revenues</t>
  </si>
  <si>
    <t>APAC Revenues</t>
  </si>
  <si>
    <t>Mid-East Revenues</t>
  </si>
  <si>
    <t>Other</t>
  </si>
  <si>
    <t>U.S. Revenues Growth Y/y</t>
  </si>
  <si>
    <t>Europe Revenues Growth Y/y</t>
  </si>
  <si>
    <t>APAC Revenues Growth Y/y</t>
  </si>
  <si>
    <t>Mid-East Revenues Growth Y/y</t>
  </si>
  <si>
    <t>Other Growth Y/y</t>
  </si>
  <si>
    <t>U.S. Revenues % of Revenues</t>
  </si>
  <si>
    <t>Europe Revenues % of Revenues</t>
  </si>
  <si>
    <t>APAC Revenues % of Revenues</t>
  </si>
  <si>
    <t>Mid-East Revenues % of Revenues</t>
  </si>
  <si>
    <t>Other % of Revenues</t>
  </si>
  <si>
    <t>Ttl Costs</t>
  </si>
  <si>
    <t>Ttl Cost Growth Y/y</t>
  </si>
  <si>
    <t>Aeronautics Operating Profit</t>
  </si>
  <si>
    <t>Missles &amp; Fire Control Operating Profit</t>
  </si>
  <si>
    <t>Rotary &amp; Mission Control Operating Profit</t>
  </si>
  <si>
    <t>Space Operating Profit</t>
  </si>
  <si>
    <t>Aeronautics % of Ttl Operating Costs</t>
  </si>
  <si>
    <t>Missles &amp; Fire Control % of Operating Costs</t>
  </si>
  <si>
    <t>Rotary &amp; Mission Control % of Operating Costs</t>
  </si>
  <si>
    <t>Space % of Operating Costs</t>
  </si>
  <si>
    <t>Aeronautics Operating Margin %</t>
  </si>
  <si>
    <t>Missles &amp; Fire Control Operating Margin %</t>
  </si>
  <si>
    <t>Rotary &amp; Mission Control Operating Margin %</t>
  </si>
  <si>
    <t>Space Operating Margin %</t>
  </si>
  <si>
    <t>Ttl Operating Margin %</t>
  </si>
  <si>
    <t>Other Income (Expenses)</t>
  </si>
  <si>
    <t>Operating Profit</t>
  </si>
  <si>
    <t>Interest Expenses</t>
  </si>
  <si>
    <t>Non-Services FAS Pension Expenses</t>
  </si>
  <si>
    <t>Other Non-Operating Income</t>
  </si>
  <si>
    <t>Pretax Income</t>
  </si>
  <si>
    <t>Taxes</t>
  </si>
  <si>
    <t>A/R</t>
  </si>
  <si>
    <t>ST Contract Assets</t>
  </si>
  <si>
    <t>Inventories</t>
  </si>
  <si>
    <t>Other ST Assets</t>
  </si>
  <si>
    <t>PP&amp;E</t>
  </si>
  <si>
    <t>Goodwill</t>
  </si>
  <si>
    <t>Intangibles</t>
  </si>
  <si>
    <t>Deferred Income Taxes</t>
  </si>
  <si>
    <t>Other LT Assets</t>
  </si>
  <si>
    <t>A/P</t>
  </si>
  <si>
    <t>ST Salaries Liabilities</t>
  </si>
  <si>
    <t>ST Contract Liabilities</t>
  </si>
  <si>
    <t>Other ST Liabilities</t>
  </si>
  <si>
    <t>ST Debt</t>
  </si>
  <si>
    <t>LT Debt</t>
  </si>
  <si>
    <t>LT Pension Liabilities</t>
  </si>
  <si>
    <t>Other LT Liabilities</t>
  </si>
  <si>
    <t>F-35 Lightning II – international multi-role, multi-variant, fifth generation stealth fighter</t>
  </si>
  <si>
    <t>The Aeronautics segment is engaged in the research, design, development, manufacture, integration, sustainment, support and upgrade of advanced military aircraft … offers combat and air mobility aircraft, unmanned air vehicles, and related technologies</t>
  </si>
  <si>
    <t>F-16 Fighting Falcon – combat-proven, international multi-role fighter</t>
  </si>
  <si>
    <t>F-22 Raptor – air dominance and multi-role fifth generation stealth fighter</t>
  </si>
  <si>
    <t>The F-35 program consists of multiple development, production and sustainment contracts …. F-35 is The Company's largest program, generating 26% of our total consolidated net sales, as well as 65% of Aeronautics’ net sales in 2024</t>
  </si>
  <si>
    <t>Development is focused on modernization of F-35’s capability and addressing emerging threats. Sustainment provides logistics and training support for the aircraft delivered to F-35 customers</t>
  </si>
  <si>
    <t>Advanced Development Programs (ADP) organization, also known as Skunk Works®, is focused on future systems, including unmanned and manned aerial systems and next generation capabilities for air dominance, hypersonics, intelligence, surveillance, reconnaissance, situational awareness and air mobility</t>
  </si>
  <si>
    <t>The Special Operations Forces Global Logistics Support Services (SOF GLSS) program – provides logistics support services to the special operations forces of the U.S. military</t>
  </si>
  <si>
    <t>Hypersonics programs – includes several programs with the U.S. Air Force and U.S. Army to design, develop and build hypersonic strike weapons such as the Dark Eagle strike platform</t>
  </si>
  <si>
    <t>C-5M Super Galaxy – a massive strategic heavy-lifter undergoing extensive modernization and sustainment contracts for the U.S. Air Force</t>
  </si>
  <si>
    <t>The Javelin program –  a one-person portable and platform-employable anti-tank and multi-target precision weapon system. Javelin was developed and is currently produced for the U.S. Army and U.S. Marine Corps by a joint venture between Lockheed Martin and RTX Corporation</t>
  </si>
  <si>
    <t xml:space="preserve">CH-53K King Stallion –  </t>
  </si>
  <si>
    <t>C-130J Super Hercules – premier tactical airlifter used globally</t>
  </si>
  <si>
    <t>LM-100J – A commercial freighter variant of the Super Hercules designed for austere locations</t>
  </si>
  <si>
    <t xml:space="preserve">U-2 Dragon Lady – High-altitude, all-weather reconnaissance and surveillance aircraft </t>
  </si>
  <si>
    <t xml:space="preserve">MH-60 / SH-60 Seahawk – </t>
  </si>
  <si>
    <t xml:space="preserve">UH-60 Black Hawk / S-70 Black Hawk – </t>
  </si>
  <si>
    <t>S-76 &amp; S-92 – Commercial rotorcraft used for VIP transport, search and rescue, and offshore energy support</t>
  </si>
  <si>
    <t xml:space="preserve">Patriot Advanced Capability-3 (PAC-3) – an advanced defensive missile for the U.S. Army and international customers designed to intercept and eliminate incoming airborne threats using kinetic energy </t>
  </si>
  <si>
    <t>Terminal High Altitude Area Defense (THAAD) – a transportable defensive missile system for the U.S. Government and international customers designed to engage targets both within and outside of the Earth’s atmosphere</t>
  </si>
  <si>
    <t>Multiple Launch Rocket System (MLRS) – a highly mobile, automatic system that fires surface-to-surface rockets and missiles from the M270 and High Mobility Artillery Rocket System (HIMARS) platforms produced for the U.S. Army and international customers</t>
  </si>
  <si>
    <t>Precision Strike Missile (PrSM) – the next generation of precision strike surface-to-surface weapon systems that is compatible with the MLRS family of launchers in support of the U.S. Army</t>
  </si>
  <si>
    <t>Joint Air-to-Surface Standoff Missile (JASSM) – an air-to-ground missile launched from fixed-wing aircraft, which is produced for the U.S. Air Force and international customers</t>
  </si>
  <si>
    <t>Long Range Anti-Ship Missile (LRASM) – a precision guided anti-ship missile derived from JASSM and designed to interdict a variety of surface threats at very long range and produced for the U.S. Air Force, U.S. Navy, and international customers</t>
  </si>
  <si>
    <t>Hellfire tactical and strike missile programs – an air-to-ground missile used on rotary and fixed-wing aircraft, which is produced for the U.S. Army, Navy, Marine Corps and international customers</t>
  </si>
  <si>
    <t>Apache fire control system – provides weapons-targeting capability for the Apache helicopter for the U.S. Army and international customers</t>
  </si>
  <si>
    <t xml:space="preserve">Sniper Advanced Targeting Pod (SNIPER®) – a targeting system for several fixed-wing aircraft and is produced for the U.S. Air Force and international customers </t>
  </si>
  <si>
    <t>Infrared Search and Track (IRST21®) – provides long-range infrared detection and tracking of airborne threats and is used on several fixed-wing aircraft ... IRST21 is produced for the U.S. Air Force, the U.S. Navy, the National Guard and international customers</t>
  </si>
  <si>
    <t>Institutional Ownership Snapshot Q1'26</t>
  </si>
  <si>
    <t xml:space="preserve">Revenue Breakdown by Segment </t>
  </si>
  <si>
    <t>Q1 2026</t>
  </si>
  <si>
    <t>Ttl Business Operating Profit</t>
  </si>
  <si>
    <t>Other Op Income as % of Revenue</t>
  </si>
  <si>
    <t>Thu, 02 Jul 2026 00:00:00 GMT</t>
  </si>
  <si>
    <t>Wed, 01 Jul 2026 00:00:00 GMT</t>
  </si>
  <si>
    <t>Tue, 30 Jun 2026 00:00:00 GMT</t>
  </si>
  <si>
    <t>Mon, 29 Jun 2026 00:00:00 GMT</t>
  </si>
  <si>
    <t>Fri, 26 Jun 2026 00:00:00 GMT</t>
  </si>
  <si>
    <t>Thu, 25 Jun 2026 00:00:00 GMT</t>
  </si>
  <si>
    <t>Wed, 24 Jun 2026 00:00:00 GMT</t>
  </si>
  <si>
    <t>Tue, 23 Jun 2026 00:00:00 GMT</t>
  </si>
  <si>
    <t>Mon, 22 Jun 2026 00:00:00 GMT</t>
  </si>
  <si>
    <t>Thu, 18 Jun 2026 00:00:00 GMT</t>
  </si>
  <si>
    <t>Wed, 17 Jun 2026 00:00:00 GMT</t>
  </si>
  <si>
    <t>Tue, 16 Jun 2026 00:00:00 GMT</t>
  </si>
  <si>
    <t>Mon, 15 Jun 2026 00:00:00 GMT</t>
  </si>
  <si>
    <t>Fri, 12 Jun 2026 00:00:00 GMT</t>
  </si>
  <si>
    <t>Thu, 11 Jun 2026 00:00:00 GMT</t>
  </si>
  <si>
    <t>Wed, 10 Jun 2026 00:00:00 GMT</t>
  </si>
  <si>
    <t>Tue, 09 Jun 2026 00:00:00 GMT</t>
  </si>
  <si>
    <t>Mon, 08 Jun 2026 00:00:00 GMT</t>
  </si>
  <si>
    <t>Fri, 05 Jun 2026 00:00:00 GMT</t>
  </si>
  <si>
    <t>Thu, 04 Jun 2026 00:00:00 GMT</t>
  </si>
  <si>
    <t>Wed, 03 Jun 2026 00:00:00 GMT</t>
  </si>
  <si>
    <t>Tue, 02 Jun 2026 00:00:00 GMT</t>
  </si>
  <si>
    <t>Mon, 01 Jun 2026 00:00:00 GMT</t>
  </si>
  <si>
    <t>Fri, 29 May 2026 00:00:00 GMT</t>
  </si>
  <si>
    <t>Thu, 28 May 2026 00:00:00 GMT</t>
  </si>
  <si>
    <t>Wed, 27 May 2026 00:00:00 GMT</t>
  </si>
  <si>
    <t>Tue, 26 May 2026 00:00:00 GMT</t>
  </si>
  <si>
    <t>Fri, 22 May 2026 00:00:00 GMT</t>
  </si>
  <si>
    <t>Thu, 21 May 2026 00:00:00 GMT</t>
  </si>
  <si>
    <t>Wed, 20 May 2026 00:00:00 GMT</t>
  </si>
  <si>
    <t>Tue, 19 May 2026 00:00:00 GMT</t>
  </si>
  <si>
    <t>Mon, 18 May 2026 00:00:00 GMT</t>
  </si>
  <si>
    <t>Fri, 15 May 2026 00:00:00 GMT</t>
  </si>
  <si>
    <t>Thu, 14 May 2026 00:00:00 GMT</t>
  </si>
  <si>
    <t>Wed, 13 May 2026 00:00:00 GMT</t>
  </si>
  <si>
    <t>Tue, 12 May 2026 00:00:00 GMT</t>
  </si>
  <si>
    <t>Mon, 11 May 2026 00:00:00 GMT</t>
  </si>
  <si>
    <t>Fri, 08 May 2026 00:00:00 GMT</t>
  </si>
  <si>
    <t>Thu, 07 May 2026 00:00:00 GMT</t>
  </si>
  <si>
    <t>Wed, 06 May 2026 00:00:00 GMT</t>
  </si>
  <si>
    <t>Tue, 05 May 2026 00:00:00 GMT</t>
  </si>
  <si>
    <t>Mon, 04 May 2026 00:00:00 GMT</t>
  </si>
  <si>
    <t>Fri, 01 May 2026 00:00:00 GMT</t>
  </si>
  <si>
    <t>Thu, 30 Apr 2026 00:00:00 GMT</t>
  </si>
  <si>
    <t>Wed, 29 Apr 2026 00:00:00 GMT</t>
  </si>
  <si>
    <t>Tue, 28 Apr 2026 00:00:00 GMT</t>
  </si>
  <si>
    <t>Mon, 27 Apr 2026 00:00:00 GMT</t>
  </si>
  <si>
    <t>Fri, 24 Apr 2026 00:00:00 GMT</t>
  </si>
  <si>
    <t>Thu, 23 Apr 2026 00:00:00 GMT</t>
  </si>
  <si>
    <t>Wed, 22 Apr 2026 00:00:00 GMT</t>
  </si>
  <si>
    <t>Tue, 21 Apr 2026 00:00:00 GMT</t>
  </si>
  <si>
    <t>Mon, 20 Apr 2026 00:00:00 GMT</t>
  </si>
  <si>
    <t>Fri, 17 Apr 2026 00:00:00 GMT</t>
  </si>
  <si>
    <t>Thu, 16 Apr 2026 00:00:00 GMT</t>
  </si>
  <si>
    <t>Wed, 15 Apr 2026 00:00:00 GMT</t>
  </si>
  <si>
    <t>Tue, 14 Apr 2026 00:00:00 GMT</t>
  </si>
  <si>
    <t>Mon, 13 Apr 2026 00:00:00 GMT</t>
  </si>
  <si>
    <t>Fri, 10 Apr 2026 00:00:00 GMT</t>
  </si>
  <si>
    <t>Thu, 09 Apr 2026 00:00:00 GMT</t>
  </si>
  <si>
    <t>Wed, 08 Apr 2026 00:00:00 GMT</t>
  </si>
  <si>
    <t>Tue, 07 Apr 2026 00:00:00 GMT</t>
  </si>
  <si>
    <t>Mon, 06 Apr 2026 00:00:00 GMT</t>
  </si>
  <si>
    <t>Thu, 02 Apr 2026 00:00:00 GMT</t>
  </si>
  <si>
    <t>Wed, 01 Apr 2026 00:00:00 GMT</t>
  </si>
  <si>
    <t>Tue, 31 Mar 2026 00:00:00 GMT</t>
  </si>
  <si>
    <t>Mon, 30 Mar 2026 00:00:00 GMT</t>
  </si>
  <si>
    <t>Fri, 27 Mar 2026 00:00:00 GMT</t>
  </si>
  <si>
    <t>Thu, 26 Mar 2026 00:00:00 GMT</t>
  </si>
  <si>
    <t>Wed, 25 Mar 2026 00:00:00 GMT</t>
  </si>
  <si>
    <t>Tue, 24 Mar 2026 00:00:00 GMT</t>
  </si>
  <si>
    <t>Mon, 23 Mar 2026 00:00:00 GMT</t>
  </si>
  <si>
    <t>Fri, 20 Mar 2026 00:00:00 GMT</t>
  </si>
  <si>
    <t>Thu, 19 Mar 2026 00:00:00 GMT</t>
  </si>
  <si>
    <t>Wed, 18 Mar 2026 00:00:00 GMT</t>
  </si>
  <si>
    <t>Tue, 17 Mar 2026 00:00:00 GMT</t>
  </si>
  <si>
    <t>Mon, 16 Mar 2026 00:00:00 GMT</t>
  </si>
  <si>
    <t>Fri, 13 Mar 2026 00:00:00 GMT</t>
  </si>
  <si>
    <t>Thu, 12 Mar 2026 00:00:00 GMT</t>
  </si>
  <si>
    <t>Wed, 11 Mar 2026 00:00:00 GMT</t>
  </si>
  <si>
    <t>Tue, 10 Mar 2026 00:00:00 GMT</t>
  </si>
  <si>
    <t>Mon, 09 Mar 2026 00:00:00 GMT</t>
  </si>
  <si>
    <t>Fri, 06 Mar 2026 00:00:00 GMT</t>
  </si>
  <si>
    <t>Thu, 05 Mar 2026 00:00:00 GMT</t>
  </si>
  <si>
    <t>Wed, 04 Mar 2026 00:00:00 GMT</t>
  </si>
  <si>
    <t>Tue, 03 Mar 2026 00:00:00 GMT</t>
  </si>
  <si>
    <t>Mon, 02 Mar 2026 00:00:00 GMT</t>
  </si>
  <si>
    <t>Fri, 27 Feb 2026 00:00:00 GMT</t>
  </si>
  <si>
    <t>Thu, 26 Feb 2026 00:00:00 GMT</t>
  </si>
  <si>
    <t>Wed, 25 Feb 2026 00:00:00 GMT</t>
  </si>
  <si>
    <t>Tue, 24 Feb 2026 00:00:00 GMT</t>
  </si>
  <si>
    <t>Mon, 23 Feb 2026 00:00:00 GMT</t>
  </si>
  <si>
    <t>Fri, 20 Feb 2026 00:00:00 GMT</t>
  </si>
  <si>
    <t>Thu, 19 Feb 2026 00:00:00 GMT</t>
  </si>
  <si>
    <t>Wed, 18 Feb 2026 00:00:00 GMT</t>
  </si>
  <si>
    <t>Tue, 17 Feb 2026 00:00:00 GMT</t>
  </si>
  <si>
    <t>Fri, 13 Feb 2026 00:00:00 GMT</t>
  </si>
  <si>
    <t>Thu, 12 Feb 2026 00:00:00 GMT</t>
  </si>
  <si>
    <t>Wed, 11 Feb 2026 00:00:00 GMT</t>
  </si>
  <si>
    <t>Tue, 10 Feb 2026 00:00:00 GMT</t>
  </si>
  <si>
    <t>Mon, 09 Feb 2026 00:00:00 GMT</t>
  </si>
  <si>
    <t>Fri, 06 Feb 2026 00:00:00 GMT</t>
  </si>
  <si>
    <t>Thu, 05 Feb 2026 00:00:00 GMT</t>
  </si>
  <si>
    <t>Wed, 04 Feb 2026 00:00:00 GMT</t>
  </si>
  <si>
    <t>Tue, 03 Feb 2026 00:00:00 GMT</t>
  </si>
  <si>
    <t>Mon, 02 Feb 2026 00:00:00 GMT</t>
  </si>
  <si>
    <t>Fri, 30 Jan 2026 00:00:00 GMT</t>
  </si>
  <si>
    <t>Thu, 29 Jan 2026 00:00:00 GMT</t>
  </si>
  <si>
    <t>Wed, 28 Jan 2026 00:00:00 GMT</t>
  </si>
  <si>
    <t>Tue, 27 Jan 2026 00:00:00 GMT</t>
  </si>
  <si>
    <t>Mon, 26 Jan 2026 00:00:00 GMT</t>
  </si>
  <si>
    <t>Fri, 23 Jan 2026 00:00:00 GMT</t>
  </si>
  <si>
    <t>Thu, 22 Jan 2026 00:00:00 GMT</t>
  </si>
  <si>
    <t>Wed, 21 Jan 2026 00:00:00 GMT</t>
  </si>
  <si>
    <t>Tue, 20 Jan 2026 00:00:00 GMT</t>
  </si>
  <si>
    <t>Fri, 16 Jan 2026 00:00:00 GMT</t>
  </si>
  <si>
    <t>Thu, 15 Jan 2026 00:00:00 GMT</t>
  </si>
  <si>
    <t>Wed, 14 Jan 2026 00:00:00 GMT</t>
  </si>
  <si>
    <t>Tue, 13 Jan 2026 00:00:00 GMT</t>
  </si>
  <si>
    <t>Mon, 12 Jan 2026 00:00:00 GMT</t>
  </si>
  <si>
    <t>Fri, 09 Jan 2026 00:00:00 GMT</t>
  </si>
  <si>
    <t>Thu, 08 Jan 2026 00:00:00 GMT</t>
  </si>
  <si>
    <t>Wed, 07 Jan 2026 00:00:00 GMT</t>
  </si>
  <si>
    <t>Tue, 06 Jan 2026 00:00:00 GMT</t>
  </si>
  <si>
    <t>Mon, 05 Jan 2026 00:00:00 GMT</t>
  </si>
  <si>
    <t>Fri, 02 Jan 2026 00:00:00 GMT</t>
  </si>
  <si>
    <t>Wed, 31 Dec 2025 00:00:00 GMT</t>
  </si>
  <si>
    <t>Tue, 30 Dec 2025 00:00:00 GMT</t>
  </si>
  <si>
    <t>Mon, 29 Dec 2025 00:00:00 GMT</t>
  </si>
  <si>
    <t>Fri, 26 Dec 2025 00:00:00 GMT</t>
  </si>
  <si>
    <t>Wed, 24 Dec 2025 00:00:00 GMT</t>
  </si>
  <si>
    <t>Tue, 23 Dec 2025 00:00:00 GMT</t>
  </si>
  <si>
    <t>Mon, 22 Dec 2025 00:00:00 GMT</t>
  </si>
  <si>
    <t>Fri, 19 Dec 2025 00:00:00 GMT</t>
  </si>
  <si>
    <t>Thu, 18 Dec 2025 00:00:00 GMT</t>
  </si>
  <si>
    <t>Wed, 17 Dec 2025 00:00:00 GMT</t>
  </si>
  <si>
    <t>Tue, 16 Dec 2025 00:00:00 GMT</t>
  </si>
  <si>
    <t>Mon, 15 Dec 2025 00:00:00 GMT</t>
  </si>
  <si>
    <t>Fri, 12 Dec 2025 00:00:00 GMT</t>
  </si>
  <si>
    <t>Thu, 11 Dec 2025 00:00:00 GMT</t>
  </si>
  <si>
    <t>Wed, 10 Dec 2025 00:00:00 GMT</t>
  </si>
  <si>
    <t>Tue, 09 Dec 2025 00:00:00 GMT</t>
  </si>
  <si>
    <t>Mon, 08 Dec 2025 00:00:00 GMT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</si>
  <si>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</si>
  <si>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</si>
  <si>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</si>
  <si>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</si>
  <si>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</si>
  <si>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</si>
  <si>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</si>
  <si>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</si>
  <si>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</si>
  <si>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</si>
  <si>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</si>
  <si>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</si>
  <si>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</si>
  <si>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</si>
  <si>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</si>
  <si>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</si>
  <si>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</si>
  <si>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</si>
  <si>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</si>
  <si>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</si>
  <si>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</si>
  <si>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</si>
  <si>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</si>
  <si>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</si>
  <si>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</si>
  <si>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</si>
  <si>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</si>
  <si>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</si>
  <si>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</si>
  <si>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</si>
  <si>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</si>
  <si>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</si>
  <si>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</si>
  <si>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</si>
  <si>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</si>
  <si>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</si>
  <si>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</si>
  <si>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</si>
  <si>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</si>
  <si>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</si>
  <si>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</si>
  <si>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</si>
  <si>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</si>
  <si>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</si>
  <si>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</si>
  <si>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</si>
  <si>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</si>
  <si>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</si>
  <si>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</si>
  <si>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</si>
  <si>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</si>
  <si>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</si>
  <si>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</si>
  <si>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</si>
  <si>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</si>
  <si>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</si>
  <si>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</si>
  <si>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</si>
  <si>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</si>
  <si>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</si>
  <si>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</si>
  <si>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</si>
  <si>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</si>
  <si>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</si>
  <si>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</si>
  <si>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</si>
  <si>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</si>
  <si>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</si>
  <si>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</si>
  <si>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</si>
  <si>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</si>
  <si>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</si>
  <si>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</si>
  <si>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</si>
  <si>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</si>
  <si>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</si>
  <si>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</si>
  <si>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</si>
  <si>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</si>
  <si>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</si>
  <si>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</si>
  <si>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</si>
  <si>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</si>
  <si>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</si>
  <si>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</si>
  <si>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</si>
  <si>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</si>
  <si>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</si>
  <si>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</si>
  <si>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</si>
  <si>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</si>
  <si>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</si>
  <si>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</si>
  <si>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</si>
  <si>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</si>
  <si>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</si>
  <si>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</si>
  <si>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</si>
  <si>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</si>
  <si>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</si>
  <si>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</si>
  <si>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</si>
  <si>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</si>
  <si>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</si>
  <si>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</si>
  <si>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</si>
  <si>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</si>
  <si>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</si>
  <si>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</si>
  <si>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</si>
  <si>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</si>
  <si>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</si>
  <si>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</si>
  <si>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</si>
  <si>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</si>
  <si>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</si>
  <si>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</si>
  <si>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</si>
  <si>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</si>
  <si>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</si>
  <si>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</si>
  <si>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</si>
  <si>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</si>
  <si>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</si>
  <si>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</si>
  <si>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</si>
  <si>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</si>
  <si>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</si>
  <si>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</si>
  <si>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</si>
  <si>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</si>
  <si>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</si>
  <si>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</si>
  <si>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</si>
  <si>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</si>
  <si>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</si>
  <si>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</si>
  <si>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</si>
  <si>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</si>
  <si>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</si>
  <si>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</si>
  <si>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</si>
  <si>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</si>
  <si>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</si>
  <si>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</si>
  <si>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</si>
  <si>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</si>
  <si>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</si>
  <si>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</si>
  <si>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</si>
  <si>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</si>
  <si>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</si>
  <si>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</si>
  <si>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</si>
  <si>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</si>
  <si>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</si>
  <si>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</si>
  <si>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</si>
  <si>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</si>
  <si>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</si>
  <si>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</si>
  <si>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</si>
  <si>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</si>
  <si>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</si>
  <si>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</si>
  <si>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</si>
  <si>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</si>
  <si>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</si>
  <si>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</si>
  <si>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</si>
  <si>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</si>
  <si>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</si>
  <si>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</si>
  <si>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</si>
  <si>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</si>
  <si>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</si>
  <si>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</si>
  <si>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</si>
  <si>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</si>
  <si>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</si>
  <si>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</si>
  <si>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</si>
  <si>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</si>
  <si>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</si>
  <si>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</si>
  <si>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</si>
  <si>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</si>
  <si>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</si>
  <si>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</si>
  <si>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</si>
  <si>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</si>
  <si>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</si>
  <si>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</si>
  <si>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</si>
  <si>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</si>
  <si>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</si>
  <si>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</si>
  <si>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</si>
  <si>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</si>
  <si>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</si>
  <si>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</si>
  <si>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</si>
  <si>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</si>
  <si>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</si>
  <si>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</si>
  <si>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</si>
  <si>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</si>
  <si>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</si>
  <si>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</si>
  <si>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</si>
  <si>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</si>
  <si>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</si>
  <si>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</si>
  <si>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</si>
  <si>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</si>
  <si>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</si>
  <si>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</si>
  <si>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</si>
  <si>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</si>
  <si>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</si>
  <si>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</si>
  <si>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</si>
  <si>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</si>
  <si>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</si>
  <si>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</si>
  <si>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</si>
  <si>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</si>
  <si>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</si>
  <si>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</si>
  <si>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</si>
  <si>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</si>
  <si>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</si>
  <si>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</si>
  <si>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</si>
  <si>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</si>
  <si>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</si>
  <si>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</si>
  <si>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</si>
  <si>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</si>
  <si>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</si>
  <si>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</si>
  <si>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</si>
  <si>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</si>
  <si>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</si>
  <si>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</si>
  <si>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</si>
  <si>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</si>
  <si>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</si>
  <si>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</si>
  <si>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</si>
  <si>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</si>
  <si>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</si>
  <si>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</si>
  <si>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</si>
  <si>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</si>
  <si>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</si>
  <si>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</si>
  <si>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</si>
  <si>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</si>
  <si>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</si>
  <si>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</si>
  <si>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</si>
  <si>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</si>
  <si>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</si>
  <si>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</si>
  <si>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</si>
  <si>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</si>
  <si>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</si>
  <si>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</si>
  <si>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</si>
  <si>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</si>
  <si>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</si>
  <si>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</si>
  <si>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</si>
  <si>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</si>
  <si>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</si>
  <si>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</si>
  <si>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</si>
  <si>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</si>
  <si>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</si>
  <si>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</si>
  <si>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</si>
  <si>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</si>
  <si>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</si>
  <si>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</si>
  <si>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</si>
  <si>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</si>
  <si>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</si>
  <si>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</si>
  <si>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</si>
  <si>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</si>
  <si>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</si>
  <si>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</si>
  <si>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</si>
  <si>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</si>
  <si>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</si>
  <si>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</si>
  <si>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</si>
  <si>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</si>
  <si>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</si>
  <si>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</si>
  <si>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</si>
  <si>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</si>
  <si>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</si>
  <si>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</si>
  <si>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</si>
  <si>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</si>
  <si>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</si>
  <si>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</si>
  <si>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</si>
  <si>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</si>
  <si>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</si>
  <si>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</si>
  <si>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</si>
  <si>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</si>
  <si>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</si>
  <si>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</si>
  <si>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</si>
  <si>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</si>
  <si>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</si>
  <si>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</si>
  <si>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</si>
  <si>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</si>
  <si>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</si>
  <si>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</si>
  <si>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</si>
  <si>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</si>
  <si>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</si>
  <si>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</si>
  <si>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</si>
  <si>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</si>
  <si>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</si>
  <si>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</si>
  <si>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</si>
  <si>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</si>
  <si>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</si>
  <si>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</si>
  <si>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</si>
  <si>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</si>
  <si>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</si>
  <si>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</si>
  <si>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</si>
  <si>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</si>
  <si>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</si>
  <si>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</si>
  <si>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</si>
  <si>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</si>
  <si>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</si>
  <si>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</si>
  <si>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</si>
  <si>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</si>
  <si>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</si>
  <si>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</si>
  <si>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</si>
  <si>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</si>
  <si>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</si>
  <si>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</si>
  <si>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</si>
  <si>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</si>
  <si>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</si>
  <si>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</si>
  <si>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</si>
  <si>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</si>
  <si>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</si>
  <si>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</si>
  <si>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</si>
  <si>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</si>
  <si>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</si>
  <si>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</si>
  <si>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</si>
  <si>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</si>
  <si>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</si>
  <si>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</si>
  <si>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</si>
  <si>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</si>
  <si>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</si>
  <si>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</si>
  <si>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</si>
  <si>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</si>
  <si>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</si>
  <si>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</si>
  <si>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</si>
  <si>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</si>
  <si>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</si>
  <si>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</si>
  <si>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</si>
  <si>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</si>
  <si>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</si>
  <si>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</si>
  <si>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</si>
  <si>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</si>
  <si>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</si>
  <si>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</si>
  <si>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</si>
  <si>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</si>
  <si>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</si>
  <si>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</si>
  <si>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</si>
  <si>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</si>
  <si>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</si>
  <si>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</si>
  <si>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</si>
  <si>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</si>
  <si>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</si>
  <si>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</si>
  <si>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</si>
  <si>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</si>
  <si>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</si>
  <si>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</si>
  <si>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</si>
  <si>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</si>
  <si>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</si>
  <si>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</si>
  <si>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</si>
  <si>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</si>
  <si>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</si>
  <si>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</si>
  <si>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</si>
  <si>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</si>
  <si>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</si>
  <si>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</si>
  <si>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</si>
  <si>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</si>
  <si>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</si>
  <si>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</si>
  <si>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</si>
  <si>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</si>
  <si>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</si>
  <si>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</si>
  <si>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</si>
  <si>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</si>
  <si>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</si>
  <si>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</si>
  <si>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</si>
  <si>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</si>
  <si>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</si>
  <si>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</si>
  <si>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</si>
  <si>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</si>
  <si>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</si>
  <si>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</si>
  <si>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</si>
  <si>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</si>
  <si>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</si>
  <si>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</si>
  <si>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</si>
  <si>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</si>
  <si>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</si>
  <si>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</si>
  <si>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</si>
  <si>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</si>
  <si>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</si>
  <si>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</si>
  <si>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</si>
  <si>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</si>
  <si>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</si>
  <si>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</si>
  <si>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</si>
  <si>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</si>
  <si>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</si>
  <si>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</si>
  <si>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</si>
  <si>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</si>
  <si>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</si>
  <si>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</si>
  <si>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</si>
  <si>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</si>
  <si>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</si>
  <si>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</si>
  <si>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</si>
  <si>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</si>
  <si>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</si>
  <si>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</si>
  <si>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</si>
  <si>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</si>
  <si>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</si>
  <si>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</si>
  <si>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</si>
  <si>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</si>
  <si>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</si>
  <si>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</si>
  <si>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</si>
  <si>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</si>
  <si>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</si>
  <si>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</si>
  <si>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</si>
  <si>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</si>
  <si>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</si>
  <si>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</si>
  <si>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</si>
  <si>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</si>
  <si>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</si>
  <si>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</si>
  <si>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</si>
  <si>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</si>
  <si>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</si>
  <si>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</si>
  <si>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</si>
  <si>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</si>
  <si>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</si>
  <si>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</si>
  <si>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</si>
  <si>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</si>
  <si>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</si>
  <si>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</si>
  <si>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</si>
  <si>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</si>
  <si>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</si>
  <si>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</si>
  <si>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</si>
  <si>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</si>
  <si>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</si>
  <si>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</si>
  <si>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</si>
  <si>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</si>
  <si>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</si>
  <si>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</si>
  <si>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</si>
  <si>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</si>
  <si>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</si>
  <si>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</si>
  <si>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</si>
  <si>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</si>
  <si>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</si>
  <si>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</si>
  <si>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</si>
  <si>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</si>
  <si>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</si>
  <si>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</si>
  <si>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</si>
  <si>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</si>
  <si>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</si>
  <si>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</si>
  <si>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</si>
  <si>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</si>
  <si>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</si>
  <si>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</si>
  <si>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</si>
  <si>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</si>
  <si>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</si>
  <si>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</si>
  <si>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</si>
  <si>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</si>
  <si>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</si>
  <si>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</si>
  <si>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</si>
  <si>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</si>
  <si>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</si>
  <si>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</si>
  <si>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</si>
  <si>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</si>
  <si>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</si>
  <si>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</si>
  <si>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</si>
  <si>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</si>
  <si>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</si>
  <si>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</si>
  <si>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</si>
  <si>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</si>
  <si>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</si>
  <si>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</si>
  <si>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</si>
  <si>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</si>
  <si>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</si>
  <si>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</si>
  <si>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</si>
  <si>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</si>
  <si>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</si>
  <si>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</si>
  <si>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</si>
  <si>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</si>
  <si>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</si>
  <si>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</si>
  <si>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</si>
  <si>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</si>
  <si>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</si>
  <si>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</si>
  <si>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</si>
  <si>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</si>
  <si>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</si>
  <si>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</si>
  <si>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</si>
  <si>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</si>
  <si>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</si>
  <si>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</si>
  <si>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</si>
  <si>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</si>
  <si>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</si>
  <si>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</si>
  <si>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</si>
  <si>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</si>
  <si>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</si>
  <si>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</si>
  <si>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</si>
  <si>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</si>
  <si>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</si>
  <si>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</si>
  <si>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</si>
  <si>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</si>
  <si>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</si>
  <si>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</si>
  <si>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</si>
  <si>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</si>
  <si>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</si>
  <si>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</si>
  <si>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</si>
  <si>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</si>
  <si>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</si>
  <si>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</si>
  <si>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</si>
  <si>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</si>
  <si>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</si>
  <si>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</si>
  <si>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</si>
  <si>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</si>
  <si>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</si>
  <si>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</si>
  <si>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</si>
  <si>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</si>
  <si>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</si>
  <si>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</si>
  <si>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</si>
  <si>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</si>
  <si>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</si>
  <si>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</si>
  <si>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</si>
  <si>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</si>
  <si>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</si>
  <si>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</si>
  <si>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</si>
  <si>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</si>
  <si>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</si>
  <si>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</si>
  <si>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</si>
  <si>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</si>
  <si>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</si>
  <si>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</si>
  <si>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</si>
  <si>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</si>
  <si>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</si>
  <si>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</si>
  <si>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</si>
  <si>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</si>
  <si>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</si>
  <si>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</si>
  <si>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</si>
  <si>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</si>
  <si>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</si>
  <si>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</si>
  <si>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</si>
  <si>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</si>
  <si>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</si>
  <si>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</si>
  <si>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</si>
  <si>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</si>
  <si>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</si>
  <si>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</si>
  <si>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</si>
  <si>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</si>
  <si>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</si>
  <si>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</si>
  <si>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</si>
  <si>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</si>
  <si>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</si>
  <si>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</si>
  <si>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</si>
  <si>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</si>
  <si>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</si>
  <si>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</si>
  <si>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</si>
  <si>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</si>
  <si>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</si>
  <si>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</si>
  <si>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</si>
  <si>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</si>
  <si>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</si>
  <si>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</si>
  <si>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</si>
  <si>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</si>
  <si>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</si>
  <si>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</si>
  <si>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</si>
  <si>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</si>
  <si>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</si>
  <si>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</si>
  <si>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</si>
  <si>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</si>
  <si>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</si>
  <si>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</si>
  <si>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</si>
  <si>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</si>
  <si>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</si>
  <si>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</si>
  <si>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</si>
  <si>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</si>
  <si>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</si>
  <si>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</si>
  <si>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</si>
  <si>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</si>
  <si>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</si>
  <si>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</si>
  <si>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</si>
  <si>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</si>
  <si>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</si>
  <si>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</si>
  <si>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</si>
  <si>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</si>
  <si>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</si>
  <si>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</si>
  <si>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</si>
  <si>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</si>
  <si>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</si>
  <si>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</si>
  <si>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</si>
  <si>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</si>
  <si>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</si>
  <si>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</si>
  <si>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</si>
  <si>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</si>
  <si>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</si>
  <si>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</si>
  <si>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</si>
  <si>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</si>
  <si>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</si>
  <si>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</si>
  <si>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</si>
  <si>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</si>
  <si>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</si>
  <si>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</si>
  <si>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</si>
  <si>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</si>
  <si>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</si>
  <si>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</si>
  <si>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</si>
  <si>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</si>
  <si>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</si>
  <si>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</si>
  <si>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</si>
  <si>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</si>
  <si>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</si>
  <si>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</si>
  <si>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</si>
  <si>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</si>
  <si>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</si>
  <si>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</si>
  <si>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</si>
  <si>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</si>
  <si>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</si>
  <si>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</si>
  <si>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</si>
  <si>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</si>
  <si>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</si>
  <si>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</si>
  <si>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</si>
  <si>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</si>
  <si>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</si>
  <si>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</si>
  <si>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</si>
  <si>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</si>
  <si>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</si>
  <si>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</si>
  <si>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</si>
  <si>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</si>
  <si>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</si>
  <si>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</si>
  <si>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</si>
  <si>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</si>
  <si>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</si>
  <si>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</si>
  <si>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</si>
  <si>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</si>
  <si>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</si>
  <si>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</si>
  <si>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</si>
  <si>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</si>
  <si>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</si>
  <si>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</si>
  <si>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</si>
  <si>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</si>
  <si>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</si>
  <si>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</si>
  <si>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</si>
  <si>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</si>
  <si>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</si>
  <si>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</si>
  <si>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</si>
  <si>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</si>
  <si>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</si>
  <si>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</si>
  <si>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</si>
  <si>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</si>
  <si>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</si>
  <si>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</si>
  <si>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</si>
  <si>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</si>
  <si>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</si>
  <si>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</si>
  <si>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</si>
  <si>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</si>
  <si>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</si>
  <si>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</si>
  <si>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</si>
  <si>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</si>
  <si>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</si>
  <si>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</si>
  <si>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</si>
  <si>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</si>
  <si>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</si>
  <si>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</si>
  <si>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</si>
  <si>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</si>
  <si>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</si>
  <si>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</si>
  <si>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</si>
  <si>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</si>
  <si>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</si>
  <si>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</si>
  <si>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</si>
  <si>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</si>
  <si>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</si>
  <si>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</si>
  <si>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</si>
  <si>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</si>
  <si>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</si>
  <si>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</si>
  <si>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</si>
  <si>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</si>
  <si>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</si>
  <si>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</si>
  <si>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</si>
  <si>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</si>
  <si>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</si>
  <si>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</si>
  <si>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</si>
  <si>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</si>
  <si>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</si>
  <si>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</si>
  <si>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</si>
  <si>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</si>
  <si>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</si>
  <si>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</si>
  <si>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</si>
  <si>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</si>
  <si>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</si>
  <si>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</si>
  <si>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</si>
  <si>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</si>
  <si>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</si>
  <si>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</si>
  <si>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</si>
  <si>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</si>
  <si>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</si>
  <si>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</si>
  <si>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</si>
  <si>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</si>
  <si>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</si>
  <si>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</si>
  <si>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</si>
  <si>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</si>
  <si>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</si>
  <si>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</si>
  <si>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</si>
  <si>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</si>
  <si>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</si>
  <si>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</si>
  <si>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</si>
  <si>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</si>
  <si>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</si>
  <si>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</si>
  <si>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</si>
  <si>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</si>
  <si>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</si>
  <si>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</si>
  <si>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</si>
  <si>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</si>
  <si>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</si>
  <si>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</si>
  <si>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</si>
  <si>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</si>
  <si>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</si>
  <si>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</si>
  <si>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</si>
  <si>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</si>
  <si>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</si>
  <si>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</si>
  <si>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</si>
  <si>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</si>
  <si>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</si>
  <si>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</si>
  <si>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</si>
  <si>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</si>
  <si>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</si>
  <si>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</si>
  <si>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</si>
  <si>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</si>
  <si>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</si>
  <si>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</si>
  <si>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</si>
  <si>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</si>
  <si>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</si>
  <si>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</si>
  <si>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</si>
  <si>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</si>
  <si>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</si>
  <si>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</si>
  <si>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</si>
  <si>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</si>
  <si>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</si>
  <si>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</si>
  <si>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</si>
  <si>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</si>
  <si>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</si>
  <si>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</si>
  <si>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</si>
  <si>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</si>
  <si>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</si>
  <si>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</si>
  <si>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</si>
  <si>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</si>
  <si>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</si>
  <si>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</si>
  <si>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</si>
  <si>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</si>
  <si>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</si>
  <si>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</si>
  <si>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</si>
  <si>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</si>
  <si>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</si>
  <si>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</si>
  <si>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</si>
  <si>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</si>
  <si>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</si>
  <si>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</si>
  <si>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</si>
  <si>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</si>
  <si>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</si>
  <si>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</si>
  <si>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</si>
  <si>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</si>
  <si>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</si>
  <si>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</si>
  <si>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</si>
  <si>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</si>
  <si>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</si>
  <si>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</si>
  <si>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</si>
  <si>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</si>
  <si>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</si>
  <si>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</si>
  <si>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</si>
  <si>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</si>
  <si>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</si>
  <si>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</si>
  <si>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</si>
  <si>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</si>
  <si>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</si>
  <si>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</si>
  <si>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</si>
  <si>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</si>
  <si>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</si>
  <si>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</si>
  <si>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</si>
  <si>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</si>
  <si>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</si>
  <si>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</si>
  <si>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</si>
  <si>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</si>
  <si>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</si>
  <si>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</si>
  <si>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</si>
  <si>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</si>
  <si>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</si>
  <si>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</si>
  <si>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</si>
  <si>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</si>
  <si>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</si>
  <si>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</si>
  <si>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</si>
  <si>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</si>
  <si>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</si>
  <si>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</si>
  <si>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</si>
  <si>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</si>
  <si>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</si>
  <si>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</si>
  <si>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</si>
  <si>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</si>
  <si>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</si>
  <si>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</si>
  <si>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</si>
  <si>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</si>
  <si>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</si>
  <si>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</si>
  <si>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</si>
  <si>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</si>
  <si>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</si>
  <si>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</si>
  <si>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</si>
  <si>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</si>
  <si>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</si>
  <si>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</si>
  <si>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</si>
  <si>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</si>
  <si>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</si>
  <si>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</si>
  <si>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</si>
  <si>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</si>
  <si>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</si>
  <si>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</si>
  <si>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</si>
  <si>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</si>
  <si>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</si>
  <si>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</si>
  <si>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</si>
  <si>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</si>
  <si>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</si>
  <si>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</si>
  <si>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</si>
  <si>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</si>
  <si>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</si>
  <si>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</si>
  <si>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</si>
  <si>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</si>
  <si>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</si>
  <si>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</si>
  <si>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</si>
  <si>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</si>
  <si>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</si>
  <si>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</si>
  <si>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</si>
  <si>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</si>
  <si>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</si>
  <si>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</si>
  <si>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</si>
  <si>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</si>
  <si>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</si>
  <si>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</si>
  <si>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</si>
  <si>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</si>
  <si>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</si>
  <si>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</si>
  <si>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</si>
  <si>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</si>
  <si>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</si>
  <si>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</si>
  <si>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</si>
  <si>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</si>
  <si>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</si>
  <si>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</si>
  <si>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</si>
  <si>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</si>
  <si>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</si>
  <si>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</si>
  <si>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</si>
  <si>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</si>
  <si>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</si>
  <si>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</si>
  <si>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</si>
  <si>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</si>
  <si>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</si>
  <si>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</si>
  <si>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</si>
  <si>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</si>
  <si>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</si>
  <si>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</si>
  <si>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</si>
  <si>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</si>
  <si>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</si>
  <si>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</si>
  <si>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</si>
  <si>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</si>
  <si>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</si>
  <si>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</si>
  <si>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</si>
  <si>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</si>
  <si>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</si>
  <si>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</si>
  <si>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</si>
  <si>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</si>
  <si>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</si>
  <si>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</si>
  <si>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</si>
  <si>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</si>
  <si>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</si>
  <si>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</si>
  <si>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</si>
  <si>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</si>
  <si>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</si>
  <si>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</si>
  <si>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</si>
  <si>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</si>
  <si>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</si>
  <si>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</si>
  <si>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</si>
  <si>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</si>
  <si>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</si>
  <si>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</si>
  <si>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</si>
  <si>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</si>
  <si>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</si>
  <si>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</si>
  <si>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</si>
  <si>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</si>
  <si>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</si>
  <si>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</si>
  <si>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</si>
  <si>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</si>
  <si>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</si>
  <si>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</si>
  <si>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</si>
  <si>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</si>
  <si>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</si>
  <si>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</si>
  <si>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</si>
  <si>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</si>
  <si>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</si>
  <si>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</si>
  <si>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</si>
  <si>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</si>
  <si>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</si>
  <si>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</si>
  <si>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</si>
  <si>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</si>
  <si>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</si>
  <si>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</si>
  <si>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</si>
  <si>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</si>
  <si>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</si>
  <si>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</si>
  <si>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</si>
  <si>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</si>
  <si>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</si>
  <si>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</si>
  <si>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</si>
  <si>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</si>
  <si>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</si>
  <si>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</si>
  <si>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</si>
  <si>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</si>
  <si>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</si>
  <si>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</si>
  <si>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</si>
  <si>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</si>
  <si>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</si>
  <si>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</si>
  <si>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</si>
  <si>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</si>
  <si>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</si>
  <si>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</si>
  <si>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</si>
  <si>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</si>
  <si>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</si>
  <si>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</si>
  <si>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</si>
  <si>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</si>
  <si>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</si>
  <si>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</si>
  <si>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</si>
  <si>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</si>
  <si>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</si>
  <si>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</si>
  <si>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</si>
  <si>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</si>
  <si>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</si>
  <si>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</si>
  <si>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</si>
  <si>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</si>
  <si>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</si>
  <si>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</si>
  <si>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</si>
  <si>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</si>
  <si>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</si>
  <si>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</si>
  <si>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</si>
  <si>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</si>
  <si>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</si>
  <si>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</si>
  <si>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</si>
  <si>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</si>
  <si>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</si>
  <si>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</si>
  <si>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</si>
  <si>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</si>
  <si>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</si>
  <si>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</si>
  <si>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</si>
  <si>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</si>
  <si>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</si>
  <si>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</si>
  <si>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</si>
  <si>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</si>
  <si>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</si>
  <si>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</si>
  <si>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</si>
  <si>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</si>
  <si>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</si>
  <si>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</si>
  <si>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</si>
  <si>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</si>
  <si>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</si>
  <si>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</si>
  <si>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</si>
  <si>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</si>
  <si>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</si>
  <si>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</si>
  <si>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</si>
  <si>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</si>
  <si>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</si>
  <si>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</si>
  <si>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</si>
  <si>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</si>
  <si>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</si>
  <si>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</si>
  <si>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</si>
  <si>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</si>
  <si>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</si>
  <si>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</si>
  <si>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</si>
  <si>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</si>
  <si>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</si>
  <si>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</si>
  <si>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</si>
  <si>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</si>
  <si>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</si>
  <si>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</si>
  <si>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</si>
  <si>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</si>
  <si>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</si>
  <si>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</si>
  <si>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</si>
  <si>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</si>
  <si>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</si>
  <si>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</si>
  <si>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</si>
  <si>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</si>
  <si>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</si>
  <si>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</si>
  <si>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</si>
  <si>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</si>
  <si>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</si>
  <si>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</si>
  <si>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</si>
  <si>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</si>
  <si>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</si>
  <si>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</si>
  <si>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</si>
  <si>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</si>
  <si>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</si>
  <si>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</si>
  <si>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</si>
  <si>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</si>
  <si>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</si>
  <si>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</si>
  <si>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</si>
  <si>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</si>
  <si>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</si>
  <si>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</si>
  <si>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</si>
  <si>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</si>
  <si>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</si>
  <si>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</si>
  <si>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</si>
  <si>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</si>
  <si>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</si>
  <si>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</si>
  <si>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</si>
  <si>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</si>
  <si>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</si>
  <si>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</si>
  <si>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</si>
  <si>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</si>
  <si>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</si>
  <si>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</si>
  <si>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</si>
  <si>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</si>
  <si>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</si>
  <si>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</si>
  <si>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</si>
  <si>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</si>
  <si>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</si>
  <si>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</si>
  <si>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</si>
  <si>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</si>
  <si>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</si>
  <si>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</si>
  <si>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</si>
  <si>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</si>
  <si>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</si>
  <si>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</si>
  <si>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</si>
  <si>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</si>
  <si>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</si>
  <si>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</si>
  <si>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</si>
  <si>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</si>
  <si>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</si>
  <si>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</si>
  <si>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</si>
  <si>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</si>
  <si>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</si>
  <si>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</si>
  <si>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</si>
  <si>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</si>
  <si>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</si>
  <si>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</si>
  <si>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</si>
  <si>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</si>
  <si>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</si>
  <si>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</si>
  <si>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</si>
  <si>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</si>
  <si>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</si>
  <si>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</si>
  <si>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</si>
  <si>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</si>
  <si>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t>Fri, 11 Sep 2020 00:00:00 GMT</t>
  </si>
  <si>
    <t>Thu, 10 Sep 2020 00:00:00 GMT</t>
  </si>
  <si>
    <t>Wed, 09 Sep 2020 00:00:00 GMT</t>
  </si>
  <si>
    <t>Tue, 08 Sep 2020 00:00:00 GMT</t>
  </si>
  <si>
    <t>Fri, 04 Sep 2020 00:00:00 GMT</t>
  </si>
  <si>
    <t>Thu, 03 Sep 2020 00:00:00 GMT</t>
  </si>
  <si>
    <t>Wed, 02 Sep 2020 00:00:00 GMT</t>
  </si>
  <si>
    <t>Tue, 01 Sep 2020 00:00:00 GMT</t>
  </si>
  <si>
    <t>Mon, 31 Aug 2020 00:00:00 GMT</t>
  </si>
  <si>
    <t>Fri, 28 Aug 2020 00:00:00 GMT</t>
  </si>
  <si>
    <t>Thu, 27 Aug 2020 00:00:00 GMT</t>
  </si>
  <si>
    <t>Wed, 26 Aug 2020 00:00:00 GMT</t>
  </si>
  <si>
    <t>Tue, 25 Aug 2020 00:00:00 GMT</t>
  </si>
  <si>
    <t>Mon, 24 Aug 2020 00:00:00 GMT</t>
  </si>
  <si>
    <t>Fri, 21 Aug 2020 00:00:00 GMT</t>
  </si>
  <si>
    <t>Thu, 20 Aug 2020 00:00:00 GMT</t>
  </si>
  <si>
    <t>Wed, 19 Aug 2020 00:00:00 GMT</t>
  </si>
  <si>
    <t>Tue, 18 Aug 2020 00:00:00 GMT</t>
  </si>
  <si>
    <t>Mon, 17 Aug 2020 00:00:00 GMT</t>
  </si>
  <si>
    <t>Fri, 14 Aug 2020 00:00:00 GMT</t>
  </si>
  <si>
    <t>Thu, 13 Aug 2020 00:00:00 GMT</t>
  </si>
  <si>
    <t>Wed, 12 Aug 2020 00:00:00 GMT</t>
  </si>
  <si>
    <t>Tue, 11 Aug 2020 00:00:00 GMT</t>
  </si>
  <si>
    <t>Mon, 10 Aug 2020 00:00:00 GMT</t>
  </si>
  <si>
    <t>Fri, 07 Aug 2020 00:00:00 GMT</t>
  </si>
  <si>
    <t>Thu, 06 Aug 2020 00:00:00 GMT</t>
  </si>
  <si>
    <t>Wed, 05 Aug 2020 00:00:00 GMT</t>
  </si>
  <si>
    <t>Tue, 04 Aug 2020 00:00:00 GMT</t>
  </si>
  <si>
    <t>Mon, 03 Aug 2020 00:00:00 GMT</t>
  </si>
  <si>
    <t>Fri, 31 Jul 2020 00:00:00 GMT</t>
  </si>
  <si>
    <t>Thu, 30 Jul 2020 00:00:00 GMT</t>
  </si>
  <si>
    <t>Wed, 29 Jul 2020 00:00:00 GMT</t>
  </si>
  <si>
    <t>Tue, 28 Jul 2020 00:00:00 GMT</t>
  </si>
  <si>
    <t>Mon, 27 Jul 2020 00:00:00 GMT</t>
  </si>
  <si>
    <t>Fri, 24 Jul 2020 00:00:00 GMT</t>
  </si>
  <si>
    <t>Thu, 23 Jul 2020 00:00:00 GMT</t>
  </si>
  <si>
    <t>Wed, 22 Jul 2020 00:00:00 GMT</t>
  </si>
  <si>
    <t>Tue, 21 Jul 2020 00:00:00 GMT</t>
  </si>
  <si>
    <t>Mon, 20 Jul 2020 00:00:00 GMT</t>
  </si>
  <si>
    <t>Fri, 17 Jul 2020 00:00:00 GMT</t>
  </si>
  <si>
    <t>Thu, 16 Jul 2020 00:00:00 GMT</t>
  </si>
  <si>
    <t>Wed, 15 Jul 2020 00:00:00 GMT</t>
  </si>
  <si>
    <t>Tue, 14 Jul 2020 00:00:00 GMT</t>
  </si>
  <si>
    <t>Mon, 13 Jul 2020 00:00:00 GMT</t>
  </si>
  <si>
    <t>Fri, 10 Jul 2020 00:00:00 GMT</t>
  </si>
  <si>
    <t>Thu, 09 Jul 2020 00:00:00 GMT</t>
  </si>
  <si>
    <t>Wed, 08 Jul 2020 00:00:00 GMT</t>
  </si>
  <si>
    <t>Tue, 07 Jul 2020 00:00:00 GMT</t>
  </si>
  <si>
    <t>Mon, 06 Jul 2020 00:00:00 GMT</t>
  </si>
  <si>
    <r>
      <t xml:space="preserve">1506 Trading Days? (From: </t>
    </r>
    <r>
      <rPr>
        <i/>
        <sz val="11"/>
        <color theme="1"/>
        <rFont val="Calibre"/>
      </rPr>
      <t>7/4/2020 - 7/4/2026</t>
    </r>
    <r>
      <rPr>
        <sz val="11"/>
        <color theme="1"/>
        <rFont val="Calibre"/>
      </rPr>
      <t>)</t>
    </r>
  </si>
  <si>
    <t>LMT Historical Returns</t>
  </si>
  <si>
    <t>More</t>
  </si>
  <si>
    <t xml:space="preserve">Revenue Breakdown by Geography </t>
  </si>
  <si>
    <t>Q3'26</t>
  </si>
  <si>
    <t>10/22/2026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</si>
</sst>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5" fontId="2" fillId="0" borderId="0" xfId="3" applyNumberFormat="1" applyFont="1" applyAlignment="1">
      <alignment horizontal="left"/>
    </xf>
    <xf numFmtId="166" fontId="2" fillId="0" borderId="0" xfId="3" applyNumberFormat="1" applyFont="1" applyAlignment="1">
      <alignment horizontal="left"/>
    </xf>
    <xf numFmtId="0" fontId="6" fillId="0" borderId="0" xfId="0" applyFont="1"/>
    <xf numFmtId="1" fontId="2" fillId="0" borderId="0" xfId="0" applyNumberFormat="1" applyFont="1"/>
    <xf numFmtId="164" fontId="2" fillId="0" borderId="0" xfId="1" applyNumberFormat="1" applyFont="1"/>
    <xf numFmtId="0" fontId="2" fillId="0" borderId="0" xfId="0" applyFont="1" applyAlignment="1">
      <alignment horizontal="left" indent="1"/>
    </xf>
    <xf numFmtId="1" fontId="12" fillId="0" borderId="0" xfId="0" applyNumberFormat="1" applyFont="1"/>
    <xf numFmtId="164" fontId="13" fillId="0" borderId="0" xfId="0" applyNumberFormat="1" applyFont="1"/>
    <xf numFmtId="164" fontId="12" fillId="0" borderId="0" xfId="0" applyNumberFormat="1" applyFont="1"/>
    <xf numFmtId="164" fontId="13" fillId="0" borderId="0" xfId="1" applyNumberFormat="1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(LMT)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Model!$B$4</c:f>
              <c:strCache>
                <c:ptCount val="1"/>
                <c:pt idx="0">
                  <c:v>Aeronautics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Model!$BK$1:$BT$1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Model!$BK$4:$BU$4</c:f>
              <c:numCache>
                <c:formatCode>General</c:formatCode>
                <c:ptCount val="11"/>
                <c:pt idx="0">
                  <c:v>6845</c:v>
                </c:pt>
                <c:pt idx="1">
                  <c:v>7277</c:v>
                </c:pt>
                <c:pt idx="2">
                  <c:v>6487</c:v>
                </c:pt>
                <c:pt idx="3">
                  <c:v>8009</c:v>
                </c:pt>
                <c:pt idx="4">
                  <c:v>7057</c:v>
                </c:pt>
                <c:pt idx="5">
                  <c:v>7420</c:v>
                </c:pt>
                <c:pt idx="6">
                  <c:v>7256</c:v>
                </c:pt>
                <c:pt idx="7">
                  <c:v>8524</c:v>
                </c:pt>
                <c:pt idx="8">
                  <c:v>6953</c:v>
                </c:pt>
                <c:pt idx="9">
                  <c:v>8112</c:v>
                </c:pt>
                <c:pt idx="10">
                  <c:v>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Model!$B$5</c:f>
              <c:strCache>
                <c:ptCount val="1"/>
                <c:pt idx="0">
                  <c:v>Missles &amp; Fire Control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Model!$BK$1:$BT$1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Model!$BK$5:$BU$5</c:f>
              <c:numCache>
                <c:formatCode>General</c:formatCode>
                <c:ptCount val="11"/>
                <c:pt idx="0">
                  <c:v>2993</c:v>
                </c:pt>
                <c:pt idx="1">
                  <c:v>3102</c:v>
                </c:pt>
                <c:pt idx="2">
                  <c:v>3175</c:v>
                </c:pt>
                <c:pt idx="3">
                  <c:v>3412</c:v>
                </c:pt>
                <c:pt idx="4">
                  <c:v>3373</c:v>
                </c:pt>
                <c:pt idx="5">
                  <c:v>3433</c:v>
                </c:pt>
                <c:pt idx="6">
                  <c:v>3624</c:v>
                </c:pt>
                <c:pt idx="7">
                  <c:v>4020</c:v>
                </c:pt>
                <c:pt idx="8">
                  <c:v>3649</c:v>
                </c:pt>
                <c:pt idx="9">
                  <c:v>4101</c:v>
                </c:pt>
                <c:pt idx="10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Model!$B$6</c:f>
              <c:strCache>
                <c:ptCount val="1"/>
                <c:pt idx="0">
                  <c:v>Rotary &amp; Mission Control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Model!$BK$1:$BT$1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Model!$BK$6:$BU$6</c:f>
              <c:numCache>
                <c:formatCode>General</c:formatCode>
                <c:ptCount val="11"/>
                <c:pt idx="0">
                  <c:v>4088</c:v>
                </c:pt>
                <c:pt idx="1">
                  <c:v>4548</c:v>
                </c:pt>
                <c:pt idx="2">
                  <c:v>4367</c:v>
                </c:pt>
                <c:pt idx="3">
                  <c:v>4261</c:v>
                </c:pt>
                <c:pt idx="4">
                  <c:v>4328</c:v>
                </c:pt>
                <c:pt idx="5">
                  <c:v>3995</c:v>
                </c:pt>
                <c:pt idx="6">
                  <c:v>4373</c:v>
                </c:pt>
                <c:pt idx="7">
                  <c:v>4616</c:v>
                </c:pt>
                <c:pt idx="8">
                  <c:v>3991</c:v>
                </c:pt>
                <c:pt idx="9">
                  <c:v>4354</c:v>
                </c:pt>
                <c:pt idx="10">
                  <c:v>4511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Model!$B$7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Model!$BK$1:$BT$1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Model!$BK$7:$BU$7</c:f>
              <c:numCache>
                <c:formatCode>General</c:formatCode>
                <c:ptCount val="11"/>
                <c:pt idx="0">
                  <c:v>3269</c:v>
                </c:pt>
                <c:pt idx="1">
                  <c:v>3195</c:v>
                </c:pt>
                <c:pt idx="2">
                  <c:v>3075</c:v>
                </c:pt>
                <c:pt idx="3">
                  <c:v>2940</c:v>
                </c:pt>
                <c:pt idx="4">
                  <c:v>3205</c:v>
                </c:pt>
                <c:pt idx="5">
                  <c:v>3307</c:v>
                </c:pt>
                <c:pt idx="6">
                  <c:v>3356</c:v>
                </c:pt>
                <c:pt idx="7">
                  <c:v>3161</c:v>
                </c:pt>
                <c:pt idx="8">
                  <c:v>3428</c:v>
                </c:pt>
                <c:pt idx="9">
                  <c:v>3496</c:v>
                </c:pt>
                <c:pt idx="10">
                  <c:v>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(LMT)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Model!$AU$80:$BU$80</c:f>
              <c:numCache>
                <c:formatCode>General</c:formatCode>
                <c:ptCount val="27"/>
                <c:pt idx="0">
                  <c:v>1717</c:v>
                </c:pt>
                <c:pt idx="1">
                  <c:v>1626</c:v>
                </c:pt>
                <c:pt idx="2">
                  <c:v>1753</c:v>
                </c:pt>
                <c:pt idx="3">
                  <c:v>1792</c:v>
                </c:pt>
                <c:pt idx="4">
                  <c:v>1837</c:v>
                </c:pt>
                <c:pt idx="5">
                  <c:v>1835</c:v>
                </c:pt>
                <c:pt idx="6">
                  <c:v>614</c:v>
                </c:pt>
                <c:pt idx="7">
                  <c:v>2029</c:v>
                </c:pt>
                <c:pt idx="8">
                  <c:v>1733</c:v>
                </c:pt>
                <c:pt idx="9">
                  <c:v>309</c:v>
                </c:pt>
                <c:pt idx="10">
                  <c:v>1778</c:v>
                </c:pt>
                <c:pt idx="11">
                  <c:v>1912</c:v>
                </c:pt>
                <c:pt idx="12">
                  <c:v>1689</c:v>
                </c:pt>
                <c:pt idx="13">
                  <c:v>1681</c:v>
                </c:pt>
                <c:pt idx="14">
                  <c:v>1684</c:v>
                </c:pt>
                <c:pt idx="15">
                  <c:v>1866</c:v>
                </c:pt>
                <c:pt idx="16">
                  <c:v>1545</c:v>
                </c:pt>
                <c:pt idx="17">
                  <c:v>1641</c:v>
                </c:pt>
                <c:pt idx="18">
                  <c:v>1686</c:v>
                </c:pt>
                <c:pt idx="19">
                  <c:v>464</c:v>
                </c:pt>
                <c:pt idx="20">
                  <c:v>1712</c:v>
                </c:pt>
                <c:pt idx="21">
                  <c:v>492</c:v>
                </c:pt>
                <c:pt idx="22">
                  <c:v>1619</c:v>
                </c:pt>
                <c:pt idx="23">
                  <c:v>1194</c:v>
                </c:pt>
                <c:pt idx="24">
                  <c:v>1488</c:v>
                </c:pt>
                <c:pt idx="25">
                  <c:v>1836</c:v>
                </c:pt>
                <c:pt idx="26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Model!$AU$126:$BU$126</c:f>
              <c:numCache>
                <c:formatCode>General</c:formatCode>
                <c:ptCount val="27"/>
                <c:pt idx="0">
                  <c:v>2021</c:v>
                </c:pt>
                <c:pt idx="1">
                  <c:v>1839</c:v>
                </c:pt>
                <c:pt idx="2">
                  <c:v>1472</c:v>
                </c:pt>
                <c:pt idx="3">
                  <c:v>1085</c:v>
                </c:pt>
                <c:pt idx="4">
                  <c:v>1467</c:v>
                </c:pt>
                <c:pt idx="5">
                  <c:v>950</c:v>
                </c:pt>
                <c:pt idx="6">
                  <c:v>1621</c:v>
                </c:pt>
                <c:pt idx="7">
                  <c:v>3661</c:v>
                </c:pt>
                <c:pt idx="8">
                  <c:v>1142</c:v>
                </c:pt>
                <c:pt idx="9">
                  <c:v>1027</c:v>
                </c:pt>
                <c:pt idx="10">
                  <c:v>2728</c:v>
                </c:pt>
                <c:pt idx="11">
                  <c:v>1235</c:v>
                </c:pt>
                <c:pt idx="12">
                  <c:v>1270</c:v>
                </c:pt>
                <c:pt idx="13">
                  <c:v>771</c:v>
                </c:pt>
                <c:pt idx="14">
                  <c:v>2527</c:v>
                </c:pt>
                <c:pt idx="15">
                  <c:v>1661</c:v>
                </c:pt>
                <c:pt idx="16">
                  <c:v>1257</c:v>
                </c:pt>
                <c:pt idx="17">
                  <c:v>1506</c:v>
                </c:pt>
                <c:pt idx="18">
                  <c:v>2083</c:v>
                </c:pt>
                <c:pt idx="19">
                  <c:v>441</c:v>
                </c:pt>
                <c:pt idx="20">
                  <c:v>955</c:v>
                </c:pt>
                <c:pt idx="21">
                  <c:v>-150</c:v>
                </c:pt>
                <c:pt idx="22">
                  <c:v>3347</c:v>
                </c:pt>
                <c:pt idx="23">
                  <c:v>2756</c:v>
                </c:pt>
                <c:pt idx="24">
                  <c:v>-291</c:v>
                </c:pt>
                <c:pt idx="25">
                  <c:v>2917</c:v>
                </c:pt>
                <c:pt idx="26">
                  <c:v>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Model!$AU$1:$BS$1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Model!$AU$70:$BU$70</c:f>
              <c:numCache>
                <c:formatCode>General</c:formatCode>
                <c:ptCount val="27"/>
                <c:pt idx="0">
                  <c:v>15651</c:v>
                </c:pt>
                <c:pt idx="1">
                  <c:v>16220</c:v>
                </c:pt>
                <c:pt idx="2">
                  <c:v>16495</c:v>
                </c:pt>
                <c:pt idx="3">
                  <c:v>17032</c:v>
                </c:pt>
                <c:pt idx="4">
                  <c:v>16258</c:v>
                </c:pt>
                <c:pt idx="5">
                  <c:v>17029</c:v>
                </c:pt>
                <c:pt idx="6">
                  <c:v>16028</c:v>
                </c:pt>
                <c:pt idx="7">
                  <c:v>17729</c:v>
                </c:pt>
                <c:pt idx="8">
                  <c:v>14964</c:v>
                </c:pt>
                <c:pt idx="9">
                  <c:v>15446</c:v>
                </c:pt>
                <c:pt idx="10">
                  <c:v>16583</c:v>
                </c:pt>
                <c:pt idx="11">
                  <c:v>18991</c:v>
                </c:pt>
                <c:pt idx="12">
                  <c:v>15126</c:v>
                </c:pt>
                <c:pt idx="13">
                  <c:v>16693</c:v>
                </c:pt>
                <c:pt idx="14">
                  <c:v>16878</c:v>
                </c:pt>
                <c:pt idx="15">
                  <c:v>18874</c:v>
                </c:pt>
                <c:pt idx="16">
                  <c:v>17195</c:v>
                </c:pt>
                <c:pt idx="17">
                  <c:v>18122</c:v>
                </c:pt>
                <c:pt idx="18">
                  <c:v>17104</c:v>
                </c:pt>
                <c:pt idx="19">
                  <c:v>18622</c:v>
                </c:pt>
                <c:pt idx="20">
                  <c:v>17963</c:v>
                </c:pt>
                <c:pt idx="21">
                  <c:v>18155</c:v>
                </c:pt>
                <c:pt idx="22">
                  <c:v>18609</c:v>
                </c:pt>
                <c:pt idx="23">
                  <c:v>20321</c:v>
                </c:pt>
                <c:pt idx="24">
                  <c:v>18021</c:v>
                </c:pt>
                <c:pt idx="25">
                  <c:v>20063</c:v>
                </c:pt>
                <c:pt idx="26">
                  <c:v>20711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(LMT)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Analysis'!$Q$243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Analysis'!$Q$245:$Q$325</c:f>
              <c:numCache>
                <c:formatCode>0.00%</c:formatCode>
                <c:ptCount val="81"/>
                <c:pt idx="0">
                  <c:v>-4.0000000000000029E-2</c:v>
                </c:pt>
                <c:pt idx="1">
                  <c:v>-3.9000000000000028E-2</c:v>
                </c:pt>
                <c:pt idx="2">
                  <c:v>-3.8000000000000027E-2</c:v>
                </c:pt>
                <c:pt idx="3">
                  <c:v>-3.7000000000000026E-2</c:v>
                </c:pt>
                <c:pt idx="4">
                  <c:v>-3.6000000000000025E-2</c:v>
                </c:pt>
                <c:pt idx="5">
                  <c:v>-3.5000000000000024E-2</c:v>
                </c:pt>
                <c:pt idx="6">
                  <c:v>-3.4000000000000023E-2</c:v>
                </c:pt>
                <c:pt idx="7">
                  <c:v>-3.3000000000000022E-2</c:v>
                </c:pt>
                <c:pt idx="8">
                  <c:v>-3.2000000000000021E-2</c:v>
                </c:pt>
                <c:pt idx="9">
                  <c:v>-3.1000000000000021E-2</c:v>
                </c:pt>
                <c:pt idx="10">
                  <c:v>-3.000000000000002E-2</c:v>
                </c:pt>
                <c:pt idx="11">
                  <c:v>-2.9000000000000019E-2</c:v>
                </c:pt>
                <c:pt idx="12">
                  <c:v>-2.8000000000000018E-2</c:v>
                </c:pt>
                <c:pt idx="13">
                  <c:v>-2.7000000000000017E-2</c:v>
                </c:pt>
                <c:pt idx="14">
                  <c:v>-2.6000000000000016E-2</c:v>
                </c:pt>
                <c:pt idx="15">
                  <c:v>-2.5000000000000015E-2</c:v>
                </c:pt>
                <c:pt idx="16">
                  <c:v>-2.4000000000000014E-2</c:v>
                </c:pt>
                <c:pt idx="17">
                  <c:v>-2.3000000000000013E-2</c:v>
                </c:pt>
                <c:pt idx="18">
                  <c:v>-2.2000000000000013E-2</c:v>
                </c:pt>
                <c:pt idx="19">
                  <c:v>-2.1000000000000012E-2</c:v>
                </c:pt>
                <c:pt idx="20">
                  <c:v>-2.0000000000000011E-2</c:v>
                </c:pt>
                <c:pt idx="21">
                  <c:v>-1.900000000000001E-2</c:v>
                </c:pt>
                <c:pt idx="22">
                  <c:v>-1.8000000000000009E-2</c:v>
                </c:pt>
                <c:pt idx="23">
                  <c:v>-1.7000000000000008E-2</c:v>
                </c:pt>
                <c:pt idx="24">
                  <c:v>-1.6000000000000007E-2</c:v>
                </c:pt>
                <c:pt idx="25">
                  <c:v>-1.5000000000000006E-2</c:v>
                </c:pt>
                <c:pt idx="26">
                  <c:v>-1.4000000000000005E-2</c:v>
                </c:pt>
                <c:pt idx="27">
                  <c:v>-1.3000000000000005E-2</c:v>
                </c:pt>
                <c:pt idx="28">
                  <c:v>-1.2000000000000004E-2</c:v>
                </c:pt>
                <c:pt idx="29">
                  <c:v>-1.1000000000000003E-2</c:v>
                </c:pt>
                <c:pt idx="30">
                  <c:v>-1.0000000000000002E-2</c:v>
                </c:pt>
                <c:pt idx="31">
                  <c:v>-9.0000000000000011E-3</c:v>
                </c:pt>
                <c:pt idx="32">
                  <c:v>-8.0000000000000002E-3</c:v>
                </c:pt>
                <c:pt idx="33">
                  <c:v>-7.0000000000000001E-3</c:v>
                </c:pt>
                <c:pt idx="34">
                  <c:v>-6.0000000000000001E-3</c:v>
                </c:pt>
                <c:pt idx="35">
                  <c:v>-5.0000000000000001E-3</c:v>
                </c:pt>
                <c:pt idx="36">
                  <c:v>-4.0000000000000001E-3</c:v>
                </c:pt>
                <c:pt idx="37">
                  <c:v>-3.0000000000000001E-3</c:v>
                </c:pt>
                <c:pt idx="38">
                  <c:v>-2E-3</c:v>
                </c:pt>
                <c:pt idx="39">
                  <c:v>-1E-3</c:v>
                </c:pt>
                <c:pt idx="40">
                  <c:v>0</c:v>
                </c:pt>
                <c:pt idx="41">
                  <c:v>1E-3</c:v>
                </c:pt>
                <c:pt idx="42">
                  <c:v>2E-3</c:v>
                </c:pt>
                <c:pt idx="43">
                  <c:v>3.0000000000000001E-3</c:v>
                </c:pt>
                <c:pt idx="44">
                  <c:v>4.0000000000000001E-3</c:v>
                </c:pt>
                <c:pt idx="45">
                  <c:v>5.0000000000000001E-3</c:v>
                </c:pt>
                <c:pt idx="46">
                  <c:v>6.0000000000000001E-3</c:v>
                </c:pt>
                <c:pt idx="47">
                  <c:v>7.0000000000000001E-3</c:v>
                </c:pt>
                <c:pt idx="48">
                  <c:v>8.0000000000000002E-3</c:v>
                </c:pt>
                <c:pt idx="49">
                  <c:v>9.0000000000000011E-3</c:v>
                </c:pt>
                <c:pt idx="50">
                  <c:v>1.0000000000000002E-2</c:v>
                </c:pt>
                <c:pt idx="51">
                  <c:v>1.1000000000000003E-2</c:v>
                </c:pt>
                <c:pt idx="52">
                  <c:v>1.2000000000000004E-2</c:v>
                </c:pt>
                <c:pt idx="53">
                  <c:v>1.3000000000000005E-2</c:v>
                </c:pt>
                <c:pt idx="54">
                  <c:v>1.4000000000000005E-2</c:v>
                </c:pt>
                <c:pt idx="55">
                  <c:v>1.5000000000000006E-2</c:v>
                </c:pt>
                <c:pt idx="56">
                  <c:v>1.6000000000000007E-2</c:v>
                </c:pt>
                <c:pt idx="57">
                  <c:v>1.7000000000000008E-2</c:v>
                </c:pt>
                <c:pt idx="58">
                  <c:v>1.8000000000000009E-2</c:v>
                </c:pt>
                <c:pt idx="59">
                  <c:v>1.900000000000001E-2</c:v>
                </c:pt>
                <c:pt idx="60">
                  <c:v>2.0000000000000011E-2</c:v>
                </c:pt>
                <c:pt idx="61">
                  <c:v>2.1000000000000012E-2</c:v>
                </c:pt>
                <c:pt idx="62">
                  <c:v>2.2000000000000013E-2</c:v>
                </c:pt>
                <c:pt idx="63">
                  <c:v>2.3000000000000013E-2</c:v>
                </c:pt>
                <c:pt idx="64">
                  <c:v>2.4000000000000014E-2</c:v>
                </c:pt>
                <c:pt idx="65">
                  <c:v>2.5000000000000015E-2</c:v>
                </c:pt>
                <c:pt idx="66">
                  <c:v>2.6000000000000016E-2</c:v>
                </c:pt>
                <c:pt idx="67">
                  <c:v>2.7000000000000017E-2</c:v>
                </c:pt>
                <c:pt idx="68">
                  <c:v>2.8000000000000018E-2</c:v>
                </c:pt>
                <c:pt idx="69">
                  <c:v>2.9000000000000019E-2</c:v>
                </c:pt>
                <c:pt idx="70">
                  <c:v>3.000000000000002E-2</c:v>
                </c:pt>
                <c:pt idx="71">
                  <c:v>3.1000000000000021E-2</c:v>
                </c:pt>
                <c:pt idx="72">
                  <c:v>3.2000000000000021E-2</c:v>
                </c:pt>
                <c:pt idx="73">
                  <c:v>3.3000000000000022E-2</c:v>
                </c:pt>
                <c:pt idx="74">
                  <c:v>3.4000000000000023E-2</c:v>
                </c:pt>
                <c:pt idx="75">
                  <c:v>3.5000000000000024E-2</c:v>
                </c:pt>
                <c:pt idx="76">
                  <c:v>3.6000000000000025E-2</c:v>
                </c:pt>
                <c:pt idx="77">
                  <c:v>3.7000000000000026E-2</c:v>
                </c:pt>
                <c:pt idx="78">
                  <c:v>3.8000000000000027E-2</c:v>
                </c:pt>
                <c:pt idx="79">
                  <c:v>3.9000000000000028E-2</c:v>
                </c:pt>
                <c:pt idx="80">
                  <c:v>4.0000000000000029E-2</c:v>
                </c:pt>
              </c:numCache>
            </c:numRef>
          </c:xVal>
          <c:yVal>
            <c:numRef>
              <c:f>'Notes | Quant Analysis'!$R$245:$R$325</c:f>
              <c:numCache>
                <c:formatCode>General</c:formatCode>
                <c:ptCount val="81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8</c:v>
                </c:pt>
                <c:pt idx="21">
                  <c:v>8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19</c:v>
                </c:pt>
                <c:pt idx="28">
                  <c:v>29</c:v>
                </c:pt>
                <c:pt idx="29">
                  <c:v>25</c:v>
                </c:pt>
                <c:pt idx="30">
                  <c:v>27</c:v>
                </c:pt>
                <c:pt idx="31">
                  <c:v>30</c:v>
                </c:pt>
                <c:pt idx="32">
                  <c:v>41</c:v>
                </c:pt>
                <c:pt idx="33">
                  <c:v>41</c:v>
                </c:pt>
                <c:pt idx="34">
                  <c:v>51</c:v>
                </c:pt>
                <c:pt idx="35">
                  <c:v>53</c:v>
                </c:pt>
                <c:pt idx="36">
                  <c:v>55</c:v>
                </c:pt>
                <c:pt idx="37">
                  <c:v>51</c:v>
                </c:pt>
                <c:pt idx="38">
                  <c:v>72</c:v>
                </c:pt>
                <c:pt idx="39">
                  <c:v>61</c:v>
                </c:pt>
                <c:pt idx="40">
                  <c:v>62</c:v>
                </c:pt>
                <c:pt idx="41">
                  <c:v>67</c:v>
                </c:pt>
                <c:pt idx="42">
                  <c:v>60</c:v>
                </c:pt>
                <c:pt idx="43">
                  <c:v>59</c:v>
                </c:pt>
                <c:pt idx="44">
                  <c:v>60</c:v>
                </c:pt>
                <c:pt idx="45">
                  <c:v>50</c:v>
                </c:pt>
                <c:pt idx="46">
                  <c:v>45</c:v>
                </c:pt>
                <c:pt idx="47">
                  <c:v>41</c:v>
                </c:pt>
                <c:pt idx="48">
                  <c:v>42</c:v>
                </c:pt>
                <c:pt idx="49">
                  <c:v>38</c:v>
                </c:pt>
                <c:pt idx="50">
                  <c:v>36</c:v>
                </c:pt>
                <c:pt idx="51">
                  <c:v>38</c:v>
                </c:pt>
                <c:pt idx="52">
                  <c:v>24</c:v>
                </c:pt>
                <c:pt idx="53">
                  <c:v>29</c:v>
                </c:pt>
                <c:pt idx="54">
                  <c:v>20</c:v>
                </c:pt>
                <c:pt idx="55">
                  <c:v>14</c:v>
                </c:pt>
                <c:pt idx="56">
                  <c:v>23</c:v>
                </c:pt>
                <c:pt idx="57">
                  <c:v>19</c:v>
                </c:pt>
                <c:pt idx="58">
                  <c:v>12</c:v>
                </c:pt>
                <c:pt idx="59">
                  <c:v>12</c:v>
                </c:pt>
                <c:pt idx="60">
                  <c:v>7</c:v>
                </c:pt>
                <c:pt idx="61">
                  <c:v>10</c:v>
                </c:pt>
                <c:pt idx="62">
                  <c:v>8</c:v>
                </c:pt>
                <c:pt idx="63">
                  <c:v>4</c:v>
                </c:pt>
                <c:pt idx="64">
                  <c:v>2</c:v>
                </c:pt>
                <c:pt idx="65">
                  <c:v>4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69">
                  <c:v>4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Analysis'!$T$243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Analysis'!$T$245:$T$329</c:f>
              <c:numCache>
                <c:formatCode>0.00%</c:formatCode>
                <c:ptCount val="85"/>
                <c:pt idx="0">
                  <c:v>-4.200000000000003E-2</c:v>
                </c:pt>
                <c:pt idx="1">
                  <c:v>-4.1000000000000029E-2</c:v>
                </c:pt>
                <c:pt idx="2">
                  <c:v>-4.0000000000000029E-2</c:v>
                </c:pt>
                <c:pt idx="3">
                  <c:v>-3.9000000000000028E-2</c:v>
                </c:pt>
                <c:pt idx="4">
                  <c:v>-3.8000000000000027E-2</c:v>
                </c:pt>
                <c:pt idx="5">
                  <c:v>-3.7000000000000026E-2</c:v>
                </c:pt>
                <c:pt idx="6">
                  <c:v>-3.6000000000000025E-2</c:v>
                </c:pt>
                <c:pt idx="7">
                  <c:v>-3.5000000000000024E-2</c:v>
                </c:pt>
                <c:pt idx="8">
                  <c:v>-3.4000000000000023E-2</c:v>
                </c:pt>
                <c:pt idx="9">
                  <c:v>-3.3000000000000022E-2</c:v>
                </c:pt>
                <c:pt idx="10">
                  <c:v>-3.2000000000000021E-2</c:v>
                </c:pt>
                <c:pt idx="11">
                  <c:v>-3.1000000000000021E-2</c:v>
                </c:pt>
                <c:pt idx="12">
                  <c:v>-3.000000000000002E-2</c:v>
                </c:pt>
                <c:pt idx="13">
                  <c:v>-2.9000000000000019E-2</c:v>
                </c:pt>
                <c:pt idx="14">
                  <c:v>-2.8000000000000018E-2</c:v>
                </c:pt>
                <c:pt idx="15">
                  <c:v>-2.7000000000000017E-2</c:v>
                </c:pt>
                <c:pt idx="16">
                  <c:v>-2.6000000000000016E-2</c:v>
                </c:pt>
                <c:pt idx="17">
                  <c:v>-2.5000000000000015E-2</c:v>
                </c:pt>
                <c:pt idx="18">
                  <c:v>-2.4000000000000014E-2</c:v>
                </c:pt>
                <c:pt idx="19">
                  <c:v>-2.3000000000000013E-2</c:v>
                </c:pt>
                <c:pt idx="20">
                  <c:v>-2.2000000000000013E-2</c:v>
                </c:pt>
                <c:pt idx="21">
                  <c:v>-2.1000000000000012E-2</c:v>
                </c:pt>
                <c:pt idx="22">
                  <c:v>-2.0000000000000011E-2</c:v>
                </c:pt>
                <c:pt idx="23">
                  <c:v>-1.900000000000001E-2</c:v>
                </c:pt>
                <c:pt idx="24">
                  <c:v>-1.8000000000000009E-2</c:v>
                </c:pt>
                <c:pt idx="25">
                  <c:v>-1.7000000000000008E-2</c:v>
                </c:pt>
                <c:pt idx="26">
                  <c:v>-1.6000000000000007E-2</c:v>
                </c:pt>
                <c:pt idx="27">
                  <c:v>-1.5000000000000006E-2</c:v>
                </c:pt>
                <c:pt idx="28">
                  <c:v>-1.4000000000000005E-2</c:v>
                </c:pt>
                <c:pt idx="29">
                  <c:v>-1.3000000000000005E-2</c:v>
                </c:pt>
                <c:pt idx="30">
                  <c:v>-1.2000000000000004E-2</c:v>
                </c:pt>
                <c:pt idx="31">
                  <c:v>-1.1000000000000003E-2</c:v>
                </c:pt>
                <c:pt idx="32">
                  <c:v>-1.0000000000000002E-2</c:v>
                </c:pt>
                <c:pt idx="33">
                  <c:v>-9.0000000000000011E-3</c:v>
                </c:pt>
                <c:pt idx="34">
                  <c:v>-8.0000000000000002E-3</c:v>
                </c:pt>
                <c:pt idx="35">
                  <c:v>-7.0000000000000001E-3</c:v>
                </c:pt>
                <c:pt idx="36">
                  <c:v>-6.0000000000000001E-3</c:v>
                </c:pt>
                <c:pt idx="37">
                  <c:v>-5.0000000000000001E-3</c:v>
                </c:pt>
                <c:pt idx="38">
                  <c:v>-4.0000000000000001E-3</c:v>
                </c:pt>
                <c:pt idx="39">
                  <c:v>-3.0000000000000001E-3</c:v>
                </c:pt>
                <c:pt idx="40">
                  <c:v>-2E-3</c:v>
                </c:pt>
                <c:pt idx="41">
                  <c:v>-1E-3</c:v>
                </c:pt>
                <c:pt idx="42">
                  <c:v>0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8.0000000000000002E-3</c:v>
                </c:pt>
                <c:pt idx="51">
                  <c:v>9.0000000000000011E-3</c:v>
                </c:pt>
                <c:pt idx="52">
                  <c:v>1.0000000000000002E-2</c:v>
                </c:pt>
                <c:pt idx="53">
                  <c:v>1.1000000000000003E-2</c:v>
                </c:pt>
                <c:pt idx="54">
                  <c:v>1.2000000000000004E-2</c:v>
                </c:pt>
                <c:pt idx="55">
                  <c:v>1.3000000000000005E-2</c:v>
                </c:pt>
                <c:pt idx="56">
                  <c:v>1.4000000000000005E-2</c:v>
                </c:pt>
                <c:pt idx="57">
                  <c:v>1.5000000000000006E-2</c:v>
                </c:pt>
                <c:pt idx="58">
                  <c:v>1.6000000000000007E-2</c:v>
                </c:pt>
                <c:pt idx="59">
                  <c:v>1.7000000000000008E-2</c:v>
                </c:pt>
                <c:pt idx="60">
                  <c:v>1.8000000000000009E-2</c:v>
                </c:pt>
                <c:pt idx="61">
                  <c:v>1.900000000000001E-2</c:v>
                </c:pt>
                <c:pt idx="62">
                  <c:v>2.0000000000000011E-2</c:v>
                </c:pt>
                <c:pt idx="63">
                  <c:v>2.1000000000000012E-2</c:v>
                </c:pt>
                <c:pt idx="64">
                  <c:v>2.2000000000000013E-2</c:v>
                </c:pt>
                <c:pt idx="65">
                  <c:v>2.3000000000000013E-2</c:v>
                </c:pt>
                <c:pt idx="66">
                  <c:v>2.4000000000000014E-2</c:v>
                </c:pt>
                <c:pt idx="67">
                  <c:v>2.5000000000000015E-2</c:v>
                </c:pt>
                <c:pt idx="68">
                  <c:v>2.6000000000000016E-2</c:v>
                </c:pt>
                <c:pt idx="69">
                  <c:v>2.7000000000000017E-2</c:v>
                </c:pt>
                <c:pt idx="70">
                  <c:v>2.8000000000000018E-2</c:v>
                </c:pt>
                <c:pt idx="71">
                  <c:v>2.9000000000000019E-2</c:v>
                </c:pt>
                <c:pt idx="72">
                  <c:v>3.000000000000002E-2</c:v>
                </c:pt>
                <c:pt idx="73">
                  <c:v>3.1000000000000021E-2</c:v>
                </c:pt>
                <c:pt idx="74">
                  <c:v>3.2000000000000021E-2</c:v>
                </c:pt>
                <c:pt idx="75">
                  <c:v>3.3000000000000022E-2</c:v>
                </c:pt>
                <c:pt idx="76">
                  <c:v>3.4000000000000023E-2</c:v>
                </c:pt>
                <c:pt idx="77">
                  <c:v>3.5000000000000024E-2</c:v>
                </c:pt>
                <c:pt idx="78">
                  <c:v>3.6000000000000025E-2</c:v>
                </c:pt>
                <c:pt idx="79">
                  <c:v>3.7000000000000026E-2</c:v>
                </c:pt>
                <c:pt idx="80">
                  <c:v>3.8000000000000027E-2</c:v>
                </c:pt>
                <c:pt idx="81">
                  <c:v>3.9000000000000028E-2</c:v>
                </c:pt>
                <c:pt idx="82">
                  <c:v>4.0000000000000029E-2</c:v>
                </c:pt>
                <c:pt idx="83">
                  <c:v>4.1000000000000029E-2</c:v>
                </c:pt>
                <c:pt idx="84">
                  <c:v>4.200000000000003E-2</c:v>
                </c:pt>
              </c:numCache>
            </c:numRef>
          </c:xVal>
          <c:yVal>
            <c:numRef>
              <c:f>'Notes | Quant Analysis'!$U$245:$U$329</c:f>
              <c:numCache>
                <c:formatCode>General</c:formatCode>
                <c:ptCount val="85"/>
                <c:pt idx="0">
                  <c:v>7.2903043032960135E-2</c:v>
                </c:pt>
                <c:pt idx="1">
                  <c:v>9.7253125934309653E-2</c:v>
                </c:pt>
                <c:pt idx="2">
                  <c:v>0.12883817108604287</c:v>
                </c:pt>
                <c:pt idx="3">
                  <c:v>0.16949957039872227</c:v>
                </c:pt>
                <c:pt idx="4">
                  <c:v>0.22145001869061579</c:v>
                </c:pt>
                <c:pt idx="5">
                  <c:v>0.28732003428961517</c:v>
                </c:pt>
                <c:pt idx="6">
                  <c:v>0.37020234614804587</c:v>
                </c:pt>
                <c:pt idx="7">
                  <c:v>0.47369139204673333</c:v>
                </c:pt>
                <c:pt idx="8">
                  <c:v>0.60191461380774325</c:v>
                </c:pt>
                <c:pt idx="9">
                  <c:v>0.7595517196746443</c:v>
                </c:pt>
                <c:pt idx="10">
                  <c:v>0.9518376599885422</c:v>
                </c:pt>
                <c:pt idx="11">
                  <c:v>1.1845447856563081</c:v>
                </c:pt>
                <c:pt idx="12">
                  <c:v>1.4639395893402356</c:v>
                </c:pt>
                <c:pt idx="13">
                  <c:v>1.7967096264616429</c:v>
                </c:pt>
                <c:pt idx="14">
                  <c:v>2.1898567315998099</c:v>
                </c:pt>
                <c:pt idx="15">
                  <c:v>2.650553529285911</c:v>
                </c:pt>
                <c:pt idx="16">
                  <c:v>3.1859615127583263</c:v>
                </c:pt>
                <c:pt idx="17">
                  <c:v>3.8030106324435402</c:v>
                </c:pt>
                <c:pt idx="18">
                  <c:v>4.5081423708364241</c:v>
                </c:pt>
                <c:pt idx="19">
                  <c:v>5.3070206214888511</c:v>
                </c:pt>
                <c:pt idx="20">
                  <c:v>6.2042172405878508</c:v>
                </c:pt>
                <c:pt idx="21">
                  <c:v>7.2028817685832287</c:v>
                </c:pt>
                <c:pt idx="22">
                  <c:v>8.3044073637962867</c:v>
                </c:pt>
                <c:pt idx="23">
                  <c:v>9.5081072635306718</c:v>
                </c:pt>
                <c:pt idx="24">
                  <c:v>10.810917891901937</c:v>
                </c:pt>
                <c:pt idx="25">
                  <c:v>12.207145869845444</c:v>
                </c:pt>
                <c:pt idx="26">
                  <c:v>13.688276471772522</c:v>
                </c:pt>
                <c:pt idx="27">
                  <c:v>15.242860370480372</c:v>
                </c:pt>
                <c:pt idx="28">
                  <c:v>16.856493724569656</c:v>
                </c:pt>
                <c:pt idx="29">
                  <c:v>18.51190376495121</c:v>
                </c:pt>
                <c:pt idx="30">
                  <c:v>20.189148080873903</c:v>
                </c:pt>
                <c:pt idx="31">
                  <c:v>21.86593092631723</c:v>
                </c:pt>
                <c:pt idx="32">
                  <c:v>23.518034281735734</c:v>
                </c:pt>
                <c:pt idx="33">
                  <c:v>25.119855405017486</c:v>
                </c:pt>
                <c:pt idx="34">
                  <c:v>26.645036538402117</c:v>
                </c:pt>
                <c:pt idx="35">
                  <c:v>28.06716669045489</c:v>
                </c:pt>
                <c:pt idx="36">
                  <c:v>29.36053037847693</c:v>
                </c:pt>
                <c:pt idx="37">
                  <c:v>30.500874270220859</c:v>
                </c:pt>
                <c:pt idx="38">
                  <c:v>31.466160125909184</c:v>
                </c:pt>
                <c:pt idx="39">
                  <c:v>32.2372715535857</c:v>
                </c:pt>
                <c:pt idx="40">
                  <c:v>32.798642990624678</c:v>
                </c:pt>
                <c:pt idx="41">
                  <c:v>33.138782030463858</c:v>
                </c:pt>
                <c:pt idx="42">
                  <c:v>33.250660619366229</c:v>
                </c:pt>
                <c:pt idx="43">
                  <c:v>33.131956524475754</c:v>
                </c:pt>
                <c:pt idx="44">
                  <c:v>32.785133485100218</c:v>
                </c:pt>
                <c:pt idx="45">
                  <c:v>32.217356183179696</c:v>
                </c:pt>
                <c:pt idx="46">
                  <c:v>31.440244131879794</c:v>
                </c:pt>
                <c:pt idx="47">
                  <c:v>30.469476290764966</c:v>
                </c:pt>
                <c:pt idx="48">
                  <c:v>29.324265198750343</c:v>
                </c:pt>
                <c:pt idx="49">
                  <c:v>28.026725253237398</c:v>
                </c:pt>
                <c:pt idx="50">
                  <c:v>26.601164121897845</c:v>
                </c:pt>
                <c:pt idx="51">
                  <c:v>25.073328927162795</c:v>
                </c:pt>
                <c:pt idx="52">
                  <c:v>23.469639689373924</c:v>
                </c:pt>
                <c:pt idx="53">
                  <c:v>21.816441575122219</c:v>
                </c:pt>
                <c:pt idx="54">
                  <c:v>20.139304913728122</c:v>
                </c:pt>
                <c:pt idx="55">
                  <c:v>18.462397961115126</c:v>
                </c:pt>
                <c:pt idx="56">
                  <c:v>16.807952329892036</c:v>
                </c:pt>
                <c:pt idx="57">
                  <c:v>15.195835241635045</c:v>
                </c:pt>
                <c:pt idx="58">
                  <c:v>13.643236686772074</c:v>
                </c:pt>
                <c:pt idx="59">
                  <c:v>12.164473583875697</c:v>
                </c:pt>
                <c:pt idx="60">
                  <c:v>10.770907461404379</c:v>
                </c:pt>
                <c:pt idx="61">
                  <c:v>9.4709673299936732</c:v>
                </c:pt>
                <c:pt idx="62">
                  <c:v>8.2702654871089933</c:v>
                </c:pt>
                <c:pt idx="63">
                  <c:v>7.171791130779634</c:v>
                </c:pt>
                <c:pt idx="64">
                  <c:v>6.1761649046726346</c:v>
                </c:pt>
                <c:pt idx="65">
                  <c:v>5.2819368249403791</c:v>
                </c:pt>
                <c:pt idx="66">
                  <c:v>4.4859103557055171</c:v>
                </c:pt>
                <c:pt idx="67">
                  <c:v>3.7834765587974655</c:v>
                </c:pt>
                <c:pt idx="68">
                  <c:v>3.1689440638713986</c:v>
                </c:pt>
                <c:pt idx="69">
                  <c:v>2.6358528894945916</c:v>
                </c:pt>
                <c:pt idx="70">
                  <c:v>2.1772626953504495</c:v>
                </c:pt>
                <c:pt idx="71">
                  <c:v>1.7860086745720158</c:v>
                </c:pt>
                <c:pt idx="72">
                  <c:v>1.4549208414946706</c:v>
                </c:pt>
                <c:pt idx="73">
                  <c:v>1.1770048032838856</c:v>
                </c:pt>
                <c:pt idx="74">
                  <c:v>0.94558412862744212</c:v>
                </c:pt>
                <c:pt idx="75">
                  <c:v>0.7544060834370796</c:v>
                </c:pt>
                <c:pt idx="76">
                  <c:v>0.59771376630495188</c:v>
                </c:pt>
                <c:pt idx="77">
                  <c:v>0.47028854857876579</c:v>
                </c:pt>
                <c:pt idx="78">
                  <c:v>0.36746723218320559</c:v>
                </c:pt>
                <c:pt idx="79">
                  <c:v>0.28513852674516799</c:v>
                </c:pt>
                <c:pt idx="80">
                  <c:v>0.21972337100339312</c:v>
                </c:pt>
                <c:pt idx="81">
                  <c:v>0.16814334163325623</c:v>
                </c:pt>
                <c:pt idx="82">
                  <c:v>0.12778096509396716</c:v>
                </c:pt>
                <c:pt idx="83">
                  <c:v>9.6435230409425476E-2</c:v>
                </c:pt>
                <c:pt idx="84">
                  <c:v>7.2275041524951303E-2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Analysis'!$W$245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1468492515614592E-2"/>
                  <c:y val="-4.98709721756053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51478831001885"/>
                      <c:h val="7.7448366460932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Analysis'!$X$245:$X$246</c:f>
              <c:numCache>
                <c:formatCode>0.00%</c:formatCode>
                <c:ptCount val="2"/>
                <c:pt idx="0">
                  <c:v>-1.482627171302668E-5</c:v>
                </c:pt>
                <c:pt idx="1">
                  <c:v>-1.482627171302668E-5</c:v>
                </c:pt>
              </c:numCache>
            </c:numRef>
          </c:xVal>
          <c:yVal>
            <c:numRef>
              <c:f>'Notes | Quant Analysis'!$Y$245:$Y$246</c:f>
              <c:numCache>
                <c:formatCode>General</c:formatCode>
                <c:ptCount val="2"/>
                <c:pt idx="0">
                  <c:v>0</c:v>
                </c:pt>
                <c:pt idx="1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Analysis'!$W$247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Analysis'!$X$247:$X$248</c:f>
              <c:numCache>
                <c:formatCode>0.00%</c:formatCode>
                <c:ptCount val="2"/>
                <c:pt idx="0">
                  <c:v>-3.6008875867159042E-2</c:v>
                </c:pt>
                <c:pt idx="1">
                  <c:v>-3.6008875867159042E-2</c:v>
                </c:pt>
              </c:numCache>
            </c:numRef>
          </c:xVal>
          <c:yVal>
            <c:numRef>
              <c:f>'Notes | Quant Analysis'!$Y$247:$Y$248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Analysis'!$W$249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Analysis'!$X$249:$X$250</c:f>
              <c:numCache>
                <c:formatCode>0.00%</c:formatCode>
                <c:ptCount val="2"/>
                <c:pt idx="0">
                  <c:v>-2.40108593353437E-2</c:v>
                </c:pt>
                <c:pt idx="1">
                  <c:v>-2.40108593353437E-2</c:v>
                </c:pt>
              </c:numCache>
            </c:numRef>
          </c:xVal>
          <c:yVal>
            <c:numRef>
              <c:f>'Notes | Quant Analysis'!$Y$249:$Y$250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Analysis'!$W$251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Analysis'!$X$251:$X$252</c:f>
              <c:numCache>
                <c:formatCode>0.00%</c:formatCode>
                <c:ptCount val="2"/>
                <c:pt idx="0">
                  <c:v>-1.2012842803528363E-2</c:v>
                </c:pt>
                <c:pt idx="1">
                  <c:v>-1.2012842803528363E-2</c:v>
                </c:pt>
              </c:numCache>
            </c:numRef>
          </c:xVal>
          <c:yVal>
            <c:numRef>
              <c:f>'Notes | Quant Analysis'!$Y$251:$Y$252</c:f>
              <c:numCache>
                <c:formatCode>General</c:formatCode>
                <c:ptCount val="2"/>
                <c:pt idx="0">
                  <c:v>0</c:v>
                </c:pt>
                <c:pt idx="1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Analysis'!$W$253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Analysis'!$X$253:$X$254</c:f>
              <c:numCache>
                <c:formatCode>0.00%</c:formatCode>
                <c:ptCount val="2"/>
                <c:pt idx="0">
                  <c:v>1.1983190260102311E-2</c:v>
                </c:pt>
                <c:pt idx="1">
                  <c:v>1.1983190260102311E-2</c:v>
                </c:pt>
              </c:numCache>
            </c:numRef>
          </c:xVal>
          <c:yVal>
            <c:numRef>
              <c:f>'Notes | Quant Analysis'!$Y$253:$Y$254</c:f>
              <c:numCache>
                <c:formatCode>General</c:formatCode>
                <c:ptCount val="2"/>
                <c:pt idx="0">
                  <c:v>0</c:v>
                </c:pt>
                <c:pt idx="1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Analysis'!$W$255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Analysis'!$X$255:$X$256</c:f>
              <c:numCache>
                <c:formatCode>0.00%</c:formatCode>
                <c:ptCount val="2"/>
                <c:pt idx="0">
                  <c:v>2.3981206791917647E-2</c:v>
                </c:pt>
                <c:pt idx="1">
                  <c:v>2.3981206791917647E-2</c:v>
                </c:pt>
              </c:numCache>
            </c:numRef>
          </c:xVal>
          <c:yVal>
            <c:numRef>
              <c:f>'Notes | Quant Analysis'!$Y$255:$Y$256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Analysis'!$W$257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Analysis'!$X$257:$X$258</c:f>
              <c:numCache>
                <c:formatCode>0.00%</c:formatCode>
                <c:ptCount val="2"/>
                <c:pt idx="0">
                  <c:v>3.5979223323732983E-2</c:v>
                </c:pt>
                <c:pt idx="1">
                  <c:v>3.5979223323732983E-2</c:v>
                </c:pt>
              </c:numCache>
            </c:numRef>
          </c:xVal>
          <c:yVal>
            <c:numRef>
              <c:f>'Notes | Quant Analysis'!$Y$257:$Y$258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(LMT)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Model!$CA$80:$CQ$80</c:f>
              <c:numCache>
                <c:formatCode>General</c:formatCode>
                <c:ptCount val="17"/>
                <c:pt idx="0">
                  <c:v>2967</c:v>
                </c:pt>
                <c:pt idx="1">
                  <c:v>2335</c:v>
                </c:pt>
                <c:pt idx="2">
                  <c:v>2652</c:v>
                </c:pt>
                <c:pt idx="3">
                  <c:v>2745</c:v>
                </c:pt>
                <c:pt idx="4">
                  <c:v>2981</c:v>
                </c:pt>
                <c:pt idx="5">
                  <c:v>3253</c:v>
                </c:pt>
                <c:pt idx="6">
                  <c:v>3605</c:v>
                </c:pt>
                <c:pt idx="7">
                  <c:v>4959</c:v>
                </c:pt>
                <c:pt idx="8">
                  <c:v>1890</c:v>
                </c:pt>
                <c:pt idx="9">
                  <c:v>5046</c:v>
                </c:pt>
                <c:pt idx="10">
                  <c:v>6230</c:v>
                </c:pt>
                <c:pt idx="11">
                  <c:v>6888</c:v>
                </c:pt>
                <c:pt idx="12">
                  <c:v>6315</c:v>
                </c:pt>
                <c:pt idx="13">
                  <c:v>5732</c:v>
                </c:pt>
                <c:pt idx="14">
                  <c:v>6920</c:v>
                </c:pt>
                <c:pt idx="15">
                  <c:v>5336</c:v>
                </c:pt>
                <c:pt idx="16">
                  <c:v>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Model!$CA$126:$CQ$126</c:f>
              <c:numCache>
                <c:formatCode>General</c:formatCode>
                <c:ptCount val="17"/>
                <c:pt idx="0">
                  <c:v>2249</c:v>
                </c:pt>
                <c:pt idx="1">
                  <c:v>2962</c:v>
                </c:pt>
                <c:pt idx="2">
                  <c:v>2632</c:v>
                </c:pt>
                <c:pt idx="3">
                  <c:v>619</c:v>
                </c:pt>
                <c:pt idx="4">
                  <c:v>3710</c:v>
                </c:pt>
                <c:pt idx="5">
                  <c:v>3021</c:v>
                </c:pt>
                <c:pt idx="6">
                  <c:v>4162</c:v>
                </c:pt>
                <c:pt idx="7">
                  <c:v>4126</c:v>
                </c:pt>
                <c:pt idx="8">
                  <c:v>5299</c:v>
                </c:pt>
                <c:pt idx="9">
                  <c:v>1860</c:v>
                </c:pt>
                <c:pt idx="10">
                  <c:v>5827</c:v>
                </c:pt>
                <c:pt idx="11">
                  <c:v>6417</c:v>
                </c:pt>
                <c:pt idx="12">
                  <c:v>7699</c:v>
                </c:pt>
                <c:pt idx="13">
                  <c:v>6132</c:v>
                </c:pt>
                <c:pt idx="14">
                  <c:v>6229</c:v>
                </c:pt>
                <c:pt idx="15">
                  <c:v>5287</c:v>
                </c:pt>
                <c:pt idx="16">
                  <c:v>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Model!$CA$3:$CQ$3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Model!$CA$70:$CQ$70</c:f>
              <c:numCache>
                <c:formatCode>General</c:formatCode>
                <c:ptCount val="17"/>
                <c:pt idx="0">
                  <c:v>43867</c:v>
                </c:pt>
                <c:pt idx="1">
                  <c:v>45671</c:v>
                </c:pt>
                <c:pt idx="2">
                  <c:v>46499</c:v>
                </c:pt>
                <c:pt idx="3">
                  <c:v>47182</c:v>
                </c:pt>
                <c:pt idx="4">
                  <c:v>45358</c:v>
                </c:pt>
                <c:pt idx="5">
                  <c:v>39946</c:v>
                </c:pt>
                <c:pt idx="6">
                  <c:v>40536</c:v>
                </c:pt>
                <c:pt idx="7">
                  <c:v>47290</c:v>
                </c:pt>
                <c:pt idx="8">
                  <c:v>49960</c:v>
                </c:pt>
                <c:pt idx="9">
                  <c:v>53762</c:v>
                </c:pt>
                <c:pt idx="10">
                  <c:v>59812</c:v>
                </c:pt>
                <c:pt idx="11">
                  <c:v>65398</c:v>
                </c:pt>
                <c:pt idx="12">
                  <c:v>67044</c:v>
                </c:pt>
                <c:pt idx="13">
                  <c:v>65984</c:v>
                </c:pt>
                <c:pt idx="14">
                  <c:v>67571</c:v>
                </c:pt>
                <c:pt idx="15">
                  <c:v>71043</c:v>
                </c:pt>
                <c:pt idx="16">
                  <c:v>75048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(LMT) Revenue by Segment (in $ millions)</a:t>
            </a:r>
          </a:p>
        </c:rich>
      </c:tx>
      <c:layout>
        <c:manualLayout>
          <c:xMode val="edge"/>
          <c:yMode val="edge"/>
          <c:x val="0.36637617099605524"/>
          <c:y val="2.1259464228021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Model!$B$51</c:f>
              <c:strCache>
                <c:ptCount val="1"/>
                <c:pt idx="0">
                  <c:v>Europe Revenues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Model!$BK$1:$BS$1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Model!$BK$51:$BU$51</c:f>
              <c:numCache>
                <c:formatCode>General</c:formatCode>
                <c:ptCount val="11"/>
                <c:pt idx="0">
                  <c:v>1743</c:v>
                </c:pt>
                <c:pt idx="1">
                  <c:v>1780</c:v>
                </c:pt>
                <c:pt idx="2">
                  <c:v>1708</c:v>
                </c:pt>
                <c:pt idx="3">
                  <c:v>2485</c:v>
                </c:pt>
                <c:pt idx="4">
                  <c:v>1968</c:v>
                </c:pt>
                <c:pt idx="5">
                  <c:v>2086</c:v>
                </c:pt>
                <c:pt idx="6">
                  <c:v>2011</c:v>
                </c:pt>
                <c:pt idx="7">
                  <c:v>2740</c:v>
                </c:pt>
                <c:pt idx="8">
                  <c:v>2625</c:v>
                </c:pt>
                <c:pt idx="9">
                  <c:v>2802</c:v>
                </c:pt>
                <c:pt idx="10">
                  <c:v>2780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2-4E5B-87E5-171C41E98D82}"/>
            </c:ext>
          </c:extLst>
        </c:ser>
        <c:ser>
          <c:idx val="2"/>
          <c:order val="1"/>
          <c:tx>
            <c:strRef>
              <c:f>Model!$B$52</c:f>
              <c:strCache>
                <c:ptCount val="1"/>
                <c:pt idx="0">
                  <c:v>APAC Revenues</c:v>
                </c:pt>
              </c:strCache>
            </c:strRef>
          </c:tx>
          <c:spPr>
            <a:solidFill>
              <a:srgbClr val="44546A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Model!$BK$1:$BS$1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Model!$BK$52:$BU$52</c:f>
              <c:numCache>
                <c:formatCode>General</c:formatCode>
                <c:ptCount val="11"/>
                <c:pt idx="0">
                  <c:v>1409</c:v>
                </c:pt>
                <c:pt idx="1">
                  <c:v>1640</c:v>
                </c:pt>
                <c:pt idx="2">
                  <c:v>1503</c:v>
                </c:pt>
                <c:pt idx="3">
                  <c:v>1689</c:v>
                </c:pt>
                <c:pt idx="4">
                  <c:v>1744</c:v>
                </c:pt>
                <c:pt idx="5">
                  <c:v>1857</c:v>
                </c:pt>
                <c:pt idx="6">
                  <c:v>2003</c:v>
                </c:pt>
                <c:pt idx="7">
                  <c:v>2211</c:v>
                </c:pt>
                <c:pt idx="8">
                  <c:v>1669</c:v>
                </c:pt>
                <c:pt idx="9">
                  <c:v>1983</c:v>
                </c:pt>
                <c:pt idx="10">
                  <c:v>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2-4E5B-87E5-171C41E98D82}"/>
            </c:ext>
          </c:extLst>
        </c:ser>
        <c:ser>
          <c:idx val="3"/>
          <c:order val="2"/>
          <c:tx>
            <c:strRef>
              <c:f>Model!$B$53</c:f>
              <c:strCache>
                <c:ptCount val="1"/>
                <c:pt idx="0">
                  <c:v>Mid-East Revenues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Model!$BK$1:$BS$1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Model!$BK$53:$BU$53</c:f>
              <c:numCache>
                <c:formatCode>General</c:formatCode>
                <c:ptCount val="11"/>
                <c:pt idx="0">
                  <c:v>739</c:v>
                </c:pt>
                <c:pt idx="1">
                  <c:v>845</c:v>
                </c:pt>
                <c:pt idx="2">
                  <c:v>729</c:v>
                </c:pt>
                <c:pt idx="3">
                  <c:v>762</c:v>
                </c:pt>
                <c:pt idx="4">
                  <c:v>704</c:v>
                </c:pt>
                <c:pt idx="5">
                  <c:v>757</c:v>
                </c:pt>
                <c:pt idx="6">
                  <c:v>633</c:v>
                </c:pt>
                <c:pt idx="7">
                  <c:v>770</c:v>
                </c:pt>
                <c:pt idx="8">
                  <c:v>794</c:v>
                </c:pt>
                <c:pt idx="9">
                  <c:v>384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92-4E5B-87E5-171C41E98D82}"/>
            </c:ext>
          </c:extLst>
        </c:ser>
        <c:ser>
          <c:idx val="4"/>
          <c:order val="3"/>
          <c:tx>
            <c:strRef>
              <c:f>Model!$B$54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Model!$BK$54:$BU$54</c:f>
              <c:numCache>
                <c:formatCode>General</c:formatCode>
                <c:ptCount val="11"/>
                <c:pt idx="0">
                  <c:v>315</c:v>
                </c:pt>
                <c:pt idx="1">
                  <c:v>403</c:v>
                </c:pt>
                <c:pt idx="2">
                  <c:v>398</c:v>
                </c:pt>
                <c:pt idx="3">
                  <c:v>367</c:v>
                </c:pt>
                <c:pt idx="4">
                  <c:v>506</c:v>
                </c:pt>
                <c:pt idx="5">
                  <c:v>216</c:v>
                </c:pt>
                <c:pt idx="6">
                  <c:v>532</c:v>
                </c:pt>
                <c:pt idx="7">
                  <c:v>605</c:v>
                </c:pt>
                <c:pt idx="8">
                  <c:v>554</c:v>
                </c:pt>
                <c:pt idx="9">
                  <c:v>706</c:v>
                </c:pt>
                <c:pt idx="10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2-4E5B-87E5-171C41E98D82}"/>
            </c:ext>
          </c:extLst>
        </c:ser>
        <c:ser>
          <c:idx val="0"/>
          <c:order val="4"/>
          <c:tx>
            <c:strRef>
              <c:f>Model!$B$50</c:f>
              <c:strCache>
                <c:ptCount val="1"/>
                <c:pt idx="0">
                  <c:v>U.S. 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Model!$BK$1:$BS$1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Model!$BK$50:$BU$50</c:f>
              <c:numCache>
                <c:formatCode>General</c:formatCode>
                <c:ptCount val="11"/>
                <c:pt idx="0">
                  <c:v>12989</c:v>
                </c:pt>
                <c:pt idx="1">
                  <c:v>13454</c:v>
                </c:pt>
                <c:pt idx="2">
                  <c:v>12766</c:v>
                </c:pt>
                <c:pt idx="3">
                  <c:v>13319</c:v>
                </c:pt>
                <c:pt idx="4">
                  <c:v>13041</c:v>
                </c:pt>
                <c:pt idx="5">
                  <c:v>13239</c:v>
                </c:pt>
                <c:pt idx="6">
                  <c:v>13430</c:v>
                </c:pt>
                <c:pt idx="7">
                  <c:v>13995</c:v>
                </c:pt>
                <c:pt idx="8">
                  <c:v>12379</c:v>
                </c:pt>
                <c:pt idx="9">
                  <c:v>14188</c:v>
                </c:pt>
                <c:pt idx="10">
                  <c:v>14350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2-4E5B-87E5-171C41E98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220637687050857"/>
          <c:y val="8.5128623478520779E-2"/>
          <c:w val="0.80690110894731515"/>
          <c:h val="4.8877238032902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9525</xdr:rowOff>
    </xdr:from>
    <xdr:to>
      <xdr:col>8</xdr:col>
      <xdr:colOff>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CE65E-E9EA-ED98-32FD-D29383C7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6525" y="381000"/>
          <a:ext cx="1819275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0</xdr:colOff>
      <xdr:row>0</xdr:row>
      <xdr:rowOff>0</xdr:rowOff>
    </xdr:from>
    <xdr:to>
      <xdr:col>95</xdr:col>
      <xdr:colOff>0</xdr:colOff>
      <xdr:row>135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0</xdr:row>
      <xdr:rowOff>0</xdr:rowOff>
    </xdr:from>
    <xdr:to>
      <xdr:col>73</xdr:col>
      <xdr:colOff>0</xdr:colOff>
      <xdr:row>136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5D48EB0-4F05-4AAC-8C85-DC3D5B8A803D}"/>
            </a:ext>
          </a:extLst>
        </xdr:cNvPr>
        <xdr:cNvCxnSpPr/>
      </xdr:nvCxnSpPr>
      <xdr:spPr>
        <a:xfrm>
          <a:off x="45607941" y="0"/>
          <a:ext cx="0" cy="245588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0</xdr:row>
      <xdr:rowOff>0</xdr:rowOff>
    </xdr:from>
    <xdr:to>
      <xdr:col>95</xdr:col>
      <xdr:colOff>0</xdr:colOff>
      <xdr:row>135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4F2611-3293-46F4-8A01-F46A4AF88A50}"/>
            </a:ext>
          </a:extLst>
        </xdr:cNvPr>
        <xdr:cNvCxnSpPr/>
      </xdr:nvCxnSpPr>
      <xdr:spPr>
        <a:xfrm>
          <a:off x="64817625" y="0"/>
          <a:ext cx="0" cy="23374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</xdr:colOff>
      <xdr:row>66</xdr:row>
      <xdr:rowOff>190499</xdr:rowOff>
    </xdr:from>
    <xdr:to>
      <xdr:col>31</xdr:col>
      <xdr:colOff>1</xdr:colOff>
      <xdr:row>98</xdr:row>
      <xdr:rowOff>4081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139</xdr:row>
      <xdr:rowOff>0</xdr:rowOff>
    </xdr:from>
    <xdr:to>
      <xdr:col>31</xdr:col>
      <xdr:colOff>0</xdr:colOff>
      <xdr:row>167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204</xdr:row>
      <xdr:rowOff>0</xdr:rowOff>
    </xdr:from>
    <xdr:to>
      <xdr:col>31</xdr:col>
      <xdr:colOff>0</xdr:colOff>
      <xdr:row>232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172</xdr:row>
      <xdr:rowOff>0</xdr:rowOff>
    </xdr:from>
    <xdr:to>
      <xdr:col>31</xdr:col>
      <xdr:colOff>0</xdr:colOff>
      <xdr:row>200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102</xdr:row>
      <xdr:rowOff>190499</xdr:rowOff>
    </xdr:from>
    <xdr:to>
      <xdr:col>31</xdr:col>
      <xdr:colOff>0</xdr:colOff>
      <xdr:row>134</xdr:row>
      <xdr:rowOff>4081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ED4FE6-CC81-4433-B4C4-7BF6E1872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25</xdr:col>
      <xdr:colOff>0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4464EE-A05D-C3CA-88B1-AE60660E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107" y="367393"/>
          <a:ext cx="5510893" cy="5129893"/>
        </a:xfrm>
        <a:prstGeom prst="rect">
          <a:avLst/>
        </a:prstGeom>
      </xdr:spPr>
    </xdr:pic>
    <xdr:clientData/>
  </xdr:twoCellAnchor>
  <xdr:twoCellAnchor editAs="oneCell">
    <xdr:from>
      <xdr:col>25</xdr:col>
      <xdr:colOff>13608</xdr:colOff>
      <xdr:row>36</xdr:row>
      <xdr:rowOff>13607</xdr:rowOff>
    </xdr:from>
    <xdr:to>
      <xdr:col>35</xdr:col>
      <xdr:colOff>1</xdr:colOff>
      <xdr:row>61</xdr:row>
      <xdr:rowOff>163285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CB38869-0CA7-DEDF-64AE-EC9CAFF5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28608" y="6422571"/>
          <a:ext cx="6109607" cy="4572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13606</xdr:colOff>
      <xdr:row>36</xdr:row>
      <xdr:rowOff>13606</xdr:rowOff>
    </xdr:from>
    <xdr:to>
      <xdr:col>25</xdr:col>
      <xdr:colOff>13606</xdr:colOff>
      <xdr:row>62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3F0E86-62D1-B49C-BF9F-281CB522C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713" y="6422570"/>
          <a:ext cx="5510893" cy="45856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edgar/browse/?CIK=936468&amp;owner=exclude" TargetMode="External"/><Relationship Id="rId2" Type="http://schemas.openxmlformats.org/officeDocument/2006/relationships/hyperlink" Target="https://www.lockheedmartin.com/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2"/>
  <sheetViews>
    <sheetView zoomScale="85" zoomScaleNormal="85" workbookViewId="0">
      <selection activeCell="D4" sqref="D4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9.85546875" style="1" customWidth="1"/>
    <col min="4" max="4" width="9.140625" style="1" customWidth="1"/>
    <col min="5" max="16384" width="9.140625" style="1"/>
  </cols>
  <sheetData>
    <row r="2" spans="2:18" ht="15">
      <c r="B2" s="2" t="s">
        <v>141</v>
      </c>
    </row>
    <row r="3" spans="2:18">
      <c r="B3" s="1" t="s">
        <v>0</v>
      </c>
      <c r="C3" s="75">
        <v>585.36</v>
      </c>
      <c r="D3" s="42" t="s">
        <v>1780</v>
      </c>
    </row>
    <row r="4" spans="2:18">
      <c r="B4" s="1" t="s">
        <v>1</v>
      </c>
      <c r="C4" s="76">
        <v>230.5</v>
      </c>
      <c r="D4" s="1" t="s">
        <v>1779</v>
      </c>
    </row>
    <row r="5" spans="2:18">
      <c r="B5" s="1" t="s">
        <v>2</v>
      </c>
      <c r="C5" s="77">
        <f>C3*C4</f>
        <v>134925.48000000001</v>
      </c>
    </row>
    <row r="6" spans="2:18">
      <c r="B6" s="1" t="s">
        <v>3</v>
      </c>
      <c r="C6" s="77">
        <v>5960</v>
      </c>
      <c r="D6" s="1" t="s">
        <v>1779</v>
      </c>
    </row>
    <row r="7" spans="2:18">
      <c r="B7" s="1" t="s">
        <v>4</v>
      </c>
      <c r="C7" s="77">
        <v>20498</v>
      </c>
      <c r="D7" s="1" t="s">
        <v>1779</v>
      </c>
    </row>
    <row r="8" spans="2:18">
      <c r="B8" s="1" t="s">
        <v>5</v>
      </c>
      <c r="C8" s="77">
        <f>C5-C6+C7</f>
        <v>149463.48000000001</v>
      </c>
    </row>
    <row r="10" spans="2:18" ht="15">
      <c r="B10" s="2" t="s">
        <v>150</v>
      </c>
    </row>
    <row r="12" spans="2:18" ht="15">
      <c r="B12" s="1" t="s">
        <v>151</v>
      </c>
      <c r="F12" s="1" t="s">
        <v>160</v>
      </c>
      <c r="N12" s="1" t="s">
        <v>94</v>
      </c>
      <c r="Q12" s="2"/>
    </row>
    <row r="13" spans="2:18">
      <c r="B13" s="1" t="s">
        <v>152</v>
      </c>
      <c r="F13" s="1" t="s">
        <v>161</v>
      </c>
      <c r="N13" s="1" t="s">
        <v>7</v>
      </c>
      <c r="Q13" s="43" t="s">
        <v>142</v>
      </c>
    </row>
    <row r="14" spans="2:18">
      <c r="B14" s="1" t="s">
        <v>153</v>
      </c>
      <c r="F14" s="1" t="s">
        <v>6</v>
      </c>
      <c r="N14" s="1" t="s">
        <v>98</v>
      </c>
      <c r="Q14" s="43" t="s">
        <v>144</v>
      </c>
    </row>
    <row r="15" spans="2:18">
      <c r="B15" s="1" t="s">
        <v>154</v>
      </c>
      <c r="F15" s="1" t="s">
        <v>90</v>
      </c>
      <c r="O15" s="1" t="s">
        <v>97</v>
      </c>
      <c r="R15" s="43" t="s">
        <v>145</v>
      </c>
    </row>
    <row r="16" spans="2:18">
      <c r="B16" s="1" t="s">
        <v>155</v>
      </c>
      <c r="F16" s="1" t="s">
        <v>84</v>
      </c>
      <c r="G16" s="1" t="s">
        <v>162</v>
      </c>
      <c r="I16" s="1" t="s">
        <v>85</v>
      </c>
      <c r="N16" s="1" t="s">
        <v>87</v>
      </c>
      <c r="Q16" s="43" t="s">
        <v>146</v>
      </c>
    </row>
    <row r="17" spans="1:17">
      <c r="B17" s="1" t="s">
        <v>157</v>
      </c>
      <c r="N17" s="1" t="s">
        <v>88</v>
      </c>
      <c r="Q17" s="43" t="s">
        <v>143</v>
      </c>
    </row>
    <row r="18" spans="1:17">
      <c r="B18" s="1" t="s">
        <v>156</v>
      </c>
      <c r="N18" s="1" t="s">
        <v>99</v>
      </c>
      <c r="Q18" s="43" t="s">
        <v>147</v>
      </c>
    </row>
    <row r="19" spans="1:17">
      <c r="B19" s="1" t="s">
        <v>158</v>
      </c>
      <c r="N19" s="1" t="s">
        <v>100</v>
      </c>
      <c r="Q19" s="43" t="s">
        <v>148</v>
      </c>
    </row>
    <row r="20" spans="1:17">
      <c r="B20" s="1" t="s">
        <v>159</v>
      </c>
      <c r="N20" s="1" t="s">
        <v>8</v>
      </c>
      <c r="Q20" s="43" t="s">
        <v>89</v>
      </c>
    </row>
    <row r="21" spans="1:17">
      <c r="Q21" s="43"/>
    </row>
    <row r="22" spans="1:17" ht="15">
      <c r="A22" s="2" t="s">
        <v>9</v>
      </c>
      <c r="N22" s="2"/>
    </row>
    <row r="23" spans="1:17">
      <c r="B23" s="1" t="s">
        <v>149</v>
      </c>
    </row>
    <row r="24" spans="1:17">
      <c r="C24" s="1" t="s">
        <v>168</v>
      </c>
    </row>
    <row r="25" spans="1:17">
      <c r="B25" s="1" t="s">
        <v>163</v>
      </c>
    </row>
    <row r="26" spans="1:17">
      <c r="C26" s="1" t="s">
        <v>237</v>
      </c>
    </row>
    <row r="27" spans="1:17">
      <c r="D27" s="1" t="s">
        <v>238</v>
      </c>
    </row>
    <row r="28" spans="1:17">
      <c r="D28" s="1" t="s">
        <v>239</v>
      </c>
    </row>
    <row r="29" spans="1:17">
      <c r="D29" s="1" t="s">
        <v>236</v>
      </c>
    </row>
    <row r="30" spans="1:17">
      <c r="E30" s="1" t="s">
        <v>240</v>
      </c>
    </row>
    <row r="31" spans="1:17">
      <c r="E31" s="1" t="s">
        <v>241</v>
      </c>
    </row>
    <row r="32" spans="1:17">
      <c r="D32" s="1" t="s">
        <v>248</v>
      </c>
    </row>
    <row r="33" spans="3:4">
      <c r="D33" s="1" t="s">
        <v>249</v>
      </c>
    </row>
    <row r="34" spans="3:4">
      <c r="D34" s="1" t="s">
        <v>245</v>
      </c>
    </row>
    <row r="35" spans="3:4">
      <c r="D35" s="1" t="s">
        <v>250</v>
      </c>
    </row>
    <row r="36" spans="3:4">
      <c r="D36" s="1" t="s">
        <v>242</v>
      </c>
    </row>
    <row r="37" spans="3:4">
      <c r="C37" s="1" t="s">
        <v>164</v>
      </c>
    </row>
    <row r="38" spans="3:4">
      <c r="D38" s="1" t="s">
        <v>254</v>
      </c>
    </row>
    <row r="39" spans="3:4">
      <c r="D39" s="1" t="s">
        <v>255</v>
      </c>
    </row>
    <row r="40" spans="3:4">
      <c r="D40" s="1" t="s">
        <v>256</v>
      </c>
    </row>
    <row r="41" spans="3:4">
      <c r="D41" s="1" t="s">
        <v>257</v>
      </c>
    </row>
    <row r="42" spans="3:4">
      <c r="D42" s="1" t="s">
        <v>258</v>
      </c>
    </row>
    <row r="43" spans="3:4">
      <c r="D43" s="1" t="s">
        <v>259</v>
      </c>
    </row>
    <row r="44" spans="3:4">
      <c r="D44" s="1" t="s">
        <v>260</v>
      </c>
    </row>
    <row r="45" spans="3:4">
      <c r="D45" s="1" t="s">
        <v>261</v>
      </c>
    </row>
    <row r="46" spans="3:4">
      <c r="D46" s="1" t="s">
        <v>262</v>
      </c>
    </row>
    <row r="47" spans="3:4">
      <c r="D47" s="1" t="s">
        <v>263</v>
      </c>
    </row>
    <row r="48" spans="3:4">
      <c r="D48" s="1" t="s">
        <v>243</v>
      </c>
    </row>
    <row r="49" spans="1:4">
      <c r="D49" s="1" t="s">
        <v>244</v>
      </c>
    </row>
    <row r="50" spans="1:4">
      <c r="D50" s="1" t="s">
        <v>246</v>
      </c>
    </row>
    <row r="51" spans="1:4">
      <c r="C51" s="1" t="s">
        <v>165</v>
      </c>
    </row>
    <row r="52" spans="1:4">
      <c r="D52" s="1" t="s">
        <v>252</v>
      </c>
    </row>
    <row r="53" spans="1:4">
      <c r="D53" s="1" t="s">
        <v>251</v>
      </c>
    </row>
    <row r="54" spans="1:4">
      <c r="D54" s="1" t="s">
        <v>247</v>
      </c>
    </row>
    <row r="55" spans="1:4">
      <c r="D55" s="1" t="s">
        <v>253</v>
      </c>
    </row>
    <row r="56" spans="1:4">
      <c r="C56" s="1" t="s">
        <v>166</v>
      </c>
    </row>
    <row r="57" spans="1:4">
      <c r="D57" s="1" t="s">
        <v>167</v>
      </c>
    </row>
    <row r="58" spans="1:4">
      <c r="B58" s="1" t="s">
        <v>170</v>
      </c>
    </row>
    <row r="59" spans="1:4">
      <c r="C59" s="1" t="s">
        <v>169</v>
      </c>
    </row>
    <row r="61" spans="1:4" ht="15">
      <c r="A61" s="2" t="s">
        <v>91</v>
      </c>
    </row>
    <row r="62" spans="1:4">
      <c r="B62" s="1" t="s">
        <v>92</v>
      </c>
    </row>
  </sheetData>
  <hyperlinks>
    <hyperlink ref="Q20" r:id="rId1" xr:uid="{14375537-5C3D-4253-9650-337AB6789785}"/>
    <hyperlink ref="Q14" r:id="rId2" xr:uid="{8B28DC64-1CAA-4ACB-ACDD-09CEB2B10EC6}"/>
    <hyperlink ref="Q13" r:id="rId3" xr:uid="{B2179EF6-C14F-4021-8E03-C8B89D5E70B6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B132"/>
  <sheetViews>
    <sheetView tabSelected="1" zoomScale="85" zoomScaleNormal="85" workbookViewId="0">
      <pane xSplit="2" ySplit="3" topLeftCell="CE60" activePane="bottomRight" state="frozen"/>
      <selection pane="topRight" activeCell="C1" sqref="C1"/>
      <selection pane="bottomLeft" activeCell="A4" sqref="A4"/>
      <selection pane="bottomRight" activeCell="BU55" sqref="BU55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73" width="9.140625" style="1"/>
    <col min="74" max="74" width="9.140625" style="35"/>
    <col min="75" max="95" width="9.140625" style="1"/>
    <col min="96" max="105" width="9" style="35" customWidth="1"/>
    <col min="106" max="157" width="9.140625" style="35"/>
    <col min="158" max="16384" width="9.140625" style="1"/>
  </cols>
  <sheetData>
    <row r="1" spans="2:158" ht="15">
      <c r="B1" s="1" t="s">
        <v>49</v>
      </c>
      <c r="AU1" s="33" t="s">
        <v>43</v>
      </c>
      <c r="AY1" s="33" t="s">
        <v>44</v>
      </c>
      <c r="BC1" s="33" t="s">
        <v>45</v>
      </c>
      <c r="BG1" s="33" t="s">
        <v>46</v>
      </c>
      <c r="BK1" s="33" t="s">
        <v>47</v>
      </c>
      <c r="BO1" s="33" t="s">
        <v>48</v>
      </c>
      <c r="BS1" s="33" t="s">
        <v>266</v>
      </c>
    </row>
    <row r="2" spans="2:158">
      <c r="B2" s="1" t="s">
        <v>50</v>
      </c>
    </row>
    <row r="3" spans="2:158" ht="15">
      <c r="B3" s="2" t="s">
        <v>51</v>
      </c>
      <c r="C3" s="2" t="str" cm="1">
        <f t="array" ref="C3:BV3">"Q"&amp;MOD(_xlfn.SEQUENCE(1,72)-1,4)+1&amp;" "&amp;(2009+INT((_xlfn.SEQUENCE(1,72)-1)/4))</f>
        <v>Q1 2009</v>
      </c>
      <c r="D3" s="33" t="str">
        <v>Q2 2009</v>
      </c>
      <c r="E3" s="33" t="str">
        <v>Q3 2009</v>
      </c>
      <c r="F3" s="33" t="str">
        <v>Q4 2009</v>
      </c>
      <c r="G3" s="33" t="str">
        <v>Q1 2010</v>
      </c>
      <c r="H3" s="33" t="str">
        <v>Q2 2010</v>
      </c>
      <c r="I3" s="33" t="str">
        <v>Q3 2010</v>
      </c>
      <c r="J3" s="33" t="str">
        <v>Q4 2010</v>
      </c>
      <c r="K3" s="33" t="str">
        <v>Q1 2011</v>
      </c>
      <c r="L3" s="33" t="str">
        <v>Q2 2011</v>
      </c>
      <c r="M3" s="33" t="str">
        <v>Q3 2011</v>
      </c>
      <c r="N3" s="33" t="str">
        <v>Q4 2011</v>
      </c>
      <c r="O3" s="33" t="str">
        <v>Q1 2012</v>
      </c>
      <c r="P3" s="33" t="str">
        <v>Q2 2012</v>
      </c>
      <c r="Q3" s="33" t="str">
        <v>Q3 2012</v>
      </c>
      <c r="R3" s="33" t="str">
        <v>Q4 2012</v>
      </c>
      <c r="S3" s="33" t="str">
        <v>Q1 2013</v>
      </c>
      <c r="T3" s="33" t="str">
        <v>Q2 2013</v>
      </c>
      <c r="U3" s="33" t="str">
        <v>Q3 2013</v>
      </c>
      <c r="V3" s="33" t="str">
        <v>Q4 2013</v>
      </c>
      <c r="W3" s="33" t="str">
        <v>Q1 2014</v>
      </c>
      <c r="X3" s="33" t="str">
        <v>Q2 2014</v>
      </c>
      <c r="Y3" s="33" t="str">
        <v>Q3 2014</v>
      </c>
      <c r="Z3" s="33" t="str">
        <v>Q4 2014</v>
      </c>
      <c r="AA3" s="33" t="str">
        <v>Q1 2015</v>
      </c>
      <c r="AB3" s="33" t="str">
        <v>Q2 2015</v>
      </c>
      <c r="AC3" s="33" t="str">
        <v>Q3 2015</v>
      </c>
      <c r="AD3" s="33" t="str">
        <v>Q4 2015</v>
      </c>
      <c r="AE3" s="33" t="str">
        <v>Q1 2016</v>
      </c>
      <c r="AF3" s="33" t="str">
        <v>Q2 2016</v>
      </c>
      <c r="AG3" s="33" t="str">
        <v>Q3 2016</v>
      </c>
      <c r="AH3" s="33" t="str">
        <v>Q4 2016</v>
      </c>
      <c r="AI3" s="33" t="str">
        <v>Q1 2017</v>
      </c>
      <c r="AJ3" s="33" t="str">
        <v>Q2 2017</v>
      </c>
      <c r="AK3" s="33" t="str">
        <v>Q3 2017</v>
      </c>
      <c r="AL3" s="33" t="str">
        <v>Q4 2017</v>
      </c>
      <c r="AM3" s="33" t="str">
        <v>Q1 2018</v>
      </c>
      <c r="AN3" s="33" t="str">
        <v>Q2 2018</v>
      </c>
      <c r="AO3" s="33" t="str">
        <v>Q3 2018</v>
      </c>
      <c r="AP3" s="33" t="str">
        <v>Q4 2018</v>
      </c>
      <c r="AQ3" s="33" t="str">
        <v>Q1 2019</v>
      </c>
      <c r="AR3" s="33" t="str">
        <v>Q2 2019</v>
      </c>
      <c r="AS3" s="33" t="str">
        <v>Q3 2019</v>
      </c>
      <c r="AT3" s="33" t="str">
        <v>Q4 2019</v>
      </c>
      <c r="AU3" s="33" t="str">
        <v>Q1 2020</v>
      </c>
      <c r="AV3" s="33" t="str">
        <v>Q2 2020</v>
      </c>
      <c r="AW3" s="33" t="str">
        <v>Q3 2020</v>
      </c>
      <c r="AX3" s="33" t="str">
        <v>Q4 2020</v>
      </c>
      <c r="AY3" s="33" t="str">
        <v>Q1 2021</v>
      </c>
      <c r="AZ3" s="33" t="str">
        <v>Q2 2021</v>
      </c>
      <c r="BA3" s="33" t="str">
        <v>Q3 2021</v>
      </c>
      <c r="BB3" s="33" t="str">
        <v>Q4 2021</v>
      </c>
      <c r="BC3" s="33" t="str">
        <v>Q1 2022</v>
      </c>
      <c r="BD3" s="33" t="str">
        <v>Q2 2022</v>
      </c>
      <c r="BE3" s="33" t="str">
        <v>Q3 2022</v>
      </c>
      <c r="BF3" s="33" t="str">
        <v>Q4 2022</v>
      </c>
      <c r="BG3" s="33" t="str">
        <v>Q1 2023</v>
      </c>
      <c r="BH3" s="33" t="str">
        <v>Q2 2023</v>
      </c>
      <c r="BI3" s="33" t="str">
        <v>Q3 2023</v>
      </c>
      <c r="BJ3" s="33" t="str">
        <v>Q4 2023</v>
      </c>
      <c r="BK3" s="33" t="str">
        <v>Q1 2024</v>
      </c>
      <c r="BL3" s="33" t="str">
        <v>Q2 2024</v>
      </c>
      <c r="BM3" s="33" t="str">
        <v>Q3 2024</v>
      </c>
      <c r="BN3" s="33" t="str">
        <v>Q4 2024</v>
      </c>
      <c r="BO3" s="33" t="str">
        <v>Q1 2025</v>
      </c>
      <c r="BP3" s="2" t="str">
        <v>Q2 2025</v>
      </c>
      <c r="BQ3" s="2" t="str">
        <v>Q3 2025</v>
      </c>
      <c r="BR3" s="2" t="str">
        <v>Q4 2025</v>
      </c>
      <c r="BS3" s="2" t="str">
        <v>Q1 2026</v>
      </c>
      <c r="BT3" s="2" t="str">
        <v>Q2 2026</v>
      </c>
      <c r="BU3" s="2" t="str">
        <v>Q3 2026</v>
      </c>
      <c r="BV3" s="34" t="str">
        <v>Q4 2026</v>
      </c>
      <c r="CA3" s="2">
        <v>2009</v>
      </c>
      <c r="CB3" s="2">
        <f t="shared" ref="CB3:EM3" si="0">CA3+1</f>
        <v>2010</v>
      </c>
      <c r="CC3" s="2">
        <f t="shared" si="0"/>
        <v>2011</v>
      </c>
      <c r="CD3" s="2">
        <f t="shared" si="0"/>
        <v>2012</v>
      </c>
      <c r="CE3" s="2">
        <f t="shared" si="0"/>
        <v>2013</v>
      </c>
      <c r="CF3" s="2">
        <f t="shared" si="0"/>
        <v>2014</v>
      </c>
      <c r="CG3" s="2">
        <f t="shared" si="0"/>
        <v>2015</v>
      </c>
      <c r="CH3" s="2">
        <f t="shared" si="0"/>
        <v>2016</v>
      </c>
      <c r="CI3" s="2">
        <f t="shared" si="0"/>
        <v>2017</v>
      </c>
      <c r="CJ3" s="2">
        <f t="shared" si="0"/>
        <v>2018</v>
      </c>
      <c r="CK3" s="2">
        <f t="shared" si="0"/>
        <v>2019</v>
      </c>
      <c r="CL3" s="2">
        <f t="shared" si="0"/>
        <v>2020</v>
      </c>
      <c r="CM3" s="2">
        <f t="shared" si="0"/>
        <v>2021</v>
      </c>
      <c r="CN3" s="2">
        <f t="shared" si="0"/>
        <v>2022</v>
      </c>
      <c r="CO3" s="2">
        <f t="shared" si="0"/>
        <v>2023</v>
      </c>
      <c r="CP3" s="2">
        <f t="shared" si="0"/>
        <v>2024</v>
      </c>
      <c r="CQ3" s="2">
        <f t="shared" si="0"/>
        <v>2025</v>
      </c>
      <c r="CR3" s="34">
        <f>CQ3+1</f>
        <v>2026</v>
      </c>
      <c r="CS3" s="34">
        <f t="shared" si="0"/>
        <v>2027</v>
      </c>
      <c r="CT3" s="34">
        <f t="shared" si="0"/>
        <v>2028</v>
      </c>
      <c r="CU3" s="34">
        <f t="shared" si="0"/>
        <v>2029</v>
      </c>
      <c r="CV3" s="34">
        <f t="shared" si="0"/>
        <v>2030</v>
      </c>
      <c r="CW3" s="34">
        <f t="shared" si="0"/>
        <v>2031</v>
      </c>
      <c r="CX3" s="34">
        <f t="shared" si="0"/>
        <v>2032</v>
      </c>
      <c r="CY3" s="34">
        <f t="shared" si="0"/>
        <v>2033</v>
      </c>
      <c r="CZ3" s="34">
        <f t="shared" si="0"/>
        <v>2034</v>
      </c>
      <c r="DA3" s="34">
        <f t="shared" si="0"/>
        <v>2035</v>
      </c>
      <c r="DB3" s="34">
        <f t="shared" si="0"/>
        <v>2036</v>
      </c>
      <c r="DC3" s="34">
        <f t="shared" si="0"/>
        <v>2037</v>
      </c>
      <c r="DD3" s="34">
        <f t="shared" si="0"/>
        <v>2038</v>
      </c>
      <c r="DE3" s="34">
        <f t="shared" si="0"/>
        <v>2039</v>
      </c>
      <c r="DF3" s="34">
        <f t="shared" si="0"/>
        <v>2040</v>
      </c>
      <c r="DG3" s="34">
        <f t="shared" si="0"/>
        <v>2041</v>
      </c>
      <c r="DH3" s="34">
        <f t="shared" si="0"/>
        <v>2042</v>
      </c>
      <c r="DI3" s="34">
        <f t="shared" si="0"/>
        <v>2043</v>
      </c>
      <c r="DJ3" s="34">
        <f t="shared" si="0"/>
        <v>2044</v>
      </c>
      <c r="DK3" s="34">
        <f t="shared" si="0"/>
        <v>2045</v>
      </c>
      <c r="DL3" s="34">
        <f t="shared" si="0"/>
        <v>2046</v>
      </c>
      <c r="DM3" s="34">
        <f t="shared" si="0"/>
        <v>2047</v>
      </c>
      <c r="DN3" s="34">
        <f t="shared" si="0"/>
        <v>2048</v>
      </c>
      <c r="DO3" s="34">
        <f t="shared" si="0"/>
        <v>2049</v>
      </c>
      <c r="DP3" s="34">
        <f t="shared" si="0"/>
        <v>2050</v>
      </c>
      <c r="DQ3" s="34">
        <f t="shared" si="0"/>
        <v>2051</v>
      </c>
      <c r="DR3" s="34">
        <f t="shared" si="0"/>
        <v>2052</v>
      </c>
      <c r="DS3" s="34">
        <f t="shared" si="0"/>
        <v>2053</v>
      </c>
      <c r="DT3" s="34">
        <f t="shared" si="0"/>
        <v>2054</v>
      </c>
      <c r="DU3" s="34">
        <f t="shared" si="0"/>
        <v>2055</v>
      </c>
      <c r="DV3" s="34">
        <f t="shared" si="0"/>
        <v>2056</v>
      </c>
      <c r="DW3" s="34">
        <f t="shared" si="0"/>
        <v>2057</v>
      </c>
      <c r="DX3" s="34">
        <f t="shared" si="0"/>
        <v>2058</v>
      </c>
      <c r="DY3" s="34">
        <f t="shared" si="0"/>
        <v>2059</v>
      </c>
      <c r="DZ3" s="34">
        <f t="shared" si="0"/>
        <v>2060</v>
      </c>
      <c r="EA3" s="34">
        <f t="shared" si="0"/>
        <v>2061</v>
      </c>
      <c r="EB3" s="34">
        <f t="shared" si="0"/>
        <v>2062</v>
      </c>
      <c r="EC3" s="34">
        <f t="shared" si="0"/>
        <v>2063</v>
      </c>
      <c r="ED3" s="34">
        <f t="shared" si="0"/>
        <v>2064</v>
      </c>
      <c r="EE3" s="34">
        <f t="shared" si="0"/>
        <v>2065</v>
      </c>
      <c r="EF3" s="34">
        <f t="shared" si="0"/>
        <v>2066</v>
      </c>
      <c r="EG3" s="34">
        <f t="shared" si="0"/>
        <v>2067</v>
      </c>
      <c r="EH3" s="34">
        <f t="shared" si="0"/>
        <v>2068</v>
      </c>
      <c r="EI3" s="34">
        <f t="shared" si="0"/>
        <v>2069</v>
      </c>
      <c r="EJ3" s="34">
        <f t="shared" si="0"/>
        <v>2070</v>
      </c>
      <c r="EK3" s="34">
        <f t="shared" si="0"/>
        <v>2071</v>
      </c>
      <c r="EL3" s="34">
        <f t="shared" si="0"/>
        <v>2072</v>
      </c>
      <c r="EM3" s="34">
        <f t="shared" si="0"/>
        <v>2073</v>
      </c>
      <c r="EN3" s="34">
        <f t="shared" ref="EN3:EY3" si="1">EM3+1</f>
        <v>2074</v>
      </c>
      <c r="EO3" s="34">
        <f t="shared" si="1"/>
        <v>2075</v>
      </c>
      <c r="EP3" s="34">
        <f t="shared" si="1"/>
        <v>2076</v>
      </c>
      <c r="EQ3" s="34">
        <f t="shared" si="1"/>
        <v>2077</v>
      </c>
      <c r="ER3" s="34">
        <f t="shared" si="1"/>
        <v>2078</v>
      </c>
      <c r="ES3" s="34">
        <f t="shared" si="1"/>
        <v>2079</v>
      </c>
      <c r="ET3" s="34">
        <f t="shared" si="1"/>
        <v>2080</v>
      </c>
      <c r="EU3" s="34">
        <f t="shared" si="1"/>
        <v>2081</v>
      </c>
      <c r="EV3" s="34">
        <f t="shared" si="1"/>
        <v>2082</v>
      </c>
      <c r="EW3" s="34">
        <f t="shared" si="1"/>
        <v>2083</v>
      </c>
      <c r="EX3" s="34">
        <f t="shared" si="1"/>
        <v>2084</v>
      </c>
      <c r="EY3" s="34">
        <f t="shared" si="1"/>
        <v>2085</v>
      </c>
      <c r="EZ3" s="34"/>
      <c r="FA3" s="34"/>
      <c r="FB3" s="2"/>
    </row>
    <row r="4" spans="2:158">
      <c r="B4" s="36" t="s">
        <v>171</v>
      </c>
      <c r="BK4" s="1">
        <v>6845</v>
      </c>
      <c r="BL4" s="1">
        <v>7277</v>
      </c>
      <c r="BM4" s="1">
        <v>6487</v>
      </c>
      <c r="BN4" s="1">
        <f>28618-SUM(BK4:BM4)</f>
        <v>8009</v>
      </c>
      <c r="BO4" s="1">
        <v>7057</v>
      </c>
      <c r="BP4" s="1">
        <v>7420</v>
      </c>
      <c r="BQ4" s="1">
        <v>7256</v>
      </c>
      <c r="BR4" s="1">
        <f>30257-SUM(BO4:BQ4)</f>
        <v>8524</v>
      </c>
      <c r="BS4" s="1">
        <v>6953</v>
      </c>
      <c r="BT4" s="1">
        <v>8112</v>
      </c>
      <c r="BU4" s="1">
        <v>8214</v>
      </c>
      <c r="CP4" s="1">
        <f>SUM(BK4:BN4)</f>
        <v>28618</v>
      </c>
      <c r="CQ4" s="1">
        <f>SUM(BO4:BR4)</f>
        <v>30257</v>
      </c>
      <c r="CR4" s="65">
        <f t="shared" ref="CR4:DA4" si="2">CQ4*(1+CR10)</f>
        <v>32374.99</v>
      </c>
      <c r="CS4" s="65">
        <f t="shared" si="2"/>
        <v>35288.739100000006</v>
      </c>
      <c r="CT4" s="65">
        <f t="shared" si="2"/>
        <v>39170.500401000012</v>
      </c>
      <c r="CU4" s="65">
        <f t="shared" si="2"/>
        <v>41520.730425060014</v>
      </c>
      <c r="CV4" s="65">
        <f t="shared" si="2"/>
        <v>43181.559642062413</v>
      </c>
      <c r="CW4" s="65">
        <f t="shared" si="2"/>
        <v>44477.006431324284</v>
      </c>
      <c r="CX4" s="65">
        <f t="shared" si="2"/>
        <v>45366.546559950773</v>
      </c>
      <c r="CY4" s="65">
        <f t="shared" si="2"/>
        <v>46047.044758350028</v>
      </c>
      <c r="CZ4" s="65">
        <f t="shared" si="2"/>
        <v>46507.515205933531</v>
      </c>
      <c r="DA4" s="65">
        <f t="shared" si="2"/>
        <v>46740.05278196319</v>
      </c>
    </row>
    <row r="5" spans="2:158">
      <c r="B5" s="36" t="s">
        <v>172</v>
      </c>
      <c r="BK5" s="1">
        <v>2993</v>
      </c>
      <c r="BL5" s="1">
        <v>3102</v>
      </c>
      <c r="BM5" s="1">
        <v>3175</v>
      </c>
      <c r="BN5" s="1">
        <f>12682-SUM(BK5:BM5)</f>
        <v>3412</v>
      </c>
      <c r="BO5" s="1">
        <v>3373</v>
      </c>
      <c r="BP5" s="1">
        <v>3433</v>
      </c>
      <c r="BQ5" s="1">
        <v>3624</v>
      </c>
      <c r="BR5" s="1">
        <f>14450-SUM(BO5:BQ5)</f>
        <v>4020</v>
      </c>
      <c r="BS5" s="1">
        <v>3649</v>
      </c>
      <c r="BT5" s="1">
        <v>4101</v>
      </c>
      <c r="BU5" s="1">
        <v>4501</v>
      </c>
      <c r="CP5" s="1">
        <f>SUM(BK5:BN5)</f>
        <v>12682</v>
      </c>
      <c r="CQ5" s="1">
        <f>SUM(BO5:BR5)</f>
        <v>14450</v>
      </c>
      <c r="CR5" s="65">
        <f t="shared" ref="CR5:DA5" si="3">CQ5*(1+CR11)</f>
        <v>16906.5</v>
      </c>
      <c r="CS5" s="65">
        <f t="shared" si="3"/>
        <v>19273.410000000003</v>
      </c>
      <c r="CT5" s="65">
        <f t="shared" si="3"/>
        <v>21393.485100000005</v>
      </c>
      <c r="CU5" s="65">
        <f t="shared" si="3"/>
        <v>23104.963908000009</v>
      </c>
      <c r="CV5" s="65">
        <f t="shared" si="3"/>
        <v>24260.212103400012</v>
      </c>
      <c r="CW5" s="65">
        <f t="shared" si="3"/>
        <v>25230.620587536014</v>
      </c>
      <c r="CX5" s="65">
        <f t="shared" si="3"/>
        <v>25987.539205162095</v>
      </c>
      <c r="CY5" s="65">
        <f t="shared" si="3"/>
        <v>26637.227685291145</v>
      </c>
      <c r="CZ5" s="65">
        <f t="shared" si="3"/>
        <v>27169.972238996968</v>
      </c>
      <c r="DA5" s="65">
        <f t="shared" si="3"/>
        <v>27577.521822581919</v>
      </c>
    </row>
    <row r="6" spans="2:158">
      <c r="B6" s="36" t="s">
        <v>173</v>
      </c>
      <c r="BK6" s="1">
        <v>4088</v>
      </c>
      <c r="BL6" s="1">
        <v>4548</v>
      </c>
      <c r="BM6" s="1">
        <v>4367</v>
      </c>
      <c r="BN6" s="1">
        <f>17264-SUM(BK6:BM6)</f>
        <v>4261</v>
      </c>
      <c r="BO6" s="1">
        <v>4328</v>
      </c>
      <c r="BP6" s="1">
        <v>3995</v>
      </c>
      <c r="BQ6" s="1">
        <v>4373</v>
      </c>
      <c r="BR6" s="1">
        <f>17312-SUM(BO6:BQ6)</f>
        <v>4616</v>
      </c>
      <c r="BS6" s="1">
        <v>3991</v>
      </c>
      <c r="BT6" s="1">
        <v>4354</v>
      </c>
      <c r="BU6" s="1">
        <v>4511</v>
      </c>
      <c r="CP6" s="1">
        <f>SUM(BK6:BN6)</f>
        <v>17264</v>
      </c>
      <c r="CQ6" s="1">
        <f>SUM(BO6:BR6)</f>
        <v>17312</v>
      </c>
      <c r="CR6" s="65">
        <f t="shared" ref="CR6:DA6" si="4">CQ6*(1+CR12)</f>
        <v>17831.36</v>
      </c>
      <c r="CS6" s="65">
        <f t="shared" si="4"/>
        <v>18544.614400000002</v>
      </c>
      <c r="CT6" s="65">
        <f t="shared" si="4"/>
        <v>18915.506688000001</v>
      </c>
      <c r="CU6" s="65">
        <f t="shared" si="4"/>
        <v>19388.394355199998</v>
      </c>
      <c r="CV6" s="65">
        <f t="shared" si="4"/>
        <v>19970.046185855997</v>
      </c>
      <c r="CW6" s="65">
        <f t="shared" si="4"/>
        <v>20768.848033290236</v>
      </c>
      <c r="CX6" s="65">
        <f t="shared" si="4"/>
        <v>21391.913474288944</v>
      </c>
      <c r="CY6" s="65">
        <f t="shared" si="4"/>
        <v>21926.711311146166</v>
      </c>
      <c r="CZ6" s="65">
        <f t="shared" si="4"/>
        <v>22365.24553736909</v>
      </c>
      <c r="DA6" s="65">
        <f t="shared" si="4"/>
        <v>22700.724220429624</v>
      </c>
    </row>
    <row r="7" spans="2:158">
      <c r="B7" s="36" t="s">
        <v>174</v>
      </c>
      <c r="BK7" s="1">
        <v>3269</v>
      </c>
      <c r="BL7" s="1">
        <v>3195</v>
      </c>
      <c r="BM7" s="1">
        <v>3075</v>
      </c>
      <c r="BN7" s="1">
        <f>12479-SUM(BK7:BM7)</f>
        <v>2940</v>
      </c>
      <c r="BO7" s="1">
        <v>3205</v>
      </c>
      <c r="BP7" s="1">
        <v>3307</v>
      </c>
      <c r="BQ7" s="1">
        <v>3356</v>
      </c>
      <c r="BR7" s="1">
        <f>13029-SUM(BO7:BQ7)</f>
        <v>3161</v>
      </c>
      <c r="BS7" s="1">
        <v>3428</v>
      </c>
      <c r="BT7" s="1">
        <v>3496</v>
      </c>
      <c r="BU7" s="1">
        <v>3485</v>
      </c>
      <c r="CP7" s="1">
        <f>SUM(BK7:BN7)</f>
        <v>12479</v>
      </c>
      <c r="CQ7" s="1">
        <f>SUM(BO7:BR7)</f>
        <v>13029</v>
      </c>
      <c r="CR7" s="65">
        <f t="shared" ref="CR7:DA7" si="5">CQ7*(1+CR13)</f>
        <v>13810.740000000002</v>
      </c>
      <c r="CS7" s="65">
        <f t="shared" si="5"/>
        <v>14570.3307</v>
      </c>
      <c r="CT7" s="65">
        <f t="shared" si="5"/>
        <v>15298.847235000001</v>
      </c>
      <c r="CU7" s="65">
        <f t="shared" si="5"/>
        <v>15987.295360575001</v>
      </c>
      <c r="CV7" s="65">
        <f t="shared" si="5"/>
        <v>16626.787174998</v>
      </c>
      <c r="CW7" s="65">
        <f t="shared" si="5"/>
        <v>17208.724726122928</v>
      </c>
      <c r="CX7" s="65">
        <f t="shared" si="5"/>
        <v>17724.986467906616</v>
      </c>
      <c r="CY7" s="65">
        <f t="shared" si="5"/>
        <v>18168.11112960428</v>
      </c>
      <c r="CZ7" s="65">
        <f t="shared" si="5"/>
        <v>18531.473352196364</v>
      </c>
      <c r="DA7" s="65">
        <f t="shared" si="5"/>
        <v>18716.78808571833</v>
      </c>
    </row>
    <row r="8" spans="2:158" s="2" customFormat="1" ht="15">
      <c r="B8" s="33" t="s">
        <v>52</v>
      </c>
      <c r="BK8" s="2">
        <f t="shared" ref="BK8:BT8" si="6">SUM(BK4:BK7)</f>
        <v>17195</v>
      </c>
      <c r="BL8" s="2">
        <f t="shared" si="6"/>
        <v>18122</v>
      </c>
      <c r="BM8" s="2">
        <f t="shared" si="6"/>
        <v>17104</v>
      </c>
      <c r="BN8" s="2">
        <f t="shared" si="6"/>
        <v>18622</v>
      </c>
      <c r="BO8" s="2">
        <f t="shared" si="6"/>
        <v>17963</v>
      </c>
      <c r="BP8" s="2">
        <f t="shared" si="6"/>
        <v>18155</v>
      </c>
      <c r="BQ8" s="2">
        <f t="shared" si="6"/>
        <v>18609</v>
      </c>
      <c r="BR8" s="2">
        <f t="shared" si="6"/>
        <v>20321</v>
      </c>
      <c r="BS8" s="2">
        <f t="shared" si="6"/>
        <v>18021</v>
      </c>
      <c r="BT8" s="2">
        <f t="shared" si="6"/>
        <v>20063</v>
      </c>
      <c r="BU8" s="2">
        <f t="shared" ref="BU8" si="7">SUM(BU4:BU7)</f>
        <v>20711</v>
      </c>
      <c r="BV8" s="34"/>
      <c r="CP8" s="2">
        <f>SUM(BK8:BN8)</f>
        <v>71043</v>
      </c>
      <c r="CQ8" s="2">
        <f>SUM(BO8:BR8)</f>
        <v>75048</v>
      </c>
      <c r="CR8" s="82">
        <f t="shared" ref="CR8:DA8" si="8">SUM(CR4:CR7)</f>
        <v>80923.590000000011</v>
      </c>
      <c r="CS8" s="82">
        <f t="shared" si="8"/>
        <v>87677.094200000021</v>
      </c>
      <c r="CT8" s="82">
        <f t="shared" si="8"/>
        <v>94778.339424000005</v>
      </c>
      <c r="CU8" s="82">
        <f t="shared" si="8"/>
        <v>100001.38404883503</v>
      </c>
      <c r="CV8" s="82">
        <f t="shared" si="8"/>
        <v>104038.60510631642</v>
      </c>
      <c r="CW8" s="82">
        <f t="shared" si="8"/>
        <v>107685.19977827347</v>
      </c>
      <c r="CX8" s="82">
        <f t="shared" si="8"/>
        <v>110470.98570730843</v>
      </c>
      <c r="CY8" s="82">
        <f t="shared" si="8"/>
        <v>112779.09488439163</v>
      </c>
      <c r="CZ8" s="82">
        <f t="shared" si="8"/>
        <v>114574.20633449596</v>
      </c>
      <c r="DA8" s="82">
        <f t="shared" si="8"/>
        <v>115735.08691069306</v>
      </c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</row>
    <row r="9" spans="2:158">
      <c r="B9" s="36"/>
    </row>
    <row r="10" spans="2:158">
      <c r="B10" s="36" t="s">
        <v>175</v>
      </c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>
        <f t="shared" ref="BO10:BU14" si="9">BO4/BK4-1</f>
        <v>3.0971512052593075E-2</v>
      </c>
      <c r="BP10" s="80">
        <f t="shared" si="9"/>
        <v>1.9650955063899911E-2</v>
      </c>
      <c r="BQ10" s="80">
        <f t="shared" si="9"/>
        <v>0.11854478187143513</v>
      </c>
      <c r="BR10" s="80">
        <f t="shared" si="9"/>
        <v>6.4302659508053361E-2</v>
      </c>
      <c r="BS10" s="80">
        <f t="shared" si="9"/>
        <v>-1.473714042794394E-2</v>
      </c>
      <c r="BT10" s="80">
        <f t="shared" si="9"/>
        <v>9.3261455525606385E-2</v>
      </c>
      <c r="BU10" s="80">
        <f t="shared" si="9"/>
        <v>0.13202866593164275</v>
      </c>
      <c r="CP10" s="80"/>
      <c r="CQ10" s="80">
        <f>CQ4/CP4-1</f>
        <v>5.7271647215039412E-2</v>
      </c>
      <c r="CR10" s="83">
        <v>7.0000000000000007E-2</v>
      </c>
      <c r="CS10" s="83">
        <v>0.09</v>
      </c>
      <c r="CT10" s="83">
        <v>0.11</v>
      </c>
      <c r="CU10" s="83">
        <v>0.06</v>
      </c>
      <c r="CV10" s="83">
        <v>0.04</v>
      </c>
      <c r="CW10" s="83">
        <v>0.03</v>
      </c>
      <c r="CX10" s="83">
        <v>0.02</v>
      </c>
      <c r="CY10" s="83">
        <v>1.4999999999999999E-2</v>
      </c>
      <c r="CZ10" s="83">
        <v>0.01</v>
      </c>
      <c r="DA10" s="83">
        <v>5.0000000000000001E-3</v>
      </c>
    </row>
    <row r="11" spans="2:158">
      <c r="B11" s="36" t="s">
        <v>176</v>
      </c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>
        <f t="shared" si="9"/>
        <v>0.12696291346475119</v>
      </c>
      <c r="BP11" s="80">
        <f t="shared" si="9"/>
        <v>0.10670535138620241</v>
      </c>
      <c r="BQ11" s="80">
        <f t="shared" si="9"/>
        <v>0.14141732283464559</v>
      </c>
      <c r="BR11" s="80">
        <f t="shared" si="9"/>
        <v>0.17819460726846414</v>
      </c>
      <c r="BS11" s="80">
        <f t="shared" si="9"/>
        <v>8.1826267417729026E-2</v>
      </c>
      <c r="BT11" s="80">
        <f t="shared" si="9"/>
        <v>0.19458199825225742</v>
      </c>
      <c r="BU11" s="80">
        <f t="shared" si="9"/>
        <v>0.24199779249448117</v>
      </c>
      <c r="CP11" s="80"/>
      <c r="CQ11" s="80">
        <f t="shared" ref="CQ11:CQ14" si="10">CQ5/CP5-1</f>
        <v>0.13941018766756041</v>
      </c>
      <c r="CR11" s="83">
        <v>0.17</v>
      </c>
      <c r="CS11" s="83">
        <v>0.14000000000000001</v>
      </c>
      <c r="CT11" s="83">
        <v>0.11</v>
      </c>
      <c r="CU11" s="83">
        <v>0.08</v>
      </c>
      <c r="CV11" s="83">
        <v>0.05</v>
      </c>
      <c r="CW11" s="83">
        <v>0.04</v>
      </c>
      <c r="CX11" s="83">
        <v>0.03</v>
      </c>
      <c r="CY11" s="83">
        <v>2.5000000000000001E-2</v>
      </c>
      <c r="CZ11" s="83">
        <v>0.02</v>
      </c>
      <c r="DA11" s="83">
        <v>1.4999999999999999E-2</v>
      </c>
    </row>
    <row r="12" spans="2:158">
      <c r="B12" s="36" t="s">
        <v>177</v>
      </c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>
        <f t="shared" si="9"/>
        <v>5.8708414872798542E-2</v>
      </c>
      <c r="BP12" s="80">
        <f t="shared" si="9"/>
        <v>-0.12159190853122248</v>
      </c>
      <c r="BQ12" s="80">
        <f t="shared" si="9"/>
        <v>1.3739409205404396E-3</v>
      </c>
      <c r="BR12" s="80">
        <f t="shared" si="9"/>
        <v>8.3313776108894677E-2</v>
      </c>
      <c r="BS12" s="80">
        <f t="shared" si="9"/>
        <v>-7.7865064695009201E-2</v>
      </c>
      <c r="BT12" s="80">
        <f t="shared" si="9"/>
        <v>8.9862327909887352E-2</v>
      </c>
      <c r="BU12" s="80">
        <f t="shared" si="9"/>
        <v>3.1557283329522123E-2</v>
      </c>
      <c r="CP12" s="80"/>
      <c r="CQ12" s="80">
        <f t="shared" si="10"/>
        <v>2.780352177942591E-3</v>
      </c>
      <c r="CR12" s="83">
        <v>0.03</v>
      </c>
      <c r="CS12" s="83">
        <v>0.04</v>
      </c>
      <c r="CT12" s="83">
        <v>0.02</v>
      </c>
      <c r="CU12" s="83">
        <v>2.5000000000000001E-2</v>
      </c>
      <c r="CV12" s="83">
        <v>0.03</v>
      </c>
      <c r="CW12" s="83">
        <v>0.04</v>
      </c>
      <c r="CX12" s="83">
        <v>0.03</v>
      </c>
      <c r="CY12" s="83">
        <v>2.5000000000000001E-2</v>
      </c>
      <c r="CZ12" s="83">
        <v>0.02</v>
      </c>
      <c r="DA12" s="83">
        <v>1.4999999999999999E-2</v>
      </c>
    </row>
    <row r="13" spans="2:158">
      <c r="B13" s="36" t="s">
        <v>178</v>
      </c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>
        <f t="shared" si="9"/>
        <v>-1.9577852554298003E-2</v>
      </c>
      <c r="BP13" s="80">
        <f t="shared" si="9"/>
        <v>3.5054773082942026E-2</v>
      </c>
      <c r="BQ13" s="80">
        <f t="shared" si="9"/>
        <v>9.1382113821138145E-2</v>
      </c>
      <c r="BR13" s="80">
        <f t="shared" si="9"/>
        <v>7.5170068027210935E-2</v>
      </c>
      <c r="BS13" s="80">
        <f t="shared" si="9"/>
        <v>6.9578783151326151E-2</v>
      </c>
      <c r="BT13" s="80">
        <f t="shared" si="9"/>
        <v>5.7151496824916936E-2</v>
      </c>
      <c r="BU13" s="80">
        <f t="shared" si="9"/>
        <v>3.8438617401668651E-2</v>
      </c>
      <c r="CP13" s="80"/>
      <c r="CQ13" s="80">
        <f t="shared" si="10"/>
        <v>4.4074044394582845E-2</v>
      </c>
      <c r="CR13" s="83">
        <v>0.06</v>
      </c>
      <c r="CS13" s="83">
        <v>5.5E-2</v>
      </c>
      <c r="CT13" s="83">
        <v>0.05</v>
      </c>
      <c r="CU13" s="83">
        <v>4.4999999999999998E-2</v>
      </c>
      <c r="CV13" s="83">
        <v>0.04</v>
      </c>
      <c r="CW13" s="83">
        <v>3.5000000000000003E-2</v>
      </c>
      <c r="CX13" s="83">
        <v>0.03</v>
      </c>
      <c r="CY13" s="83">
        <v>2.5000000000000001E-2</v>
      </c>
      <c r="CZ13" s="83">
        <v>0.02</v>
      </c>
      <c r="DA13" s="83">
        <v>0.01</v>
      </c>
    </row>
    <row r="14" spans="2:158" s="2" customFormat="1" ht="15">
      <c r="B14" s="33" t="s">
        <v>101</v>
      </c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>
        <f t="shared" si="9"/>
        <v>4.4664146554230788E-2</v>
      </c>
      <c r="BP14" s="80">
        <f t="shared" si="9"/>
        <v>1.8209910605893054E-3</v>
      </c>
      <c r="BQ14" s="80">
        <f t="shared" si="9"/>
        <v>8.7991113189897163E-2</v>
      </c>
      <c r="BR14" s="80">
        <f t="shared" si="9"/>
        <v>9.1236172269358873E-2</v>
      </c>
      <c r="BS14" s="80">
        <f t="shared" si="9"/>
        <v>3.2288593219396144E-3</v>
      </c>
      <c r="BT14" s="80">
        <f t="shared" si="9"/>
        <v>0.10509501514734243</v>
      </c>
      <c r="BU14" s="80">
        <f t="shared" si="9"/>
        <v>0.11295609651244032</v>
      </c>
      <c r="BV14" s="34"/>
      <c r="CP14" s="80"/>
      <c r="CQ14" s="80">
        <f t="shared" si="10"/>
        <v>5.6374308517376903E-2</v>
      </c>
      <c r="CR14" s="84">
        <f t="shared" ref="CR14:DA14" si="11">CR8/CQ8-1</f>
        <v>7.8291093700032066E-2</v>
      </c>
      <c r="CS14" s="84">
        <f t="shared" si="11"/>
        <v>8.3455321248105951E-2</v>
      </c>
      <c r="CT14" s="84">
        <f t="shared" si="11"/>
        <v>8.0993163480091557E-2</v>
      </c>
      <c r="CU14" s="84">
        <f t="shared" si="11"/>
        <v>5.5107998901196442E-2</v>
      </c>
      <c r="CV14" s="84">
        <f t="shared" si="11"/>
        <v>4.0371651811437426E-2</v>
      </c>
      <c r="CW14" s="84">
        <f t="shared" si="11"/>
        <v>3.5050399495750728E-2</v>
      </c>
      <c r="CX14" s="84">
        <f t="shared" si="11"/>
        <v>2.5869719652941825E-2</v>
      </c>
      <c r="CY14" s="84">
        <f t="shared" si="11"/>
        <v>2.0893351881538402E-2</v>
      </c>
      <c r="CZ14" s="84">
        <f t="shared" si="11"/>
        <v>1.5917058493371217E-2</v>
      </c>
      <c r="DA14" s="84">
        <f t="shared" si="11"/>
        <v>1.013212845488054E-2</v>
      </c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</row>
    <row r="15" spans="2:158"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CP15" s="80"/>
      <c r="CQ15" s="80"/>
    </row>
    <row r="16" spans="2:158">
      <c r="B16" s="36" t="s">
        <v>179</v>
      </c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>
        <f t="shared" ref="BK16:BR16" si="12">BK4/BK8</f>
        <v>0.39808083745274792</v>
      </c>
      <c r="BL16" s="80">
        <f t="shared" si="12"/>
        <v>0.4015561196335945</v>
      </c>
      <c r="BM16" s="80">
        <f t="shared" si="12"/>
        <v>0.37926800748362954</v>
      </c>
      <c r="BN16" s="80">
        <f t="shared" si="12"/>
        <v>0.43008269788422299</v>
      </c>
      <c r="BO16" s="80">
        <f t="shared" si="12"/>
        <v>0.39286310749874742</v>
      </c>
      <c r="BP16" s="80">
        <f t="shared" si="12"/>
        <v>0.40870283668410906</v>
      </c>
      <c r="BQ16" s="80">
        <f t="shared" si="12"/>
        <v>0.38991885646730079</v>
      </c>
      <c r="BR16" s="80">
        <f t="shared" si="12"/>
        <v>0.41946754588848972</v>
      </c>
      <c r="BS16" s="80">
        <f>BS4/BS8</f>
        <v>0.38582764552466564</v>
      </c>
      <c r="BT16" s="80">
        <f>BT4/BT8</f>
        <v>0.40432637192842547</v>
      </c>
      <c r="BU16" s="80">
        <f>BU4/BU8</f>
        <v>0.39660084013326252</v>
      </c>
      <c r="CP16" s="80">
        <f t="shared" ref="CP16:CQ16" si="13">CP4/CP8</f>
        <v>0.40282645721605226</v>
      </c>
      <c r="CQ16" s="80">
        <f t="shared" si="13"/>
        <v>0.40316863873787445</v>
      </c>
    </row>
    <row r="17" spans="2:157">
      <c r="B17" s="36" t="s">
        <v>180</v>
      </c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>
        <f t="shared" ref="BK17:BR17" si="14">BK5/BK8</f>
        <v>0.17406222739168362</v>
      </c>
      <c r="BL17" s="80">
        <f t="shared" si="14"/>
        <v>0.17117315969539787</v>
      </c>
      <c r="BM17" s="80">
        <f t="shared" si="14"/>
        <v>0.18562909260991581</v>
      </c>
      <c r="BN17" s="80">
        <f t="shared" si="14"/>
        <v>0.18322414348619911</v>
      </c>
      <c r="BO17" s="80">
        <f t="shared" si="14"/>
        <v>0.18777487056727718</v>
      </c>
      <c r="BP17" s="80">
        <f t="shared" si="14"/>
        <v>0.18909391352244562</v>
      </c>
      <c r="BQ17" s="80">
        <f t="shared" si="14"/>
        <v>0.19474447847815574</v>
      </c>
      <c r="BR17" s="80">
        <f t="shared" si="14"/>
        <v>0.19782491019142759</v>
      </c>
      <c r="BS17" s="80">
        <f>BS5/BS8</f>
        <v>0.20248598856889186</v>
      </c>
      <c r="BT17" s="80">
        <f>BT5/BT8</f>
        <v>0.20440612071973285</v>
      </c>
      <c r="BU17" s="80">
        <f>BU5/BU8</f>
        <v>0.21732412727536091</v>
      </c>
      <c r="CP17" s="80">
        <f t="shared" ref="CP17:CQ17" si="15">CP5/CP8</f>
        <v>0.17851160564728405</v>
      </c>
      <c r="CQ17" s="80">
        <f t="shared" si="15"/>
        <v>0.19254343886579256</v>
      </c>
    </row>
    <row r="18" spans="2:157">
      <c r="B18" s="36" t="s">
        <v>181</v>
      </c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>
        <f t="shared" ref="BK18:BR18" si="16">BK6/BK8</f>
        <v>0.23774353009595814</v>
      </c>
      <c r="BL18" s="80">
        <f t="shared" si="16"/>
        <v>0.25096567707758527</v>
      </c>
      <c r="BM18" s="80">
        <f t="shared" si="16"/>
        <v>0.25532039289055192</v>
      </c>
      <c r="BN18" s="80">
        <f t="shared" si="16"/>
        <v>0.22881537965846849</v>
      </c>
      <c r="BO18" s="80">
        <f t="shared" si="16"/>
        <v>0.24093970940266102</v>
      </c>
      <c r="BP18" s="80">
        <f t="shared" si="16"/>
        <v>0.22004957312035253</v>
      </c>
      <c r="BQ18" s="80">
        <f t="shared" si="16"/>
        <v>0.23499382019452952</v>
      </c>
      <c r="BR18" s="80">
        <f t="shared" si="16"/>
        <v>0.22715417548348998</v>
      </c>
      <c r="BS18" s="80">
        <f>BS6/BS8</f>
        <v>0.22146384773320016</v>
      </c>
      <c r="BT18" s="80">
        <f>BT6/BT8</f>
        <v>0.21701639834521258</v>
      </c>
      <c r="BU18" s="80">
        <f>BU6/BU8</f>
        <v>0.21780696248370432</v>
      </c>
      <c r="CP18" s="80">
        <f t="shared" ref="CP18:CQ18" si="17">CP6/CP8</f>
        <v>0.24300775586616555</v>
      </c>
      <c r="CQ18" s="80">
        <f t="shared" si="17"/>
        <v>0.23067903208613155</v>
      </c>
    </row>
    <row r="19" spans="2:157">
      <c r="B19" s="36" t="s">
        <v>182</v>
      </c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>
        <f t="shared" ref="BK19:BR19" si="18">BK7/BK8</f>
        <v>0.19011340505961036</v>
      </c>
      <c r="BL19" s="80">
        <f t="shared" si="18"/>
        <v>0.17630504359342236</v>
      </c>
      <c r="BM19" s="80">
        <f t="shared" si="18"/>
        <v>0.1797825070159027</v>
      </c>
      <c r="BN19" s="80">
        <f t="shared" si="18"/>
        <v>0.15787777897110944</v>
      </c>
      <c r="BO19" s="80">
        <f t="shared" si="18"/>
        <v>0.17842231253131438</v>
      </c>
      <c r="BP19" s="80">
        <f t="shared" si="18"/>
        <v>0.18215367667309282</v>
      </c>
      <c r="BQ19" s="80">
        <f t="shared" si="18"/>
        <v>0.18034284486001398</v>
      </c>
      <c r="BR19" s="80">
        <f t="shared" si="18"/>
        <v>0.15555336843659268</v>
      </c>
      <c r="BS19" s="80">
        <f>BS7/BS8</f>
        <v>0.19022251817324232</v>
      </c>
      <c r="BT19" s="80">
        <f>BT7/BT8</f>
        <v>0.17425110900662913</v>
      </c>
      <c r="BU19" s="80">
        <f>BU7/BU8</f>
        <v>0.16826807010767225</v>
      </c>
      <c r="CP19" s="80">
        <f t="shared" ref="CP19:CQ19" si="19">CP7/CP8</f>
        <v>0.17565418127049814</v>
      </c>
      <c r="CQ19" s="80">
        <f t="shared" si="19"/>
        <v>0.17360889031020146</v>
      </c>
    </row>
    <row r="21" spans="2:157">
      <c r="B21" s="36" t="s">
        <v>171</v>
      </c>
      <c r="BK21" s="1">
        <v>6170</v>
      </c>
      <c r="BL21" s="1">
        <v>6526</v>
      </c>
      <c r="BM21" s="1">
        <v>5835</v>
      </c>
      <c r="BN21" s="1">
        <f>26093-SUM(BK21:BM21)</f>
        <v>7562</v>
      </c>
      <c r="BO21" s="1">
        <v>6337</v>
      </c>
      <c r="BP21" s="1">
        <v>7517</v>
      </c>
      <c r="BQ21" s="1">
        <v>6571</v>
      </c>
      <c r="BR21" s="1">
        <f>28168-SUM(BO21:BQ21)</f>
        <v>7743</v>
      </c>
      <c r="BS21" s="1">
        <v>6334</v>
      </c>
      <c r="BT21" s="1">
        <v>7352</v>
      </c>
      <c r="BU21" s="1">
        <f>BU4-BU38</f>
        <v>7471</v>
      </c>
      <c r="CP21" s="1">
        <f>SUM(BK21:BN21)</f>
        <v>26093</v>
      </c>
      <c r="CQ21" s="1">
        <f>SUM(BO21:BR21)</f>
        <v>28168</v>
      </c>
      <c r="CR21" s="65"/>
      <c r="CS21" s="65"/>
      <c r="CT21" s="65"/>
      <c r="CU21" s="65"/>
      <c r="CV21" s="65"/>
      <c r="CW21" s="65"/>
      <c r="CX21" s="65"/>
      <c r="CY21" s="65"/>
      <c r="CZ21" s="65"/>
      <c r="DA21" s="65"/>
    </row>
    <row r="22" spans="2:157">
      <c r="B22" s="36" t="s">
        <v>172</v>
      </c>
      <c r="BK22" s="1">
        <v>2686</v>
      </c>
      <c r="BL22" s="1">
        <v>2653</v>
      </c>
      <c r="BM22" s="1">
        <v>2718</v>
      </c>
      <c r="BN22" s="1">
        <f>12277-SUM(BK22:BM22)</f>
        <v>4220</v>
      </c>
      <c r="BO22" s="1">
        <v>2908</v>
      </c>
      <c r="BP22" s="1">
        <v>2955</v>
      </c>
      <c r="BQ22" s="1">
        <v>3114</v>
      </c>
      <c r="BR22" s="1">
        <f>12461-SUM(BO22:BQ22)</f>
        <v>3484</v>
      </c>
      <c r="BS22" s="1">
        <v>3150</v>
      </c>
      <c r="BT22" s="1">
        <v>3507</v>
      </c>
      <c r="BU22" s="1">
        <f t="shared" ref="BU22:BU24" si="20">BU5-BU39</f>
        <v>3870</v>
      </c>
      <c r="CP22" s="1">
        <f>SUM(BK22:BN22)</f>
        <v>12277</v>
      </c>
      <c r="CQ22" s="1">
        <f>SUM(BO22:BR22)</f>
        <v>12461</v>
      </c>
      <c r="CR22" s="65"/>
      <c r="CS22" s="65"/>
      <c r="CT22" s="65"/>
      <c r="CU22" s="65"/>
      <c r="CV22" s="65"/>
      <c r="CW22" s="65"/>
      <c r="CX22" s="65"/>
      <c r="CY22" s="65"/>
      <c r="CZ22" s="65"/>
      <c r="DA22" s="65"/>
    </row>
    <row r="23" spans="2:157">
      <c r="B23" s="36" t="s">
        <v>173</v>
      </c>
      <c r="BK23" s="1">
        <v>3665</v>
      </c>
      <c r="BL23" s="1">
        <v>4061</v>
      </c>
      <c r="BM23" s="1">
        <v>3879</v>
      </c>
      <c r="BN23" s="1">
        <f>15391-SUM(BK23:BM23)</f>
        <v>3786</v>
      </c>
      <c r="BO23" s="1">
        <v>3858</v>
      </c>
      <c r="BP23" s="1">
        <v>4170</v>
      </c>
      <c r="BQ23" s="1">
        <v>3868</v>
      </c>
      <c r="BR23" s="1">
        <f>16041-SUM(BO23:BQ23)</f>
        <v>4145</v>
      </c>
      <c r="BS23" s="1">
        <v>3559</v>
      </c>
      <c r="BT23" s="1">
        <v>3917</v>
      </c>
      <c r="BU23" s="1">
        <f t="shared" si="20"/>
        <v>3987</v>
      </c>
      <c r="CP23" s="1">
        <f>SUM(BK23:BN23)</f>
        <v>15391</v>
      </c>
      <c r="CQ23" s="1">
        <f>SUM(BO23:BR23)</f>
        <v>16041</v>
      </c>
      <c r="CR23" s="65"/>
      <c r="CS23" s="65"/>
      <c r="CT23" s="65"/>
      <c r="CU23" s="65"/>
      <c r="CV23" s="65"/>
      <c r="CW23" s="65"/>
      <c r="CX23" s="65"/>
      <c r="CY23" s="65"/>
      <c r="CZ23" s="65"/>
      <c r="DA23" s="65"/>
    </row>
    <row r="24" spans="2:157">
      <c r="B24" s="36" t="s">
        <v>174</v>
      </c>
      <c r="BK24" s="1">
        <v>2966</v>
      </c>
      <c r="BL24" s="1">
        <v>2862</v>
      </c>
      <c r="BM24" s="1">
        <v>2804</v>
      </c>
      <c r="BN24" s="1">
        <f>11308-SUM(BK24:BM24)</f>
        <v>2676</v>
      </c>
      <c r="BO24" s="1">
        <v>2821</v>
      </c>
      <c r="BP24" s="1">
        <v>2957</v>
      </c>
      <c r="BQ24" s="1">
        <v>3026</v>
      </c>
      <c r="BR24" s="1">
        <f>11689-SUM(BO24:BQ24)</f>
        <v>2885</v>
      </c>
      <c r="BS24" s="1">
        <v>3139</v>
      </c>
      <c r="BT24" s="1">
        <v>3125</v>
      </c>
      <c r="BU24" s="1">
        <f t="shared" si="20"/>
        <v>3154</v>
      </c>
      <c r="CP24" s="1">
        <f>SUM(BK24:BN24)</f>
        <v>11308</v>
      </c>
      <c r="CQ24" s="1">
        <f>SUM(BO24:BR24)</f>
        <v>11689</v>
      </c>
      <c r="CR24" s="65"/>
      <c r="CS24" s="65"/>
      <c r="CT24" s="65"/>
      <c r="CU24" s="65"/>
      <c r="CV24" s="65"/>
      <c r="CW24" s="65"/>
      <c r="CX24" s="65"/>
      <c r="CY24" s="65"/>
      <c r="CZ24" s="65"/>
      <c r="DA24" s="65"/>
    </row>
    <row r="25" spans="2:157" s="2" customFormat="1" ht="15">
      <c r="B25" s="33" t="s">
        <v>197</v>
      </c>
      <c r="BK25" s="2">
        <f>SUM(BK21:BK24)</f>
        <v>15487</v>
      </c>
      <c r="BL25" s="2">
        <f>SUM(BL21:BL24)</f>
        <v>16102</v>
      </c>
      <c r="BM25" s="2">
        <f>SUM(BM21:BM24)</f>
        <v>15236</v>
      </c>
      <c r="BN25" s="2">
        <f>SUM(BN21:BN24)</f>
        <v>18244</v>
      </c>
      <c r="BO25" s="2">
        <f>SUM(BO21:BO24)-46</f>
        <v>15878</v>
      </c>
      <c r="BP25" s="2">
        <f t="shared" ref="BP25:BU25" si="21">SUM(BP21:BP24)</f>
        <v>17599</v>
      </c>
      <c r="BQ25" s="2">
        <f t="shared" si="21"/>
        <v>16579</v>
      </c>
      <c r="BR25" s="2">
        <f t="shared" si="21"/>
        <v>18257</v>
      </c>
      <c r="BS25" s="2">
        <f t="shared" si="21"/>
        <v>16182</v>
      </c>
      <c r="BT25" s="2">
        <f t="shared" si="21"/>
        <v>17901</v>
      </c>
      <c r="BU25" s="2">
        <f t="shared" si="21"/>
        <v>18482</v>
      </c>
      <c r="BV25" s="34"/>
      <c r="CP25" s="2">
        <f>SUM(BK25:BN25)</f>
        <v>65069</v>
      </c>
      <c r="CQ25" s="2">
        <f>SUM(BO25:BR25)</f>
        <v>68313</v>
      </c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</row>
    <row r="26" spans="2:157">
      <c r="B26" s="36"/>
    </row>
    <row r="27" spans="2:157">
      <c r="B27" s="36" t="s">
        <v>175</v>
      </c>
      <c r="BK27" s="80"/>
      <c r="BL27" s="80"/>
      <c r="BM27" s="80"/>
      <c r="BN27" s="80"/>
      <c r="BO27" s="80">
        <f t="shared" ref="BO27:BU31" si="22">BO21/BK21-1</f>
        <v>2.7066450567260869E-2</v>
      </c>
      <c r="BP27" s="80">
        <f t="shared" si="22"/>
        <v>0.15185412197364379</v>
      </c>
      <c r="BQ27" s="80">
        <f t="shared" si="22"/>
        <v>0.12613538988860329</v>
      </c>
      <c r="BR27" s="80">
        <f t="shared" si="22"/>
        <v>2.3935466807722738E-2</v>
      </c>
      <c r="BS27" s="80">
        <f t="shared" si="22"/>
        <v>-4.7341013097679241E-4</v>
      </c>
      <c r="BT27" s="80">
        <f t="shared" si="22"/>
        <v>-2.1950246108820015E-2</v>
      </c>
      <c r="BU27" s="80">
        <f t="shared" si="22"/>
        <v>0.13696545426875661</v>
      </c>
      <c r="CP27" s="80"/>
      <c r="CQ27" s="80">
        <f>CQ21/CP21-1</f>
        <v>7.9523243781857156E-2</v>
      </c>
      <c r="CR27" s="83"/>
      <c r="CS27" s="83"/>
      <c r="CT27" s="83"/>
      <c r="CU27" s="83"/>
      <c r="CV27" s="83"/>
      <c r="CW27" s="83"/>
      <c r="CX27" s="83"/>
      <c r="CY27" s="83"/>
      <c r="CZ27" s="83"/>
      <c r="DA27" s="83"/>
    </row>
    <row r="28" spans="2:157">
      <c r="B28" s="36" t="s">
        <v>176</v>
      </c>
      <c r="BK28" s="80"/>
      <c r="BL28" s="80"/>
      <c r="BM28" s="80"/>
      <c r="BN28" s="80"/>
      <c r="BO28" s="80">
        <f t="shared" si="22"/>
        <v>8.2650781831719922E-2</v>
      </c>
      <c r="BP28" s="80">
        <f t="shared" si="22"/>
        <v>0.11383339615529597</v>
      </c>
      <c r="BQ28" s="80">
        <f t="shared" si="22"/>
        <v>0.14569536423841067</v>
      </c>
      <c r="BR28" s="80">
        <f t="shared" si="22"/>
        <v>-0.17440758293838865</v>
      </c>
      <c r="BS28" s="80">
        <f t="shared" si="22"/>
        <v>8.3218707015130677E-2</v>
      </c>
      <c r="BT28" s="80">
        <f t="shared" si="22"/>
        <v>0.18680203045685273</v>
      </c>
      <c r="BU28" s="80">
        <f t="shared" si="22"/>
        <v>0.24277456647398843</v>
      </c>
      <c r="CP28" s="80"/>
      <c r="CQ28" s="80">
        <f t="shared" ref="CQ28:CQ31" si="23">CQ22/CP22-1</f>
        <v>1.4987374765822237E-2</v>
      </c>
      <c r="CR28" s="83"/>
      <c r="CS28" s="83"/>
      <c r="CT28" s="83"/>
      <c r="CU28" s="83"/>
      <c r="CV28" s="83"/>
      <c r="CW28" s="83"/>
      <c r="CX28" s="83"/>
      <c r="CY28" s="83"/>
      <c r="CZ28" s="83"/>
      <c r="DA28" s="83"/>
    </row>
    <row r="29" spans="2:157">
      <c r="B29" s="36" t="s">
        <v>177</v>
      </c>
      <c r="BK29" s="80"/>
      <c r="BL29" s="80"/>
      <c r="BM29" s="80"/>
      <c r="BN29" s="80"/>
      <c r="BO29" s="80">
        <f t="shared" si="22"/>
        <v>5.2660300136425642E-2</v>
      </c>
      <c r="BP29" s="80">
        <f t="shared" si="22"/>
        <v>2.6840679635557807E-2</v>
      </c>
      <c r="BQ29" s="80">
        <f t="shared" si="22"/>
        <v>-2.8357824181489688E-3</v>
      </c>
      <c r="BR29" s="80">
        <f t="shared" si="22"/>
        <v>9.4823032223983139E-2</v>
      </c>
      <c r="BS29" s="80">
        <f t="shared" si="22"/>
        <v>-7.7501296008294474E-2</v>
      </c>
      <c r="BT29" s="80">
        <f t="shared" si="22"/>
        <v>-6.0671462829736234E-2</v>
      </c>
      <c r="BU29" s="80">
        <f t="shared" si="22"/>
        <v>3.0765253360909961E-2</v>
      </c>
      <c r="CP29" s="80"/>
      <c r="CQ29" s="80">
        <f t="shared" si="23"/>
        <v>4.2232473523487801E-2</v>
      </c>
      <c r="CR29" s="83"/>
      <c r="CS29" s="83"/>
      <c r="CT29" s="83"/>
      <c r="CU29" s="83"/>
      <c r="CV29" s="83"/>
      <c r="CW29" s="83"/>
      <c r="CX29" s="83"/>
      <c r="CY29" s="83"/>
      <c r="CZ29" s="83"/>
      <c r="DA29" s="83"/>
    </row>
    <row r="30" spans="2:157">
      <c r="B30" s="36" t="s">
        <v>178</v>
      </c>
      <c r="BK30" s="80"/>
      <c r="BL30" s="80"/>
      <c r="BM30" s="80"/>
      <c r="BN30" s="80"/>
      <c r="BO30" s="80">
        <f t="shared" si="22"/>
        <v>-4.8887390424814603E-2</v>
      </c>
      <c r="BP30" s="80">
        <f t="shared" si="22"/>
        <v>3.3193570929419991E-2</v>
      </c>
      <c r="BQ30" s="80">
        <f t="shared" si="22"/>
        <v>7.9172610556348166E-2</v>
      </c>
      <c r="BR30" s="80">
        <f t="shared" si="22"/>
        <v>7.8101644245142099E-2</v>
      </c>
      <c r="BS30" s="80">
        <f t="shared" si="22"/>
        <v>0.11272598369372555</v>
      </c>
      <c r="BT30" s="80">
        <f t="shared" si="22"/>
        <v>5.6814338856949531E-2</v>
      </c>
      <c r="BU30" s="80">
        <f t="shared" si="22"/>
        <v>4.2300066093853284E-2</v>
      </c>
      <c r="CP30" s="80"/>
      <c r="CQ30" s="80">
        <f t="shared" si="23"/>
        <v>3.3692960735762334E-2</v>
      </c>
      <c r="CR30" s="83"/>
      <c r="CS30" s="83"/>
      <c r="CT30" s="83"/>
      <c r="CU30" s="83"/>
      <c r="CV30" s="83"/>
      <c r="CW30" s="83"/>
      <c r="CX30" s="83"/>
      <c r="CY30" s="83"/>
      <c r="CZ30" s="83"/>
      <c r="DA30" s="83"/>
    </row>
    <row r="31" spans="2:157">
      <c r="B31" s="37" t="s">
        <v>198</v>
      </c>
      <c r="BK31" s="80"/>
      <c r="BL31" s="80"/>
      <c r="BM31" s="80"/>
      <c r="BN31" s="80"/>
      <c r="BO31" s="80">
        <f t="shared" si="22"/>
        <v>2.5246981339187791E-2</v>
      </c>
      <c r="BP31" s="80">
        <f t="shared" si="22"/>
        <v>9.2969817413985911E-2</v>
      </c>
      <c r="BQ31" s="80">
        <f t="shared" si="22"/>
        <v>8.8146495143082149E-2</v>
      </c>
      <c r="BR31" s="80">
        <f t="shared" si="22"/>
        <v>7.1256303442224223E-4</v>
      </c>
      <c r="BS31" s="80">
        <f t="shared" si="22"/>
        <v>1.9145988159717797E-2</v>
      </c>
      <c r="BT31" s="80">
        <f t="shared" si="22"/>
        <v>1.716006591283592E-2</v>
      </c>
      <c r="BU31" s="80">
        <f t="shared" si="22"/>
        <v>0.1147837625912298</v>
      </c>
      <c r="CP31" s="80"/>
      <c r="CQ31" s="80">
        <f t="shared" si="23"/>
        <v>4.9854769552321487E-2</v>
      </c>
      <c r="CR31" s="83"/>
      <c r="CS31" s="83"/>
      <c r="CT31" s="83"/>
      <c r="CU31" s="83"/>
      <c r="CV31" s="83"/>
      <c r="CW31" s="83"/>
      <c r="CX31" s="83"/>
      <c r="CY31" s="83"/>
      <c r="CZ31" s="83"/>
      <c r="DA31" s="83"/>
    </row>
    <row r="32" spans="2:157"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CP32" s="80"/>
      <c r="CQ32" s="80"/>
    </row>
    <row r="33" spans="2:157">
      <c r="B33" s="36" t="s">
        <v>203</v>
      </c>
      <c r="BK33" s="80">
        <f t="shared" ref="BK33:BR33" si="24">BK21/BK25</f>
        <v>0.39839865693807708</v>
      </c>
      <c r="BL33" s="80">
        <f t="shared" si="24"/>
        <v>0.40529126816544531</v>
      </c>
      <c r="BM33" s="80">
        <f t="shared" si="24"/>
        <v>0.38297453399842479</v>
      </c>
      <c r="BN33" s="80">
        <f t="shared" si="24"/>
        <v>0.41449243586932688</v>
      </c>
      <c r="BO33" s="80">
        <f t="shared" si="24"/>
        <v>0.39910568081622372</v>
      </c>
      <c r="BP33" s="80">
        <f t="shared" si="24"/>
        <v>0.42712654128075461</v>
      </c>
      <c r="BQ33" s="80">
        <f t="shared" si="24"/>
        <v>0.39634477350865555</v>
      </c>
      <c r="BR33" s="80">
        <f t="shared" si="24"/>
        <v>0.42411129977542861</v>
      </c>
      <c r="BS33" s="80">
        <f>BS21/BS25</f>
        <v>0.39142256828574962</v>
      </c>
      <c r="BT33" s="80">
        <f>BT21/BT25</f>
        <v>0.41070331266409699</v>
      </c>
      <c r="BU33" s="80">
        <f>BU21/BU25</f>
        <v>0.40423114381560438</v>
      </c>
      <c r="CP33" s="80">
        <f t="shared" ref="CP33:CQ33" si="25">CP21/CP25</f>
        <v>0.40100508690774411</v>
      </c>
      <c r="CQ33" s="80">
        <f t="shared" si="25"/>
        <v>0.41233732964443076</v>
      </c>
    </row>
    <row r="34" spans="2:157">
      <c r="B34" s="36" t="s">
        <v>204</v>
      </c>
      <c r="BK34" s="80">
        <f t="shared" ref="BK34:BR34" si="26">BK22/BK25</f>
        <v>0.17343578485181119</v>
      </c>
      <c r="BL34" s="80">
        <f t="shared" si="26"/>
        <v>0.16476214134890077</v>
      </c>
      <c r="BM34" s="80">
        <f t="shared" si="26"/>
        <v>0.17839327907587293</v>
      </c>
      <c r="BN34" s="80">
        <f t="shared" si="26"/>
        <v>0.2313089234816926</v>
      </c>
      <c r="BO34" s="80">
        <f t="shared" si="26"/>
        <v>0.18314649200151153</v>
      </c>
      <c r="BP34" s="80">
        <f t="shared" si="26"/>
        <v>0.16790726745837831</v>
      </c>
      <c r="BQ34" s="80">
        <f t="shared" si="26"/>
        <v>0.18782797514928523</v>
      </c>
      <c r="BR34" s="80">
        <f t="shared" si="26"/>
        <v>0.19083091416990744</v>
      </c>
      <c r="BS34" s="80">
        <f>BS22/BS25</f>
        <v>0.19466073414905449</v>
      </c>
      <c r="BT34" s="80">
        <f>BT22/BT25</f>
        <v>0.19591084296966649</v>
      </c>
      <c r="BU34" s="80">
        <f>BU22/BU25</f>
        <v>0.20939292284384806</v>
      </c>
      <c r="CP34" s="80">
        <f t="shared" ref="CP34:CQ34" si="27">CP22/CP25</f>
        <v>0.1886766355714703</v>
      </c>
      <c r="CQ34" s="80">
        <f t="shared" si="27"/>
        <v>0.18241037577035119</v>
      </c>
    </row>
    <row r="35" spans="2:157">
      <c r="B35" s="36" t="s">
        <v>205</v>
      </c>
      <c r="BK35" s="80">
        <f t="shared" ref="BK35:BR35" si="28">BK23/BK25</f>
        <v>0.23665009362691289</v>
      </c>
      <c r="BL35" s="80">
        <f t="shared" si="28"/>
        <v>0.25220469506893556</v>
      </c>
      <c r="BM35" s="80">
        <f t="shared" si="28"/>
        <v>0.25459438172748755</v>
      </c>
      <c r="BN35" s="80">
        <f t="shared" si="28"/>
        <v>0.20752028064021047</v>
      </c>
      <c r="BO35" s="80">
        <f t="shared" si="28"/>
        <v>0.24297770500062979</v>
      </c>
      <c r="BP35" s="80">
        <f t="shared" si="28"/>
        <v>0.23694528098187398</v>
      </c>
      <c r="BQ35" s="80">
        <f t="shared" si="28"/>
        <v>0.2333071958501719</v>
      </c>
      <c r="BR35" s="80">
        <f t="shared" si="28"/>
        <v>0.2270362052911212</v>
      </c>
      <c r="BS35" s="80">
        <f>BS23/BS25</f>
        <v>0.21993573105920158</v>
      </c>
      <c r="BT35" s="80">
        <f>BT23/BT25</f>
        <v>0.21881459136361098</v>
      </c>
      <c r="BU35" s="80">
        <f>BU23/BU25</f>
        <v>0.21572340655773184</v>
      </c>
      <c r="CP35" s="80">
        <f t="shared" ref="CP35:CQ35" si="29">CP23/CP25</f>
        <v>0.23653352594937682</v>
      </c>
      <c r="CQ35" s="80">
        <f t="shared" si="29"/>
        <v>0.23481621360502394</v>
      </c>
    </row>
    <row r="36" spans="2:157">
      <c r="B36" s="36" t="s">
        <v>206</v>
      </c>
      <c r="BK36" s="80">
        <f t="shared" ref="BK36:BR36" si="30">BK24/BK25</f>
        <v>0.19151546458319882</v>
      </c>
      <c r="BL36" s="80">
        <f t="shared" si="30"/>
        <v>0.17774189541671842</v>
      </c>
      <c r="BM36" s="80">
        <f t="shared" si="30"/>
        <v>0.18403780519821475</v>
      </c>
      <c r="BN36" s="80">
        <f t="shared" si="30"/>
        <v>0.14667836000877002</v>
      </c>
      <c r="BO36" s="80">
        <f t="shared" si="30"/>
        <v>0.17766721249527648</v>
      </c>
      <c r="BP36" s="80">
        <f t="shared" si="30"/>
        <v>0.16802091027899313</v>
      </c>
      <c r="BQ36" s="80">
        <f t="shared" si="30"/>
        <v>0.18252005549188732</v>
      </c>
      <c r="BR36" s="80">
        <f t="shared" si="30"/>
        <v>0.15802158076354275</v>
      </c>
      <c r="BS36" s="80">
        <f>BS24/BS25</f>
        <v>0.19398096650599431</v>
      </c>
      <c r="BT36" s="80">
        <f>BT24/BT25</f>
        <v>0.17457125300262555</v>
      </c>
      <c r="BU36" s="80">
        <f>BU24/BU25</f>
        <v>0.1706525267828157</v>
      </c>
      <c r="CP36" s="80">
        <f t="shared" ref="CP36:CQ36" si="31">CP24/CP25</f>
        <v>0.17378475157140882</v>
      </c>
      <c r="CQ36" s="80">
        <f t="shared" si="31"/>
        <v>0.17110945208086309</v>
      </c>
    </row>
    <row r="38" spans="2:157">
      <c r="B38" s="36" t="s">
        <v>199</v>
      </c>
      <c r="BK38" s="1">
        <v>679</v>
      </c>
      <c r="BL38" s="1">
        <f t="shared" ref="BL38:BS38" si="32">BL4-BL21</f>
        <v>751</v>
      </c>
      <c r="BM38" s="1">
        <f t="shared" si="32"/>
        <v>652</v>
      </c>
      <c r="BN38" s="1">
        <f>2523-SUM(BK38:BM38)</f>
        <v>441</v>
      </c>
      <c r="BO38" s="1">
        <v>720</v>
      </c>
      <c r="BP38" s="1">
        <v>379</v>
      </c>
      <c r="BQ38" s="1">
        <v>682</v>
      </c>
      <c r="BR38" s="1">
        <f>2086-SUM(BO38:BQ38)</f>
        <v>305</v>
      </c>
      <c r="BS38" s="1">
        <f t="shared" si="32"/>
        <v>619</v>
      </c>
      <c r="BT38" s="1">
        <f t="shared" ref="BT38" si="33">BT4-BT21</f>
        <v>760</v>
      </c>
      <c r="BU38" s="1">
        <v>743</v>
      </c>
      <c r="CP38" s="1">
        <f>SUM(BK38:BN38)</f>
        <v>2523</v>
      </c>
      <c r="CQ38" s="1">
        <f>SUM(BO38:BR38)</f>
        <v>2086</v>
      </c>
      <c r="CR38" s="44"/>
      <c r="CS38" s="44"/>
      <c r="CT38" s="44"/>
      <c r="CU38" s="44"/>
      <c r="CV38" s="44"/>
      <c r="CW38" s="44"/>
      <c r="CX38" s="44"/>
      <c r="CY38" s="44"/>
      <c r="CZ38" s="44"/>
      <c r="DA38" s="44"/>
    </row>
    <row r="39" spans="2:157">
      <c r="B39" s="36" t="s">
        <v>200</v>
      </c>
      <c r="BK39" s="1">
        <v>311</v>
      </c>
      <c r="BL39" s="1">
        <v>450</v>
      </c>
      <c r="BM39" s="1">
        <f t="shared" ref="BM39" si="34">BM5-BM22</f>
        <v>457</v>
      </c>
      <c r="BN39" s="1">
        <f>413-SUM(BK39:BM39)</f>
        <v>-805</v>
      </c>
      <c r="BO39" s="1">
        <v>465</v>
      </c>
      <c r="BP39" s="1">
        <v>-66</v>
      </c>
      <c r="BQ39" s="1">
        <v>510</v>
      </c>
      <c r="BR39" s="1">
        <f>1989-SUM(BO39:BQ39)</f>
        <v>1080</v>
      </c>
      <c r="BS39" s="1">
        <v>500</v>
      </c>
      <c r="BT39" s="1">
        <v>500</v>
      </c>
      <c r="BU39" s="1">
        <v>631</v>
      </c>
      <c r="CP39" s="1">
        <f>SUM(BK39:BN39)</f>
        <v>413</v>
      </c>
      <c r="CQ39" s="1">
        <f>SUM(BO39:BR39)</f>
        <v>1989</v>
      </c>
      <c r="CR39" s="44"/>
      <c r="CS39" s="44"/>
      <c r="CT39" s="44"/>
      <c r="CU39" s="44"/>
      <c r="CV39" s="44"/>
      <c r="CW39" s="44"/>
      <c r="CX39" s="44"/>
      <c r="CY39" s="44"/>
      <c r="CZ39" s="44"/>
      <c r="DA39" s="44"/>
    </row>
    <row r="40" spans="2:157">
      <c r="B40" s="36" t="s">
        <v>201</v>
      </c>
      <c r="BK40" s="1">
        <v>430</v>
      </c>
      <c r="BL40" s="1">
        <v>495</v>
      </c>
      <c r="BM40" s="1">
        <f t="shared" ref="BM40" si="35">BM6-BM23</f>
        <v>488</v>
      </c>
      <c r="BN40" s="1">
        <f>1921-SUM(BK40:BM40)</f>
        <v>508</v>
      </c>
      <c r="BO40" s="1">
        <v>521</v>
      </c>
      <c r="BP40" s="1">
        <v>-63</v>
      </c>
      <c r="BQ40" s="1">
        <v>506</v>
      </c>
      <c r="BR40" s="1">
        <f>1323-SUM(BO40:BQ40)</f>
        <v>359</v>
      </c>
      <c r="BS40" s="1">
        <v>423</v>
      </c>
      <c r="BT40" s="1">
        <v>423</v>
      </c>
      <c r="BU40" s="1">
        <v>524</v>
      </c>
      <c r="CP40" s="1">
        <f>SUM(BK40:BN40)</f>
        <v>1921</v>
      </c>
      <c r="CQ40" s="1">
        <f>SUM(BO40:BR40)</f>
        <v>1323</v>
      </c>
      <c r="CR40" s="44"/>
      <c r="CS40" s="44"/>
      <c r="CT40" s="44"/>
      <c r="CU40" s="44"/>
      <c r="CV40" s="44"/>
      <c r="CW40" s="44"/>
      <c r="CX40" s="44"/>
      <c r="CY40" s="44"/>
      <c r="CZ40" s="44"/>
      <c r="DA40" s="44"/>
    </row>
    <row r="41" spans="2:157">
      <c r="B41" s="36" t="s">
        <v>202</v>
      </c>
      <c r="BK41" s="1">
        <v>325</v>
      </c>
      <c r="BL41" s="1">
        <v>346</v>
      </c>
      <c r="BM41" s="1">
        <f t="shared" ref="BM41" si="36">BM7-BM24</f>
        <v>271</v>
      </c>
      <c r="BN41" s="1">
        <f>1226-SUM(BK41:BM41)</f>
        <v>284</v>
      </c>
      <c r="BO41" s="1">
        <v>379</v>
      </c>
      <c r="BP41" s="1">
        <v>-73</v>
      </c>
      <c r="BQ41" s="1">
        <v>331</v>
      </c>
      <c r="BR41" s="1">
        <f>1345-SUM(BO41:BQ41)</f>
        <v>708</v>
      </c>
      <c r="BS41" s="1">
        <v>281</v>
      </c>
      <c r="BT41" s="1">
        <v>281</v>
      </c>
      <c r="BU41" s="1">
        <v>331</v>
      </c>
      <c r="CP41" s="1">
        <f>SUM(BK41:BN41)</f>
        <v>1226</v>
      </c>
      <c r="CQ41" s="1">
        <f>SUM(BO41:BR41)</f>
        <v>1345</v>
      </c>
      <c r="CR41" s="44"/>
      <c r="CS41" s="44"/>
      <c r="CT41" s="44"/>
      <c r="CU41" s="44"/>
      <c r="CV41" s="44"/>
      <c r="CW41" s="44"/>
      <c r="CX41" s="44"/>
      <c r="CY41" s="44"/>
      <c r="CZ41" s="44"/>
      <c r="DA41" s="44"/>
    </row>
    <row r="42" spans="2:157" s="2" customFormat="1" ht="15">
      <c r="B42" s="33" t="s">
        <v>267</v>
      </c>
      <c r="BK42" s="2">
        <f t="shared" ref="BK42:BR42" si="37">SUM(BK38:BK41)</f>
        <v>1745</v>
      </c>
      <c r="BL42" s="2">
        <f t="shared" si="37"/>
        <v>2042</v>
      </c>
      <c r="BM42" s="2">
        <f t="shared" si="37"/>
        <v>1868</v>
      </c>
      <c r="BN42" s="2">
        <f t="shared" si="37"/>
        <v>428</v>
      </c>
      <c r="BO42" s="2">
        <f t="shared" si="37"/>
        <v>2085</v>
      </c>
      <c r="BP42" s="2">
        <f t="shared" si="37"/>
        <v>177</v>
      </c>
      <c r="BQ42" s="2">
        <f t="shared" si="37"/>
        <v>2029</v>
      </c>
      <c r="BR42" s="2">
        <f t="shared" si="37"/>
        <v>2452</v>
      </c>
      <c r="BS42" s="2">
        <f>SUM(BS38:BS41)</f>
        <v>1823</v>
      </c>
      <c r="BT42" s="2">
        <f>SUM(BT38:BT41)</f>
        <v>1964</v>
      </c>
      <c r="BU42" s="2">
        <f>SUM(BU38:BU41)</f>
        <v>2229</v>
      </c>
      <c r="BV42" s="34"/>
      <c r="CP42" s="1">
        <f>SUM(BK42:BN42)</f>
        <v>6083</v>
      </c>
      <c r="CQ42" s="1">
        <f>SUM(BO42:BR42)</f>
        <v>6743</v>
      </c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</row>
    <row r="44" spans="2:157">
      <c r="B44" s="36" t="s">
        <v>207</v>
      </c>
      <c r="BK44" s="80">
        <f t="shared" ref="BK44:BS44" si="38">BK38/BK4</f>
        <v>9.9196493791088386E-2</v>
      </c>
      <c r="BL44" s="80">
        <f t="shared" si="38"/>
        <v>0.10320186890202006</v>
      </c>
      <c r="BM44" s="80">
        <f t="shared" si="38"/>
        <v>0.10050870972714659</v>
      </c>
      <c r="BN44" s="80">
        <f t="shared" si="38"/>
        <v>5.5063054064177802E-2</v>
      </c>
      <c r="BO44" s="80">
        <f t="shared" si="38"/>
        <v>0.10202635680884228</v>
      </c>
      <c r="BP44" s="80">
        <f t="shared" si="38"/>
        <v>5.1078167115902962E-2</v>
      </c>
      <c r="BQ44" s="80">
        <f t="shared" si="38"/>
        <v>9.3991179713340686E-2</v>
      </c>
      <c r="BR44" s="80">
        <f t="shared" si="38"/>
        <v>3.5781323322383859E-2</v>
      </c>
      <c r="BS44" s="80">
        <f t="shared" si="38"/>
        <v>8.9026319574284488E-2</v>
      </c>
      <c r="BT44" s="80">
        <f t="shared" ref="BT44:BU44" si="39">BT38/BT4</f>
        <v>9.3688362919132157E-2</v>
      </c>
      <c r="BU44" s="80">
        <f t="shared" si="39"/>
        <v>9.0455320185049912E-2</v>
      </c>
      <c r="CP44" s="80">
        <f t="shared" ref="CP44:CQ44" si="40">CP38/CP4</f>
        <v>8.8161297085750226E-2</v>
      </c>
      <c r="CQ44" s="80">
        <f t="shared" si="40"/>
        <v>6.8942723997752586E-2</v>
      </c>
      <c r="CR44" s="44"/>
      <c r="CS44" s="44"/>
      <c r="CT44" s="44"/>
      <c r="CU44" s="44"/>
      <c r="CV44" s="44"/>
      <c r="CW44" s="44"/>
      <c r="CX44" s="44"/>
      <c r="CY44" s="44"/>
      <c r="CZ44" s="44"/>
      <c r="DA44" s="44"/>
    </row>
    <row r="45" spans="2:157">
      <c r="B45" s="36" t="s">
        <v>208</v>
      </c>
      <c r="BK45" s="80">
        <f t="shared" ref="BK45:BS45" si="41">BK39/BK5</f>
        <v>0.10390912128299365</v>
      </c>
      <c r="BL45" s="80">
        <f t="shared" si="41"/>
        <v>0.14506769825918761</v>
      </c>
      <c r="BM45" s="80">
        <f t="shared" si="41"/>
        <v>0.14393700787401575</v>
      </c>
      <c r="BN45" s="80">
        <f t="shared" si="41"/>
        <v>-0.23593200468933176</v>
      </c>
      <c r="BO45" s="80">
        <f t="shared" si="41"/>
        <v>0.13785947227986955</v>
      </c>
      <c r="BP45" s="80">
        <f t="shared" si="41"/>
        <v>-1.9225167491989513E-2</v>
      </c>
      <c r="BQ45" s="80">
        <f t="shared" si="41"/>
        <v>0.14072847682119205</v>
      </c>
      <c r="BR45" s="80">
        <f t="shared" si="41"/>
        <v>0.26865671641791045</v>
      </c>
      <c r="BS45" s="80">
        <f t="shared" si="41"/>
        <v>0.13702384214853386</v>
      </c>
      <c r="BT45" s="80">
        <f t="shared" ref="BT45:BU45" si="42">BT39/BT5</f>
        <v>0.12192148256522799</v>
      </c>
      <c r="BU45" s="80">
        <f t="shared" si="42"/>
        <v>0.14019106865141079</v>
      </c>
      <c r="CP45" s="80">
        <f t="shared" ref="CP45:CQ45" si="43">CP39/CP5</f>
        <v>3.25658413499448E-2</v>
      </c>
      <c r="CQ45" s="80">
        <f t="shared" si="43"/>
        <v>0.1376470588235294</v>
      </c>
      <c r="CR45" s="44"/>
      <c r="CS45" s="44"/>
      <c r="CT45" s="44"/>
      <c r="CU45" s="44"/>
      <c r="CV45" s="44"/>
      <c r="CW45" s="44"/>
      <c r="CX45" s="44"/>
      <c r="CY45" s="44"/>
      <c r="CZ45" s="44"/>
      <c r="DA45" s="44"/>
    </row>
    <row r="46" spans="2:157">
      <c r="B46" s="36" t="s">
        <v>209</v>
      </c>
      <c r="BK46" s="80">
        <f t="shared" ref="BK46:BS46" si="44">BK40/BK6</f>
        <v>0.10518590998043052</v>
      </c>
      <c r="BL46" s="80">
        <f t="shared" si="44"/>
        <v>0.10883905013192612</v>
      </c>
      <c r="BM46" s="80">
        <f t="shared" si="44"/>
        <v>0.11174719487062057</v>
      </c>
      <c r="BN46" s="80">
        <f t="shared" si="44"/>
        <v>0.11922084017836189</v>
      </c>
      <c r="BO46" s="80">
        <f t="shared" si="44"/>
        <v>0.12037892791127541</v>
      </c>
      <c r="BP46" s="80">
        <f t="shared" si="44"/>
        <v>-1.576971214017522E-2</v>
      </c>
      <c r="BQ46" s="80">
        <f t="shared" si="44"/>
        <v>0.11571003887491425</v>
      </c>
      <c r="BR46" s="80">
        <f t="shared" si="44"/>
        <v>7.7772963604852682E-2</v>
      </c>
      <c r="BS46" s="80">
        <f t="shared" si="44"/>
        <v>0.10598847406664996</v>
      </c>
      <c r="BT46" s="80">
        <f t="shared" ref="BT46:BU46" si="45">BT40/BT6</f>
        <v>9.7152044097381721E-2</v>
      </c>
      <c r="BU46" s="80">
        <f t="shared" si="45"/>
        <v>0.11616049656395477</v>
      </c>
      <c r="CP46" s="80">
        <f t="shared" ref="CP46:CQ46" si="46">CP40/CP6</f>
        <v>0.11127201112140871</v>
      </c>
      <c r="CQ46" s="80">
        <f t="shared" si="46"/>
        <v>7.6420979667282812E-2</v>
      </c>
      <c r="CR46" s="44"/>
      <c r="CS46" s="44"/>
      <c r="CT46" s="44"/>
      <c r="CU46" s="44"/>
      <c r="CV46" s="44"/>
      <c r="CW46" s="44"/>
      <c r="CX46" s="44"/>
      <c r="CY46" s="44"/>
      <c r="CZ46" s="44"/>
      <c r="DA46" s="44"/>
    </row>
    <row r="47" spans="2:157">
      <c r="B47" s="36" t="s">
        <v>210</v>
      </c>
      <c r="BK47" s="80">
        <f t="shared" ref="BK47:BS47" si="47">BK41/BK7</f>
        <v>9.9418782502294273E-2</v>
      </c>
      <c r="BL47" s="80">
        <f t="shared" si="47"/>
        <v>0.1082942097026604</v>
      </c>
      <c r="BM47" s="80">
        <f t="shared" si="47"/>
        <v>8.8130081300813012E-2</v>
      </c>
      <c r="BN47" s="80">
        <f t="shared" si="47"/>
        <v>9.6598639455782315E-2</v>
      </c>
      <c r="BO47" s="80">
        <f t="shared" si="47"/>
        <v>0.11825273010920437</v>
      </c>
      <c r="BP47" s="80">
        <f t="shared" si="47"/>
        <v>-2.2074387662534018E-2</v>
      </c>
      <c r="BQ47" s="80">
        <f t="shared" si="47"/>
        <v>9.8629320619785465E-2</v>
      </c>
      <c r="BR47" s="80">
        <f t="shared" si="47"/>
        <v>0.22397975324264474</v>
      </c>
      <c r="BS47" s="80">
        <f t="shared" si="47"/>
        <v>8.197199533255542E-2</v>
      </c>
      <c r="BT47" s="80">
        <f t="shared" ref="BT47:BU47" si="48">BT41/BT7</f>
        <v>8.0377574370709387E-2</v>
      </c>
      <c r="BU47" s="80">
        <f t="shared" si="48"/>
        <v>9.4978479196556678E-2</v>
      </c>
      <c r="CP47" s="80">
        <f t="shared" ref="CP47:CQ47" si="49">CP41/CP7</f>
        <v>9.8245051686833881E-2</v>
      </c>
      <c r="CQ47" s="80">
        <f t="shared" si="49"/>
        <v>0.10323125335789393</v>
      </c>
      <c r="CR47" s="44"/>
      <c r="CS47" s="44"/>
      <c r="CT47" s="44"/>
      <c r="CU47" s="44"/>
      <c r="CV47" s="44"/>
      <c r="CW47" s="44"/>
      <c r="CX47" s="44"/>
      <c r="CY47" s="44"/>
      <c r="CZ47" s="44"/>
      <c r="DA47" s="44"/>
    </row>
    <row r="48" spans="2:157" s="2" customFormat="1" ht="15">
      <c r="B48" s="37" t="s">
        <v>211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80">
        <f t="shared" ref="BK48:BS48" si="50">BK42/BK8</f>
        <v>0.10148298924105845</v>
      </c>
      <c r="BL48" s="80">
        <f t="shared" si="50"/>
        <v>0.11268071956737667</v>
      </c>
      <c r="BM48" s="80">
        <f t="shared" si="50"/>
        <v>0.10921421889616464</v>
      </c>
      <c r="BN48" s="80">
        <f t="shared" si="50"/>
        <v>2.2983567823005049E-2</v>
      </c>
      <c r="BO48" s="80">
        <f t="shared" si="50"/>
        <v>0.11607192562489561</v>
      </c>
      <c r="BP48" s="80">
        <f t="shared" si="50"/>
        <v>9.7493803359955927E-3</v>
      </c>
      <c r="BQ48" s="80">
        <f t="shared" si="50"/>
        <v>0.1090332634746628</v>
      </c>
      <c r="BR48" s="80">
        <f t="shared" si="50"/>
        <v>0.12066335318143792</v>
      </c>
      <c r="BS48" s="80">
        <f t="shared" si="50"/>
        <v>0.10115975806004106</v>
      </c>
      <c r="BT48" s="80">
        <f t="shared" ref="BT48:BU48" si="51">BT42/BT8</f>
        <v>9.7891641329811097E-2</v>
      </c>
      <c r="BU48" s="80">
        <f t="shared" si="51"/>
        <v>0.10762396793974216</v>
      </c>
      <c r="BV48" s="34"/>
      <c r="CP48" s="80">
        <f t="shared" ref="CP48:CQ48" si="52">CP42/CP8</f>
        <v>8.5624199428515124E-2</v>
      </c>
      <c r="CQ48" s="80">
        <f t="shared" si="52"/>
        <v>8.9849163202217253E-2</v>
      </c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</row>
    <row r="50" spans="2:157">
      <c r="B50" s="81" t="s">
        <v>53</v>
      </c>
      <c r="BK50" s="1">
        <v>12989</v>
      </c>
      <c r="BL50" s="1">
        <v>13454</v>
      </c>
      <c r="BM50" s="1">
        <v>12766</v>
      </c>
      <c r="BN50" s="1">
        <f>52528-SUM(BK50:BM50)</f>
        <v>13319</v>
      </c>
      <c r="BO50" s="1">
        <v>13041</v>
      </c>
      <c r="BP50" s="1">
        <v>13239</v>
      </c>
      <c r="BQ50" s="1">
        <v>13430</v>
      </c>
      <c r="BR50" s="1">
        <f>53705-SUM(BO50:BQ50)</f>
        <v>13995</v>
      </c>
      <c r="BS50" s="1">
        <v>12379</v>
      </c>
      <c r="BT50" s="1">
        <v>14188</v>
      </c>
      <c r="BU50" s="1">
        <v>14350</v>
      </c>
      <c r="CP50" s="1">
        <f t="shared" ref="CP50:CP55" si="53">SUM(BK50:BN50)</f>
        <v>52528</v>
      </c>
      <c r="CQ50" s="1">
        <f t="shared" ref="CQ50:CQ55" si="54">SUM(BO50:BR50)</f>
        <v>53705</v>
      </c>
    </row>
    <row r="51" spans="2:157">
      <c r="B51" s="81" t="s">
        <v>183</v>
      </c>
      <c r="BK51" s="1">
        <v>1743</v>
      </c>
      <c r="BL51" s="1">
        <v>1780</v>
      </c>
      <c r="BM51" s="1">
        <v>1708</v>
      </c>
      <c r="BN51" s="1">
        <f>7716-SUM(BK51:BM51)</f>
        <v>2485</v>
      </c>
      <c r="BO51" s="1">
        <v>1968</v>
      </c>
      <c r="BP51" s="1">
        <v>2086</v>
      </c>
      <c r="BQ51" s="1">
        <v>2011</v>
      </c>
      <c r="BR51" s="1">
        <f>8805-SUM(BO51:BQ51)</f>
        <v>2740</v>
      </c>
      <c r="BS51" s="1">
        <v>2625</v>
      </c>
      <c r="BT51" s="1">
        <v>2802</v>
      </c>
      <c r="BU51" s="1">
        <v>2780</v>
      </c>
      <c r="CP51" s="1">
        <f t="shared" si="53"/>
        <v>7716</v>
      </c>
      <c r="CQ51" s="1">
        <f t="shared" si="54"/>
        <v>8805</v>
      </c>
    </row>
    <row r="52" spans="2:157">
      <c r="B52" s="81" t="s">
        <v>184</v>
      </c>
      <c r="BK52" s="1">
        <v>1409</v>
      </c>
      <c r="BL52" s="1">
        <v>1640</v>
      </c>
      <c r="BM52" s="1">
        <v>1503</v>
      </c>
      <c r="BN52" s="1">
        <f>6241-SUM(BK52:BM52)</f>
        <v>1689</v>
      </c>
      <c r="BO52" s="1">
        <v>1744</v>
      </c>
      <c r="BP52" s="1">
        <v>1857</v>
      </c>
      <c r="BQ52" s="1">
        <v>2003</v>
      </c>
      <c r="BR52" s="1">
        <f>7815-SUM(BO52:BQ52)</f>
        <v>2211</v>
      </c>
      <c r="BS52" s="1">
        <v>1669</v>
      </c>
      <c r="BT52" s="1">
        <v>1983</v>
      </c>
      <c r="BU52" s="1">
        <v>2216</v>
      </c>
      <c r="CP52" s="1">
        <f t="shared" si="53"/>
        <v>6241</v>
      </c>
      <c r="CQ52" s="1">
        <f t="shared" si="54"/>
        <v>7815</v>
      </c>
    </row>
    <row r="53" spans="2:157">
      <c r="B53" s="81" t="s">
        <v>185</v>
      </c>
      <c r="BK53" s="1">
        <v>739</v>
      </c>
      <c r="BL53" s="1">
        <v>845</v>
      </c>
      <c r="BM53" s="1">
        <v>729</v>
      </c>
      <c r="BN53" s="1">
        <f>3075-SUM(BK53:BM53)</f>
        <v>762</v>
      </c>
      <c r="BO53" s="1">
        <v>704</v>
      </c>
      <c r="BP53" s="1">
        <v>757</v>
      </c>
      <c r="BQ53" s="1">
        <v>633</v>
      </c>
      <c r="BR53" s="1">
        <f>2864-SUM(BO53:BQ53)</f>
        <v>770</v>
      </c>
      <c r="BS53" s="1">
        <v>794</v>
      </c>
      <c r="BT53" s="1">
        <v>384</v>
      </c>
      <c r="BU53" s="1">
        <v>700</v>
      </c>
      <c r="CP53" s="1">
        <f t="shared" si="53"/>
        <v>3075</v>
      </c>
      <c r="CQ53" s="1">
        <f t="shared" si="54"/>
        <v>2864</v>
      </c>
    </row>
    <row r="54" spans="2:157">
      <c r="B54" s="81" t="s">
        <v>186</v>
      </c>
      <c r="BK54" s="1">
        <v>315</v>
      </c>
      <c r="BL54" s="1">
        <v>403</v>
      </c>
      <c r="BM54" s="1">
        <v>398</v>
      </c>
      <c r="BN54" s="1">
        <f>1483-SUM(BK54:BM54)</f>
        <v>367</v>
      </c>
      <c r="BO54" s="1">
        <v>506</v>
      </c>
      <c r="BP54" s="1">
        <v>216</v>
      </c>
      <c r="BQ54" s="1">
        <v>532</v>
      </c>
      <c r="BR54" s="1">
        <f>1859-SUM(BO54:BQ54)</f>
        <v>605</v>
      </c>
      <c r="BS54" s="1">
        <v>554</v>
      </c>
      <c r="BT54" s="1">
        <v>706</v>
      </c>
      <c r="BU54" s="1">
        <v>665</v>
      </c>
      <c r="CP54" s="1">
        <f t="shared" si="53"/>
        <v>1483</v>
      </c>
      <c r="CQ54" s="1">
        <f t="shared" si="54"/>
        <v>1859</v>
      </c>
    </row>
    <row r="55" spans="2:157" s="2" customFormat="1" ht="15">
      <c r="B55" s="33" t="s">
        <v>52</v>
      </c>
      <c r="BK55" s="2">
        <f t="shared" ref="BK55:BR55" si="55">SUM(BK50:BK54)</f>
        <v>17195</v>
      </c>
      <c r="BL55" s="2">
        <f t="shared" si="55"/>
        <v>18122</v>
      </c>
      <c r="BM55" s="2">
        <f t="shared" si="55"/>
        <v>17104</v>
      </c>
      <c r="BN55" s="2">
        <f t="shared" si="55"/>
        <v>18622</v>
      </c>
      <c r="BO55" s="2">
        <f t="shared" si="55"/>
        <v>17963</v>
      </c>
      <c r="BP55" s="2">
        <f t="shared" si="55"/>
        <v>18155</v>
      </c>
      <c r="BQ55" s="2">
        <f t="shared" si="55"/>
        <v>18609</v>
      </c>
      <c r="BR55" s="2">
        <f t="shared" si="55"/>
        <v>20321</v>
      </c>
      <c r="BS55" s="2">
        <f>SUM(BS50:BS54)</f>
        <v>18021</v>
      </c>
      <c r="BT55" s="2">
        <f>SUM(BT50:BT54)</f>
        <v>20063</v>
      </c>
      <c r="BU55" s="2">
        <f>SUM(BU50:BU54)</f>
        <v>20711</v>
      </c>
      <c r="BV55" s="34"/>
      <c r="CP55" s="2">
        <f t="shared" si="53"/>
        <v>71043</v>
      </c>
      <c r="CQ55" s="2">
        <f t="shared" si="54"/>
        <v>75048</v>
      </c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</row>
    <row r="57" spans="2:157">
      <c r="B57" s="81" t="s">
        <v>187</v>
      </c>
      <c r="BK57" s="80"/>
      <c r="BL57" s="80"/>
      <c r="BM57" s="80"/>
      <c r="BN57" s="80"/>
      <c r="BO57" s="80">
        <f t="shared" ref="BO57:BU61" si="56">BO50/BK50-1</f>
        <v>4.0033874817153592E-3</v>
      </c>
      <c r="BP57" s="80">
        <f t="shared" si="56"/>
        <v>-1.5980377582874961E-2</v>
      </c>
      <c r="BQ57" s="80">
        <f t="shared" si="56"/>
        <v>5.2013159956133537E-2</v>
      </c>
      <c r="BR57" s="80">
        <f t="shared" si="56"/>
        <v>5.0754561153239841E-2</v>
      </c>
      <c r="BS57" s="80">
        <f t="shared" si="56"/>
        <v>-5.0762978299210171E-2</v>
      </c>
      <c r="BT57" s="80">
        <f t="shared" si="56"/>
        <v>7.1682151219880641E-2</v>
      </c>
      <c r="BU57" s="80">
        <f t="shared" si="56"/>
        <v>6.8503350707371569E-2</v>
      </c>
      <c r="CQ57" s="80">
        <f>CQ50/CP50-1</f>
        <v>2.2407097167224999E-2</v>
      </c>
    </row>
    <row r="58" spans="2:157">
      <c r="B58" s="81" t="s">
        <v>188</v>
      </c>
      <c r="BK58" s="80"/>
      <c r="BL58" s="80"/>
      <c r="BM58" s="80"/>
      <c r="BN58" s="80"/>
      <c r="BO58" s="80">
        <f t="shared" si="56"/>
        <v>0.12908777969018925</v>
      </c>
      <c r="BP58" s="80">
        <f t="shared" si="56"/>
        <v>0.17191011235955056</v>
      </c>
      <c r="BQ58" s="80">
        <f t="shared" si="56"/>
        <v>0.17740046838407486</v>
      </c>
      <c r="BR58" s="80">
        <f t="shared" si="56"/>
        <v>0.10261569416498983</v>
      </c>
      <c r="BS58" s="80">
        <f t="shared" si="56"/>
        <v>0.33384146341463405</v>
      </c>
      <c r="BT58" s="80">
        <f t="shared" si="56"/>
        <v>0.34324065196548426</v>
      </c>
      <c r="BU58" s="80">
        <f t="shared" si="56"/>
        <v>0.38239681750372956</v>
      </c>
      <c r="CQ58" s="80">
        <f t="shared" ref="CQ58:CQ62" si="57">CQ51/CP51-1</f>
        <v>0.14113530326594081</v>
      </c>
    </row>
    <row r="59" spans="2:157">
      <c r="B59" s="81" t="s">
        <v>189</v>
      </c>
      <c r="BK59" s="80"/>
      <c r="BL59" s="80"/>
      <c r="BM59" s="80"/>
      <c r="BN59" s="80"/>
      <c r="BO59" s="80">
        <f t="shared" si="56"/>
        <v>0.23775727466288155</v>
      </c>
      <c r="BP59" s="80">
        <f t="shared" si="56"/>
        <v>0.13231707317073171</v>
      </c>
      <c r="BQ59" s="80">
        <f t="shared" si="56"/>
        <v>0.33266799733865593</v>
      </c>
      <c r="BR59" s="80">
        <f t="shared" si="56"/>
        <v>0.3090586145648313</v>
      </c>
      <c r="BS59" s="80">
        <f t="shared" si="56"/>
        <v>-4.3004587155963336E-2</v>
      </c>
      <c r="BT59" s="80">
        <f t="shared" si="56"/>
        <v>6.7851373182552521E-2</v>
      </c>
      <c r="BU59" s="80">
        <f t="shared" si="56"/>
        <v>0.10634048926610085</v>
      </c>
      <c r="CQ59" s="80">
        <f t="shared" si="57"/>
        <v>0.25220317256849856</v>
      </c>
    </row>
    <row r="60" spans="2:157">
      <c r="B60" s="81" t="s">
        <v>190</v>
      </c>
      <c r="BK60" s="80"/>
      <c r="BL60" s="80"/>
      <c r="BM60" s="80"/>
      <c r="BN60" s="80"/>
      <c r="BO60" s="80">
        <f t="shared" si="56"/>
        <v>-4.7361299052773975E-2</v>
      </c>
      <c r="BP60" s="80">
        <f t="shared" si="56"/>
        <v>-0.10414201183431948</v>
      </c>
      <c r="BQ60" s="80">
        <f t="shared" si="56"/>
        <v>-0.13168724279835387</v>
      </c>
      <c r="BR60" s="80">
        <f t="shared" si="56"/>
        <v>1.049868766404205E-2</v>
      </c>
      <c r="BS60" s="80">
        <f t="shared" si="56"/>
        <v>0.12784090909090917</v>
      </c>
      <c r="BT60" s="80">
        <f t="shared" si="56"/>
        <v>-0.49273447820343463</v>
      </c>
      <c r="BU60" s="80">
        <f t="shared" si="56"/>
        <v>0.10584518167456558</v>
      </c>
      <c r="CQ60" s="80">
        <f t="shared" si="57"/>
        <v>-6.8617886178861776E-2</v>
      </c>
    </row>
    <row r="61" spans="2:157">
      <c r="B61" s="81" t="s">
        <v>191</v>
      </c>
      <c r="BK61" s="80"/>
      <c r="BL61" s="80"/>
      <c r="BM61" s="80"/>
      <c r="BN61" s="80"/>
      <c r="BO61" s="80">
        <f t="shared" si="56"/>
        <v>0.60634920634920642</v>
      </c>
      <c r="BP61" s="80">
        <f t="shared" si="56"/>
        <v>-0.46401985111662536</v>
      </c>
      <c r="BQ61" s="80">
        <f t="shared" si="56"/>
        <v>0.33668341708542715</v>
      </c>
      <c r="BR61" s="80">
        <f t="shared" si="56"/>
        <v>0.64850136239782019</v>
      </c>
      <c r="BS61" s="80">
        <f t="shared" si="56"/>
        <v>9.486166007905128E-2</v>
      </c>
      <c r="BT61" s="80">
        <f t="shared" si="56"/>
        <v>2.2685185185185186</v>
      </c>
      <c r="BU61" s="80">
        <f t="shared" si="56"/>
        <v>0.25</v>
      </c>
      <c r="CQ61" s="80">
        <f t="shared" si="57"/>
        <v>0.25354012137559012</v>
      </c>
    </row>
    <row r="62" spans="2:157" s="2" customFormat="1" ht="15">
      <c r="B62" s="33" t="s">
        <v>101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80"/>
      <c r="BL62" s="80"/>
      <c r="BM62" s="80"/>
      <c r="BN62" s="80"/>
      <c r="BO62" s="80">
        <f t="shared" ref="BO62:BR62" si="58">BO55/BK55-1</f>
        <v>4.4664146554230788E-2</v>
      </c>
      <c r="BP62" s="80">
        <f t="shared" si="58"/>
        <v>1.8209910605893054E-3</v>
      </c>
      <c r="BQ62" s="80">
        <f t="shared" si="58"/>
        <v>8.7991113189897163E-2</v>
      </c>
      <c r="BR62" s="80">
        <f t="shared" si="58"/>
        <v>9.1236172269358873E-2</v>
      </c>
      <c r="BS62" s="80">
        <f>BS55/BO55-1</f>
        <v>3.2288593219396144E-3</v>
      </c>
      <c r="BT62" s="80">
        <f>BT55/BP55-1</f>
        <v>0.10509501514734243</v>
      </c>
      <c r="BU62" s="80">
        <f>BU55/BQ55-1</f>
        <v>0.11295609651244032</v>
      </c>
      <c r="BV62" s="34"/>
      <c r="CP62" s="1"/>
      <c r="CQ62" s="80">
        <f t="shared" si="57"/>
        <v>5.6374308517376903E-2</v>
      </c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</row>
    <row r="63" spans="2:157"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</row>
    <row r="64" spans="2:157">
      <c r="B64" s="81" t="s">
        <v>192</v>
      </c>
      <c r="BK64" s="80">
        <f t="shared" ref="BK64:BR64" si="59">BK50/BK55</f>
        <v>0.75539400988659489</v>
      </c>
      <c r="BL64" s="80">
        <f t="shared" si="59"/>
        <v>0.74241253724754441</v>
      </c>
      <c r="BM64" s="80">
        <f t="shared" si="59"/>
        <v>0.74637511693171188</v>
      </c>
      <c r="BN64" s="80">
        <f t="shared" si="59"/>
        <v>0.71522929867898188</v>
      </c>
      <c r="BO64" s="80">
        <f t="shared" si="59"/>
        <v>0.72599231754161331</v>
      </c>
      <c r="BP64" s="80">
        <f t="shared" si="59"/>
        <v>0.72922060038556868</v>
      </c>
      <c r="BQ64" s="80">
        <f t="shared" si="59"/>
        <v>0.72169380407329786</v>
      </c>
      <c r="BR64" s="80">
        <f t="shared" si="59"/>
        <v>0.6886964224201565</v>
      </c>
      <c r="BS64" s="80">
        <f>BS50/BS55</f>
        <v>0.68692081460518284</v>
      </c>
      <c r="BT64" s="80">
        <f>BT50/BT55</f>
        <v>0.7071724069182076</v>
      </c>
      <c r="BU64" s="80">
        <f>BU50/BU55</f>
        <v>0.6928685239727681</v>
      </c>
      <c r="CP64" s="80">
        <f t="shared" ref="CP64:CQ64" si="60">CP50/CP55</f>
        <v>0.73938319046211454</v>
      </c>
      <c r="CQ64" s="80">
        <f t="shared" si="60"/>
        <v>0.71560867711331411</v>
      </c>
    </row>
    <row r="65" spans="2:157">
      <c r="B65" s="81" t="s">
        <v>193</v>
      </c>
      <c r="BK65" s="80">
        <f t="shared" ref="BK65:BR65" si="61">BK51/BK55</f>
        <v>0.1013666763594068</v>
      </c>
      <c r="BL65" s="80">
        <f t="shared" si="61"/>
        <v>9.822315417724313E-2</v>
      </c>
      <c r="BM65" s="80">
        <f t="shared" si="61"/>
        <v>9.9859681945743684E-2</v>
      </c>
      <c r="BN65" s="80">
        <f t="shared" si="61"/>
        <v>0.13344431317796154</v>
      </c>
      <c r="BO65" s="80">
        <f t="shared" si="61"/>
        <v>0.10955853699270723</v>
      </c>
      <c r="BP65" s="80">
        <f t="shared" si="61"/>
        <v>0.11489947672817406</v>
      </c>
      <c r="BQ65" s="80">
        <f t="shared" si="61"/>
        <v>0.10806598957493686</v>
      </c>
      <c r="BR65" s="80">
        <f t="shared" si="61"/>
        <v>0.13483588406082378</v>
      </c>
      <c r="BS65" s="80">
        <f>BS51/BS55</f>
        <v>0.14566339270850676</v>
      </c>
      <c r="BT65" s="80">
        <f>BT51/BT55</f>
        <v>0.13966007077705228</v>
      </c>
      <c r="BU65" s="80">
        <f>BU51/BU55</f>
        <v>0.13422818791946309</v>
      </c>
      <c r="CP65" s="80">
        <f t="shared" ref="CP65:CQ65" si="62">CP51/CP55</f>
        <v>0.10861027828216714</v>
      </c>
      <c r="CQ65" s="80">
        <f t="shared" si="62"/>
        <v>0.11732491205628398</v>
      </c>
    </row>
    <row r="66" spans="2:157">
      <c r="B66" s="81" t="s">
        <v>194</v>
      </c>
      <c r="BK66" s="80">
        <f t="shared" ref="BK66:BR66" si="63">BK52/BK55</f>
        <v>8.1942425123582435E-2</v>
      </c>
      <c r="BL66" s="80">
        <f t="shared" si="63"/>
        <v>9.0497737556561084E-2</v>
      </c>
      <c r="BM66" s="80">
        <f t="shared" si="63"/>
        <v>8.7874181478016844E-2</v>
      </c>
      <c r="BN66" s="80">
        <f t="shared" si="63"/>
        <v>9.0699173021157764E-2</v>
      </c>
      <c r="BO66" s="80">
        <f t="shared" si="63"/>
        <v>9.7088459611423483E-2</v>
      </c>
      <c r="BP66" s="80">
        <f t="shared" si="63"/>
        <v>0.10228587166069954</v>
      </c>
      <c r="BQ66" s="80">
        <f t="shared" si="63"/>
        <v>0.10763609006394755</v>
      </c>
      <c r="BR66" s="80">
        <f t="shared" si="63"/>
        <v>0.10880370060528517</v>
      </c>
      <c r="BS66" s="80">
        <f>BS52/BS55</f>
        <v>9.2614172354475333E-2</v>
      </c>
      <c r="BT66" s="80">
        <f>BT52/BT55</f>
        <v>9.883865822658626E-2</v>
      </c>
      <c r="BU66" s="80">
        <f>BU52/BU55</f>
        <v>0.10699628216889576</v>
      </c>
      <c r="CP66" s="80">
        <f t="shared" ref="CP66:CQ66" si="64">CP52/CP55</f>
        <v>8.784820460847656E-2</v>
      </c>
      <c r="CQ66" s="80">
        <f t="shared" si="64"/>
        <v>0.10413335465302206</v>
      </c>
    </row>
    <row r="67" spans="2:157">
      <c r="B67" s="81" t="s">
        <v>195</v>
      </c>
      <c r="BK67" s="80">
        <f t="shared" ref="BK67:BR67" si="65">BK53/BK55</f>
        <v>4.297760977028206E-2</v>
      </c>
      <c r="BL67" s="80">
        <f t="shared" si="65"/>
        <v>4.6628407460545196E-2</v>
      </c>
      <c r="BM67" s="80">
        <f t="shared" si="65"/>
        <v>4.2621608980355476E-2</v>
      </c>
      <c r="BN67" s="80">
        <f t="shared" si="65"/>
        <v>4.0919342712920199E-2</v>
      </c>
      <c r="BO67" s="80">
        <f t="shared" si="65"/>
        <v>3.9191671769748929E-2</v>
      </c>
      <c r="BP67" s="80">
        <f t="shared" si="65"/>
        <v>4.1696502340952908E-2</v>
      </c>
      <c r="BQ67" s="80">
        <f t="shared" si="65"/>
        <v>3.401579880702886E-2</v>
      </c>
      <c r="BR67" s="80">
        <f t="shared" si="65"/>
        <v>3.7891836031691356E-2</v>
      </c>
      <c r="BS67" s="80">
        <f>BS53/BS55</f>
        <v>4.4059708118306423E-2</v>
      </c>
      <c r="BT67" s="80">
        <f>BT53/BT55</f>
        <v>1.9139709913771619E-2</v>
      </c>
      <c r="BU67" s="80">
        <f>BU53/BU55</f>
        <v>3.3798464584037471E-2</v>
      </c>
      <c r="CP67" s="80">
        <f t="shared" ref="CP67:CQ67" si="66">CP53/CP55</f>
        <v>4.328364511633799E-2</v>
      </c>
      <c r="CQ67" s="80">
        <f t="shared" si="66"/>
        <v>3.8162242831254661E-2</v>
      </c>
    </row>
    <row r="68" spans="2:157">
      <c r="B68" s="81" t="s">
        <v>196</v>
      </c>
      <c r="BK68" s="80">
        <f t="shared" ref="BK68:BR68" si="67">BK54/BK55</f>
        <v>1.8319278860133761E-2</v>
      </c>
      <c r="BL68" s="80">
        <f t="shared" si="67"/>
        <v>2.2238163558106171E-2</v>
      </c>
      <c r="BM68" s="80">
        <f t="shared" si="67"/>
        <v>2.3269410664172124E-2</v>
      </c>
      <c r="BN68" s="80">
        <f t="shared" si="67"/>
        <v>1.9707872408978627E-2</v>
      </c>
      <c r="BO68" s="80">
        <f t="shared" si="67"/>
        <v>2.8169014084507043E-2</v>
      </c>
      <c r="BP68" s="80">
        <f t="shared" si="67"/>
        <v>1.1897548884604791E-2</v>
      </c>
      <c r="BQ68" s="80">
        <f t="shared" si="67"/>
        <v>2.8588317480788866E-2</v>
      </c>
      <c r="BR68" s="80">
        <f t="shared" si="67"/>
        <v>2.9772156882043207E-2</v>
      </c>
      <c r="BS68" s="80">
        <f>BS54/BS55</f>
        <v>3.074191221352866E-2</v>
      </c>
      <c r="BT68" s="80">
        <f>BT54/BT55</f>
        <v>3.5189154164382196E-2</v>
      </c>
      <c r="BU68" s="80">
        <f>BU54/BU55</f>
        <v>3.2108541354835596E-2</v>
      </c>
      <c r="CP68" s="80">
        <f t="shared" ref="CP68:CQ68" si="68">CP54/CP55</f>
        <v>2.087468153090382E-2</v>
      </c>
      <c r="CQ68" s="80">
        <f t="shared" si="68"/>
        <v>2.4770813346125145E-2</v>
      </c>
    </row>
    <row r="69" spans="2:157"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90"/>
      <c r="BU69" s="90"/>
    </row>
    <row r="70" spans="2:157" s="2" customFormat="1" ht="15">
      <c r="B70" s="2" t="s">
        <v>51</v>
      </c>
      <c r="C70" s="2">
        <v>10373</v>
      </c>
      <c r="D70" s="2">
        <v>11072</v>
      </c>
      <c r="E70" s="2">
        <v>10767</v>
      </c>
      <c r="F70" s="2">
        <v>11655</v>
      </c>
      <c r="G70" s="2">
        <v>10337</v>
      </c>
      <c r="H70" s="2">
        <v>11280</v>
      </c>
      <c r="I70" s="2">
        <v>11343</v>
      </c>
      <c r="J70" s="2">
        <v>12711</v>
      </c>
      <c r="K70" s="2">
        <v>10626</v>
      </c>
      <c r="L70" s="2">
        <v>11543</v>
      </c>
      <c r="M70" s="2">
        <v>12119</v>
      </c>
      <c r="N70" s="2">
        <v>12211</v>
      </c>
      <c r="O70" s="2">
        <v>11293</v>
      </c>
      <c r="P70" s="2">
        <v>11921</v>
      </c>
      <c r="Q70" s="2">
        <v>11869</v>
      </c>
      <c r="R70" s="2">
        <v>12099</v>
      </c>
      <c r="S70" s="2">
        <v>11070</v>
      </c>
      <c r="T70" s="2">
        <v>11408</v>
      </c>
      <c r="U70" s="2">
        <v>11347</v>
      </c>
      <c r="V70" s="2">
        <v>11533</v>
      </c>
      <c r="W70" s="2">
        <v>10650</v>
      </c>
      <c r="X70" s="2">
        <v>11306</v>
      </c>
      <c r="Y70" s="2">
        <v>11114</v>
      </c>
      <c r="Z70" s="2">
        <v>6876</v>
      </c>
      <c r="AA70" s="2">
        <v>10111</v>
      </c>
      <c r="AB70" s="2">
        <v>11643</v>
      </c>
      <c r="AC70" s="2">
        <v>10060</v>
      </c>
      <c r="AD70" s="2">
        <v>8722</v>
      </c>
      <c r="AE70" s="2">
        <v>10368</v>
      </c>
      <c r="AF70" s="2">
        <v>11577</v>
      </c>
      <c r="AG70" s="2">
        <v>11551</v>
      </c>
      <c r="AH70" s="2">
        <v>13794</v>
      </c>
      <c r="AI70" s="2">
        <v>11212</v>
      </c>
      <c r="AJ70" s="2">
        <v>12563</v>
      </c>
      <c r="AK70" s="2">
        <v>12341</v>
      </c>
      <c r="AL70" s="2">
        <v>13844</v>
      </c>
      <c r="AM70" s="2">
        <v>11635</v>
      </c>
      <c r="AN70" s="2">
        <v>13398</v>
      </c>
      <c r="AO70" s="2">
        <v>14318</v>
      </c>
      <c r="AP70" s="2">
        <v>14411</v>
      </c>
      <c r="AQ70" s="2">
        <v>14336</v>
      </c>
      <c r="AR70" s="2">
        <v>14427</v>
      </c>
      <c r="AS70" s="2">
        <v>15171</v>
      </c>
      <c r="AT70" s="2">
        <f>59812-SUM(AQ70:AS70)</f>
        <v>15878</v>
      </c>
      <c r="AU70" s="2">
        <v>15651</v>
      </c>
      <c r="AV70" s="2">
        <v>16220</v>
      </c>
      <c r="AW70" s="2">
        <v>16495</v>
      </c>
      <c r="AX70" s="2">
        <v>17032</v>
      </c>
      <c r="AY70" s="2">
        <v>16258</v>
      </c>
      <c r="AZ70" s="2">
        <v>17029</v>
      </c>
      <c r="BA70" s="2">
        <v>16028</v>
      </c>
      <c r="BB70" s="2">
        <v>17729</v>
      </c>
      <c r="BC70" s="2">
        <v>14964</v>
      </c>
      <c r="BD70" s="2">
        <v>15446</v>
      </c>
      <c r="BE70" s="2">
        <v>16583</v>
      </c>
      <c r="BF70" s="2">
        <v>18991</v>
      </c>
      <c r="BG70" s="2">
        <v>15126</v>
      </c>
      <c r="BH70" s="2">
        <v>16693</v>
      </c>
      <c r="BI70" s="2">
        <v>16878</v>
      </c>
      <c r="BJ70" s="2">
        <v>18874</v>
      </c>
      <c r="BK70" s="2">
        <v>17195</v>
      </c>
      <c r="BL70" s="2">
        <v>18122</v>
      </c>
      <c r="BM70" s="2">
        <v>17104</v>
      </c>
      <c r="BN70" s="2">
        <v>18622</v>
      </c>
      <c r="BO70" s="2">
        <v>17963</v>
      </c>
      <c r="BP70" s="2">
        <v>18155</v>
      </c>
      <c r="BQ70" s="2">
        <v>18609</v>
      </c>
      <c r="BR70" s="2">
        <v>20321</v>
      </c>
      <c r="BS70" s="2">
        <v>18021</v>
      </c>
      <c r="BT70" s="2">
        <f>BT8</f>
        <v>20063</v>
      </c>
      <c r="BU70" s="2">
        <f>BU8</f>
        <v>20711</v>
      </c>
      <c r="BV70" s="34"/>
      <c r="CA70" s="2">
        <f t="shared" ref="CA70:CA80" si="69">SUM(C70:F70)</f>
        <v>43867</v>
      </c>
      <c r="CB70" s="2">
        <f t="shared" ref="CB70:CB80" si="70">SUM(G70:J70)</f>
        <v>45671</v>
      </c>
      <c r="CC70" s="2">
        <f t="shared" ref="CC70:CC80" si="71">SUM(K70:N70)</f>
        <v>46499</v>
      </c>
      <c r="CD70" s="2">
        <f t="shared" ref="CD70:CD80" si="72">SUM(O70:R70)</f>
        <v>47182</v>
      </c>
      <c r="CE70" s="2">
        <f t="shared" ref="CE70:CE80" si="73">SUM(S70:V70)</f>
        <v>45358</v>
      </c>
      <c r="CF70" s="2">
        <f t="shared" ref="CF70:CF80" si="74">SUM(W70:Z70)</f>
        <v>39946</v>
      </c>
      <c r="CG70" s="2">
        <f t="shared" ref="CG70:CG80" si="75">SUM(AA70:AD70)</f>
        <v>40536</v>
      </c>
      <c r="CH70" s="2">
        <f t="shared" ref="CH70:CH80" si="76">SUM(AE70:AH70)</f>
        <v>47290</v>
      </c>
      <c r="CI70" s="2">
        <f t="shared" ref="CI70:CI80" si="77">SUM(AI70:AL70)</f>
        <v>49960</v>
      </c>
      <c r="CJ70" s="2">
        <f t="shared" ref="CJ70:CJ80" si="78">SUM(AM70:AP70)</f>
        <v>53762</v>
      </c>
      <c r="CK70" s="2">
        <f t="shared" ref="CK70:CK80" si="79">SUM(AQ70:AT70)</f>
        <v>59812</v>
      </c>
      <c r="CL70" s="2">
        <f t="shared" ref="CL70:CL80" si="80">SUM(AU70:AX70)</f>
        <v>65398</v>
      </c>
      <c r="CM70" s="2">
        <f t="shared" ref="CM70:CM80" si="81">SUM(AY70:BB70)</f>
        <v>67044</v>
      </c>
      <c r="CN70" s="2">
        <f t="shared" ref="CN70:CN80" si="82">SUM(BC70:BF70)</f>
        <v>65984</v>
      </c>
      <c r="CO70" s="2">
        <f t="shared" ref="CO70:CO80" si="83">SUM(BG70:BJ70)</f>
        <v>67571</v>
      </c>
      <c r="CP70" s="2">
        <f t="shared" ref="CP70:CP80" si="84">SUM(BK70:BN70)</f>
        <v>71043</v>
      </c>
      <c r="CQ70" s="2">
        <f t="shared" ref="CQ70:CQ80" si="85">SUM(BO70:BR70)</f>
        <v>75048</v>
      </c>
      <c r="CR70" s="82">
        <f>CR8</f>
        <v>80923.590000000011</v>
      </c>
      <c r="CS70" s="82">
        <f t="shared" ref="CS70:DA70" si="86">CS8</f>
        <v>87677.094200000021</v>
      </c>
      <c r="CT70" s="82">
        <f t="shared" si="86"/>
        <v>94778.339424000005</v>
      </c>
      <c r="CU70" s="82">
        <f t="shared" si="86"/>
        <v>100001.38404883503</v>
      </c>
      <c r="CV70" s="82">
        <f t="shared" si="86"/>
        <v>104038.60510631642</v>
      </c>
      <c r="CW70" s="82">
        <f t="shared" si="86"/>
        <v>107685.19977827347</v>
      </c>
      <c r="CX70" s="82">
        <f t="shared" si="86"/>
        <v>110470.98570730843</v>
      </c>
      <c r="CY70" s="82">
        <f t="shared" si="86"/>
        <v>112779.09488439163</v>
      </c>
      <c r="CZ70" s="82">
        <f t="shared" si="86"/>
        <v>114574.20633449596</v>
      </c>
      <c r="DA70" s="82">
        <f t="shared" si="86"/>
        <v>115735.08691069306</v>
      </c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</row>
    <row r="71" spans="2:157">
      <c r="B71" s="1" t="s">
        <v>54</v>
      </c>
      <c r="C71" s="1">
        <v>9219</v>
      </c>
      <c r="D71" s="1">
        <v>9883</v>
      </c>
      <c r="E71" s="1">
        <v>9605</v>
      </c>
      <c r="F71" s="1">
        <v>11013</v>
      </c>
      <c r="G71" s="1">
        <v>9441</v>
      </c>
      <c r="H71" s="1">
        <v>10238</v>
      </c>
      <c r="I71" s="1">
        <v>10554</v>
      </c>
      <c r="J71" s="1">
        <v>10891</v>
      </c>
      <c r="K71" s="1">
        <v>9812</v>
      </c>
      <c r="L71" s="1">
        <v>10381</v>
      </c>
      <c r="M71" s="1">
        <v>10844</v>
      </c>
      <c r="N71" s="1">
        <v>11183</v>
      </c>
      <c r="O71" s="1">
        <v>9997</v>
      </c>
      <c r="P71" s="1">
        <v>10466</v>
      </c>
      <c r="Q71" s="1">
        <v>10590</v>
      </c>
      <c r="R71" s="1">
        <v>11104</v>
      </c>
      <c r="S71" s="1">
        <v>10029</v>
      </c>
      <c r="T71" s="1">
        <v>10184</v>
      </c>
      <c r="U71" s="1">
        <v>10163</v>
      </c>
      <c r="V71" s="1">
        <v>10795</v>
      </c>
      <c r="W71" s="1">
        <v>9279</v>
      </c>
      <c r="X71" s="1">
        <v>9965</v>
      </c>
      <c r="Y71" s="1">
        <v>9839</v>
      </c>
      <c r="Z71" s="1">
        <v>6180</v>
      </c>
      <c r="AA71" s="1">
        <v>8848</v>
      </c>
      <c r="AB71" s="1">
        <v>10272</v>
      </c>
      <c r="AC71" s="1">
        <v>8963</v>
      </c>
      <c r="AD71" s="1">
        <v>7961</v>
      </c>
      <c r="AE71" s="1">
        <v>9273</v>
      </c>
      <c r="AF71" s="1">
        <v>10347</v>
      </c>
      <c r="AG71" s="1">
        <v>10167</v>
      </c>
      <c r="AH71" s="1">
        <v>12102</v>
      </c>
      <c r="AI71" s="1">
        <v>9806</v>
      </c>
      <c r="AJ71" s="1">
        <v>10907</v>
      </c>
      <c r="AK71" s="1">
        <v>10741</v>
      </c>
      <c r="AL71" s="1">
        <v>12135</v>
      </c>
      <c r="AM71" s="1">
        <v>9977</v>
      </c>
      <c r="AN71" s="1">
        <v>11645</v>
      </c>
      <c r="AO71" s="1">
        <v>12397</v>
      </c>
      <c r="AP71" s="1">
        <f>46488-SUM(AM71:AO71)</f>
        <v>12469</v>
      </c>
      <c r="AQ71" s="1">
        <v>12148</v>
      </c>
      <c r="AR71" s="1">
        <v>12434</v>
      </c>
      <c r="AS71" s="1">
        <v>13108</v>
      </c>
      <c r="AT71" s="1">
        <f>51445-SUM(AQ71:AS71)</f>
        <v>13755</v>
      </c>
      <c r="AU71" s="1">
        <v>13560</v>
      </c>
      <c r="AV71" s="1">
        <v>14007</v>
      </c>
      <c r="AW71" s="1">
        <v>14359</v>
      </c>
      <c r="AX71" s="1">
        <v>14818</v>
      </c>
      <c r="AY71" s="1">
        <v>14072</v>
      </c>
      <c r="AZ71" s="1">
        <v>14878</v>
      </c>
      <c r="BA71" s="1">
        <v>13726</v>
      </c>
      <c r="BB71" s="1">
        <v>15307</v>
      </c>
      <c r="BC71" s="1">
        <v>13055</v>
      </c>
      <c r="BD71" s="1">
        <v>13490</v>
      </c>
      <c r="BE71" s="1">
        <v>14463</v>
      </c>
      <c r="BF71" s="1">
        <v>16689</v>
      </c>
      <c r="BG71" s="1">
        <v>13080</v>
      </c>
      <c r="BH71" s="1">
        <v>14603</v>
      </c>
      <c r="BI71" s="1">
        <v>14830</v>
      </c>
      <c r="BJ71" s="1">
        <v>16579</v>
      </c>
      <c r="BK71" s="1">
        <v>15202</v>
      </c>
      <c r="BL71" s="1">
        <v>15992</v>
      </c>
      <c r="BM71" s="1">
        <v>14987</v>
      </c>
      <c r="BN71" s="1">
        <v>17932</v>
      </c>
      <c r="BO71" s="1">
        <v>15640</v>
      </c>
      <c r="BP71" s="1">
        <v>17421</v>
      </c>
      <c r="BQ71" s="1">
        <v>16369</v>
      </c>
      <c r="BR71" s="1">
        <v>17999</v>
      </c>
      <c r="BS71" s="1">
        <v>15943</v>
      </c>
      <c r="BT71" s="1">
        <f>15063+2862-308</f>
        <v>17617</v>
      </c>
      <c r="BU71" s="1">
        <v>18275</v>
      </c>
      <c r="CA71" s="1">
        <f t="shared" si="69"/>
        <v>39720</v>
      </c>
      <c r="CB71" s="1">
        <f t="shared" si="70"/>
        <v>41124</v>
      </c>
      <c r="CC71" s="1">
        <f t="shared" si="71"/>
        <v>42220</v>
      </c>
      <c r="CD71" s="1">
        <f t="shared" si="72"/>
        <v>42157</v>
      </c>
      <c r="CE71" s="1">
        <f t="shared" si="73"/>
        <v>41171</v>
      </c>
      <c r="CF71" s="1">
        <f t="shared" si="74"/>
        <v>35263</v>
      </c>
      <c r="CG71" s="1">
        <f t="shared" si="75"/>
        <v>36044</v>
      </c>
      <c r="CH71" s="1">
        <f t="shared" si="76"/>
        <v>41889</v>
      </c>
      <c r="CI71" s="1">
        <f t="shared" si="77"/>
        <v>43589</v>
      </c>
      <c r="CJ71" s="1">
        <f t="shared" si="78"/>
        <v>46488</v>
      </c>
      <c r="CK71" s="1">
        <f t="shared" si="79"/>
        <v>51445</v>
      </c>
      <c r="CL71" s="1">
        <f t="shared" si="80"/>
        <v>56744</v>
      </c>
      <c r="CM71" s="1">
        <f t="shared" si="81"/>
        <v>57983</v>
      </c>
      <c r="CN71" s="1">
        <f t="shared" si="82"/>
        <v>57697</v>
      </c>
      <c r="CO71" s="1">
        <f t="shared" si="83"/>
        <v>59092</v>
      </c>
      <c r="CP71" s="1">
        <f t="shared" si="84"/>
        <v>64113</v>
      </c>
      <c r="CQ71" s="1">
        <f t="shared" si="85"/>
        <v>67429</v>
      </c>
      <c r="CR71" s="65">
        <f>CR70*(1-CR84)</f>
        <v>71860.147920000018</v>
      </c>
      <c r="CS71" s="65">
        <f t="shared" ref="CS71:DA71" si="87">CS70*(1-CS84)</f>
        <v>77681.905461200018</v>
      </c>
      <c r="CT71" s="65">
        <f t="shared" si="87"/>
        <v>83878.830390240008</v>
      </c>
      <c r="CU71" s="65">
        <f t="shared" si="87"/>
        <v>88401.22349917017</v>
      </c>
      <c r="CV71" s="65">
        <f t="shared" si="87"/>
        <v>91866.088308877399</v>
      </c>
      <c r="CW71" s="65">
        <f t="shared" si="87"/>
        <v>94978.346204437199</v>
      </c>
      <c r="CX71" s="65">
        <f t="shared" si="87"/>
        <v>97324.938408138725</v>
      </c>
      <c r="CY71" s="65">
        <f t="shared" si="87"/>
        <v>99245.603498264638</v>
      </c>
      <c r="CZ71" s="65">
        <f t="shared" si="87"/>
        <v>101398.17260602892</v>
      </c>
      <c r="DA71" s="65">
        <f t="shared" si="87"/>
        <v>102425.55191596335</v>
      </c>
    </row>
    <row r="72" spans="2:157">
      <c r="B72" s="1" t="s">
        <v>55</v>
      </c>
      <c r="C72" s="1">
        <f t="shared" ref="C72:BN72" si="88">C70-C71</f>
        <v>1154</v>
      </c>
      <c r="D72" s="1">
        <f t="shared" si="88"/>
        <v>1189</v>
      </c>
      <c r="E72" s="1">
        <f t="shared" si="88"/>
        <v>1162</v>
      </c>
      <c r="F72" s="1">
        <f t="shared" si="88"/>
        <v>642</v>
      </c>
      <c r="G72" s="1">
        <f t="shared" si="88"/>
        <v>896</v>
      </c>
      <c r="H72" s="1">
        <f t="shared" si="88"/>
        <v>1042</v>
      </c>
      <c r="I72" s="1">
        <f t="shared" si="88"/>
        <v>789</v>
      </c>
      <c r="J72" s="1">
        <f t="shared" si="88"/>
        <v>1820</v>
      </c>
      <c r="K72" s="1">
        <f t="shared" si="88"/>
        <v>814</v>
      </c>
      <c r="L72" s="1">
        <f t="shared" si="88"/>
        <v>1162</v>
      </c>
      <c r="M72" s="1">
        <f t="shared" si="88"/>
        <v>1275</v>
      </c>
      <c r="N72" s="1">
        <f t="shared" si="88"/>
        <v>1028</v>
      </c>
      <c r="O72" s="1">
        <f t="shared" si="88"/>
        <v>1296</v>
      </c>
      <c r="P72" s="1">
        <f t="shared" si="88"/>
        <v>1455</v>
      </c>
      <c r="Q72" s="1">
        <f t="shared" si="88"/>
        <v>1279</v>
      </c>
      <c r="R72" s="1">
        <f t="shared" si="88"/>
        <v>995</v>
      </c>
      <c r="S72" s="1">
        <f t="shared" si="88"/>
        <v>1041</v>
      </c>
      <c r="T72" s="1">
        <f t="shared" si="88"/>
        <v>1224</v>
      </c>
      <c r="U72" s="1">
        <f t="shared" si="88"/>
        <v>1184</v>
      </c>
      <c r="V72" s="1">
        <f t="shared" si="88"/>
        <v>738</v>
      </c>
      <c r="W72" s="1">
        <f t="shared" si="88"/>
        <v>1371</v>
      </c>
      <c r="X72" s="1">
        <f t="shared" si="88"/>
        <v>1341</v>
      </c>
      <c r="Y72" s="1">
        <f t="shared" si="88"/>
        <v>1275</v>
      </c>
      <c r="Z72" s="1">
        <f t="shared" si="88"/>
        <v>696</v>
      </c>
      <c r="AA72" s="1">
        <f t="shared" si="88"/>
        <v>1263</v>
      </c>
      <c r="AB72" s="1">
        <f t="shared" si="88"/>
        <v>1371</v>
      </c>
      <c r="AC72" s="1">
        <f t="shared" si="88"/>
        <v>1097</v>
      </c>
      <c r="AD72" s="1">
        <f t="shared" si="88"/>
        <v>761</v>
      </c>
      <c r="AE72" s="1">
        <f t="shared" si="88"/>
        <v>1095</v>
      </c>
      <c r="AF72" s="1">
        <f t="shared" si="88"/>
        <v>1230</v>
      </c>
      <c r="AG72" s="1">
        <f t="shared" si="88"/>
        <v>1384</v>
      </c>
      <c r="AH72" s="1">
        <f t="shared" si="88"/>
        <v>1692</v>
      </c>
      <c r="AI72" s="1">
        <f t="shared" si="88"/>
        <v>1406</v>
      </c>
      <c r="AJ72" s="1">
        <f t="shared" si="88"/>
        <v>1656</v>
      </c>
      <c r="AK72" s="1">
        <f t="shared" si="88"/>
        <v>1600</v>
      </c>
      <c r="AL72" s="1">
        <f t="shared" si="88"/>
        <v>1709</v>
      </c>
      <c r="AM72" s="1">
        <f t="shared" si="88"/>
        <v>1658</v>
      </c>
      <c r="AN72" s="1">
        <f t="shared" si="88"/>
        <v>1753</v>
      </c>
      <c r="AO72" s="1">
        <f t="shared" si="88"/>
        <v>1921</v>
      </c>
      <c r="AP72" s="1">
        <f t="shared" si="88"/>
        <v>1942</v>
      </c>
      <c r="AQ72" s="1">
        <f t="shared" si="88"/>
        <v>2188</v>
      </c>
      <c r="AR72" s="1">
        <f t="shared" si="88"/>
        <v>1993</v>
      </c>
      <c r="AS72" s="1">
        <f t="shared" si="88"/>
        <v>2063</v>
      </c>
      <c r="AT72" s="1">
        <f t="shared" si="88"/>
        <v>2123</v>
      </c>
      <c r="AU72" s="1">
        <f t="shared" si="88"/>
        <v>2091</v>
      </c>
      <c r="AV72" s="1">
        <f t="shared" si="88"/>
        <v>2213</v>
      </c>
      <c r="AW72" s="1">
        <f t="shared" si="88"/>
        <v>2136</v>
      </c>
      <c r="AX72" s="1">
        <f t="shared" si="88"/>
        <v>2214</v>
      </c>
      <c r="AY72" s="1">
        <f t="shared" si="88"/>
        <v>2186</v>
      </c>
      <c r="AZ72" s="1">
        <f t="shared" si="88"/>
        <v>2151</v>
      </c>
      <c r="BA72" s="1">
        <f t="shared" si="88"/>
        <v>2302</v>
      </c>
      <c r="BB72" s="1">
        <f t="shared" si="88"/>
        <v>2422</v>
      </c>
      <c r="BC72" s="1">
        <f t="shared" si="88"/>
        <v>1909</v>
      </c>
      <c r="BD72" s="1">
        <f t="shared" si="88"/>
        <v>1956</v>
      </c>
      <c r="BE72" s="1">
        <f t="shared" si="88"/>
        <v>2120</v>
      </c>
      <c r="BF72" s="1">
        <f t="shared" si="88"/>
        <v>2302</v>
      </c>
      <c r="BG72" s="1">
        <f t="shared" si="88"/>
        <v>2046</v>
      </c>
      <c r="BH72" s="1">
        <f t="shared" si="88"/>
        <v>2090</v>
      </c>
      <c r="BI72" s="1">
        <f t="shared" si="88"/>
        <v>2048</v>
      </c>
      <c r="BJ72" s="1">
        <f t="shared" si="88"/>
        <v>2295</v>
      </c>
      <c r="BK72" s="1">
        <f t="shared" si="88"/>
        <v>1993</v>
      </c>
      <c r="BL72" s="1">
        <f t="shared" si="88"/>
        <v>2130</v>
      </c>
      <c r="BM72" s="1">
        <f t="shared" si="88"/>
        <v>2117</v>
      </c>
      <c r="BN72" s="1">
        <f t="shared" si="88"/>
        <v>690</v>
      </c>
      <c r="BO72" s="1">
        <f t="shared" ref="BO72:BS72" si="89">BO70-BO71</f>
        <v>2323</v>
      </c>
      <c r="BP72" s="1">
        <f t="shared" si="89"/>
        <v>734</v>
      </c>
      <c r="BQ72" s="1">
        <f t="shared" si="89"/>
        <v>2240</v>
      </c>
      <c r="BR72" s="1">
        <f t="shared" si="89"/>
        <v>2322</v>
      </c>
      <c r="BS72" s="1">
        <f t="shared" si="89"/>
        <v>2078</v>
      </c>
      <c r="BT72" s="1">
        <f t="shared" ref="BT72:BU72" si="90">BT70-BT71</f>
        <v>2446</v>
      </c>
      <c r="BU72" s="1">
        <f t="shared" si="90"/>
        <v>2436</v>
      </c>
      <c r="CA72" s="1">
        <f t="shared" si="69"/>
        <v>4147</v>
      </c>
      <c r="CB72" s="1">
        <f t="shared" si="70"/>
        <v>4547</v>
      </c>
      <c r="CC72" s="1">
        <f t="shared" si="71"/>
        <v>4279</v>
      </c>
      <c r="CD72" s="1">
        <f t="shared" si="72"/>
        <v>5025</v>
      </c>
      <c r="CE72" s="1">
        <f t="shared" si="73"/>
        <v>4187</v>
      </c>
      <c r="CF72" s="1">
        <f t="shared" si="74"/>
        <v>4683</v>
      </c>
      <c r="CG72" s="1">
        <f t="shared" si="75"/>
        <v>4492</v>
      </c>
      <c r="CH72" s="1">
        <f t="shared" si="76"/>
        <v>5401</v>
      </c>
      <c r="CI72" s="1">
        <f t="shared" si="77"/>
        <v>6371</v>
      </c>
      <c r="CJ72" s="1">
        <f t="shared" si="78"/>
        <v>7274</v>
      </c>
      <c r="CK72" s="1">
        <f t="shared" si="79"/>
        <v>8367</v>
      </c>
      <c r="CL72" s="1">
        <f t="shared" si="80"/>
        <v>8654</v>
      </c>
      <c r="CM72" s="1">
        <f t="shared" si="81"/>
        <v>9061</v>
      </c>
      <c r="CN72" s="1">
        <f t="shared" si="82"/>
        <v>8287</v>
      </c>
      <c r="CO72" s="1">
        <f t="shared" si="83"/>
        <v>8479</v>
      </c>
      <c r="CP72" s="1">
        <f t="shared" si="84"/>
        <v>6930</v>
      </c>
      <c r="CQ72" s="1">
        <f t="shared" si="85"/>
        <v>7619</v>
      </c>
      <c r="CR72" s="65">
        <f>CR70*CR84</f>
        <v>9063.4420800000007</v>
      </c>
      <c r="CS72" s="65">
        <f t="shared" ref="CS72:DA72" si="91">CS70*CS84</f>
        <v>9995.1887388000032</v>
      </c>
      <c r="CT72" s="65">
        <f t="shared" si="91"/>
        <v>10899.509033760001</v>
      </c>
      <c r="CU72" s="65">
        <f t="shared" si="91"/>
        <v>11600.160549664863</v>
      </c>
      <c r="CV72" s="65">
        <f t="shared" si="91"/>
        <v>12172.516797439022</v>
      </c>
      <c r="CW72" s="65">
        <f t="shared" si="91"/>
        <v>12706.853573836268</v>
      </c>
      <c r="CX72" s="65">
        <f t="shared" si="91"/>
        <v>13146.047299169702</v>
      </c>
      <c r="CY72" s="65">
        <f t="shared" si="91"/>
        <v>13533.491386126994</v>
      </c>
      <c r="CZ72" s="65">
        <f t="shared" si="91"/>
        <v>13176.033728467037</v>
      </c>
      <c r="DA72" s="65">
        <f t="shared" si="91"/>
        <v>13309.534994729704</v>
      </c>
    </row>
    <row r="73" spans="2:157">
      <c r="B73" s="1" t="s">
        <v>212</v>
      </c>
      <c r="C73" s="1">
        <v>97</v>
      </c>
      <c r="D73" s="1">
        <v>111</v>
      </c>
      <c r="E73" s="1">
        <v>94</v>
      </c>
      <c r="F73" s="1">
        <v>-522</v>
      </c>
      <c r="G73" s="1">
        <v>-42</v>
      </c>
      <c r="H73" s="1">
        <v>-73</v>
      </c>
      <c r="I73" s="1">
        <v>-88</v>
      </c>
      <c r="J73" s="1">
        <v>906</v>
      </c>
      <c r="K73" s="1">
        <v>-50</v>
      </c>
      <c r="L73" s="1">
        <v>169</v>
      </c>
      <c r="M73" s="1">
        <v>234</v>
      </c>
      <c r="N73" s="1">
        <v>-94</v>
      </c>
      <c r="O73" s="1">
        <v>252</v>
      </c>
      <c r="P73" s="1">
        <v>263</v>
      </c>
      <c r="Q73" s="1">
        <v>142</v>
      </c>
      <c r="R73" s="1">
        <v>-66</v>
      </c>
      <c r="S73" s="1">
        <v>-78</v>
      </c>
      <c r="T73" s="1">
        <v>-74</v>
      </c>
      <c r="U73" s="1">
        <v>-70</v>
      </c>
      <c r="V73" s="1">
        <v>-96</v>
      </c>
      <c r="W73" s="1">
        <v>-61</v>
      </c>
      <c r="X73" s="1">
        <v>-85</v>
      </c>
      <c r="Y73" s="1">
        <v>-117</v>
      </c>
      <c r="Z73" s="1">
        <v>-66</v>
      </c>
      <c r="AA73" s="1">
        <v>-93</v>
      </c>
      <c r="AB73" s="1">
        <v>-74</v>
      </c>
      <c r="AC73" s="1">
        <v>-95</v>
      </c>
      <c r="AD73" s="1">
        <v>42</v>
      </c>
      <c r="AE73" s="1">
        <v>-63</v>
      </c>
      <c r="AF73" s="1">
        <v>-145</v>
      </c>
      <c r="AG73" s="1">
        <v>-204</v>
      </c>
      <c r="AH73" s="1">
        <v>-75</v>
      </c>
      <c r="AI73" s="1">
        <v>4</v>
      </c>
      <c r="AJ73" s="1">
        <v>-60</v>
      </c>
      <c r="AK73" s="1">
        <v>-77</v>
      </c>
      <c r="AL73" s="1">
        <v>-240</v>
      </c>
      <c r="AM73" s="1">
        <v>-67</v>
      </c>
      <c r="AN73" s="1">
        <v>-42</v>
      </c>
      <c r="AO73" s="1">
        <v>-42</v>
      </c>
      <c r="AP73" s="1">
        <f>-60-SUM(AM73:AO73)</f>
        <v>91</v>
      </c>
      <c r="AQ73" s="1">
        <v>-95</v>
      </c>
      <c r="AR73" s="1">
        <v>-15</v>
      </c>
      <c r="AS73" s="1">
        <v>-42</v>
      </c>
      <c r="AT73" s="1">
        <f>-178-SUM(AQ73:AS73)</f>
        <v>-26</v>
      </c>
      <c r="AU73" s="1">
        <v>-31</v>
      </c>
      <c r="AV73" s="1">
        <v>127</v>
      </c>
      <c r="AW73" s="1">
        <v>-11</v>
      </c>
      <c r="AX73" s="1">
        <v>-75</v>
      </c>
      <c r="AY73" s="1">
        <v>4</v>
      </c>
      <c r="AZ73" s="1">
        <v>-41</v>
      </c>
      <c r="BA73" s="1">
        <v>8</v>
      </c>
      <c r="BB73" s="1">
        <v>-33</v>
      </c>
      <c r="BC73" s="1">
        <v>-24</v>
      </c>
      <c r="BD73" s="1">
        <v>-7</v>
      </c>
      <c r="BE73" s="1">
        <v>-39</v>
      </c>
      <c r="BF73" s="1">
        <v>9</v>
      </c>
      <c r="BG73" s="1">
        <v>9</v>
      </c>
      <c r="BH73" s="1">
        <v>-45</v>
      </c>
      <c r="BI73" s="1">
        <v>6</v>
      </c>
      <c r="BJ73" s="1">
        <v>2</v>
      </c>
      <c r="BK73" s="1">
        <v>-36</v>
      </c>
      <c r="BL73" s="1">
        <v>-18</v>
      </c>
      <c r="BM73" s="1">
        <v>-23</v>
      </c>
      <c r="BN73" s="1">
        <v>-6</v>
      </c>
      <c r="BO73" s="1">
        <v>-49</v>
      </c>
      <c r="BP73" s="1">
        <v>-14</v>
      </c>
      <c r="BQ73" s="1">
        <v>-40</v>
      </c>
      <c r="BR73" s="1">
        <v>-9</v>
      </c>
      <c r="BS73" s="1">
        <v>15</v>
      </c>
      <c r="BT73" s="1">
        <v>-33</v>
      </c>
      <c r="BU73" s="1">
        <v>-7</v>
      </c>
      <c r="CA73" s="1">
        <f t="shared" si="69"/>
        <v>-220</v>
      </c>
      <c r="CB73" s="1">
        <f t="shared" si="70"/>
        <v>703</v>
      </c>
      <c r="CC73" s="1">
        <f t="shared" si="71"/>
        <v>259</v>
      </c>
      <c r="CD73" s="1">
        <f t="shared" si="72"/>
        <v>591</v>
      </c>
      <c r="CE73" s="1">
        <f t="shared" si="73"/>
        <v>-318</v>
      </c>
      <c r="CF73" s="1">
        <f t="shared" si="74"/>
        <v>-329</v>
      </c>
      <c r="CG73" s="1">
        <f t="shared" si="75"/>
        <v>-220</v>
      </c>
      <c r="CH73" s="1">
        <f t="shared" si="76"/>
        <v>-487</v>
      </c>
      <c r="CI73" s="1">
        <f t="shared" si="77"/>
        <v>-373</v>
      </c>
      <c r="CJ73" s="1">
        <f t="shared" si="78"/>
        <v>-60</v>
      </c>
      <c r="CK73" s="1">
        <f t="shared" si="79"/>
        <v>-178</v>
      </c>
      <c r="CL73" s="1">
        <f t="shared" si="80"/>
        <v>10</v>
      </c>
      <c r="CM73" s="1">
        <f t="shared" si="81"/>
        <v>-62</v>
      </c>
      <c r="CN73" s="1">
        <f t="shared" si="82"/>
        <v>-61</v>
      </c>
      <c r="CO73" s="1">
        <f t="shared" si="83"/>
        <v>-28</v>
      </c>
      <c r="CP73" s="1">
        <f t="shared" si="84"/>
        <v>-83</v>
      </c>
      <c r="CQ73" s="1">
        <f t="shared" si="85"/>
        <v>-112</v>
      </c>
      <c r="CR73" s="65">
        <f>CR70*CR85</f>
        <v>-120.76860249440359</v>
      </c>
      <c r="CS73" s="65">
        <f t="shared" ref="CS73:DA73" si="92">CS70*CS85</f>
        <v>-130.84738501225885</v>
      </c>
      <c r="CT73" s="65">
        <f t="shared" si="92"/>
        <v>-141.44512865749923</v>
      </c>
      <c r="CU73" s="65">
        <f t="shared" si="92"/>
        <v>-149.23988665213628</v>
      </c>
      <c r="CV73" s="65">
        <f t="shared" si="92"/>
        <v>-155.26494739243469</v>
      </c>
      <c r="CW73" s="65">
        <f t="shared" si="92"/>
        <v>-160.70704582622628</v>
      </c>
      <c r="CX73" s="65">
        <f t="shared" si="92"/>
        <v>-164.8644920480032</v>
      </c>
      <c r="CY73" s="65">
        <f t="shared" si="92"/>
        <v>-168.30906389313324</v>
      </c>
      <c r="CZ73" s="65">
        <f t="shared" si="92"/>
        <v>-170.98804910808479</v>
      </c>
      <c r="DA73" s="65">
        <f t="shared" si="92"/>
        <v>-172.72052198589734</v>
      </c>
    </row>
    <row r="74" spans="2:157">
      <c r="B74" s="1" t="s">
        <v>213</v>
      </c>
      <c r="C74" s="1">
        <f>C72-C73</f>
        <v>1057</v>
      </c>
      <c r="D74" s="1">
        <f t="shared" ref="D74:BO74" si="93">D72-D73</f>
        <v>1078</v>
      </c>
      <c r="E74" s="1">
        <f t="shared" si="93"/>
        <v>1068</v>
      </c>
      <c r="F74" s="1">
        <f t="shared" si="93"/>
        <v>1164</v>
      </c>
      <c r="G74" s="1">
        <f t="shared" si="93"/>
        <v>938</v>
      </c>
      <c r="H74" s="1">
        <f t="shared" si="93"/>
        <v>1115</v>
      </c>
      <c r="I74" s="1">
        <f t="shared" si="93"/>
        <v>877</v>
      </c>
      <c r="J74" s="1">
        <f t="shared" si="93"/>
        <v>914</v>
      </c>
      <c r="K74" s="1">
        <f t="shared" si="93"/>
        <v>864</v>
      </c>
      <c r="L74" s="1">
        <f t="shared" si="93"/>
        <v>993</v>
      </c>
      <c r="M74" s="1">
        <f t="shared" si="93"/>
        <v>1041</v>
      </c>
      <c r="N74" s="1">
        <f t="shared" si="93"/>
        <v>1122</v>
      </c>
      <c r="O74" s="1">
        <f t="shared" si="93"/>
        <v>1044</v>
      </c>
      <c r="P74" s="1">
        <f t="shared" si="93"/>
        <v>1192</v>
      </c>
      <c r="Q74" s="1">
        <f t="shared" si="93"/>
        <v>1137</v>
      </c>
      <c r="R74" s="1">
        <f t="shared" si="93"/>
        <v>1061</v>
      </c>
      <c r="S74" s="1">
        <f t="shared" si="93"/>
        <v>1119</v>
      </c>
      <c r="T74" s="1">
        <f t="shared" si="93"/>
        <v>1298</v>
      </c>
      <c r="U74" s="1">
        <f t="shared" si="93"/>
        <v>1254</v>
      </c>
      <c r="V74" s="1">
        <f t="shared" si="93"/>
        <v>834</v>
      </c>
      <c r="W74" s="1">
        <f t="shared" si="93"/>
        <v>1432</v>
      </c>
      <c r="X74" s="1">
        <f t="shared" si="93"/>
        <v>1426</v>
      </c>
      <c r="Y74" s="1">
        <f t="shared" si="93"/>
        <v>1392</v>
      </c>
      <c r="Z74" s="1">
        <f t="shared" si="93"/>
        <v>762</v>
      </c>
      <c r="AA74" s="1">
        <f t="shared" si="93"/>
        <v>1356</v>
      </c>
      <c r="AB74" s="1">
        <f t="shared" si="93"/>
        <v>1445</v>
      </c>
      <c r="AC74" s="1">
        <f t="shared" si="93"/>
        <v>1192</v>
      </c>
      <c r="AD74" s="1">
        <f t="shared" si="93"/>
        <v>719</v>
      </c>
      <c r="AE74" s="1">
        <f t="shared" si="93"/>
        <v>1158</v>
      </c>
      <c r="AF74" s="1">
        <f t="shared" si="93"/>
        <v>1375</v>
      </c>
      <c r="AG74" s="1">
        <f t="shared" si="93"/>
        <v>1588</v>
      </c>
      <c r="AH74" s="1">
        <f t="shared" si="93"/>
        <v>1767</v>
      </c>
      <c r="AI74" s="1">
        <f t="shared" si="93"/>
        <v>1402</v>
      </c>
      <c r="AJ74" s="1">
        <f t="shared" si="93"/>
        <v>1716</v>
      </c>
      <c r="AK74" s="1">
        <f t="shared" si="93"/>
        <v>1677</v>
      </c>
      <c r="AL74" s="1">
        <f t="shared" si="93"/>
        <v>1949</v>
      </c>
      <c r="AM74" s="1">
        <f t="shared" si="93"/>
        <v>1725</v>
      </c>
      <c r="AN74" s="1">
        <f t="shared" si="93"/>
        <v>1795</v>
      </c>
      <c r="AO74" s="1">
        <f t="shared" si="93"/>
        <v>1963</v>
      </c>
      <c r="AP74" s="1">
        <f t="shared" si="93"/>
        <v>1851</v>
      </c>
      <c r="AQ74" s="1">
        <f t="shared" si="93"/>
        <v>2283</v>
      </c>
      <c r="AR74" s="1">
        <f t="shared" si="93"/>
        <v>2008</v>
      </c>
      <c r="AS74" s="1">
        <f t="shared" si="93"/>
        <v>2105</v>
      </c>
      <c r="AT74" s="1">
        <f t="shared" si="93"/>
        <v>2149</v>
      </c>
      <c r="AU74" s="1">
        <f t="shared" si="93"/>
        <v>2122</v>
      </c>
      <c r="AV74" s="1">
        <f t="shared" si="93"/>
        <v>2086</v>
      </c>
      <c r="AW74" s="1">
        <f t="shared" si="93"/>
        <v>2147</v>
      </c>
      <c r="AX74" s="1">
        <f t="shared" si="93"/>
        <v>2289</v>
      </c>
      <c r="AY74" s="1">
        <f t="shared" si="93"/>
        <v>2182</v>
      </c>
      <c r="AZ74" s="1">
        <f t="shared" si="93"/>
        <v>2192</v>
      </c>
      <c r="BA74" s="1">
        <f t="shared" si="93"/>
        <v>2294</v>
      </c>
      <c r="BB74" s="1">
        <f t="shared" si="93"/>
        <v>2455</v>
      </c>
      <c r="BC74" s="1">
        <f t="shared" si="93"/>
        <v>1933</v>
      </c>
      <c r="BD74" s="1">
        <f t="shared" si="93"/>
        <v>1963</v>
      </c>
      <c r="BE74" s="1">
        <f t="shared" si="93"/>
        <v>2159</v>
      </c>
      <c r="BF74" s="1">
        <f t="shared" si="93"/>
        <v>2293</v>
      </c>
      <c r="BG74" s="1">
        <f t="shared" si="93"/>
        <v>2037</v>
      </c>
      <c r="BH74" s="1">
        <f t="shared" si="93"/>
        <v>2135</v>
      </c>
      <c r="BI74" s="1">
        <f t="shared" si="93"/>
        <v>2042</v>
      </c>
      <c r="BJ74" s="1">
        <f t="shared" si="93"/>
        <v>2293</v>
      </c>
      <c r="BK74" s="1">
        <f t="shared" si="93"/>
        <v>2029</v>
      </c>
      <c r="BL74" s="1">
        <f t="shared" si="93"/>
        <v>2148</v>
      </c>
      <c r="BM74" s="1">
        <f t="shared" si="93"/>
        <v>2140</v>
      </c>
      <c r="BN74" s="1">
        <f t="shared" si="93"/>
        <v>696</v>
      </c>
      <c r="BO74" s="1">
        <f t="shared" si="93"/>
        <v>2372</v>
      </c>
      <c r="BP74" s="1">
        <f t="shared" ref="BP74:BS74" si="94">BP72-BP73</f>
        <v>748</v>
      </c>
      <c r="BQ74" s="1">
        <f t="shared" si="94"/>
        <v>2280</v>
      </c>
      <c r="BR74" s="1">
        <f t="shared" si="94"/>
        <v>2331</v>
      </c>
      <c r="BS74" s="1">
        <f t="shared" si="94"/>
        <v>2063</v>
      </c>
      <c r="BT74" s="1">
        <f t="shared" ref="BT74:BU74" si="95">BT72-BT73</f>
        <v>2479</v>
      </c>
      <c r="BU74" s="1">
        <f t="shared" si="95"/>
        <v>2443</v>
      </c>
      <c r="CA74" s="1">
        <f t="shared" si="69"/>
        <v>4367</v>
      </c>
      <c r="CB74" s="1">
        <f t="shared" si="70"/>
        <v>3844</v>
      </c>
      <c r="CC74" s="1">
        <f t="shared" si="71"/>
        <v>4020</v>
      </c>
      <c r="CD74" s="1">
        <f t="shared" si="72"/>
        <v>4434</v>
      </c>
      <c r="CE74" s="1">
        <f t="shared" si="73"/>
        <v>4505</v>
      </c>
      <c r="CF74" s="1">
        <f t="shared" si="74"/>
        <v>5012</v>
      </c>
      <c r="CG74" s="1">
        <f t="shared" si="75"/>
        <v>4712</v>
      </c>
      <c r="CH74" s="1">
        <f t="shared" si="76"/>
        <v>5888</v>
      </c>
      <c r="CI74" s="1">
        <f t="shared" si="77"/>
        <v>6744</v>
      </c>
      <c r="CJ74" s="1">
        <f t="shared" si="78"/>
        <v>7334</v>
      </c>
      <c r="CK74" s="1">
        <f t="shared" si="79"/>
        <v>8545</v>
      </c>
      <c r="CL74" s="1">
        <f t="shared" si="80"/>
        <v>8644</v>
      </c>
      <c r="CM74" s="1">
        <f t="shared" si="81"/>
        <v>9123</v>
      </c>
      <c r="CN74" s="1">
        <f t="shared" si="82"/>
        <v>8348</v>
      </c>
      <c r="CO74" s="1">
        <f t="shared" si="83"/>
        <v>8507</v>
      </c>
      <c r="CP74" s="1">
        <f t="shared" si="84"/>
        <v>7013</v>
      </c>
      <c r="CQ74" s="1">
        <f t="shared" si="85"/>
        <v>7731</v>
      </c>
      <c r="CR74" s="65">
        <f>CR72-CR73</f>
        <v>9184.210682494404</v>
      </c>
      <c r="CS74" s="65">
        <f t="shared" ref="CS74:DA74" si="96">CS72-CS73</f>
        <v>10126.036123812262</v>
      </c>
      <c r="CT74" s="65">
        <f t="shared" si="96"/>
        <v>11040.9541624175</v>
      </c>
      <c r="CU74" s="65">
        <f t="shared" si="96"/>
        <v>11749.400436316999</v>
      </c>
      <c r="CV74" s="65">
        <f t="shared" si="96"/>
        <v>12327.781744831456</v>
      </c>
      <c r="CW74" s="65">
        <f t="shared" si="96"/>
        <v>12867.560619662494</v>
      </c>
      <c r="CX74" s="65">
        <f t="shared" si="96"/>
        <v>13310.911791217706</v>
      </c>
      <c r="CY74" s="65">
        <f t="shared" si="96"/>
        <v>13701.800450020128</v>
      </c>
      <c r="CZ74" s="65">
        <f t="shared" si="96"/>
        <v>13347.021777575121</v>
      </c>
      <c r="DA74" s="65">
        <f t="shared" si="96"/>
        <v>13482.255516715601</v>
      </c>
    </row>
    <row r="75" spans="2:157">
      <c r="B75" s="1" t="s">
        <v>214</v>
      </c>
      <c r="C75" s="1">
        <v>-79</v>
      </c>
      <c r="D75" s="1">
        <v>-28</v>
      </c>
      <c r="E75" s="1">
        <v>-20</v>
      </c>
      <c r="F75" s="1">
        <v>-58</v>
      </c>
      <c r="G75" s="1">
        <v>-59</v>
      </c>
      <c r="H75" s="1">
        <v>-105</v>
      </c>
      <c r="I75" s="1">
        <v>-48</v>
      </c>
      <c r="J75" s="1">
        <v>-133</v>
      </c>
      <c r="K75" s="1">
        <v>-66</v>
      </c>
      <c r="L75" s="1">
        <v>-75</v>
      </c>
      <c r="M75" s="1">
        <v>-92</v>
      </c>
      <c r="N75" s="1">
        <v>-156</v>
      </c>
      <c r="O75" s="1">
        <v>-93</v>
      </c>
      <c r="P75" s="1">
        <v>-75</v>
      </c>
      <c r="Q75" s="1">
        <v>-91</v>
      </c>
      <c r="R75" s="1">
        <v>-103</v>
      </c>
      <c r="S75" s="1">
        <v>-94</v>
      </c>
      <c r="T75" s="1">
        <v>-87</v>
      </c>
      <c r="U75" s="1">
        <v>-81</v>
      </c>
      <c r="V75" s="1">
        <v>-88</v>
      </c>
      <c r="W75" s="1">
        <v>-84</v>
      </c>
      <c r="X75" s="1">
        <v>-85</v>
      </c>
      <c r="Y75" s="1">
        <v>-81</v>
      </c>
      <c r="Z75" s="1">
        <v>-85</v>
      </c>
      <c r="AA75" s="1">
        <v>-90</v>
      </c>
      <c r="AB75" s="1">
        <v>-102</v>
      </c>
      <c r="AC75" s="1">
        <v>-103</v>
      </c>
      <c r="AD75" s="1">
        <v>-118</v>
      </c>
      <c r="AE75" s="1">
        <v>-164</v>
      </c>
      <c r="AF75" s="1">
        <v>-165</v>
      </c>
      <c r="AG75" s="1">
        <v>-161</v>
      </c>
      <c r="AH75" s="1">
        <v>-644</v>
      </c>
      <c r="AI75" s="1">
        <v>-367</v>
      </c>
      <c r="AJ75" s="1">
        <v>-374</v>
      </c>
      <c r="AK75" s="1">
        <v>-380</v>
      </c>
      <c r="AL75" s="1">
        <v>-377</v>
      </c>
      <c r="AM75" s="1">
        <v>-155</v>
      </c>
      <c r="AN75" s="1">
        <v>-165</v>
      </c>
      <c r="AO75" s="1">
        <v>-177</v>
      </c>
      <c r="AP75" s="1">
        <f>-668-SUM(AM75:AO75)</f>
        <v>-171</v>
      </c>
      <c r="AQ75" s="1">
        <v>-171</v>
      </c>
      <c r="AR75" s="1">
        <v>-163</v>
      </c>
      <c r="AS75" s="1">
        <v>-162</v>
      </c>
      <c r="AT75" s="1">
        <f>-653-SUM(AQ75:AS75)</f>
        <v>-157</v>
      </c>
      <c r="AU75" s="1">
        <v>-148</v>
      </c>
      <c r="AV75" s="1">
        <v>-149</v>
      </c>
      <c r="AW75" s="1">
        <v>-145</v>
      </c>
      <c r="AX75" s="1">
        <f>-591-SUM(AU75:AW75)</f>
        <v>-149</v>
      </c>
      <c r="AY75" s="1">
        <v>-140</v>
      </c>
      <c r="AZ75" s="1">
        <v>-142</v>
      </c>
      <c r="BA75" s="1">
        <v>-141</v>
      </c>
      <c r="BB75" s="1">
        <f>-569-SUM(AY75:BA75)</f>
        <v>-146</v>
      </c>
      <c r="BC75" s="1">
        <v>-135</v>
      </c>
      <c r="BD75" s="1">
        <v>-141</v>
      </c>
      <c r="BE75" s="1">
        <v>-145</v>
      </c>
      <c r="BF75" s="1">
        <f>-623-SUM(BC75:BE75)</f>
        <v>-202</v>
      </c>
      <c r="BG75" s="1">
        <v>-202</v>
      </c>
      <c r="BH75" s="1">
        <v>-223</v>
      </c>
      <c r="BI75" s="1">
        <v>-237</v>
      </c>
      <c r="BJ75" s="1">
        <f>-916-SUM(BG75:BI75)</f>
        <v>-254</v>
      </c>
      <c r="BK75" s="1">
        <v>-255</v>
      </c>
      <c r="BL75" s="1">
        <v>-261</v>
      </c>
      <c r="BM75" s="1">
        <v>-256</v>
      </c>
      <c r="BN75" s="1">
        <f>-1036-SUM(BK75:BM75)</f>
        <v>-264</v>
      </c>
      <c r="BO75" s="1">
        <v>-268</v>
      </c>
      <c r="BP75" s="1">
        <v>-274</v>
      </c>
      <c r="BQ75" s="1">
        <v>-286</v>
      </c>
      <c r="BR75" s="1">
        <f>-1118-SUM(BO75:BQ75)</f>
        <v>-290</v>
      </c>
      <c r="BS75" s="1">
        <v>-269</v>
      </c>
      <c r="BT75" s="1">
        <v>-266</v>
      </c>
      <c r="BU75" s="1">
        <v>-264</v>
      </c>
      <c r="CA75" s="1">
        <f t="shared" si="69"/>
        <v>-185</v>
      </c>
      <c r="CB75" s="1">
        <f t="shared" si="70"/>
        <v>-345</v>
      </c>
      <c r="CC75" s="1">
        <f t="shared" si="71"/>
        <v>-389</v>
      </c>
      <c r="CD75" s="1">
        <f t="shared" si="72"/>
        <v>-362</v>
      </c>
      <c r="CE75" s="1">
        <f t="shared" si="73"/>
        <v>-350</v>
      </c>
      <c r="CF75" s="1">
        <f t="shared" si="74"/>
        <v>-335</v>
      </c>
      <c r="CG75" s="1">
        <f t="shared" si="75"/>
        <v>-413</v>
      </c>
      <c r="CH75" s="1">
        <f t="shared" si="76"/>
        <v>-1134</v>
      </c>
      <c r="CI75" s="1">
        <f t="shared" si="77"/>
        <v>-1498</v>
      </c>
      <c r="CJ75" s="1">
        <f t="shared" si="78"/>
        <v>-668</v>
      </c>
      <c r="CK75" s="1">
        <f t="shared" si="79"/>
        <v>-653</v>
      </c>
      <c r="CL75" s="1">
        <f t="shared" si="80"/>
        <v>-591</v>
      </c>
      <c r="CM75" s="1">
        <f t="shared" si="81"/>
        <v>-569</v>
      </c>
      <c r="CN75" s="1">
        <f t="shared" si="82"/>
        <v>-623</v>
      </c>
      <c r="CO75" s="1">
        <f t="shared" si="83"/>
        <v>-916</v>
      </c>
      <c r="CP75" s="1">
        <f t="shared" si="84"/>
        <v>-1036</v>
      </c>
      <c r="CQ75" s="1">
        <f t="shared" si="85"/>
        <v>-1118</v>
      </c>
      <c r="CR75" s="65">
        <f>-(CQ107)*$DF$107</f>
        <v>-1259.6175000000001</v>
      </c>
      <c r="CS75" s="65">
        <f t="shared" ref="CS75:DA75" si="97">-(CR107)*$DF$107</f>
        <v>-1174.59331875</v>
      </c>
      <c r="CT75" s="65">
        <f t="shared" si="97"/>
        <v>-1095.308269734375</v>
      </c>
      <c r="CU75" s="65">
        <f t="shared" si="97"/>
        <v>-1021.3749615273048</v>
      </c>
      <c r="CV75" s="65">
        <f t="shared" si="97"/>
        <v>-952.43215162421177</v>
      </c>
      <c r="CW75" s="65">
        <f t="shared" si="97"/>
        <v>-888.14298138957736</v>
      </c>
      <c r="CX75" s="65">
        <f t="shared" si="97"/>
        <v>-828.19333014578092</v>
      </c>
      <c r="CY75" s="65">
        <f t="shared" si="97"/>
        <v>-772.29028036094064</v>
      </c>
      <c r="CZ75" s="65">
        <f t="shared" si="97"/>
        <v>-720.16068643657718</v>
      </c>
      <c r="DA75" s="65">
        <f t="shared" si="97"/>
        <v>-671.54984010210819</v>
      </c>
    </row>
    <row r="76" spans="2:157">
      <c r="B76" s="1" t="s">
        <v>215</v>
      </c>
      <c r="AM76" s="1">
        <v>0</v>
      </c>
      <c r="AN76" s="1">
        <v>0</v>
      </c>
      <c r="AO76" s="1">
        <v>0</v>
      </c>
      <c r="AP76" s="1">
        <f>0-SUM(AM76:AO76)</f>
        <v>0</v>
      </c>
      <c r="AQ76" s="1">
        <v>0</v>
      </c>
      <c r="AR76" s="1">
        <v>0</v>
      </c>
      <c r="AS76" s="1">
        <v>0</v>
      </c>
      <c r="AT76" s="1">
        <f>0-SUM(AQ76:AS76)</f>
        <v>0</v>
      </c>
      <c r="AU76" s="1">
        <v>56</v>
      </c>
      <c r="AV76" s="1">
        <v>25</v>
      </c>
      <c r="AW76" s="1">
        <v>54</v>
      </c>
      <c r="AX76" s="1">
        <f>219-SUM(AU76:AW76)</f>
        <v>84</v>
      </c>
      <c r="AY76" s="1">
        <v>169</v>
      </c>
      <c r="AZ76" s="1">
        <v>120</v>
      </c>
      <c r="BA76" s="1">
        <v>-1572</v>
      </c>
      <c r="BB76" s="1">
        <f>-1292-SUM(AY76:BA76)</f>
        <v>-9</v>
      </c>
      <c r="BC76" s="1">
        <v>140</v>
      </c>
      <c r="BD76" s="1">
        <v>-1331</v>
      </c>
      <c r="BE76" s="1">
        <v>111</v>
      </c>
      <c r="BF76" s="1">
        <f>-971-SUM(BC76:BE76)</f>
        <v>109</v>
      </c>
      <c r="BG76" s="1">
        <v>110</v>
      </c>
      <c r="BH76" s="1">
        <v>111</v>
      </c>
      <c r="BI76" s="1">
        <v>111</v>
      </c>
      <c r="BJ76" s="1">
        <f>443-SUM(BG76:BI76)</f>
        <v>111</v>
      </c>
      <c r="BK76" s="1">
        <v>16</v>
      </c>
      <c r="BL76" s="1">
        <v>15</v>
      </c>
      <c r="BM76" s="1">
        <v>16</v>
      </c>
      <c r="BN76" s="1">
        <f>62-SUM(BK76:BM76)</f>
        <v>15</v>
      </c>
      <c r="BO76" s="1">
        <v>-98</v>
      </c>
      <c r="BP76" s="1">
        <v>-99</v>
      </c>
      <c r="BQ76" s="1">
        <v>-99</v>
      </c>
      <c r="BR76" s="1">
        <f>-874-SUM(BO76:BQ76)</f>
        <v>-578</v>
      </c>
      <c r="BS76" s="1">
        <v>-80</v>
      </c>
      <c r="BT76" s="1">
        <v>-80</v>
      </c>
      <c r="BU76" s="1">
        <v>-81</v>
      </c>
      <c r="CA76" s="1">
        <f t="shared" si="69"/>
        <v>0</v>
      </c>
      <c r="CB76" s="1">
        <f t="shared" si="70"/>
        <v>0</v>
      </c>
      <c r="CC76" s="1">
        <f t="shared" si="71"/>
        <v>0</v>
      </c>
      <c r="CD76" s="1">
        <f t="shared" si="72"/>
        <v>0</v>
      </c>
      <c r="CE76" s="1">
        <f t="shared" si="73"/>
        <v>0</v>
      </c>
      <c r="CF76" s="1">
        <f t="shared" si="74"/>
        <v>0</v>
      </c>
      <c r="CG76" s="1">
        <f t="shared" si="75"/>
        <v>0</v>
      </c>
      <c r="CH76" s="1">
        <f t="shared" si="76"/>
        <v>0</v>
      </c>
      <c r="CI76" s="1">
        <f t="shared" si="77"/>
        <v>0</v>
      </c>
      <c r="CJ76" s="1">
        <f t="shared" si="78"/>
        <v>0</v>
      </c>
      <c r="CK76" s="1">
        <f t="shared" si="79"/>
        <v>0</v>
      </c>
      <c r="CL76" s="1">
        <f t="shared" si="80"/>
        <v>219</v>
      </c>
      <c r="CM76" s="1">
        <f t="shared" si="81"/>
        <v>-1292</v>
      </c>
      <c r="CN76" s="1">
        <f t="shared" si="82"/>
        <v>-971</v>
      </c>
      <c r="CO76" s="1">
        <f t="shared" si="83"/>
        <v>443</v>
      </c>
      <c r="CP76" s="1">
        <f t="shared" si="84"/>
        <v>62</v>
      </c>
      <c r="CQ76" s="1">
        <f t="shared" si="85"/>
        <v>-874</v>
      </c>
      <c r="CR76" s="65">
        <f>CQ76*(0.95)</f>
        <v>-830.3</v>
      </c>
      <c r="CS76" s="65">
        <f t="shared" ref="CS76:DA76" si="98">CR76*(0.95)</f>
        <v>-788.78499999999997</v>
      </c>
      <c r="CT76" s="65">
        <f t="shared" si="98"/>
        <v>-749.34574999999995</v>
      </c>
      <c r="CU76" s="65">
        <f t="shared" si="98"/>
        <v>-711.87846249999996</v>
      </c>
      <c r="CV76" s="65">
        <f t="shared" si="98"/>
        <v>-676.28453937499989</v>
      </c>
      <c r="CW76" s="65">
        <f t="shared" si="98"/>
        <v>-642.47031240624983</v>
      </c>
      <c r="CX76" s="65">
        <f t="shared" si="98"/>
        <v>-610.34679678593727</v>
      </c>
      <c r="CY76" s="65">
        <f t="shared" si="98"/>
        <v>-579.82945694664033</v>
      </c>
      <c r="CZ76" s="65">
        <f t="shared" si="98"/>
        <v>-550.8379840993083</v>
      </c>
      <c r="DA76" s="65">
        <f t="shared" si="98"/>
        <v>-523.29608489434281</v>
      </c>
    </row>
    <row r="77" spans="2:157">
      <c r="B77" s="1" t="s">
        <v>216</v>
      </c>
      <c r="AM77" s="1">
        <v>-210</v>
      </c>
      <c r="AN77" s="1">
        <v>-210</v>
      </c>
      <c r="AO77" s="1">
        <v>-211</v>
      </c>
      <c r="AP77" s="1">
        <f>-828-SUM(AM77:AO77)</f>
        <v>-197</v>
      </c>
      <c r="AQ77" s="1">
        <v>-167</v>
      </c>
      <c r="AR77" s="1">
        <v>-162</v>
      </c>
      <c r="AS77" s="1">
        <v>-162</v>
      </c>
      <c r="AT77" s="1">
        <f>-651-SUM(AQ77:AS77)</f>
        <v>-160</v>
      </c>
      <c r="AU77" s="1">
        <v>0</v>
      </c>
      <c r="AV77" s="1">
        <v>0</v>
      </c>
      <c r="AW77" s="1">
        <v>0</v>
      </c>
      <c r="AX77" s="1">
        <f>-37-SUM(AU77:AW77)</f>
        <v>-37</v>
      </c>
      <c r="AY77" s="1">
        <v>0</v>
      </c>
      <c r="AZ77" s="1">
        <v>0</v>
      </c>
      <c r="BA77" s="1">
        <v>98</v>
      </c>
      <c r="BB77" s="1">
        <f>288-SUM(AY77:BA77)</f>
        <v>190</v>
      </c>
      <c r="BC77" s="1">
        <v>123</v>
      </c>
      <c r="BD77" s="1">
        <v>-161</v>
      </c>
      <c r="BE77" s="1">
        <v>-26</v>
      </c>
      <c r="BF77" s="1">
        <f>-74-SUM(BC77:BE77)</f>
        <v>-10</v>
      </c>
      <c r="BG77" s="1">
        <v>49</v>
      </c>
      <c r="BH77" s="1">
        <v>-17</v>
      </c>
      <c r="BI77" s="1">
        <v>37</v>
      </c>
      <c r="BJ77" s="1">
        <f>64-SUM(BG77:BI77)</f>
        <v>-5</v>
      </c>
      <c r="BK77" s="1">
        <v>45</v>
      </c>
      <c r="BL77" s="1">
        <v>46</v>
      </c>
      <c r="BM77" s="1">
        <v>81</v>
      </c>
      <c r="BN77" s="1">
        <f>181-SUM(BK77:BM77)</f>
        <v>9</v>
      </c>
      <c r="BO77" s="1">
        <v>30</v>
      </c>
      <c r="BP77" s="1">
        <v>42</v>
      </c>
      <c r="BQ77" s="1">
        <v>43</v>
      </c>
      <c r="BR77" s="1">
        <f>183-SUM(BO77:BQ77)</f>
        <v>68</v>
      </c>
      <c r="BS77" s="1">
        <v>60</v>
      </c>
      <c r="BT77" s="1">
        <v>45</v>
      </c>
      <c r="BU77" s="1">
        <v>74</v>
      </c>
      <c r="CA77" s="1">
        <f t="shared" si="69"/>
        <v>0</v>
      </c>
      <c r="CB77" s="1">
        <f t="shared" si="70"/>
        <v>0</v>
      </c>
      <c r="CC77" s="1">
        <f t="shared" si="71"/>
        <v>0</v>
      </c>
      <c r="CD77" s="1">
        <f t="shared" si="72"/>
        <v>0</v>
      </c>
      <c r="CE77" s="1">
        <f t="shared" si="73"/>
        <v>0</v>
      </c>
      <c r="CF77" s="1">
        <f t="shared" si="74"/>
        <v>0</v>
      </c>
      <c r="CG77" s="1">
        <f t="shared" si="75"/>
        <v>0</v>
      </c>
      <c r="CH77" s="1">
        <f t="shared" si="76"/>
        <v>0</v>
      </c>
      <c r="CI77" s="1">
        <f t="shared" si="77"/>
        <v>0</v>
      </c>
      <c r="CJ77" s="1">
        <f t="shared" si="78"/>
        <v>-828</v>
      </c>
      <c r="CK77" s="1">
        <f t="shared" si="79"/>
        <v>-651</v>
      </c>
      <c r="CL77" s="1">
        <f t="shared" si="80"/>
        <v>-37</v>
      </c>
      <c r="CM77" s="1">
        <f t="shared" si="81"/>
        <v>288</v>
      </c>
      <c r="CN77" s="1">
        <f t="shared" si="82"/>
        <v>-74</v>
      </c>
      <c r="CO77" s="1">
        <f t="shared" si="83"/>
        <v>64</v>
      </c>
      <c r="CP77" s="1">
        <f t="shared" si="84"/>
        <v>181</v>
      </c>
      <c r="CQ77" s="1">
        <f t="shared" si="85"/>
        <v>183</v>
      </c>
      <c r="CR77" s="65">
        <f>CQ90*($DK$90)</f>
        <v>132.5205</v>
      </c>
      <c r="CS77" s="65">
        <f t="shared" ref="CS77:DA77" si="99">CR90*($DK$90)</f>
        <v>576.04812272888773</v>
      </c>
      <c r="CT77" s="65">
        <f t="shared" si="99"/>
        <v>1109.152877853787</v>
      </c>
      <c r="CU77" s="65">
        <f t="shared" si="99"/>
        <v>1734.0497853865938</v>
      </c>
      <c r="CV77" s="65">
        <f t="shared" si="99"/>
        <v>2442.2341463825437</v>
      </c>
      <c r="CW77" s="65">
        <f t="shared" si="99"/>
        <v>3229.4308217234097</v>
      </c>
      <c r="CX77" s="65">
        <f t="shared" si="99"/>
        <v>4096.640144740185</v>
      </c>
      <c r="CY77" s="65">
        <f t="shared" si="99"/>
        <v>5041.486650950741</v>
      </c>
      <c r="CZ77" s="65">
        <f t="shared" si="99"/>
        <v>6064.0872919341418</v>
      </c>
      <c r="DA77" s="65">
        <f t="shared" si="99"/>
        <v>7130.7257833937765</v>
      </c>
    </row>
    <row r="78" spans="2:157">
      <c r="B78" s="1" t="s">
        <v>217</v>
      </c>
      <c r="C78" s="1">
        <f t="shared" ref="C78:AP78" si="100">C74+SUM(C75:C77)</f>
        <v>978</v>
      </c>
      <c r="D78" s="1">
        <f t="shared" si="100"/>
        <v>1050</v>
      </c>
      <c r="E78" s="1">
        <f t="shared" si="100"/>
        <v>1048</v>
      </c>
      <c r="F78" s="1">
        <f t="shared" si="100"/>
        <v>1106</v>
      </c>
      <c r="G78" s="1">
        <f t="shared" si="100"/>
        <v>879</v>
      </c>
      <c r="H78" s="1">
        <f t="shared" si="100"/>
        <v>1010</v>
      </c>
      <c r="I78" s="1">
        <f t="shared" si="100"/>
        <v>829</v>
      </c>
      <c r="J78" s="1">
        <f t="shared" si="100"/>
        <v>781</v>
      </c>
      <c r="K78" s="1">
        <f t="shared" si="100"/>
        <v>798</v>
      </c>
      <c r="L78" s="1">
        <f t="shared" si="100"/>
        <v>918</v>
      </c>
      <c r="M78" s="1">
        <f t="shared" si="100"/>
        <v>949</v>
      </c>
      <c r="N78" s="1">
        <f t="shared" si="100"/>
        <v>966</v>
      </c>
      <c r="O78" s="1">
        <f t="shared" si="100"/>
        <v>951</v>
      </c>
      <c r="P78" s="1">
        <f t="shared" si="100"/>
        <v>1117</v>
      </c>
      <c r="Q78" s="1">
        <f t="shared" si="100"/>
        <v>1046</v>
      </c>
      <c r="R78" s="1">
        <f t="shared" si="100"/>
        <v>958</v>
      </c>
      <c r="S78" s="1">
        <f t="shared" si="100"/>
        <v>1025</v>
      </c>
      <c r="T78" s="1">
        <f t="shared" si="100"/>
        <v>1211</v>
      </c>
      <c r="U78" s="1">
        <f t="shared" si="100"/>
        <v>1173</v>
      </c>
      <c r="V78" s="1">
        <f t="shared" si="100"/>
        <v>746</v>
      </c>
      <c r="W78" s="1">
        <f t="shared" si="100"/>
        <v>1348</v>
      </c>
      <c r="X78" s="1">
        <f t="shared" si="100"/>
        <v>1341</v>
      </c>
      <c r="Y78" s="1">
        <f t="shared" si="100"/>
        <v>1311</v>
      </c>
      <c r="Z78" s="1">
        <f t="shared" si="100"/>
        <v>677</v>
      </c>
      <c r="AA78" s="1">
        <f t="shared" si="100"/>
        <v>1266</v>
      </c>
      <c r="AB78" s="1">
        <f t="shared" si="100"/>
        <v>1343</v>
      </c>
      <c r="AC78" s="1">
        <f t="shared" si="100"/>
        <v>1089</v>
      </c>
      <c r="AD78" s="1">
        <f t="shared" si="100"/>
        <v>601</v>
      </c>
      <c r="AE78" s="1">
        <f t="shared" si="100"/>
        <v>994</v>
      </c>
      <c r="AF78" s="1">
        <f t="shared" si="100"/>
        <v>1210</v>
      </c>
      <c r="AG78" s="1">
        <f t="shared" si="100"/>
        <v>1427</v>
      </c>
      <c r="AH78" s="1">
        <f t="shared" si="100"/>
        <v>1123</v>
      </c>
      <c r="AI78" s="1">
        <f t="shared" si="100"/>
        <v>1035</v>
      </c>
      <c r="AJ78" s="1">
        <f t="shared" si="100"/>
        <v>1342</v>
      </c>
      <c r="AK78" s="1">
        <f t="shared" si="100"/>
        <v>1297</v>
      </c>
      <c r="AL78" s="1">
        <f t="shared" si="100"/>
        <v>1572</v>
      </c>
      <c r="AM78" s="1">
        <f t="shared" si="100"/>
        <v>1360</v>
      </c>
      <c r="AN78" s="1">
        <f t="shared" si="100"/>
        <v>1420</v>
      </c>
      <c r="AO78" s="1">
        <f t="shared" si="100"/>
        <v>1575</v>
      </c>
      <c r="AP78" s="1">
        <f t="shared" si="100"/>
        <v>1483</v>
      </c>
      <c r="AQ78" s="1">
        <f>AQ74+SUM(AQ75:AQ77)</f>
        <v>1945</v>
      </c>
      <c r="AR78" s="1">
        <f t="shared" ref="AR78:BS78" si="101">AR74+SUM(AR75:AR77)</f>
        <v>1683</v>
      </c>
      <c r="AS78" s="1">
        <f t="shared" si="101"/>
        <v>1781</v>
      </c>
      <c r="AT78" s="1">
        <f t="shared" si="101"/>
        <v>1832</v>
      </c>
      <c r="AU78" s="1">
        <f t="shared" si="101"/>
        <v>2030</v>
      </c>
      <c r="AV78" s="1">
        <f t="shared" si="101"/>
        <v>1962</v>
      </c>
      <c r="AW78" s="1">
        <f t="shared" si="101"/>
        <v>2056</v>
      </c>
      <c r="AX78" s="1">
        <f t="shared" si="101"/>
        <v>2187</v>
      </c>
      <c r="AY78" s="1">
        <f t="shared" si="101"/>
        <v>2211</v>
      </c>
      <c r="AZ78" s="1">
        <f t="shared" si="101"/>
        <v>2170</v>
      </c>
      <c r="BA78" s="1">
        <f t="shared" si="101"/>
        <v>679</v>
      </c>
      <c r="BB78" s="1">
        <f t="shared" si="101"/>
        <v>2490</v>
      </c>
      <c r="BC78" s="1">
        <f t="shared" si="101"/>
        <v>2061</v>
      </c>
      <c r="BD78" s="1">
        <f t="shared" si="101"/>
        <v>330</v>
      </c>
      <c r="BE78" s="1">
        <f t="shared" si="101"/>
        <v>2099</v>
      </c>
      <c r="BF78" s="1">
        <f t="shared" si="101"/>
        <v>2190</v>
      </c>
      <c r="BG78" s="1">
        <f t="shared" si="101"/>
        <v>1994</v>
      </c>
      <c r="BH78" s="1">
        <f t="shared" si="101"/>
        <v>2006</v>
      </c>
      <c r="BI78" s="1">
        <f t="shared" si="101"/>
        <v>1953</v>
      </c>
      <c r="BJ78" s="1">
        <f t="shared" si="101"/>
        <v>2145</v>
      </c>
      <c r="BK78" s="1">
        <f t="shared" si="101"/>
        <v>1835</v>
      </c>
      <c r="BL78" s="1">
        <f t="shared" si="101"/>
        <v>1948</v>
      </c>
      <c r="BM78" s="1">
        <f t="shared" si="101"/>
        <v>1981</v>
      </c>
      <c r="BN78" s="1">
        <f t="shared" si="101"/>
        <v>456</v>
      </c>
      <c r="BO78" s="1">
        <f t="shared" si="101"/>
        <v>2036</v>
      </c>
      <c r="BP78" s="1">
        <f t="shared" si="101"/>
        <v>417</v>
      </c>
      <c r="BQ78" s="1">
        <f t="shared" si="101"/>
        <v>1938</v>
      </c>
      <c r="BR78" s="1">
        <f t="shared" si="101"/>
        <v>1531</v>
      </c>
      <c r="BS78" s="1">
        <f t="shared" si="101"/>
        <v>1774</v>
      </c>
      <c r="BT78" s="1">
        <f t="shared" ref="BT78:BU78" si="102">BT74+SUM(BT75:BT77)</f>
        <v>2178</v>
      </c>
      <c r="BU78" s="1">
        <f t="shared" si="102"/>
        <v>2172</v>
      </c>
      <c r="CA78" s="1">
        <f t="shared" si="69"/>
        <v>4182</v>
      </c>
      <c r="CB78" s="1">
        <f t="shared" si="70"/>
        <v>3499</v>
      </c>
      <c r="CC78" s="1">
        <f t="shared" si="71"/>
        <v>3631</v>
      </c>
      <c r="CD78" s="1">
        <f t="shared" si="72"/>
        <v>4072</v>
      </c>
      <c r="CE78" s="1">
        <f t="shared" si="73"/>
        <v>4155</v>
      </c>
      <c r="CF78" s="1">
        <f t="shared" si="74"/>
        <v>4677</v>
      </c>
      <c r="CG78" s="1">
        <f t="shared" si="75"/>
        <v>4299</v>
      </c>
      <c r="CH78" s="1">
        <f t="shared" si="76"/>
        <v>4754</v>
      </c>
      <c r="CI78" s="1">
        <f t="shared" si="77"/>
        <v>5246</v>
      </c>
      <c r="CJ78" s="1">
        <f t="shared" si="78"/>
        <v>5838</v>
      </c>
      <c r="CK78" s="1">
        <f t="shared" si="79"/>
        <v>7241</v>
      </c>
      <c r="CL78" s="1">
        <f t="shared" si="80"/>
        <v>8235</v>
      </c>
      <c r="CM78" s="1">
        <f t="shared" si="81"/>
        <v>7550</v>
      </c>
      <c r="CN78" s="1">
        <f t="shared" si="82"/>
        <v>6680</v>
      </c>
      <c r="CO78" s="1">
        <f t="shared" si="83"/>
        <v>8098</v>
      </c>
      <c r="CP78" s="1">
        <f t="shared" si="84"/>
        <v>6220</v>
      </c>
      <c r="CQ78" s="1">
        <f t="shared" si="85"/>
        <v>5922</v>
      </c>
      <c r="CR78" s="65">
        <f>CR74+SUM(CR75:CR77)</f>
        <v>7226.813682494404</v>
      </c>
      <c r="CS78" s="65">
        <f t="shared" ref="CS78:DA78" si="103">CS74+SUM(CS75:CS77)</f>
        <v>8738.7059277911503</v>
      </c>
      <c r="CT78" s="65">
        <f t="shared" si="103"/>
        <v>10305.453020536912</v>
      </c>
      <c r="CU78" s="65">
        <f t="shared" si="103"/>
        <v>11750.196797676288</v>
      </c>
      <c r="CV78" s="65">
        <f t="shared" si="103"/>
        <v>13141.299200214788</v>
      </c>
      <c r="CW78" s="65">
        <f t="shared" si="103"/>
        <v>14566.378147590076</v>
      </c>
      <c r="CX78" s="65">
        <f t="shared" si="103"/>
        <v>15969.011809026173</v>
      </c>
      <c r="CY78" s="65">
        <f t="shared" si="103"/>
        <v>17391.167363663288</v>
      </c>
      <c r="CZ78" s="65">
        <f t="shared" si="103"/>
        <v>18140.110398973375</v>
      </c>
      <c r="DA78" s="65">
        <f t="shared" si="103"/>
        <v>19418.135375112928</v>
      </c>
    </row>
    <row r="79" spans="2:157">
      <c r="B79" s="1" t="s">
        <v>218</v>
      </c>
      <c r="C79" s="1">
        <v>312</v>
      </c>
      <c r="D79" s="1">
        <v>319</v>
      </c>
      <c r="E79" s="1">
        <v>262</v>
      </c>
      <c r="F79" s="1">
        <v>322</v>
      </c>
      <c r="G79" s="1">
        <v>360</v>
      </c>
      <c r="H79" s="1">
        <v>296</v>
      </c>
      <c r="I79" s="1">
        <v>272</v>
      </c>
      <c r="J79" s="1">
        <v>236</v>
      </c>
      <c r="K79" s="1">
        <v>242</v>
      </c>
      <c r="L79" s="1">
        <v>170</v>
      </c>
      <c r="M79" s="1">
        <v>284</v>
      </c>
      <c r="N79" s="1">
        <v>283</v>
      </c>
      <c r="O79" s="1">
        <v>283</v>
      </c>
      <c r="P79" s="1">
        <v>336</v>
      </c>
      <c r="Q79" s="1">
        <v>319</v>
      </c>
      <c r="R79" s="1">
        <v>389</v>
      </c>
      <c r="S79" s="1">
        <v>264</v>
      </c>
      <c r="T79" s="1">
        <v>352</v>
      </c>
      <c r="U79" s="1">
        <f>331-31</f>
        <v>300</v>
      </c>
      <c r="V79" s="1">
        <v>258</v>
      </c>
      <c r="W79" s="1">
        <v>415</v>
      </c>
      <c r="X79" s="1">
        <v>452</v>
      </c>
      <c r="Y79" s="1">
        <v>423</v>
      </c>
      <c r="Z79" s="1">
        <v>134</v>
      </c>
      <c r="AA79" s="1">
        <v>388</v>
      </c>
      <c r="AB79" s="1">
        <v>414</v>
      </c>
      <c r="AC79" s="1">
        <f>333-109</f>
        <v>224</v>
      </c>
      <c r="AD79" s="1">
        <f>38-370</f>
        <v>-332</v>
      </c>
      <c r="AE79" s="1">
        <v>188</v>
      </c>
      <c r="AF79" s="1">
        <v>311</v>
      </c>
      <c r="AG79" s="1">
        <f>338-1306</f>
        <v>-968</v>
      </c>
      <c r="AH79" s="1">
        <f>256+8</f>
        <v>264</v>
      </c>
      <c r="AI79" s="1">
        <v>246</v>
      </c>
      <c r="AJ79" s="1">
        <v>387</v>
      </c>
      <c r="AK79" s="1">
        <v>334</v>
      </c>
      <c r="AL79" s="1">
        <v>2389</v>
      </c>
      <c r="AM79" s="1">
        <v>203</v>
      </c>
      <c r="AN79" s="1">
        <v>257</v>
      </c>
      <c r="AO79" s="1">
        <v>102</v>
      </c>
      <c r="AP79" s="1">
        <f>792-SUM(AM79:AO79)</f>
        <v>230</v>
      </c>
      <c r="AQ79" s="1">
        <v>241</v>
      </c>
      <c r="AR79" s="1">
        <v>263</v>
      </c>
      <c r="AS79" s="1">
        <v>173</v>
      </c>
      <c r="AT79" s="1">
        <f>1011-SUM(AQ79:AS79)</f>
        <v>334</v>
      </c>
      <c r="AU79" s="1">
        <v>313</v>
      </c>
      <c r="AV79" s="1">
        <v>336</v>
      </c>
      <c r="AW79" s="1">
        <v>303</v>
      </c>
      <c r="AX79" s="1">
        <f>1347-SUM(AU79:AW79)</f>
        <v>395</v>
      </c>
      <c r="AY79" s="1">
        <v>374</v>
      </c>
      <c r="AZ79" s="1">
        <v>335</v>
      </c>
      <c r="BA79" s="1">
        <v>65</v>
      </c>
      <c r="BB79" s="1">
        <f>1235-SUM(AY79:BA79)</f>
        <v>461</v>
      </c>
      <c r="BC79" s="1">
        <v>328</v>
      </c>
      <c r="BD79" s="1">
        <v>21</v>
      </c>
      <c r="BE79" s="1">
        <v>321</v>
      </c>
      <c r="BF79" s="1">
        <f>948-SUM(BC79:BE79)</f>
        <v>278</v>
      </c>
      <c r="BG79" s="1">
        <v>305</v>
      </c>
      <c r="BH79" s="1">
        <v>325</v>
      </c>
      <c r="BI79" s="1">
        <v>269</v>
      </c>
      <c r="BJ79" s="1">
        <f>1178-SUM(BG79:BI79)</f>
        <v>279</v>
      </c>
      <c r="BK79" s="1">
        <v>290</v>
      </c>
      <c r="BL79" s="1">
        <v>307</v>
      </c>
      <c r="BM79" s="1">
        <v>295</v>
      </c>
      <c r="BN79" s="1">
        <f>884-SUM(BK79:BM79)</f>
        <v>-8</v>
      </c>
      <c r="BO79" s="1">
        <v>324</v>
      </c>
      <c r="BP79" s="1">
        <v>-75</v>
      </c>
      <c r="BQ79" s="1">
        <v>319</v>
      </c>
      <c r="BR79" s="1">
        <f>905-SUM(BO79:BQ79)</f>
        <v>337</v>
      </c>
      <c r="BS79" s="1">
        <v>286</v>
      </c>
      <c r="BT79" s="1">
        <v>342</v>
      </c>
      <c r="BU79" s="1">
        <v>327</v>
      </c>
      <c r="CA79" s="1">
        <f t="shared" si="69"/>
        <v>1215</v>
      </c>
      <c r="CB79" s="1">
        <f t="shared" si="70"/>
        <v>1164</v>
      </c>
      <c r="CC79" s="1">
        <f t="shared" si="71"/>
        <v>979</v>
      </c>
      <c r="CD79" s="1">
        <f t="shared" si="72"/>
        <v>1327</v>
      </c>
      <c r="CE79" s="1">
        <f t="shared" si="73"/>
        <v>1174</v>
      </c>
      <c r="CF79" s="1">
        <f t="shared" si="74"/>
        <v>1424</v>
      </c>
      <c r="CG79" s="1">
        <f t="shared" si="75"/>
        <v>694</v>
      </c>
      <c r="CH79" s="1">
        <f t="shared" si="76"/>
        <v>-205</v>
      </c>
      <c r="CI79" s="1">
        <f t="shared" si="77"/>
        <v>3356</v>
      </c>
      <c r="CJ79" s="1">
        <f t="shared" si="78"/>
        <v>792</v>
      </c>
      <c r="CK79" s="1">
        <f t="shared" si="79"/>
        <v>1011</v>
      </c>
      <c r="CL79" s="1">
        <f t="shared" si="80"/>
        <v>1347</v>
      </c>
      <c r="CM79" s="1">
        <f t="shared" si="81"/>
        <v>1235</v>
      </c>
      <c r="CN79" s="1">
        <f t="shared" si="82"/>
        <v>948</v>
      </c>
      <c r="CO79" s="1">
        <f t="shared" si="83"/>
        <v>1178</v>
      </c>
      <c r="CP79" s="1">
        <f t="shared" si="84"/>
        <v>884</v>
      </c>
      <c r="CQ79" s="1">
        <f t="shared" si="85"/>
        <v>905</v>
      </c>
      <c r="CR79" s="65">
        <f>CR78*CR87</f>
        <v>1192.4242576115766</v>
      </c>
      <c r="CS79" s="65">
        <f t="shared" ref="CS79:DA79" si="104">CS78*CS87</f>
        <v>1485.5800077244958</v>
      </c>
      <c r="CT79" s="65">
        <f t="shared" si="104"/>
        <v>1803.4542785939595</v>
      </c>
      <c r="CU79" s="65">
        <f t="shared" si="104"/>
        <v>2115.0354235817317</v>
      </c>
      <c r="CV79" s="65">
        <f t="shared" si="104"/>
        <v>2431.1403520397357</v>
      </c>
      <c r="CW79" s="65">
        <f t="shared" si="104"/>
        <v>2767.6118480421146</v>
      </c>
      <c r="CX79" s="65">
        <f t="shared" si="104"/>
        <v>3113.9573027601036</v>
      </c>
      <c r="CY79" s="65">
        <f t="shared" si="104"/>
        <v>3478.2334727326579</v>
      </c>
      <c r="CZ79" s="65">
        <f t="shared" si="104"/>
        <v>3628.0220797946749</v>
      </c>
      <c r="DA79" s="65">
        <f t="shared" si="104"/>
        <v>3883.6270750225858</v>
      </c>
    </row>
    <row r="80" spans="2:157" s="2" customFormat="1" ht="15">
      <c r="B80" s="2" t="s">
        <v>67</v>
      </c>
      <c r="C80" s="2">
        <f t="shared" ref="C80:AP80" si="105">C78-C79</f>
        <v>666</v>
      </c>
      <c r="D80" s="2">
        <f t="shared" si="105"/>
        <v>731</v>
      </c>
      <c r="E80" s="2">
        <f t="shared" si="105"/>
        <v>786</v>
      </c>
      <c r="F80" s="2">
        <f t="shared" si="105"/>
        <v>784</v>
      </c>
      <c r="G80" s="2">
        <f t="shared" si="105"/>
        <v>519</v>
      </c>
      <c r="H80" s="2">
        <f t="shared" si="105"/>
        <v>714</v>
      </c>
      <c r="I80" s="2">
        <f t="shared" si="105"/>
        <v>557</v>
      </c>
      <c r="J80" s="2">
        <f t="shared" si="105"/>
        <v>545</v>
      </c>
      <c r="K80" s="2">
        <f t="shared" si="105"/>
        <v>556</v>
      </c>
      <c r="L80" s="2">
        <f t="shared" si="105"/>
        <v>748</v>
      </c>
      <c r="M80" s="2">
        <f t="shared" si="105"/>
        <v>665</v>
      </c>
      <c r="N80" s="2">
        <f t="shared" si="105"/>
        <v>683</v>
      </c>
      <c r="O80" s="2">
        <f t="shared" si="105"/>
        <v>668</v>
      </c>
      <c r="P80" s="2">
        <f t="shared" si="105"/>
        <v>781</v>
      </c>
      <c r="Q80" s="2">
        <f t="shared" si="105"/>
        <v>727</v>
      </c>
      <c r="R80" s="2">
        <f t="shared" si="105"/>
        <v>569</v>
      </c>
      <c r="S80" s="2">
        <f t="shared" si="105"/>
        <v>761</v>
      </c>
      <c r="T80" s="2">
        <f t="shared" si="105"/>
        <v>859</v>
      </c>
      <c r="U80" s="2">
        <f t="shared" si="105"/>
        <v>873</v>
      </c>
      <c r="V80" s="2">
        <f t="shared" si="105"/>
        <v>488</v>
      </c>
      <c r="W80" s="2">
        <f t="shared" si="105"/>
        <v>933</v>
      </c>
      <c r="X80" s="2">
        <f t="shared" si="105"/>
        <v>889</v>
      </c>
      <c r="Y80" s="2">
        <f t="shared" si="105"/>
        <v>888</v>
      </c>
      <c r="Z80" s="2">
        <f t="shared" si="105"/>
        <v>543</v>
      </c>
      <c r="AA80" s="2">
        <f t="shared" si="105"/>
        <v>878</v>
      </c>
      <c r="AB80" s="2">
        <f t="shared" si="105"/>
        <v>929</v>
      </c>
      <c r="AC80" s="2">
        <f t="shared" si="105"/>
        <v>865</v>
      </c>
      <c r="AD80" s="2">
        <f t="shared" si="105"/>
        <v>933</v>
      </c>
      <c r="AE80" s="2">
        <f t="shared" si="105"/>
        <v>806</v>
      </c>
      <c r="AF80" s="2">
        <f t="shared" si="105"/>
        <v>899</v>
      </c>
      <c r="AG80" s="2">
        <f t="shared" si="105"/>
        <v>2395</v>
      </c>
      <c r="AH80" s="2">
        <f t="shared" si="105"/>
        <v>859</v>
      </c>
      <c r="AI80" s="2">
        <f t="shared" si="105"/>
        <v>789</v>
      </c>
      <c r="AJ80" s="2">
        <f t="shared" si="105"/>
        <v>955</v>
      </c>
      <c r="AK80" s="2">
        <f t="shared" si="105"/>
        <v>963</v>
      </c>
      <c r="AL80" s="2">
        <f t="shared" si="105"/>
        <v>-817</v>
      </c>
      <c r="AM80" s="2">
        <f t="shared" si="105"/>
        <v>1157</v>
      </c>
      <c r="AN80" s="2">
        <f t="shared" si="105"/>
        <v>1163</v>
      </c>
      <c r="AO80" s="2">
        <f t="shared" si="105"/>
        <v>1473</v>
      </c>
      <c r="AP80" s="2">
        <f t="shared" si="105"/>
        <v>1253</v>
      </c>
      <c r="AQ80" s="2">
        <f>AQ78-AQ79</f>
        <v>1704</v>
      </c>
      <c r="AR80" s="2">
        <f t="shared" ref="AR80:BS80" si="106">AR78-AR79</f>
        <v>1420</v>
      </c>
      <c r="AS80" s="2">
        <f t="shared" si="106"/>
        <v>1608</v>
      </c>
      <c r="AT80" s="2">
        <f t="shared" si="106"/>
        <v>1498</v>
      </c>
      <c r="AU80" s="2">
        <f t="shared" si="106"/>
        <v>1717</v>
      </c>
      <c r="AV80" s="2">
        <f t="shared" si="106"/>
        <v>1626</v>
      </c>
      <c r="AW80" s="2">
        <f t="shared" si="106"/>
        <v>1753</v>
      </c>
      <c r="AX80" s="2">
        <f t="shared" si="106"/>
        <v>1792</v>
      </c>
      <c r="AY80" s="2">
        <f t="shared" si="106"/>
        <v>1837</v>
      </c>
      <c r="AZ80" s="2">
        <f t="shared" si="106"/>
        <v>1835</v>
      </c>
      <c r="BA80" s="2">
        <f t="shared" si="106"/>
        <v>614</v>
      </c>
      <c r="BB80" s="2">
        <f t="shared" si="106"/>
        <v>2029</v>
      </c>
      <c r="BC80" s="2">
        <f t="shared" si="106"/>
        <v>1733</v>
      </c>
      <c r="BD80" s="2">
        <f t="shared" si="106"/>
        <v>309</v>
      </c>
      <c r="BE80" s="2">
        <f t="shared" si="106"/>
        <v>1778</v>
      </c>
      <c r="BF80" s="2">
        <f t="shared" si="106"/>
        <v>1912</v>
      </c>
      <c r="BG80" s="2">
        <f t="shared" si="106"/>
        <v>1689</v>
      </c>
      <c r="BH80" s="2">
        <f t="shared" si="106"/>
        <v>1681</v>
      </c>
      <c r="BI80" s="2">
        <f t="shared" si="106"/>
        <v>1684</v>
      </c>
      <c r="BJ80" s="2">
        <f t="shared" si="106"/>
        <v>1866</v>
      </c>
      <c r="BK80" s="2">
        <f t="shared" si="106"/>
        <v>1545</v>
      </c>
      <c r="BL80" s="2">
        <f t="shared" si="106"/>
        <v>1641</v>
      </c>
      <c r="BM80" s="2">
        <f t="shared" si="106"/>
        <v>1686</v>
      </c>
      <c r="BN80" s="2">
        <f t="shared" si="106"/>
        <v>464</v>
      </c>
      <c r="BO80" s="2">
        <f t="shared" si="106"/>
        <v>1712</v>
      </c>
      <c r="BP80" s="2">
        <f t="shared" si="106"/>
        <v>492</v>
      </c>
      <c r="BQ80" s="2">
        <f t="shared" si="106"/>
        <v>1619</v>
      </c>
      <c r="BR80" s="2">
        <f t="shared" si="106"/>
        <v>1194</v>
      </c>
      <c r="BS80" s="2">
        <f t="shared" si="106"/>
        <v>1488</v>
      </c>
      <c r="BT80" s="2">
        <f t="shared" ref="BT80:BU80" si="107">BT78-BT79</f>
        <v>1836</v>
      </c>
      <c r="BU80" s="2">
        <f t="shared" si="107"/>
        <v>1845</v>
      </c>
      <c r="BV80" s="34"/>
      <c r="CA80" s="2">
        <f t="shared" si="69"/>
        <v>2967</v>
      </c>
      <c r="CB80" s="2">
        <f t="shared" si="70"/>
        <v>2335</v>
      </c>
      <c r="CC80" s="2">
        <f t="shared" si="71"/>
        <v>2652</v>
      </c>
      <c r="CD80" s="2">
        <f t="shared" si="72"/>
        <v>2745</v>
      </c>
      <c r="CE80" s="2">
        <f t="shared" si="73"/>
        <v>2981</v>
      </c>
      <c r="CF80" s="2">
        <f t="shared" si="74"/>
        <v>3253</v>
      </c>
      <c r="CG80" s="2">
        <f t="shared" si="75"/>
        <v>3605</v>
      </c>
      <c r="CH80" s="2">
        <f t="shared" si="76"/>
        <v>4959</v>
      </c>
      <c r="CI80" s="2">
        <f t="shared" si="77"/>
        <v>1890</v>
      </c>
      <c r="CJ80" s="2">
        <f t="shared" si="78"/>
        <v>5046</v>
      </c>
      <c r="CK80" s="2">
        <f t="shared" si="79"/>
        <v>6230</v>
      </c>
      <c r="CL80" s="2">
        <f t="shared" si="80"/>
        <v>6888</v>
      </c>
      <c r="CM80" s="2">
        <f t="shared" si="81"/>
        <v>6315</v>
      </c>
      <c r="CN80" s="2">
        <f t="shared" si="82"/>
        <v>5732</v>
      </c>
      <c r="CO80" s="2">
        <f t="shared" si="83"/>
        <v>6920</v>
      </c>
      <c r="CP80" s="2">
        <f t="shared" si="84"/>
        <v>5336</v>
      </c>
      <c r="CQ80" s="2">
        <f t="shared" si="85"/>
        <v>5017</v>
      </c>
      <c r="CR80" s="82">
        <f>CR78-CR79</f>
        <v>6034.3894248828274</v>
      </c>
      <c r="CS80" s="82">
        <f t="shared" ref="CS80:DA80" si="108">CS78-CS79</f>
        <v>7253.1259200666545</v>
      </c>
      <c r="CT80" s="82">
        <f t="shared" si="108"/>
        <v>8501.9987419429526</v>
      </c>
      <c r="CU80" s="82">
        <f t="shared" si="108"/>
        <v>9635.1613740945559</v>
      </c>
      <c r="CV80" s="82">
        <f t="shared" si="108"/>
        <v>10710.158848175051</v>
      </c>
      <c r="CW80" s="82">
        <f t="shared" si="108"/>
        <v>11798.766299547962</v>
      </c>
      <c r="CX80" s="82">
        <f t="shared" si="108"/>
        <v>12855.054506266069</v>
      </c>
      <c r="CY80" s="82">
        <f t="shared" si="108"/>
        <v>13912.93389093063</v>
      </c>
      <c r="CZ80" s="82">
        <f t="shared" si="108"/>
        <v>14512.0883191787</v>
      </c>
      <c r="DA80" s="82">
        <f t="shared" si="108"/>
        <v>15534.508300090343</v>
      </c>
      <c r="DB80" s="82">
        <f>DA80*(1+$DK$91)</f>
        <v>15612.180841590793</v>
      </c>
      <c r="DC80" s="82">
        <f t="shared" ref="DC80:EY80" si="109">DB80*(1+$DK$91)</f>
        <v>15690.241745798745</v>
      </c>
      <c r="DD80" s="82">
        <f t="shared" si="109"/>
        <v>15768.692954527736</v>
      </c>
      <c r="DE80" s="82">
        <f t="shared" si="109"/>
        <v>15847.536419300373</v>
      </c>
      <c r="DF80" s="82">
        <f t="shared" si="109"/>
        <v>15926.774101396873</v>
      </c>
      <c r="DG80" s="82">
        <f t="shared" si="109"/>
        <v>16006.407971903856</v>
      </c>
      <c r="DH80" s="82">
        <f t="shared" si="109"/>
        <v>16086.440011763374</v>
      </c>
      <c r="DI80" s="82">
        <f t="shared" si="109"/>
        <v>16166.872211822189</v>
      </c>
      <c r="DJ80" s="82">
        <f t="shared" si="109"/>
        <v>16247.706572881298</v>
      </c>
      <c r="DK80" s="82">
        <f t="shared" si="109"/>
        <v>16328.945105745703</v>
      </c>
      <c r="DL80" s="82">
        <f t="shared" si="109"/>
        <v>16410.589831274428</v>
      </c>
      <c r="DM80" s="82">
        <f t="shared" si="109"/>
        <v>16492.6427804308</v>
      </c>
      <c r="DN80" s="82">
        <f t="shared" si="109"/>
        <v>16575.105994332953</v>
      </c>
      <c r="DO80" s="82">
        <f t="shared" si="109"/>
        <v>16657.981524304614</v>
      </c>
      <c r="DP80" s="82">
        <f t="shared" si="109"/>
        <v>16741.271431926136</v>
      </c>
      <c r="DQ80" s="82">
        <f t="shared" si="109"/>
        <v>16824.977789085766</v>
      </c>
      <c r="DR80" s="82">
        <f t="shared" si="109"/>
        <v>16909.102678031191</v>
      </c>
      <c r="DS80" s="82">
        <f t="shared" si="109"/>
        <v>16993.648191421344</v>
      </c>
      <c r="DT80" s="82">
        <f t="shared" si="109"/>
        <v>17078.616432378447</v>
      </c>
      <c r="DU80" s="82">
        <f t="shared" si="109"/>
        <v>17164.009514540336</v>
      </c>
      <c r="DV80" s="82">
        <f t="shared" si="109"/>
        <v>17249.829562113035</v>
      </c>
      <c r="DW80" s="82">
        <f t="shared" si="109"/>
        <v>17336.078709923597</v>
      </c>
      <c r="DX80" s="82">
        <f t="shared" si="109"/>
        <v>17422.759103473214</v>
      </c>
      <c r="DY80" s="82">
        <f t="shared" si="109"/>
        <v>17509.872898990579</v>
      </c>
      <c r="DZ80" s="82">
        <f t="shared" si="109"/>
        <v>17597.422263485529</v>
      </c>
      <c r="EA80" s="82">
        <f t="shared" si="109"/>
        <v>17685.409374802955</v>
      </c>
      <c r="EB80" s="82">
        <f t="shared" si="109"/>
        <v>17773.83642167697</v>
      </c>
      <c r="EC80" s="82">
        <f t="shared" si="109"/>
        <v>17862.705603785351</v>
      </c>
      <c r="ED80" s="82">
        <f t="shared" si="109"/>
        <v>17952.019131804274</v>
      </c>
      <c r="EE80" s="82">
        <f t="shared" si="109"/>
        <v>18041.779227463292</v>
      </c>
      <c r="EF80" s="82">
        <f t="shared" si="109"/>
        <v>18131.988123600608</v>
      </c>
      <c r="EG80" s="82">
        <f t="shared" si="109"/>
        <v>18222.648064218607</v>
      </c>
      <c r="EH80" s="82">
        <f t="shared" si="109"/>
        <v>18313.761304539697</v>
      </c>
      <c r="EI80" s="82">
        <f t="shared" si="109"/>
        <v>18405.330111062394</v>
      </c>
      <c r="EJ80" s="82">
        <f t="shared" si="109"/>
        <v>18497.356761617706</v>
      </c>
      <c r="EK80" s="82">
        <f t="shared" si="109"/>
        <v>18589.843545425792</v>
      </c>
      <c r="EL80" s="82">
        <f t="shared" si="109"/>
        <v>18682.79276315292</v>
      </c>
      <c r="EM80" s="82">
        <f t="shared" si="109"/>
        <v>18776.206726968681</v>
      </c>
      <c r="EN80" s="82">
        <f t="shared" si="109"/>
        <v>18870.087760603521</v>
      </c>
      <c r="EO80" s="82">
        <f t="shared" si="109"/>
        <v>18964.438199406537</v>
      </c>
      <c r="EP80" s="82">
        <f t="shared" si="109"/>
        <v>19059.260390403568</v>
      </c>
      <c r="EQ80" s="82">
        <f t="shared" si="109"/>
        <v>19154.556692355585</v>
      </c>
      <c r="ER80" s="82">
        <f t="shared" si="109"/>
        <v>19250.329475817362</v>
      </c>
      <c r="ES80" s="82">
        <f t="shared" si="109"/>
        <v>19346.581123196447</v>
      </c>
      <c r="ET80" s="82">
        <f t="shared" si="109"/>
        <v>19443.314028812427</v>
      </c>
      <c r="EU80" s="82">
        <f t="shared" si="109"/>
        <v>19540.530598956488</v>
      </c>
      <c r="EV80" s="82">
        <f t="shared" si="109"/>
        <v>19638.233251951267</v>
      </c>
      <c r="EW80" s="82">
        <f t="shared" si="109"/>
        <v>19736.424418211023</v>
      </c>
      <c r="EX80" s="82">
        <f t="shared" si="109"/>
        <v>19835.106540302077</v>
      </c>
      <c r="EY80" s="82">
        <f t="shared" si="109"/>
        <v>19934.282073003586</v>
      </c>
      <c r="EZ80" s="34"/>
      <c r="FA80" s="34"/>
    </row>
    <row r="81" spans="2:116">
      <c r="B81" s="79" t="s">
        <v>71</v>
      </c>
      <c r="C81" s="79">
        <v>340</v>
      </c>
      <c r="D81" s="79">
        <v>339</v>
      </c>
      <c r="E81" s="79">
        <v>339</v>
      </c>
      <c r="F81" s="79">
        <v>339</v>
      </c>
      <c r="G81" s="79">
        <v>338</v>
      </c>
      <c r="H81" s="79">
        <v>337</v>
      </c>
      <c r="I81" s="79">
        <v>337</v>
      </c>
      <c r="J81" s="79">
        <v>337</v>
      </c>
      <c r="K81" s="79">
        <v>336.5</v>
      </c>
      <c r="L81" s="79">
        <v>336.5</v>
      </c>
      <c r="M81" s="79">
        <v>336.5</v>
      </c>
      <c r="N81" s="79">
        <v>336</v>
      </c>
      <c r="O81" s="79">
        <v>324</v>
      </c>
      <c r="P81" s="79">
        <v>325</v>
      </c>
      <c r="Q81" s="79">
        <v>324</v>
      </c>
      <c r="R81" s="79">
        <v>324</v>
      </c>
      <c r="S81" s="79">
        <v>322</v>
      </c>
      <c r="T81" s="79">
        <v>321</v>
      </c>
      <c r="U81" s="79">
        <v>321</v>
      </c>
      <c r="V81" s="79">
        <v>321</v>
      </c>
      <c r="W81" s="79">
        <v>321</v>
      </c>
      <c r="X81" s="79">
        <v>319</v>
      </c>
      <c r="Y81" s="79">
        <v>317</v>
      </c>
      <c r="Z81" s="79">
        <v>316</v>
      </c>
      <c r="AA81" s="79">
        <v>317</v>
      </c>
      <c r="AB81" s="79">
        <v>315</v>
      </c>
      <c r="AC81" s="79">
        <v>312</v>
      </c>
      <c r="AD81" s="79">
        <v>308</v>
      </c>
      <c r="AE81" s="79">
        <v>310</v>
      </c>
      <c r="AF81" s="79">
        <v>305</v>
      </c>
      <c r="AG81" s="79">
        <v>303</v>
      </c>
      <c r="AH81" s="79">
        <v>299</v>
      </c>
      <c r="AI81" s="79">
        <v>299</v>
      </c>
      <c r="AJ81" s="79">
        <v>290</v>
      </c>
      <c r="AK81" s="79">
        <v>289</v>
      </c>
      <c r="AL81" s="79">
        <v>287</v>
      </c>
      <c r="AM81" s="79">
        <v>286</v>
      </c>
      <c r="AN81" s="79">
        <v>285</v>
      </c>
      <c r="AO81" s="79">
        <v>284.5</v>
      </c>
      <c r="AP81" s="79">
        <v>283</v>
      </c>
      <c r="AQ81" s="79">
        <v>282.5</v>
      </c>
      <c r="AR81" s="79">
        <v>282.5</v>
      </c>
      <c r="AS81" s="79">
        <v>282</v>
      </c>
      <c r="AT81" s="79">
        <v>281</v>
      </c>
      <c r="AU81" s="79">
        <v>281.5</v>
      </c>
      <c r="AV81" s="79">
        <v>280</v>
      </c>
      <c r="AW81" s="79">
        <v>279</v>
      </c>
      <c r="AX81" s="79">
        <v>278</v>
      </c>
      <c r="AY81" s="79">
        <v>279</v>
      </c>
      <c r="AZ81" s="79">
        <v>280.5</v>
      </c>
      <c r="BA81" s="79">
        <v>276</v>
      </c>
      <c r="BB81" s="79">
        <v>270</v>
      </c>
      <c r="BC81" s="79">
        <v>268.2</v>
      </c>
      <c r="BD81" s="79">
        <v>266</v>
      </c>
      <c r="BE81" s="79">
        <v>264</v>
      </c>
      <c r="BF81" s="79">
        <v>259</v>
      </c>
      <c r="BG81" s="79">
        <v>254.75</v>
      </c>
      <c r="BH81" s="79">
        <v>252.75</v>
      </c>
      <c r="BI81" s="79">
        <v>249.5</v>
      </c>
      <c r="BJ81" s="79">
        <v>245</v>
      </c>
      <c r="BK81" s="79">
        <v>240.5</v>
      </c>
      <c r="BL81" s="79">
        <v>239</v>
      </c>
      <c r="BM81" s="79">
        <v>231.5</v>
      </c>
      <c r="BN81" s="79">
        <v>232</v>
      </c>
      <c r="BO81" s="79">
        <v>234.5</v>
      </c>
      <c r="BP81" s="79">
        <v>233.5</v>
      </c>
      <c r="BQ81" s="79">
        <v>232</v>
      </c>
      <c r="BR81" s="79">
        <v>232</v>
      </c>
      <c r="BS81" s="79">
        <v>230</v>
      </c>
      <c r="BT81" s="79">
        <v>230</v>
      </c>
      <c r="BU81" s="79">
        <v>230.5</v>
      </c>
      <c r="CA81" s="79">
        <f>AVERAGE(C81:F81)</f>
        <v>339.25</v>
      </c>
      <c r="CB81" s="79">
        <f>AVERAGE(G81:J81)</f>
        <v>337.25</v>
      </c>
      <c r="CC81" s="79">
        <f>AVERAGE(K81:N81)</f>
        <v>336.375</v>
      </c>
      <c r="CD81" s="79">
        <f>AVERAGE(O81:R81)</f>
        <v>324.25</v>
      </c>
      <c r="CE81" s="79">
        <f>AVERAGE(S81:V81)</f>
        <v>321.25</v>
      </c>
      <c r="CF81" s="79">
        <f>AVERAGE(W81:Z81)</f>
        <v>318.25</v>
      </c>
      <c r="CG81" s="79">
        <f>AVERAGE(AA81:AD81)</f>
        <v>313</v>
      </c>
      <c r="CH81" s="79">
        <f>AVERAGE(AE81:AH81)</f>
        <v>304.25</v>
      </c>
      <c r="CI81" s="79">
        <f>AVERAGE(AI81:AL81)</f>
        <v>291.25</v>
      </c>
      <c r="CJ81" s="79">
        <f>AVERAGE(AM81:AP81)</f>
        <v>284.625</v>
      </c>
      <c r="CK81" s="79">
        <f>AVERAGE(AQ81:AT81)</f>
        <v>282</v>
      </c>
      <c r="CL81" s="79">
        <f>AVERAGE(AU81:AX81)</f>
        <v>279.625</v>
      </c>
      <c r="CM81" s="79">
        <f>AVERAGE(AY81:BB81)</f>
        <v>276.375</v>
      </c>
      <c r="CN81" s="79">
        <f>AVERAGE(BC81:BF81)</f>
        <v>264.3</v>
      </c>
      <c r="CO81" s="79">
        <f>AVERAGE(BG81:BJ81)</f>
        <v>250.5</v>
      </c>
      <c r="CP81" s="79">
        <f>AVERAGE(BK81:BN81)</f>
        <v>235.75</v>
      </c>
      <c r="CQ81" s="79">
        <f>AVERAGE(BO81:BR81)</f>
        <v>233</v>
      </c>
    </row>
    <row r="82" spans="2:116">
      <c r="B82" s="1" t="s">
        <v>132</v>
      </c>
      <c r="C82" s="39">
        <f t="shared" ref="C82:AP82" si="110">C80/C81</f>
        <v>1.9588235294117646</v>
      </c>
      <c r="D82" s="39">
        <f t="shared" si="110"/>
        <v>2.1563421828908553</v>
      </c>
      <c r="E82" s="39">
        <f t="shared" si="110"/>
        <v>2.3185840707964602</v>
      </c>
      <c r="F82" s="39">
        <f t="shared" si="110"/>
        <v>2.3126843657817111</v>
      </c>
      <c r="G82" s="39">
        <f t="shared" si="110"/>
        <v>1.5355029585798816</v>
      </c>
      <c r="H82" s="39">
        <f t="shared" si="110"/>
        <v>2.1186943620178043</v>
      </c>
      <c r="I82" s="39">
        <f t="shared" si="110"/>
        <v>1.6528189910979227</v>
      </c>
      <c r="J82" s="39">
        <f t="shared" si="110"/>
        <v>1.6172106824925816</v>
      </c>
      <c r="K82" s="39">
        <f t="shared" si="110"/>
        <v>1.6523031203566121</v>
      </c>
      <c r="L82" s="39">
        <f t="shared" si="110"/>
        <v>2.2228826151560179</v>
      </c>
      <c r="M82" s="39">
        <f t="shared" si="110"/>
        <v>1.9762258543833582</v>
      </c>
      <c r="N82" s="39">
        <f t="shared" si="110"/>
        <v>2.0327380952380953</v>
      </c>
      <c r="O82" s="39">
        <f t="shared" si="110"/>
        <v>2.0617283950617282</v>
      </c>
      <c r="P82" s="39">
        <f t="shared" si="110"/>
        <v>2.4030769230769229</v>
      </c>
      <c r="Q82" s="39">
        <f t="shared" si="110"/>
        <v>2.2438271604938271</v>
      </c>
      <c r="R82" s="39">
        <f t="shared" si="110"/>
        <v>1.7561728395061729</v>
      </c>
      <c r="S82" s="39">
        <f t="shared" si="110"/>
        <v>2.3633540372670807</v>
      </c>
      <c r="T82" s="39">
        <f t="shared" si="110"/>
        <v>2.67601246105919</v>
      </c>
      <c r="U82" s="39">
        <f t="shared" si="110"/>
        <v>2.7196261682242993</v>
      </c>
      <c r="V82" s="39">
        <f t="shared" si="110"/>
        <v>1.5202492211838006</v>
      </c>
      <c r="W82" s="39">
        <f t="shared" si="110"/>
        <v>2.9065420560747666</v>
      </c>
      <c r="X82" s="39">
        <f t="shared" si="110"/>
        <v>2.7868338557993733</v>
      </c>
      <c r="Y82" s="39">
        <f t="shared" si="110"/>
        <v>2.8012618296529967</v>
      </c>
      <c r="Z82" s="39">
        <f t="shared" si="110"/>
        <v>1.7183544303797469</v>
      </c>
      <c r="AA82" s="39">
        <f t="shared" si="110"/>
        <v>2.7697160883280758</v>
      </c>
      <c r="AB82" s="39">
        <f t="shared" si="110"/>
        <v>2.9492063492063494</v>
      </c>
      <c r="AC82" s="39">
        <f t="shared" si="110"/>
        <v>2.7724358974358974</v>
      </c>
      <c r="AD82" s="39">
        <f t="shared" si="110"/>
        <v>3.029220779220779</v>
      </c>
      <c r="AE82" s="39">
        <f t="shared" si="110"/>
        <v>2.6</v>
      </c>
      <c r="AF82" s="39">
        <f t="shared" si="110"/>
        <v>2.9475409836065576</v>
      </c>
      <c r="AG82" s="39">
        <f t="shared" si="110"/>
        <v>7.9042904290429039</v>
      </c>
      <c r="AH82" s="39">
        <f t="shared" si="110"/>
        <v>2.8729096989966556</v>
      </c>
      <c r="AI82" s="39">
        <f t="shared" si="110"/>
        <v>2.6387959866220734</v>
      </c>
      <c r="AJ82" s="39">
        <f t="shared" si="110"/>
        <v>3.2931034482758621</v>
      </c>
      <c r="AK82" s="39">
        <f t="shared" si="110"/>
        <v>3.332179930795848</v>
      </c>
      <c r="AL82" s="39">
        <f t="shared" si="110"/>
        <v>-2.8466898954703832</v>
      </c>
      <c r="AM82" s="39">
        <f t="shared" si="110"/>
        <v>4.0454545454545459</v>
      </c>
      <c r="AN82" s="39">
        <f t="shared" si="110"/>
        <v>4.0807017543859647</v>
      </c>
      <c r="AO82" s="39">
        <f t="shared" si="110"/>
        <v>5.1775043936731109</v>
      </c>
      <c r="AP82" s="39">
        <f t="shared" si="110"/>
        <v>4.4275618374558308</v>
      </c>
      <c r="AQ82" s="39">
        <f>AQ80/AQ81</f>
        <v>6.0318584070796462</v>
      </c>
      <c r="AR82" s="39">
        <f t="shared" ref="AR82:BS82" si="111">AR80/AR81</f>
        <v>5.0265486725663715</v>
      </c>
      <c r="AS82" s="39">
        <f t="shared" si="111"/>
        <v>5.7021276595744679</v>
      </c>
      <c r="AT82" s="39">
        <f t="shared" si="111"/>
        <v>5.3309608540925266</v>
      </c>
      <c r="AU82" s="39">
        <f t="shared" si="111"/>
        <v>6.0994671403197156</v>
      </c>
      <c r="AV82" s="39">
        <f t="shared" si="111"/>
        <v>5.8071428571428569</v>
      </c>
      <c r="AW82" s="39">
        <f t="shared" si="111"/>
        <v>6.2831541218637996</v>
      </c>
      <c r="AX82" s="39">
        <f t="shared" si="111"/>
        <v>6.4460431654676258</v>
      </c>
      <c r="AY82" s="39">
        <f t="shared" si="111"/>
        <v>6.5842293906810037</v>
      </c>
      <c r="AZ82" s="39">
        <f t="shared" si="111"/>
        <v>6.5418894830659537</v>
      </c>
      <c r="BA82" s="39">
        <f t="shared" si="111"/>
        <v>2.2246376811594204</v>
      </c>
      <c r="BB82" s="39">
        <f t="shared" si="111"/>
        <v>7.5148148148148151</v>
      </c>
      <c r="BC82" s="39">
        <f t="shared" si="111"/>
        <v>6.4615958240119316</v>
      </c>
      <c r="BD82" s="39">
        <f t="shared" si="111"/>
        <v>1.1616541353383458</v>
      </c>
      <c r="BE82" s="39">
        <f t="shared" si="111"/>
        <v>6.7348484848484844</v>
      </c>
      <c r="BF82" s="39">
        <f t="shared" si="111"/>
        <v>7.3822393822393826</v>
      </c>
      <c r="BG82" s="39">
        <f t="shared" si="111"/>
        <v>6.6300294406280669</v>
      </c>
      <c r="BH82" s="39">
        <f t="shared" si="111"/>
        <v>6.6508407517309598</v>
      </c>
      <c r="BI82" s="39">
        <f t="shared" si="111"/>
        <v>6.7494989979959916</v>
      </c>
      <c r="BJ82" s="39">
        <f t="shared" si="111"/>
        <v>7.6163265306122447</v>
      </c>
      <c r="BK82" s="39">
        <f t="shared" si="111"/>
        <v>6.4241164241164244</v>
      </c>
      <c r="BL82" s="39">
        <f t="shared" si="111"/>
        <v>6.8661087866108783</v>
      </c>
      <c r="BM82" s="39">
        <f t="shared" si="111"/>
        <v>7.2829373650107989</v>
      </c>
      <c r="BN82" s="39">
        <f t="shared" si="111"/>
        <v>2</v>
      </c>
      <c r="BO82" s="39">
        <f t="shared" si="111"/>
        <v>7.3006396588486142</v>
      </c>
      <c r="BP82" s="39">
        <f t="shared" si="111"/>
        <v>2.1070663811563168</v>
      </c>
      <c r="BQ82" s="39">
        <f t="shared" si="111"/>
        <v>6.9784482758620694</v>
      </c>
      <c r="BR82" s="39">
        <f t="shared" si="111"/>
        <v>5.1465517241379306</v>
      </c>
      <c r="BS82" s="39">
        <f t="shared" si="111"/>
        <v>6.4695652173913043</v>
      </c>
      <c r="BT82" s="39">
        <f t="shared" ref="BT82:BU82" si="112">BT80/BT81</f>
        <v>7.982608695652174</v>
      </c>
      <c r="BU82" s="39">
        <f t="shared" si="112"/>
        <v>8.0043383947939262</v>
      </c>
      <c r="CA82" s="39">
        <f>SUM(C82:F82)</f>
        <v>8.7464341488807911</v>
      </c>
      <c r="CB82" s="39">
        <f>SUM(G82:J82)</f>
        <v>6.9242269941881904</v>
      </c>
      <c r="CC82" s="39">
        <f>SUM(K82:N82)</f>
        <v>7.8841496851340835</v>
      </c>
      <c r="CD82" s="39">
        <f>SUM(O82:R82)</f>
        <v>8.4648053181386516</v>
      </c>
      <c r="CE82" s="39">
        <f>SUM(S82:V82)</f>
        <v>9.2792418877343703</v>
      </c>
      <c r="CF82" s="39">
        <f>SUM(W82:Z82)</f>
        <v>10.212992171906885</v>
      </c>
      <c r="CG82" s="39">
        <f>SUM(AA82:AD82)</f>
        <v>11.520579114191102</v>
      </c>
      <c r="CH82" s="39">
        <f>SUM(AE82:AH82)</f>
        <v>16.324741111646116</v>
      </c>
      <c r="CI82" s="39">
        <f>SUM(AI82:AL82)</f>
        <v>6.4173894702233998</v>
      </c>
      <c r="CJ82" s="39">
        <f>SUM(AM82:AP82)</f>
        <v>17.73122253096945</v>
      </c>
      <c r="CK82" s="39">
        <f>SUM(AQ82:AT82)</f>
        <v>22.091495593313013</v>
      </c>
      <c r="CL82" s="39">
        <f>SUM(AU82:AX82)</f>
        <v>24.635807284793998</v>
      </c>
      <c r="CM82" s="39">
        <f>SUM(AY82:BB82)</f>
        <v>22.865571369721192</v>
      </c>
      <c r="CN82" s="39">
        <f>SUM(BC82:BF82)</f>
        <v>21.740337826438143</v>
      </c>
      <c r="CO82" s="39">
        <f>SUM(BG82:BJ82)</f>
        <v>27.646695720967262</v>
      </c>
      <c r="CP82" s="39">
        <f>SUM(BK82:BN82)</f>
        <v>22.573162575738102</v>
      </c>
      <c r="CQ82" s="39">
        <f>SUM(BO82:BR82)</f>
        <v>21.532706040004932</v>
      </c>
    </row>
    <row r="84" spans="2:116">
      <c r="B84" s="37" t="s">
        <v>56</v>
      </c>
      <c r="C84" s="80">
        <f t="shared" ref="C84:BN84" si="113">C72/C70</f>
        <v>0.11125036151547286</v>
      </c>
      <c r="D84" s="80">
        <f t="shared" si="113"/>
        <v>0.10738800578034682</v>
      </c>
      <c r="E84" s="80">
        <f t="shared" si="113"/>
        <v>0.10792235534503576</v>
      </c>
      <c r="F84" s="80">
        <f t="shared" si="113"/>
        <v>5.5083655083655085E-2</v>
      </c>
      <c r="G84" s="80">
        <f t="shared" si="113"/>
        <v>8.6678920383089872E-2</v>
      </c>
      <c r="H84" s="80">
        <f t="shared" si="113"/>
        <v>9.237588652482269E-2</v>
      </c>
      <c r="I84" s="80">
        <f t="shared" si="113"/>
        <v>6.9558317905316053E-2</v>
      </c>
      <c r="J84" s="80">
        <f t="shared" si="113"/>
        <v>0.14318306978207851</v>
      </c>
      <c r="K84" s="80">
        <f t="shared" si="113"/>
        <v>7.6604554865424432E-2</v>
      </c>
      <c r="L84" s="80">
        <f t="shared" si="113"/>
        <v>0.10066707095209218</v>
      </c>
      <c r="M84" s="80">
        <f t="shared" si="113"/>
        <v>0.10520670022279066</v>
      </c>
      <c r="N84" s="80">
        <f t="shared" si="113"/>
        <v>8.4186389321103922E-2</v>
      </c>
      <c r="O84" s="80">
        <f t="shared" si="113"/>
        <v>0.11476135659257948</v>
      </c>
      <c r="P84" s="80">
        <f t="shared" si="113"/>
        <v>0.12205351900008389</v>
      </c>
      <c r="Q84" s="80">
        <f t="shared" si="113"/>
        <v>0.10775971016934872</v>
      </c>
      <c r="R84" s="80">
        <f t="shared" si="113"/>
        <v>8.223820150425655E-2</v>
      </c>
      <c r="S84" s="80">
        <f t="shared" si="113"/>
        <v>9.40379403794038E-2</v>
      </c>
      <c r="T84" s="80">
        <f t="shared" si="113"/>
        <v>0.10729312762973352</v>
      </c>
      <c r="U84" s="80">
        <f t="shared" si="113"/>
        <v>0.10434476072970829</v>
      </c>
      <c r="V84" s="80">
        <f t="shared" si="113"/>
        <v>6.3990288736668691E-2</v>
      </c>
      <c r="W84" s="80">
        <f t="shared" si="113"/>
        <v>0.12873239436619718</v>
      </c>
      <c r="X84" s="80">
        <f t="shared" si="113"/>
        <v>0.11860958782947108</v>
      </c>
      <c r="Y84" s="80">
        <f t="shared" si="113"/>
        <v>0.11472017275508367</v>
      </c>
      <c r="Z84" s="80">
        <f t="shared" si="113"/>
        <v>0.1012216404886562</v>
      </c>
      <c r="AA84" s="80">
        <f t="shared" si="113"/>
        <v>0.12491346058747899</v>
      </c>
      <c r="AB84" s="80">
        <f t="shared" si="113"/>
        <v>0.11775315640298892</v>
      </c>
      <c r="AC84" s="80">
        <f t="shared" si="113"/>
        <v>0.10904572564612326</v>
      </c>
      <c r="AD84" s="80">
        <f t="shared" si="113"/>
        <v>8.7250630589314371E-2</v>
      </c>
      <c r="AE84" s="80">
        <f t="shared" si="113"/>
        <v>0.10561342592592593</v>
      </c>
      <c r="AF84" s="80">
        <f t="shared" si="113"/>
        <v>0.10624514122829749</v>
      </c>
      <c r="AG84" s="80">
        <f t="shared" si="113"/>
        <v>0.11981646610683058</v>
      </c>
      <c r="AH84" s="80">
        <f t="shared" si="113"/>
        <v>0.12266202696824706</v>
      </c>
      <c r="AI84" s="80">
        <f t="shared" si="113"/>
        <v>0.12540135569033178</v>
      </c>
      <c r="AJ84" s="80">
        <f t="shared" si="113"/>
        <v>0.13181564912839289</v>
      </c>
      <c r="AK84" s="80">
        <f t="shared" si="113"/>
        <v>0.12964913702293168</v>
      </c>
      <c r="AL84" s="80">
        <f t="shared" si="113"/>
        <v>0.12344698064143311</v>
      </c>
      <c r="AM84" s="80">
        <f t="shared" si="113"/>
        <v>0.14250107434464976</v>
      </c>
      <c r="AN84" s="80">
        <f t="shared" si="113"/>
        <v>0.13084042394387221</v>
      </c>
      <c r="AO84" s="80">
        <f t="shared" si="113"/>
        <v>0.1341667830702612</v>
      </c>
      <c r="AP84" s="80">
        <f t="shared" si="113"/>
        <v>0.13475817084171812</v>
      </c>
      <c r="AQ84" s="80">
        <f t="shared" si="113"/>
        <v>0.15262276785714285</v>
      </c>
      <c r="AR84" s="80">
        <f t="shared" si="113"/>
        <v>0.13814375823109448</v>
      </c>
      <c r="AS84" s="80">
        <f t="shared" si="113"/>
        <v>0.13598312570034934</v>
      </c>
      <c r="AT84" s="80">
        <f t="shared" si="113"/>
        <v>0.13370701599697696</v>
      </c>
      <c r="AU84" s="80">
        <f t="shared" si="113"/>
        <v>0.13360168679317616</v>
      </c>
      <c r="AV84" s="80">
        <f t="shared" si="113"/>
        <v>0.13643649815043157</v>
      </c>
      <c r="AW84" s="80">
        <f t="shared" si="113"/>
        <v>0.12949378599575628</v>
      </c>
      <c r="AX84" s="80">
        <f t="shared" si="113"/>
        <v>0.1299906059182715</v>
      </c>
      <c r="AY84" s="80">
        <f t="shared" si="113"/>
        <v>0.13445688276540779</v>
      </c>
      <c r="AZ84" s="80">
        <f t="shared" si="113"/>
        <v>0.12631393505197017</v>
      </c>
      <c r="BA84" s="80">
        <f t="shared" si="113"/>
        <v>0.14362365859745446</v>
      </c>
      <c r="BB84" s="80">
        <f t="shared" si="113"/>
        <v>0.13661233008065882</v>
      </c>
      <c r="BC84" s="80">
        <f t="shared" si="113"/>
        <v>0.12757284148623363</v>
      </c>
      <c r="BD84" s="80">
        <f t="shared" si="113"/>
        <v>0.12663472743752427</v>
      </c>
      <c r="BE84" s="80">
        <f t="shared" si="113"/>
        <v>0.12784176566363142</v>
      </c>
      <c r="BF84" s="80">
        <f t="shared" si="113"/>
        <v>0.12121531251645516</v>
      </c>
      <c r="BG84" s="80">
        <f t="shared" si="113"/>
        <v>0.13526378421261404</v>
      </c>
      <c r="BH84" s="80">
        <f t="shared" si="113"/>
        <v>0.12520218055472354</v>
      </c>
      <c r="BI84" s="80">
        <f t="shared" si="113"/>
        <v>0.12134139116009006</v>
      </c>
      <c r="BJ84" s="80">
        <f t="shared" si="113"/>
        <v>0.12159584613754371</v>
      </c>
      <c r="BK84" s="80">
        <f t="shared" si="113"/>
        <v>0.11590578656586217</v>
      </c>
      <c r="BL84" s="80">
        <f t="shared" si="113"/>
        <v>0.11753669572894825</v>
      </c>
      <c r="BM84" s="80">
        <f t="shared" si="113"/>
        <v>0.12377221702525724</v>
      </c>
      <c r="BN84" s="80">
        <f t="shared" si="113"/>
        <v>3.7052948125872627E-2</v>
      </c>
      <c r="BO84" s="80">
        <f t="shared" ref="BO84:BR84" si="114">BO72/BO70</f>
        <v>0.1293213828425096</v>
      </c>
      <c r="BP84" s="80">
        <f t="shared" si="114"/>
        <v>4.0429633709721836E-2</v>
      </c>
      <c r="BQ84" s="80">
        <f t="shared" si="114"/>
        <v>0.12037186307700574</v>
      </c>
      <c r="BR84" s="80">
        <f t="shared" si="114"/>
        <v>0.11426603021504847</v>
      </c>
      <c r="BS84" s="80">
        <f>BS72/BS70</f>
        <v>0.11530991620886744</v>
      </c>
      <c r="BT84" s="80">
        <f>BT72/BT70</f>
        <v>0.12191596471115984</v>
      </c>
      <c r="BU84" s="80">
        <f>BU72/BU70</f>
        <v>0.11761865675245038</v>
      </c>
      <c r="CA84" s="80">
        <f t="shared" ref="CA84:CQ84" si="115">CA72/CA70</f>
        <v>9.4535755807326691E-2</v>
      </c>
      <c r="CB84" s="80">
        <f t="shared" si="115"/>
        <v>9.955989577631319E-2</v>
      </c>
      <c r="CC84" s="80">
        <f t="shared" si="115"/>
        <v>9.2023484376008088E-2</v>
      </c>
      <c r="CD84" s="80">
        <f t="shared" si="115"/>
        <v>0.10650247975923022</v>
      </c>
      <c r="CE84" s="80">
        <f t="shared" si="115"/>
        <v>9.2310066581418937E-2</v>
      </c>
      <c r="CF84" s="80">
        <f t="shared" si="115"/>
        <v>0.1172332649076253</v>
      </c>
      <c r="CG84" s="80">
        <f t="shared" si="115"/>
        <v>0.11081507795539768</v>
      </c>
      <c r="CH84" s="80">
        <f t="shared" si="115"/>
        <v>0.11421019242968915</v>
      </c>
      <c r="CI84" s="80">
        <f t="shared" si="115"/>
        <v>0.12752201761409127</v>
      </c>
      <c r="CJ84" s="80">
        <f t="shared" si="115"/>
        <v>0.13530002604069788</v>
      </c>
      <c r="CK84" s="80">
        <f t="shared" si="115"/>
        <v>0.13988831672574065</v>
      </c>
      <c r="CL84" s="80">
        <f t="shared" si="115"/>
        <v>0.1323282057555277</v>
      </c>
      <c r="CM84" s="80">
        <f t="shared" si="115"/>
        <v>0.13515005071296463</v>
      </c>
      <c r="CN84" s="80">
        <f t="shared" si="115"/>
        <v>0.12559105237633367</v>
      </c>
      <c r="CO84" s="80">
        <f t="shared" si="115"/>
        <v>0.125482825472466</v>
      </c>
      <c r="CP84" s="80">
        <f t="shared" si="115"/>
        <v>9.7546556310966592E-2</v>
      </c>
      <c r="CQ84" s="80">
        <f t="shared" si="115"/>
        <v>0.10152169278328536</v>
      </c>
      <c r="CR84" s="85">
        <v>0.112</v>
      </c>
      <c r="CS84" s="85">
        <v>0.114</v>
      </c>
      <c r="CT84" s="85">
        <v>0.115</v>
      </c>
      <c r="CU84" s="85">
        <v>0.11600000000000001</v>
      </c>
      <c r="CV84" s="85">
        <v>0.11700000000000001</v>
      </c>
      <c r="CW84" s="85">
        <v>0.11799999999999999</v>
      </c>
      <c r="CX84" s="85">
        <v>0.11899999999999999</v>
      </c>
      <c r="CY84" s="85">
        <v>0.12</v>
      </c>
      <c r="CZ84" s="85">
        <v>0.115</v>
      </c>
      <c r="DA84" s="85">
        <v>0.115</v>
      </c>
    </row>
    <row r="85" spans="2:116">
      <c r="B85" s="37" t="s">
        <v>268</v>
      </c>
      <c r="C85" s="80">
        <f t="shared" ref="C85:BN85" si="116">C73/C70</f>
        <v>9.3512002313699029E-3</v>
      </c>
      <c r="D85" s="80">
        <f t="shared" si="116"/>
        <v>1.002528901734104E-2</v>
      </c>
      <c r="E85" s="80">
        <f t="shared" si="116"/>
        <v>8.7303798644004834E-3</v>
      </c>
      <c r="F85" s="80">
        <f t="shared" si="116"/>
        <v>-4.4787644787644784E-2</v>
      </c>
      <c r="G85" s="80">
        <f t="shared" si="116"/>
        <v>-4.0630743929573375E-3</v>
      </c>
      <c r="H85" s="80">
        <f t="shared" si="116"/>
        <v>-6.4716312056737587E-3</v>
      </c>
      <c r="I85" s="80">
        <f t="shared" si="116"/>
        <v>-7.758088689059332E-3</v>
      </c>
      <c r="J85" s="80">
        <f t="shared" si="116"/>
        <v>7.1276846825584134E-2</v>
      </c>
      <c r="K85" s="80">
        <f t="shared" si="116"/>
        <v>-4.705439488048184E-3</v>
      </c>
      <c r="L85" s="80">
        <f t="shared" si="116"/>
        <v>1.4640907909555575E-2</v>
      </c>
      <c r="M85" s="80">
        <f t="shared" si="116"/>
        <v>1.9308523805594523E-2</v>
      </c>
      <c r="N85" s="80">
        <f t="shared" si="116"/>
        <v>-7.6979772336417986E-3</v>
      </c>
      <c r="O85" s="80">
        <f t="shared" si="116"/>
        <v>2.2314708226334898E-2</v>
      </c>
      <c r="P85" s="80">
        <f t="shared" si="116"/>
        <v>2.2061907558090763E-2</v>
      </c>
      <c r="Q85" s="80">
        <f t="shared" si="116"/>
        <v>1.1963939674783049E-2</v>
      </c>
      <c r="R85" s="80">
        <f t="shared" si="116"/>
        <v>-5.4549962806843544E-3</v>
      </c>
      <c r="S85" s="80">
        <f t="shared" si="116"/>
        <v>-7.046070460704607E-3</v>
      </c>
      <c r="T85" s="80">
        <f t="shared" si="116"/>
        <v>-6.4866760168302944E-3</v>
      </c>
      <c r="U85" s="80">
        <f t="shared" si="116"/>
        <v>-6.1690314620604569E-3</v>
      </c>
      <c r="V85" s="80">
        <f t="shared" si="116"/>
        <v>-8.3239399982658457E-3</v>
      </c>
      <c r="W85" s="80">
        <f t="shared" si="116"/>
        <v>-5.7276995305164322E-3</v>
      </c>
      <c r="X85" s="80">
        <f t="shared" si="116"/>
        <v>-7.5181319653281446E-3</v>
      </c>
      <c r="Y85" s="80">
        <f t="shared" si="116"/>
        <v>-1.0527262911642974E-2</v>
      </c>
      <c r="Z85" s="80">
        <f t="shared" si="116"/>
        <v>-9.5986038394415361E-3</v>
      </c>
      <c r="AA85" s="80">
        <f t="shared" si="116"/>
        <v>-9.1979032736623483E-3</v>
      </c>
      <c r="AB85" s="80">
        <f t="shared" si="116"/>
        <v>-6.355750236193421E-3</v>
      </c>
      <c r="AC85" s="80">
        <f t="shared" si="116"/>
        <v>-9.4433399602385677E-3</v>
      </c>
      <c r="AD85" s="80">
        <f t="shared" si="116"/>
        <v>4.815409309791332E-3</v>
      </c>
      <c r="AE85" s="80">
        <f t="shared" si="116"/>
        <v>-6.076388888888889E-3</v>
      </c>
      <c r="AF85" s="80">
        <f t="shared" si="116"/>
        <v>-1.252483372203507E-2</v>
      </c>
      <c r="AG85" s="80">
        <f t="shared" si="116"/>
        <v>-1.766080858800104E-2</v>
      </c>
      <c r="AH85" s="80">
        <f t="shared" si="116"/>
        <v>-5.4371465854719447E-3</v>
      </c>
      <c r="AI85" s="80">
        <f t="shared" si="116"/>
        <v>3.5676061362825543E-4</v>
      </c>
      <c r="AJ85" s="80">
        <f t="shared" si="116"/>
        <v>-4.7759293162461195E-3</v>
      </c>
      <c r="AK85" s="80">
        <f t="shared" si="116"/>
        <v>-6.239364719228588E-3</v>
      </c>
      <c r="AL85" s="80">
        <f t="shared" si="116"/>
        <v>-1.7336030049118753E-2</v>
      </c>
      <c r="AM85" s="80">
        <f t="shared" si="116"/>
        <v>-5.7584873227331324E-3</v>
      </c>
      <c r="AN85" s="80">
        <f t="shared" si="116"/>
        <v>-3.134796238244514E-3</v>
      </c>
      <c r="AO85" s="80">
        <f t="shared" si="116"/>
        <v>-2.9333705824835872E-3</v>
      </c>
      <c r="AP85" s="80">
        <f t="shared" si="116"/>
        <v>6.3146207757962666E-3</v>
      </c>
      <c r="AQ85" s="80">
        <f t="shared" si="116"/>
        <v>-6.626674107142857E-3</v>
      </c>
      <c r="AR85" s="80">
        <f t="shared" si="116"/>
        <v>-1.039717196922437E-3</v>
      </c>
      <c r="AS85" s="80">
        <f t="shared" si="116"/>
        <v>-2.768439786434645E-3</v>
      </c>
      <c r="AT85" s="80">
        <f t="shared" si="116"/>
        <v>-1.6374858294495528E-3</v>
      </c>
      <c r="AU85" s="80">
        <f t="shared" si="116"/>
        <v>-1.9807041083636828E-3</v>
      </c>
      <c r="AV85" s="80">
        <f t="shared" si="116"/>
        <v>7.8298397040690512E-3</v>
      </c>
      <c r="AW85" s="80">
        <f t="shared" si="116"/>
        <v>-6.6686874810548656E-4</v>
      </c>
      <c r="AX85" s="80">
        <f t="shared" si="116"/>
        <v>-4.4034758102395495E-3</v>
      </c>
      <c r="AY85" s="80">
        <f t="shared" si="116"/>
        <v>2.4603272235207283E-4</v>
      </c>
      <c r="AZ85" s="80">
        <f t="shared" si="116"/>
        <v>-2.4076575253978508E-3</v>
      </c>
      <c r="BA85" s="80">
        <f t="shared" si="116"/>
        <v>4.991265285749938E-4</v>
      </c>
      <c r="BB85" s="80">
        <f t="shared" si="116"/>
        <v>-1.8613570985391167E-3</v>
      </c>
      <c r="BC85" s="80">
        <f t="shared" si="116"/>
        <v>-1.6038492381716118E-3</v>
      </c>
      <c r="BD85" s="80">
        <f t="shared" si="116"/>
        <v>-4.5319176485821569E-4</v>
      </c>
      <c r="BE85" s="80">
        <f t="shared" si="116"/>
        <v>-2.3518060664535971E-3</v>
      </c>
      <c r="BF85" s="80">
        <f t="shared" si="116"/>
        <v>4.7390869359170132E-4</v>
      </c>
      <c r="BG85" s="80">
        <f t="shared" si="116"/>
        <v>5.9500198333994447E-4</v>
      </c>
      <c r="BH85" s="80">
        <f t="shared" si="116"/>
        <v>-2.6957407296471577E-3</v>
      </c>
      <c r="BI85" s="80">
        <f t="shared" si="116"/>
        <v>3.5549235691432633E-4</v>
      </c>
      <c r="BJ85" s="80">
        <f t="shared" si="116"/>
        <v>1.059658789869662E-4</v>
      </c>
      <c r="BK85" s="80">
        <f t="shared" si="116"/>
        <v>-2.0936318697295725E-3</v>
      </c>
      <c r="BL85" s="80">
        <f t="shared" si="116"/>
        <v>-9.9326785123054844E-4</v>
      </c>
      <c r="BM85" s="80">
        <f t="shared" si="116"/>
        <v>-1.3447146866230122E-3</v>
      </c>
      <c r="BN85" s="80">
        <f t="shared" si="116"/>
        <v>-3.2219954892063151E-4</v>
      </c>
      <c r="BO85" s="80">
        <f t="shared" ref="BO85:BR85" si="117">BO73/BO70</f>
        <v>-2.7278294271558205E-3</v>
      </c>
      <c r="BP85" s="80">
        <f t="shared" si="117"/>
        <v>-7.7113742770586614E-4</v>
      </c>
      <c r="BQ85" s="80">
        <f t="shared" si="117"/>
        <v>-2.1494975549465312E-3</v>
      </c>
      <c r="BR85" s="80">
        <f t="shared" si="117"/>
        <v>-4.4289158998080802E-4</v>
      </c>
      <c r="BS85" s="80">
        <f>BS73/BS70</f>
        <v>8.3236224404861E-4</v>
      </c>
      <c r="BT85" s="80">
        <f>BT73/BT70</f>
        <v>-1.6448188207147485E-3</v>
      </c>
      <c r="BU85" s="80">
        <f>BU73/BU70</f>
        <v>-3.3798464584037466E-4</v>
      </c>
      <c r="CA85" s="80">
        <f t="shared" ref="CA85:CQ85" si="118">CA73/CA70</f>
        <v>-5.0151594592746252E-3</v>
      </c>
      <c r="CB85" s="80">
        <f t="shared" si="118"/>
        <v>1.5392699962777255E-2</v>
      </c>
      <c r="CC85" s="80">
        <f t="shared" si="118"/>
        <v>5.5700122583281358E-3</v>
      </c>
      <c r="CD85" s="80">
        <f t="shared" si="118"/>
        <v>1.2525963291085584E-2</v>
      </c>
      <c r="CE85" s="80">
        <f t="shared" si="118"/>
        <v>-7.0108911327659952E-3</v>
      </c>
      <c r="CF85" s="80">
        <f t="shared" si="118"/>
        <v>-8.2361187603264413E-3</v>
      </c>
      <c r="CG85" s="80">
        <f t="shared" si="118"/>
        <v>-5.4272745214130648E-3</v>
      </c>
      <c r="CH85" s="80">
        <f t="shared" si="118"/>
        <v>-1.0298160287587227E-2</v>
      </c>
      <c r="CI85" s="80">
        <f t="shared" si="118"/>
        <v>-7.4659727782225779E-3</v>
      </c>
      <c r="CJ85" s="80">
        <f t="shared" si="118"/>
        <v>-1.1160299096015774E-3</v>
      </c>
      <c r="CK85" s="80">
        <f t="shared" si="118"/>
        <v>-2.9759914398448471E-3</v>
      </c>
      <c r="CL85" s="80">
        <f t="shared" si="118"/>
        <v>1.5290987491972232E-4</v>
      </c>
      <c r="CM85" s="80">
        <f t="shared" si="118"/>
        <v>-9.2476582542807704E-4</v>
      </c>
      <c r="CN85" s="80">
        <f t="shared" si="118"/>
        <v>-9.2446653734238606E-4</v>
      </c>
      <c r="CO85" s="80">
        <f t="shared" si="118"/>
        <v>-4.1437894954936288E-4</v>
      </c>
      <c r="CP85" s="80">
        <f t="shared" si="118"/>
        <v>-1.1683065185873343E-3</v>
      </c>
      <c r="CQ85" s="80">
        <f t="shared" si="118"/>
        <v>-1.4923782112781154E-3</v>
      </c>
      <c r="CR85" s="85">
        <v>-1.4923782112781154E-3</v>
      </c>
      <c r="CS85" s="85">
        <v>-1.4923782112781154E-3</v>
      </c>
      <c r="CT85" s="85">
        <v>-1.4923782112781154E-3</v>
      </c>
      <c r="CU85" s="85">
        <v>-1.4923782112781154E-3</v>
      </c>
      <c r="CV85" s="85">
        <v>-1.4923782112781154E-3</v>
      </c>
      <c r="CW85" s="85">
        <v>-1.4923782112781154E-3</v>
      </c>
      <c r="CX85" s="85">
        <v>-1.4923782112781154E-3</v>
      </c>
      <c r="CY85" s="85">
        <v>-1.4923782112781154E-3</v>
      </c>
      <c r="CZ85" s="85">
        <v>-1.4923782112781154E-3</v>
      </c>
      <c r="DA85" s="85">
        <v>-1.4923782112781154E-3</v>
      </c>
    </row>
    <row r="86" spans="2:116">
      <c r="B86" s="37" t="s">
        <v>57</v>
      </c>
      <c r="C86" s="80">
        <f t="shared" ref="C86:BN86" si="119">C74/C70</f>
        <v>0.10189916128410297</v>
      </c>
      <c r="D86" s="80">
        <f t="shared" si="119"/>
        <v>9.7362716763005785E-2</v>
      </c>
      <c r="E86" s="80">
        <f t="shared" si="119"/>
        <v>9.9191975480635269E-2</v>
      </c>
      <c r="F86" s="80">
        <f t="shared" si="119"/>
        <v>9.9871299871299876E-2</v>
      </c>
      <c r="G86" s="80">
        <f t="shared" si="119"/>
        <v>9.0741994776047205E-2</v>
      </c>
      <c r="H86" s="80">
        <f t="shared" si="119"/>
        <v>9.8847517730496451E-2</v>
      </c>
      <c r="I86" s="80">
        <f t="shared" si="119"/>
        <v>7.7316406594375386E-2</v>
      </c>
      <c r="J86" s="80">
        <f t="shared" si="119"/>
        <v>7.1906222956494376E-2</v>
      </c>
      <c r="K86" s="80">
        <f t="shared" si="119"/>
        <v>8.1309994353472609E-2</v>
      </c>
      <c r="L86" s="80">
        <f t="shared" si="119"/>
        <v>8.6026163042536602E-2</v>
      </c>
      <c r="M86" s="80">
        <f t="shared" si="119"/>
        <v>8.5898176417196132E-2</v>
      </c>
      <c r="N86" s="80">
        <f t="shared" si="119"/>
        <v>9.1884366554745717E-2</v>
      </c>
      <c r="O86" s="80">
        <f t="shared" si="119"/>
        <v>9.2446648366244583E-2</v>
      </c>
      <c r="P86" s="80">
        <f t="shared" si="119"/>
        <v>9.9991611441993117E-2</v>
      </c>
      <c r="Q86" s="80">
        <f t="shared" si="119"/>
        <v>9.5795770494565669E-2</v>
      </c>
      <c r="R86" s="80">
        <f t="shared" si="119"/>
        <v>8.7693197784940904E-2</v>
      </c>
      <c r="S86" s="80">
        <f t="shared" si="119"/>
        <v>0.1010840108401084</v>
      </c>
      <c r="T86" s="80">
        <f t="shared" si="119"/>
        <v>0.11377980364656382</v>
      </c>
      <c r="U86" s="80">
        <f t="shared" si="119"/>
        <v>0.11051379219176875</v>
      </c>
      <c r="V86" s="80">
        <f t="shared" si="119"/>
        <v>7.2314228734934538E-2</v>
      </c>
      <c r="W86" s="80">
        <f t="shared" si="119"/>
        <v>0.13446009389671362</v>
      </c>
      <c r="X86" s="80">
        <f t="shared" si="119"/>
        <v>0.12612771979479923</v>
      </c>
      <c r="Y86" s="80">
        <f t="shared" si="119"/>
        <v>0.12524743566672666</v>
      </c>
      <c r="Z86" s="80">
        <f t="shared" si="119"/>
        <v>0.11082024432809773</v>
      </c>
      <c r="AA86" s="80">
        <f t="shared" si="119"/>
        <v>0.13411136386114134</v>
      </c>
      <c r="AB86" s="80">
        <f t="shared" si="119"/>
        <v>0.12410890663918234</v>
      </c>
      <c r="AC86" s="80">
        <f t="shared" si="119"/>
        <v>0.11848906560636183</v>
      </c>
      <c r="AD86" s="80">
        <f t="shared" si="119"/>
        <v>8.2435221279523047E-2</v>
      </c>
      <c r="AE86" s="80">
        <f t="shared" si="119"/>
        <v>0.11168981481481481</v>
      </c>
      <c r="AF86" s="80">
        <f t="shared" si="119"/>
        <v>0.11876997495033255</v>
      </c>
      <c r="AG86" s="80">
        <f t="shared" si="119"/>
        <v>0.13747727469483162</v>
      </c>
      <c r="AH86" s="80">
        <f t="shared" si="119"/>
        <v>0.128099173553719</v>
      </c>
      <c r="AI86" s="80">
        <f t="shared" si="119"/>
        <v>0.12504459507670354</v>
      </c>
      <c r="AJ86" s="80">
        <f t="shared" si="119"/>
        <v>0.13659157844463901</v>
      </c>
      <c r="AK86" s="80">
        <f t="shared" si="119"/>
        <v>0.13588850174216027</v>
      </c>
      <c r="AL86" s="80">
        <f t="shared" si="119"/>
        <v>0.14078301069055185</v>
      </c>
      <c r="AM86" s="80">
        <f t="shared" si="119"/>
        <v>0.14825956166738288</v>
      </c>
      <c r="AN86" s="80">
        <f t="shared" si="119"/>
        <v>0.13397522018211674</v>
      </c>
      <c r="AO86" s="80">
        <f t="shared" si="119"/>
        <v>0.13710015365274481</v>
      </c>
      <c r="AP86" s="80">
        <f t="shared" si="119"/>
        <v>0.12844355006592187</v>
      </c>
      <c r="AQ86" s="80">
        <f t="shared" si="119"/>
        <v>0.15924944196428573</v>
      </c>
      <c r="AR86" s="80">
        <f t="shared" si="119"/>
        <v>0.1391834754280169</v>
      </c>
      <c r="AS86" s="80">
        <f t="shared" si="119"/>
        <v>0.138751565486784</v>
      </c>
      <c r="AT86" s="80">
        <f t="shared" si="119"/>
        <v>0.13534450182642649</v>
      </c>
      <c r="AU86" s="80">
        <f t="shared" si="119"/>
        <v>0.13558239090153984</v>
      </c>
      <c r="AV86" s="80">
        <f t="shared" si="119"/>
        <v>0.12860665844636252</v>
      </c>
      <c r="AW86" s="80">
        <f t="shared" si="119"/>
        <v>0.13016065474386176</v>
      </c>
      <c r="AX86" s="80">
        <f t="shared" si="119"/>
        <v>0.13439408172851103</v>
      </c>
      <c r="AY86" s="80">
        <f t="shared" si="119"/>
        <v>0.13421085004305572</v>
      </c>
      <c r="AZ86" s="80">
        <f t="shared" si="119"/>
        <v>0.12872159257736801</v>
      </c>
      <c r="BA86" s="80">
        <f t="shared" si="119"/>
        <v>0.14312453206887946</v>
      </c>
      <c r="BB86" s="80">
        <f t="shared" si="119"/>
        <v>0.13847368717919792</v>
      </c>
      <c r="BC86" s="80">
        <f t="shared" si="119"/>
        <v>0.12917669072440524</v>
      </c>
      <c r="BD86" s="80">
        <f t="shared" si="119"/>
        <v>0.12708791920238249</v>
      </c>
      <c r="BE86" s="80">
        <f t="shared" si="119"/>
        <v>0.13019357173008503</v>
      </c>
      <c r="BF86" s="80">
        <f t="shared" si="119"/>
        <v>0.12074140382286346</v>
      </c>
      <c r="BG86" s="80">
        <f t="shared" si="119"/>
        <v>0.13466878222927409</v>
      </c>
      <c r="BH86" s="80">
        <f t="shared" si="119"/>
        <v>0.12789792128437069</v>
      </c>
      <c r="BI86" s="80">
        <f t="shared" si="119"/>
        <v>0.12098589880317573</v>
      </c>
      <c r="BJ86" s="80">
        <f t="shared" si="119"/>
        <v>0.12148988025855674</v>
      </c>
      <c r="BK86" s="80">
        <f t="shared" si="119"/>
        <v>0.11799941843559174</v>
      </c>
      <c r="BL86" s="80">
        <f t="shared" si="119"/>
        <v>0.11852996358017878</v>
      </c>
      <c r="BM86" s="80">
        <f t="shared" si="119"/>
        <v>0.12511693171188026</v>
      </c>
      <c r="BN86" s="80">
        <f t="shared" si="119"/>
        <v>3.7375147674793253E-2</v>
      </c>
      <c r="BO86" s="80">
        <f t="shared" ref="BO86:BR86" si="120">BO74/BO70</f>
        <v>0.13204921226966543</v>
      </c>
      <c r="BP86" s="80">
        <f t="shared" si="120"/>
        <v>4.1200771137427705E-2</v>
      </c>
      <c r="BQ86" s="80">
        <f t="shared" si="120"/>
        <v>0.12252136063195228</v>
      </c>
      <c r="BR86" s="80">
        <f t="shared" si="120"/>
        <v>0.11470892180502928</v>
      </c>
      <c r="BS86" s="80">
        <f>BS74/BS70</f>
        <v>0.11447755396481882</v>
      </c>
      <c r="BT86" s="80">
        <f>BT74/BT70</f>
        <v>0.12356078353187459</v>
      </c>
      <c r="BU86" s="80">
        <f>BU74/BU70</f>
        <v>0.11795664139829076</v>
      </c>
      <c r="CA86" s="80">
        <f t="shared" ref="CA86:CQ86" si="121">CA74/CA70</f>
        <v>9.9550915266601314E-2</v>
      </c>
      <c r="CB86" s="80">
        <f t="shared" si="121"/>
        <v>8.4167195813535947E-2</v>
      </c>
      <c r="CC86" s="80">
        <f t="shared" si="121"/>
        <v>8.6453472117679953E-2</v>
      </c>
      <c r="CD86" s="80">
        <f t="shared" si="121"/>
        <v>9.397651646814463E-2</v>
      </c>
      <c r="CE86" s="80">
        <f t="shared" si="121"/>
        <v>9.9320957714184935E-2</v>
      </c>
      <c r="CF86" s="80">
        <f t="shared" si="121"/>
        <v>0.12546938366795174</v>
      </c>
      <c r="CG86" s="80">
        <f t="shared" si="121"/>
        <v>0.11624235247681074</v>
      </c>
      <c r="CH86" s="80">
        <f t="shared" si="121"/>
        <v>0.12450835271727638</v>
      </c>
      <c r="CI86" s="80">
        <f t="shared" si="121"/>
        <v>0.13498799039231385</v>
      </c>
      <c r="CJ86" s="80">
        <f t="shared" si="121"/>
        <v>0.13641605595029946</v>
      </c>
      <c r="CK86" s="80">
        <f t="shared" si="121"/>
        <v>0.14286430816558551</v>
      </c>
      <c r="CL86" s="80">
        <f t="shared" si="121"/>
        <v>0.13217529588060797</v>
      </c>
      <c r="CM86" s="80">
        <f t="shared" si="121"/>
        <v>0.13607481653839271</v>
      </c>
      <c r="CN86" s="80">
        <f t="shared" si="121"/>
        <v>0.12651551891367604</v>
      </c>
      <c r="CO86" s="80">
        <f t="shared" si="121"/>
        <v>0.12589720442201535</v>
      </c>
      <c r="CP86" s="80">
        <f t="shared" si="121"/>
        <v>9.8714862829553926E-2</v>
      </c>
      <c r="CQ86" s="80">
        <f t="shared" si="121"/>
        <v>0.10301407099456347</v>
      </c>
      <c r="CR86" s="85">
        <v>0.10301407099456347</v>
      </c>
      <c r="CS86" s="85">
        <v>0.10301407099456347</v>
      </c>
      <c r="CT86" s="85">
        <v>0.10301407099456347</v>
      </c>
      <c r="CU86" s="85">
        <v>0.10301407099456347</v>
      </c>
      <c r="CV86" s="85">
        <v>0.10301407099456347</v>
      </c>
      <c r="CW86" s="85">
        <v>0.10301407099456347</v>
      </c>
      <c r="CX86" s="85">
        <v>0.10301407099456347</v>
      </c>
      <c r="CY86" s="85">
        <v>0.10301407099456347</v>
      </c>
      <c r="CZ86" s="85">
        <v>0.10301407099456347</v>
      </c>
      <c r="DA86" s="85">
        <v>0.10301407099456347</v>
      </c>
    </row>
    <row r="87" spans="2:116">
      <c r="B87" s="37" t="s">
        <v>58</v>
      </c>
      <c r="C87" s="80">
        <f t="shared" ref="C87:BN87" si="122">C79/C78</f>
        <v>0.31901840490797545</v>
      </c>
      <c r="D87" s="80">
        <f t="shared" si="122"/>
        <v>0.30380952380952381</v>
      </c>
      <c r="E87" s="80">
        <f t="shared" si="122"/>
        <v>0.25</v>
      </c>
      <c r="F87" s="80">
        <f t="shared" si="122"/>
        <v>0.29113924050632911</v>
      </c>
      <c r="G87" s="80">
        <f t="shared" si="122"/>
        <v>0.40955631399317405</v>
      </c>
      <c r="H87" s="80">
        <f t="shared" si="122"/>
        <v>0.29306930693069305</v>
      </c>
      <c r="I87" s="80">
        <f t="shared" si="122"/>
        <v>0.32810615199034981</v>
      </c>
      <c r="J87" s="80">
        <f t="shared" si="122"/>
        <v>0.30217669654289375</v>
      </c>
      <c r="K87" s="80">
        <f t="shared" si="122"/>
        <v>0.3032581453634085</v>
      </c>
      <c r="L87" s="80">
        <f t="shared" si="122"/>
        <v>0.18518518518518517</v>
      </c>
      <c r="M87" s="80">
        <f t="shared" si="122"/>
        <v>0.29926238145416229</v>
      </c>
      <c r="N87" s="80">
        <f t="shared" si="122"/>
        <v>0.29296066252587993</v>
      </c>
      <c r="O87" s="80">
        <f t="shared" si="122"/>
        <v>0.29758149316508936</v>
      </c>
      <c r="P87" s="80">
        <f t="shared" si="122"/>
        <v>0.30080572963294538</v>
      </c>
      <c r="Q87" s="80">
        <f t="shared" si="122"/>
        <v>0.30497131931166349</v>
      </c>
      <c r="R87" s="80">
        <f t="shared" si="122"/>
        <v>0.40605427974947805</v>
      </c>
      <c r="S87" s="80">
        <f t="shared" si="122"/>
        <v>0.2575609756097561</v>
      </c>
      <c r="T87" s="80">
        <f t="shared" si="122"/>
        <v>0.2906688687035508</v>
      </c>
      <c r="U87" s="80">
        <f t="shared" si="122"/>
        <v>0.25575447570332482</v>
      </c>
      <c r="V87" s="80">
        <f t="shared" si="122"/>
        <v>0.34584450402144773</v>
      </c>
      <c r="W87" s="80">
        <f t="shared" si="122"/>
        <v>0.30786350148367952</v>
      </c>
      <c r="X87" s="80">
        <f t="shared" si="122"/>
        <v>0.33706189410887399</v>
      </c>
      <c r="Y87" s="80">
        <f t="shared" si="122"/>
        <v>0.32265446224256294</v>
      </c>
      <c r="Z87" s="80">
        <f t="shared" si="122"/>
        <v>0.19793205317577547</v>
      </c>
      <c r="AA87" s="80">
        <f t="shared" si="122"/>
        <v>0.30647709320695105</v>
      </c>
      <c r="AB87" s="80">
        <f t="shared" si="122"/>
        <v>0.308265078183172</v>
      </c>
      <c r="AC87" s="80">
        <f t="shared" si="122"/>
        <v>0.2056932966023875</v>
      </c>
      <c r="AD87" s="80">
        <f t="shared" si="122"/>
        <v>-0.55241264559068215</v>
      </c>
      <c r="AE87" s="80">
        <f t="shared" si="122"/>
        <v>0.1891348088531187</v>
      </c>
      <c r="AF87" s="80">
        <f t="shared" si="122"/>
        <v>0.25702479338842976</v>
      </c>
      <c r="AG87" s="80">
        <f t="shared" si="122"/>
        <v>-0.67834618079887876</v>
      </c>
      <c r="AH87" s="80">
        <f t="shared" si="122"/>
        <v>0.2350845948352627</v>
      </c>
      <c r="AI87" s="80">
        <f t="shared" si="122"/>
        <v>0.23768115942028986</v>
      </c>
      <c r="AJ87" s="80">
        <f t="shared" si="122"/>
        <v>0.28837555886736216</v>
      </c>
      <c r="AK87" s="80">
        <f t="shared" si="122"/>
        <v>0.25751734772552043</v>
      </c>
      <c r="AL87" s="80">
        <f t="shared" si="122"/>
        <v>1.5197201017811706</v>
      </c>
      <c r="AM87" s="80">
        <f t="shared" si="122"/>
        <v>0.14926470588235294</v>
      </c>
      <c r="AN87" s="80">
        <f t="shared" si="122"/>
        <v>0.18098591549295776</v>
      </c>
      <c r="AO87" s="80">
        <f t="shared" si="122"/>
        <v>6.4761904761904757E-2</v>
      </c>
      <c r="AP87" s="80">
        <f t="shared" si="122"/>
        <v>0.15509103169251517</v>
      </c>
      <c r="AQ87" s="80">
        <f t="shared" si="122"/>
        <v>0.12390745501285347</v>
      </c>
      <c r="AR87" s="80">
        <f t="shared" si="122"/>
        <v>0.15626856803327391</v>
      </c>
      <c r="AS87" s="80">
        <f t="shared" si="122"/>
        <v>9.7136440202133634E-2</v>
      </c>
      <c r="AT87" s="80">
        <f t="shared" si="122"/>
        <v>0.18231441048034935</v>
      </c>
      <c r="AU87" s="80">
        <f t="shared" si="122"/>
        <v>0.1541871921182266</v>
      </c>
      <c r="AV87" s="80">
        <f t="shared" si="122"/>
        <v>0.17125382262996941</v>
      </c>
      <c r="AW87" s="80">
        <f t="shared" si="122"/>
        <v>0.14737354085603113</v>
      </c>
      <c r="AX87" s="80">
        <f t="shared" si="122"/>
        <v>0.18061271147690902</v>
      </c>
      <c r="AY87" s="80">
        <f t="shared" si="122"/>
        <v>0.1691542288557214</v>
      </c>
      <c r="AZ87" s="80">
        <f t="shared" si="122"/>
        <v>0.15437788018433179</v>
      </c>
      <c r="BA87" s="80">
        <f t="shared" si="122"/>
        <v>9.5729013254786458E-2</v>
      </c>
      <c r="BB87" s="80">
        <f t="shared" si="122"/>
        <v>0.18514056224899597</v>
      </c>
      <c r="BC87" s="80">
        <f t="shared" si="122"/>
        <v>0.1591460456089277</v>
      </c>
      <c r="BD87" s="80">
        <f t="shared" si="122"/>
        <v>6.363636363636363E-2</v>
      </c>
      <c r="BE87" s="80">
        <f t="shared" si="122"/>
        <v>0.15292996665078609</v>
      </c>
      <c r="BF87" s="80">
        <f t="shared" si="122"/>
        <v>0.12694063926940638</v>
      </c>
      <c r="BG87" s="80">
        <f t="shared" si="122"/>
        <v>0.15295887662988966</v>
      </c>
      <c r="BH87" s="80">
        <f t="shared" si="122"/>
        <v>0.16201395812562314</v>
      </c>
      <c r="BI87" s="80">
        <f t="shared" si="122"/>
        <v>0.13773681515617001</v>
      </c>
      <c r="BJ87" s="80">
        <f t="shared" si="122"/>
        <v>0.13006993006993006</v>
      </c>
      <c r="BK87" s="80">
        <f t="shared" si="122"/>
        <v>0.15803814713896458</v>
      </c>
      <c r="BL87" s="80">
        <f t="shared" si="122"/>
        <v>0.15759753593429157</v>
      </c>
      <c r="BM87" s="80">
        <f t="shared" si="122"/>
        <v>0.14891468955073195</v>
      </c>
      <c r="BN87" s="80">
        <f t="shared" si="122"/>
        <v>-1.7543859649122806E-2</v>
      </c>
      <c r="BO87" s="80">
        <f t="shared" ref="BO87:BR87" si="123">BO79/BO78</f>
        <v>0.15913555992141454</v>
      </c>
      <c r="BP87" s="80">
        <f t="shared" si="123"/>
        <v>-0.17985611510791366</v>
      </c>
      <c r="BQ87" s="80">
        <f t="shared" si="123"/>
        <v>0.16460268317853458</v>
      </c>
      <c r="BR87" s="80">
        <f t="shared" si="123"/>
        <v>0.2201175702155454</v>
      </c>
      <c r="BS87" s="80">
        <f>BS79/BS78</f>
        <v>0.16121758737316799</v>
      </c>
      <c r="BT87" s="80">
        <f>BT79/BT78</f>
        <v>0.15702479338842976</v>
      </c>
      <c r="BU87" s="80">
        <f>BU79/BU78</f>
        <v>0.15055248618784531</v>
      </c>
      <c r="CA87" s="80">
        <f t="shared" ref="CA87:CQ87" si="124">CA79/CA78</f>
        <v>0.29053084648493543</v>
      </c>
      <c r="CB87" s="80">
        <f t="shared" si="124"/>
        <v>0.33266647613603889</v>
      </c>
      <c r="CC87" s="80">
        <f t="shared" si="124"/>
        <v>0.26962269347287249</v>
      </c>
      <c r="CD87" s="80">
        <f t="shared" si="124"/>
        <v>0.32588408644400785</v>
      </c>
      <c r="CE87" s="80">
        <f t="shared" si="124"/>
        <v>0.2825511432009627</v>
      </c>
      <c r="CF87" s="80">
        <f t="shared" si="124"/>
        <v>0.30446867650203124</v>
      </c>
      <c r="CG87" s="80">
        <f t="shared" si="124"/>
        <v>0.16143289137008607</v>
      </c>
      <c r="CH87" s="80">
        <f t="shared" si="124"/>
        <v>-4.3121581825830882E-2</v>
      </c>
      <c r="CI87" s="80">
        <f t="shared" si="124"/>
        <v>0.63972550514677851</v>
      </c>
      <c r="CJ87" s="80">
        <f t="shared" si="124"/>
        <v>0.13566289825282632</v>
      </c>
      <c r="CK87" s="80">
        <f t="shared" si="124"/>
        <v>0.13962159922662615</v>
      </c>
      <c r="CL87" s="80">
        <f t="shared" si="124"/>
        <v>0.16357012750455374</v>
      </c>
      <c r="CM87" s="80">
        <f t="shared" si="124"/>
        <v>0.16357615894039734</v>
      </c>
      <c r="CN87" s="80">
        <f t="shared" si="124"/>
        <v>0.14191616766467066</v>
      </c>
      <c r="CO87" s="80">
        <f t="shared" si="124"/>
        <v>0.14546801679427018</v>
      </c>
      <c r="CP87" s="80">
        <f t="shared" si="124"/>
        <v>0.14212218649517686</v>
      </c>
      <c r="CQ87" s="80">
        <f t="shared" si="124"/>
        <v>0.15281999324552517</v>
      </c>
      <c r="CR87" s="85">
        <v>0.16500000000000001</v>
      </c>
      <c r="CS87" s="85">
        <v>0.17</v>
      </c>
      <c r="CT87" s="85">
        <v>0.17499999999999999</v>
      </c>
      <c r="CU87" s="85">
        <v>0.18</v>
      </c>
      <c r="CV87" s="85">
        <v>0.185</v>
      </c>
      <c r="CW87" s="85">
        <v>0.19</v>
      </c>
      <c r="CX87" s="85">
        <v>0.19500000000000001</v>
      </c>
      <c r="CY87" s="85">
        <v>0.2</v>
      </c>
      <c r="CZ87" s="85">
        <v>0.2</v>
      </c>
      <c r="DA87" s="85">
        <v>0.2</v>
      </c>
    </row>
    <row r="88" spans="2:116">
      <c r="B88" s="37" t="s">
        <v>59</v>
      </c>
      <c r="C88" s="80">
        <f t="shared" ref="C88:BN88" si="125">C80/C70</f>
        <v>6.4205147980333555E-2</v>
      </c>
      <c r="D88" s="80">
        <f t="shared" si="125"/>
        <v>6.602239884393063E-2</v>
      </c>
      <c r="E88" s="80">
        <f t="shared" si="125"/>
        <v>7.3000835887433821E-2</v>
      </c>
      <c r="F88" s="80">
        <f t="shared" si="125"/>
        <v>6.7267267267267269E-2</v>
      </c>
      <c r="G88" s="80">
        <f t="shared" si="125"/>
        <v>5.0207990712972814E-2</v>
      </c>
      <c r="H88" s="80">
        <f t="shared" si="125"/>
        <v>6.3297872340425526E-2</v>
      </c>
      <c r="I88" s="80">
        <f t="shared" si="125"/>
        <v>4.9105174997796E-2</v>
      </c>
      <c r="J88" s="80">
        <f t="shared" si="125"/>
        <v>4.2876248918259773E-2</v>
      </c>
      <c r="K88" s="80">
        <f t="shared" si="125"/>
        <v>5.23244871070958E-2</v>
      </c>
      <c r="L88" s="80">
        <f t="shared" si="125"/>
        <v>6.4801178203240065E-2</v>
      </c>
      <c r="M88" s="80">
        <f t="shared" si="125"/>
        <v>5.4872514233847675E-2</v>
      </c>
      <c r="N88" s="80">
        <f t="shared" si="125"/>
        <v>5.5933175006142005E-2</v>
      </c>
      <c r="O88" s="80">
        <f t="shared" si="125"/>
        <v>5.9151686885681398E-2</v>
      </c>
      <c r="P88" s="80">
        <f t="shared" si="125"/>
        <v>6.5514638033721997E-2</v>
      </c>
      <c r="Q88" s="80">
        <f t="shared" si="125"/>
        <v>6.1252001011037158E-2</v>
      </c>
      <c r="R88" s="80">
        <f t="shared" si="125"/>
        <v>4.702868005620299E-2</v>
      </c>
      <c r="S88" s="80">
        <f t="shared" si="125"/>
        <v>6.8744354110207767E-2</v>
      </c>
      <c r="T88" s="80">
        <f t="shared" si="125"/>
        <v>7.5298036465638152E-2</v>
      </c>
      <c r="U88" s="80">
        <f t="shared" si="125"/>
        <v>7.6936635233982545E-2</v>
      </c>
      <c r="V88" s="80">
        <f t="shared" si="125"/>
        <v>4.2313361657851385E-2</v>
      </c>
      <c r="W88" s="80">
        <f t="shared" si="125"/>
        <v>8.7605633802816898E-2</v>
      </c>
      <c r="X88" s="80">
        <f t="shared" si="125"/>
        <v>7.8630815496196715E-2</v>
      </c>
      <c r="Y88" s="80">
        <f t="shared" si="125"/>
        <v>7.9899226201187695E-2</v>
      </c>
      <c r="Z88" s="80">
        <f t="shared" si="125"/>
        <v>7.8970331588132631E-2</v>
      </c>
      <c r="AA88" s="80">
        <f t="shared" si="125"/>
        <v>8.6836119078231633E-2</v>
      </c>
      <c r="AB88" s="80">
        <f t="shared" si="125"/>
        <v>7.9790432019239022E-2</v>
      </c>
      <c r="AC88" s="80">
        <f t="shared" si="125"/>
        <v>8.5984095427435389E-2</v>
      </c>
      <c r="AD88" s="80">
        <f t="shared" si="125"/>
        <v>0.10697087823893603</v>
      </c>
      <c r="AE88" s="80">
        <f t="shared" si="125"/>
        <v>7.7739197530864196E-2</v>
      </c>
      <c r="AF88" s="80">
        <f t="shared" si="125"/>
        <v>7.7653969076617438E-2</v>
      </c>
      <c r="AG88" s="80">
        <f t="shared" si="125"/>
        <v>0.20734135572677689</v>
      </c>
      <c r="AH88" s="80">
        <f t="shared" si="125"/>
        <v>6.2273452225605333E-2</v>
      </c>
      <c r="AI88" s="80">
        <f t="shared" si="125"/>
        <v>7.0371031038173382E-2</v>
      </c>
      <c r="AJ88" s="80">
        <f t="shared" si="125"/>
        <v>7.6016874950250737E-2</v>
      </c>
      <c r="AK88" s="80">
        <f t="shared" si="125"/>
        <v>7.8032574345677008E-2</v>
      </c>
      <c r="AL88" s="80">
        <f t="shared" si="125"/>
        <v>-5.9014735625541749E-2</v>
      </c>
      <c r="AM88" s="80">
        <f t="shared" si="125"/>
        <v>9.9441340782122911E-2</v>
      </c>
      <c r="AN88" s="80">
        <f t="shared" si="125"/>
        <v>8.6804000597104039E-2</v>
      </c>
      <c r="AO88" s="80">
        <f t="shared" si="125"/>
        <v>0.10287749685710294</v>
      </c>
      <c r="AP88" s="80">
        <f t="shared" si="125"/>
        <v>8.6947470682117833E-2</v>
      </c>
      <c r="AQ88" s="80">
        <f t="shared" si="125"/>
        <v>0.11886160714285714</v>
      </c>
      <c r="AR88" s="80">
        <f t="shared" si="125"/>
        <v>9.8426561308657373E-2</v>
      </c>
      <c r="AS88" s="80">
        <f t="shared" si="125"/>
        <v>0.10599169468064069</v>
      </c>
      <c r="AT88" s="80">
        <f t="shared" si="125"/>
        <v>9.4344375865978089E-2</v>
      </c>
      <c r="AU88" s="80">
        <f t="shared" si="125"/>
        <v>0.10970545013098204</v>
      </c>
      <c r="AV88" s="80">
        <f t="shared" si="125"/>
        <v>0.1002466091245376</v>
      </c>
      <c r="AW88" s="80">
        <f t="shared" si="125"/>
        <v>0.10627462867535617</v>
      </c>
      <c r="AX88" s="80">
        <f t="shared" si="125"/>
        <v>0.10521371535932363</v>
      </c>
      <c r="AY88" s="80">
        <f t="shared" si="125"/>
        <v>0.11299052774018944</v>
      </c>
      <c r="AZ88" s="80">
        <f t="shared" si="125"/>
        <v>0.10775735510012333</v>
      </c>
      <c r="BA88" s="80">
        <f t="shared" si="125"/>
        <v>3.8307961068130773E-2</v>
      </c>
      <c r="BB88" s="80">
        <f t="shared" si="125"/>
        <v>0.11444525917987478</v>
      </c>
      <c r="BC88" s="80">
        <f t="shared" si="125"/>
        <v>0.11581128040630848</v>
      </c>
      <c r="BD88" s="80">
        <f t="shared" si="125"/>
        <v>2.0005179334455524E-2</v>
      </c>
      <c r="BE88" s="80">
        <f t="shared" si="125"/>
        <v>0.10721823554242296</v>
      </c>
      <c r="BF88" s="80">
        <f t="shared" si="125"/>
        <v>0.10067926912748144</v>
      </c>
      <c r="BG88" s="80">
        <f t="shared" si="125"/>
        <v>0.11166203887346292</v>
      </c>
      <c r="BH88" s="80">
        <f t="shared" si="125"/>
        <v>0.10070089258970825</v>
      </c>
      <c r="BI88" s="80">
        <f t="shared" si="125"/>
        <v>9.977485484062093E-2</v>
      </c>
      <c r="BJ88" s="80">
        <f t="shared" si="125"/>
        <v>9.8866165094839462E-2</v>
      </c>
      <c r="BK88" s="80">
        <f t="shared" si="125"/>
        <v>8.9851701075894158E-2</v>
      </c>
      <c r="BL88" s="80">
        <f t="shared" si="125"/>
        <v>9.0552919103851673E-2</v>
      </c>
      <c r="BM88" s="80">
        <f t="shared" si="125"/>
        <v>9.857343311506081E-2</v>
      </c>
      <c r="BN88" s="80">
        <f t="shared" si="125"/>
        <v>2.4916765116528836E-2</v>
      </c>
      <c r="BO88" s="80">
        <f t="shared" ref="BO88:BR88" si="126">BO80/BO70</f>
        <v>9.5307019985525807E-2</v>
      </c>
      <c r="BP88" s="80">
        <f t="shared" si="126"/>
        <v>2.7099972459377581E-2</v>
      </c>
      <c r="BQ88" s="80">
        <f t="shared" si="126"/>
        <v>8.7000913536460847E-2</v>
      </c>
      <c r="BR88" s="80">
        <f t="shared" si="126"/>
        <v>5.8756950937453867E-2</v>
      </c>
      <c r="BS88" s="80">
        <f>BS80/BS70</f>
        <v>8.2570334609622112E-2</v>
      </c>
      <c r="BT88" s="80">
        <f>BT80/BT70</f>
        <v>9.1511738025220557E-2</v>
      </c>
      <c r="BU88" s="80">
        <f>BU80/BU70</f>
        <v>8.90830959393559E-2</v>
      </c>
      <c r="CA88" s="80">
        <f t="shared" ref="CA88:CQ88" si="127">CA80/CA70</f>
        <v>6.7636264162126425E-2</v>
      </c>
      <c r="CB88" s="80">
        <f t="shared" si="127"/>
        <v>5.1126535438243088E-2</v>
      </c>
      <c r="CC88" s="80">
        <f t="shared" si="127"/>
        <v>5.7033484591066476E-2</v>
      </c>
      <c r="CD88" s="80">
        <f t="shared" si="127"/>
        <v>5.8178966555042178E-2</v>
      </c>
      <c r="CE88" s="80">
        <f t="shared" si="127"/>
        <v>6.5721592662815825E-2</v>
      </c>
      <c r="CF88" s="80">
        <f t="shared" si="127"/>
        <v>8.1434937165172985E-2</v>
      </c>
      <c r="CG88" s="80">
        <f t="shared" si="127"/>
        <v>8.893329386224591E-2</v>
      </c>
      <c r="CH88" s="80">
        <f t="shared" si="127"/>
        <v>0.10486360752801861</v>
      </c>
      <c r="CI88" s="80">
        <f t="shared" si="127"/>
        <v>3.7830264211369098E-2</v>
      </c>
      <c r="CJ88" s="80">
        <f t="shared" si="127"/>
        <v>9.3858115397492656E-2</v>
      </c>
      <c r="CK88" s="80">
        <f t="shared" si="127"/>
        <v>0.10415970039456965</v>
      </c>
      <c r="CL88" s="80">
        <f t="shared" si="127"/>
        <v>0.10532432184470474</v>
      </c>
      <c r="CM88" s="80">
        <f t="shared" si="127"/>
        <v>9.4191873993198491E-2</v>
      </c>
      <c r="CN88" s="80">
        <f t="shared" si="127"/>
        <v>8.6869544131910767E-2</v>
      </c>
      <c r="CO88" s="80">
        <f t="shared" si="127"/>
        <v>0.1024107975314854</v>
      </c>
      <c r="CP88" s="80">
        <f t="shared" si="127"/>
        <v>7.5109440761229121E-2</v>
      </c>
      <c r="CQ88" s="80">
        <f t="shared" si="127"/>
        <v>6.6850548981984864E-2</v>
      </c>
      <c r="CR88" s="85">
        <v>6.6850548981984864E-2</v>
      </c>
      <c r="CS88" s="85">
        <v>6.6850548981984864E-2</v>
      </c>
      <c r="CT88" s="85">
        <v>6.6850548981984864E-2</v>
      </c>
      <c r="CU88" s="85">
        <v>6.6850548981984864E-2</v>
      </c>
      <c r="CV88" s="85">
        <v>6.6850548981984864E-2</v>
      </c>
      <c r="CW88" s="85">
        <v>6.6850548981984864E-2</v>
      </c>
      <c r="CX88" s="85">
        <v>6.6850548981984864E-2</v>
      </c>
      <c r="CY88" s="85">
        <v>6.6850548981984864E-2</v>
      </c>
      <c r="CZ88" s="85">
        <v>6.6850548981984864E-2</v>
      </c>
      <c r="DA88" s="85">
        <v>6.6850548981984864E-2</v>
      </c>
    </row>
    <row r="90" spans="2:116" ht="15">
      <c r="B90" s="1" t="s">
        <v>60</v>
      </c>
      <c r="BF90" s="1">
        <v>2547</v>
      </c>
      <c r="BG90" s="1">
        <v>2440</v>
      </c>
      <c r="BH90" s="1">
        <v>3673</v>
      </c>
      <c r="BI90" s="1">
        <v>3551</v>
      </c>
      <c r="BJ90" s="1">
        <v>1442</v>
      </c>
      <c r="BK90" s="1">
        <v>2790</v>
      </c>
      <c r="BL90" s="1">
        <v>2523</v>
      </c>
      <c r="BM90" s="1">
        <v>3151</v>
      </c>
      <c r="BN90" s="1">
        <v>2483</v>
      </c>
      <c r="BO90" s="1">
        <v>1803</v>
      </c>
      <c r="BP90" s="1">
        <v>1293</v>
      </c>
      <c r="BQ90" s="1">
        <v>3470</v>
      </c>
      <c r="BR90" s="1">
        <v>4121</v>
      </c>
      <c r="BS90" s="1">
        <v>1894</v>
      </c>
      <c r="BT90" s="1">
        <v>3791</v>
      </c>
      <c r="BU90" s="1">
        <v>5960</v>
      </c>
      <c r="CN90" s="1">
        <f t="shared" ref="CN90:CN100" si="128">BF90</f>
        <v>2547</v>
      </c>
      <c r="CO90" s="1">
        <f t="shared" ref="CO90:CO100" si="129">BJ90</f>
        <v>1442</v>
      </c>
      <c r="CP90" s="1">
        <f t="shared" ref="CP90:CP100" si="130">BN90</f>
        <v>2483</v>
      </c>
      <c r="CQ90" s="1">
        <f t="shared" ref="CQ90:CQ100" si="131">BO90</f>
        <v>1803</v>
      </c>
      <c r="CR90" s="65">
        <f>CR80+CQ90</f>
        <v>7837.3894248828274</v>
      </c>
      <c r="CS90" s="65">
        <f t="shared" ref="CS90:DA90" si="132">CS80+CR90</f>
        <v>15090.515344949483</v>
      </c>
      <c r="CT90" s="65">
        <f t="shared" si="132"/>
        <v>23592.514086892435</v>
      </c>
      <c r="CU90" s="65">
        <f t="shared" si="132"/>
        <v>33227.675460986989</v>
      </c>
      <c r="CV90" s="65">
        <f t="shared" si="132"/>
        <v>43937.834309162041</v>
      </c>
      <c r="CW90" s="65">
        <f t="shared" si="132"/>
        <v>55736.600608710003</v>
      </c>
      <c r="CX90" s="65">
        <f t="shared" si="132"/>
        <v>68591.655114976078</v>
      </c>
      <c r="CY90" s="65">
        <f t="shared" si="132"/>
        <v>82504.589005906702</v>
      </c>
      <c r="CZ90" s="65">
        <f t="shared" si="132"/>
        <v>97016.677325085402</v>
      </c>
      <c r="DA90" s="65">
        <f t="shared" si="132"/>
        <v>112551.18562517574</v>
      </c>
      <c r="DC90" s="71" t="s">
        <v>103</v>
      </c>
      <c r="DF90" s="46" t="s">
        <v>127</v>
      </c>
      <c r="DG90" s="47"/>
      <c r="DH90" s="72" t="s">
        <v>102</v>
      </c>
      <c r="DI90" s="47"/>
      <c r="DJ90" s="48" t="s">
        <v>104</v>
      </c>
      <c r="DK90" s="58">
        <v>7.3499999999999996E-2</v>
      </c>
      <c r="DL90" s="47"/>
    </row>
    <row r="91" spans="2:116">
      <c r="B91" s="1" t="s">
        <v>219</v>
      </c>
      <c r="BF91" s="1">
        <v>2505</v>
      </c>
      <c r="BG91" s="1">
        <v>2583</v>
      </c>
      <c r="BH91" s="1">
        <v>3427</v>
      </c>
      <c r="BI91" s="1">
        <v>2405</v>
      </c>
      <c r="BJ91" s="1">
        <v>2132</v>
      </c>
      <c r="BK91" s="1">
        <v>2257</v>
      </c>
      <c r="BL91" s="1">
        <v>2930</v>
      </c>
      <c r="BM91" s="1">
        <v>2141</v>
      </c>
      <c r="BN91" s="1">
        <v>2351</v>
      </c>
      <c r="BO91" s="1">
        <v>2024</v>
      </c>
      <c r="BP91" s="1">
        <v>3306</v>
      </c>
      <c r="BQ91" s="1">
        <v>3844</v>
      </c>
      <c r="BR91" s="1">
        <v>3901</v>
      </c>
      <c r="BS91" s="1">
        <v>2322</v>
      </c>
      <c r="BT91" s="1">
        <v>3356</v>
      </c>
      <c r="BU91" s="1">
        <v>3096</v>
      </c>
      <c r="CN91" s="1">
        <f t="shared" si="128"/>
        <v>2505</v>
      </c>
      <c r="CO91" s="1">
        <f t="shared" si="129"/>
        <v>2132</v>
      </c>
      <c r="CP91" s="1">
        <f t="shared" si="130"/>
        <v>2351</v>
      </c>
      <c r="CQ91" s="1">
        <f t="shared" si="131"/>
        <v>2024</v>
      </c>
      <c r="DC91" s="47">
        <v>2024</v>
      </c>
      <c r="DD91" s="47">
        <v>2025</v>
      </c>
      <c r="DF91" s="46" t="s">
        <v>126</v>
      </c>
      <c r="DG91" s="47"/>
      <c r="DH91" s="47">
        <v>2025</v>
      </c>
      <c r="DI91" s="47"/>
      <c r="DJ91" s="48" t="s">
        <v>105</v>
      </c>
      <c r="DK91" s="70">
        <v>5.0000000000000001E-3</v>
      </c>
      <c r="DL91" s="47"/>
    </row>
    <row r="92" spans="2:116" ht="15.75" customHeight="1">
      <c r="B92" s="1" t="s">
        <v>220</v>
      </c>
      <c r="BF92" s="1">
        <v>12318</v>
      </c>
      <c r="BG92" s="1">
        <v>13189</v>
      </c>
      <c r="BH92" s="1">
        <v>13008</v>
      </c>
      <c r="BI92" s="1">
        <v>13605</v>
      </c>
      <c r="BJ92" s="1">
        <v>13183</v>
      </c>
      <c r="BK92" s="1">
        <v>14050</v>
      </c>
      <c r="BL92" s="1">
        <v>13907</v>
      </c>
      <c r="BM92" s="1">
        <v>14224</v>
      </c>
      <c r="BN92" s="1">
        <v>12957</v>
      </c>
      <c r="BO92" s="1">
        <v>14677</v>
      </c>
      <c r="BP92" s="1">
        <v>14896</v>
      </c>
      <c r="BQ92" s="1">
        <v>13949</v>
      </c>
      <c r="BR92" s="1">
        <v>13001</v>
      </c>
      <c r="BS92" s="1">
        <v>15885</v>
      </c>
      <c r="BT92" s="1">
        <v>16038</v>
      </c>
      <c r="BU92" s="1">
        <v>16899</v>
      </c>
      <c r="CN92" s="1">
        <f t="shared" si="128"/>
        <v>12318</v>
      </c>
      <c r="CO92" s="1">
        <f t="shared" si="129"/>
        <v>13183</v>
      </c>
      <c r="CP92" s="1">
        <f t="shared" si="130"/>
        <v>12957</v>
      </c>
      <c r="CQ92" s="1">
        <f t="shared" si="131"/>
        <v>14677</v>
      </c>
      <c r="CV92" s="46"/>
      <c r="CW92" s="47"/>
      <c r="CX92" s="46"/>
      <c r="CY92" s="47"/>
      <c r="CZ92" s="48"/>
      <c r="DA92" s="49"/>
      <c r="DB92" s="47"/>
      <c r="DC92" s="35">
        <f>SUM(CP90:CP94)-SUM(CP102)+CP95+CP97+CP96</f>
        <v>41435</v>
      </c>
      <c r="DD92" s="35">
        <f>SUM(CQ90:CQ94)-SUM(CQ102)+CQ95+CQ97+CQ96</f>
        <v>40721</v>
      </c>
      <c r="DF92" s="35">
        <f>AVERAGE(DC92:DD92)</f>
        <v>41078</v>
      </c>
      <c r="DG92" s="47"/>
      <c r="DH92" s="65">
        <f>CR74*(1-CR87)</f>
        <v>7668.8159198828271</v>
      </c>
      <c r="DI92" s="47"/>
      <c r="DJ92" s="48" t="s">
        <v>106</v>
      </c>
      <c r="DK92" s="70">
        <f>DF101</f>
        <v>5.1700000000000003E-2</v>
      </c>
      <c r="DL92" s="47"/>
    </row>
    <row r="93" spans="2:116" ht="13.5" customHeight="1">
      <c r="B93" s="1" t="s">
        <v>221</v>
      </c>
      <c r="BF93" s="1">
        <v>3088</v>
      </c>
      <c r="BG93" s="1">
        <v>3471</v>
      </c>
      <c r="BH93" s="1">
        <v>3498</v>
      </c>
      <c r="BI93" s="1">
        <v>3312</v>
      </c>
      <c r="BJ93" s="1">
        <v>3132</v>
      </c>
      <c r="BK93" s="1">
        <v>3278</v>
      </c>
      <c r="BL93" s="1">
        <v>3097</v>
      </c>
      <c r="BM93" s="1">
        <v>3234</v>
      </c>
      <c r="BN93" s="1">
        <v>3474</v>
      </c>
      <c r="BO93" s="1">
        <v>3599</v>
      </c>
      <c r="BP93" s="1">
        <v>3699</v>
      </c>
      <c r="BQ93" s="1">
        <v>3749</v>
      </c>
      <c r="BR93" s="1">
        <v>3524</v>
      </c>
      <c r="BS93" s="1">
        <v>4251</v>
      </c>
      <c r="BT93" s="1">
        <v>4411</v>
      </c>
      <c r="BU93" s="1">
        <v>3987</v>
      </c>
      <c r="CN93" s="1">
        <f t="shared" si="128"/>
        <v>3088</v>
      </c>
      <c r="CO93" s="1">
        <f t="shared" si="129"/>
        <v>3132</v>
      </c>
      <c r="CP93" s="1">
        <f t="shared" si="130"/>
        <v>3474</v>
      </c>
      <c r="CQ93" s="1">
        <f t="shared" si="131"/>
        <v>3599</v>
      </c>
      <c r="DD93" s="47"/>
      <c r="DE93" s="47"/>
      <c r="DF93" s="47"/>
      <c r="DG93" s="47"/>
      <c r="DH93" s="58">
        <f>DH92/DF92</f>
        <v>0.18668912605002258</v>
      </c>
      <c r="DI93" s="47"/>
      <c r="DJ93" s="48" t="s">
        <v>107</v>
      </c>
      <c r="DK93" s="70">
        <f>13.75%-DK92</f>
        <v>8.5800000000000015E-2</v>
      </c>
      <c r="DL93" s="47"/>
    </row>
    <row r="94" spans="2:116" ht="13.5" customHeight="1">
      <c r="B94" s="1" t="s">
        <v>222</v>
      </c>
      <c r="BF94" s="1">
        <v>533</v>
      </c>
      <c r="BG94" s="1">
        <v>461</v>
      </c>
      <c r="BH94" s="1">
        <v>481</v>
      </c>
      <c r="BI94" s="1">
        <v>449</v>
      </c>
      <c r="BJ94" s="1">
        <v>632</v>
      </c>
      <c r="BK94" s="1">
        <v>583</v>
      </c>
      <c r="BL94" s="1">
        <v>510</v>
      </c>
      <c r="BM94" s="1">
        <v>461</v>
      </c>
      <c r="BN94" s="1">
        <v>584</v>
      </c>
      <c r="BO94" s="1">
        <v>698</v>
      </c>
      <c r="BP94" s="1">
        <v>794</v>
      </c>
      <c r="BQ94" s="1">
        <v>924</v>
      </c>
      <c r="BR94" s="1">
        <v>815</v>
      </c>
      <c r="BS94" s="1">
        <v>728</v>
      </c>
      <c r="BT94" s="1">
        <v>805</v>
      </c>
      <c r="BU94" s="1">
        <v>1059</v>
      </c>
      <c r="CN94" s="1">
        <f t="shared" si="128"/>
        <v>533</v>
      </c>
      <c r="CO94" s="1">
        <f t="shared" si="129"/>
        <v>632</v>
      </c>
      <c r="CP94" s="1">
        <f t="shared" si="130"/>
        <v>584</v>
      </c>
      <c r="CQ94" s="1">
        <f t="shared" si="131"/>
        <v>698</v>
      </c>
      <c r="DC94" s="51" t="s">
        <v>116</v>
      </c>
      <c r="DD94" s="47"/>
      <c r="DE94" s="47"/>
      <c r="DG94" s="47"/>
      <c r="DH94" s="47"/>
      <c r="DI94" s="47"/>
      <c r="DJ94" s="48" t="s">
        <v>108</v>
      </c>
      <c r="DK94" s="66">
        <f>'Notes | Quant Analysis'!S240</f>
        <v>0.25722987518253254</v>
      </c>
      <c r="DL94" s="47"/>
    </row>
    <row r="95" spans="2:116" ht="13.5" customHeight="1">
      <c r="B95" s="1" t="s">
        <v>223</v>
      </c>
      <c r="BF95" s="1">
        <v>7975</v>
      </c>
      <c r="BG95" s="1">
        <v>7938</v>
      </c>
      <c r="BH95" s="1">
        <v>7966</v>
      </c>
      <c r="BI95" s="1">
        <v>8046</v>
      </c>
      <c r="BJ95" s="1">
        <v>8370</v>
      </c>
      <c r="BK95" s="1">
        <v>8354</v>
      </c>
      <c r="BL95" s="1">
        <v>8394</v>
      </c>
      <c r="BM95" s="1">
        <v>8454</v>
      </c>
      <c r="BN95" s="1">
        <v>8726</v>
      </c>
      <c r="BO95" s="1">
        <v>8713</v>
      </c>
      <c r="BP95" s="1">
        <v>8670</v>
      </c>
      <c r="BQ95" s="1">
        <v>8722</v>
      </c>
      <c r="BR95" s="1">
        <v>11292</v>
      </c>
      <c r="BS95" s="1">
        <v>11283</v>
      </c>
      <c r="BT95" s="1">
        <v>11390</v>
      </c>
      <c r="BU95" s="1">
        <v>11524</v>
      </c>
      <c r="CN95" s="1">
        <f t="shared" si="128"/>
        <v>7975</v>
      </c>
      <c r="CO95" s="1">
        <f t="shared" si="129"/>
        <v>8370</v>
      </c>
      <c r="CP95" s="1">
        <f t="shared" si="130"/>
        <v>8726</v>
      </c>
      <c r="CQ95" s="1">
        <f t="shared" si="131"/>
        <v>8713</v>
      </c>
      <c r="DC95" s="59" t="s">
        <v>117</v>
      </c>
      <c r="DF95" s="50">
        <f>Main!C5</f>
        <v>134925.48000000001</v>
      </c>
      <c r="DG95" s="47"/>
      <c r="DI95" s="47"/>
      <c r="DJ95" s="48" t="s">
        <v>109</v>
      </c>
      <c r="DK95" s="70">
        <f>+DK92+(DK93*DK94)</f>
        <v>7.3770323290661299E-2</v>
      </c>
      <c r="DL95" s="47"/>
    </row>
    <row r="96" spans="2:116" ht="13.5" customHeight="1">
      <c r="B96" s="1" t="s">
        <v>224</v>
      </c>
      <c r="BF96" s="1">
        <v>10780</v>
      </c>
      <c r="BG96" s="1">
        <v>10776</v>
      </c>
      <c r="BH96" s="1">
        <v>10795</v>
      </c>
      <c r="BI96" s="1">
        <v>10782</v>
      </c>
      <c r="BJ96" s="1">
        <v>10799</v>
      </c>
      <c r="BK96" s="1">
        <v>10789</v>
      </c>
      <c r="BL96" s="1">
        <v>10787</v>
      </c>
      <c r="BM96" s="1">
        <v>10800</v>
      </c>
      <c r="BN96" s="1">
        <v>11067</v>
      </c>
      <c r="BO96" s="1">
        <v>11076</v>
      </c>
      <c r="BP96" s="1">
        <v>11309</v>
      </c>
      <c r="BQ96" s="1">
        <v>11313</v>
      </c>
      <c r="BR96" s="1">
        <v>11314</v>
      </c>
      <c r="BS96" s="1">
        <v>11306</v>
      </c>
      <c r="BT96" s="1">
        <v>11298</v>
      </c>
      <c r="BU96" s="1">
        <v>11299</v>
      </c>
      <c r="CN96" s="1">
        <f t="shared" si="128"/>
        <v>10780</v>
      </c>
      <c r="CO96" s="1">
        <f t="shared" si="129"/>
        <v>10799</v>
      </c>
      <c r="CP96" s="1">
        <f t="shared" si="130"/>
        <v>11067</v>
      </c>
      <c r="CQ96" s="1">
        <f t="shared" si="131"/>
        <v>11076</v>
      </c>
      <c r="DC96" s="59" t="s">
        <v>118</v>
      </c>
      <c r="DF96" s="58">
        <f>Main!C7/(Main!C7+DF95)</f>
        <v>0.13188483490396688</v>
      </c>
      <c r="DG96" s="51"/>
      <c r="DI96" s="47"/>
      <c r="DJ96" s="48"/>
      <c r="DK96" s="47"/>
      <c r="DL96" s="47"/>
    </row>
    <row r="97" spans="2:157" ht="13.5" customHeight="1">
      <c r="B97" s="1" t="s">
        <v>225</v>
      </c>
      <c r="BF97" s="1">
        <v>2459</v>
      </c>
      <c r="BG97" s="1">
        <v>2397</v>
      </c>
      <c r="BH97" s="1">
        <v>2336</v>
      </c>
      <c r="BI97" s="1">
        <v>2274</v>
      </c>
      <c r="BJ97" s="1">
        <v>2212</v>
      </c>
      <c r="BK97" s="1">
        <v>2151</v>
      </c>
      <c r="BL97" s="1">
        <v>2040</v>
      </c>
      <c r="BM97" s="1">
        <v>1979</v>
      </c>
      <c r="BN97" s="1">
        <v>2015</v>
      </c>
      <c r="BO97" s="1">
        <v>1952</v>
      </c>
      <c r="BP97" s="1">
        <v>2013</v>
      </c>
      <c r="BQ97" s="1">
        <v>1943</v>
      </c>
      <c r="BR97" s="1">
        <v>1887</v>
      </c>
      <c r="BS97" s="1">
        <v>1837</v>
      </c>
      <c r="BT97" s="1">
        <v>1787</v>
      </c>
      <c r="BU97" s="1">
        <v>1737</v>
      </c>
      <c r="CN97" s="1">
        <f t="shared" si="128"/>
        <v>2459</v>
      </c>
      <c r="CO97" s="1">
        <f t="shared" si="129"/>
        <v>2212</v>
      </c>
      <c r="CP97" s="1">
        <f t="shared" si="130"/>
        <v>2015</v>
      </c>
      <c r="CQ97" s="1">
        <f t="shared" si="131"/>
        <v>1952</v>
      </c>
      <c r="DC97" s="59" t="s">
        <v>119</v>
      </c>
      <c r="DF97" s="58">
        <f>DF95/(DF95+Main!C7)</f>
        <v>0.86811516509603315</v>
      </c>
      <c r="DG97" s="47"/>
      <c r="DI97" s="47"/>
      <c r="DJ97" s="48" t="s">
        <v>110</v>
      </c>
      <c r="DK97" s="65">
        <f>NPV(DK95,CR80:EZ80)</f>
        <v>179527.32065470747</v>
      </c>
      <c r="DL97" s="47"/>
    </row>
    <row r="98" spans="2:157" ht="13.5" customHeight="1">
      <c r="B98" s="1" t="s">
        <v>226</v>
      </c>
      <c r="BF98" s="1">
        <v>3744</v>
      </c>
      <c r="BG98" s="1">
        <v>4175</v>
      </c>
      <c r="BH98" s="1">
        <v>4518</v>
      </c>
      <c r="BI98" s="1">
        <v>4873</v>
      </c>
      <c r="BJ98" s="1">
        <v>2953</v>
      </c>
      <c r="BK98" s="1">
        <v>3024</v>
      </c>
      <c r="BL98" s="1">
        <v>3080</v>
      </c>
      <c r="BM98" s="1">
        <v>3105</v>
      </c>
      <c r="BN98" s="1">
        <v>3557</v>
      </c>
      <c r="BO98" s="1">
        <v>3568</v>
      </c>
      <c r="BP98" s="1">
        <v>4070</v>
      </c>
      <c r="BQ98" s="1">
        <v>3413</v>
      </c>
      <c r="BR98" s="1">
        <v>2975</v>
      </c>
      <c r="BS98" s="1">
        <v>2802</v>
      </c>
      <c r="BT98" s="1">
        <v>2414</v>
      </c>
      <c r="BU98" s="1">
        <v>1819</v>
      </c>
      <c r="CN98" s="1">
        <f t="shared" si="128"/>
        <v>3744</v>
      </c>
      <c r="CO98" s="1">
        <f t="shared" si="129"/>
        <v>2953</v>
      </c>
      <c r="CP98" s="1">
        <f t="shared" si="130"/>
        <v>3557</v>
      </c>
      <c r="CQ98" s="1">
        <f t="shared" si="131"/>
        <v>3568</v>
      </c>
      <c r="DC98" s="60" t="s">
        <v>135</v>
      </c>
      <c r="DD98" s="34"/>
      <c r="DE98" s="34"/>
      <c r="DF98" s="61">
        <f>CQ107/CQ111</f>
        <v>2.7923088433338319</v>
      </c>
      <c r="DG98" s="47"/>
      <c r="DH98" s="47"/>
      <c r="DI98" s="47"/>
      <c r="DJ98" s="48" t="s">
        <v>71</v>
      </c>
      <c r="DK98" s="65">
        <f>Main!C4</f>
        <v>230.5</v>
      </c>
      <c r="DL98" s="62"/>
    </row>
    <row r="99" spans="2:157" ht="13.5" customHeight="1">
      <c r="B99" s="1" t="s">
        <v>227</v>
      </c>
      <c r="BF99" s="1">
        <v>6931</v>
      </c>
      <c r="BG99" s="1">
        <v>7192</v>
      </c>
      <c r="BH99" s="1">
        <v>7276</v>
      </c>
      <c r="BI99" s="1">
        <v>7369</v>
      </c>
      <c r="BJ99" s="1">
        <v>7601</v>
      </c>
      <c r="BK99" s="1">
        <v>7687</v>
      </c>
      <c r="BL99" s="1">
        <v>7808</v>
      </c>
      <c r="BM99" s="1">
        <v>7971</v>
      </c>
      <c r="BN99" s="1">
        <v>8403</v>
      </c>
      <c r="BO99" s="1">
        <v>8559</v>
      </c>
      <c r="BP99" s="1">
        <v>8820</v>
      </c>
      <c r="BQ99" s="1">
        <v>8949</v>
      </c>
      <c r="BR99" s="1">
        <v>7010</v>
      </c>
      <c r="BS99" s="1">
        <v>6930</v>
      </c>
      <c r="BT99" s="1">
        <v>7160</v>
      </c>
      <c r="BU99" s="1">
        <v>7130</v>
      </c>
      <c r="CN99" s="1">
        <f t="shared" si="128"/>
        <v>6931</v>
      </c>
      <c r="CO99" s="1">
        <f t="shared" si="129"/>
        <v>7601</v>
      </c>
      <c r="CP99" s="1">
        <f t="shared" si="130"/>
        <v>8403</v>
      </c>
      <c r="CQ99" s="1">
        <f t="shared" si="131"/>
        <v>8559</v>
      </c>
      <c r="DG99" s="47"/>
      <c r="DH99" s="47"/>
      <c r="DI99" s="47"/>
      <c r="DJ99" s="48" t="s">
        <v>111</v>
      </c>
      <c r="DK99" s="66">
        <f>DK97/DK98</f>
        <v>778.86039329591097</v>
      </c>
      <c r="DL99" s="46"/>
    </row>
    <row r="100" spans="2:157" s="2" customFormat="1" ht="13.5" customHeight="1">
      <c r="B100" s="2" t="s">
        <v>128</v>
      </c>
      <c r="BF100" s="2">
        <f t="shared" ref="BF100:BQ100" si="133">SUM(BF90:BF99)</f>
        <v>52880</v>
      </c>
      <c r="BG100" s="2">
        <f t="shared" si="133"/>
        <v>54622</v>
      </c>
      <c r="BH100" s="2">
        <f t="shared" si="133"/>
        <v>56978</v>
      </c>
      <c r="BI100" s="2">
        <f t="shared" si="133"/>
        <v>56666</v>
      </c>
      <c r="BJ100" s="2">
        <f t="shared" si="133"/>
        <v>52456</v>
      </c>
      <c r="BK100" s="2">
        <f t="shared" si="133"/>
        <v>54963</v>
      </c>
      <c r="BL100" s="2">
        <f t="shared" si="133"/>
        <v>55076</v>
      </c>
      <c r="BM100" s="2">
        <f t="shared" si="133"/>
        <v>55520</v>
      </c>
      <c r="BN100" s="2">
        <f t="shared" si="133"/>
        <v>55617</v>
      </c>
      <c r="BO100" s="2">
        <f t="shared" si="133"/>
        <v>56669</v>
      </c>
      <c r="BP100" s="2">
        <f t="shared" si="133"/>
        <v>58870</v>
      </c>
      <c r="BQ100" s="2">
        <f t="shared" si="133"/>
        <v>60276</v>
      </c>
      <c r="BR100" s="2">
        <f>SUM(BR90:BR99)</f>
        <v>59840</v>
      </c>
      <c r="BS100" s="2">
        <f>SUM(BS90:BS99)</f>
        <v>59238</v>
      </c>
      <c r="BT100" s="2">
        <f>SUM(BT90:BT99)</f>
        <v>62450</v>
      </c>
      <c r="BU100" s="2">
        <f>SUM(BU90:BU99)</f>
        <v>64510</v>
      </c>
      <c r="BV100" s="34"/>
      <c r="CN100" s="2">
        <f t="shared" si="128"/>
        <v>52880</v>
      </c>
      <c r="CO100" s="2">
        <f t="shared" si="129"/>
        <v>52456</v>
      </c>
      <c r="CP100" s="2">
        <f t="shared" si="130"/>
        <v>55617</v>
      </c>
      <c r="CQ100" s="2">
        <f t="shared" si="131"/>
        <v>56669</v>
      </c>
      <c r="CR100" s="34"/>
      <c r="DC100" s="34" t="s">
        <v>115</v>
      </c>
      <c r="DD100" s="35"/>
      <c r="DE100" s="35"/>
      <c r="DF100" s="47"/>
      <c r="DG100" s="51"/>
      <c r="DH100" s="51"/>
      <c r="DI100" s="51"/>
      <c r="DJ100" s="48" t="s">
        <v>112</v>
      </c>
      <c r="DK100" s="66">
        <f>Main!C3</f>
        <v>585.36</v>
      </c>
      <c r="DL100" s="53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</row>
    <row r="101" spans="2:157" ht="13.5" customHeight="1">
      <c r="DC101" s="63" t="s">
        <v>106</v>
      </c>
      <c r="DF101" s="58">
        <v>5.1700000000000003E-2</v>
      </c>
      <c r="DG101" s="47"/>
      <c r="DH101" s="47"/>
      <c r="DI101" s="47"/>
      <c r="DJ101" s="48" t="s">
        <v>113</v>
      </c>
      <c r="DK101" s="70">
        <f>DK99/DK100-1</f>
        <v>0.33056647754528989</v>
      </c>
      <c r="DL101" s="56" t="str">
        <f>IF(DK101&gt;0,"Upside","Downside")</f>
        <v>Upside</v>
      </c>
    </row>
    <row r="102" spans="2:157" ht="13.5" customHeight="1">
      <c r="B102" s="1" t="s">
        <v>228</v>
      </c>
      <c r="BF102" s="1">
        <v>2117</v>
      </c>
      <c r="BG102" s="1">
        <v>3271</v>
      </c>
      <c r="BH102" s="1">
        <v>3466</v>
      </c>
      <c r="BI102" s="1">
        <v>3817</v>
      </c>
      <c r="BJ102" s="1">
        <v>2312</v>
      </c>
      <c r="BK102" s="1">
        <v>3523</v>
      </c>
      <c r="BL102" s="1">
        <v>3282</v>
      </c>
      <c r="BM102" s="1">
        <v>3221</v>
      </c>
      <c r="BN102" s="1">
        <v>2222</v>
      </c>
      <c r="BO102" s="1">
        <v>3821</v>
      </c>
      <c r="BP102" s="1">
        <v>3653</v>
      </c>
      <c r="BQ102" s="1">
        <v>3834</v>
      </c>
      <c r="BR102" s="1">
        <v>3630</v>
      </c>
      <c r="BS102" s="1">
        <v>4707</v>
      </c>
      <c r="BT102" s="1">
        <v>4915</v>
      </c>
      <c r="BU102" s="1">
        <v>5005</v>
      </c>
      <c r="CN102" s="1">
        <f t="shared" ref="CN102:CN112" si="134">BF102</f>
        <v>2117</v>
      </c>
      <c r="CO102" s="1">
        <f t="shared" ref="CO102:CO112" si="135">BJ102</f>
        <v>2312</v>
      </c>
      <c r="CP102" s="1">
        <f t="shared" ref="CP102:CP112" si="136">BN102</f>
        <v>2222</v>
      </c>
      <c r="CQ102" s="1">
        <f t="shared" ref="CQ102:CQ112" si="137">BO102</f>
        <v>3821</v>
      </c>
      <c r="DC102" s="63" t="s">
        <v>108</v>
      </c>
      <c r="DF102" s="52">
        <f>'Notes | Quant Analysis'!S240</f>
        <v>0.25722987518253254</v>
      </c>
      <c r="DJ102" s="91" t="str" cm="1">
        <f t="array" ref="DJ102">_xlfn.IFS(DK101&gt;=25%,"Strong Buy",DK101&gt;=10.00001%,"Buy",AND(DK101&lt;=10%,DK101&gt;=-4.9999%),"Hold",AND(DK101&lt;=-5%,DK101&gt;=-14.999999%),"Sell",DK101&lt;=-15%,"Strong Sell")</f>
        <v>Strong Buy</v>
      </c>
      <c r="DK102" s="91"/>
    </row>
    <row r="103" spans="2:157" ht="13.5" customHeight="1">
      <c r="B103" s="1" t="s">
        <v>229</v>
      </c>
      <c r="BF103" s="1">
        <v>3075</v>
      </c>
      <c r="BG103" s="1">
        <v>2634</v>
      </c>
      <c r="BH103" s="1">
        <v>2896</v>
      </c>
      <c r="BI103" s="1">
        <v>3139</v>
      </c>
      <c r="BJ103" s="1">
        <v>3133</v>
      </c>
      <c r="BK103" s="1">
        <v>2679</v>
      </c>
      <c r="BL103" s="1">
        <v>2871</v>
      </c>
      <c r="BM103" s="1">
        <v>3076</v>
      </c>
      <c r="BN103" s="1">
        <v>3125</v>
      </c>
      <c r="BO103" s="1">
        <v>2391</v>
      </c>
      <c r="BP103" s="1">
        <v>2761</v>
      </c>
      <c r="BQ103" s="1">
        <v>3065</v>
      </c>
      <c r="BR103" s="1">
        <v>3184</v>
      </c>
      <c r="BS103" s="1">
        <v>2676</v>
      </c>
      <c r="BT103" s="1">
        <v>3003</v>
      </c>
      <c r="BU103" s="1">
        <v>3349</v>
      </c>
      <c r="CN103" s="1">
        <f t="shared" si="134"/>
        <v>3075</v>
      </c>
      <c r="CO103" s="1">
        <f t="shared" si="135"/>
        <v>3133</v>
      </c>
      <c r="CP103" s="1">
        <f t="shared" si="136"/>
        <v>3125</v>
      </c>
      <c r="CQ103" s="1">
        <f t="shared" si="137"/>
        <v>2391</v>
      </c>
      <c r="DC103" s="59" t="s">
        <v>120</v>
      </c>
      <c r="DF103" s="58">
        <v>0.18</v>
      </c>
    </row>
    <row r="104" spans="2:157" ht="13.5" customHeight="1">
      <c r="B104" s="1" t="s">
        <v>230</v>
      </c>
      <c r="BF104" s="1">
        <v>8488</v>
      </c>
      <c r="BG104" s="1">
        <v>8336</v>
      </c>
      <c r="BH104" s="1">
        <v>8184</v>
      </c>
      <c r="BI104" s="1">
        <v>7936</v>
      </c>
      <c r="BJ104" s="1">
        <v>9190</v>
      </c>
      <c r="BK104" s="1">
        <v>8745</v>
      </c>
      <c r="BL104" s="1">
        <v>9181</v>
      </c>
      <c r="BM104" s="1">
        <v>9051</v>
      </c>
      <c r="BN104" s="1">
        <v>9795</v>
      </c>
      <c r="BO104" s="1">
        <v>9375</v>
      </c>
      <c r="BP104" s="1">
        <v>9861</v>
      </c>
      <c r="BQ104" s="1">
        <v>10259</v>
      </c>
      <c r="BR104" s="1">
        <v>11440</v>
      </c>
      <c r="BS104" s="1">
        <v>10735</v>
      </c>
      <c r="BT104" s="1">
        <v>12151</v>
      </c>
      <c r="BU104" s="1">
        <v>12644</v>
      </c>
      <c r="CN104" s="1">
        <f t="shared" si="134"/>
        <v>8488</v>
      </c>
      <c r="CO104" s="1">
        <f t="shared" si="135"/>
        <v>9190</v>
      </c>
      <c r="CP104" s="1">
        <f t="shared" si="136"/>
        <v>9795</v>
      </c>
      <c r="CQ104" s="1">
        <f t="shared" si="137"/>
        <v>9375</v>
      </c>
      <c r="DC104" s="60" t="s">
        <v>121</v>
      </c>
      <c r="DD104" s="47"/>
      <c r="DE104" s="2"/>
      <c r="DF104" s="61">
        <f>(DF101+DF102)*(DF103-DF101)</f>
        <v>3.9635702985918925E-2</v>
      </c>
    </row>
    <row r="105" spans="2:157" ht="13.5" customHeight="1">
      <c r="B105" s="1" t="s">
        <v>232</v>
      </c>
      <c r="BF105" s="1">
        <v>118</v>
      </c>
      <c r="BG105" s="1">
        <v>115</v>
      </c>
      <c r="BH105" s="1">
        <v>283</v>
      </c>
      <c r="BI105" s="1">
        <v>168</v>
      </c>
      <c r="BJ105" s="1">
        <v>168</v>
      </c>
      <c r="BK105" s="1">
        <v>168</v>
      </c>
      <c r="BL105" s="1">
        <v>142</v>
      </c>
      <c r="BM105" s="1">
        <v>142</v>
      </c>
      <c r="BN105" s="1">
        <v>643</v>
      </c>
      <c r="BO105" s="1">
        <v>1643</v>
      </c>
      <c r="BP105" s="1">
        <v>3118</v>
      </c>
      <c r="BQ105" s="1">
        <v>1669</v>
      </c>
      <c r="BR105" s="1">
        <v>1168</v>
      </c>
      <c r="BS105" s="1">
        <v>168</v>
      </c>
      <c r="BT105" s="1">
        <v>0</v>
      </c>
      <c r="BU105" s="1">
        <v>0</v>
      </c>
      <c r="CN105" s="1">
        <f t="shared" si="134"/>
        <v>118</v>
      </c>
      <c r="CO105" s="1">
        <f t="shared" si="135"/>
        <v>168</v>
      </c>
      <c r="CP105" s="1">
        <f t="shared" si="136"/>
        <v>643</v>
      </c>
      <c r="CQ105" s="1">
        <f t="shared" si="137"/>
        <v>1643</v>
      </c>
      <c r="DC105" s="65"/>
    </row>
    <row r="106" spans="2:157" ht="13.5" customHeight="1">
      <c r="B106" s="1" t="s">
        <v>231</v>
      </c>
      <c r="BF106" s="1">
        <v>2089</v>
      </c>
      <c r="BG106" s="1">
        <v>2626</v>
      </c>
      <c r="BH106" s="1">
        <v>2875</v>
      </c>
      <c r="BI106" s="1">
        <v>2133</v>
      </c>
      <c r="BJ106" s="1">
        <v>2134</v>
      </c>
      <c r="BK106" s="1">
        <v>2584</v>
      </c>
      <c r="BL106" s="1">
        <v>3017</v>
      </c>
      <c r="BM106" s="1">
        <v>2320</v>
      </c>
      <c r="BN106" s="1">
        <v>3635</v>
      </c>
      <c r="BO106" s="1">
        <v>3957</v>
      </c>
      <c r="BP106" s="1">
        <v>4961</v>
      </c>
      <c r="BQ106" s="1">
        <v>4147</v>
      </c>
      <c r="BR106" s="1">
        <v>3913</v>
      </c>
      <c r="BS106" s="1">
        <v>3804</v>
      </c>
      <c r="BT106" s="1">
        <v>3740</v>
      </c>
      <c r="BU106" s="1">
        <v>3542</v>
      </c>
      <c r="CN106" s="1">
        <f t="shared" si="134"/>
        <v>2089</v>
      </c>
      <c r="CO106" s="1">
        <f t="shared" si="135"/>
        <v>2134</v>
      </c>
      <c r="CP106" s="1">
        <f t="shared" si="136"/>
        <v>3635</v>
      </c>
      <c r="CQ106" s="1">
        <f t="shared" si="137"/>
        <v>3957</v>
      </c>
      <c r="DC106" s="34" t="s">
        <v>122</v>
      </c>
      <c r="DD106" s="66"/>
      <c r="DF106" s="57"/>
    </row>
    <row r="107" spans="2:157" ht="13.5" customHeight="1">
      <c r="B107" s="1" t="s">
        <v>233</v>
      </c>
      <c r="BF107" s="1">
        <v>15429</v>
      </c>
      <c r="BG107" s="1">
        <v>15485</v>
      </c>
      <c r="BH107" s="1">
        <v>17262</v>
      </c>
      <c r="BI107" s="1">
        <v>17221</v>
      </c>
      <c r="BJ107" s="1">
        <v>17291</v>
      </c>
      <c r="BK107" s="1">
        <v>19250</v>
      </c>
      <c r="BL107" s="1">
        <v>19115</v>
      </c>
      <c r="BM107" s="1">
        <v>19179</v>
      </c>
      <c r="BN107" s="1">
        <v>19627</v>
      </c>
      <c r="BO107" s="1">
        <v>18661</v>
      </c>
      <c r="BP107" s="1">
        <v>18520</v>
      </c>
      <c r="BQ107" s="1">
        <v>20520</v>
      </c>
      <c r="BR107" s="1">
        <v>20532</v>
      </c>
      <c r="BS107" s="1">
        <v>20529</v>
      </c>
      <c r="BT107" s="1">
        <v>20538</v>
      </c>
      <c r="BU107" s="1">
        <v>20498</v>
      </c>
      <c r="CN107" s="79">
        <f t="shared" si="134"/>
        <v>15429</v>
      </c>
      <c r="CO107" s="79">
        <f t="shared" si="135"/>
        <v>17291</v>
      </c>
      <c r="CP107" s="79">
        <f t="shared" si="136"/>
        <v>19627</v>
      </c>
      <c r="CQ107" s="79">
        <f t="shared" si="137"/>
        <v>18661</v>
      </c>
      <c r="CR107" s="65">
        <f>CQ107+CR75</f>
        <v>17401.3825</v>
      </c>
      <c r="CS107" s="65">
        <f t="shared" ref="CS107:DA107" si="138">CR107+CS75</f>
        <v>16226.78918125</v>
      </c>
      <c r="CT107" s="65">
        <f t="shared" si="138"/>
        <v>15131.480911515626</v>
      </c>
      <c r="CU107" s="65">
        <f t="shared" si="138"/>
        <v>14110.105949988321</v>
      </c>
      <c r="CV107" s="65">
        <f t="shared" si="138"/>
        <v>13157.673798364109</v>
      </c>
      <c r="CW107" s="65">
        <f t="shared" si="138"/>
        <v>12269.530816974531</v>
      </c>
      <c r="CX107" s="65">
        <f t="shared" si="138"/>
        <v>11441.33748682875</v>
      </c>
      <c r="CY107" s="65">
        <f t="shared" si="138"/>
        <v>10669.047206467809</v>
      </c>
      <c r="CZ107" s="65">
        <f t="shared" si="138"/>
        <v>9948.8865200312321</v>
      </c>
      <c r="DA107" s="65">
        <f t="shared" si="138"/>
        <v>9277.3366799291234</v>
      </c>
      <c r="DC107" s="67" t="s">
        <v>122</v>
      </c>
      <c r="DF107" s="68">
        <v>6.7500000000000004E-2</v>
      </c>
      <c r="DH107" s="64"/>
      <c r="DJ107" s="48"/>
    </row>
    <row r="108" spans="2:157" ht="13.5" customHeight="1">
      <c r="B108" s="1" t="s">
        <v>234</v>
      </c>
      <c r="BF108" s="1">
        <v>5472</v>
      </c>
      <c r="BG108" s="1">
        <v>5422</v>
      </c>
      <c r="BH108" s="1">
        <v>5373</v>
      </c>
      <c r="BI108" s="1">
        <v>5323</v>
      </c>
      <c r="BJ108" s="1">
        <v>6162</v>
      </c>
      <c r="BK108" s="1">
        <v>6133</v>
      </c>
      <c r="BL108" s="1">
        <v>6105</v>
      </c>
      <c r="BM108" s="1">
        <v>6077</v>
      </c>
      <c r="BN108" s="1">
        <v>4791</v>
      </c>
      <c r="BO108" s="1">
        <v>4815</v>
      </c>
      <c r="BP108" s="1">
        <v>4838</v>
      </c>
      <c r="BQ108" s="1">
        <v>4861</v>
      </c>
      <c r="BR108" s="1">
        <v>3915</v>
      </c>
      <c r="BS108" s="1">
        <v>3923</v>
      </c>
      <c r="BT108" s="1">
        <v>3931</v>
      </c>
      <c r="BU108" s="1">
        <v>3938</v>
      </c>
      <c r="CN108" s="1">
        <f t="shared" si="134"/>
        <v>5472</v>
      </c>
      <c r="CO108" s="1">
        <f t="shared" si="135"/>
        <v>6162</v>
      </c>
      <c r="CP108" s="1">
        <f t="shared" si="136"/>
        <v>4791</v>
      </c>
      <c r="CQ108" s="1">
        <f t="shared" si="137"/>
        <v>4815</v>
      </c>
      <c r="DC108" s="59" t="s">
        <v>123</v>
      </c>
      <c r="DF108" s="58">
        <v>0.23</v>
      </c>
      <c r="DH108" s="64"/>
      <c r="DI108" s="58"/>
      <c r="DJ108" s="48"/>
      <c r="DK108" s="2"/>
      <c r="DL108" s="2"/>
    </row>
    <row r="109" spans="2:157" ht="13.5" customHeight="1">
      <c r="B109" s="1" t="s">
        <v>235</v>
      </c>
      <c r="BF109" s="1">
        <v>6826</v>
      </c>
      <c r="BG109" s="1">
        <v>7087</v>
      </c>
      <c r="BH109" s="1">
        <v>7399</v>
      </c>
      <c r="BI109" s="1">
        <v>7655</v>
      </c>
      <c r="BJ109" s="1">
        <v>5231</v>
      </c>
      <c r="BK109" s="1">
        <v>5231</v>
      </c>
      <c r="BL109" s="1">
        <v>5188</v>
      </c>
      <c r="BM109" s="1">
        <v>5254</v>
      </c>
      <c r="BN109" s="1">
        <v>5446</v>
      </c>
      <c r="BO109" s="1">
        <v>5323</v>
      </c>
      <c r="BP109" s="1">
        <v>5824</v>
      </c>
      <c r="BQ109" s="1">
        <v>5740</v>
      </c>
      <c r="BR109" s="1">
        <v>5337</v>
      </c>
      <c r="BS109" s="1">
        <v>5207</v>
      </c>
      <c r="BT109" s="1">
        <v>5404</v>
      </c>
      <c r="BU109" s="1">
        <v>5471</v>
      </c>
      <c r="CN109" s="1">
        <f t="shared" si="134"/>
        <v>6826</v>
      </c>
      <c r="CO109" s="1">
        <f t="shared" si="135"/>
        <v>5231</v>
      </c>
      <c r="CP109" s="1">
        <f t="shared" si="136"/>
        <v>5446</v>
      </c>
      <c r="CQ109" s="1">
        <f t="shared" si="137"/>
        <v>5323</v>
      </c>
      <c r="DC109" s="69" t="s">
        <v>124</v>
      </c>
      <c r="DF109" s="61">
        <f>DF107*(1-DF108)</f>
        <v>5.1975000000000007E-2</v>
      </c>
      <c r="DJ109" s="48"/>
    </row>
    <row r="110" spans="2:157" s="2" customFormat="1" ht="15">
      <c r="B110" s="2" t="s">
        <v>129</v>
      </c>
      <c r="BF110" s="2">
        <f t="shared" ref="BF110:BQ110" si="139">SUM(BF102:BF109)</f>
        <v>43614</v>
      </c>
      <c r="BG110" s="2">
        <f t="shared" si="139"/>
        <v>44976</v>
      </c>
      <c r="BH110" s="2">
        <f t="shared" si="139"/>
        <v>47738</v>
      </c>
      <c r="BI110" s="2">
        <f t="shared" si="139"/>
        <v>47392</v>
      </c>
      <c r="BJ110" s="2">
        <f t="shared" si="139"/>
        <v>45621</v>
      </c>
      <c r="BK110" s="2">
        <f t="shared" si="139"/>
        <v>48313</v>
      </c>
      <c r="BL110" s="2">
        <f t="shared" si="139"/>
        <v>48901</v>
      </c>
      <c r="BM110" s="2">
        <f t="shared" si="139"/>
        <v>48320</v>
      </c>
      <c r="BN110" s="2">
        <f t="shared" si="139"/>
        <v>49284</v>
      </c>
      <c r="BO110" s="2">
        <f t="shared" si="139"/>
        <v>49986</v>
      </c>
      <c r="BP110" s="2">
        <f t="shared" si="139"/>
        <v>53536</v>
      </c>
      <c r="BQ110" s="2">
        <f t="shared" si="139"/>
        <v>54095</v>
      </c>
      <c r="BR110" s="2">
        <f>SUM(BR102:BR109)</f>
        <v>53119</v>
      </c>
      <c r="BS110" s="2">
        <f>SUM(BS102:BS109)</f>
        <v>51749</v>
      </c>
      <c r="BT110" s="2">
        <f>SUM(BT102:BT109)</f>
        <v>53682</v>
      </c>
      <c r="BU110" s="2">
        <f>SUM(BU102:BU109)</f>
        <v>54447</v>
      </c>
      <c r="BV110" s="34"/>
      <c r="CN110" s="2">
        <f t="shared" si="134"/>
        <v>43614</v>
      </c>
      <c r="CO110" s="2">
        <f t="shared" si="135"/>
        <v>45621</v>
      </c>
      <c r="CP110" s="2">
        <f t="shared" si="136"/>
        <v>49284</v>
      </c>
      <c r="CQ110" s="2">
        <f t="shared" si="137"/>
        <v>49986</v>
      </c>
      <c r="CR110" s="34"/>
      <c r="DC110" s="35"/>
      <c r="DD110" s="35"/>
      <c r="DE110" s="35"/>
      <c r="DF110" s="35"/>
      <c r="DG110" s="35"/>
      <c r="DH110" s="35"/>
      <c r="DI110" s="35"/>
      <c r="DJ110" s="48"/>
      <c r="DK110" s="35"/>
      <c r="DL110" s="35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</row>
    <row r="111" spans="2:157" ht="15">
      <c r="B111" s="1" t="s">
        <v>130</v>
      </c>
      <c r="BF111" s="1">
        <v>9266</v>
      </c>
      <c r="BG111" s="1">
        <v>9646</v>
      </c>
      <c r="BH111" s="1">
        <v>9240</v>
      </c>
      <c r="BI111" s="1">
        <v>9274</v>
      </c>
      <c r="BJ111" s="1">
        <v>6835</v>
      </c>
      <c r="BK111" s="1">
        <v>6650</v>
      </c>
      <c r="BL111" s="1">
        <v>6175</v>
      </c>
      <c r="BM111" s="1">
        <v>7200</v>
      </c>
      <c r="BN111" s="1">
        <v>6333</v>
      </c>
      <c r="BO111" s="1">
        <v>6683</v>
      </c>
      <c r="BP111" s="1">
        <v>5334</v>
      </c>
      <c r="BQ111" s="1">
        <v>6181</v>
      </c>
      <c r="BR111" s="1">
        <v>6721</v>
      </c>
      <c r="BS111" s="1">
        <v>7489</v>
      </c>
      <c r="BT111" s="1">
        <v>8768</v>
      </c>
      <c r="BU111" s="1">
        <v>10063</v>
      </c>
      <c r="CN111" s="1">
        <f t="shared" si="134"/>
        <v>9266</v>
      </c>
      <c r="CO111" s="1">
        <f t="shared" si="135"/>
        <v>6835</v>
      </c>
      <c r="CP111" s="1">
        <f t="shared" si="136"/>
        <v>6333</v>
      </c>
      <c r="CQ111" s="1">
        <f t="shared" si="137"/>
        <v>6683</v>
      </c>
      <c r="DC111" s="34" t="s">
        <v>125</v>
      </c>
      <c r="DF111" s="61">
        <f>(DF97*DF104)+(DF96*DF109*(1-DF108))</f>
        <v>3.9686484847801275E-2</v>
      </c>
    </row>
    <row r="112" spans="2:157" s="2" customFormat="1" ht="15">
      <c r="B112" s="2" t="s">
        <v>131</v>
      </c>
      <c r="BF112" s="2">
        <f t="shared" ref="BF112:BQ112" si="140">BF110+BF111</f>
        <v>52880</v>
      </c>
      <c r="BG112" s="2">
        <f t="shared" si="140"/>
        <v>54622</v>
      </c>
      <c r="BH112" s="2">
        <f t="shared" si="140"/>
        <v>56978</v>
      </c>
      <c r="BI112" s="2">
        <f t="shared" si="140"/>
        <v>56666</v>
      </c>
      <c r="BJ112" s="2">
        <f t="shared" si="140"/>
        <v>52456</v>
      </c>
      <c r="BK112" s="2">
        <f t="shared" si="140"/>
        <v>54963</v>
      </c>
      <c r="BL112" s="2">
        <f t="shared" si="140"/>
        <v>55076</v>
      </c>
      <c r="BM112" s="2">
        <f t="shared" si="140"/>
        <v>55520</v>
      </c>
      <c r="BN112" s="2">
        <f t="shared" si="140"/>
        <v>55617</v>
      </c>
      <c r="BO112" s="2">
        <f t="shared" si="140"/>
        <v>56669</v>
      </c>
      <c r="BP112" s="2">
        <f t="shared" si="140"/>
        <v>58870</v>
      </c>
      <c r="BQ112" s="2">
        <f t="shared" si="140"/>
        <v>60276</v>
      </c>
      <c r="BR112" s="2">
        <f>BR110+BR111</f>
        <v>59840</v>
      </c>
      <c r="BS112" s="2">
        <f>BS110+BS111</f>
        <v>59238</v>
      </c>
      <c r="BT112" s="2">
        <f>BT110+BT111</f>
        <v>62450</v>
      </c>
      <c r="BU112" s="2">
        <f>BU110+BU111</f>
        <v>64510</v>
      </c>
      <c r="BV112" s="34"/>
      <c r="CN112" s="2">
        <f t="shared" si="134"/>
        <v>52880</v>
      </c>
      <c r="CO112" s="2">
        <f t="shared" si="135"/>
        <v>52456</v>
      </c>
      <c r="CP112" s="2">
        <f t="shared" si="136"/>
        <v>55617</v>
      </c>
      <c r="CQ112" s="2">
        <f t="shared" si="137"/>
        <v>56669</v>
      </c>
      <c r="CR112" s="34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</row>
    <row r="114" spans="2:157">
      <c r="B114" s="1" t="s">
        <v>61</v>
      </c>
      <c r="BF114" s="73">
        <f t="shared" ref="BF114:BR114" si="141">SUM(BF90:BF94)/SUM(BF102:BF106)</f>
        <v>1.3212689620444389</v>
      </c>
      <c r="BG114" s="73">
        <f t="shared" si="141"/>
        <v>1.3039689082558004</v>
      </c>
      <c r="BH114" s="73">
        <f t="shared" si="141"/>
        <v>1.3605399909624944</v>
      </c>
      <c r="BI114" s="73">
        <f t="shared" si="141"/>
        <v>1.3564822893037864</v>
      </c>
      <c r="BJ114" s="73">
        <f t="shared" si="141"/>
        <v>1.2116077227372026</v>
      </c>
      <c r="BK114" s="73">
        <f t="shared" si="141"/>
        <v>1.2971354313803041</v>
      </c>
      <c r="BL114" s="73">
        <f t="shared" si="141"/>
        <v>1.2419293786838264</v>
      </c>
      <c r="BM114" s="73">
        <f t="shared" si="141"/>
        <v>1.3032565974171813</v>
      </c>
      <c r="BN114" s="73">
        <f t="shared" si="141"/>
        <v>1.1250772399588054</v>
      </c>
      <c r="BO114" s="73">
        <f t="shared" si="141"/>
        <v>1.0761787888799736</v>
      </c>
      <c r="BP114" s="73">
        <f t="shared" si="141"/>
        <v>0.98497166789849722</v>
      </c>
      <c r="BQ114" s="73">
        <f t="shared" si="141"/>
        <v>1.1289283537912422</v>
      </c>
      <c r="BR114" s="73">
        <f t="shared" si="141"/>
        <v>1.0868652239125778</v>
      </c>
      <c r="BS114" s="73">
        <f>SUM(BS90:BS94)/SUM(BS102:BS106)</f>
        <v>1.1353553644182888</v>
      </c>
      <c r="BT114" s="73">
        <f>SUM(BT90:BT94)/SUM(BT102:BT106)</f>
        <v>1.1928682431013482</v>
      </c>
      <c r="BU114" s="73">
        <f>SUM(BU90:BU94)/SUM(BU102:BU106)</f>
        <v>1.2632844335778322</v>
      </c>
      <c r="CN114" s="73">
        <f t="shared" ref="CN114:CQ114" si="142">SUM(CN90:CN94)/SUM(CN102:CN106)</f>
        <v>1.3212689620444389</v>
      </c>
      <c r="CO114" s="73">
        <f t="shared" si="142"/>
        <v>1.2116077227372026</v>
      </c>
      <c r="CP114" s="73">
        <f t="shared" si="142"/>
        <v>1.1250772399588054</v>
      </c>
      <c r="CQ114" s="73">
        <f t="shared" si="142"/>
        <v>1.0761787888799736</v>
      </c>
    </row>
    <row r="115" spans="2:157">
      <c r="B115" s="1" t="s">
        <v>62</v>
      </c>
      <c r="BF115" s="73">
        <f t="shared" ref="BF115:BR115" si="143">(SUM(BF90:BF94)-BF93)/SUM(BF102:BF106)</f>
        <v>1.1268962044438848</v>
      </c>
      <c r="BG115" s="73">
        <f t="shared" si="143"/>
        <v>1.0995760216700035</v>
      </c>
      <c r="BH115" s="73">
        <f t="shared" si="143"/>
        <v>1.1629575237234524</v>
      </c>
      <c r="BI115" s="73">
        <f t="shared" si="143"/>
        <v>1.1638457511778049</v>
      </c>
      <c r="BJ115" s="73">
        <f t="shared" si="143"/>
        <v>1.0266871346755624</v>
      </c>
      <c r="BK115" s="73">
        <f t="shared" si="143"/>
        <v>1.1119272275269789</v>
      </c>
      <c r="BL115" s="73">
        <f t="shared" si="143"/>
        <v>1.0744606067160547</v>
      </c>
      <c r="BM115" s="73">
        <f t="shared" si="143"/>
        <v>1.1216732172936552</v>
      </c>
      <c r="BN115" s="73">
        <f t="shared" si="143"/>
        <v>0.94618949536560248</v>
      </c>
      <c r="BO115" s="73">
        <f t="shared" si="143"/>
        <v>0.90631047340350213</v>
      </c>
      <c r="BP115" s="73">
        <f t="shared" si="143"/>
        <v>0.83308696723330866</v>
      </c>
      <c r="BQ115" s="73">
        <f t="shared" si="143"/>
        <v>0.96574388439105074</v>
      </c>
      <c r="BR115" s="73">
        <f t="shared" si="143"/>
        <v>0.93584743946860938</v>
      </c>
      <c r="BS115" s="73">
        <f>(SUM(BS90:BS94)-BS93)/SUM(BS102:BS106)</f>
        <v>0.94291534631054774</v>
      </c>
      <c r="BT115" s="73">
        <f>(SUM(BT90:BT94)-BT93)/SUM(BT102:BT106)</f>
        <v>1.0076021672476794</v>
      </c>
      <c r="BU115" s="73">
        <f>(SUM(BU90:BU94)-BU93)/SUM(BU102:BU106)</f>
        <v>1.1008149959250204</v>
      </c>
      <c r="CN115" s="73">
        <f t="shared" ref="CN115:CQ115" si="144">(SUM(CN90:CN94)-CN93)/SUM(CN102:CN106)</f>
        <v>1.1268962044438848</v>
      </c>
      <c r="CO115" s="73">
        <f t="shared" si="144"/>
        <v>1.0266871346755624</v>
      </c>
      <c r="CP115" s="73">
        <f t="shared" si="144"/>
        <v>0.94618949536560248</v>
      </c>
      <c r="CQ115" s="73">
        <f t="shared" si="144"/>
        <v>0.90631047340350213</v>
      </c>
    </row>
    <row r="116" spans="2:157">
      <c r="B116" s="1" t="s">
        <v>63</v>
      </c>
      <c r="BF116" s="73">
        <f t="shared" ref="BF116:BR116" si="145">SUM(BF90)/SUM(BF102:BF106)</f>
        <v>0.16031975829294393</v>
      </c>
      <c r="BG116" s="73">
        <f t="shared" si="145"/>
        <v>0.14368154516546933</v>
      </c>
      <c r="BH116" s="73">
        <f t="shared" si="145"/>
        <v>0.20746723904202441</v>
      </c>
      <c r="BI116" s="73">
        <f t="shared" si="145"/>
        <v>0.20653754434944455</v>
      </c>
      <c r="BJ116" s="73">
        <f t="shared" si="145"/>
        <v>8.5139044695046351E-2</v>
      </c>
      <c r="BK116" s="73">
        <f t="shared" si="145"/>
        <v>0.15763602463416013</v>
      </c>
      <c r="BL116" s="73">
        <f t="shared" si="145"/>
        <v>0.13643000054074514</v>
      </c>
      <c r="BM116" s="73">
        <f t="shared" si="145"/>
        <v>0.17692307692307693</v>
      </c>
      <c r="BN116" s="73">
        <f t="shared" si="145"/>
        <v>0.12785787847579816</v>
      </c>
      <c r="BO116" s="73">
        <f t="shared" si="145"/>
        <v>8.5099353377070849E-2</v>
      </c>
      <c r="BP116" s="73">
        <f t="shared" si="145"/>
        <v>5.3091894555309188E-2</v>
      </c>
      <c r="BQ116" s="73">
        <f t="shared" si="145"/>
        <v>0.15104030643335944</v>
      </c>
      <c r="BR116" s="73">
        <f t="shared" si="145"/>
        <v>0.17660167130919219</v>
      </c>
      <c r="BS116" s="73">
        <f>SUM(BS90)/SUM(BS102:BS106)</f>
        <v>8.5740153915799006E-2</v>
      </c>
      <c r="BT116" s="73">
        <f>SUM(BT90)/SUM(BT102:BT106)</f>
        <v>0.15922550296106514</v>
      </c>
      <c r="BU116" s="73">
        <f>SUM(BU90)/SUM(BU102:BU106)</f>
        <v>0.24286878565607173</v>
      </c>
      <c r="CN116" s="73">
        <f t="shared" ref="CN116:CQ116" si="146">SUM(CN90)/SUM(CN102:CN106)</f>
        <v>0.16031975829294393</v>
      </c>
      <c r="CO116" s="73">
        <f t="shared" si="146"/>
        <v>8.5139044695046351E-2</v>
      </c>
      <c r="CP116" s="73">
        <f t="shared" si="146"/>
        <v>0.12785787847579816</v>
      </c>
      <c r="CQ116" s="73">
        <f t="shared" si="146"/>
        <v>8.5099353377070849E-2</v>
      </c>
    </row>
    <row r="117" spans="2:157">
      <c r="B117" s="1" t="s">
        <v>133</v>
      </c>
      <c r="BF117" s="73">
        <f t="shared" ref="BF117:BR117" si="147">BF70/SUM(BF95)</f>
        <v>2.3813166144200628</v>
      </c>
      <c r="BG117" s="73">
        <f t="shared" si="147"/>
        <v>1.9055177626606199</v>
      </c>
      <c r="BH117" s="73">
        <f t="shared" si="147"/>
        <v>2.0955310067788098</v>
      </c>
      <c r="BI117" s="73">
        <f t="shared" si="147"/>
        <v>2.0976882923191646</v>
      </c>
      <c r="BJ117" s="73">
        <f t="shared" si="147"/>
        <v>2.2549581839904422</v>
      </c>
      <c r="BK117" s="73">
        <f t="shared" si="147"/>
        <v>2.0582954273401963</v>
      </c>
      <c r="BL117" s="73">
        <f t="shared" si="147"/>
        <v>2.1589230402668571</v>
      </c>
      <c r="BM117" s="73">
        <f t="shared" si="147"/>
        <v>2.0231842914596641</v>
      </c>
      <c r="BN117" s="73">
        <f t="shared" si="147"/>
        <v>2.1340820536328216</v>
      </c>
      <c r="BO117" s="73">
        <f t="shared" si="147"/>
        <v>2.0616320440720761</v>
      </c>
      <c r="BP117" s="73">
        <f t="shared" si="147"/>
        <v>2.0940023068050748</v>
      </c>
      <c r="BQ117" s="73">
        <f t="shared" si="147"/>
        <v>2.1335702820454023</v>
      </c>
      <c r="BR117" s="73">
        <f t="shared" si="147"/>
        <v>1.7995926319518243</v>
      </c>
      <c r="BS117" s="73">
        <f>BS70/SUM(BS95)</f>
        <v>1.5971816006381281</v>
      </c>
      <c r="BT117" s="73">
        <f>BT70/SUM(BT95)</f>
        <v>1.7614574187884109</v>
      </c>
      <c r="BU117" s="73">
        <f>BU70/SUM(BU95)</f>
        <v>1.7972058313085735</v>
      </c>
      <c r="CN117" s="73">
        <f t="shared" ref="CN117:CQ117" si="148">CN70/SUM(CN95)</f>
        <v>8.2738557993730399</v>
      </c>
      <c r="CO117" s="73">
        <f t="shared" si="148"/>
        <v>8.0729988052568693</v>
      </c>
      <c r="CP117" s="73">
        <f t="shared" si="148"/>
        <v>8.1415310566124219</v>
      </c>
      <c r="CQ117" s="73">
        <f t="shared" si="148"/>
        <v>8.6133363938941816</v>
      </c>
    </row>
    <row r="118" spans="2:157">
      <c r="B118" s="1" t="s">
        <v>134</v>
      </c>
      <c r="BF118" s="73">
        <f t="shared" ref="BF118:BR118" si="149">BF70/BF112</f>
        <v>0.35913388804841151</v>
      </c>
      <c r="BG118" s="73">
        <f t="shared" si="149"/>
        <v>0.27692138698692836</v>
      </c>
      <c r="BH118" s="73">
        <f t="shared" si="149"/>
        <v>0.29297272631541998</v>
      </c>
      <c r="BI118" s="73">
        <f t="shared" si="149"/>
        <v>0.29785056294779938</v>
      </c>
      <c r="BJ118" s="73">
        <f t="shared" si="149"/>
        <v>0.35980631386304712</v>
      </c>
      <c r="BK118" s="73">
        <f t="shared" si="149"/>
        <v>0.31284682422720739</v>
      </c>
      <c r="BL118" s="73">
        <f t="shared" si="149"/>
        <v>0.32903624083085192</v>
      </c>
      <c r="BM118" s="73">
        <f t="shared" si="149"/>
        <v>0.3080691642651297</v>
      </c>
      <c r="BN118" s="73">
        <f t="shared" si="149"/>
        <v>0.33482568279482894</v>
      </c>
      <c r="BO118" s="73">
        <f t="shared" si="149"/>
        <v>0.31698106548553884</v>
      </c>
      <c r="BP118" s="73">
        <f t="shared" si="149"/>
        <v>0.30839137081705453</v>
      </c>
      <c r="BQ118" s="73">
        <f t="shared" si="149"/>
        <v>0.30872984272347204</v>
      </c>
      <c r="BR118" s="73">
        <f t="shared" si="149"/>
        <v>0.33958890374331552</v>
      </c>
      <c r="BS118" s="73">
        <f>BS70/BS112</f>
        <v>0.30421351159728555</v>
      </c>
      <c r="BT118" s="73">
        <f>BT70/BT112</f>
        <v>0.32126501200960766</v>
      </c>
      <c r="BU118" s="73">
        <f>BU70/BU112</f>
        <v>0.32105099984498525</v>
      </c>
      <c r="CN118" s="73">
        <f t="shared" ref="CN118:CQ118" si="150">CN70/CN112</f>
        <v>1.2478063540090771</v>
      </c>
      <c r="CO118" s="73">
        <f t="shared" si="150"/>
        <v>1.2881462559097148</v>
      </c>
      <c r="CP118" s="73">
        <f t="shared" si="150"/>
        <v>1.277361238470252</v>
      </c>
      <c r="CQ118" s="73">
        <f t="shared" si="150"/>
        <v>1.3243219396848365</v>
      </c>
    </row>
    <row r="119" spans="2:157">
      <c r="B119" s="1" t="s">
        <v>64</v>
      </c>
      <c r="BF119" s="73">
        <f t="shared" ref="BF119:BR119" si="151">BF71/AVERAGE(BC93:BF93)</f>
        <v>5.4044689119170988</v>
      </c>
      <c r="BG119" s="73">
        <f t="shared" si="151"/>
        <v>3.9884128678152155</v>
      </c>
      <c r="BH119" s="73">
        <f t="shared" si="151"/>
        <v>4.3560703987272547</v>
      </c>
      <c r="BI119" s="73">
        <f t="shared" si="151"/>
        <v>4.4371306754431892</v>
      </c>
      <c r="BJ119" s="73">
        <f t="shared" si="151"/>
        <v>4.9441586520539778</v>
      </c>
      <c r="BK119" s="73">
        <f t="shared" si="151"/>
        <v>4.5996974281391827</v>
      </c>
      <c r="BL119" s="73">
        <f t="shared" si="151"/>
        <v>4.9900928309540529</v>
      </c>
      <c r="BM119" s="73">
        <f t="shared" si="151"/>
        <v>4.7051251864060903</v>
      </c>
      <c r="BN119" s="73">
        <f t="shared" si="151"/>
        <v>5.4825345868684554</v>
      </c>
      <c r="BO119" s="73">
        <f t="shared" si="151"/>
        <v>4.6672635034318111</v>
      </c>
      <c r="BP119" s="73">
        <f t="shared" si="151"/>
        <v>4.9752963015850353</v>
      </c>
      <c r="BQ119" s="73">
        <f t="shared" si="151"/>
        <v>4.5090558501480613</v>
      </c>
      <c r="BR119" s="73">
        <f t="shared" si="151"/>
        <v>4.9410472857044816</v>
      </c>
      <c r="BS119" s="73">
        <f>BS71/AVERAGE(BP93:BS93)</f>
        <v>4.1891874137817773</v>
      </c>
      <c r="BT119" s="73">
        <f>BT71/AVERAGE(BQ93:BT93)</f>
        <v>4.4222152494508942</v>
      </c>
      <c r="BU119" s="73">
        <f>BU71/AVERAGE(BR93:BU93)</f>
        <v>4.5198788103629504</v>
      </c>
      <c r="CN119" s="73">
        <f t="shared" ref="CN119:CQ119" si="152">CN71/AVERAGE(CK93:CN93)</f>
        <v>18.684261658031087</v>
      </c>
      <c r="CO119" s="73">
        <f t="shared" si="152"/>
        <v>19.000643086816719</v>
      </c>
      <c r="CP119" s="73">
        <f t="shared" si="152"/>
        <v>19.841035692180728</v>
      </c>
      <c r="CQ119" s="73">
        <f t="shared" si="152"/>
        <v>20.290077484390281</v>
      </c>
    </row>
    <row r="120" spans="2:157">
      <c r="B120" s="1" t="s">
        <v>65</v>
      </c>
      <c r="BF120" s="74">
        <f t="shared" ref="BF120:BR120" si="153">BF80/BF112</f>
        <v>3.615733736762481E-2</v>
      </c>
      <c r="BG120" s="74">
        <f t="shared" si="153"/>
        <v>3.0921606678627658E-2</v>
      </c>
      <c r="BH120" s="74">
        <f t="shared" si="153"/>
        <v>2.9502615044403102E-2</v>
      </c>
      <c r="BI120" s="74">
        <f t="shared" si="153"/>
        <v>2.971799668231391E-2</v>
      </c>
      <c r="BJ120" s="74">
        <f t="shared" si="153"/>
        <v>3.5572670428549641E-2</v>
      </c>
      <c r="BK120" s="74">
        <f t="shared" si="153"/>
        <v>2.8109819333005839E-2</v>
      </c>
      <c r="BL120" s="74">
        <f t="shared" si="153"/>
        <v>2.9795192098191588E-2</v>
      </c>
      <c r="BM120" s="74">
        <f t="shared" si="153"/>
        <v>3.0367435158501439E-2</v>
      </c>
      <c r="BN120" s="74">
        <f t="shared" si="153"/>
        <v>8.3427728931801427E-3</v>
      </c>
      <c r="BO120" s="74">
        <f t="shared" si="153"/>
        <v>3.0210520743263514E-2</v>
      </c>
      <c r="BP120" s="74">
        <f t="shared" si="153"/>
        <v>8.3573976558518771E-3</v>
      </c>
      <c r="BQ120" s="74">
        <f t="shared" si="153"/>
        <v>2.6859778352909949E-2</v>
      </c>
      <c r="BR120" s="74">
        <f t="shared" si="153"/>
        <v>1.9953208556149734E-2</v>
      </c>
      <c r="BS120" s="74">
        <f>BS80/BS112</f>
        <v>2.5119011445356023E-2</v>
      </c>
      <c r="BT120" s="74">
        <f>BT80/BT112</f>
        <v>2.9399519615692555E-2</v>
      </c>
      <c r="BU120" s="74">
        <f>BU80/BU112</f>
        <v>2.860021702061696E-2</v>
      </c>
      <c r="CN120" s="74">
        <f t="shared" ref="CN120:CQ120" si="154">CN80/CN112</f>
        <v>0.1083963691376702</v>
      </c>
      <c r="CO120" s="74">
        <f t="shared" si="154"/>
        <v>0.13192008540491079</v>
      </c>
      <c r="CP120" s="74">
        <f t="shared" si="154"/>
        <v>9.5941888271571643E-2</v>
      </c>
      <c r="CQ120" s="74">
        <f t="shared" si="154"/>
        <v>8.8531648696818371E-2</v>
      </c>
    </row>
    <row r="121" spans="2:157">
      <c r="B121" s="1" t="s">
        <v>66</v>
      </c>
      <c r="BF121" s="74">
        <f t="shared" ref="BF121:BR121" si="155">BF80/BF111</f>
        <v>0.20634578027196201</v>
      </c>
      <c r="BG121" s="74">
        <f t="shared" si="155"/>
        <v>0.17509848641924114</v>
      </c>
      <c r="BH121" s="74">
        <f t="shared" si="155"/>
        <v>0.18192640692640694</v>
      </c>
      <c r="BI121" s="74">
        <f t="shared" si="155"/>
        <v>0.18158291999137374</v>
      </c>
      <c r="BJ121" s="74">
        <f t="shared" si="155"/>
        <v>0.27300658376005854</v>
      </c>
      <c r="BK121" s="74">
        <f t="shared" si="155"/>
        <v>0.23233082706766917</v>
      </c>
      <c r="BL121" s="74">
        <f t="shared" si="155"/>
        <v>0.265748987854251</v>
      </c>
      <c r="BM121" s="74">
        <f t="shared" si="155"/>
        <v>0.23416666666666666</v>
      </c>
      <c r="BN121" s="74">
        <f t="shared" si="155"/>
        <v>7.3267014053371229E-2</v>
      </c>
      <c r="BO121" s="74">
        <f t="shared" si="155"/>
        <v>0.25617237767469697</v>
      </c>
      <c r="BP121" s="74">
        <f t="shared" si="155"/>
        <v>9.2238470191226093E-2</v>
      </c>
      <c r="BQ121" s="74">
        <f t="shared" si="155"/>
        <v>0.26193172625788708</v>
      </c>
      <c r="BR121" s="74">
        <f t="shared" si="155"/>
        <v>0.17765213509894362</v>
      </c>
      <c r="BS121" s="74">
        <f>BS80/BS111</f>
        <v>0.19869141407397517</v>
      </c>
      <c r="BT121" s="74">
        <f>BT80/BT111</f>
        <v>0.2093978102189781</v>
      </c>
      <c r="BU121" s="74">
        <f>BU80/BU111</f>
        <v>0.18334492696015106</v>
      </c>
      <c r="CN121" s="74">
        <f t="shared" ref="CN121:CQ121" si="156">CN80/CN111</f>
        <v>0.6186056550830995</v>
      </c>
      <c r="CO121" s="74">
        <f t="shared" si="156"/>
        <v>1.0124359912216532</v>
      </c>
      <c r="CP121" s="74">
        <f t="shared" si="156"/>
        <v>0.84257066161376915</v>
      </c>
      <c r="CQ121" s="74">
        <f t="shared" si="156"/>
        <v>0.75071075864132875</v>
      </c>
    </row>
    <row r="123" spans="2:157">
      <c r="B123" s="1" t="s">
        <v>67</v>
      </c>
      <c r="C123" s="1">
        <f>C80</f>
        <v>666</v>
      </c>
      <c r="D123" s="1">
        <f t="shared" ref="D123:BO123" si="157">D80</f>
        <v>731</v>
      </c>
      <c r="E123" s="1">
        <f t="shared" si="157"/>
        <v>786</v>
      </c>
      <c r="F123" s="1">
        <f t="shared" si="157"/>
        <v>784</v>
      </c>
      <c r="G123" s="1">
        <f t="shared" si="157"/>
        <v>519</v>
      </c>
      <c r="H123" s="1">
        <f t="shared" si="157"/>
        <v>714</v>
      </c>
      <c r="I123" s="1">
        <f t="shared" si="157"/>
        <v>557</v>
      </c>
      <c r="J123" s="1">
        <f t="shared" si="157"/>
        <v>545</v>
      </c>
      <c r="K123" s="1">
        <f t="shared" si="157"/>
        <v>556</v>
      </c>
      <c r="L123" s="1">
        <f t="shared" si="157"/>
        <v>748</v>
      </c>
      <c r="M123" s="1">
        <f t="shared" si="157"/>
        <v>665</v>
      </c>
      <c r="N123" s="1">
        <f t="shared" si="157"/>
        <v>683</v>
      </c>
      <c r="O123" s="1">
        <f t="shared" si="157"/>
        <v>668</v>
      </c>
      <c r="P123" s="1">
        <f t="shared" si="157"/>
        <v>781</v>
      </c>
      <c r="Q123" s="1">
        <f t="shared" si="157"/>
        <v>727</v>
      </c>
      <c r="R123" s="1">
        <f t="shared" si="157"/>
        <v>569</v>
      </c>
      <c r="S123" s="1">
        <f t="shared" si="157"/>
        <v>761</v>
      </c>
      <c r="T123" s="1">
        <f t="shared" si="157"/>
        <v>859</v>
      </c>
      <c r="U123" s="1">
        <f t="shared" si="157"/>
        <v>873</v>
      </c>
      <c r="V123" s="1">
        <f t="shared" si="157"/>
        <v>488</v>
      </c>
      <c r="W123" s="1">
        <f t="shared" si="157"/>
        <v>933</v>
      </c>
      <c r="X123" s="1">
        <f t="shared" si="157"/>
        <v>889</v>
      </c>
      <c r="Y123" s="1">
        <f t="shared" si="157"/>
        <v>888</v>
      </c>
      <c r="Z123" s="1">
        <f t="shared" si="157"/>
        <v>543</v>
      </c>
      <c r="AA123" s="1">
        <f t="shared" si="157"/>
        <v>878</v>
      </c>
      <c r="AB123" s="1">
        <f t="shared" si="157"/>
        <v>929</v>
      </c>
      <c r="AC123" s="1">
        <f t="shared" si="157"/>
        <v>865</v>
      </c>
      <c r="AD123" s="1">
        <f t="shared" si="157"/>
        <v>933</v>
      </c>
      <c r="AE123" s="1">
        <f t="shared" si="157"/>
        <v>806</v>
      </c>
      <c r="AF123" s="1">
        <f t="shared" si="157"/>
        <v>899</v>
      </c>
      <c r="AG123" s="1">
        <f t="shared" si="157"/>
        <v>2395</v>
      </c>
      <c r="AH123" s="1">
        <f t="shared" si="157"/>
        <v>859</v>
      </c>
      <c r="AI123" s="1">
        <f t="shared" si="157"/>
        <v>789</v>
      </c>
      <c r="AJ123" s="1">
        <f t="shared" si="157"/>
        <v>955</v>
      </c>
      <c r="AK123" s="1">
        <f t="shared" si="157"/>
        <v>963</v>
      </c>
      <c r="AL123" s="1">
        <f t="shared" si="157"/>
        <v>-817</v>
      </c>
      <c r="AM123" s="1">
        <f t="shared" si="157"/>
        <v>1157</v>
      </c>
      <c r="AN123" s="1">
        <f t="shared" si="157"/>
        <v>1163</v>
      </c>
      <c r="AO123" s="1">
        <f t="shared" si="157"/>
        <v>1473</v>
      </c>
      <c r="AP123" s="1">
        <f t="shared" si="157"/>
        <v>1253</v>
      </c>
      <c r="AQ123" s="1">
        <f t="shared" si="157"/>
        <v>1704</v>
      </c>
      <c r="AR123" s="1">
        <f t="shared" si="157"/>
        <v>1420</v>
      </c>
      <c r="AS123" s="1">
        <f t="shared" si="157"/>
        <v>1608</v>
      </c>
      <c r="AT123" s="1">
        <f t="shared" si="157"/>
        <v>1498</v>
      </c>
      <c r="AU123" s="1">
        <f t="shared" si="157"/>
        <v>1717</v>
      </c>
      <c r="AV123" s="1">
        <f t="shared" si="157"/>
        <v>1626</v>
      </c>
      <c r="AW123" s="1">
        <f t="shared" si="157"/>
        <v>1753</v>
      </c>
      <c r="AX123" s="1">
        <f t="shared" si="157"/>
        <v>1792</v>
      </c>
      <c r="AY123" s="1">
        <f t="shared" si="157"/>
        <v>1837</v>
      </c>
      <c r="AZ123" s="1">
        <f t="shared" si="157"/>
        <v>1835</v>
      </c>
      <c r="BA123" s="1">
        <f t="shared" si="157"/>
        <v>614</v>
      </c>
      <c r="BB123" s="1">
        <f t="shared" si="157"/>
        <v>2029</v>
      </c>
      <c r="BC123" s="1">
        <f t="shared" si="157"/>
        <v>1733</v>
      </c>
      <c r="BD123" s="1">
        <f t="shared" si="157"/>
        <v>309</v>
      </c>
      <c r="BE123" s="1">
        <f t="shared" si="157"/>
        <v>1778</v>
      </c>
      <c r="BF123" s="1">
        <f t="shared" si="157"/>
        <v>1912</v>
      </c>
      <c r="BG123" s="1">
        <f t="shared" si="157"/>
        <v>1689</v>
      </c>
      <c r="BH123" s="1">
        <f t="shared" si="157"/>
        <v>1681</v>
      </c>
      <c r="BI123" s="1">
        <f t="shared" si="157"/>
        <v>1684</v>
      </c>
      <c r="BJ123" s="1">
        <f t="shared" si="157"/>
        <v>1866</v>
      </c>
      <c r="BK123" s="1">
        <f t="shared" si="157"/>
        <v>1545</v>
      </c>
      <c r="BL123" s="1">
        <f t="shared" si="157"/>
        <v>1641</v>
      </c>
      <c r="BM123" s="1">
        <f t="shared" si="157"/>
        <v>1686</v>
      </c>
      <c r="BN123" s="1">
        <f t="shared" si="157"/>
        <v>464</v>
      </c>
      <c r="BO123" s="1">
        <f t="shared" si="157"/>
        <v>1712</v>
      </c>
      <c r="BP123" s="1">
        <f t="shared" ref="BP123:BS123" si="158">BP80</f>
        <v>492</v>
      </c>
      <c r="BQ123" s="1">
        <f t="shared" si="158"/>
        <v>1619</v>
      </c>
      <c r="BR123" s="1">
        <f t="shared" si="158"/>
        <v>1194</v>
      </c>
      <c r="BS123" s="1">
        <f t="shared" si="158"/>
        <v>1488</v>
      </c>
      <c r="BT123" s="1">
        <f t="shared" ref="BT123:BU123" si="159">BT80</f>
        <v>1836</v>
      </c>
      <c r="BU123" s="1">
        <f t="shared" si="159"/>
        <v>1845</v>
      </c>
      <c r="CA123" s="1">
        <f>CA80</f>
        <v>2967</v>
      </c>
      <c r="CB123" s="1">
        <f t="shared" ref="CB123:CQ123" si="160">CB80</f>
        <v>2335</v>
      </c>
      <c r="CC123" s="1">
        <f t="shared" si="160"/>
        <v>2652</v>
      </c>
      <c r="CD123" s="1">
        <f t="shared" si="160"/>
        <v>2745</v>
      </c>
      <c r="CE123" s="1">
        <f t="shared" si="160"/>
        <v>2981</v>
      </c>
      <c r="CF123" s="1">
        <f t="shared" si="160"/>
        <v>3253</v>
      </c>
      <c r="CG123" s="1">
        <f t="shared" si="160"/>
        <v>3605</v>
      </c>
      <c r="CH123" s="1">
        <f t="shared" si="160"/>
        <v>4959</v>
      </c>
      <c r="CI123" s="1">
        <f t="shared" si="160"/>
        <v>1890</v>
      </c>
      <c r="CJ123" s="1">
        <f t="shared" si="160"/>
        <v>5046</v>
      </c>
      <c r="CK123" s="1">
        <f t="shared" si="160"/>
        <v>6230</v>
      </c>
      <c r="CL123" s="1">
        <f t="shared" si="160"/>
        <v>6888</v>
      </c>
      <c r="CM123" s="1">
        <f t="shared" si="160"/>
        <v>6315</v>
      </c>
      <c r="CN123" s="1">
        <f t="shared" si="160"/>
        <v>5732</v>
      </c>
      <c r="CO123" s="1">
        <f t="shared" si="160"/>
        <v>6920</v>
      </c>
      <c r="CP123" s="1">
        <f t="shared" si="160"/>
        <v>5336</v>
      </c>
      <c r="CQ123" s="1">
        <f t="shared" si="160"/>
        <v>5017</v>
      </c>
    </row>
    <row r="124" spans="2:157" s="2" customFormat="1" ht="15">
      <c r="B124" s="2" t="s">
        <v>68</v>
      </c>
      <c r="C124" s="2">
        <v>1218</v>
      </c>
      <c r="D124" s="2">
        <v>1136</v>
      </c>
      <c r="E124" s="2">
        <v>1424</v>
      </c>
      <c r="F124" s="2">
        <v>291</v>
      </c>
      <c r="G124" s="2">
        <v>1649</v>
      </c>
      <c r="H124" s="2">
        <v>1225</v>
      </c>
      <c r="I124" s="2">
        <v>513</v>
      </c>
      <c r="J124" s="2">
        <v>414</v>
      </c>
      <c r="K124" s="2">
        <v>1719</v>
      </c>
      <c r="L124" s="2">
        <v>894</v>
      </c>
      <c r="M124" s="2">
        <v>551</v>
      </c>
      <c r="N124" s="2">
        <v>1089</v>
      </c>
      <c r="O124" s="2">
        <v>458</v>
      </c>
      <c r="P124" s="2">
        <v>845</v>
      </c>
      <c r="Q124" s="2">
        <v>1573</v>
      </c>
      <c r="R124" s="2">
        <v>-1315</v>
      </c>
      <c r="S124" s="2">
        <v>2085</v>
      </c>
      <c r="T124" s="2">
        <v>623</v>
      </c>
      <c r="U124" s="2">
        <v>900</v>
      </c>
      <c r="V124" s="2">
        <v>938</v>
      </c>
      <c r="W124" s="2">
        <v>2100</v>
      </c>
      <c r="X124" s="2">
        <v>977</v>
      </c>
      <c r="Y124" s="2">
        <v>990</v>
      </c>
      <c r="Z124" s="2">
        <v>-201</v>
      </c>
      <c r="AA124" s="2">
        <v>957</v>
      </c>
      <c r="AB124" s="2">
        <v>1263</v>
      </c>
      <c r="AC124" s="2">
        <v>1517</v>
      </c>
      <c r="AD124" s="2">
        <v>1364</v>
      </c>
      <c r="AE124" s="2">
        <v>1667</v>
      </c>
      <c r="AF124" s="2">
        <v>1473</v>
      </c>
      <c r="AG124" s="2">
        <v>1320</v>
      </c>
      <c r="AH124" s="2">
        <v>729</v>
      </c>
      <c r="AI124" s="2">
        <v>1666</v>
      </c>
      <c r="AJ124" s="2">
        <v>1544</v>
      </c>
      <c r="AK124" s="2">
        <v>1754</v>
      </c>
      <c r="AL124" s="2">
        <v>1512</v>
      </c>
      <c r="AM124" s="2">
        <v>632</v>
      </c>
      <c r="AN124" s="2">
        <v>-72</v>
      </c>
      <c r="AO124" s="2">
        <v>361</v>
      </c>
      <c r="AP124" s="2">
        <v>2217</v>
      </c>
      <c r="AQ124" s="2">
        <v>1663</v>
      </c>
      <c r="AR124" s="2">
        <v>1668</v>
      </c>
      <c r="AS124" s="2">
        <v>2490</v>
      </c>
      <c r="AT124" s="2">
        <v>1490</v>
      </c>
      <c r="AU124" s="2">
        <v>2314</v>
      </c>
      <c r="AV124" s="2">
        <v>2182</v>
      </c>
      <c r="AW124" s="2">
        <v>1880</v>
      </c>
      <c r="AX124" s="2">
        <v>1807</v>
      </c>
      <c r="AY124" s="2">
        <v>1748</v>
      </c>
      <c r="AZ124" s="2">
        <v>1268</v>
      </c>
      <c r="BA124" s="2">
        <v>1937</v>
      </c>
      <c r="BB124" s="2">
        <v>4268</v>
      </c>
      <c r="BC124" s="2">
        <v>1410</v>
      </c>
      <c r="BD124" s="2">
        <v>1331</v>
      </c>
      <c r="BE124" s="2">
        <v>3133</v>
      </c>
      <c r="BF124" s="2">
        <v>1928</v>
      </c>
      <c r="BG124" s="2">
        <v>1564</v>
      </c>
      <c r="BH124" s="2">
        <v>1100</v>
      </c>
      <c r="BI124" s="2">
        <v>2891</v>
      </c>
      <c r="BJ124" s="2">
        <v>2365</v>
      </c>
      <c r="BK124" s="2">
        <v>1635</v>
      </c>
      <c r="BL124" s="2">
        <v>1876</v>
      </c>
      <c r="BM124" s="2">
        <v>2438</v>
      </c>
      <c r="BN124" s="2">
        <v>1023</v>
      </c>
      <c r="BO124" s="2">
        <v>1409</v>
      </c>
      <c r="BP124" s="2">
        <v>201</v>
      </c>
      <c r="BQ124" s="2">
        <v>3728</v>
      </c>
      <c r="BR124" s="2">
        <v>3219</v>
      </c>
      <c r="BS124" s="2">
        <v>220</v>
      </c>
      <c r="BT124" s="2">
        <v>3235</v>
      </c>
      <c r="BU124" s="2">
        <f>6893-BT124-BS124</f>
        <v>3438</v>
      </c>
      <c r="BV124" s="34"/>
      <c r="CA124" s="2">
        <f>SUM(C124:F124)</f>
        <v>4069</v>
      </c>
      <c r="CB124" s="2">
        <f>SUM(G124:J124)</f>
        <v>3801</v>
      </c>
      <c r="CC124" s="2">
        <f>SUM(K124:N124)</f>
        <v>4253</v>
      </c>
      <c r="CD124" s="2">
        <f>SUM(O124:R124)</f>
        <v>1561</v>
      </c>
      <c r="CE124" s="2">
        <f>SUM(S124:V124)</f>
        <v>4546</v>
      </c>
      <c r="CF124" s="2">
        <f>SUM(W124:Z124)</f>
        <v>3866</v>
      </c>
      <c r="CG124" s="2">
        <f>SUM(AA124:AD124)</f>
        <v>5101</v>
      </c>
      <c r="CH124" s="2">
        <f>SUM(AE124:AH124)</f>
        <v>5189</v>
      </c>
      <c r="CI124" s="2">
        <f>SUM(AI124:AL124)</f>
        <v>6476</v>
      </c>
      <c r="CJ124" s="2">
        <f>SUM(AM124:AP124)</f>
        <v>3138</v>
      </c>
      <c r="CK124" s="2">
        <f>SUM(AQ124:AT124)</f>
        <v>7311</v>
      </c>
      <c r="CL124" s="2">
        <f>SUM(AU124:AX124)</f>
        <v>8183</v>
      </c>
      <c r="CM124" s="2">
        <f>SUM(AY124:BB124)</f>
        <v>9221</v>
      </c>
      <c r="CN124" s="2">
        <f>SUM(BC124:BF124)</f>
        <v>7802</v>
      </c>
      <c r="CO124" s="2">
        <f>SUM(BG124:BJ124)</f>
        <v>7920</v>
      </c>
      <c r="CP124" s="2">
        <f>SUM(BK124:BN124)</f>
        <v>6972</v>
      </c>
      <c r="CQ124" s="2">
        <f>SUM(BO124:BR124)</f>
        <v>8557</v>
      </c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</row>
    <row r="125" spans="2:157">
      <c r="B125" s="1" t="s">
        <v>69</v>
      </c>
      <c r="C125" s="1">
        <v>-425</v>
      </c>
      <c r="D125" s="1">
        <v>-783</v>
      </c>
      <c r="E125" s="1">
        <v>-428</v>
      </c>
      <c r="F125" s="1">
        <v>-184</v>
      </c>
      <c r="G125" s="1">
        <v>-216</v>
      </c>
      <c r="H125" s="1">
        <v>-231</v>
      </c>
      <c r="I125" s="1">
        <v>-179</v>
      </c>
      <c r="J125" s="1">
        <v>-213</v>
      </c>
      <c r="K125" s="1">
        <v>-169</v>
      </c>
      <c r="L125" s="1">
        <v>-465</v>
      </c>
      <c r="M125" s="1">
        <v>-569</v>
      </c>
      <c r="N125" s="1">
        <v>-418</v>
      </c>
      <c r="O125" s="1">
        <v>-131</v>
      </c>
      <c r="P125" s="1">
        <v>-175</v>
      </c>
      <c r="Q125" s="1">
        <v>-208</v>
      </c>
      <c r="R125" s="1">
        <v>-428</v>
      </c>
      <c r="S125" s="1">
        <v>-106</v>
      </c>
      <c r="T125" s="1">
        <v>-176</v>
      </c>
      <c r="U125" s="1">
        <v>-209</v>
      </c>
      <c r="V125" s="1">
        <v>-345</v>
      </c>
      <c r="W125" s="1">
        <v>-103</v>
      </c>
      <c r="X125" s="1">
        <v>-150</v>
      </c>
      <c r="Y125" s="1">
        <v>-203</v>
      </c>
      <c r="Z125" s="1">
        <v>-389</v>
      </c>
      <c r="AA125" s="1">
        <v>-118</v>
      </c>
      <c r="AB125" s="1">
        <v>-191</v>
      </c>
      <c r="AC125" s="1">
        <v>-191</v>
      </c>
      <c r="AD125" s="1">
        <v>-439</v>
      </c>
      <c r="AE125" s="1">
        <v>-151</v>
      </c>
      <c r="AF125" s="1">
        <v>-235</v>
      </c>
      <c r="AG125" s="1">
        <v>-241</v>
      </c>
      <c r="AH125" s="1">
        <v>-436</v>
      </c>
      <c r="AI125" s="1">
        <v>-170</v>
      </c>
      <c r="AJ125" s="1">
        <v>-278</v>
      </c>
      <c r="AK125" s="1">
        <v>-222</v>
      </c>
      <c r="AL125" s="1">
        <v>-507</v>
      </c>
      <c r="AM125" s="1">
        <v>-216</v>
      </c>
      <c r="AN125" s="1">
        <v>-264</v>
      </c>
      <c r="AO125" s="1">
        <v>-339</v>
      </c>
      <c r="AP125" s="1">
        <v>-459</v>
      </c>
      <c r="AQ125" s="1">
        <v>-284</v>
      </c>
      <c r="AR125" s="1">
        <v>-249</v>
      </c>
      <c r="AS125" s="1">
        <v>-308</v>
      </c>
      <c r="AT125" s="1">
        <v>-643</v>
      </c>
      <c r="AU125" s="1">
        <v>-293</v>
      </c>
      <c r="AV125" s="1">
        <v>-343</v>
      </c>
      <c r="AW125" s="1">
        <v>-408</v>
      </c>
      <c r="AX125" s="1">
        <v>-722</v>
      </c>
      <c r="AY125" s="1">
        <v>-281</v>
      </c>
      <c r="AZ125" s="1">
        <v>-318</v>
      </c>
      <c r="BA125" s="1">
        <v>-316</v>
      </c>
      <c r="BB125" s="1">
        <v>-607</v>
      </c>
      <c r="BC125" s="1">
        <v>-268</v>
      </c>
      <c r="BD125" s="1">
        <v>-304</v>
      </c>
      <c r="BE125" s="1">
        <v>-405</v>
      </c>
      <c r="BF125" s="1">
        <v>-693</v>
      </c>
      <c r="BG125" s="1">
        <v>-294</v>
      </c>
      <c r="BH125" s="1">
        <v>-329</v>
      </c>
      <c r="BI125" s="1">
        <v>-364</v>
      </c>
      <c r="BJ125" s="1">
        <v>-704</v>
      </c>
      <c r="BK125" s="1">
        <v>-378</v>
      </c>
      <c r="BL125" s="1">
        <v>-370</v>
      </c>
      <c r="BM125" s="1">
        <v>-355</v>
      </c>
      <c r="BN125" s="1">
        <v>-582</v>
      </c>
      <c r="BO125" s="1">
        <v>-454</v>
      </c>
      <c r="BP125" s="1">
        <v>-351</v>
      </c>
      <c r="BQ125" s="1">
        <v>-381</v>
      </c>
      <c r="BR125" s="1">
        <v>-463</v>
      </c>
      <c r="BS125" s="1">
        <v>-511</v>
      </c>
      <c r="BT125" s="1">
        <v>-318</v>
      </c>
      <c r="BU125" s="1">
        <f>-1268-BT125-BS125</f>
        <v>-439</v>
      </c>
      <c r="CA125" s="1">
        <f>SUM(C125:F125)</f>
        <v>-1820</v>
      </c>
      <c r="CB125" s="1">
        <f>SUM(G125:J125)</f>
        <v>-839</v>
      </c>
      <c r="CC125" s="1">
        <f>SUM(K125:N125)</f>
        <v>-1621</v>
      </c>
      <c r="CD125" s="1">
        <f>SUM(O125:R125)</f>
        <v>-942</v>
      </c>
      <c r="CE125" s="1">
        <f>SUM(S125:V125)</f>
        <v>-836</v>
      </c>
      <c r="CF125" s="1">
        <f>SUM(W125:Z125)</f>
        <v>-845</v>
      </c>
      <c r="CG125" s="1">
        <f>SUM(AA125:AD125)</f>
        <v>-939</v>
      </c>
      <c r="CH125" s="1">
        <f>SUM(AE125:AH125)</f>
        <v>-1063</v>
      </c>
      <c r="CI125" s="1">
        <f>SUM(AI125:AL125)</f>
        <v>-1177</v>
      </c>
      <c r="CJ125" s="1">
        <f>SUM(AM125:AP125)</f>
        <v>-1278</v>
      </c>
      <c r="CK125" s="1">
        <f>SUM(AQ125:AT125)</f>
        <v>-1484</v>
      </c>
      <c r="CL125" s="1">
        <f>SUM(AU125:AX125)</f>
        <v>-1766</v>
      </c>
      <c r="CM125" s="1">
        <f>SUM(AY125:BB125)</f>
        <v>-1522</v>
      </c>
      <c r="CN125" s="1">
        <f>SUM(BC125:BF125)</f>
        <v>-1670</v>
      </c>
      <c r="CO125" s="1">
        <f>SUM(BG125:BJ125)</f>
        <v>-1691</v>
      </c>
      <c r="CP125" s="1">
        <f>SUM(BK125:BN125)</f>
        <v>-1685</v>
      </c>
      <c r="CQ125" s="1">
        <f>SUM(BO125:BR125)</f>
        <v>-1649</v>
      </c>
    </row>
    <row r="126" spans="2:157" s="2" customFormat="1" ht="15">
      <c r="B126" s="2" t="s">
        <v>70</v>
      </c>
      <c r="C126" s="2">
        <f t="shared" ref="C126:BJ126" si="161">C124+C125</f>
        <v>793</v>
      </c>
      <c r="D126" s="2">
        <f t="shared" si="161"/>
        <v>353</v>
      </c>
      <c r="E126" s="2">
        <f t="shared" si="161"/>
        <v>996</v>
      </c>
      <c r="F126" s="2">
        <f t="shared" si="161"/>
        <v>107</v>
      </c>
      <c r="G126" s="2">
        <f t="shared" si="161"/>
        <v>1433</v>
      </c>
      <c r="H126" s="2">
        <f t="shared" si="161"/>
        <v>994</v>
      </c>
      <c r="I126" s="2">
        <f t="shared" si="161"/>
        <v>334</v>
      </c>
      <c r="J126" s="2">
        <f t="shared" si="161"/>
        <v>201</v>
      </c>
      <c r="K126" s="2">
        <f t="shared" si="161"/>
        <v>1550</v>
      </c>
      <c r="L126" s="2">
        <f t="shared" si="161"/>
        <v>429</v>
      </c>
      <c r="M126" s="2">
        <f t="shared" si="161"/>
        <v>-18</v>
      </c>
      <c r="N126" s="2">
        <f t="shared" si="161"/>
        <v>671</v>
      </c>
      <c r="O126" s="2">
        <f t="shared" si="161"/>
        <v>327</v>
      </c>
      <c r="P126" s="2">
        <f t="shared" si="161"/>
        <v>670</v>
      </c>
      <c r="Q126" s="2">
        <f t="shared" si="161"/>
        <v>1365</v>
      </c>
      <c r="R126" s="2">
        <f t="shared" si="161"/>
        <v>-1743</v>
      </c>
      <c r="S126" s="2">
        <f t="shared" si="161"/>
        <v>1979</v>
      </c>
      <c r="T126" s="2">
        <f t="shared" si="161"/>
        <v>447</v>
      </c>
      <c r="U126" s="2">
        <f t="shared" si="161"/>
        <v>691</v>
      </c>
      <c r="V126" s="2">
        <f t="shared" si="161"/>
        <v>593</v>
      </c>
      <c r="W126" s="2">
        <f t="shared" si="161"/>
        <v>1997</v>
      </c>
      <c r="X126" s="2">
        <f t="shared" si="161"/>
        <v>827</v>
      </c>
      <c r="Y126" s="2">
        <f t="shared" si="161"/>
        <v>787</v>
      </c>
      <c r="Z126" s="2">
        <f t="shared" si="161"/>
        <v>-590</v>
      </c>
      <c r="AA126" s="2">
        <f t="shared" si="161"/>
        <v>839</v>
      </c>
      <c r="AB126" s="2">
        <f t="shared" si="161"/>
        <v>1072</v>
      </c>
      <c r="AC126" s="2">
        <f t="shared" si="161"/>
        <v>1326</v>
      </c>
      <c r="AD126" s="2">
        <f t="shared" si="161"/>
        <v>925</v>
      </c>
      <c r="AE126" s="2">
        <f t="shared" si="161"/>
        <v>1516</v>
      </c>
      <c r="AF126" s="2">
        <f t="shared" si="161"/>
        <v>1238</v>
      </c>
      <c r="AG126" s="2">
        <f t="shared" si="161"/>
        <v>1079</v>
      </c>
      <c r="AH126" s="2">
        <f t="shared" si="161"/>
        <v>293</v>
      </c>
      <c r="AI126" s="2">
        <f t="shared" si="161"/>
        <v>1496</v>
      </c>
      <c r="AJ126" s="2">
        <f t="shared" si="161"/>
        <v>1266</v>
      </c>
      <c r="AK126" s="2">
        <f t="shared" si="161"/>
        <v>1532</v>
      </c>
      <c r="AL126" s="2">
        <f t="shared" si="161"/>
        <v>1005</v>
      </c>
      <c r="AM126" s="2">
        <f t="shared" si="161"/>
        <v>416</v>
      </c>
      <c r="AN126" s="2">
        <f t="shared" si="161"/>
        <v>-336</v>
      </c>
      <c r="AO126" s="2">
        <f t="shared" si="161"/>
        <v>22</v>
      </c>
      <c r="AP126" s="2">
        <f t="shared" si="161"/>
        <v>1758</v>
      </c>
      <c r="AQ126" s="2">
        <f t="shared" si="161"/>
        <v>1379</v>
      </c>
      <c r="AR126" s="2">
        <f t="shared" si="161"/>
        <v>1419</v>
      </c>
      <c r="AS126" s="2">
        <f t="shared" si="161"/>
        <v>2182</v>
      </c>
      <c r="AT126" s="2">
        <f t="shared" si="161"/>
        <v>847</v>
      </c>
      <c r="AU126" s="2">
        <f t="shared" si="161"/>
        <v>2021</v>
      </c>
      <c r="AV126" s="2">
        <f t="shared" si="161"/>
        <v>1839</v>
      </c>
      <c r="AW126" s="2">
        <f t="shared" si="161"/>
        <v>1472</v>
      </c>
      <c r="AX126" s="2">
        <f t="shared" si="161"/>
        <v>1085</v>
      </c>
      <c r="AY126" s="2">
        <f t="shared" si="161"/>
        <v>1467</v>
      </c>
      <c r="AZ126" s="2">
        <f t="shared" si="161"/>
        <v>950</v>
      </c>
      <c r="BA126" s="2">
        <f t="shared" si="161"/>
        <v>1621</v>
      </c>
      <c r="BB126" s="2">
        <f t="shared" si="161"/>
        <v>3661</v>
      </c>
      <c r="BC126" s="2">
        <f t="shared" si="161"/>
        <v>1142</v>
      </c>
      <c r="BD126" s="2">
        <f t="shared" si="161"/>
        <v>1027</v>
      </c>
      <c r="BE126" s="2">
        <f t="shared" si="161"/>
        <v>2728</v>
      </c>
      <c r="BF126" s="2">
        <f t="shared" si="161"/>
        <v>1235</v>
      </c>
      <c r="BG126" s="2">
        <f t="shared" si="161"/>
        <v>1270</v>
      </c>
      <c r="BH126" s="2">
        <f t="shared" si="161"/>
        <v>771</v>
      </c>
      <c r="BI126" s="2">
        <f t="shared" si="161"/>
        <v>2527</v>
      </c>
      <c r="BJ126" s="2">
        <f t="shared" si="161"/>
        <v>1661</v>
      </c>
      <c r="BK126" s="2">
        <f t="shared" ref="BK126:BQ126" si="162">BK124+BK125</f>
        <v>1257</v>
      </c>
      <c r="BL126" s="2">
        <f t="shared" si="162"/>
        <v>1506</v>
      </c>
      <c r="BM126" s="2">
        <f t="shared" si="162"/>
        <v>2083</v>
      </c>
      <c r="BN126" s="2">
        <f t="shared" si="162"/>
        <v>441</v>
      </c>
      <c r="BO126" s="2">
        <f t="shared" si="162"/>
        <v>955</v>
      </c>
      <c r="BP126" s="2">
        <f t="shared" si="162"/>
        <v>-150</v>
      </c>
      <c r="BQ126" s="2">
        <f t="shared" si="162"/>
        <v>3347</v>
      </c>
      <c r="BR126" s="2">
        <f>BR124+BR125</f>
        <v>2756</v>
      </c>
      <c r="BS126" s="2">
        <f>BS124+BS125</f>
        <v>-291</v>
      </c>
      <c r="BT126" s="2">
        <f>BT124+BT125</f>
        <v>2917</v>
      </c>
      <c r="BU126" s="2">
        <f>BU124+BU125</f>
        <v>2999</v>
      </c>
      <c r="BV126" s="34"/>
      <c r="CA126" s="2">
        <f>SUM(C126:F126)</f>
        <v>2249</v>
      </c>
      <c r="CB126" s="2">
        <f>SUM(G126:J126)</f>
        <v>2962</v>
      </c>
      <c r="CC126" s="2">
        <f>SUM(K126:N126)</f>
        <v>2632</v>
      </c>
      <c r="CD126" s="2">
        <f>SUM(O126:R126)</f>
        <v>619</v>
      </c>
      <c r="CE126" s="2">
        <f>SUM(S126:V126)</f>
        <v>3710</v>
      </c>
      <c r="CF126" s="2">
        <f>SUM(W126:Z126)</f>
        <v>3021</v>
      </c>
      <c r="CG126" s="2">
        <f>SUM(AA126:AD126)</f>
        <v>4162</v>
      </c>
      <c r="CH126" s="2">
        <f>SUM(AE126:AH126)</f>
        <v>4126</v>
      </c>
      <c r="CI126" s="2">
        <f>SUM(AI126:AL126)</f>
        <v>5299</v>
      </c>
      <c r="CJ126" s="2">
        <f>SUM(AM126:AP126)</f>
        <v>1860</v>
      </c>
      <c r="CK126" s="2">
        <f>SUM(AQ126:AT126)</f>
        <v>5827</v>
      </c>
      <c r="CL126" s="2">
        <f>SUM(AU126:AX126)</f>
        <v>6417</v>
      </c>
      <c r="CM126" s="2">
        <f>SUM(AY126:BB126)</f>
        <v>7699</v>
      </c>
      <c r="CN126" s="2">
        <f>SUM(BC126:BF126)</f>
        <v>6132</v>
      </c>
      <c r="CO126" s="2">
        <f>SUM(BG126:BJ126)</f>
        <v>6229</v>
      </c>
      <c r="CP126" s="2">
        <f>SUM(BK126:BN126)</f>
        <v>5287</v>
      </c>
      <c r="CQ126" s="2">
        <f>SUM(BO126:BR126)</f>
        <v>6908</v>
      </c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</row>
    <row r="127" spans="2:157">
      <c r="B127" s="1" t="s">
        <v>71</v>
      </c>
      <c r="C127" s="79">
        <f t="shared" ref="C127:BN127" si="163">C81</f>
        <v>340</v>
      </c>
      <c r="D127" s="79">
        <f t="shared" si="163"/>
        <v>339</v>
      </c>
      <c r="E127" s="79">
        <f t="shared" si="163"/>
        <v>339</v>
      </c>
      <c r="F127" s="79">
        <f t="shared" si="163"/>
        <v>339</v>
      </c>
      <c r="G127" s="79">
        <f t="shared" si="163"/>
        <v>338</v>
      </c>
      <c r="H127" s="79">
        <f t="shared" si="163"/>
        <v>337</v>
      </c>
      <c r="I127" s="79">
        <f t="shared" si="163"/>
        <v>337</v>
      </c>
      <c r="J127" s="79">
        <f t="shared" si="163"/>
        <v>337</v>
      </c>
      <c r="K127" s="79">
        <f t="shared" si="163"/>
        <v>336.5</v>
      </c>
      <c r="L127" s="79">
        <f t="shared" si="163"/>
        <v>336.5</v>
      </c>
      <c r="M127" s="79">
        <f t="shared" si="163"/>
        <v>336.5</v>
      </c>
      <c r="N127" s="79">
        <f t="shared" si="163"/>
        <v>336</v>
      </c>
      <c r="O127" s="79">
        <f t="shared" si="163"/>
        <v>324</v>
      </c>
      <c r="P127" s="79">
        <f t="shared" si="163"/>
        <v>325</v>
      </c>
      <c r="Q127" s="79">
        <f t="shared" si="163"/>
        <v>324</v>
      </c>
      <c r="R127" s="79">
        <f t="shared" si="163"/>
        <v>324</v>
      </c>
      <c r="S127" s="79">
        <f t="shared" si="163"/>
        <v>322</v>
      </c>
      <c r="T127" s="79">
        <f t="shared" si="163"/>
        <v>321</v>
      </c>
      <c r="U127" s="79">
        <f t="shared" si="163"/>
        <v>321</v>
      </c>
      <c r="V127" s="79">
        <f t="shared" si="163"/>
        <v>321</v>
      </c>
      <c r="W127" s="79">
        <f t="shared" si="163"/>
        <v>321</v>
      </c>
      <c r="X127" s="79">
        <f t="shared" si="163"/>
        <v>319</v>
      </c>
      <c r="Y127" s="79">
        <f t="shared" si="163"/>
        <v>317</v>
      </c>
      <c r="Z127" s="79">
        <f t="shared" si="163"/>
        <v>316</v>
      </c>
      <c r="AA127" s="79">
        <f t="shared" si="163"/>
        <v>317</v>
      </c>
      <c r="AB127" s="79">
        <f t="shared" si="163"/>
        <v>315</v>
      </c>
      <c r="AC127" s="79">
        <f t="shared" si="163"/>
        <v>312</v>
      </c>
      <c r="AD127" s="79">
        <f t="shared" si="163"/>
        <v>308</v>
      </c>
      <c r="AE127" s="79">
        <f t="shared" si="163"/>
        <v>310</v>
      </c>
      <c r="AF127" s="79">
        <f t="shared" si="163"/>
        <v>305</v>
      </c>
      <c r="AG127" s="79">
        <f t="shared" si="163"/>
        <v>303</v>
      </c>
      <c r="AH127" s="79">
        <f t="shared" si="163"/>
        <v>299</v>
      </c>
      <c r="AI127" s="79">
        <f t="shared" si="163"/>
        <v>299</v>
      </c>
      <c r="AJ127" s="79">
        <f t="shared" si="163"/>
        <v>290</v>
      </c>
      <c r="AK127" s="79">
        <f t="shared" si="163"/>
        <v>289</v>
      </c>
      <c r="AL127" s="79">
        <f t="shared" si="163"/>
        <v>287</v>
      </c>
      <c r="AM127" s="79">
        <f t="shared" si="163"/>
        <v>286</v>
      </c>
      <c r="AN127" s="79">
        <f t="shared" si="163"/>
        <v>285</v>
      </c>
      <c r="AO127" s="79">
        <f t="shared" si="163"/>
        <v>284.5</v>
      </c>
      <c r="AP127" s="79">
        <f t="shared" si="163"/>
        <v>283</v>
      </c>
      <c r="AQ127" s="79">
        <f t="shared" si="163"/>
        <v>282.5</v>
      </c>
      <c r="AR127" s="79">
        <f t="shared" si="163"/>
        <v>282.5</v>
      </c>
      <c r="AS127" s="79">
        <f t="shared" si="163"/>
        <v>282</v>
      </c>
      <c r="AT127" s="79">
        <f t="shared" si="163"/>
        <v>281</v>
      </c>
      <c r="AU127" s="79">
        <f t="shared" si="163"/>
        <v>281.5</v>
      </c>
      <c r="AV127" s="79">
        <f t="shared" si="163"/>
        <v>280</v>
      </c>
      <c r="AW127" s="79">
        <f t="shared" si="163"/>
        <v>279</v>
      </c>
      <c r="AX127" s="79">
        <f t="shared" si="163"/>
        <v>278</v>
      </c>
      <c r="AY127" s="79">
        <f t="shared" si="163"/>
        <v>279</v>
      </c>
      <c r="AZ127" s="79">
        <f t="shared" si="163"/>
        <v>280.5</v>
      </c>
      <c r="BA127" s="79">
        <f t="shared" si="163"/>
        <v>276</v>
      </c>
      <c r="BB127" s="79">
        <f t="shared" si="163"/>
        <v>270</v>
      </c>
      <c r="BC127" s="79">
        <f t="shared" si="163"/>
        <v>268.2</v>
      </c>
      <c r="BD127" s="79">
        <f t="shared" si="163"/>
        <v>266</v>
      </c>
      <c r="BE127" s="79">
        <f t="shared" si="163"/>
        <v>264</v>
      </c>
      <c r="BF127" s="79">
        <f t="shared" si="163"/>
        <v>259</v>
      </c>
      <c r="BG127" s="79">
        <f t="shared" si="163"/>
        <v>254.75</v>
      </c>
      <c r="BH127" s="79">
        <f t="shared" si="163"/>
        <v>252.75</v>
      </c>
      <c r="BI127" s="79">
        <f t="shared" si="163"/>
        <v>249.5</v>
      </c>
      <c r="BJ127" s="79">
        <f t="shared" si="163"/>
        <v>245</v>
      </c>
      <c r="BK127" s="79">
        <f t="shared" si="163"/>
        <v>240.5</v>
      </c>
      <c r="BL127" s="79">
        <f t="shared" si="163"/>
        <v>239</v>
      </c>
      <c r="BM127" s="79">
        <f t="shared" si="163"/>
        <v>231.5</v>
      </c>
      <c r="BN127" s="79">
        <f t="shared" si="163"/>
        <v>232</v>
      </c>
      <c r="BO127" s="79">
        <f t="shared" ref="BO127:BR127" si="164">BO81</f>
        <v>234.5</v>
      </c>
      <c r="BP127" s="79">
        <f t="shared" si="164"/>
        <v>233.5</v>
      </c>
      <c r="BQ127" s="79">
        <f t="shared" si="164"/>
        <v>232</v>
      </c>
      <c r="BR127" s="79">
        <f t="shared" si="164"/>
        <v>232</v>
      </c>
      <c r="BS127" s="79">
        <f>BS81</f>
        <v>230</v>
      </c>
      <c r="BT127" s="79">
        <f>BT81</f>
        <v>230</v>
      </c>
      <c r="BU127" s="79">
        <f>BU81</f>
        <v>230.5</v>
      </c>
      <c r="CA127" s="79">
        <f>CA81</f>
        <v>339.25</v>
      </c>
      <c r="CB127" s="79">
        <f t="shared" ref="CB127:CQ127" si="165">CB81</f>
        <v>337.25</v>
      </c>
      <c r="CC127" s="79">
        <f t="shared" si="165"/>
        <v>336.375</v>
      </c>
      <c r="CD127" s="79">
        <f t="shared" si="165"/>
        <v>324.25</v>
      </c>
      <c r="CE127" s="79">
        <f t="shared" si="165"/>
        <v>321.25</v>
      </c>
      <c r="CF127" s="79">
        <f t="shared" si="165"/>
        <v>318.25</v>
      </c>
      <c r="CG127" s="79">
        <f t="shared" si="165"/>
        <v>313</v>
      </c>
      <c r="CH127" s="79">
        <f t="shared" si="165"/>
        <v>304.25</v>
      </c>
      <c r="CI127" s="79">
        <f t="shared" si="165"/>
        <v>291.25</v>
      </c>
      <c r="CJ127" s="79">
        <f t="shared" si="165"/>
        <v>284.625</v>
      </c>
      <c r="CK127" s="79">
        <f t="shared" si="165"/>
        <v>282</v>
      </c>
      <c r="CL127" s="79">
        <f t="shared" si="165"/>
        <v>279.625</v>
      </c>
      <c r="CM127" s="79">
        <f t="shared" si="165"/>
        <v>276.375</v>
      </c>
      <c r="CN127" s="79">
        <f t="shared" si="165"/>
        <v>264.3</v>
      </c>
      <c r="CO127" s="79">
        <f t="shared" si="165"/>
        <v>250.5</v>
      </c>
      <c r="CP127" s="79">
        <f t="shared" si="165"/>
        <v>235.75</v>
      </c>
      <c r="CQ127" s="79">
        <f t="shared" si="165"/>
        <v>233</v>
      </c>
    </row>
    <row r="128" spans="2:157">
      <c r="B128" s="1" t="s">
        <v>72</v>
      </c>
      <c r="C128" s="39">
        <f t="shared" ref="C128:BJ128" si="166">C126/C127</f>
        <v>2.3323529411764707</v>
      </c>
      <c r="D128" s="39">
        <f t="shared" si="166"/>
        <v>1.0412979351032448</v>
      </c>
      <c r="E128" s="39">
        <f t="shared" si="166"/>
        <v>2.9380530973451329</v>
      </c>
      <c r="F128" s="39">
        <f t="shared" si="166"/>
        <v>0.31563421828908556</v>
      </c>
      <c r="G128" s="39">
        <f t="shared" si="166"/>
        <v>4.2396449704142007</v>
      </c>
      <c r="H128" s="39">
        <f t="shared" si="166"/>
        <v>2.9495548961424332</v>
      </c>
      <c r="I128" s="39">
        <f t="shared" si="166"/>
        <v>0.99109792284866471</v>
      </c>
      <c r="J128" s="39">
        <f t="shared" si="166"/>
        <v>0.59643916913946593</v>
      </c>
      <c r="K128" s="39">
        <f t="shared" si="166"/>
        <v>4.6062407132243681</v>
      </c>
      <c r="L128" s="39">
        <f t="shared" si="166"/>
        <v>1.2748885586924219</v>
      </c>
      <c r="M128" s="39">
        <f t="shared" si="166"/>
        <v>-5.3491827637444277E-2</v>
      </c>
      <c r="N128" s="39">
        <f t="shared" si="166"/>
        <v>1.9970238095238095</v>
      </c>
      <c r="O128" s="39">
        <f t="shared" si="166"/>
        <v>1.0092592592592593</v>
      </c>
      <c r="P128" s="39">
        <f t="shared" si="166"/>
        <v>2.0615384615384613</v>
      </c>
      <c r="Q128" s="39">
        <f t="shared" si="166"/>
        <v>4.2129629629629628</v>
      </c>
      <c r="R128" s="39">
        <f t="shared" si="166"/>
        <v>-5.3796296296296298</v>
      </c>
      <c r="S128" s="39">
        <f t="shared" si="166"/>
        <v>6.145962732919255</v>
      </c>
      <c r="T128" s="39">
        <f t="shared" si="166"/>
        <v>1.3925233644859814</v>
      </c>
      <c r="U128" s="39">
        <f t="shared" si="166"/>
        <v>2.1526479750778815</v>
      </c>
      <c r="V128" s="39">
        <f t="shared" si="166"/>
        <v>1.8473520249221185</v>
      </c>
      <c r="W128" s="39">
        <f t="shared" si="166"/>
        <v>6.2211838006230531</v>
      </c>
      <c r="X128" s="39">
        <f t="shared" si="166"/>
        <v>2.592476489028213</v>
      </c>
      <c r="Y128" s="39">
        <f t="shared" si="166"/>
        <v>2.4826498422712935</v>
      </c>
      <c r="Z128" s="39">
        <f t="shared" si="166"/>
        <v>-1.8670886075949367</v>
      </c>
      <c r="AA128" s="39">
        <f t="shared" si="166"/>
        <v>2.6466876971608833</v>
      </c>
      <c r="AB128" s="39">
        <f t="shared" si="166"/>
        <v>3.4031746031746031</v>
      </c>
      <c r="AC128" s="39">
        <f t="shared" si="166"/>
        <v>4.25</v>
      </c>
      <c r="AD128" s="39">
        <f t="shared" si="166"/>
        <v>3.0032467532467533</v>
      </c>
      <c r="AE128" s="39">
        <f t="shared" si="166"/>
        <v>4.8903225806451616</v>
      </c>
      <c r="AF128" s="39">
        <f t="shared" si="166"/>
        <v>4.0590163934426231</v>
      </c>
      <c r="AG128" s="39">
        <f t="shared" si="166"/>
        <v>3.561056105610561</v>
      </c>
      <c r="AH128" s="39">
        <f t="shared" si="166"/>
        <v>0.97993311036789299</v>
      </c>
      <c r="AI128" s="39">
        <f t="shared" si="166"/>
        <v>5.0033444816053514</v>
      </c>
      <c r="AJ128" s="39">
        <f t="shared" si="166"/>
        <v>4.36551724137931</v>
      </c>
      <c r="AK128" s="39">
        <f t="shared" si="166"/>
        <v>5.3010380622837374</v>
      </c>
      <c r="AL128" s="39">
        <f t="shared" si="166"/>
        <v>3.5017421602787455</v>
      </c>
      <c r="AM128" s="39">
        <f t="shared" si="166"/>
        <v>1.4545454545454546</v>
      </c>
      <c r="AN128" s="39">
        <f t="shared" si="166"/>
        <v>-1.1789473684210525</v>
      </c>
      <c r="AO128" s="39">
        <f t="shared" si="166"/>
        <v>7.7328646748681895E-2</v>
      </c>
      <c r="AP128" s="39">
        <f t="shared" si="166"/>
        <v>6.2120141342756181</v>
      </c>
      <c r="AQ128" s="39">
        <f t="shared" si="166"/>
        <v>4.8814159292035395</v>
      </c>
      <c r="AR128" s="39">
        <f t="shared" si="166"/>
        <v>5.023008849557522</v>
      </c>
      <c r="AS128" s="39">
        <f t="shared" si="166"/>
        <v>7.7375886524822697</v>
      </c>
      <c r="AT128" s="39">
        <f t="shared" si="166"/>
        <v>3.0142348754448398</v>
      </c>
      <c r="AU128" s="39">
        <f t="shared" si="166"/>
        <v>7.179396092362345</v>
      </c>
      <c r="AV128" s="39">
        <f t="shared" si="166"/>
        <v>6.5678571428571431</v>
      </c>
      <c r="AW128" s="39">
        <f t="shared" si="166"/>
        <v>5.2759856630824373</v>
      </c>
      <c r="AX128" s="39">
        <f t="shared" si="166"/>
        <v>3.9028776978417268</v>
      </c>
      <c r="AY128" s="39">
        <f t="shared" si="166"/>
        <v>5.258064516129032</v>
      </c>
      <c r="AZ128" s="39">
        <f t="shared" si="166"/>
        <v>3.3868092691622103</v>
      </c>
      <c r="BA128" s="39">
        <f t="shared" si="166"/>
        <v>5.8731884057971016</v>
      </c>
      <c r="BB128" s="39">
        <f t="shared" si="166"/>
        <v>13.559259259259258</v>
      </c>
      <c r="BC128" s="39">
        <f t="shared" si="166"/>
        <v>4.2580164056674121</v>
      </c>
      <c r="BD128" s="39">
        <f t="shared" si="166"/>
        <v>3.8609022556390977</v>
      </c>
      <c r="BE128" s="39">
        <f t="shared" si="166"/>
        <v>10.333333333333334</v>
      </c>
      <c r="BF128" s="39">
        <f t="shared" si="166"/>
        <v>4.7683397683397679</v>
      </c>
      <c r="BG128" s="39">
        <f t="shared" si="166"/>
        <v>4.985279685966634</v>
      </c>
      <c r="BH128" s="39">
        <f t="shared" si="166"/>
        <v>3.0504451038575668</v>
      </c>
      <c r="BI128" s="39">
        <f t="shared" si="166"/>
        <v>10.128256513026052</v>
      </c>
      <c r="BJ128" s="39">
        <f t="shared" si="166"/>
        <v>6.7795918367346939</v>
      </c>
      <c r="BK128" s="39">
        <f t="shared" ref="BK128:BQ128" si="167">BK126/BK127</f>
        <v>5.2266112266112268</v>
      </c>
      <c r="BL128" s="39">
        <f t="shared" si="167"/>
        <v>6.3012552301255234</v>
      </c>
      <c r="BM128" s="39">
        <f t="shared" si="167"/>
        <v>8.9978401727861765</v>
      </c>
      <c r="BN128" s="39">
        <f t="shared" si="167"/>
        <v>1.9008620689655173</v>
      </c>
      <c r="BO128" s="39">
        <f t="shared" si="167"/>
        <v>4.0724946695095952</v>
      </c>
      <c r="BP128" s="39">
        <f t="shared" si="167"/>
        <v>-0.64239828693790146</v>
      </c>
      <c r="BQ128" s="39">
        <f t="shared" si="167"/>
        <v>14.426724137931034</v>
      </c>
      <c r="BR128" s="39">
        <f>BR126/BR127</f>
        <v>11.879310344827585</v>
      </c>
      <c r="BS128" s="39">
        <f>BS126/BS127</f>
        <v>-1.2652173913043478</v>
      </c>
      <c r="BT128" s="39">
        <f>BT126/BT127</f>
        <v>12.682608695652174</v>
      </c>
      <c r="BU128" s="39">
        <f>BU126/BU127</f>
        <v>13.010845986984815</v>
      </c>
      <c r="CA128" s="39">
        <f>SUM(C128:F128)</f>
        <v>6.6273381919139336</v>
      </c>
      <c r="CB128" s="39">
        <f>SUM(G128:J128)</f>
        <v>8.7767369585447632</v>
      </c>
      <c r="CC128" s="39">
        <f>SUM(K128:N128)</f>
        <v>7.8246612538031552</v>
      </c>
      <c r="CD128" s="39">
        <f>SUM(O128:R128)</f>
        <v>1.9041310541310539</v>
      </c>
      <c r="CE128" s="39">
        <f>SUM(S128:V128)</f>
        <v>11.538486097405237</v>
      </c>
      <c r="CF128" s="39">
        <f>SUM(W128:Z128)</f>
        <v>9.4292215243276232</v>
      </c>
      <c r="CG128" s="39">
        <f>SUM(AA128:AD128)</f>
        <v>13.30310905358224</v>
      </c>
      <c r="CH128" s="39">
        <f>SUM(AE128:AH128)</f>
        <v>13.490328190066238</v>
      </c>
      <c r="CI128" s="39">
        <f>SUM(AI128:AL128)</f>
        <v>18.171641945547144</v>
      </c>
      <c r="CJ128" s="39">
        <f>SUM(AM128:AP128)</f>
        <v>6.5649408671487022</v>
      </c>
      <c r="CK128" s="39">
        <f>SUM(AQ128:AT128)</f>
        <v>20.65624830668817</v>
      </c>
      <c r="CL128" s="39">
        <f>SUM(AU128:AX128)</f>
        <v>22.926116596143654</v>
      </c>
      <c r="CM128" s="39">
        <f>SUM(AY128:BB128)</f>
        <v>28.077321450347604</v>
      </c>
      <c r="CN128" s="39">
        <f>SUM(BC128:BF128)</f>
        <v>23.220591762979613</v>
      </c>
      <c r="CO128" s="39">
        <f>SUM(BG128:BJ128)</f>
        <v>24.943573139584949</v>
      </c>
      <c r="CP128" s="39">
        <f>SUM(BK128:BN128)</f>
        <v>22.426568698488442</v>
      </c>
      <c r="CQ128" s="39">
        <f>SUM(BO128:BR128)</f>
        <v>29.73613086533031</v>
      </c>
    </row>
    <row r="130" spans="2:95">
      <c r="B130" s="1" t="s">
        <v>138</v>
      </c>
      <c r="C130" s="80">
        <f t="shared" ref="C130:BN130" si="168">C124/C70</f>
        <v>0.11742022558565507</v>
      </c>
      <c r="D130" s="80">
        <f t="shared" si="168"/>
        <v>0.10260115606936417</v>
      </c>
      <c r="E130" s="80">
        <f t="shared" si="168"/>
        <v>0.13225596730751371</v>
      </c>
      <c r="F130" s="80">
        <f t="shared" si="168"/>
        <v>2.4967824967824969E-2</v>
      </c>
      <c r="G130" s="80">
        <f t="shared" si="168"/>
        <v>0.15952403985682501</v>
      </c>
      <c r="H130" s="80">
        <f t="shared" si="168"/>
        <v>0.10859929078014184</v>
      </c>
      <c r="I130" s="80">
        <f t="shared" si="168"/>
        <v>4.5226130653266333E-2</v>
      </c>
      <c r="J130" s="80">
        <f t="shared" si="168"/>
        <v>3.2570214774604672E-2</v>
      </c>
      <c r="K130" s="80">
        <f t="shared" si="168"/>
        <v>0.16177300959909655</v>
      </c>
      <c r="L130" s="80">
        <f t="shared" si="168"/>
        <v>7.7449536515637185E-2</v>
      </c>
      <c r="M130" s="80">
        <f t="shared" si="168"/>
        <v>4.5465797508045219E-2</v>
      </c>
      <c r="N130" s="80">
        <f t="shared" si="168"/>
        <v>8.9181885185488488E-2</v>
      </c>
      <c r="O130" s="80">
        <f t="shared" si="168"/>
        <v>4.0556096697068979E-2</v>
      </c>
      <c r="P130" s="80">
        <f t="shared" si="168"/>
        <v>7.0883315158124321E-2</v>
      </c>
      <c r="Q130" s="80">
        <f t="shared" si="168"/>
        <v>0.13253012048192772</v>
      </c>
      <c r="R130" s="80">
        <f t="shared" si="168"/>
        <v>-0.10868666831969584</v>
      </c>
      <c r="S130" s="80">
        <f t="shared" si="168"/>
        <v>0.18834688346883469</v>
      </c>
      <c r="T130" s="80">
        <f t="shared" si="168"/>
        <v>5.4610799438990179E-2</v>
      </c>
      <c r="U130" s="80">
        <f t="shared" si="168"/>
        <v>7.9316118797920152E-2</v>
      </c>
      <c r="V130" s="80">
        <f t="shared" si="168"/>
        <v>8.1331830399722541E-2</v>
      </c>
      <c r="W130" s="80">
        <f t="shared" si="168"/>
        <v>0.19718309859154928</v>
      </c>
      <c r="X130" s="80">
        <f t="shared" si="168"/>
        <v>8.641429329559526E-2</v>
      </c>
      <c r="Y130" s="80">
        <f t="shared" si="168"/>
        <v>8.9076840021594383E-2</v>
      </c>
      <c r="Z130" s="80">
        <f t="shared" si="168"/>
        <v>-2.9232111692844676E-2</v>
      </c>
      <c r="AA130" s="80">
        <f t="shared" si="168"/>
        <v>9.4649391751557704E-2</v>
      </c>
      <c r="AB130" s="80">
        <f t="shared" si="168"/>
        <v>0.10847719659881473</v>
      </c>
      <c r="AC130" s="80">
        <f t="shared" si="168"/>
        <v>0.15079522862823061</v>
      </c>
      <c r="AD130" s="80">
        <f t="shared" si="168"/>
        <v>0.15638614996560421</v>
      </c>
      <c r="AE130" s="80">
        <f t="shared" si="168"/>
        <v>0.16078317901234568</v>
      </c>
      <c r="AF130" s="80">
        <f t="shared" si="168"/>
        <v>0.12723503498315625</v>
      </c>
      <c r="AG130" s="80">
        <f t="shared" si="168"/>
        <v>0.11427582027530084</v>
      </c>
      <c r="AH130" s="80">
        <f t="shared" si="168"/>
        <v>5.28490648107873E-2</v>
      </c>
      <c r="AI130" s="80">
        <f t="shared" si="168"/>
        <v>0.14859079557616839</v>
      </c>
      <c r="AJ130" s="80">
        <f t="shared" si="168"/>
        <v>0.12290058107140014</v>
      </c>
      <c r="AK130" s="80">
        <f t="shared" si="168"/>
        <v>0.14212786646138886</v>
      </c>
      <c r="AL130" s="80">
        <f t="shared" si="168"/>
        <v>0.10921698930944813</v>
      </c>
      <c r="AM130" s="80">
        <f t="shared" si="168"/>
        <v>5.4318865492049846E-2</v>
      </c>
      <c r="AN130" s="80">
        <f t="shared" si="168"/>
        <v>-5.3739364084191667E-3</v>
      </c>
      <c r="AO130" s="80">
        <f t="shared" si="168"/>
        <v>2.5213018578013689E-2</v>
      </c>
      <c r="AP130" s="80">
        <f t="shared" si="168"/>
        <v>0.15384081604330024</v>
      </c>
      <c r="AQ130" s="80">
        <f t="shared" si="168"/>
        <v>0.11600167410714286</v>
      </c>
      <c r="AR130" s="80">
        <f t="shared" si="168"/>
        <v>0.11561655229777501</v>
      </c>
      <c r="AS130" s="80">
        <f t="shared" si="168"/>
        <v>0.16412893019576824</v>
      </c>
      <c r="AT130" s="80">
        <f t="shared" si="168"/>
        <v>9.3840534072301293E-2</v>
      </c>
      <c r="AU130" s="80">
        <f t="shared" si="168"/>
        <v>0.14784997763721169</v>
      </c>
      <c r="AV130" s="80">
        <f t="shared" si="168"/>
        <v>0.1345252774352651</v>
      </c>
      <c r="AW130" s="80">
        <f t="shared" si="168"/>
        <v>0.11397393149439224</v>
      </c>
      <c r="AX130" s="80">
        <f t="shared" si="168"/>
        <v>0.10609441052137153</v>
      </c>
      <c r="AY130" s="80">
        <f t="shared" si="168"/>
        <v>0.10751629966785582</v>
      </c>
      <c r="AZ130" s="80">
        <f t="shared" si="168"/>
        <v>7.446121322449939E-2</v>
      </c>
      <c r="BA130" s="80">
        <f t="shared" si="168"/>
        <v>0.12085101073122037</v>
      </c>
      <c r="BB130" s="80">
        <f t="shared" si="168"/>
        <v>0.24073551807772575</v>
      </c>
      <c r="BC130" s="80">
        <f t="shared" si="168"/>
        <v>9.4226142742582203E-2</v>
      </c>
      <c r="BD130" s="80">
        <f t="shared" si="168"/>
        <v>8.6171177003755012E-2</v>
      </c>
      <c r="BE130" s="80">
        <f t="shared" si="168"/>
        <v>0.18892842067177229</v>
      </c>
      <c r="BF130" s="80">
        <f t="shared" si="168"/>
        <v>0.10152177347164447</v>
      </c>
      <c r="BG130" s="80">
        <f t="shared" si="168"/>
        <v>0.1033981224381859</v>
      </c>
      <c r="BH130" s="80">
        <f t="shared" si="168"/>
        <v>6.5895884502486068E-2</v>
      </c>
      <c r="BI130" s="80">
        <f t="shared" si="168"/>
        <v>0.17128806730655291</v>
      </c>
      <c r="BJ130" s="80">
        <f t="shared" si="168"/>
        <v>0.12530465190208753</v>
      </c>
      <c r="BK130" s="80">
        <f t="shared" si="168"/>
        <v>9.5085780750218091E-2</v>
      </c>
      <c r="BL130" s="80">
        <f t="shared" si="168"/>
        <v>0.10352058271713939</v>
      </c>
      <c r="BM130" s="80">
        <f t="shared" si="168"/>
        <v>0.14253975678203928</v>
      </c>
      <c r="BN130" s="80">
        <f t="shared" si="168"/>
        <v>5.493502309096767E-2</v>
      </c>
      <c r="BO130" s="80">
        <f t="shared" ref="BO130:BS130" si="169">BO124/BO70</f>
        <v>7.8439013527807161E-2</v>
      </c>
      <c r="BP130" s="80">
        <f t="shared" si="169"/>
        <v>1.1071330212062793E-2</v>
      </c>
      <c r="BQ130" s="80">
        <f t="shared" si="169"/>
        <v>0.2003331721210167</v>
      </c>
      <c r="BR130" s="80">
        <f t="shared" si="169"/>
        <v>0.15840755868313566</v>
      </c>
      <c r="BS130" s="80">
        <f t="shared" si="169"/>
        <v>1.2207979579379613E-2</v>
      </c>
      <c r="BT130" s="80">
        <f>BT124/BT70</f>
        <v>0.16124208742461246</v>
      </c>
      <c r="BU130" s="80">
        <f>BU124/BU70</f>
        <v>0.16599874462845832</v>
      </c>
      <c r="CA130" s="80">
        <f t="shared" ref="CA130:CQ130" si="170">CA124/CA70</f>
        <v>9.2757653817220231E-2</v>
      </c>
      <c r="CB130" s="80">
        <f t="shared" si="170"/>
        <v>8.3225679315101483E-2</v>
      </c>
      <c r="CC130" s="80">
        <f t="shared" si="170"/>
        <v>9.1464332566291745E-2</v>
      </c>
      <c r="CD130" s="80">
        <f t="shared" si="170"/>
        <v>3.3084650926200672E-2</v>
      </c>
      <c r="CE130" s="80">
        <f t="shared" si="170"/>
        <v>0.10022487764010758</v>
      </c>
      <c r="CF130" s="80">
        <f t="shared" si="170"/>
        <v>9.6780653882741707E-2</v>
      </c>
      <c r="CG130" s="80">
        <f t="shared" si="170"/>
        <v>0.12583876060785473</v>
      </c>
      <c r="CH130" s="80">
        <f t="shared" si="170"/>
        <v>0.10972721505603722</v>
      </c>
      <c r="CI130" s="80">
        <f t="shared" si="170"/>
        <v>0.12962369895916734</v>
      </c>
      <c r="CJ130" s="80">
        <f t="shared" si="170"/>
        <v>5.8368364272162493E-2</v>
      </c>
      <c r="CK130" s="80">
        <f t="shared" si="170"/>
        <v>0.1222329967230656</v>
      </c>
      <c r="CL130" s="80">
        <f t="shared" si="170"/>
        <v>0.12512615064680876</v>
      </c>
      <c r="CM130" s="80">
        <f t="shared" si="170"/>
        <v>0.13753654316568223</v>
      </c>
      <c r="CN130" s="80">
        <f t="shared" si="170"/>
        <v>0.11824078564500486</v>
      </c>
      <c r="CO130" s="80">
        <f t="shared" si="170"/>
        <v>0.11721004572967693</v>
      </c>
      <c r="CP130" s="80">
        <f t="shared" si="170"/>
        <v>9.8137747561336086E-2</v>
      </c>
      <c r="CQ130" s="80">
        <f t="shared" si="170"/>
        <v>0.11402036030273958</v>
      </c>
    </row>
    <row r="131" spans="2:95">
      <c r="B131" s="1" t="s">
        <v>139</v>
      </c>
      <c r="C131" s="80">
        <f t="shared" ref="C131:BN131" si="171">C126/C70</f>
        <v>7.6448471994601364E-2</v>
      </c>
      <c r="D131" s="80">
        <f t="shared" si="171"/>
        <v>3.1882225433526014E-2</v>
      </c>
      <c r="E131" s="80">
        <f t="shared" si="171"/>
        <v>9.2504876010030643E-2</v>
      </c>
      <c r="F131" s="80">
        <f t="shared" si="171"/>
        <v>9.1806091806091814E-3</v>
      </c>
      <c r="G131" s="80">
        <f t="shared" si="171"/>
        <v>0.13862822869304439</v>
      </c>
      <c r="H131" s="80">
        <f t="shared" si="171"/>
        <v>8.8120567375886527E-2</v>
      </c>
      <c r="I131" s="80">
        <f t="shared" si="171"/>
        <v>2.9445472978929736E-2</v>
      </c>
      <c r="J131" s="80">
        <f t="shared" si="171"/>
        <v>1.5813075289119662E-2</v>
      </c>
      <c r="K131" s="80">
        <f t="shared" si="171"/>
        <v>0.1458686241294937</v>
      </c>
      <c r="L131" s="80">
        <f t="shared" si="171"/>
        <v>3.7165381616564151E-2</v>
      </c>
      <c r="M131" s="80">
        <f t="shared" si="171"/>
        <v>-1.4852710619688092E-3</v>
      </c>
      <c r="N131" s="80">
        <f t="shared" si="171"/>
        <v>5.4950454508230287E-2</v>
      </c>
      <c r="O131" s="80">
        <f t="shared" si="171"/>
        <v>2.8955990436553617E-2</v>
      </c>
      <c r="P131" s="80">
        <f t="shared" si="171"/>
        <v>5.6203338646086738E-2</v>
      </c>
      <c r="Q131" s="80">
        <f t="shared" si="171"/>
        <v>0.11500547645125958</v>
      </c>
      <c r="R131" s="80">
        <f t="shared" si="171"/>
        <v>-0.1440614926853459</v>
      </c>
      <c r="S131" s="80">
        <f t="shared" si="171"/>
        <v>0.17877145438121048</v>
      </c>
      <c r="T131" s="80">
        <f t="shared" si="171"/>
        <v>3.9183029453015425E-2</v>
      </c>
      <c r="U131" s="80">
        <f t="shared" si="171"/>
        <v>6.0897153432625362E-2</v>
      </c>
      <c r="V131" s="80">
        <f t="shared" si="171"/>
        <v>5.1417671030954654E-2</v>
      </c>
      <c r="W131" s="80">
        <f t="shared" si="171"/>
        <v>0.18751173708920188</v>
      </c>
      <c r="X131" s="80">
        <f t="shared" si="171"/>
        <v>7.3147001592075003E-2</v>
      </c>
      <c r="Y131" s="80">
        <f t="shared" si="171"/>
        <v>7.0811588986863419E-2</v>
      </c>
      <c r="Z131" s="80">
        <f t="shared" si="171"/>
        <v>-8.5805700988947062E-2</v>
      </c>
      <c r="AA131" s="80">
        <f t="shared" si="171"/>
        <v>8.2978933834437746E-2</v>
      </c>
      <c r="AB131" s="80">
        <f t="shared" si="171"/>
        <v>9.2072489908099284E-2</v>
      </c>
      <c r="AC131" s="80">
        <f t="shared" si="171"/>
        <v>0.13180914512922465</v>
      </c>
      <c r="AD131" s="80">
        <f t="shared" si="171"/>
        <v>0.10605365741802339</v>
      </c>
      <c r="AE131" s="80">
        <f t="shared" si="171"/>
        <v>0.14621913580246915</v>
      </c>
      <c r="AF131" s="80">
        <f t="shared" si="171"/>
        <v>0.10693616653709942</v>
      </c>
      <c r="AG131" s="80">
        <f t="shared" si="171"/>
        <v>9.3411825815946675E-2</v>
      </c>
      <c r="AH131" s="80">
        <f t="shared" si="171"/>
        <v>2.1241119327243728E-2</v>
      </c>
      <c r="AI131" s="80">
        <f t="shared" si="171"/>
        <v>0.13342846949696754</v>
      </c>
      <c r="AJ131" s="80">
        <f t="shared" si="171"/>
        <v>0.10077210857279312</v>
      </c>
      <c r="AK131" s="80">
        <f t="shared" si="171"/>
        <v>0.12413904869945709</v>
      </c>
      <c r="AL131" s="80">
        <f t="shared" si="171"/>
        <v>7.2594625830684767E-2</v>
      </c>
      <c r="AM131" s="80">
        <f t="shared" si="171"/>
        <v>3.5754189944134075E-2</v>
      </c>
      <c r="AN131" s="80">
        <f t="shared" si="171"/>
        <v>-2.5078369905956112E-2</v>
      </c>
      <c r="AO131" s="80">
        <f t="shared" si="171"/>
        <v>1.5365274479675933E-3</v>
      </c>
      <c r="AP131" s="80">
        <f t="shared" si="171"/>
        <v>0.12199014641593227</v>
      </c>
      <c r="AQ131" s="80">
        <f t="shared" si="171"/>
        <v>9.619140625E-2</v>
      </c>
      <c r="AR131" s="80">
        <f t="shared" si="171"/>
        <v>9.8357246828862543E-2</v>
      </c>
      <c r="AS131" s="80">
        <f t="shared" si="171"/>
        <v>0.14382703842858086</v>
      </c>
      <c r="AT131" s="80">
        <f t="shared" si="171"/>
        <v>5.3344249905529662E-2</v>
      </c>
      <c r="AU131" s="80">
        <f t="shared" si="171"/>
        <v>0.12912912912912913</v>
      </c>
      <c r="AV131" s="80">
        <f t="shared" si="171"/>
        <v>0.11337854500616523</v>
      </c>
      <c r="AW131" s="80">
        <f t="shared" si="171"/>
        <v>8.9239163382843281E-2</v>
      </c>
      <c r="AX131" s="80">
        <f t="shared" si="171"/>
        <v>6.3703616721465475E-2</v>
      </c>
      <c r="AY131" s="80">
        <f t="shared" si="171"/>
        <v>9.0232500922622708E-2</v>
      </c>
      <c r="AZ131" s="80">
        <f t="shared" si="171"/>
        <v>5.5787186564096543E-2</v>
      </c>
      <c r="BA131" s="80">
        <f t="shared" si="171"/>
        <v>0.10113551285250812</v>
      </c>
      <c r="BB131" s="80">
        <f t="shared" si="171"/>
        <v>0.20649782841671838</v>
      </c>
      <c r="BC131" s="80">
        <f t="shared" si="171"/>
        <v>7.6316492916332537E-2</v>
      </c>
      <c r="BD131" s="80">
        <f t="shared" si="171"/>
        <v>6.6489706072769647E-2</v>
      </c>
      <c r="BE131" s="80">
        <f t="shared" si="171"/>
        <v>0.16450581921244647</v>
      </c>
      <c r="BF131" s="80">
        <f t="shared" si="171"/>
        <v>6.5030804065083464E-2</v>
      </c>
      <c r="BG131" s="80">
        <f t="shared" si="171"/>
        <v>8.3961390982414383E-2</v>
      </c>
      <c r="BH131" s="80">
        <f t="shared" si="171"/>
        <v>4.6187024501287963E-2</v>
      </c>
      <c r="BI131" s="80">
        <f t="shared" si="171"/>
        <v>0.14972153098708377</v>
      </c>
      <c r="BJ131" s="80">
        <f t="shared" si="171"/>
        <v>8.8004662498675432E-2</v>
      </c>
      <c r="BK131" s="80">
        <f t="shared" si="171"/>
        <v>7.3102646118057571E-2</v>
      </c>
      <c r="BL131" s="80">
        <f t="shared" si="171"/>
        <v>8.3103410219622559E-2</v>
      </c>
      <c r="BM131" s="80">
        <f t="shared" si="171"/>
        <v>0.1217843779232928</v>
      </c>
      <c r="BN131" s="80">
        <f t="shared" si="171"/>
        <v>2.3681666845666416E-2</v>
      </c>
      <c r="BO131" s="80">
        <f t="shared" ref="BO131:BS131" si="172">BO126/BO70</f>
        <v>5.3164838835383844E-2</v>
      </c>
      <c r="BP131" s="80">
        <f t="shared" si="172"/>
        <v>-8.2621867254199944E-3</v>
      </c>
      <c r="BQ131" s="80">
        <f t="shared" si="172"/>
        <v>0.179859207910151</v>
      </c>
      <c r="BR131" s="80">
        <f t="shared" si="172"/>
        <v>0.13562324688745633</v>
      </c>
      <c r="BS131" s="80">
        <f t="shared" si="172"/>
        <v>-1.6147827534543035E-2</v>
      </c>
      <c r="BT131" s="80">
        <f>BT126/BT70</f>
        <v>0.14539201515227035</v>
      </c>
      <c r="BU131" s="80">
        <f>BU126/BU70</f>
        <v>0.14480227898218337</v>
      </c>
      <c r="CA131" s="80">
        <f t="shared" ref="CA131:CQ131" si="173">CA126/CA70</f>
        <v>5.1268607381402875E-2</v>
      </c>
      <c r="CB131" s="80">
        <f t="shared" si="173"/>
        <v>6.4855159729368742E-2</v>
      </c>
      <c r="CC131" s="80">
        <f t="shared" si="173"/>
        <v>5.6603367814361601E-2</v>
      </c>
      <c r="CD131" s="80">
        <f t="shared" si="173"/>
        <v>1.3119409944470349E-2</v>
      </c>
      <c r="CE131" s="80">
        <f t="shared" si="173"/>
        <v>8.1793729882269947E-2</v>
      </c>
      <c r="CF131" s="80">
        <f t="shared" si="173"/>
        <v>7.5627096580383524E-2</v>
      </c>
      <c r="CG131" s="80">
        <f t="shared" si="173"/>
        <v>0.10267416617327807</v>
      </c>
      <c r="CH131" s="80">
        <f t="shared" si="173"/>
        <v>8.7248889828716425E-2</v>
      </c>
      <c r="CI131" s="80">
        <f t="shared" si="173"/>
        <v>0.1060648518815052</v>
      </c>
      <c r="CJ131" s="80">
        <f t="shared" si="173"/>
        <v>3.4596927197648897E-2</v>
      </c>
      <c r="CK131" s="80">
        <f t="shared" si="173"/>
        <v>9.7421922022336654E-2</v>
      </c>
      <c r="CL131" s="80">
        <f t="shared" si="173"/>
        <v>9.8122266735985814E-2</v>
      </c>
      <c r="CM131" s="80">
        <f t="shared" si="173"/>
        <v>0.11483503370920589</v>
      </c>
      <c r="CN131" s="80">
        <f t="shared" si="173"/>
        <v>9.2931619786614933E-2</v>
      </c>
      <c r="CO131" s="80">
        <f t="shared" si="173"/>
        <v>9.2184517026535046E-2</v>
      </c>
      <c r="CP131" s="80">
        <f t="shared" si="173"/>
        <v>7.4419717635798036E-2</v>
      </c>
      <c r="CQ131" s="80">
        <f t="shared" si="173"/>
        <v>9.2047756102760905E-2</v>
      </c>
    </row>
    <row r="132" spans="2:95">
      <c r="B132" s="1" t="s">
        <v>140</v>
      </c>
      <c r="C132" s="80">
        <f t="shared" ref="C132:BN132" si="174">C125/C70</f>
        <v>-4.0971753591053699E-2</v>
      </c>
      <c r="D132" s="80">
        <f t="shared" si="174"/>
        <v>-7.0718930635838145E-2</v>
      </c>
      <c r="E132" s="80">
        <f t="shared" si="174"/>
        <v>-3.9751091297483047E-2</v>
      </c>
      <c r="F132" s="80">
        <f t="shared" si="174"/>
        <v>-1.5787215787215786E-2</v>
      </c>
      <c r="G132" s="80">
        <f t="shared" si="174"/>
        <v>-2.0895811163780594E-2</v>
      </c>
      <c r="H132" s="80">
        <f t="shared" si="174"/>
        <v>-2.0478723404255317E-2</v>
      </c>
      <c r="I132" s="80">
        <f t="shared" si="174"/>
        <v>-1.5780657674336594E-2</v>
      </c>
      <c r="J132" s="80">
        <f t="shared" si="174"/>
        <v>-1.6757139485485014E-2</v>
      </c>
      <c r="K132" s="80">
        <f t="shared" si="174"/>
        <v>-1.590438546960286E-2</v>
      </c>
      <c r="L132" s="80">
        <f t="shared" si="174"/>
        <v>-4.0284154899073034E-2</v>
      </c>
      <c r="M132" s="80">
        <f t="shared" si="174"/>
        <v>-4.6951068570014028E-2</v>
      </c>
      <c r="N132" s="80">
        <f t="shared" si="174"/>
        <v>-3.4231430677258208E-2</v>
      </c>
      <c r="O132" s="80">
        <f t="shared" si="174"/>
        <v>-1.1600106260515363E-2</v>
      </c>
      <c r="P132" s="80">
        <f t="shared" si="174"/>
        <v>-1.4679976512037582E-2</v>
      </c>
      <c r="Q132" s="80">
        <f t="shared" si="174"/>
        <v>-1.7524644030668127E-2</v>
      </c>
      <c r="R132" s="80">
        <f t="shared" si="174"/>
        <v>-3.5374824365650051E-2</v>
      </c>
      <c r="S132" s="80">
        <f t="shared" si="174"/>
        <v>-9.5754290876242099E-3</v>
      </c>
      <c r="T132" s="80">
        <f t="shared" si="174"/>
        <v>-1.5427769985974754E-2</v>
      </c>
      <c r="U132" s="80">
        <f t="shared" si="174"/>
        <v>-1.841896536529479E-2</v>
      </c>
      <c r="V132" s="80">
        <f t="shared" si="174"/>
        <v>-2.9914159368767883E-2</v>
      </c>
      <c r="W132" s="80">
        <f t="shared" si="174"/>
        <v>-9.671361502347417E-3</v>
      </c>
      <c r="X132" s="80">
        <f t="shared" si="174"/>
        <v>-1.3267291703520255E-2</v>
      </c>
      <c r="Y132" s="80">
        <f t="shared" si="174"/>
        <v>-1.8265251034730971E-2</v>
      </c>
      <c r="Z132" s="80">
        <f t="shared" si="174"/>
        <v>-5.6573589296102386E-2</v>
      </c>
      <c r="AA132" s="80">
        <f t="shared" si="174"/>
        <v>-1.1670457917119969E-2</v>
      </c>
      <c r="AB132" s="80">
        <f t="shared" si="174"/>
        <v>-1.6404706690715452E-2</v>
      </c>
      <c r="AC132" s="80">
        <f t="shared" si="174"/>
        <v>-1.8986083499005966E-2</v>
      </c>
      <c r="AD132" s="80">
        <f t="shared" si="174"/>
        <v>-5.0332492547580827E-2</v>
      </c>
      <c r="AE132" s="80">
        <f t="shared" si="174"/>
        <v>-1.4564043209876544E-2</v>
      </c>
      <c r="AF132" s="80">
        <f t="shared" si="174"/>
        <v>-2.0298868446056838E-2</v>
      </c>
      <c r="AG132" s="80">
        <f t="shared" si="174"/>
        <v>-2.086399445935417E-2</v>
      </c>
      <c r="AH132" s="80">
        <f t="shared" si="174"/>
        <v>-3.1607945483543572E-2</v>
      </c>
      <c r="AI132" s="80">
        <f t="shared" si="174"/>
        <v>-1.5162326079200856E-2</v>
      </c>
      <c r="AJ132" s="80">
        <f t="shared" si="174"/>
        <v>-2.212847249860702E-2</v>
      </c>
      <c r="AK132" s="80">
        <f t="shared" si="174"/>
        <v>-1.7988817761931772E-2</v>
      </c>
      <c r="AL132" s="80">
        <f t="shared" si="174"/>
        <v>-3.662236347876336E-2</v>
      </c>
      <c r="AM132" s="80">
        <f t="shared" si="174"/>
        <v>-1.8564675547915771E-2</v>
      </c>
      <c r="AN132" s="80">
        <f t="shared" si="174"/>
        <v>-1.9704433497536946E-2</v>
      </c>
      <c r="AO132" s="80">
        <f t="shared" si="174"/>
        <v>-2.3676491130046096E-2</v>
      </c>
      <c r="AP132" s="80">
        <f t="shared" si="174"/>
        <v>-3.1850669627367982E-2</v>
      </c>
      <c r="AQ132" s="80">
        <f t="shared" si="174"/>
        <v>-1.9810267857142856E-2</v>
      </c>
      <c r="AR132" s="80">
        <f t="shared" si="174"/>
        <v>-1.7259305468912457E-2</v>
      </c>
      <c r="AS132" s="80">
        <f t="shared" si="174"/>
        <v>-2.0301891767187396E-2</v>
      </c>
      <c r="AT132" s="80">
        <f t="shared" si="174"/>
        <v>-4.0496284166771632E-2</v>
      </c>
      <c r="AU132" s="80">
        <f t="shared" si="174"/>
        <v>-1.872084850808255E-2</v>
      </c>
      <c r="AV132" s="80">
        <f t="shared" si="174"/>
        <v>-2.1146732429099875E-2</v>
      </c>
      <c r="AW132" s="80">
        <f t="shared" si="174"/>
        <v>-2.4734768111548955E-2</v>
      </c>
      <c r="AX132" s="80">
        <f t="shared" si="174"/>
        <v>-4.2390793799906061E-2</v>
      </c>
      <c r="AY132" s="80">
        <f t="shared" si="174"/>
        <v>-1.7283798745233114E-2</v>
      </c>
      <c r="AZ132" s="80">
        <f t="shared" si="174"/>
        <v>-1.8674026660402843E-2</v>
      </c>
      <c r="BA132" s="80">
        <f t="shared" si="174"/>
        <v>-1.9715497878712254E-2</v>
      </c>
      <c r="BB132" s="80">
        <f t="shared" si="174"/>
        <v>-3.4237689661007389E-2</v>
      </c>
      <c r="BC132" s="80">
        <f t="shared" si="174"/>
        <v>-1.7909649826249666E-2</v>
      </c>
      <c r="BD132" s="80">
        <f t="shared" si="174"/>
        <v>-1.9681470930985368E-2</v>
      </c>
      <c r="BE132" s="80">
        <f t="shared" si="174"/>
        <v>-2.4422601459325816E-2</v>
      </c>
      <c r="BF132" s="80">
        <f t="shared" si="174"/>
        <v>-3.6490969406561005E-2</v>
      </c>
      <c r="BG132" s="80">
        <f t="shared" si="174"/>
        <v>-1.943673145577152E-2</v>
      </c>
      <c r="BH132" s="80">
        <f t="shared" si="174"/>
        <v>-1.9708860001198106E-2</v>
      </c>
      <c r="BI132" s="80">
        <f t="shared" si="174"/>
        <v>-2.1566536319469132E-2</v>
      </c>
      <c r="BJ132" s="80">
        <f t="shared" si="174"/>
        <v>-3.7299989403412101E-2</v>
      </c>
      <c r="BK132" s="80">
        <f t="shared" si="174"/>
        <v>-2.1983134632160513E-2</v>
      </c>
      <c r="BL132" s="80">
        <f t="shared" si="174"/>
        <v>-2.0417172497516831E-2</v>
      </c>
      <c r="BM132" s="80">
        <f t="shared" si="174"/>
        <v>-2.0755378858746492E-2</v>
      </c>
      <c r="BN132" s="80">
        <f t="shared" si="174"/>
        <v>-3.1253356245301255E-2</v>
      </c>
      <c r="BO132" s="80">
        <f t="shared" ref="BO132:BS132" si="175">BO125/BO70</f>
        <v>-2.5274174692423313E-2</v>
      </c>
      <c r="BP132" s="80">
        <f t="shared" si="175"/>
        <v>-1.9333516937482788E-2</v>
      </c>
      <c r="BQ132" s="80">
        <f t="shared" si="175"/>
        <v>-2.0473964210865711E-2</v>
      </c>
      <c r="BR132" s="80">
        <f t="shared" si="175"/>
        <v>-2.2784311795679347E-2</v>
      </c>
      <c r="BS132" s="80">
        <f t="shared" si="175"/>
        <v>-2.8355807113922646E-2</v>
      </c>
      <c r="BT132" s="80">
        <f>BT125/BT70</f>
        <v>-1.5850072272342121E-2</v>
      </c>
      <c r="BU132" s="80">
        <f>BU125/BU70</f>
        <v>-2.1196465646274927E-2</v>
      </c>
      <c r="CA132" s="80">
        <f t="shared" ref="CA132:CQ132" si="176">CA125/CA70</f>
        <v>-4.1489046435817356E-2</v>
      </c>
      <c r="CB132" s="80">
        <f t="shared" si="176"/>
        <v>-1.8370519585732742E-2</v>
      </c>
      <c r="CC132" s="80">
        <f t="shared" si="176"/>
        <v>-3.4860964751930151E-2</v>
      </c>
      <c r="CD132" s="80">
        <f t="shared" si="176"/>
        <v>-1.9965240981730321E-2</v>
      </c>
      <c r="CE132" s="80">
        <f t="shared" si="176"/>
        <v>-1.8431147757837649E-2</v>
      </c>
      <c r="CF132" s="80">
        <f t="shared" si="176"/>
        <v>-2.1153557302358184E-2</v>
      </c>
      <c r="CG132" s="80">
        <f t="shared" si="176"/>
        <v>-2.3164594434576673E-2</v>
      </c>
      <c r="CH132" s="80">
        <f t="shared" si="176"/>
        <v>-2.2478325227320788E-2</v>
      </c>
      <c r="CI132" s="80">
        <f t="shared" si="176"/>
        <v>-2.3558847077662131E-2</v>
      </c>
      <c r="CJ132" s="80">
        <f t="shared" si="176"/>
        <v>-2.3771437074513596E-2</v>
      </c>
      <c r="CK132" s="80">
        <f t="shared" si="176"/>
        <v>-2.4811074700728949E-2</v>
      </c>
      <c r="CL132" s="80">
        <f t="shared" si="176"/>
        <v>-2.7003883910822962E-2</v>
      </c>
      <c r="CM132" s="80">
        <f t="shared" si="176"/>
        <v>-2.2701509456476344E-2</v>
      </c>
      <c r="CN132" s="80">
        <f t="shared" si="176"/>
        <v>-2.5309165858389913E-2</v>
      </c>
      <c r="CO132" s="80">
        <f t="shared" si="176"/>
        <v>-2.502552870314188E-2</v>
      </c>
      <c r="CP132" s="80">
        <f t="shared" si="176"/>
        <v>-2.3718029925538054E-2</v>
      </c>
      <c r="CQ132" s="80">
        <f t="shared" si="176"/>
        <v>-2.1972604199978679E-2</v>
      </c>
    </row>
  </sheetData>
  <mergeCells count="1">
    <mergeCell ref="DJ102:DK102"/>
  </mergeCells>
  <conditionalFormatting sqref="DJ102:DK10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Sell",DJ102)))</formula>
    </cfRule>
    <cfRule type="containsText" dxfId="3" priority="3" operator="containsText" text="Sell">
      <formula>NOT(ISERROR(SEARCH("Sell",DJ102)))</formula>
    </cfRule>
    <cfRule type="containsText" dxfId="2" priority="4" operator="containsText" text="Hold">
      <formula>NOT(ISERROR(SEARCH("Hold",DJ102)))</formula>
    </cfRule>
    <cfRule type="beginsWith" dxfId="1" priority="5" operator="beginsWith" text="Buy">
      <formula>LEFT(DJ102,LEN("Buy"))="Buy"</formula>
    </cfRule>
    <cfRule type="beginsWith" dxfId="0" priority="6" operator="beginsWith" text="Strong">
      <formula>LEFT(DJ102,LEN("Strong"))="Strong"</formula>
    </cfRule>
  </conditionalFormatting>
  <pageMargins left="0.7" right="0.7" top="0.75" bottom="0.75" header="0.3" footer="0.3"/>
  <ignoredErrors>
    <ignoredError sqref="BK63:BS68 BK44:BS48 BK20:BS20 BK26:BS26 BK15:BS15 BK8:BS8 BK9:BS9 BK16:BS19 BK25:BN25 BP25:BS25 BO10:BS14 BK32:BS36 BO27:BS31 BO57:BS62" evalError="1"/>
    <ignoredError sqref="AP70:AT72 AP74:AT80 AQ73:AS73 CA124:CS126 BF114:BR121 BS114:BS121 CA129:CS129 CR127:CS128 CA70:CQ80 CA82:CQ83 CR130:CS130 BT114:BT119 BU114:BU119" formulaRange="1"/>
    <ignoredError sqref="AT73 AP73 CA127:CQ128 CA81:CQ81" formula="1" formulaRange="1"/>
    <ignoredError sqref="BO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726"/>
  <sheetViews>
    <sheetView topLeftCell="P43" zoomScale="70" zoomScaleNormal="70" workbookViewId="0">
      <selection activeCell="AJ115" sqref="AJ115"/>
    </sheetView>
  </sheetViews>
  <sheetFormatPr defaultColWidth="9.140625" defaultRowHeight="14.25"/>
  <cols>
    <col min="1" max="7" width="9.140625" style="1" hidden="1" customWidth="1"/>
    <col min="8" max="8" width="3.140625" style="1" hidden="1" customWidth="1"/>
    <col min="9" max="15" width="9.140625" style="1" hidden="1" customWidth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93</v>
      </c>
      <c r="AL2" s="2" t="s">
        <v>136</v>
      </c>
    </row>
    <row r="32" spans="17:18">
      <c r="Q32" s="1" t="s">
        <v>14</v>
      </c>
      <c r="R32" s="1" t="s">
        <v>15</v>
      </c>
    </row>
    <row r="33" spans="16:38">
      <c r="R33" s="1" t="s">
        <v>16</v>
      </c>
    </row>
    <row r="34" spans="16:38">
      <c r="R34" s="1" t="s">
        <v>17</v>
      </c>
    </row>
    <row r="35" spans="16:38" ht="15">
      <c r="AL35" s="2" t="s">
        <v>137</v>
      </c>
    </row>
    <row r="36" spans="16:38" ht="15">
      <c r="P36" s="2" t="s">
        <v>264</v>
      </c>
      <c r="AL36" s="2" t="s">
        <v>73</v>
      </c>
    </row>
    <row r="63" spans="17:18">
      <c r="Q63" s="1" t="s">
        <v>14</v>
      </c>
      <c r="R63" s="1" t="s">
        <v>15</v>
      </c>
    </row>
    <row r="64" spans="17:18">
      <c r="R64" s="1" t="s">
        <v>16</v>
      </c>
    </row>
    <row r="65" spans="16:38">
      <c r="R65" s="1" t="s">
        <v>17</v>
      </c>
    </row>
    <row r="67" spans="16:38" ht="15">
      <c r="P67" s="2" t="s">
        <v>265</v>
      </c>
      <c r="AL67" s="2" t="s">
        <v>74</v>
      </c>
    </row>
    <row r="99" spans="16:38">
      <c r="Q99" s="1" t="s">
        <v>14</v>
      </c>
      <c r="R99" s="1" t="s">
        <v>15</v>
      </c>
    </row>
    <row r="100" spans="16:38">
      <c r="R100" s="1" t="s">
        <v>16</v>
      </c>
    </row>
    <row r="101" spans="16:38">
      <c r="R101" s="1" t="s">
        <v>17</v>
      </c>
    </row>
    <row r="102" spans="16:38" ht="15">
      <c r="AL102" s="2" t="s">
        <v>75</v>
      </c>
    </row>
    <row r="103" spans="16:38" ht="15">
      <c r="P103" s="2" t="s">
        <v>1778</v>
      </c>
    </row>
    <row r="135" spans="16:38" ht="15">
      <c r="Q135" s="1" t="s">
        <v>14</v>
      </c>
      <c r="R135" s="1" t="s">
        <v>15</v>
      </c>
      <c r="AL135" s="2" t="s">
        <v>76</v>
      </c>
    </row>
    <row r="136" spans="16:38">
      <c r="R136" s="1" t="s">
        <v>16</v>
      </c>
    </row>
    <row r="137" spans="16:38">
      <c r="R137" s="1" t="s">
        <v>17</v>
      </c>
    </row>
    <row r="139" spans="16:38" ht="15">
      <c r="P139" s="2" t="s">
        <v>96</v>
      </c>
    </row>
    <row r="168" spans="16:18">
      <c r="Q168" s="1" t="s">
        <v>14</v>
      </c>
      <c r="R168" s="1" t="s">
        <v>15</v>
      </c>
    </row>
    <row r="169" spans="16:18">
      <c r="R169" s="1" t="s">
        <v>16</v>
      </c>
    </row>
    <row r="170" spans="16:18">
      <c r="R170" s="1" t="s">
        <v>17</v>
      </c>
    </row>
    <row r="172" spans="16:18" ht="15">
      <c r="P172" s="2" t="s">
        <v>95</v>
      </c>
    </row>
    <row r="188" ht="15" customHeight="1"/>
    <row r="201" spans="17:18">
      <c r="Q201" s="1" t="s">
        <v>14</v>
      </c>
      <c r="R201" s="1" t="s">
        <v>15</v>
      </c>
    </row>
    <row r="202" spans="17:18">
      <c r="R202" s="1" t="s">
        <v>16</v>
      </c>
    </row>
    <row r="203" spans="17:18">
      <c r="R203" s="1" t="s">
        <v>17</v>
      </c>
    </row>
    <row r="218" spans="1:15">
      <c r="A218" s="1" t="s">
        <v>114</v>
      </c>
      <c r="I218" s="1" t="s">
        <v>1776</v>
      </c>
    </row>
    <row r="219" spans="1:15">
      <c r="A219" s="1" t="s">
        <v>1775</v>
      </c>
      <c r="I219" s="1" t="s">
        <v>1775</v>
      </c>
    </row>
    <row r="220" spans="1:15">
      <c r="A220" s="24" t="s">
        <v>18</v>
      </c>
      <c r="B220" s="24" t="s">
        <v>19</v>
      </c>
      <c r="C220" s="24" t="s">
        <v>20</v>
      </c>
      <c r="D220" s="24" t="s">
        <v>21</v>
      </c>
      <c r="E220" s="24" t="s">
        <v>22</v>
      </c>
      <c r="F220" s="24" t="s">
        <v>23</v>
      </c>
      <c r="G220" s="24" t="s">
        <v>24</v>
      </c>
      <c r="I220" s="24" t="s">
        <v>18</v>
      </c>
      <c r="J220" s="24" t="s">
        <v>19</v>
      </c>
      <c r="K220" s="24" t="s">
        <v>20</v>
      </c>
      <c r="L220" s="24" t="s">
        <v>21</v>
      </c>
      <c r="M220" s="24" t="s">
        <v>22</v>
      </c>
      <c r="N220" s="24" t="s">
        <v>23</v>
      </c>
      <c r="O220" s="24" t="s">
        <v>24</v>
      </c>
    </row>
    <row r="221" spans="1:15">
      <c r="A221" s="86">
        <v>684.84</v>
      </c>
      <c r="B221" s="86">
        <v>690.5</v>
      </c>
      <c r="C221" s="86">
        <v>680.21500000000003</v>
      </c>
      <c r="D221" s="86">
        <v>686.98</v>
      </c>
      <c r="E221" s="86">
        <v>6980816.8136</v>
      </c>
      <c r="F221" s="86" t="s">
        <v>269</v>
      </c>
      <c r="G221" s="25">
        <f>A221/D221-1</f>
        <v>-3.1150834085417189E-3</v>
      </c>
      <c r="I221" s="86">
        <v>545.91</v>
      </c>
      <c r="J221" s="86">
        <v>545.99</v>
      </c>
      <c r="K221" s="86">
        <v>529</v>
      </c>
      <c r="L221" s="86">
        <v>529</v>
      </c>
      <c r="M221" s="86">
        <v>1392391.5366</v>
      </c>
      <c r="N221" s="86" t="s">
        <v>269</v>
      </c>
      <c r="O221" s="25">
        <f>I221/L221-1</f>
        <v>3.1965973534971548E-2</v>
      </c>
    </row>
    <row r="222" spans="1:15">
      <c r="A222" s="86">
        <v>685.46</v>
      </c>
      <c r="B222" s="86">
        <v>688.83</v>
      </c>
      <c r="C222" s="86">
        <v>682.3</v>
      </c>
      <c r="D222" s="86">
        <v>684.73</v>
      </c>
      <c r="E222" s="86">
        <v>8627875.0035999995</v>
      </c>
      <c r="F222" s="86" t="s">
        <v>270</v>
      </c>
      <c r="G222" s="25">
        <f t="shared" ref="G222:G285" si="0">A222/D222-1</f>
        <v>1.0661136506360247E-3</v>
      </c>
      <c r="I222" s="86">
        <v>521.82000000000005</v>
      </c>
      <c r="J222" s="86">
        <v>524.24</v>
      </c>
      <c r="K222" s="86">
        <v>514.34500000000003</v>
      </c>
      <c r="L222" s="86">
        <v>517</v>
      </c>
      <c r="M222" s="86">
        <v>1276077.0534999999</v>
      </c>
      <c r="N222" s="86" t="s">
        <v>270</v>
      </c>
      <c r="O222" s="25">
        <f t="shared" ref="O222:O285" si="1">I222/L222-1</f>
        <v>9.3230174081238015E-3</v>
      </c>
    </row>
    <row r="223" spans="1:15">
      <c r="A223" s="86">
        <v>686.81</v>
      </c>
      <c r="B223" s="86">
        <v>687.529</v>
      </c>
      <c r="C223" s="86">
        <v>680.99</v>
      </c>
      <c r="D223" s="86">
        <v>681.32</v>
      </c>
      <c r="E223" s="86">
        <v>9853712.8944000006</v>
      </c>
      <c r="F223" s="86" t="s">
        <v>271</v>
      </c>
      <c r="G223" s="25">
        <f t="shared" si="0"/>
        <v>8.0578876298946778E-3</v>
      </c>
      <c r="I223" s="86">
        <v>509.46</v>
      </c>
      <c r="J223" s="86">
        <v>509.46</v>
      </c>
      <c r="K223" s="86">
        <v>498.3</v>
      </c>
      <c r="L223" s="86">
        <v>504</v>
      </c>
      <c r="M223" s="86">
        <v>1127248.7479000001</v>
      </c>
      <c r="N223" s="86" t="s">
        <v>271</v>
      </c>
      <c r="O223" s="25">
        <f t="shared" si="1"/>
        <v>1.083333333333325E-2</v>
      </c>
    </row>
    <row r="224" spans="1:15">
      <c r="A224" s="86">
        <v>681.01</v>
      </c>
      <c r="B224" s="86">
        <v>681.56500000000005</v>
      </c>
      <c r="C224" s="86">
        <v>672.93</v>
      </c>
      <c r="D224" s="86">
        <v>677.01</v>
      </c>
      <c r="E224" s="86">
        <v>5649228.7867999999</v>
      </c>
      <c r="F224" s="86" t="s">
        <v>272</v>
      </c>
      <c r="G224" s="25">
        <f t="shared" si="0"/>
        <v>5.9083322255211179E-3</v>
      </c>
      <c r="I224" s="86">
        <v>502.07</v>
      </c>
      <c r="J224" s="86">
        <v>510.13499999999999</v>
      </c>
      <c r="K224" s="86">
        <v>501.75</v>
      </c>
      <c r="L224" s="86">
        <v>508.5</v>
      </c>
      <c r="M224" s="86">
        <v>968312.28529999999</v>
      </c>
      <c r="N224" s="86" t="s">
        <v>272</v>
      </c>
      <c r="O224" s="25">
        <f t="shared" si="1"/>
        <v>-1.264503441494591E-2</v>
      </c>
    </row>
    <row r="225" spans="1:21">
      <c r="A225" s="86">
        <v>670.26</v>
      </c>
      <c r="B225" s="86">
        <v>676.95500000000004</v>
      </c>
      <c r="C225" s="86">
        <v>668.1</v>
      </c>
      <c r="D225" s="86">
        <v>669.96</v>
      </c>
      <c r="E225" s="86">
        <v>5935648.6288000001</v>
      </c>
      <c r="F225" s="86" t="s">
        <v>273</v>
      </c>
      <c r="G225" s="25">
        <f t="shared" si="0"/>
        <v>4.4778792763744413E-4</v>
      </c>
      <c r="I225" s="86">
        <v>507.4</v>
      </c>
      <c r="J225" s="86">
        <v>518.24</v>
      </c>
      <c r="K225" s="86">
        <v>503.9</v>
      </c>
      <c r="L225" s="86">
        <v>505.25</v>
      </c>
      <c r="M225" s="86">
        <v>3508639.5411999999</v>
      </c>
      <c r="N225" s="86" t="s">
        <v>273</v>
      </c>
      <c r="O225" s="25">
        <f t="shared" si="1"/>
        <v>4.2553191489360653E-3</v>
      </c>
    </row>
    <row r="226" spans="1:21">
      <c r="A226" s="86">
        <v>673.74779998746499</v>
      </c>
      <c r="B226" s="86">
        <v>679.56087020091002</v>
      </c>
      <c r="C226" s="86">
        <v>670.62688922107009</v>
      </c>
      <c r="D226" s="86">
        <v>679.16203176430997</v>
      </c>
      <c r="E226" s="86">
        <v>23355606.123143647</v>
      </c>
      <c r="F226" s="86" t="s">
        <v>274</v>
      </c>
      <c r="G226" s="25">
        <f t="shared" si="0"/>
        <v>-7.9719294124556139E-3</v>
      </c>
      <c r="I226" s="86">
        <v>505.02</v>
      </c>
      <c r="J226" s="86">
        <v>512.57000000000005</v>
      </c>
      <c r="K226" s="86">
        <v>494.25</v>
      </c>
      <c r="L226" s="86">
        <v>495.95</v>
      </c>
      <c r="M226" s="86">
        <v>1364101.8361</v>
      </c>
      <c r="N226" s="86" t="s">
        <v>274</v>
      </c>
      <c r="O226" s="25">
        <f t="shared" si="1"/>
        <v>1.8288133884464042E-2</v>
      </c>
    </row>
    <row r="227" spans="1:21">
      <c r="A227" s="86">
        <v>673.72785806563502</v>
      </c>
      <c r="B227" s="86">
        <v>680.08933112940508</v>
      </c>
      <c r="C227" s="86">
        <v>671.72369492171993</v>
      </c>
      <c r="D227" s="86">
        <v>675.71207928771992</v>
      </c>
      <c r="E227" s="86">
        <v>9593615.7837200798</v>
      </c>
      <c r="F227" s="86" t="s">
        <v>275</v>
      </c>
      <c r="G227" s="25">
        <f t="shared" si="0"/>
        <v>-2.9364891984415831E-3</v>
      </c>
      <c r="I227" s="86">
        <v>491.64</v>
      </c>
      <c r="J227" s="86">
        <v>503.34</v>
      </c>
      <c r="K227" s="86">
        <v>491.49</v>
      </c>
      <c r="L227" s="86">
        <v>502.935</v>
      </c>
      <c r="M227" s="86">
        <v>1249027.3163000001</v>
      </c>
      <c r="N227" s="86" t="s">
        <v>275</v>
      </c>
      <c r="O227" s="25">
        <f t="shared" si="1"/>
        <v>-2.2458170538936506E-2</v>
      </c>
    </row>
    <row r="228" spans="1:21">
      <c r="A228" s="86">
        <v>674.37597052511001</v>
      </c>
      <c r="B228" s="86">
        <v>679.7491219429852</v>
      </c>
      <c r="C228" s="86">
        <v>673.05980368432995</v>
      </c>
      <c r="D228" s="86">
        <v>674.39092696648254</v>
      </c>
      <c r="E228" s="86">
        <v>17263981.413069256</v>
      </c>
      <c r="F228" s="86" t="s">
        <v>276</v>
      </c>
      <c r="G228" s="25">
        <f t="shared" si="0"/>
        <v>-2.2177702537873323E-5</v>
      </c>
      <c r="I228" s="86">
        <v>503.67</v>
      </c>
      <c r="J228" s="86">
        <v>504.3</v>
      </c>
      <c r="K228" s="86">
        <v>496.53</v>
      </c>
      <c r="L228" s="86">
        <v>498.83</v>
      </c>
      <c r="M228" s="86">
        <v>822516.30680000002</v>
      </c>
      <c r="N228" s="86" t="s">
        <v>276</v>
      </c>
      <c r="O228" s="25">
        <f t="shared" si="1"/>
        <v>9.7027043281279202E-3</v>
      </c>
    </row>
    <row r="229" spans="1:21">
      <c r="A229" s="86">
        <v>684.10762837815003</v>
      </c>
      <c r="B229" s="86">
        <v>689.49194727225006</v>
      </c>
      <c r="C229" s="86">
        <v>683.01082267749996</v>
      </c>
      <c r="D229" s="86">
        <v>687.16871337905491</v>
      </c>
      <c r="E229" s="86">
        <v>13365184.608990114</v>
      </c>
      <c r="F229" s="86" t="s">
        <v>277</v>
      </c>
      <c r="G229" s="25">
        <f t="shared" si="0"/>
        <v>-4.4546338349026326E-3</v>
      </c>
      <c r="I229" s="86">
        <v>493.6</v>
      </c>
      <c r="J229" s="86">
        <v>510</v>
      </c>
      <c r="K229" s="86">
        <v>490.05</v>
      </c>
      <c r="L229" s="86">
        <v>508.5</v>
      </c>
      <c r="M229" s="86">
        <v>1413041.2042</v>
      </c>
      <c r="N229" s="86" t="s">
        <v>277</v>
      </c>
      <c r="O229" s="25">
        <f t="shared" si="1"/>
        <v>-2.9301868239921314E-2</v>
      </c>
    </row>
    <row r="230" spans="1:21">
      <c r="A230" s="86">
        <v>686.111791522065</v>
      </c>
      <c r="B230" s="86">
        <v>687.69717430755009</v>
      </c>
      <c r="C230" s="86">
        <v>683.70878994155009</v>
      </c>
      <c r="D230" s="86">
        <v>687.29833587094993</v>
      </c>
      <c r="E230" s="86">
        <v>17768871.503895573</v>
      </c>
      <c r="F230" s="86" t="s">
        <v>278</v>
      </c>
      <c r="G230" s="25">
        <f t="shared" si="0"/>
        <v>-1.7263890903814749E-3</v>
      </c>
      <c r="I230" s="86">
        <v>510.95</v>
      </c>
      <c r="J230" s="86">
        <v>536.9</v>
      </c>
      <c r="K230" s="86">
        <v>505.18</v>
      </c>
      <c r="L230" s="86">
        <v>535.55999999999995</v>
      </c>
      <c r="M230" s="86">
        <v>3942757.4338000002</v>
      </c>
      <c r="N230" s="86" t="s">
        <v>278</v>
      </c>
      <c r="O230" s="25">
        <f t="shared" si="1"/>
        <v>-4.5951900814101054E-2</v>
      </c>
    </row>
    <row r="231" spans="1:21">
      <c r="A231" s="86">
        <v>679.431247709015</v>
      </c>
      <c r="B231" s="86">
        <v>689.52186015499501</v>
      </c>
      <c r="C231" s="86">
        <v>677.66638762705998</v>
      </c>
      <c r="D231" s="86">
        <v>688.75409616453999</v>
      </c>
      <c r="E231" s="86">
        <v>15004527.195962839</v>
      </c>
      <c r="F231" s="86" t="s">
        <v>279</v>
      </c>
      <c r="G231" s="25">
        <f t="shared" si="0"/>
        <v>-1.3535815623371361E-2</v>
      </c>
      <c r="I231" s="86">
        <v>532.32000000000005</v>
      </c>
      <c r="J231" s="86">
        <v>539.47</v>
      </c>
      <c r="K231" s="86">
        <v>528.9</v>
      </c>
      <c r="L231" s="86">
        <v>530.25</v>
      </c>
      <c r="M231" s="86">
        <v>1120251.763</v>
      </c>
      <c r="N231" s="86" t="s">
        <v>279</v>
      </c>
      <c r="O231" s="25">
        <f t="shared" si="1"/>
        <v>3.9038189533240342E-3</v>
      </c>
    </row>
    <row r="232" spans="1:21">
      <c r="A232" s="86">
        <v>687.74702911212501</v>
      </c>
      <c r="B232" s="86">
        <v>692.55303227315505</v>
      </c>
      <c r="C232" s="86">
        <v>687.43792932376005</v>
      </c>
      <c r="D232" s="86">
        <v>691.8151811654451</v>
      </c>
      <c r="E232" s="86">
        <v>13322313.582251165</v>
      </c>
      <c r="F232" s="86" t="s">
        <v>280</v>
      </c>
      <c r="G232" s="25">
        <f t="shared" si="0"/>
        <v>-5.8804029805573643E-3</v>
      </c>
      <c r="I232" s="86">
        <v>535.95000000000005</v>
      </c>
      <c r="J232" s="86">
        <v>538.5</v>
      </c>
      <c r="K232" s="86">
        <v>527.01</v>
      </c>
      <c r="L232" s="86">
        <v>531.26</v>
      </c>
      <c r="M232" s="86">
        <v>846208.34389999998</v>
      </c>
      <c r="N232" s="86" t="s">
        <v>280</v>
      </c>
      <c r="O232" s="25">
        <f t="shared" si="1"/>
        <v>8.8280691186990445E-3</v>
      </c>
    </row>
    <row r="233" spans="1:21">
      <c r="A233" s="86">
        <v>691.8151811654451</v>
      </c>
      <c r="B233" s="86">
        <v>693.72960566112499</v>
      </c>
      <c r="C233" s="86">
        <v>689.25264421028999</v>
      </c>
      <c r="D233" s="86">
        <v>689.29252805394992</v>
      </c>
      <c r="E233" s="86">
        <v>14057972.880540572</v>
      </c>
      <c r="F233" s="86" t="s">
        <v>281</v>
      </c>
      <c r="G233" s="25">
        <f t="shared" si="0"/>
        <v>3.6597714451036545E-3</v>
      </c>
      <c r="I233" s="86">
        <v>530.36</v>
      </c>
      <c r="J233" s="86">
        <v>535.79989999999998</v>
      </c>
      <c r="K233" s="86">
        <v>528.59</v>
      </c>
      <c r="L233" s="86">
        <v>535.41999999999996</v>
      </c>
      <c r="M233" s="86">
        <v>1188799.7572999999</v>
      </c>
      <c r="N233" s="86" t="s">
        <v>281</v>
      </c>
      <c r="O233" s="25">
        <f t="shared" si="1"/>
        <v>-9.45052482163522E-3</v>
      </c>
    </row>
    <row r="234" spans="1:21">
      <c r="A234" s="86">
        <v>679.96967959842505</v>
      </c>
      <c r="B234" s="86">
        <v>682.45115264134108</v>
      </c>
      <c r="C234" s="86">
        <v>673.84750959661494</v>
      </c>
      <c r="D234" s="86">
        <v>679.09722051836252</v>
      </c>
      <c r="E234" s="86">
        <v>6314635.7692848304</v>
      </c>
      <c r="F234" s="86" t="s">
        <v>282</v>
      </c>
      <c r="G234" s="25">
        <f t="shared" si="0"/>
        <v>1.2847336930588149E-3</v>
      </c>
      <c r="I234" s="86">
        <v>540.33000000000004</v>
      </c>
      <c r="J234" s="86">
        <v>550.86159999999995</v>
      </c>
      <c r="K234" s="86">
        <v>538.30999999999995</v>
      </c>
      <c r="L234" s="86">
        <v>547</v>
      </c>
      <c r="M234" s="86">
        <v>1028256.5107</v>
      </c>
      <c r="N234" s="86" t="s">
        <v>282</v>
      </c>
      <c r="O234" s="25">
        <f t="shared" si="1"/>
        <v>-1.2193784277879316E-2</v>
      </c>
      <c r="Q234" s="26"/>
      <c r="R234" s="26" t="s">
        <v>25</v>
      </c>
      <c r="S234" s="27">
        <f>MIN(O221:O1726)</f>
        <v>-8.0298688531447948E-2</v>
      </c>
    </row>
    <row r="235" spans="1:21">
      <c r="A235" s="86">
        <v>676.26048213804506</v>
      </c>
      <c r="B235" s="86">
        <v>678.40423873477005</v>
      </c>
      <c r="C235" s="86">
        <v>664.065996939</v>
      </c>
      <c r="D235" s="86">
        <v>668.15409091415006</v>
      </c>
      <c r="E235" s="86">
        <v>19926769.008100156</v>
      </c>
      <c r="F235" s="86" t="s">
        <v>283</v>
      </c>
      <c r="G235" s="25">
        <f t="shared" si="0"/>
        <v>1.2132517534696241E-2</v>
      </c>
      <c r="I235" s="86">
        <v>548.67999999999995</v>
      </c>
      <c r="J235" s="86">
        <v>550.99</v>
      </c>
      <c r="K235" s="86">
        <v>528.26</v>
      </c>
      <c r="L235" s="86">
        <v>528.62</v>
      </c>
      <c r="M235" s="86">
        <v>1374926.5865</v>
      </c>
      <c r="N235" s="86" t="s">
        <v>283</v>
      </c>
      <c r="O235" s="25">
        <f t="shared" si="1"/>
        <v>3.7947864250311936E-2</v>
      </c>
      <c r="Q235" s="26"/>
      <c r="R235" s="26" t="s">
        <v>26</v>
      </c>
      <c r="S235" s="27">
        <f>MAX(O221:O1726)</f>
        <v>7.1164578940840828E-2</v>
      </c>
    </row>
    <row r="236" spans="1:21">
      <c r="A236" s="86">
        <v>665.11294783507492</v>
      </c>
      <c r="B236" s="86">
        <v>676.9036091170625</v>
      </c>
      <c r="C236" s="86">
        <v>664.94344149951996</v>
      </c>
      <c r="D236" s="86">
        <v>672.35685093982261</v>
      </c>
      <c r="E236" s="86">
        <v>16356103.013668267</v>
      </c>
      <c r="F236" s="86" t="s">
        <v>284</v>
      </c>
      <c r="G236" s="25">
        <f t="shared" si="0"/>
        <v>-1.0773896472716982E-2</v>
      </c>
      <c r="I236" s="86">
        <v>525.02</v>
      </c>
      <c r="J236" s="86">
        <v>535.20000000000005</v>
      </c>
      <c r="K236" s="86">
        <v>524.80999999999995</v>
      </c>
      <c r="L236" s="86">
        <v>534.25</v>
      </c>
      <c r="M236" s="86">
        <v>920676.33100000001</v>
      </c>
      <c r="N236" s="86" t="s">
        <v>284</v>
      </c>
      <c r="O236" s="25">
        <f t="shared" si="1"/>
        <v>-1.7276555919513381E-2</v>
      </c>
      <c r="Q236" s="26"/>
      <c r="R236" s="26" t="s">
        <v>27</v>
      </c>
      <c r="S236" s="27">
        <f>AVERAGE(O221:O1726)</f>
        <v>-1.482627171302668E-5</v>
      </c>
    </row>
    <row r="237" spans="1:21">
      <c r="A237" s="86">
        <v>675.73202120955</v>
      </c>
      <c r="B237" s="86">
        <v>684.76571179854</v>
      </c>
      <c r="C237" s="86">
        <v>662.39097521488918</v>
      </c>
      <c r="D237" s="86">
        <v>681.72456871946508</v>
      </c>
      <c r="E237" s="86">
        <v>13824281.688200761</v>
      </c>
      <c r="F237" s="86" t="s">
        <v>285</v>
      </c>
      <c r="G237" s="25">
        <f t="shared" si="0"/>
        <v>-8.7902765792515769E-3</v>
      </c>
      <c r="I237" s="86">
        <v>530.13</v>
      </c>
      <c r="J237" s="86">
        <v>530.17999999999995</v>
      </c>
      <c r="K237" s="86">
        <v>518.87</v>
      </c>
      <c r="L237" s="86">
        <v>519</v>
      </c>
      <c r="M237" s="86">
        <v>1014831.1072</v>
      </c>
      <c r="N237" s="86" t="s">
        <v>285</v>
      </c>
      <c r="O237" s="25">
        <f t="shared" si="1"/>
        <v>2.1445086705202288E-2</v>
      </c>
      <c r="Q237" s="26"/>
      <c r="R237" s="26" t="s">
        <v>28</v>
      </c>
      <c r="S237" s="27">
        <f>MEDIAN(O221:O1726)</f>
        <v>4.4086046080971109E-5</v>
      </c>
    </row>
    <row r="238" spans="1:21" ht="15">
      <c r="A238" s="86">
        <v>677.70627147071991</v>
      </c>
      <c r="B238" s="86">
        <v>683.29998054403495</v>
      </c>
      <c r="C238" s="86">
        <v>676.72911730105</v>
      </c>
      <c r="D238" s="86">
        <v>681.48526565750501</v>
      </c>
      <c r="E238" s="86">
        <v>8770213.3491915297</v>
      </c>
      <c r="F238" s="86" t="s">
        <v>286</v>
      </c>
      <c r="G238" s="25">
        <f t="shared" si="0"/>
        <v>-5.5452324169313894E-3</v>
      </c>
      <c r="I238" s="86">
        <v>520.07000000000005</v>
      </c>
      <c r="J238" s="86">
        <v>527.11</v>
      </c>
      <c r="K238" s="86">
        <v>516.85</v>
      </c>
      <c r="L238" s="86">
        <v>523</v>
      </c>
      <c r="M238" s="86">
        <v>826531.43110000005</v>
      </c>
      <c r="N238" s="86" t="s">
        <v>286</v>
      </c>
      <c r="O238" s="25">
        <f t="shared" si="1"/>
        <v>-5.6022944550668807E-3</v>
      </c>
      <c r="Q238" s="26"/>
      <c r="R238" s="26" t="s">
        <v>29</v>
      </c>
      <c r="S238" s="27">
        <f>_xlfn.STDEV.P(O221:O1726)</f>
        <v>1.1998016531815337E-2</v>
      </c>
      <c r="U238" s="2"/>
    </row>
    <row r="239" spans="1:21" ht="15">
      <c r="A239" s="86">
        <v>676.03115003699997</v>
      </c>
      <c r="B239" s="86">
        <v>690.16997261447</v>
      </c>
      <c r="C239" s="86">
        <v>674.28623187687504</v>
      </c>
      <c r="D239" s="86">
        <v>689.70133745146506</v>
      </c>
      <c r="E239" s="86">
        <v>10720357.273910748</v>
      </c>
      <c r="F239" s="86" t="s">
        <v>287</v>
      </c>
      <c r="G239" s="25">
        <f t="shared" si="0"/>
        <v>-1.9820444984169794E-2</v>
      </c>
      <c r="I239" s="86">
        <v>523.76</v>
      </c>
      <c r="J239" s="86">
        <v>528.01</v>
      </c>
      <c r="K239" s="86">
        <v>519.95000000000005</v>
      </c>
      <c r="L239" s="86">
        <v>520</v>
      </c>
      <c r="M239" s="86">
        <v>897799.76950000005</v>
      </c>
      <c r="N239" s="86" t="s">
        <v>287</v>
      </c>
      <c r="O239" s="25">
        <f t="shared" si="1"/>
        <v>7.2307692307691518E-3</v>
      </c>
      <c r="Q239" s="26"/>
      <c r="R239" s="28" t="s">
        <v>30</v>
      </c>
      <c r="S239" s="27">
        <f>3*S238</f>
        <v>3.5994049595446012E-2</v>
      </c>
      <c r="T239" s="26"/>
      <c r="U239" s="2" t="s">
        <v>86</v>
      </c>
    </row>
    <row r="240" spans="1:21" ht="15">
      <c r="A240" s="86">
        <v>694.03870544948995</v>
      </c>
      <c r="B240" s="86">
        <v>695.17539499380007</v>
      </c>
      <c r="C240" s="86">
        <v>688.89368961734999</v>
      </c>
      <c r="D240" s="86">
        <v>689.48197631133496</v>
      </c>
      <c r="E240" s="86">
        <v>6594037.9644944174</v>
      </c>
      <c r="F240" s="86" t="s">
        <v>288</v>
      </c>
      <c r="G240" s="25">
        <f t="shared" si="0"/>
        <v>6.608916976384327E-3</v>
      </c>
      <c r="I240" s="86">
        <v>519.04999999999995</v>
      </c>
      <c r="J240" s="86">
        <v>522.702</v>
      </c>
      <c r="K240" s="86">
        <v>514.14</v>
      </c>
      <c r="L240" s="86">
        <v>517.74</v>
      </c>
      <c r="M240" s="86">
        <v>849729.60719999997</v>
      </c>
      <c r="N240" s="86" t="s">
        <v>288</v>
      </c>
      <c r="O240" s="25">
        <f t="shared" si="1"/>
        <v>2.530227527330231E-3</v>
      </c>
      <c r="Q240" s="26"/>
      <c r="R240" s="28" t="s">
        <v>31</v>
      </c>
      <c r="S240" s="55">
        <f>_xlfn.COVARIANCE.P(O166:O414,G166:G414)/_xlfn.VAR.P(G166:G414)</f>
        <v>0.25722987518253254</v>
      </c>
      <c r="T240" s="26"/>
      <c r="U240" s="2" t="s">
        <v>32</v>
      </c>
    </row>
    <row r="241" spans="1:25">
      <c r="A241" s="86">
        <v>691.34654600244005</v>
      </c>
      <c r="B241" s="86">
        <v>695.6239885253658</v>
      </c>
      <c r="C241" s="86">
        <v>690.83802699577507</v>
      </c>
      <c r="D241" s="86">
        <v>695.05574346282003</v>
      </c>
      <c r="E241" s="86">
        <v>5899709.4767972017</v>
      </c>
      <c r="F241" s="86" t="s">
        <v>289</v>
      </c>
      <c r="G241" s="25">
        <f t="shared" si="0"/>
        <v>-5.33654673782058E-3</v>
      </c>
      <c r="I241" s="86">
        <v>512.03</v>
      </c>
      <c r="J241" s="86">
        <v>524.54</v>
      </c>
      <c r="K241" s="86">
        <v>510.54</v>
      </c>
      <c r="L241" s="86">
        <v>512.25</v>
      </c>
      <c r="M241" s="86">
        <v>1024198.8956</v>
      </c>
      <c r="N241" s="86" t="s">
        <v>289</v>
      </c>
      <c r="O241" s="25">
        <f t="shared" si="1"/>
        <v>-4.2947779404589603E-4</v>
      </c>
    </row>
    <row r="242" spans="1:25">
      <c r="A242" s="86">
        <v>696.23231685078997</v>
      </c>
      <c r="B242" s="86">
        <v>697.11973237222503</v>
      </c>
      <c r="C242" s="86">
        <v>693.75951854386994</v>
      </c>
      <c r="D242" s="86">
        <v>694.03870544948995</v>
      </c>
      <c r="E242" s="86">
        <v>4712079.9863249687</v>
      </c>
      <c r="F242" s="86" t="s">
        <v>290</v>
      </c>
      <c r="G242" s="25">
        <f t="shared" si="0"/>
        <v>3.1606470706548873E-3</v>
      </c>
      <c r="I242" s="86">
        <v>513.42999999999995</v>
      </c>
      <c r="J242" s="86">
        <v>516.71</v>
      </c>
      <c r="K242" s="86">
        <v>510.1</v>
      </c>
      <c r="L242" s="86">
        <v>514.5</v>
      </c>
      <c r="M242" s="86">
        <v>1031319.3673</v>
      </c>
      <c r="N242" s="86" t="s">
        <v>290</v>
      </c>
      <c r="O242" s="25">
        <f t="shared" si="1"/>
        <v>-2.0796890184646699E-3</v>
      </c>
      <c r="Q242" s="29" t="s">
        <v>33</v>
      </c>
      <c r="R242" s="30">
        <v>1506</v>
      </c>
    </row>
    <row r="243" spans="1:25" ht="15" thickBot="1">
      <c r="A243" s="86">
        <v>695.27510460294991</v>
      </c>
      <c r="B243" s="86">
        <v>697.02999372398995</v>
      </c>
      <c r="C243" s="86">
        <v>691.92486173551004</v>
      </c>
      <c r="D243" s="86">
        <v>692.52311939040999</v>
      </c>
      <c r="E243" s="86">
        <v>9977807.5136502534</v>
      </c>
      <c r="F243" s="86" t="s">
        <v>291</v>
      </c>
      <c r="G243" s="25">
        <f t="shared" si="0"/>
        <v>3.9738531977999703E-3</v>
      </c>
      <c r="I243" s="86">
        <v>516.5</v>
      </c>
      <c r="J243" s="86">
        <v>525.99</v>
      </c>
      <c r="K243" s="86">
        <v>515.88009999999997</v>
      </c>
      <c r="L243" s="86">
        <v>523.98</v>
      </c>
      <c r="M243" s="86">
        <v>1181516.7923999999</v>
      </c>
      <c r="N243" s="86" t="s">
        <v>291</v>
      </c>
      <c r="O243" s="25">
        <f t="shared" si="1"/>
        <v>-1.4275354021145881E-2</v>
      </c>
      <c r="Q243" s="1" t="s">
        <v>34</v>
      </c>
      <c r="T243" s="1" t="s">
        <v>35</v>
      </c>
      <c r="X243" s="1" t="s">
        <v>36</v>
      </c>
    </row>
    <row r="244" spans="1:25" ht="15" customHeight="1">
      <c r="A244" s="86">
        <v>693.47036067733507</v>
      </c>
      <c r="B244" s="86">
        <v>694.97597577550005</v>
      </c>
      <c r="C244" s="86">
        <v>691.875006930935</v>
      </c>
      <c r="D244" s="86">
        <v>692.98178359250005</v>
      </c>
      <c r="E244" s="86">
        <v>5053895.6306800442</v>
      </c>
      <c r="F244" s="86" t="s">
        <v>292</v>
      </c>
      <c r="G244" s="25">
        <f t="shared" si="0"/>
        <v>7.0503597122306694E-4</v>
      </c>
      <c r="I244" s="86">
        <v>526.99999998569001</v>
      </c>
      <c r="J244" s="86">
        <v>533.75577338544997</v>
      </c>
      <c r="K244" s="86">
        <v>524.51625976519006</v>
      </c>
      <c r="L244" s="86">
        <v>532.75234233636797</v>
      </c>
      <c r="M244" s="86">
        <v>2257472.6197095052</v>
      </c>
      <c r="N244" s="86" t="s">
        <v>292</v>
      </c>
      <c r="O244" s="25">
        <f t="shared" si="1"/>
        <v>-1.0797404147396605E-2</v>
      </c>
      <c r="Q244" s="89" t="s">
        <v>37</v>
      </c>
      <c r="R244" s="89" t="s">
        <v>38</v>
      </c>
      <c r="T244" s="31" t="s">
        <v>39</v>
      </c>
      <c r="U244" s="32" t="s">
        <v>40</v>
      </c>
      <c r="X244" s="31" t="s">
        <v>41</v>
      </c>
      <c r="Y244" s="32" t="s">
        <v>42</v>
      </c>
    </row>
    <row r="245" spans="1:25" ht="15">
      <c r="A245" s="86">
        <v>691.89494885276497</v>
      </c>
      <c r="B245" s="86">
        <v>692.27384536753493</v>
      </c>
      <c r="C245" s="86">
        <v>686.84964262977508</v>
      </c>
      <c r="D245" s="86">
        <v>687.75700007303999</v>
      </c>
      <c r="E245" s="86">
        <v>8469446.3909650184</v>
      </c>
      <c r="F245" s="86" t="s">
        <v>293</v>
      </c>
      <c r="G245" s="25">
        <f t="shared" si="0"/>
        <v>6.016585479007075E-3</v>
      </c>
      <c r="I245" s="86">
        <v>533.716033541922</v>
      </c>
      <c r="J245" s="86">
        <v>537.69001789472202</v>
      </c>
      <c r="K245" s="86">
        <v>527.68551228654803</v>
      </c>
      <c r="L245" s="86">
        <v>530.68587047291203</v>
      </c>
      <c r="M245" s="86">
        <v>1142746.6777015137</v>
      </c>
      <c r="N245" s="86" t="s">
        <v>293</v>
      </c>
      <c r="O245" s="25">
        <f t="shared" si="1"/>
        <v>5.7098996555338122E-3</v>
      </c>
      <c r="Q245" s="87">
        <v>-4.0000000000000029E-2</v>
      </c>
      <c r="R245">
        <v>8</v>
      </c>
      <c r="T245" s="54">
        <f t="shared" ref="T245:T284" si="2">T246-0.001</f>
        <v>-4.200000000000003E-2</v>
      </c>
      <c r="U245" s="1">
        <f t="shared" ref="U245:U276" si="3">_xlfn.NORM.DIST(T245,$S$236,$S$238,FALSE)</f>
        <v>7.2903043032960135E-2</v>
      </c>
      <c r="W245" s="1" t="s">
        <v>77</v>
      </c>
      <c r="X245" s="54">
        <f>S236</f>
        <v>-1.482627171302668E-5</v>
      </c>
      <c r="Y245" s="1">
        <v>0</v>
      </c>
    </row>
    <row r="246" spans="1:25" ht="15">
      <c r="A246" s="86">
        <v>687.95641929134001</v>
      </c>
      <c r="B246" s="86">
        <v>688.77403808636996</v>
      </c>
      <c r="C246" s="86">
        <v>685.92234326467997</v>
      </c>
      <c r="D246" s="86">
        <v>688.35525772794006</v>
      </c>
      <c r="E246" s="86">
        <v>7356729.2231232254</v>
      </c>
      <c r="F246" s="86" t="s">
        <v>294</v>
      </c>
      <c r="G246" s="25">
        <f t="shared" si="0"/>
        <v>-5.7940784518228927E-4</v>
      </c>
      <c r="I246" s="86">
        <v>527.68551228654803</v>
      </c>
      <c r="J246" s="86">
        <v>530.09970778087404</v>
      </c>
      <c r="K246" s="86">
        <v>520.84032423885003</v>
      </c>
      <c r="L246" s="86">
        <v>528.52004900063605</v>
      </c>
      <c r="M246" s="86">
        <v>976750.40870885632</v>
      </c>
      <c r="N246" s="86" t="s">
        <v>294</v>
      </c>
      <c r="O246" s="25">
        <f t="shared" si="1"/>
        <v>-1.5790067295763377E-3</v>
      </c>
      <c r="Q246" s="87">
        <v>-3.9000000000000028E-2</v>
      </c>
      <c r="R246">
        <v>3</v>
      </c>
      <c r="T246" s="54">
        <f t="shared" si="2"/>
        <v>-4.1000000000000029E-2</v>
      </c>
      <c r="U246" s="1">
        <f t="shared" si="3"/>
        <v>9.7253125934309653E-2</v>
      </c>
      <c r="X246" s="54">
        <f>S236</f>
        <v>-1.482627171302668E-5</v>
      </c>
      <c r="Y246" s="1">
        <v>33</v>
      </c>
    </row>
    <row r="247" spans="1:25" ht="15">
      <c r="A247" s="86">
        <v>688.00627409591505</v>
      </c>
      <c r="B247" s="86">
        <v>689.50241678121074</v>
      </c>
      <c r="C247" s="86">
        <v>686.08187863932005</v>
      </c>
      <c r="D247" s="86">
        <v>687.64731950297494</v>
      </c>
      <c r="E247" s="86">
        <v>6622042.8364802189</v>
      </c>
      <c r="F247" s="86" t="s">
        <v>295</v>
      </c>
      <c r="G247" s="25">
        <f t="shared" si="0"/>
        <v>5.2200391502954524E-4</v>
      </c>
      <c r="I247" s="86">
        <v>529.43406540178</v>
      </c>
      <c r="J247" s="86">
        <v>532.53377319696403</v>
      </c>
      <c r="K247" s="86">
        <v>525.55943065780002</v>
      </c>
      <c r="L247" s="86">
        <v>532.51390327520005</v>
      </c>
      <c r="M247" s="86">
        <v>1221984.8185809897</v>
      </c>
      <c r="N247" s="86" t="s">
        <v>295</v>
      </c>
      <c r="O247" s="25">
        <f t="shared" si="1"/>
        <v>-5.7835820895523193E-3</v>
      </c>
      <c r="Q247" s="87">
        <v>-3.8000000000000027E-2</v>
      </c>
      <c r="R247">
        <v>0</v>
      </c>
      <c r="T247" s="54">
        <f t="shared" si="2"/>
        <v>-4.0000000000000029E-2</v>
      </c>
      <c r="U247" s="1">
        <f t="shared" si="3"/>
        <v>0.12883817108604287</v>
      </c>
      <c r="W247" s="38" t="s">
        <v>78</v>
      </c>
      <c r="X247" s="54">
        <f>($S$238*-3)+$S$236</f>
        <v>-3.6008875867159042E-2</v>
      </c>
      <c r="Y247" s="1">
        <v>0</v>
      </c>
    </row>
    <row r="248" spans="1:25" ht="15">
      <c r="A248" s="86">
        <v>683.55922552782499</v>
      </c>
      <c r="B248" s="86">
        <v>686.58042668507005</v>
      </c>
      <c r="C248" s="86">
        <v>682.49223300031088</v>
      </c>
      <c r="D248" s="86">
        <v>684.10762837815003</v>
      </c>
      <c r="E248" s="86">
        <v>4276144.8892912446</v>
      </c>
      <c r="F248" s="86" t="s">
        <v>296</v>
      </c>
      <c r="G248" s="25">
        <f t="shared" si="0"/>
        <v>-8.0163241509989547E-4</v>
      </c>
      <c r="I248" s="86">
        <v>529.77185407176796</v>
      </c>
      <c r="J248" s="86">
        <v>530.79515504261394</v>
      </c>
      <c r="K248" s="86">
        <v>520.59204956640883</v>
      </c>
      <c r="L248" s="86">
        <v>521.446356852652</v>
      </c>
      <c r="M248" s="86">
        <v>1054532.4206541751</v>
      </c>
      <c r="N248" s="86" t="s">
        <v>296</v>
      </c>
      <c r="O248" s="25">
        <f t="shared" si="1"/>
        <v>1.5966162405212758E-2</v>
      </c>
      <c r="Q248" s="87">
        <v>-3.7000000000000026E-2</v>
      </c>
      <c r="R248">
        <v>1</v>
      </c>
      <c r="T248" s="54">
        <f t="shared" si="2"/>
        <v>-3.9000000000000028E-2</v>
      </c>
      <c r="U248" s="1">
        <f t="shared" si="3"/>
        <v>0.16949957039872227</v>
      </c>
      <c r="W248" s="39"/>
      <c r="X248" s="54">
        <f>($S$238*-3)+$S$236</f>
        <v>-3.6008875867159042E-2</v>
      </c>
      <c r="Y248" s="1">
        <v>1</v>
      </c>
    </row>
    <row r="249" spans="1:25" ht="15">
      <c r="A249" s="86">
        <v>680.85709511985999</v>
      </c>
      <c r="B249" s="86">
        <v>682.83633086148757</v>
      </c>
      <c r="C249" s="86">
        <v>675.65225352223001</v>
      </c>
      <c r="D249" s="86">
        <v>677.10801381582007</v>
      </c>
      <c r="E249" s="86">
        <v>7310162.5559826996</v>
      </c>
      <c r="F249" s="86" t="s">
        <v>297</v>
      </c>
      <c r="G249" s="25">
        <f t="shared" si="0"/>
        <v>5.5369028685867683E-3</v>
      </c>
      <c r="I249" s="86">
        <v>519.38981995007794</v>
      </c>
      <c r="J249" s="86">
        <v>526.03630878013598</v>
      </c>
      <c r="K249" s="86">
        <v>513.65734752116396</v>
      </c>
      <c r="L249" s="86">
        <v>519.83689318976803</v>
      </c>
      <c r="M249" s="86">
        <v>1579180.8020528047</v>
      </c>
      <c r="N249" s="86" t="s">
        <v>297</v>
      </c>
      <c r="O249" s="25">
        <f t="shared" si="1"/>
        <v>-8.6002599189682893E-4</v>
      </c>
      <c r="Q249" s="87">
        <v>-3.6000000000000025E-2</v>
      </c>
      <c r="R249">
        <v>2</v>
      </c>
      <c r="T249" s="54">
        <f t="shared" si="2"/>
        <v>-3.8000000000000027E-2</v>
      </c>
      <c r="U249" s="1">
        <f t="shared" si="3"/>
        <v>0.22145001869061579</v>
      </c>
      <c r="W249" s="38" t="s">
        <v>79</v>
      </c>
      <c r="X249" s="54">
        <f>($S$238*-2)+$S$236</f>
        <v>-2.40108593353437E-2</v>
      </c>
      <c r="Y249" s="1">
        <v>0</v>
      </c>
    </row>
    <row r="250" spans="1:25" ht="15">
      <c r="A250" s="86">
        <v>679.59078308365508</v>
      </c>
      <c r="B250" s="86">
        <v>680.01953440299997</v>
      </c>
      <c r="C250" s="86">
        <v>672.78071648831917</v>
      </c>
      <c r="D250" s="86">
        <v>674.35602860328004</v>
      </c>
      <c r="E250" s="86">
        <v>5453356.5187483234</v>
      </c>
      <c r="F250" s="86" t="s">
        <v>298</v>
      </c>
      <c r="G250" s="25">
        <f t="shared" si="0"/>
        <v>7.762597586941089E-3</v>
      </c>
      <c r="I250" s="86">
        <v>519.19112073243809</v>
      </c>
      <c r="J250" s="86">
        <v>523.42341406817002</v>
      </c>
      <c r="K250" s="86">
        <v>513.63747759939997</v>
      </c>
      <c r="L250" s="86">
        <v>523.20484492876597</v>
      </c>
      <c r="M250" s="86">
        <v>1023333.4834181383</v>
      </c>
      <c r="N250" s="86" t="s">
        <v>298</v>
      </c>
      <c r="O250" s="25">
        <f t="shared" si="1"/>
        <v>-7.6714201621629341E-3</v>
      </c>
      <c r="Q250" s="87">
        <v>-3.5000000000000024E-2</v>
      </c>
      <c r="R250">
        <v>2</v>
      </c>
      <c r="T250" s="54">
        <f t="shared" si="2"/>
        <v>-3.7000000000000026E-2</v>
      </c>
      <c r="U250" s="1">
        <f t="shared" si="3"/>
        <v>0.28732003428961517</v>
      </c>
      <c r="W250" s="39"/>
      <c r="X250" s="54">
        <f>($S$238*-2)+$S$236</f>
        <v>-2.40108593353437E-2</v>
      </c>
      <c r="Y250" s="1">
        <v>5</v>
      </c>
    </row>
    <row r="251" spans="1:25" ht="15">
      <c r="A251" s="86">
        <v>672.63105236498507</v>
      </c>
      <c r="B251" s="86">
        <v>676.18071445072496</v>
      </c>
      <c r="C251" s="86">
        <v>670.59697633832491</v>
      </c>
      <c r="D251" s="86">
        <v>673.59823557374</v>
      </c>
      <c r="E251" s="86">
        <v>5611397.2201845711</v>
      </c>
      <c r="F251" s="86" t="s">
        <v>299</v>
      </c>
      <c r="G251" s="25">
        <f t="shared" si="0"/>
        <v>-1.4358458168037824E-3</v>
      </c>
      <c r="I251" s="86">
        <v>523.20484492876597</v>
      </c>
      <c r="J251" s="86">
        <v>526.81123572893205</v>
      </c>
      <c r="K251" s="86">
        <v>520.07533225093607</v>
      </c>
      <c r="L251" s="86">
        <v>524.07415400594095</v>
      </c>
      <c r="M251" s="86">
        <v>1100850.6347332792</v>
      </c>
      <c r="N251" s="86" t="s">
        <v>299</v>
      </c>
      <c r="O251" s="25">
        <f t="shared" si="1"/>
        <v>-1.6587520497436392E-3</v>
      </c>
      <c r="Q251" s="87">
        <v>-3.4000000000000023E-2</v>
      </c>
      <c r="R251">
        <v>1</v>
      </c>
      <c r="T251" s="54">
        <f t="shared" si="2"/>
        <v>-3.6000000000000025E-2</v>
      </c>
      <c r="U251" s="1">
        <f t="shared" si="3"/>
        <v>0.37020234614804587</v>
      </c>
      <c r="W251" s="40" t="s">
        <v>80</v>
      </c>
      <c r="X251" s="54">
        <f>($S$238*-1)+$S$236</f>
        <v>-1.2012842803528363E-2</v>
      </c>
      <c r="Y251" s="1">
        <v>0</v>
      </c>
    </row>
    <row r="252" spans="1:25" ht="15">
      <c r="A252" s="86">
        <v>676.938507480265</v>
      </c>
      <c r="B252" s="86">
        <v>679.63066692731502</v>
      </c>
      <c r="C252" s="86">
        <v>672.29203969387504</v>
      </c>
      <c r="D252" s="86">
        <v>678.20481951646991</v>
      </c>
      <c r="E252" s="86">
        <v>7569986.8603887716</v>
      </c>
      <c r="F252" s="86" t="s">
        <v>300</v>
      </c>
      <c r="G252" s="25">
        <f t="shared" si="0"/>
        <v>-1.8671528124907244E-3</v>
      </c>
      <c r="I252" s="86">
        <v>524.873918356942</v>
      </c>
      <c r="J252" s="86">
        <v>524.95339804399805</v>
      </c>
      <c r="K252" s="86">
        <v>509.42505418543197</v>
      </c>
      <c r="L252" s="86">
        <v>514.4422094308419</v>
      </c>
      <c r="M252" s="86">
        <v>1229510.1365855583</v>
      </c>
      <c r="N252" s="86" t="s">
        <v>300</v>
      </c>
      <c r="O252" s="25">
        <f t="shared" si="1"/>
        <v>2.0277708039628584E-2</v>
      </c>
      <c r="Q252" s="87">
        <v>-3.3000000000000022E-2</v>
      </c>
      <c r="R252">
        <v>2</v>
      </c>
      <c r="T252" s="54">
        <f t="shared" si="2"/>
        <v>-3.5000000000000024E-2</v>
      </c>
      <c r="U252" s="1">
        <f t="shared" si="3"/>
        <v>0.47369139204673333</v>
      </c>
      <c r="X252" s="54">
        <f>($S$238*-1)+$S$236</f>
        <v>-1.2012842803528363E-2</v>
      </c>
      <c r="Y252" s="1">
        <v>20.5</v>
      </c>
    </row>
    <row r="253" spans="1:25" ht="15" customHeight="1">
      <c r="A253" s="86">
        <v>677.46696840876007</v>
      </c>
      <c r="B253" s="86">
        <v>681.53512046207993</v>
      </c>
      <c r="C253" s="86">
        <v>676.47086941335158</v>
      </c>
      <c r="D253" s="86">
        <v>680.05941824666002</v>
      </c>
      <c r="E253" s="86">
        <v>6421958.6023720764</v>
      </c>
      <c r="F253" s="86" t="s">
        <v>301</v>
      </c>
      <c r="G253" s="25">
        <f t="shared" si="0"/>
        <v>-3.8120931323675222E-3</v>
      </c>
      <c r="I253" s="86">
        <v>512.65391647208196</v>
      </c>
      <c r="J253" s="86">
        <v>521.51580222921712</v>
      </c>
      <c r="K253" s="86">
        <v>511.38224147918601</v>
      </c>
      <c r="L253" s="86">
        <v>517.96912054395204</v>
      </c>
      <c r="M253" s="86">
        <v>1256806.9034496676</v>
      </c>
      <c r="N253" s="86" t="s">
        <v>301</v>
      </c>
      <c r="O253" s="25">
        <f t="shared" si="1"/>
        <v>-1.026162344637116E-2</v>
      </c>
      <c r="Q253" s="87">
        <v>-3.2000000000000021E-2</v>
      </c>
      <c r="R253">
        <v>0</v>
      </c>
      <c r="T253" s="54">
        <f t="shared" si="2"/>
        <v>-3.4000000000000023E-2</v>
      </c>
      <c r="U253" s="1">
        <f t="shared" si="3"/>
        <v>0.60191461380774325</v>
      </c>
      <c r="W253" s="1" t="s">
        <v>81</v>
      </c>
      <c r="X253" s="54">
        <f>($S$238*1)+$S$236</f>
        <v>1.1983190260102311E-2</v>
      </c>
      <c r="Y253" s="1">
        <v>0</v>
      </c>
    </row>
    <row r="254" spans="1:25" ht="15" customHeight="1">
      <c r="A254" s="86">
        <v>685.73289500729504</v>
      </c>
      <c r="B254" s="86">
        <v>687.09891665265002</v>
      </c>
      <c r="C254" s="86">
        <v>681.67471391488994</v>
      </c>
      <c r="D254" s="86">
        <v>681.75448160221003</v>
      </c>
      <c r="E254" s="86">
        <v>5353379.5342331855</v>
      </c>
      <c r="F254" s="86" t="s">
        <v>302</v>
      </c>
      <c r="G254" s="25">
        <f t="shared" si="0"/>
        <v>5.8355515254335799E-3</v>
      </c>
      <c r="I254" s="86">
        <v>517.025299260162</v>
      </c>
      <c r="J254" s="86">
        <v>518.03866527012599</v>
      </c>
      <c r="K254" s="86">
        <v>511.89885944504999</v>
      </c>
      <c r="L254" s="86">
        <v>517.35315296926797</v>
      </c>
      <c r="M254" s="86">
        <v>831043.34854088665</v>
      </c>
      <c r="N254" s="86" t="s">
        <v>302</v>
      </c>
      <c r="O254" s="25">
        <f t="shared" si="1"/>
        <v>-6.3371356147012836E-4</v>
      </c>
      <c r="Q254" s="87">
        <v>-3.1000000000000021E-2</v>
      </c>
      <c r="R254">
        <v>5</v>
      </c>
      <c r="T254" s="54">
        <f t="shared" si="2"/>
        <v>-3.3000000000000022E-2</v>
      </c>
      <c r="U254" s="1">
        <f t="shared" si="3"/>
        <v>0.7595517196746443</v>
      </c>
      <c r="X254" s="54">
        <f>($S$238*1)+$S$236</f>
        <v>1.1983190260102311E-2</v>
      </c>
      <c r="Y254" s="1">
        <v>20.5</v>
      </c>
    </row>
    <row r="255" spans="1:25" ht="15">
      <c r="A255" s="86">
        <v>680.42834380051499</v>
      </c>
      <c r="B255" s="86">
        <v>681.92398793776499</v>
      </c>
      <c r="C255" s="86">
        <v>674.2363770723</v>
      </c>
      <c r="D255" s="86">
        <v>676.92853651935002</v>
      </c>
      <c r="E255" s="86">
        <v>4896730.0244401768</v>
      </c>
      <c r="F255" s="86" t="s">
        <v>303</v>
      </c>
      <c r="G255" s="25">
        <f t="shared" si="0"/>
        <v>5.1701281484755057E-3</v>
      </c>
      <c r="I255" s="86">
        <v>516.55835609870803</v>
      </c>
      <c r="J255" s="86">
        <v>517.48230746073398</v>
      </c>
      <c r="K255" s="86">
        <v>507.46289941123706</v>
      </c>
      <c r="L255" s="86">
        <v>514.10442076085405</v>
      </c>
      <c r="M255" s="86">
        <v>822453.14531677286</v>
      </c>
      <c r="N255" s="86" t="s">
        <v>303</v>
      </c>
      <c r="O255" s="25">
        <f t="shared" si="1"/>
        <v>4.7732235685160607E-3</v>
      </c>
      <c r="Q255" s="87">
        <v>-3.000000000000002E-2</v>
      </c>
      <c r="R255">
        <v>0</v>
      </c>
      <c r="T255" s="54">
        <f t="shared" si="2"/>
        <v>-3.2000000000000021E-2</v>
      </c>
      <c r="U255" s="1">
        <f t="shared" si="3"/>
        <v>0.9518376599885422</v>
      </c>
      <c r="W255" s="41" t="s">
        <v>82</v>
      </c>
      <c r="X255" s="54">
        <f>($S$238*2)+$S$236</f>
        <v>2.3981206791917647E-2</v>
      </c>
      <c r="Y255" s="1">
        <v>0</v>
      </c>
    </row>
    <row r="256" spans="1:25" ht="15">
      <c r="A256" s="86">
        <v>676.69920441830493</v>
      </c>
      <c r="B256" s="86">
        <v>677.28749111229001</v>
      </c>
      <c r="C256" s="86">
        <v>670.84625036119996</v>
      </c>
      <c r="D256" s="86">
        <v>675.50268910850502</v>
      </c>
      <c r="E256" s="86">
        <v>6037564.596651515</v>
      </c>
      <c r="F256" s="86" t="s">
        <v>304</v>
      </c>
      <c r="G256" s="25">
        <f t="shared" si="0"/>
        <v>1.771296145954615E-3</v>
      </c>
      <c r="I256" s="86">
        <v>517.61146195219999</v>
      </c>
      <c r="J256" s="86">
        <v>519.11164104538204</v>
      </c>
      <c r="K256" s="86">
        <v>509.16674520250001</v>
      </c>
      <c r="L256" s="86">
        <v>509.16674520250001</v>
      </c>
      <c r="M256" s="86">
        <v>1145610.7479618762</v>
      </c>
      <c r="N256" s="86" t="s">
        <v>304</v>
      </c>
      <c r="O256" s="25">
        <f t="shared" si="1"/>
        <v>1.6585365853658551E-2</v>
      </c>
      <c r="Q256" s="87">
        <v>-2.9000000000000019E-2</v>
      </c>
      <c r="R256">
        <v>2</v>
      </c>
      <c r="T256" s="54">
        <f t="shared" si="2"/>
        <v>-3.1000000000000021E-2</v>
      </c>
      <c r="U256" s="1">
        <f t="shared" si="3"/>
        <v>1.1845447856563081</v>
      </c>
      <c r="X256" s="54">
        <f>($S$238*2)+$S$236</f>
        <v>2.3981206791917647E-2</v>
      </c>
      <c r="Y256" s="1">
        <v>5</v>
      </c>
    </row>
    <row r="257" spans="1:25" ht="15">
      <c r="A257" s="86">
        <v>677.54673609607994</v>
      </c>
      <c r="B257" s="86">
        <v>679.08226407698999</v>
      </c>
      <c r="C257" s="86">
        <v>675.11382163282008</v>
      </c>
      <c r="D257" s="86">
        <v>675.11382163282008</v>
      </c>
      <c r="E257" s="86">
        <v>5676979.9163333699</v>
      </c>
      <c r="F257" s="86" t="s">
        <v>305</v>
      </c>
      <c r="G257" s="25">
        <f t="shared" si="0"/>
        <v>3.6037100490338148E-3</v>
      </c>
      <c r="I257" s="86">
        <v>508.91837118044998</v>
      </c>
      <c r="J257" s="86">
        <v>512.27638795856603</v>
      </c>
      <c r="K257" s="86">
        <v>499.18210951609001</v>
      </c>
      <c r="L257" s="86">
        <v>501.71552454100004</v>
      </c>
      <c r="M257" s="86">
        <v>1321505.3231650963</v>
      </c>
      <c r="N257" s="86" t="s">
        <v>305</v>
      </c>
      <c r="O257" s="25">
        <f t="shared" si="1"/>
        <v>1.4356435643564147E-2</v>
      </c>
      <c r="Q257" s="87">
        <v>-2.8000000000000018E-2</v>
      </c>
      <c r="R257">
        <v>1</v>
      </c>
      <c r="T257" s="54">
        <f t="shared" si="2"/>
        <v>-3.000000000000002E-2</v>
      </c>
      <c r="U257" s="1">
        <f t="shared" si="3"/>
        <v>1.4639395893402356</v>
      </c>
      <c r="W257" s="41" t="s">
        <v>83</v>
      </c>
      <c r="X257" s="54">
        <f>($S$238*3)+$S$236</f>
        <v>3.5979223323732983E-2</v>
      </c>
      <c r="Y257" s="1">
        <v>0</v>
      </c>
    </row>
    <row r="258" spans="1:25" ht="15">
      <c r="A258" s="86">
        <v>676.07103388065991</v>
      </c>
      <c r="B258" s="86">
        <v>676.55961096549493</v>
      </c>
      <c r="C258" s="86">
        <v>673.40878731635496</v>
      </c>
      <c r="D258" s="86">
        <v>673.73782902655</v>
      </c>
      <c r="E258" s="86">
        <v>4322344.0995706683</v>
      </c>
      <c r="F258" s="86" t="s">
        <v>306</v>
      </c>
      <c r="G258" s="25">
        <f t="shared" si="0"/>
        <v>3.4630753292879124E-3</v>
      </c>
      <c r="I258" s="86">
        <v>503.21570363418198</v>
      </c>
      <c r="J258" s="86">
        <v>508.66999715840001</v>
      </c>
      <c r="K258" s="86">
        <v>501.21887584650881</v>
      </c>
      <c r="L258" s="86">
        <v>505.28217549763798</v>
      </c>
      <c r="M258" s="86">
        <v>1299566.7934024988</v>
      </c>
      <c r="N258" s="86" t="s">
        <v>306</v>
      </c>
      <c r="O258" s="25">
        <f t="shared" si="1"/>
        <v>-4.0897382960735085E-3</v>
      </c>
      <c r="Q258" s="87">
        <v>-2.7000000000000017E-2</v>
      </c>
      <c r="R258">
        <v>3</v>
      </c>
      <c r="T258" s="54">
        <f t="shared" si="2"/>
        <v>-2.9000000000000019E-2</v>
      </c>
      <c r="U258" s="1">
        <f t="shared" si="3"/>
        <v>1.7967096264616429</v>
      </c>
      <c r="W258" s="41"/>
      <c r="X258" s="54">
        <f>($S$238*3)+$S$236</f>
        <v>3.5979223323732983E-2</v>
      </c>
      <c r="Y258" s="1">
        <v>1</v>
      </c>
    </row>
    <row r="259" spans="1:25" ht="15">
      <c r="A259" s="86">
        <v>670.58700537740992</v>
      </c>
      <c r="B259" s="86">
        <v>674.79485059314914</v>
      </c>
      <c r="C259" s="86">
        <v>668.97170970918</v>
      </c>
      <c r="D259" s="86">
        <v>673.85748055753004</v>
      </c>
      <c r="E259" s="86">
        <v>6066984.8096581372</v>
      </c>
      <c r="F259" s="86" t="s">
        <v>307</v>
      </c>
      <c r="G259" s="25">
        <f t="shared" si="0"/>
        <v>-4.8533633215946947E-3</v>
      </c>
      <c r="I259" s="86">
        <v>509.07733055456197</v>
      </c>
      <c r="J259" s="86">
        <v>512.14723346710002</v>
      </c>
      <c r="K259" s="86">
        <v>499.758337247246</v>
      </c>
      <c r="L259" s="86">
        <v>511.675322825205</v>
      </c>
      <c r="M259" s="86">
        <v>2015741.2384263477</v>
      </c>
      <c r="N259" s="86" t="s">
        <v>307</v>
      </c>
      <c r="O259" s="25">
        <f t="shared" si="1"/>
        <v>-5.0774234260473339E-3</v>
      </c>
      <c r="Q259" s="87">
        <v>-2.6000000000000016E-2</v>
      </c>
      <c r="R259">
        <v>4</v>
      </c>
      <c r="T259" s="54">
        <f t="shared" si="2"/>
        <v>-2.8000000000000018E-2</v>
      </c>
      <c r="U259" s="1">
        <f t="shared" si="3"/>
        <v>2.1898567315998099</v>
      </c>
    </row>
    <row r="260" spans="1:25" ht="15">
      <c r="A260" s="86">
        <v>672.70084909138995</v>
      </c>
      <c r="B260" s="86">
        <v>673.37887443361001</v>
      </c>
      <c r="C260" s="86">
        <v>667.20684962722498</v>
      </c>
      <c r="D260" s="86">
        <v>667.50597845467507</v>
      </c>
      <c r="E260" s="86">
        <v>6416177.8384626228</v>
      </c>
      <c r="F260" s="86" t="s">
        <v>308</v>
      </c>
      <c r="G260" s="25">
        <f t="shared" si="0"/>
        <v>7.7825080289788406E-3</v>
      </c>
      <c r="I260" s="86">
        <v>510.91529831773198</v>
      </c>
      <c r="J260" s="86">
        <v>511.12393249625404</v>
      </c>
      <c r="K260" s="86">
        <v>497.056027887342</v>
      </c>
      <c r="L260" s="86">
        <v>505.63486660894898</v>
      </c>
      <c r="M260" s="86">
        <v>1566732.6268190132</v>
      </c>
      <c r="N260" s="86" t="s">
        <v>308</v>
      </c>
      <c r="O260" s="25">
        <f t="shared" si="1"/>
        <v>1.044317165902009E-2</v>
      </c>
      <c r="Q260" s="87">
        <v>-2.5000000000000015E-2</v>
      </c>
      <c r="R260">
        <v>3</v>
      </c>
      <c r="T260" s="54">
        <f t="shared" si="2"/>
        <v>-2.7000000000000017E-2</v>
      </c>
      <c r="U260" s="1">
        <f t="shared" si="3"/>
        <v>2.650553529285911</v>
      </c>
    </row>
    <row r="261" spans="1:25" ht="15">
      <c r="A261" s="86">
        <v>663.36802967494998</v>
      </c>
      <c r="B261" s="86">
        <v>664.61439978932492</v>
      </c>
      <c r="C261" s="86">
        <v>661.40375037469505</v>
      </c>
      <c r="D261" s="86">
        <v>661.65302439756999</v>
      </c>
      <c r="E261" s="86">
        <v>4962020.0405729897</v>
      </c>
      <c r="F261" s="86" t="s">
        <v>309</v>
      </c>
      <c r="G261" s="25">
        <f t="shared" si="0"/>
        <v>2.5920009644655462E-3</v>
      </c>
      <c r="I261" s="86">
        <v>505.61996416762599</v>
      </c>
      <c r="J261" s="86">
        <v>516.61796586399998</v>
      </c>
      <c r="K261" s="86">
        <v>504.189329800618</v>
      </c>
      <c r="L261" s="86">
        <v>516.61796586399998</v>
      </c>
      <c r="M261" s="86">
        <v>1368131.090946353</v>
      </c>
      <c r="N261" s="86" t="s">
        <v>309</v>
      </c>
      <c r="O261" s="25">
        <f t="shared" si="1"/>
        <v>-2.1288461538461534E-2</v>
      </c>
      <c r="Q261" s="87">
        <v>-2.4000000000000014E-2</v>
      </c>
      <c r="R261">
        <v>4</v>
      </c>
      <c r="T261" s="54">
        <f t="shared" si="2"/>
        <v>-2.6000000000000016E-2</v>
      </c>
      <c r="U261" s="1">
        <f t="shared" si="3"/>
        <v>3.1859615127583263</v>
      </c>
    </row>
    <row r="262" spans="1:25" ht="15">
      <c r="A262" s="86">
        <v>658.20307192098005</v>
      </c>
      <c r="B262" s="86">
        <v>661.92224034227502</v>
      </c>
      <c r="C262" s="86">
        <v>655.48099959118497</v>
      </c>
      <c r="D262" s="86">
        <v>660.06764161208503</v>
      </c>
      <c r="E262" s="86">
        <v>5944718.78260291</v>
      </c>
      <c r="F262" s="86" t="s">
        <v>310</v>
      </c>
      <c r="G262" s="25">
        <f t="shared" si="0"/>
        <v>-2.8248160848350912E-3</v>
      </c>
      <c r="I262" s="86">
        <v>514.77999810082997</v>
      </c>
      <c r="J262" s="86">
        <v>521.08869826090006</v>
      </c>
      <c r="K262" s="86">
        <v>508.66999715840001</v>
      </c>
      <c r="L262" s="86">
        <v>510.07082664276197</v>
      </c>
      <c r="M262" s="86">
        <v>1377044.1217123254</v>
      </c>
      <c r="N262" s="86" t="s">
        <v>310</v>
      </c>
      <c r="O262" s="25">
        <f t="shared" si="1"/>
        <v>9.2323873707174098E-3</v>
      </c>
      <c r="Q262" s="87">
        <v>-2.3000000000000013E-2</v>
      </c>
      <c r="R262">
        <v>5</v>
      </c>
      <c r="T262" s="54">
        <f t="shared" si="2"/>
        <v>-2.5000000000000015E-2</v>
      </c>
      <c r="U262" s="1">
        <f t="shared" si="3"/>
        <v>3.8030106324435402</v>
      </c>
    </row>
    <row r="263" spans="1:25" ht="15">
      <c r="A263" s="86">
        <v>660.59610254057998</v>
      </c>
      <c r="B263" s="86">
        <v>664.47979181697247</v>
      </c>
      <c r="C263" s="86">
        <v>660.45650908776997</v>
      </c>
      <c r="D263" s="86">
        <v>661.16444731273498</v>
      </c>
      <c r="E263" s="86">
        <v>4948602.4611500539</v>
      </c>
      <c r="F263" s="86" t="s">
        <v>311</v>
      </c>
      <c r="G263" s="25">
        <f t="shared" si="0"/>
        <v>-8.5961181740035197E-4</v>
      </c>
      <c r="I263" s="86">
        <v>509.43498914631397</v>
      </c>
      <c r="J263" s="86">
        <v>516.20069750695609</v>
      </c>
      <c r="K263" s="86">
        <v>508.78722969680769</v>
      </c>
      <c r="L263" s="86">
        <v>514.58129888319002</v>
      </c>
      <c r="M263" s="86">
        <v>1409542.2024631985</v>
      </c>
      <c r="N263" s="86" t="s">
        <v>311</v>
      </c>
      <c r="O263" s="25">
        <f t="shared" si="1"/>
        <v>-1.0000965344145296E-2</v>
      </c>
      <c r="Q263" s="87">
        <v>-2.2000000000000013E-2</v>
      </c>
      <c r="R263">
        <v>7</v>
      </c>
      <c r="T263" s="54">
        <f t="shared" si="2"/>
        <v>-2.4000000000000014E-2</v>
      </c>
      <c r="U263" s="1">
        <f t="shared" si="3"/>
        <v>4.5081423708364241</v>
      </c>
    </row>
    <row r="264" spans="1:25" ht="15">
      <c r="A264" s="86">
        <v>658.66173612307</v>
      </c>
      <c r="B264" s="86">
        <v>659.84828047195504</v>
      </c>
      <c r="C264" s="86">
        <v>651.24832668276747</v>
      </c>
      <c r="D264" s="86">
        <v>655.09213211550002</v>
      </c>
      <c r="E264" s="86">
        <v>5919880.3991099587</v>
      </c>
      <c r="F264" s="86" t="s">
        <v>312</v>
      </c>
      <c r="G264" s="25">
        <f t="shared" si="0"/>
        <v>5.4490106544899941E-3</v>
      </c>
      <c r="I264" s="86">
        <v>514.601168804954</v>
      </c>
      <c r="J264" s="86">
        <v>514.85947778788602</v>
      </c>
      <c r="K264" s="86">
        <v>504.59666319677996</v>
      </c>
      <c r="L264" s="86">
        <v>507.755980757256</v>
      </c>
      <c r="M264" s="86">
        <v>1582913.7140834089</v>
      </c>
      <c r="N264" s="86" t="s">
        <v>312</v>
      </c>
      <c r="O264" s="25">
        <f t="shared" si="1"/>
        <v>1.3481255380762391E-2</v>
      </c>
      <c r="Q264" s="87">
        <v>-2.1000000000000012E-2</v>
      </c>
      <c r="R264">
        <v>5</v>
      </c>
      <c r="T264" s="54">
        <f t="shared" si="2"/>
        <v>-2.3000000000000013E-2</v>
      </c>
      <c r="U264" s="1">
        <f t="shared" si="3"/>
        <v>5.3070206214888511</v>
      </c>
    </row>
    <row r="265" spans="1:25" ht="15">
      <c r="A265" s="86">
        <v>652.34014690295999</v>
      </c>
      <c r="B265" s="86">
        <v>652.82244228241859</v>
      </c>
      <c r="C265" s="86">
        <v>649.36880055028996</v>
      </c>
      <c r="D265" s="86">
        <v>651.72194732622995</v>
      </c>
      <c r="E265" s="86">
        <v>6221167.1225872021</v>
      </c>
      <c r="F265" s="86" t="s">
        <v>313</v>
      </c>
      <c r="G265" s="25">
        <f t="shared" si="0"/>
        <v>9.4856338545334928E-4</v>
      </c>
      <c r="I265" s="86">
        <v>506.49424072524204</v>
      </c>
      <c r="J265" s="86">
        <v>512.64398151119997</v>
      </c>
      <c r="K265" s="86">
        <v>498.68039399154901</v>
      </c>
      <c r="L265" s="86">
        <v>510.62718445215404</v>
      </c>
      <c r="M265" s="86">
        <v>1624367.4439864794</v>
      </c>
      <c r="N265" s="86" t="s">
        <v>313</v>
      </c>
      <c r="O265" s="25">
        <f t="shared" si="1"/>
        <v>-8.0938576181489585E-3</v>
      </c>
      <c r="Q265" s="87">
        <v>-2.0000000000000011E-2</v>
      </c>
      <c r="R265">
        <v>8</v>
      </c>
      <c r="T265" s="54">
        <f t="shared" si="2"/>
        <v>-2.2000000000000013E-2</v>
      </c>
      <c r="U265" s="1">
        <f t="shared" si="3"/>
        <v>6.2042172405878508</v>
      </c>
    </row>
    <row r="266" spans="1:25" ht="15">
      <c r="A266" s="86">
        <v>652.36008882478995</v>
      </c>
      <c r="B266" s="86">
        <v>653.48680740818497</v>
      </c>
      <c r="C266" s="86">
        <v>650.11662261891502</v>
      </c>
      <c r="D266" s="86">
        <v>652.50965323851494</v>
      </c>
      <c r="E266" s="86">
        <v>5525715.9773953436</v>
      </c>
      <c r="F266" s="86" t="s">
        <v>314</v>
      </c>
      <c r="G266" s="25">
        <f t="shared" si="0"/>
        <v>-2.2921410125154029E-4</v>
      </c>
      <c r="I266" s="86">
        <v>508.95811102397795</v>
      </c>
      <c r="J266" s="86">
        <v>515.30655102757601</v>
      </c>
      <c r="K266" s="86">
        <v>504.258874526792</v>
      </c>
      <c r="L266" s="86">
        <v>515.06811196640808</v>
      </c>
      <c r="M266" s="86">
        <v>1458894.0028198895</v>
      </c>
      <c r="N266" s="86" t="s">
        <v>314</v>
      </c>
      <c r="O266" s="25">
        <f t="shared" si="1"/>
        <v>-1.1862510608749544E-2</v>
      </c>
      <c r="Q266" s="87">
        <v>-1.900000000000001E-2</v>
      </c>
      <c r="R266">
        <v>8</v>
      </c>
      <c r="T266" s="54">
        <f t="shared" si="2"/>
        <v>-2.1000000000000012E-2</v>
      </c>
      <c r="U266" s="1">
        <f t="shared" si="3"/>
        <v>7.2028817685832287</v>
      </c>
    </row>
    <row r="267" spans="1:25" ht="15">
      <c r="A267" s="86">
        <v>655.59068016125002</v>
      </c>
      <c r="B267" s="86">
        <v>655.98951859784995</v>
      </c>
      <c r="C267" s="86">
        <v>652.93840455786005</v>
      </c>
      <c r="D267" s="86">
        <v>653.76599431380498</v>
      </c>
      <c r="E267" s="86">
        <v>5297681.2909310255</v>
      </c>
      <c r="F267" s="86" t="s">
        <v>315</v>
      </c>
      <c r="G267" s="25">
        <f t="shared" si="0"/>
        <v>2.791038174691618E-3</v>
      </c>
      <c r="I267" s="86">
        <v>510.01121687747002</v>
      </c>
      <c r="J267" s="86">
        <v>524.22814589961195</v>
      </c>
      <c r="K267" s="86">
        <v>508.58058251046202</v>
      </c>
      <c r="L267" s="86">
        <v>510.70666413920998</v>
      </c>
      <c r="M267" s="86">
        <v>2121322.9529855335</v>
      </c>
      <c r="N267" s="86" t="s">
        <v>315</v>
      </c>
      <c r="O267" s="25">
        <f t="shared" si="1"/>
        <v>-1.3617352397625737E-3</v>
      </c>
      <c r="Q267" s="87">
        <v>-1.8000000000000009E-2</v>
      </c>
      <c r="R267">
        <v>12</v>
      </c>
      <c r="T267" s="54">
        <f t="shared" si="2"/>
        <v>-2.0000000000000011E-2</v>
      </c>
      <c r="U267" s="1">
        <f t="shared" si="3"/>
        <v>8.3044073637962867</v>
      </c>
    </row>
    <row r="268" spans="1:25" ht="15">
      <c r="A268" s="86">
        <v>654.51381638242992</v>
      </c>
      <c r="B268" s="86">
        <v>654.91265481903008</v>
      </c>
      <c r="C268" s="86">
        <v>649.92737378074833</v>
      </c>
      <c r="D268" s="86">
        <v>651.50258618609996</v>
      </c>
      <c r="E268" s="86">
        <v>4736752.4966373816</v>
      </c>
      <c r="F268" s="86" t="s">
        <v>316</v>
      </c>
      <c r="G268" s="25">
        <f t="shared" si="0"/>
        <v>4.6219773492499616E-3</v>
      </c>
      <c r="I268" s="86">
        <v>510.11056648629005</v>
      </c>
      <c r="J268" s="86">
        <v>523.37373926375994</v>
      </c>
      <c r="K268" s="86">
        <v>500.32492806634644</v>
      </c>
      <c r="L268" s="86">
        <v>521.585446305</v>
      </c>
      <c r="M268" s="86">
        <v>3099927.5125278747</v>
      </c>
      <c r="N268" s="86" t="s">
        <v>316</v>
      </c>
      <c r="O268" s="25">
        <f t="shared" si="1"/>
        <v>-2.1999999999999909E-2</v>
      </c>
      <c r="Q268" s="87">
        <v>-1.7000000000000008E-2</v>
      </c>
      <c r="R268">
        <v>10</v>
      </c>
      <c r="T268" s="54">
        <f t="shared" si="2"/>
        <v>-1.900000000000001E-2</v>
      </c>
      <c r="U268" s="1">
        <f t="shared" si="3"/>
        <v>9.5081072635306718</v>
      </c>
    </row>
    <row r="269" spans="1:25" ht="15">
      <c r="A269" s="86">
        <v>649.36880055028996</v>
      </c>
      <c r="B269" s="86">
        <v>652.99823032334996</v>
      </c>
      <c r="C269" s="86">
        <v>643.78506243789002</v>
      </c>
      <c r="D269" s="86">
        <v>650.33598375904501</v>
      </c>
      <c r="E269" s="86">
        <v>6034316.5947511885</v>
      </c>
      <c r="F269" s="86" t="s">
        <v>317</v>
      </c>
      <c r="G269" s="25">
        <f t="shared" si="0"/>
        <v>-1.4872054336660945E-3</v>
      </c>
      <c r="I269" s="86">
        <v>526.34429256747796</v>
      </c>
      <c r="J269" s="86">
        <v>535.30562728304199</v>
      </c>
      <c r="K269" s="86">
        <v>518.86326702333201</v>
      </c>
      <c r="L269" s="86">
        <v>530.437496450862</v>
      </c>
      <c r="M269" s="86">
        <v>3225661.4463436794</v>
      </c>
      <c r="N269" s="86" t="s">
        <v>317</v>
      </c>
      <c r="O269" s="25">
        <f t="shared" si="1"/>
        <v>-7.7166563653050524E-3</v>
      </c>
      <c r="Q269" s="87">
        <v>-1.6000000000000007E-2</v>
      </c>
      <c r="R269">
        <v>11</v>
      </c>
      <c r="T269" s="54">
        <f t="shared" si="2"/>
        <v>-1.8000000000000009E-2</v>
      </c>
      <c r="U269" s="1">
        <f t="shared" si="3"/>
        <v>10.810917891901937</v>
      </c>
    </row>
    <row r="270" spans="1:25" ht="15">
      <c r="A270" s="86">
        <v>652.00113423184996</v>
      </c>
      <c r="B270" s="86">
        <v>652.29029209838507</v>
      </c>
      <c r="C270" s="86">
        <v>649.199294214735</v>
      </c>
      <c r="D270" s="86">
        <v>650.08670973617006</v>
      </c>
      <c r="E270" s="86">
        <v>4504953.3060976798</v>
      </c>
      <c r="F270" s="86" t="s">
        <v>318</v>
      </c>
      <c r="G270" s="25">
        <f t="shared" si="0"/>
        <v>2.9448756096810413E-3</v>
      </c>
      <c r="I270" s="86">
        <v>551.81753226892602</v>
      </c>
      <c r="J270" s="86">
        <v>572.32329152937405</v>
      </c>
      <c r="K270" s="86">
        <v>546.61161276675807</v>
      </c>
      <c r="L270" s="86">
        <v>572.13452727261597</v>
      </c>
      <c r="M270" s="86">
        <v>2246874.9049071497</v>
      </c>
      <c r="N270" s="86" t="s">
        <v>318</v>
      </c>
      <c r="O270" s="25">
        <f t="shared" si="1"/>
        <v>-3.5510870320205501E-2</v>
      </c>
      <c r="Q270" s="87">
        <v>-1.5000000000000006E-2</v>
      </c>
      <c r="R270">
        <v>14</v>
      </c>
      <c r="T270" s="54">
        <f t="shared" si="2"/>
        <v>-1.7000000000000008E-2</v>
      </c>
      <c r="U270" s="1">
        <f t="shared" si="3"/>
        <v>12.207145869845444</v>
      </c>
    </row>
    <row r="271" spans="1:25" ht="15">
      <c r="A271" s="86">
        <v>645.37044522337499</v>
      </c>
      <c r="B271" s="86">
        <v>651.96125038819002</v>
      </c>
      <c r="C271" s="86">
        <v>644.06464818194661</v>
      </c>
      <c r="D271" s="86">
        <v>651.04392198401001</v>
      </c>
      <c r="E271" s="86">
        <v>8481656.2908972148</v>
      </c>
      <c r="F271" s="86" t="s">
        <v>319</v>
      </c>
      <c r="G271" s="25">
        <f t="shared" si="0"/>
        <v>-8.7144301160902993E-3</v>
      </c>
      <c r="I271" s="86">
        <v>568.23008764599001</v>
      </c>
      <c r="J271" s="86">
        <v>577.19638984199503</v>
      </c>
      <c r="K271" s="86">
        <v>565.14031481168809</v>
      </c>
      <c r="L271" s="86">
        <v>576.515845021578</v>
      </c>
      <c r="M271" s="86">
        <v>1604015.7829782988</v>
      </c>
      <c r="N271" s="86" t="s">
        <v>319</v>
      </c>
      <c r="O271" s="25">
        <f t="shared" si="1"/>
        <v>-1.4372124282686194E-2</v>
      </c>
      <c r="Q271" s="87">
        <v>-1.4000000000000005E-2</v>
      </c>
      <c r="R271">
        <v>14</v>
      </c>
      <c r="T271" s="54">
        <f t="shared" si="2"/>
        <v>-1.6000000000000007E-2</v>
      </c>
      <c r="U271" s="1">
        <f t="shared" si="3"/>
        <v>13.688276471772522</v>
      </c>
    </row>
    <row r="272" spans="1:25" ht="15">
      <c r="A272" s="86">
        <v>649.64798745590997</v>
      </c>
      <c r="B272" s="86">
        <v>650.70490931289999</v>
      </c>
      <c r="C272" s="86">
        <v>647.284869719055</v>
      </c>
      <c r="D272" s="86">
        <v>649.72775514322996</v>
      </c>
      <c r="E272" s="86">
        <v>6369044.2896495899</v>
      </c>
      <c r="F272" s="86" t="s">
        <v>320</v>
      </c>
      <c r="G272" s="25">
        <f t="shared" si="0"/>
        <v>-1.2277094011847733E-4</v>
      </c>
      <c r="I272" s="86">
        <v>577.49940614889601</v>
      </c>
      <c r="J272" s="86">
        <v>594.11066074359996</v>
      </c>
      <c r="K272" s="86">
        <v>574.46924307988604</v>
      </c>
      <c r="L272" s="86">
        <v>589.73927795552004</v>
      </c>
      <c r="M272" s="86">
        <v>1727004.7109179951</v>
      </c>
      <c r="N272" s="86" t="s">
        <v>320</v>
      </c>
      <c r="O272" s="25">
        <f t="shared" si="1"/>
        <v>-2.0754716981132071E-2</v>
      </c>
      <c r="Q272" s="87">
        <v>-1.3000000000000005E-2</v>
      </c>
      <c r="R272">
        <v>19</v>
      </c>
      <c r="T272" s="54">
        <f t="shared" si="2"/>
        <v>-1.5000000000000006E-2</v>
      </c>
      <c r="U272" s="1">
        <f t="shared" si="3"/>
        <v>15.242860370480372</v>
      </c>
    </row>
    <row r="273" spans="1:21" ht="15">
      <c r="A273" s="86">
        <v>650.88438660936993</v>
      </c>
      <c r="B273" s="86">
        <v>652.97828840151999</v>
      </c>
      <c r="C273" s="86">
        <v>646.97576993069003</v>
      </c>
      <c r="D273" s="86">
        <v>647.29484067996998</v>
      </c>
      <c r="E273" s="86">
        <v>7806647.4112741025</v>
      </c>
      <c r="F273" s="86" t="s">
        <v>321</v>
      </c>
      <c r="G273" s="25">
        <f t="shared" si="0"/>
        <v>5.5454573461903856E-3</v>
      </c>
      <c r="I273" s="86">
        <v>588.33844847115802</v>
      </c>
      <c r="J273" s="86">
        <v>605.41773907301297</v>
      </c>
      <c r="K273" s="86">
        <v>584.58303325776194</v>
      </c>
      <c r="L273" s="86">
        <v>600.39949098190607</v>
      </c>
      <c r="M273" s="86">
        <v>1704305.8950214395</v>
      </c>
      <c r="N273" s="86" t="s">
        <v>321</v>
      </c>
      <c r="O273" s="25">
        <f t="shared" si="1"/>
        <v>-2.0088362318600894E-2</v>
      </c>
      <c r="Q273" s="87">
        <v>-1.2000000000000004E-2</v>
      </c>
      <c r="R273">
        <v>29</v>
      </c>
      <c r="T273" s="54">
        <f t="shared" si="2"/>
        <v>-1.4000000000000005E-2</v>
      </c>
      <c r="U273" s="1">
        <f t="shared" si="3"/>
        <v>16.856493724569656</v>
      </c>
    </row>
    <row r="274" spans="1:21" ht="15">
      <c r="A274" s="86">
        <v>642.98738556469004</v>
      </c>
      <c r="B274" s="86">
        <v>644.19387183540505</v>
      </c>
      <c r="C274" s="86">
        <v>640.28525515672493</v>
      </c>
      <c r="D274" s="86">
        <v>642.63840193266503</v>
      </c>
      <c r="E274" s="86">
        <v>5875107.2734497823</v>
      </c>
      <c r="F274" s="86" t="s">
        <v>322</v>
      </c>
      <c r="G274" s="25">
        <f t="shared" si="0"/>
        <v>5.4304820716510882E-4</v>
      </c>
      <c r="I274" s="86">
        <v>603.53893862061807</v>
      </c>
      <c r="J274" s="86">
        <v>609.01310206660003</v>
      </c>
      <c r="K274" s="86">
        <v>597.49848240436199</v>
      </c>
      <c r="L274" s="86">
        <v>606.73799602462202</v>
      </c>
      <c r="M274" s="86">
        <v>856291.58685599337</v>
      </c>
      <c r="N274" s="86" t="s">
        <v>322</v>
      </c>
      <c r="O274" s="25">
        <f t="shared" si="1"/>
        <v>-5.2725516202452027E-3</v>
      </c>
      <c r="Q274" s="87">
        <v>-1.1000000000000003E-2</v>
      </c>
      <c r="R274">
        <v>25</v>
      </c>
      <c r="T274" s="54">
        <f t="shared" si="2"/>
        <v>-1.3000000000000005E-2</v>
      </c>
      <c r="U274" s="1">
        <f t="shared" si="3"/>
        <v>18.51190376495121</v>
      </c>
    </row>
    <row r="275" spans="1:21" ht="15">
      <c r="A275" s="86">
        <v>641.58148007567502</v>
      </c>
      <c r="B275" s="86">
        <v>641.92049274678493</v>
      </c>
      <c r="C275" s="86">
        <v>636.37663847804504</v>
      </c>
      <c r="D275" s="86">
        <v>637.3338507258851</v>
      </c>
      <c r="E275" s="86">
        <v>5065156.4900853885</v>
      </c>
      <c r="F275" s="86" t="s">
        <v>323</v>
      </c>
      <c r="G275" s="25">
        <f t="shared" si="0"/>
        <v>6.6646849919427265E-3</v>
      </c>
      <c r="I275" s="86">
        <v>607.12545949902005</v>
      </c>
      <c r="J275" s="86">
        <v>611.58625693503802</v>
      </c>
      <c r="K275" s="86">
        <v>603.38991420738807</v>
      </c>
      <c r="L275" s="86">
        <v>607.02610989020002</v>
      </c>
      <c r="M275" s="86">
        <v>877864.77788770827</v>
      </c>
      <c r="N275" s="86" t="s">
        <v>323</v>
      </c>
      <c r="O275" s="25">
        <f t="shared" si="1"/>
        <v>1.6366612111307077E-4</v>
      </c>
      <c r="Q275" s="87">
        <v>-1.0000000000000002E-2</v>
      </c>
      <c r="R275">
        <v>27</v>
      </c>
      <c r="T275" s="54">
        <f t="shared" si="2"/>
        <v>-1.2000000000000004E-2</v>
      </c>
      <c r="U275" s="1">
        <f t="shared" si="3"/>
        <v>20.189148080873903</v>
      </c>
    </row>
    <row r="276" spans="1:21" ht="15">
      <c r="A276" s="86">
        <v>636.49629000902507</v>
      </c>
      <c r="B276" s="86">
        <v>636.66579634458003</v>
      </c>
      <c r="C276" s="86">
        <v>630.38409096813007</v>
      </c>
      <c r="D276" s="86">
        <v>630.3890764485875</v>
      </c>
      <c r="E276" s="86">
        <v>5013507.8729270091</v>
      </c>
      <c r="F276" s="86" t="s">
        <v>324</v>
      </c>
      <c r="G276" s="25">
        <f t="shared" si="0"/>
        <v>9.6880066432045719E-3</v>
      </c>
      <c r="I276" s="86">
        <v>607.60233762135601</v>
      </c>
      <c r="J276" s="86">
        <v>612.98708641940004</v>
      </c>
      <c r="K276" s="86">
        <v>605.09872747909196</v>
      </c>
      <c r="L276" s="86">
        <v>612.98708641940004</v>
      </c>
      <c r="M276" s="86">
        <v>909711.58098617254</v>
      </c>
      <c r="N276" s="86" t="s">
        <v>324</v>
      </c>
      <c r="O276" s="25">
        <f t="shared" si="1"/>
        <v>-8.784440842787733E-3</v>
      </c>
      <c r="Q276" s="87">
        <v>-9.0000000000000011E-3</v>
      </c>
      <c r="R276">
        <v>30</v>
      </c>
      <c r="T276" s="54">
        <f t="shared" si="2"/>
        <v>-1.1000000000000003E-2</v>
      </c>
      <c r="U276" s="1">
        <f t="shared" si="3"/>
        <v>21.86593092631723</v>
      </c>
    </row>
    <row r="277" spans="1:21" ht="15">
      <c r="A277" s="86">
        <v>628.88844683088007</v>
      </c>
      <c r="B277" s="86">
        <v>629.06792412735001</v>
      </c>
      <c r="C277" s="86">
        <v>620.17382699117002</v>
      </c>
      <c r="D277" s="86">
        <v>620.94159098162504</v>
      </c>
      <c r="E277" s="86">
        <v>5115773.6243117144</v>
      </c>
      <c r="F277" s="86" t="s">
        <v>325</v>
      </c>
      <c r="G277" s="25">
        <f t="shared" si="0"/>
        <v>1.2798073063027049E-2</v>
      </c>
      <c r="I277" s="86">
        <v>615.65959089665807</v>
      </c>
      <c r="J277" s="86">
        <v>618.461249865382</v>
      </c>
      <c r="K277" s="86">
        <v>611.01002920388203</v>
      </c>
      <c r="L277" s="86">
        <v>613.85142801613404</v>
      </c>
      <c r="M277" s="86">
        <v>681375.90619654744</v>
      </c>
      <c r="N277" s="86" t="s">
        <v>325</v>
      </c>
      <c r="O277" s="25">
        <f t="shared" si="1"/>
        <v>2.9456034440902279E-3</v>
      </c>
      <c r="Q277" s="87">
        <v>-8.0000000000000002E-3</v>
      </c>
      <c r="R277">
        <v>41</v>
      </c>
      <c r="T277" s="54">
        <f t="shared" si="2"/>
        <v>-1.0000000000000002E-2</v>
      </c>
      <c r="U277" s="1">
        <f t="shared" ref="U277:U308" si="4">_xlfn.NORM.DIST(T277,$S$236,$S$238,FALSE)</f>
        <v>23.518034281735734</v>
      </c>
    </row>
    <row r="278" spans="1:21" ht="15">
      <c r="A278" s="86">
        <v>622.78621875090005</v>
      </c>
      <c r="B278" s="86">
        <v>625.16927840958499</v>
      </c>
      <c r="C278" s="86">
        <v>621.90877419038009</v>
      </c>
      <c r="D278" s="86">
        <v>624.50620950873758</v>
      </c>
      <c r="E278" s="86">
        <v>4587617.0252744388</v>
      </c>
      <c r="F278" s="86" t="s">
        <v>326</v>
      </c>
      <c r="G278" s="25">
        <f t="shared" si="0"/>
        <v>-2.7541611783020725E-3</v>
      </c>
      <c r="I278" s="86">
        <v>609.72841925010403</v>
      </c>
      <c r="J278" s="86">
        <v>617.65651803394007</v>
      </c>
      <c r="K278" s="86">
        <v>603.21088621229444</v>
      </c>
      <c r="L278" s="86">
        <v>615.25225750049594</v>
      </c>
      <c r="M278" s="86">
        <v>877004.15366366203</v>
      </c>
      <c r="N278" s="86" t="s">
        <v>326</v>
      </c>
      <c r="O278" s="25">
        <f t="shared" si="1"/>
        <v>-8.9781681953234882E-3</v>
      </c>
      <c r="Q278" s="87">
        <v>-7.0000000000000001E-3</v>
      </c>
      <c r="R278">
        <v>41</v>
      </c>
      <c r="T278" s="54">
        <f t="shared" si="2"/>
        <v>-9.0000000000000011E-3</v>
      </c>
      <c r="U278" s="1">
        <f t="shared" si="4"/>
        <v>25.119855405017486</v>
      </c>
    </row>
    <row r="279" spans="1:21" ht="15">
      <c r="A279" s="86">
        <v>623.20499910932995</v>
      </c>
      <c r="B279" s="86">
        <v>624.35165961455493</v>
      </c>
      <c r="C279" s="86">
        <v>617.60131907509992</v>
      </c>
      <c r="D279" s="86">
        <v>618.53858940111002</v>
      </c>
      <c r="E279" s="86">
        <v>5486228.9817731176</v>
      </c>
      <c r="F279" s="86" t="s">
        <v>327</v>
      </c>
      <c r="G279" s="25">
        <f t="shared" si="0"/>
        <v>7.5442499274589458E-3</v>
      </c>
      <c r="I279" s="86">
        <v>619.81240454533406</v>
      </c>
      <c r="J279" s="86">
        <v>632.73778865281599</v>
      </c>
      <c r="K279" s="86">
        <v>619.03658345005863</v>
      </c>
      <c r="L279" s="86">
        <v>623.90560842871798</v>
      </c>
      <c r="M279" s="86">
        <v>915147.98890377756</v>
      </c>
      <c r="N279" s="86" t="s">
        <v>327</v>
      </c>
      <c r="O279" s="25">
        <f t="shared" si="1"/>
        <v>-6.5606140225161758E-3</v>
      </c>
      <c r="Q279" s="87">
        <v>-6.0000000000000001E-3</v>
      </c>
      <c r="R279">
        <v>51</v>
      </c>
      <c r="T279" s="54">
        <f t="shared" si="2"/>
        <v>-8.0000000000000002E-3</v>
      </c>
      <c r="U279" s="1">
        <f t="shared" si="4"/>
        <v>26.645036538402117</v>
      </c>
    </row>
    <row r="280" spans="1:21" ht="15">
      <c r="A280" s="86">
        <v>619.53568549261001</v>
      </c>
      <c r="B280" s="86">
        <v>620.682345997835</v>
      </c>
      <c r="C280" s="86">
        <v>615.50741728294997</v>
      </c>
      <c r="D280" s="86">
        <v>619.98936421424241</v>
      </c>
      <c r="E280" s="86">
        <v>9794014.5090820454</v>
      </c>
      <c r="F280" s="86" t="s">
        <v>328</v>
      </c>
      <c r="G280" s="25">
        <f t="shared" si="0"/>
        <v>-7.3175242644263339E-4</v>
      </c>
      <c r="I280" s="86">
        <v>624.41229143370003</v>
      </c>
      <c r="J280" s="86">
        <v>626.56817794509402</v>
      </c>
      <c r="K280" s="86">
        <v>601.56188140510005</v>
      </c>
      <c r="L280" s="86">
        <v>608.28784992221404</v>
      </c>
      <c r="M280" s="86">
        <v>1291090.2747729609</v>
      </c>
      <c r="N280" s="86" t="s">
        <v>328</v>
      </c>
      <c r="O280" s="25">
        <f t="shared" si="1"/>
        <v>2.6507913175559894E-2</v>
      </c>
      <c r="Q280" s="87">
        <v>-5.0000000000000001E-3</v>
      </c>
      <c r="R280">
        <v>53</v>
      </c>
      <c r="T280" s="54">
        <f t="shared" si="2"/>
        <v>-7.0000000000000001E-3</v>
      </c>
      <c r="U280" s="1">
        <f t="shared" si="4"/>
        <v>28.06716669045489</v>
      </c>
    </row>
    <row r="281" spans="1:21" ht="15">
      <c r="A281" s="86">
        <v>604.28011529265996</v>
      </c>
      <c r="B281" s="86">
        <v>604.54933123736498</v>
      </c>
      <c r="C281" s="86">
        <v>596.76201076275004</v>
      </c>
      <c r="D281" s="86">
        <v>601.82725890757001</v>
      </c>
      <c r="E281" s="86">
        <v>6164208.2777134217</v>
      </c>
      <c r="F281" s="86" t="s">
        <v>329</v>
      </c>
      <c r="G281" s="25">
        <f t="shared" si="0"/>
        <v>4.0756817654659105E-3</v>
      </c>
      <c r="I281" s="86">
        <v>623.6174945631401</v>
      </c>
      <c r="J281" s="86">
        <v>632.65830896575994</v>
      </c>
      <c r="K281" s="86">
        <v>621.74982126693283</v>
      </c>
      <c r="L281" s="86">
        <v>631.46611365991998</v>
      </c>
      <c r="M281" s="86">
        <v>727937.01896731835</v>
      </c>
      <c r="N281" s="86" t="s">
        <v>329</v>
      </c>
      <c r="O281" s="25">
        <f t="shared" si="1"/>
        <v>-1.2429200755191716E-2</v>
      </c>
      <c r="Q281" s="87">
        <v>-4.0000000000000001E-3</v>
      </c>
      <c r="R281">
        <v>55</v>
      </c>
      <c r="T281" s="54">
        <f t="shared" si="2"/>
        <v>-6.0000000000000001E-3</v>
      </c>
      <c r="U281" s="1">
        <f t="shared" si="4"/>
        <v>29.36053037847693</v>
      </c>
    </row>
    <row r="282" spans="1:21" ht="15">
      <c r="A282" s="86">
        <v>603.91118973880498</v>
      </c>
      <c r="B282" s="86">
        <v>604.67895372926</v>
      </c>
      <c r="C282" s="86">
        <v>600.86007569881497</v>
      </c>
      <c r="D282" s="86">
        <v>601.16917548717993</v>
      </c>
      <c r="E282" s="86">
        <v>6300935.5060740402</v>
      </c>
      <c r="F282" s="86" t="s">
        <v>330</v>
      </c>
      <c r="G282" s="25">
        <f t="shared" si="0"/>
        <v>4.5611358057453533E-3</v>
      </c>
      <c r="I282" s="86">
        <v>633.75115466277998</v>
      </c>
      <c r="J282" s="86">
        <v>633.77102458454397</v>
      </c>
      <c r="K282" s="86">
        <v>617.323696844393</v>
      </c>
      <c r="L282" s="86">
        <v>619.05734751830198</v>
      </c>
      <c r="M282" s="86">
        <v>1133611.1433921196</v>
      </c>
      <c r="N282" s="86" t="s">
        <v>330</v>
      </c>
      <c r="O282" s="25">
        <f t="shared" si="1"/>
        <v>2.3735776989616708E-2</v>
      </c>
      <c r="Q282" s="87">
        <v>-3.0000000000000001E-3</v>
      </c>
      <c r="R282">
        <v>51</v>
      </c>
      <c r="T282" s="54">
        <f t="shared" si="2"/>
        <v>-5.0000000000000001E-3</v>
      </c>
      <c r="U282" s="1">
        <f t="shared" si="4"/>
        <v>30.500874270220859</v>
      </c>
    </row>
    <row r="283" spans="1:21" ht="15">
      <c r="A283" s="86">
        <v>601.23897221358504</v>
      </c>
      <c r="B283" s="86">
        <v>603.03374517828502</v>
      </c>
      <c r="C283" s="86">
        <v>591.30988933442802</v>
      </c>
      <c r="D283" s="86">
        <v>592.50441045204502</v>
      </c>
      <c r="E283" s="86">
        <v>12776618.258261422</v>
      </c>
      <c r="F283" s="86" t="s">
        <v>331</v>
      </c>
      <c r="G283" s="25">
        <f t="shared" si="0"/>
        <v>1.474176665600857E-2</v>
      </c>
      <c r="I283" s="86">
        <v>618.73942877007801</v>
      </c>
      <c r="J283" s="86">
        <v>622.43523421818202</v>
      </c>
      <c r="K283" s="86">
        <v>612.00352529208203</v>
      </c>
      <c r="L283" s="86">
        <v>612.68903759294005</v>
      </c>
      <c r="M283" s="86">
        <v>1120038.7889962103</v>
      </c>
      <c r="N283" s="86" t="s">
        <v>331</v>
      </c>
      <c r="O283" s="25">
        <f t="shared" si="1"/>
        <v>9.8751418842224492E-3</v>
      </c>
      <c r="Q283" s="87">
        <v>-2E-3</v>
      </c>
      <c r="R283">
        <v>72</v>
      </c>
      <c r="T283" s="54">
        <f t="shared" si="2"/>
        <v>-4.0000000000000001E-3</v>
      </c>
      <c r="U283" s="1">
        <f t="shared" si="4"/>
        <v>31.466160125909184</v>
      </c>
    </row>
    <row r="284" spans="1:21" ht="15">
      <c r="A284" s="86">
        <v>600.55097591045001</v>
      </c>
      <c r="B284" s="86">
        <v>603.59211898952503</v>
      </c>
      <c r="C284" s="86">
        <v>598.52687084470494</v>
      </c>
      <c r="D284" s="86">
        <v>599.31457675698994</v>
      </c>
      <c r="E284" s="86">
        <v>11314501.039140819</v>
      </c>
      <c r="F284" s="86" t="s">
        <v>332</v>
      </c>
      <c r="G284" s="25">
        <f t="shared" si="0"/>
        <v>2.0630219944766104E-3</v>
      </c>
      <c r="I284" s="86">
        <v>613.62292391584799</v>
      </c>
      <c r="J284" s="86">
        <v>615.07342820462009</v>
      </c>
      <c r="K284" s="86">
        <v>602.16791401890202</v>
      </c>
      <c r="L284" s="86">
        <v>604.86028841792404</v>
      </c>
      <c r="M284" s="86">
        <v>1111288.9115651378</v>
      </c>
      <c r="N284" s="86" t="s">
        <v>332</v>
      </c>
      <c r="O284" s="25">
        <f t="shared" si="1"/>
        <v>1.4487040504582493E-2</v>
      </c>
      <c r="Q284" s="87">
        <v>-1E-3</v>
      </c>
      <c r="R284">
        <v>61</v>
      </c>
      <c r="T284" s="54">
        <f t="shared" si="2"/>
        <v>-3.0000000000000001E-3</v>
      </c>
      <c r="U284" s="1">
        <f t="shared" si="4"/>
        <v>32.2372715535857</v>
      </c>
    </row>
    <row r="285" spans="1:21" ht="15">
      <c r="A285" s="86">
        <v>595.81476947582496</v>
      </c>
      <c r="B285" s="86">
        <v>597.11099439477505</v>
      </c>
      <c r="C285" s="86">
        <v>584.79685766474995</v>
      </c>
      <c r="D285" s="86">
        <v>585.64438934252507</v>
      </c>
      <c r="E285" s="86">
        <v>12375375.254592501</v>
      </c>
      <c r="F285" s="86" t="s">
        <v>333</v>
      </c>
      <c r="G285" s="25">
        <f t="shared" si="0"/>
        <v>1.7366136034732138E-2</v>
      </c>
      <c r="I285" s="86">
        <v>600.45910074719802</v>
      </c>
      <c r="J285" s="86">
        <v>606.03261380200001</v>
      </c>
      <c r="K285" s="86">
        <v>594.80610800534009</v>
      </c>
      <c r="L285" s="86">
        <v>600.56838531690005</v>
      </c>
      <c r="M285" s="86">
        <v>1334574.8377351286</v>
      </c>
      <c r="N285" s="86" t="s">
        <v>333</v>
      </c>
      <c r="O285" s="25">
        <f t="shared" si="1"/>
        <v>-1.8196856906538272E-4</v>
      </c>
      <c r="Q285" s="87">
        <v>0</v>
      </c>
      <c r="R285">
        <v>62</v>
      </c>
      <c r="T285" s="54">
        <f>T286-0.001</f>
        <v>-2E-3</v>
      </c>
      <c r="U285" s="1">
        <f t="shared" si="4"/>
        <v>32.798642990624678</v>
      </c>
    </row>
    <row r="286" spans="1:21" ht="15">
      <c r="A286" s="86">
        <v>579.24303243509496</v>
      </c>
      <c r="B286" s="86">
        <v>586.96055618330502</v>
      </c>
      <c r="C286" s="86">
        <v>576.78020508909003</v>
      </c>
      <c r="D286" s="86">
        <v>586.68136927768501</v>
      </c>
      <c r="E286" s="86">
        <v>11776668.833025908</v>
      </c>
      <c r="F286" s="86" t="s">
        <v>334</v>
      </c>
      <c r="G286" s="25">
        <f t="shared" ref="G286:G349" si="5">A286/D286-1</f>
        <v>-1.2678665510970744E-2</v>
      </c>
      <c r="I286" s="86">
        <v>594.67695351387408</v>
      </c>
      <c r="J286" s="86">
        <v>619.26598169682404</v>
      </c>
      <c r="K286" s="86">
        <v>590.01745686021604</v>
      </c>
      <c r="L286" s="86">
        <v>616.99087565484604</v>
      </c>
      <c r="M286" s="86">
        <v>1857555.7828754017</v>
      </c>
      <c r="N286" s="86" t="s">
        <v>334</v>
      </c>
      <c r="O286" s="25">
        <f t="shared" ref="O286:O349" si="6">I286/L286-1</f>
        <v>-3.6165724683187572E-2</v>
      </c>
      <c r="Q286" s="87">
        <v>1E-3</v>
      </c>
      <c r="R286">
        <v>67</v>
      </c>
      <c r="T286" s="54">
        <f>T287-0.001</f>
        <v>-1E-3</v>
      </c>
      <c r="U286" s="1">
        <f t="shared" si="4"/>
        <v>33.138782030463858</v>
      </c>
    </row>
    <row r="287" spans="1:21" ht="15">
      <c r="A287" s="86">
        <v>581.26713750084002</v>
      </c>
      <c r="B287" s="86">
        <v>589.1142837409451</v>
      </c>
      <c r="C287" s="86">
        <v>580.33983813574503</v>
      </c>
      <c r="D287" s="86">
        <v>588.96471932722</v>
      </c>
      <c r="E287" s="86">
        <v>11637656.547668856</v>
      </c>
      <c r="F287" s="86" t="s">
        <v>335</v>
      </c>
      <c r="G287" s="25">
        <f t="shared" si="5"/>
        <v>-1.306968239994577E-2</v>
      </c>
      <c r="I287" s="86">
        <v>611.83463095708805</v>
      </c>
      <c r="J287" s="86">
        <v>627.33813741344909</v>
      </c>
      <c r="K287" s="86">
        <v>609.66394135397979</v>
      </c>
      <c r="L287" s="86">
        <v>621.63050238674009</v>
      </c>
      <c r="M287" s="86">
        <v>1066598.9246317798</v>
      </c>
      <c r="N287" s="86" t="s">
        <v>335</v>
      </c>
      <c r="O287" s="25">
        <f t="shared" si="6"/>
        <v>-1.5758350647275154E-2</v>
      </c>
      <c r="Q287" s="87">
        <v>2E-3</v>
      </c>
      <c r="R287">
        <v>60</v>
      </c>
      <c r="T287" s="54">
        <v>0</v>
      </c>
      <c r="U287" s="1">
        <f t="shared" si="4"/>
        <v>33.250660619366229</v>
      </c>
    </row>
    <row r="288" spans="1:21" ht="15">
      <c r="A288" s="86">
        <v>591.32544404802491</v>
      </c>
      <c r="B288" s="86">
        <v>600.25615593327257</v>
      </c>
      <c r="C288" s="86">
        <v>591.0868941479182</v>
      </c>
      <c r="D288" s="86">
        <v>597.66192576961134</v>
      </c>
      <c r="E288" s="86">
        <v>7632666.5755088478</v>
      </c>
      <c r="F288" s="86" t="s">
        <v>336</v>
      </c>
      <c r="G288" s="25">
        <f t="shared" si="5"/>
        <v>-1.0602117097265218E-2</v>
      </c>
      <c r="I288" s="86">
        <v>623.24990101050605</v>
      </c>
      <c r="J288" s="86">
        <v>628.80354414354395</v>
      </c>
      <c r="K288" s="86">
        <v>615.76887546635999</v>
      </c>
      <c r="L288" s="86">
        <v>615.76887546635999</v>
      </c>
      <c r="M288" s="86">
        <v>1250831.6688508529</v>
      </c>
      <c r="N288" s="86" t="s">
        <v>336</v>
      </c>
      <c r="O288" s="25">
        <f t="shared" si="6"/>
        <v>1.2149080348499597E-2</v>
      </c>
      <c r="Q288" s="87">
        <v>3.0000000000000001E-3</v>
      </c>
      <c r="R288">
        <v>59</v>
      </c>
      <c r="T288" s="25">
        <f>T287+0.001</f>
        <v>1E-3</v>
      </c>
      <c r="U288" s="1">
        <f t="shared" si="4"/>
        <v>33.131956524475754</v>
      </c>
    </row>
    <row r="289" spans="1:21" ht="15">
      <c r="A289" s="86">
        <v>602.00055207780338</v>
      </c>
      <c r="B289" s="86">
        <v>605.75771300448525</v>
      </c>
      <c r="C289" s="86">
        <v>599.71444886844677</v>
      </c>
      <c r="D289" s="86">
        <v>603.73003885357753</v>
      </c>
      <c r="E289" s="86">
        <v>23373517.757283315</v>
      </c>
      <c r="F289" s="86" t="s">
        <v>337</v>
      </c>
      <c r="G289" s="25">
        <f t="shared" si="5"/>
        <v>-2.8646690813302067E-3</v>
      </c>
      <c r="I289" s="86">
        <v>620.14025825444003</v>
      </c>
      <c r="J289" s="86">
        <v>622.85250257522591</v>
      </c>
      <c r="K289" s="86">
        <v>608.43687433544392</v>
      </c>
      <c r="L289" s="86">
        <v>608.51635402249997</v>
      </c>
      <c r="M289" s="86">
        <v>1196988.7313341915</v>
      </c>
      <c r="N289" s="86" t="s">
        <v>337</v>
      </c>
      <c r="O289" s="25">
        <f t="shared" si="6"/>
        <v>1.9102040816326715E-2</v>
      </c>
      <c r="Q289" s="87">
        <v>4.0000000000000001E-3</v>
      </c>
      <c r="R289">
        <v>60</v>
      </c>
      <c r="T289" s="25">
        <f>T288+0.001</f>
        <v>2E-3</v>
      </c>
      <c r="U289" s="1">
        <f t="shared" si="4"/>
        <v>32.785133485100218</v>
      </c>
    </row>
    <row r="290" spans="1:21" ht="15">
      <c r="A290" s="86">
        <v>598.74037010967743</v>
      </c>
      <c r="B290" s="86">
        <v>602.24904155708134</v>
      </c>
      <c r="C290" s="86">
        <v>595.69885888331601</v>
      </c>
      <c r="D290" s="86">
        <v>597.00094375473213</v>
      </c>
      <c r="E290" s="86">
        <v>18309374.751382884</v>
      </c>
      <c r="F290" s="86" t="s">
        <v>338</v>
      </c>
      <c r="G290" s="25">
        <f t="shared" si="5"/>
        <v>2.913607378918881E-3</v>
      </c>
      <c r="I290" s="86">
        <v>606.20150813699399</v>
      </c>
      <c r="J290" s="86">
        <v>611.29814306945991</v>
      </c>
      <c r="K290" s="86">
        <v>601.06523271060883</v>
      </c>
      <c r="L290" s="86">
        <v>608.96342726219007</v>
      </c>
      <c r="M290" s="86">
        <v>1071357.6592218333</v>
      </c>
      <c r="N290" s="86" t="s">
        <v>338</v>
      </c>
      <c r="O290" s="25">
        <f t="shared" si="6"/>
        <v>-4.5354433477445832E-3</v>
      </c>
      <c r="Q290" s="87">
        <v>5.0000000000000001E-3</v>
      </c>
      <c r="R290">
        <v>50</v>
      </c>
      <c r="T290" s="25">
        <f>T289+0.001</f>
        <v>3.0000000000000001E-3</v>
      </c>
      <c r="U290" s="1">
        <f t="shared" si="4"/>
        <v>32.217356183179696</v>
      </c>
    </row>
    <row r="291" spans="1:21" ht="15">
      <c r="A291" s="86">
        <v>600.77798383975619</v>
      </c>
      <c r="B291" s="86">
        <v>607.33313630310704</v>
      </c>
      <c r="C291" s="86">
        <v>599.4162614933133</v>
      </c>
      <c r="D291" s="86">
        <v>603.19330157833735</v>
      </c>
      <c r="E291" s="86">
        <v>24112839.904276684</v>
      </c>
      <c r="F291" s="86" t="s">
        <v>339</v>
      </c>
      <c r="G291" s="25">
        <f t="shared" si="5"/>
        <v>-4.0042184358830557E-3</v>
      </c>
      <c r="I291" s="86">
        <v>612.24196435324995</v>
      </c>
      <c r="J291" s="86">
        <v>625.5626605542268</v>
      </c>
      <c r="K291" s="86">
        <v>606.65851633756597</v>
      </c>
      <c r="L291" s="86">
        <v>624.97858420397404</v>
      </c>
      <c r="M291" s="86">
        <v>1346069.9455021769</v>
      </c>
      <c r="N291" s="86" t="s">
        <v>339</v>
      </c>
      <c r="O291" s="25">
        <f t="shared" si="6"/>
        <v>-2.0379290063109123E-2</v>
      </c>
      <c r="Q291" s="87">
        <v>6.0000000000000001E-3</v>
      </c>
      <c r="R291">
        <v>45</v>
      </c>
      <c r="T291" s="25">
        <f t="shared" ref="T291:T329" si="7">T290+0.001</f>
        <v>4.0000000000000001E-3</v>
      </c>
      <c r="U291" s="1">
        <f t="shared" si="4"/>
        <v>31.440244131879794</v>
      </c>
    </row>
    <row r="292" spans="1:21" ht="15">
      <c r="A292" s="86">
        <v>594.32719695770209</v>
      </c>
      <c r="B292" s="86">
        <v>601.94091460277673</v>
      </c>
      <c r="C292" s="86">
        <v>590.97755877703594</v>
      </c>
      <c r="D292" s="86">
        <v>601.7719417568677</v>
      </c>
      <c r="E292" s="86">
        <v>17638954.135451324</v>
      </c>
      <c r="F292" s="86" t="s">
        <v>340</v>
      </c>
      <c r="G292" s="25">
        <f t="shared" si="5"/>
        <v>-1.2371372412995463E-2</v>
      </c>
      <c r="I292" s="86">
        <v>623.34925061932597</v>
      </c>
      <c r="J292" s="86">
        <v>634.35708792697324</v>
      </c>
      <c r="K292" s="86">
        <v>618.322160413034</v>
      </c>
      <c r="L292" s="86">
        <v>631.72442264285201</v>
      </c>
      <c r="M292" s="86">
        <v>6504365.4532227274</v>
      </c>
      <c r="N292" s="86" t="s">
        <v>340</v>
      </c>
      <c r="O292" s="25">
        <f t="shared" si="6"/>
        <v>-1.3257635328531525E-2</v>
      </c>
      <c r="Q292" s="87">
        <v>7.0000000000000001E-3</v>
      </c>
      <c r="R292">
        <v>41</v>
      </c>
      <c r="T292" s="25">
        <f t="shared" si="7"/>
        <v>5.0000000000000001E-3</v>
      </c>
      <c r="U292" s="1">
        <f t="shared" si="4"/>
        <v>30.469476290764966</v>
      </c>
    </row>
    <row r="293" spans="1:21" ht="15">
      <c r="A293" s="86">
        <v>603.08396620745509</v>
      </c>
      <c r="B293" s="86">
        <v>606.00620248376322</v>
      </c>
      <c r="C293" s="86">
        <v>598.89940337641531</v>
      </c>
      <c r="D293" s="86">
        <v>600.48973604379387</v>
      </c>
      <c r="E293" s="86">
        <v>10249751.360103374</v>
      </c>
      <c r="F293" s="86" t="s">
        <v>341</v>
      </c>
      <c r="G293" s="25">
        <f t="shared" si="5"/>
        <v>4.3201906842784688E-3</v>
      </c>
      <c r="I293" s="86">
        <v>633.36369118838195</v>
      </c>
      <c r="J293" s="86">
        <v>635.83749644800002</v>
      </c>
      <c r="K293" s="86">
        <v>619.69318501475004</v>
      </c>
      <c r="L293" s="86">
        <v>634.90361012509197</v>
      </c>
      <c r="M293" s="86">
        <v>1548353.2744321479</v>
      </c>
      <c r="N293" s="86" t="s">
        <v>341</v>
      </c>
      <c r="O293" s="25">
        <f t="shared" si="6"/>
        <v>-2.4254373611242164E-3</v>
      </c>
      <c r="Q293" s="87">
        <v>8.0000000000000002E-3</v>
      </c>
      <c r="R293">
        <v>42</v>
      </c>
      <c r="T293" s="25">
        <f t="shared" si="7"/>
        <v>6.0000000000000001E-3</v>
      </c>
      <c r="U293" s="1">
        <f t="shared" si="4"/>
        <v>29.324265198750343</v>
      </c>
    </row>
    <row r="294" spans="1:21" ht="15">
      <c r="A294" s="86">
        <v>604.70411761234698</v>
      </c>
      <c r="B294" s="86">
        <v>612.168741569855</v>
      </c>
      <c r="C294" s="86">
        <v>604.45562813306901</v>
      </c>
      <c r="D294" s="86">
        <v>610.97599206932114</v>
      </c>
      <c r="E294" s="86">
        <v>12362167.267208908</v>
      </c>
      <c r="F294" s="86" t="s">
        <v>342</v>
      </c>
      <c r="G294" s="25">
        <f t="shared" si="5"/>
        <v>-1.0265336999137897E-2</v>
      </c>
      <c r="I294" s="86">
        <v>638.10266752909604</v>
      </c>
      <c r="J294" s="86">
        <v>641.64944856397005</v>
      </c>
      <c r="K294" s="86">
        <v>632.31058533489011</v>
      </c>
      <c r="L294" s="86">
        <v>636.94027710590206</v>
      </c>
      <c r="M294" s="86">
        <v>1023446.3179842039</v>
      </c>
      <c r="N294" s="86" t="s">
        <v>342</v>
      </c>
      <c r="O294" s="25">
        <f t="shared" si="6"/>
        <v>1.8249598352857443E-3</v>
      </c>
      <c r="Q294" s="87">
        <v>9.0000000000000011E-3</v>
      </c>
      <c r="R294">
        <v>38</v>
      </c>
      <c r="T294" s="25">
        <f t="shared" si="7"/>
        <v>7.0000000000000001E-3</v>
      </c>
      <c r="U294" s="1">
        <f t="shared" si="4"/>
        <v>28.026725253237398</v>
      </c>
    </row>
    <row r="295" spans="1:21" ht="15">
      <c r="A295" s="86">
        <v>613.16269948696652</v>
      </c>
      <c r="B295" s="86">
        <v>616.5222772468037</v>
      </c>
      <c r="C295" s="86">
        <v>612.54644557835741</v>
      </c>
      <c r="D295" s="86">
        <v>614.63375720429167</v>
      </c>
      <c r="E295" s="86">
        <v>8800087.6880364232</v>
      </c>
      <c r="F295" s="86" t="s">
        <v>343</v>
      </c>
      <c r="G295" s="25">
        <f t="shared" si="5"/>
        <v>-2.3933890712680705E-3</v>
      </c>
      <c r="I295" s="86">
        <v>632.19136580430609</v>
      </c>
      <c r="J295" s="86">
        <v>640.80497688900005</v>
      </c>
      <c r="K295" s="86">
        <v>628.67339615598985</v>
      </c>
      <c r="L295" s="86">
        <v>640.76523704547208</v>
      </c>
      <c r="M295" s="86">
        <v>1396370.1205039129</v>
      </c>
      <c r="N295" s="86" t="s">
        <v>343</v>
      </c>
      <c r="O295" s="25">
        <f t="shared" si="6"/>
        <v>-1.33806747705284E-2</v>
      </c>
      <c r="Q295" s="87">
        <v>1.0000000000000002E-2</v>
      </c>
      <c r="R295">
        <v>36</v>
      </c>
      <c r="T295" s="25">
        <f t="shared" si="7"/>
        <v>8.0000000000000002E-3</v>
      </c>
      <c r="U295" s="1">
        <f t="shared" si="4"/>
        <v>26.601164121897845</v>
      </c>
    </row>
    <row r="296" spans="1:21" ht="15">
      <c r="A296" s="86">
        <v>611.47297102787695</v>
      </c>
      <c r="B296" s="86">
        <v>614.34550940832935</v>
      </c>
      <c r="C296" s="86">
        <v>609.83294046464266</v>
      </c>
      <c r="D296" s="86">
        <v>611.00581080683446</v>
      </c>
      <c r="E296" s="86">
        <v>8274060.0646342319</v>
      </c>
      <c r="F296" s="86" t="s">
        <v>344</v>
      </c>
      <c r="G296" s="25">
        <f t="shared" si="5"/>
        <v>7.645757418011101E-4</v>
      </c>
      <c r="I296" s="86">
        <v>641.00367610664</v>
      </c>
      <c r="J296" s="86">
        <v>647.31237626670998</v>
      </c>
      <c r="K296" s="86">
        <v>634.84400035980002</v>
      </c>
      <c r="L296" s="86">
        <v>641.02851350884498</v>
      </c>
      <c r="M296" s="86">
        <v>1183058.0840328264</v>
      </c>
      <c r="N296" s="86" t="s">
        <v>344</v>
      </c>
      <c r="O296" s="25">
        <f t="shared" si="6"/>
        <v>-3.8746173815273899E-5</v>
      </c>
      <c r="Q296" s="87">
        <v>1.1000000000000003E-2</v>
      </c>
      <c r="R296">
        <v>38</v>
      </c>
      <c r="T296" s="25">
        <f t="shared" si="7"/>
        <v>9.0000000000000011E-3</v>
      </c>
      <c r="U296" s="1">
        <f t="shared" si="4"/>
        <v>25.073328927162795</v>
      </c>
    </row>
    <row r="297" spans="1:21" ht="15">
      <c r="A297" s="86">
        <v>605.40982773349617</v>
      </c>
      <c r="B297" s="86">
        <v>614.59797471927561</v>
      </c>
      <c r="C297" s="86">
        <v>604.57490308312242</v>
      </c>
      <c r="D297" s="86">
        <v>611.82085629886592</v>
      </c>
      <c r="E297" s="86">
        <v>23660320.16711612</v>
      </c>
      <c r="F297" s="86" t="s">
        <v>345</v>
      </c>
      <c r="G297" s="25">
        <f t="shared" si="5"/>
        <v>-1.0478604152451498E-2</v>
      </c>
      <c r="I297" s="86">
        <v>641.79847297720005</v>
      </c>
      <c r="J297" s="86">
        <v>655.70741821199999</v>
      </c>
      <c r="K297" s="86">
        <v>636.33424449209997</v>
      </c>
      <c r="L297" s="86">
        <v>648.425091885494</v>
      </c>
      <c r="M297" s="86">
        <v>1075176.8749641667</v>
      </c>
      <c r="N297" s="86" t="s">
        <v>345</v>
      </c>
      <c r="O297" s="25">
        <f t="shared" si="6"/>
        <v>-1.021955965495569E-2</v>
      </c>
      <c r="Q297" s="87">
        <v>1.2000000000000004E-2</v>
      </c>
      <c r="R297">
        <v>24</v>
      </c>
      <c r="T297" s="25">
        <f t="shared" si="7"/>
        <v>1.0000000000000002E-2</v>
      </c>
      <c r="U297" s="1">
        <f t="shared" si="4"/>
        <v>23.469639689373924</v>
      </c>
    </row>
    <row r="298" spans="1:21" ht="15">
      <c r="A298" s="86">
        <v>608.79922423084668</v>
      </c>
      <c r="B298" s="86">
        <v>613.97774497899809</v>
      </c>
      <c r="C298" s="86">
        <v>608.71970759747774</v>
      </c>
      <c r="D298" s="86">
        <v>613.49070559961342</v>
      </c>
      <c r="E298" s="86">
        <v>12076075.97440413</v>
      </c>
      <c r="F298" s="86" t="s">
        <v>346</v>
      </c>
      <c r="G298" s="25">
        <f t="shared" si="5"/>
        <v>-7.6471922491171407E-3</v>
      </c>
      <c r="I298" s="86">
        <v>648.5840512596061</v>
      </c>
      <c r="J298" s="86">
        <v>656.7009143002</v>
      </c>
      <c r="K298" s="86">
        <v>642.42437551276601</v>
      </c>
      <c r="L298" s="86">
        <v>647.70977470199</v>
      </c>
      <c r="M298" s="86">
        <v>1341707.3138305689</v>
      </c>
      <c r="N298" s="86" t="s">
        <v>346</v>
      </c>
      <c r="O298" s="25">
        <f t="shared" si="6"/>
        <v>1.3497967635556218E-3</v>
      </c>
      <c r="Q298" s="87">
        <v>1.3000000000000005E-2</v>
      </c>
      <c r="R298">
        <v>29</v>
      </c>
      <c r="T298" s="25">
        <f t="shared" si="7"/>
        <v>1.1000000000000003E-2</v>
      </c>
      <c r="U298" s="1">
        <f t="shared" si="4"/>
        <v>21.816441575122219</v>
      </c>
    </row>
    <row r="299" spans="1:21" ht="15">
      <c r="A299" s="86">
        <v>618.27164318092014</v>
      </c>
      <c r="B299" s="86">
        <v>621.65110009909949</v>
      </c>
      <c r="C299" s="86">
        <v>615.55813806720539</v>
      </c>
      <c r="D299" s="86">
        <v>619.43457394394068</v>
      </c>
      <c r="E299" s="86">
        <v>6365253.0199522767</v>
      </c>
      <c r="F299" s="86" t="s">
        <v>347</v>
      </c>
      <c r="G299" s="25">
        <f t="shared" si="5"/>
        <v>-1.8774069319640319E-3</v>
      </c>
      <c r="I299" s="86">
        <v>645.24590440325403</v>
      </c>
      <c r="J299" s="86">
        <v>652.72683059779126</v>
      </c>
      <c r="K299" s="86">
        <v>639.94063529226605</v>
      </c>
      <c r="L299" s="86">
        <v>641.12289563722402</v>
      </c>
      <c r="M299" s="86">
        <v>1295232.6585718307</v>
      </c>
      <c r="N299" s="86" t="s">
        <v>347</v>
      </c>
      <c r="O299" s="25">
        <f t="shared" si="6"/>
        <v>6.4309179941735017E-3</v>
      </c>
      <c r="Q299" s="87">
        <v>1.4000000000000005E-2</v>
      </c>
      <c r="R299">
        <v>20</v>
      </c>
      <c r="T299" s="25">
        <f t="shared" si="7"/>
        <v>1.2000000000000004E-2</v>
      </c>
      <c r="U299" s="1">
        <f t="shared" si="4"/>
        <v>20.139304913728122</v>
      </c>
    </row>
    <row r="300" spans="1:21" ht="15">
      <c r="A300" s="86">
        <v>618.95747414372715</v>
      </c>
      <c r="B300" s="86">
        <v>624.70294848779895</v>
      </c>
      <c r="C300" s="86">
        <v>616.88010209696392</v>
      </c>
      <c r="D300" s="86">
        <v>619.55384889399409</v>
      </c>
      <c r="E300" s="86">
        <v>15629246.759101963</v>
      </c>
      <c r="F300" s="86" t="s">
        <v>348</v>
      </c>
      <c r="G300" s="25">
        <f t="shared" si="5"/>
        <v>-9.625874350253083E-4</v>
      </c>
      <c r="I300" s="86">
        <v>646.98452255760401</v>
      </c>
      <c r="J300" s="86">
        <v>655.59813364229797</v>
      </c>
      <c r="K300" s="86">
        <v>641.99717219484</v>
      </c>
      <c r="L300" s="86">
        <v>653.67075123119002</v>
      </c>
      <c r="M300" s="86">
        <v>1660965.7954363348</v>
      </c>
      <c r="N300" s="86" t="s">
        <v>348</v>
      </c>
      <c r="O300" s="25">
        <f t="shared" si="6"/>
        <v>-1.0228740785774071E-2</v>
      </c>
      <c r="Q300" s="87">
        <v>1.5000000000000006E-2</v>
      </c>
      <c r="R300">
        <v>14</v>
      </c>
      <c r="T300" s="25">
        <f t="shared" si="7"/>
        <v>1.3000000000000005E-2</v>
      </c>
      <c r="U300" s="1">
        <f t="shared" si="4"/>
        <v>18.462397961115126</v>
      </c>
    </row>
    <row r="301" spans="1:21" ht="15">
      <c r="A301" s="86">
        <v>620.03094869420761</v>
      </c>
      <c r="B301" s="86">
        <v>621.54176472821723</v>
      </c>
      <c r="C301" s="86">
        <v>605.51916310437855</v>
      </c>
      <c r="D301" s="86">
        <v>609.1570490810069</v>
      </c>
      <c r="E301" s="86">
        <v>13259006.27684268</v>
      </c>
      <c r="F301" s="86" t="s">
        <v>349</v>
      </c>
      <c r="G301" s="25">
        <f t="shared" si="5"/>
        <v>1.7850732630616983E-2</v>
      </c>
      <c r="I301" s="86">
        <v>659.83042697803</v>
      </c>
      <c r="J301" s="86">
        <v>671.677867829815</v>
      </c>
      <c r="K301" s="86">
        <v>653.06968609782905</v>
      </c>
      <c r="L301" s="86">
        <v>671.18608726615605</v>
      </c>
      <c r="M301" s="86">
        <v>2344171.9499062239</v>
      </c>
      <c r="N301" s="86" t="s">
        <v>349</v>
      </c>
      <c r="O301" s="25">
        <f t="shared" si="6"/>
        <v>-1.6918795701471367E-2</v>
      </c>
      <c r="Q301" s="87">
        <v>1.6000000000000007E-2</v>
      </c>
      <c r="R301">
        <v>23</v>
      </c>
      <c r="T301" s="25">
        <f t="shared" si="7"/>
        <v>1.4000000000000005E-2</v>
      </c>
      <c r="U301" s="1">
        <f t="shared" si="4"/>
        <v>16.807952329892036</v>
      </c>
    </row>
    <row r="302" spans="1:21" ht="15">
      <c r="A302" s="86">
        <v>614.69339467931832</v>
      </c>
      <c r="B302" s="86">
        <v>618.06291201832676</v>
      </c>
      <c r="C302" s="86">
        <v>612.27807694073726</v>
      </c>
      <c r="D302" s="86">
        <v>615.59292659430446</v>
      </c>
      <c r="E302" s="86">
        <v>9721290.7967764959</v>
      </c>
      <c r="F302" s="86" t="s">
        <v>350</v>
      </c>
      <c r="G302" s="25">
        <f t="shared" si="5"/>
        <v>-1.461244722161914E-3</v>
      </c>
      <c r="I302" s="86">
        <v>667.400867170114</v>
      </c>
      <c r="J302" s="86">
        <v>668.48377790625204</v>
      </c>
      <c r="K302" s="86">
        <v>652.13083229448</v>
      </c>
      <c r="L302" s="86">
        <v>657.34668675752994</v>
      </c>
      <c r="M302" s="86">
        <v>1871811.5051356272</v>
      </c>
      <c r="N302" s="86" t="s">
        <v>350</v>
      </c>
      <c r="O302" s="25">
        <f t="shared" si="6"/>
        <v>1.5295095594347607E-2</v>
      </c>
      <c r="Q302" s="87">
        <v>1.7000000000000008E-2</v>
      </c>
      <c r="R302">
        <v>19</v>
      </c>
      <c r="T302" s="25">
        <f t="shared" si="7"/>
        <v>1.5000000000000006E-2</v>
      </c>
      <c r="U302" s="1">
        <f t="shared" si="4"/>
        <v>15.195835241635045</v>
      </c>
    </row>
    <row r="303" spans="1:21" ht="15">
      <c r="A303" s="86">
        <v>623.02276202471342</v>
      </c>
      <c r="B303" s="86">
        <v>626.69046673885521</v>
      </c>
      <c r="C303" s="86">
        <v>617.64544969313977</v>
      </c>
      <c r="D303" s="86">
        <v>623.49986182492705</v>
      </c>
      <c r="E303" s="86">
        <v>12232951.097802835</v>
      </c>
      <c r="F303" s="86" t="s">
        <v>351</v>
      </c>
      <c r="G303" s="25">
        <f t="shared" si="5"/>
        <v>-7.6519632068117183E-4</v>
      </c>
      <c r="I303" s="86">
        <v>650.73993777099997</v>
      </c>
      <c r="J303" s="86">
        <v>658.68790647660001</v>
      </c>
      <c r="K303" s="86">
        <v>643.01928097038012</v>
      </c>
      <c r="L303" s="86">
        <v>657.79375999722004</v>
      </c>
      <c r="M303" s="86">
        <v>1718589.9132159259</v>
      </c>
      <c r="N303" s="86" t="s">
        <v>351</v>
      </c>
      <c r="O303" s="25">
        <f t="shared" si="6"/>
        <v>-1.0723455671348803E-2</v>
      </c>
      <c r="Q303" s="87">
        <v>1.8000000000000009E-2</v>
      </c>
      <c r="R303">
        <v>12</v>
      </c>
      <c r="T303" s="25">
        <f t="shared" si="7"/>
        <v>1.6000000000000007E-2</v>
      </c>
      <c r="U303" s="1">
        <f t="shared" si="4"/>
        <v>13.643236686772074</v>
      </c>
    </row>
    <row r="304" spans="1:21" ht="15">
      <c r="A304" s="86">
        <v>626.37240020537945</v>
      </c>
      <c r="B304" s="86">
        <v>628.14164529783818</v>
      </c>
      <c r="C304" s="86">
        <v>621.29327524893938</v>
      </c>
      <c r="D304" s="86">
        <v>623.13209739559568</v>
      </c>
      <c r="E304" s="86">
        <v>13466889.564598415</v>
      </c>
      <c r="F304" s="86" t="s">
        <v>352</v>
      </c>
      <c r="G304" s="25">
        <f t="shared" si="5"/>
        <v>5.2000255215975955E-3</v>
      </c>
      <c r="I304" s="86">
        <v>660.15828068713608</v>
      </c>
      <c r="J304" s="86">
        <v>666.63587518220004</v>
      </c>
      <c r="K304" s="86">
        <v>648.29593739402799</v>
      </c>
      <c r="L304" s="86">
        <v>665.64237909400003</v>
      </c>
      <c r="M304" s="86">
        <v>1648835.5879366409</v>
      </c>
      <c r="N304" s="86" t="s">
        <v>352</v>
      </c>
      <c r="O304" s="25">
        <f t="shared" si="6"/>
        <v>-8.2388059701491434E-3</v>
      </c>
      <c r="Q304" s="87">
        <v>1.900000000000001E-2</v>
      </c>
      <c r="R304">
        <v>12</v>
      </c>
      <c r="T304" s="25">
        <f t="shared" si="7"/>
        <v>1.7000000000000008E-2</v>
      </c>
      <c r="U304" s="1">
        <f t="shared" si="4"/>
        <v>12.164473583875697</v>
      </c>
    </row>
    <row r="305" spans="1:21" ht="15">
      <c r="A305" s="86">
        <v>621.93934789506193</v>
      </c>
      <c r="B305" s="86">
        <v>623.99684078348275</v>
      </c>
      <c r="C305" s="86">
        <v>612.15880199068386</v>
      </c>
      <c r="D305" s="86">
        <v>617.05901452204387</v>
      </c>
      <c r="E305" s="86">
        <v>17858757.235400345</v>
      </c>
      <c r="F305" s="86" t="s">
        <v>353</v>
      </c>
      <c r="G305" s="25">
        <f t="shared" si="5"/>
        <v>7.9090220840518644E-3</v>
      </c>
      <c r="I305" s="86">
        <v>663.47655762172406</v>
      </c>
      <c r="J305" s="86">
        <v>682.00525966665407</v>
      </c>
      <c r="K305" s="86">
        <v>653.28328775679199</v>
      </c>
      <c r="L305" s="86">
        <v>677.56433215239997</v>
      </c>
      <c r="M305" s="86">
        <v>2152299.8959906725</v>
      </c>
      <c r="N305" s="86" t="s">
        <v>353</v>
      </c>
      <c r="O305" s="25">
        <f t="shared" si="6"/>
        <v>-2.0791788856304838E-2</v>
      </c>
      <c r="Q305" s="87">
        <v>2.0000000000000011E-2</v>
      </c>
      <c r="R305">
        <v>7</v>
      </c>
      <c r="T305" s="25">
        <f t="shared" si="7"/>
        <v>1.8000000000000009E-2</v>
      </c>
      <c r="U305" s="1">
        <f t="shared" si="4"/>
        <v>10.770907461404379</v>
      </c>
    </row>
    <row r="306" spans="1:21" ht="15">
      <c r="A306" s="86">
        <v>627.46575391420231</v>
      </c>
      <c r="B306" s="86">
        <v>629.51330722345222</v>
      </c>
      <c r="C306" s="86">
        <v>619.83215711078537</v>
      </c>
      <c r="D306" s="86">
        <v>620.41362249229553</v>
      </c>
      <c r="E306" s="86">
        <v>9196640.0864975248</v>
      </c>
      <c r="F306" s="86" t="s">
        <v>354</v>
      </c>
      <c r="G306" s="25">
        <f t="shared" si="5"/>
        <v>1.1366822336326798E-2</v>
      </c>
      <c r="I306" s="86">
        <v>672.29880288494007</v>
      </c>
      <c r="J306" s="86">
        <v>687.49929303440001</v>
      </c>
      <c r="K306" s="86">
        <v>659.691337525682</v>
      </c>
      <c r="L306" s="86">
        <v>681.04156846110004</v>
      </c>
      <c r="M306" s="86">
        <v>3244894.0184966498</v>
      </c>
      <c r="N306" s="86" t="s">
        <v>354</v>
      </c>
      <c r="O306" s="25">
        <f t="shared" si="6"/>
        <v>-1.2837345003646972E-2</v>
      </c>
      <c r="Q306" s="87">
        <v>2.1000000000000012E-2</v>
      </c>
      <c r="R306">
        <v>10</v>
      </c>
      <c r="T306" s="25">
        <f t="shared" si="7"/>
        <v>1.900000000000001E-2</v>
      </c>
      <c r="U306" s="1">
        <f t="shared" si="4"/>
        <v>9.4709673299936732</v>
      </c>
    </row>
    <row r="307" spans="1:21" ht="15">
      <c r="A307" s="86">
        <v>627.22720401409549</v>
      </c>
      <c r="B307" s="86">
        <v>627.87327666021804</v>
      </c>
      <c r="C307" s="86">
        <v>623.15197655393808</v>
      </c>
      <c r="D307" s="86">
        <v>624.44412184618307</v>
      </c>
      <c r="E307" s="86">
        <v>10491519.318548061</v>
      </c>
      <c r="F307" s="86" t="s">
        <v>355</v>
      </c>
      <c r="G307" s="25">
        <f t="shared" si="5"/>
        <v>4.4568954539665473E-3</v>
      </c>
      <c r="I307" s="86">
        <v>650.37234422184724</v>
      </c>
      <c r="J307" s="86">
        <v>654.71092705544481</v>
      </c>
      <c r="K307" s="86">
        <v>639.52094569954613</v>
      </c>
      <c r="L307" s="86">
        <v>640.49935048434384</v>
      </c>
      <c r="M307" s="86">
        <v>2617369.9202162628</v>
      </c>
      <c r="N307" s="86" t="s">
        <v>355</v>
      </c>
      <c r="O307" s="25">
        <f t="shared" si="6"/>
        <v>1.5414525760311104E-2</v>
      </c>
      <c r="Q307" s="87">
        <v>2.2000000000000013E-2</v>
      </c>
      <c r="R307">
        <v>8</v>
      </c>
      <c r="T307" s="25">
        <f t="shared" si="7"/>
        <v>2.0000000000000011E-2</v>
      </c>
      <c r="U307" s="1">
        <f t="shared" si="4"/>
        <v>8.2702654871089933</v>
      </c>
    </row>
    <row r="308" spans="1:21" ht="15">
      <c r="A308" s="86">
        <v>630.11962155289029</v>
      </c>
      <c r="B308" s="86">
        <v>633.91654079625641</v>
      </c>
      <c r="C308" s="86">
        <v>625.62693176754578</v>
      </c>
      <c r="D308" s="86">
        <v>633.79726584620312</v>
      </c>
      <c r="E308" s="86">
        <v>9465251.0645919107</v>
      </c>
      <c r="F308" s="86" t="s">
        <v>356</v>
      </c>
      <c r="G308" s="25">
        <f t="shared" si="5"/>
        <v>-5.8025562612717962E-3</v>
      </c>
      <c r="I308" s="86">
        <v>634.1150121916238</v>
      </c>
      <c r="J308" s="86">
        <v>639.9162607641108</v>
      </c>
      <c r="K308" s="86">
        <v>630.55717661054143</v>
      </c>
      <c r="L308" s="86">
        <v>638.88844159624261</v>
      </c>
      <c r="M308" s="86">
        <v>1279108.9357467163</v>
      </c>
      <c r="N308" s="86" t="s">
        <v>356</v>
      </c>
      <c r="O308" s="25">
        <f t="shared" si="6"/>
        <v>-7.4714599511184199E-3</v>
      </c>
      <c r="Q308" s="87">
        <v>2.3000000000000013E-2</v>
      </c>
      <c r="R308">
        <v>4</v>
      </c>
      <c r="T308" s="25">
        <f t="shared" si="7"/>
        <v>2.1000000000000012E-2</v>
      </c>
      <c r="U308" s="1">
        <f t="shared" si="4"/>
        <v>7.171791130779634</v>
      </c>
    </row>
    <row r="309" spans="1:21" ht="15">
      <c r="A309" s="86">
        <v>633.67799089614971</v>
      </c>
      <c r="B309" s="86">
        <v>634.1451511171922</v>
      </c>
      <c r="C309" s="86">
        <v>630.90484830740843</v>
      </c>
      <c r="D309" s="86">
        <v>630.93466704492175</v>
      </c>
      <c r="E309" s="86">
        <v>12065849.900015049</v>
      </c>
      <c r="F309" s="86" t="s">
        <v>357</v>
      </c>
      <c r="G309" s="25">
        <f t="shared" si="5"/>
        <v>4.3480315704900185E-3</v>
      </c>
      <c r="I309" s="86">
        <v>639.9162607641108</v>
      </c>
      <c r="J309" s="86">
        <v>655.77827772976946</v>
      </c>
      <c r="K309" s="86">
        <v>626.60896740320152</v>
      </c>
      <c r="L309" s="86">
        <v>654.6812784256025</v>
      </c>
      <c r="M309" s="86">
        <v>1680643.9901590433</v>
      </c>
      <c r="N309" s="86" t="s">
        <v>357</v>
      </c>
      <c r="O309" s="25">
        <f t="shared" si="6"/>
        <v>-2.2552985930801461E-2</v>
      </c>
      <c r="Q309" s="87">
        <v>2.4000000000000014E-2</v>
      </c>
      <c r="R309">
        <v>2</v>
      </c>
      <c r="T309" s="25">
        <f t="shared" si="7"/>
        <v>2.2000000000000013E-2</v>
      </c>
      <c r="U309" s="1">
        <f t="shared" ref="U309:U329" si="8">_xlfn.NORM.DIST(T309,$S$236,$S$238,FALSE)</f>
        <v>6.1761649046726346</v>
      </c>
    </row>
    <row r="310" spans="1:21" ht="15">
      <c r="A310" s="86">
        <v>628.39013477711615</v>
      </c>
      <c r="B310" s="86">
        <v>629.26481774417425</v>
      </c>
      <c r="C310" s="86">
        <v>621.62128136158617</v>
      </c>
      <c r="D310" s="86">
        <v>623.36070771653135</v>
      </c>
      <c r="E310" s="86">
        <v>6934297.6936378954</v>
      </c>
      <c r="F310" s="86" t="s">
        <v>358</v>
      </c>
      <c r="G310" s="25">
        <f t="shared" si="5"/>
        <v>8.0682452363871615E-3</v>
      </c>
      <c r="I310" s="86">
        <v>656.64797087181182</v>
      </c>
      <c r="J310" s="86">
        <v>661.2632742506047</v>
      </c>
      <c r="K310" s="86">
        <v>644.92687920746846</v>
      </c>
      <c r="L310" s="86">
        <v>650.57988463074366</v>
      </c>
      <c r="M310" s="86">
        <v>1370204.7443004679</v>
      </c>
      <c r="N310" s="86" t="s">
        <v>358</v>
      </c>
      <c r="O310" s="25">
        <f t="shared" si="6"/>
        <v>9.3271962205105918E-3</v>
      </c>
      <c r="Q310" s="87">
        <v>2.5000000000000015E-2</v>
      </c>
      <c r="R310">
        <v>4</v>
      </c>
      <c r="T310" s="25">
        <f t="shared" si="7"/>
        <v>2.3000000000000013E-2</v>
      </c>
      <c r="U310" s="1">
        <f t="shared" si="8"/>
        <v>5.2819368249403791</v>
      </c>
    </row>
    <row r="311" spans="1:21" ht="15">
      <c r="A311" s="86">
        <v>623.83780751674499</v>
      </c>
      <c r="B311" s="86">
        <v>630.77563377818387</v>
      </c>
      <c r="C311" s="86">
        <v>621.96916663257525</v>
      </c>
      <c r="D311" s="86">
        <v>628.78771794396073</v>
      </c>
      <c r="E311" s="86">
        <v>10883525.717704553</v>
      </c>
      <c r="F311" s="86" t="s">
        <v>359</v>
      </c>
      <c r="G311" s="25">
        <f t="shared" si="5"/>
        <v>-7.8721487172191962E-3</v>
      </c>
      <c r="I311" s="86">
        <v>652.88259488183303</v>
      </c>
      <c r="J311" s="86">
        <v>655.50155718457415</v>
      </c>
      <c r="K311" s="86">
        <v>646.03376138824967</v>
      </c>
      <c r="L311" s="86">
        <v>647.94115657477425</v>
      </c>
      <c r="M311" s="86">
        <v>1201831.0845885801</v>
      </c>
      <c r="N311" s="86" t="s">
        <v>359</v>
      </c>
      <c r="O311" s="25">
        <f t="shared" si="6"/>
        <v>7.6263689332234375E-3</v>
      </c>
      <c r="Q311" s="87">
        <v>2.6000000000000016E-2</v>
      </c>
      <c r="R311">
        <v>5</v>
      </c>
      <c r="T311" s="25">
        <f t="shared" si="7"/>
        <v>2.4000000000000014E-2</v>
      </c>
      <c r="U311" s="1">
        <f t="shared" si="8"/>
        <v>4.4859103557055171</v>
      </c>
    </row>
    <row r="312" spans="1:21" ht="15">
      <c r="A312" s="86">
        <v>630.18919860708797</v>
      </c>
      <c r="B312" s="86">
        <v>630.74581504067055</v>
      </c>
      <c r="C312" s="86">
        <v>623.24143276647806</v>
      </c>
      <c r="D312" s="86">
        <v>623.68871382917825</v>
      </c>
      <c r="E312" s="86">
        <v>7493334.3472365998</v>
      </c>
      <c r="F312" s="86" t="s">
        <v>360</v>
      </c>
      <c r="G312" s="25">
        <f t="shared" si="5"/>
        <v>1.0422642952763406E-2</v>
      </c>
      <c r="I312" s="86">
        <v>650.55023600090124</v>
      </c>
      <c r="J312" s="86">
        <v>660.42322973840476</v>
      </c>
      <c r="K312" s="86">
        <v>640.81560253599548</v>
      </c>
      <c r="L312" s="86">
        <v>658.96056399951533</v>
      </c>
      <c r="M312" s="86">
        <v>1447082.7228148077</v>
      </c>
      <c r="N312" s="86" t="s">
        <v>360</v>
      </c>
      <c r="O312" s="25">
        <f t="shared" si="6"/>
        <v>-1.2763021731631685E-2</v>
      </c>
      <c r="Q312" s="87">
        <v>2.7000000000000017E-2</v>
      </c>
      <c r="R312">
        <v>3</v>
      </c>
      <c r="T312" s="25">
        <f t="shared" si="7"/>
        <v>2.5000000000000015E-2</v>
      </c>
      <c r="U312" s="1">
        <f t="shared" si="8"/>
        <v>3.7834765587974655</v>
      </c>
    </row>
    <row r="313" spans="1:21" ht="15">
      <c r="A313" s="86">
        <v>625.72632755925702</v>
      </c>
      <c r="B313" s="86">
        <v>627.26696233077996</v>
      </c>
      <c r="C313" s="86">
        <v>623.02276202471342</v>
      </c>
      <c r="D313" s="86">
        <v>625.14983196733237</v>
      </c>
      <c r="E313" s="86">
        <v>5201993.878197087</v>
      </c>
      <c r="F313" s="86" t="s">
        <v>361</v>
      </c>
      <c r="G313" s="25">
        <f t="shared" si="5"/>
        <v>9.2217187375776E-4</v>
      </c>
      <c r="I313" s="86">
        <v>658.70360920754831</v>
      </c>
      <c r="J313" s="86">
        <v>661.90566123052236</v>
      </c>
      <c r="K313" s="86">
        <v>647.82256205540489</v>
      </c>
      <c r="L313" s="86">
        <v>648.81084971681662</v>
      </c>
      <c r="M313" s="86">
        <v>1356474.4884955778</v>
      </c>
      <c r="N313" s="86" t="s">
        <v>361</v>
      </c>
      <c r="O313" s="25">
        <f t="shared" si="6"/>
        <v>1.5247524752475261E-2</v>
      </c>
      <c r="Q313" s="87">
        <v>2.8000000000000018E-2</v>
      </c>
      <c r="R313">
        <v>1</v>
      </c>
      <c r="T313" s="25">
        <f t="shared" si="7"/>
        <v>2.6000000000000016E-2</v>
      </c>
      <c r="U313" s="1">
        <f t="shared" si="8"/>
        <v>3.1689440638713986</v>
      </c>
    </row>
    <row r="314" spans="1:21" ht="15">
      <c r="A314" s="86">
        <v>627.33653938497775</v>
      </c>
      <c r="B314" s="86">
        <v>629.97052786532345</v>
      </c>
      <c r="C314" s="86">
        <v>624.20557194607625</v>
      </c>
      <c r="D314" s="86">
        <v>625.30886523407014</v>
      </c>
      <c r="E314" s="86">
        <v>9566979.4830282088</v>
      </c>
      <c r="F314" s="86" t="s">
        <v>362</v>
      </c>
      <c r="G314" s="25">
        <f t="shared" si="5"/>
        <v>3.2426761615615973E-3</v>
      </c>
      <c r="I314" s="86">
        <v>642.19920526197188</v>
      </c>
      <c r="J314" s="86">
        <v>652.81341474553415</v>
      </c>
      <c r="K314" s="86">
        <v>639.60989158907319</v>
      </c>
      <c r="L314" s="86">
        <v>649.47300244996245</v>
      </c>
      <c r="M314" s="86">
        <v>1366278.3142219451</v>
      </c>
      <c r="N314" s="86" t="s">
        <v>362</v>
      </c>
      <c r="O314" s="25">
        <f t="shared" si="6"/>
        <v>-1.1199537410411353E-2</v>
      </c>
      <c r="Q314" s="87">
        <v>2.9000000000000019E-2</v>
      </c>
      <c r="R314">
        <v>4</v>
      </c>
      <c r="T314" s="25">
        <f t="shared" si="7"/>
        <v>2.7000000000000017E-2</v>
      </c>
      <c r="U314" s="1">
        <f t="shared" si="8"/>
        <v>2.6358528894945916</v>
      </c>
    </row>
    <row r="315" spans="1:21" ht="15">
      <c r="A315" s="86">
        <v>624.19563236690522</v>
      </c>
      <c r="B315" s="86">
        <v>626.1239107261016</v>
      </c>
      <c r="C315" s="86">
        <v>617.75478506402203</v>
      </c>
      <c r="D315" s="86">
        <v>621.76043546998176</v>
      </c>
      <c r="E315" s="86">
        <v>8088295.1497205654</v>
      </c>
      <c r="F315" s="86" t="s">
        <v>363</v>
      </c>
      <c r="G315" s="25">
        <f t="shared" si="5"/>
        <v>3.9166160437382747E-3</v>
      </c>
      <c r="I315" s="86">
        <v>641.97189909984729</v>
      </c>
      <c r="J315" s="86">
        <v>648.53412917162132</v>
      </c>
      <c r="K315" s="86">
        <v>634.48067862634616</v>
      </c>
      <c r="L315" s="86">
        <v>645.35184290187544</v>
      </c>
      <c r="M315" s="86">
        <v>1173300.0878950453</v>
      </c>
      <c r="N315" s="86" t="s">
        <v>363</v>
      </c>
      <c r="O315" s="25">
        <f t="shared" si="6"/>
        <v>-5.2373660030626823E-3</v>
      </c>
      <c r="Q315" s="87">
        <v>3.000000000000002E-2</v>
      </c>
      <c r="R315">
        <v>1</v>
      </c>
      <c r="T315" s="25">
        <f t="shared" si="7"/>
        <v>2.8000000000000018E-2</v>
      </c>
      <c r="U315" s="1">
        <f t="shared" si="8"/>
        <v>2.1772626953504495</v>
      </c>
    </row>
    <row r="316" spans="1:21" ht="15">
      <c r="A316" s="86">
        <v>623.10227865808235</v>
      </c>
      <c r="B316" s="86">
        <v>627.35641854331993</v>
      </c>
      <c r="C316" s="86">
        <v>619.35008752098622</v>
      </c>
      <c r="D316" s="86">
        <v>623.14203697476682</v>
      </c>
      <c r="E316" s="86">
        <v>9304973.4206822477</v>
      </c>
      <c r="F316" s="86" t="s">
        <v>364</v>
      </c>
      <c r="G316" s="25">
        <f t="shared" si="5"/>
        <v>-6.3802976408844359E-5</v>
      </c>
      <c r="I316" s="86">
        <v>644.9367620840826</v>
      </c>
      <c r="J316" s="86">
        <v>648.6527236909908</v>
      </c>
      <c r="K316" s="86">
        <v>631.51581564211097</v>
      </c>
      <c r="L316" s="86">
        <v>631.51581564211097</v>
      </c>
      <c r="M316" s="86">
        <v>1479998.2405027766</v>
      </c>
      <c r="N316" s="86" t="s">
        <v>364</v>
      </c>
      <c r="O316" s="25">
        <f t="shared" si="6"/>
        <v>2.1251956181533638E-2</v>
      </c>
      <c r="Q316" s="87">
        <v>3.1000000000000021E-2</v>
      </c>
      <c r="R316">
        <v>2</v>
      </c>
      <c r="T316" s="25">
        <f t="shared" si="7"/>
        <v>2.9000000000000019E-2</v>
      </c>
      <c r="U316" s="1">
        <f t="shared" si="8"/>
        <v>1.7860086745720158</v>
      </c>
    </row>
    <row r="317" spans="1:21" ht="15">
      <c r="A317" s="86">
        <v>622.70469549123777</v>
      </c>
      <c r="B317" s="86">
        <v>635.65596715120171</v>
      </c>
      <c r="C317" s="86">
        <v>621.97910621174628</v>
      </c>
      <c r="D317" s="86">
        <v>634.65206965491905</v>
      </c>
      <c r="E317" s="86">
        <v>8920772.0441192109</v>
      </c>
      <c r="F317" s="86" t="s">
        <v>365</v>
      </c>
      <c r="G317" s="25">
        <f t="shared" si="5"/>
        <v>-1.8825077132699541E-2</v>
      </c>
      <c r="I317" s="86">
        <v>629.96420401369437</v>
      </c>
      <c r="J317" s="86">
        <v>636.70432586452262</v>
      </c>
      <c r="K317" s="86">
        <v>622.62122668940515</v>
      </c>
      <c r="L317" s="86">
        <v>622.62122668940515</v>
      </c>
      <c r="M317" s="86">
        <v>1764713.9270247063</v>
      </c>
      <c r="N317" s="86" t="s">
        <v>365</v>
      </c>
      <c r="O317" s="25">
        <f t="shared" si="6"/>
        <v>1.179365079365069E-2</v>
      </c>
      <c r="Q317" s="87">
        <v>3.2000000000000021E-2</v>
      </c>
      <c r="R317">
        <v>1</v>
      </c>
      <c r="T317" s="25">
        <f t="shared" si="7"/>
        <v>3.000000000000002E-2</v>
      </c>
      <c r="U317" s="1">
        <f t="shared" si="8"/>
        <v>1.4549208414946706</v>
      </c>
    </row>
    <row r="318" spans="1:21" ht="15">
      <c r="A318" s="86">
        <v>632.50512055395802</v>
      </c>
      <c r="B318" s="86">
        <v>637.27611855609359</v>
      </c>
      <c r="C318" s="86">
        <v>630.01028618200803</v>
      </c>
      <c r="D318" s="86">
        <v>636.62010633080001</v>
      </c>
      <c r="E318" s="86">
        <v>5349413.6003778903</v>
      </c>
      <c r="F318" s="86" t="s">
        <v>366</v>
      </c>
      <c r="G318" s="25">
        <f t="shared" si="5"/>
        <v>-6.4638011522428762E-3</v>
      </c>
      <c r="I318" s="86">
        <v>621.33645272956994</v>
      </c>
      <c r="J318" s="86">
        <v>626.16917939387338</v>
      </c>
      <c r="K318" s="86">
        <v>614.39373190815218</v>
      </c>
      <c r="L318" s="86">
        <v>623.83682051294159</v>
      </c>
      <c r="M318" s="86">
        <v>1035373.6467156808</v>
      </c>
      <c r="N318" s="86" t="s">
        <v>366</v>
      </c>
      <c r="O318" s="25">
        <f t="shared" si="6"/>
        <v>-4.0080477797315162E-3</v>
      </c>
      <c r="Q318" s="87">
        <v>3.3000000000000022E-2</v>
      </c>
      <c r="R318">
        <v>3</v>
      </c>
      <c r="T318" s="25">
        <f t="shared" si="7"/>
        <v>3.1000000000000021E-2</v>
      </c>
      <c r="U318" s="1">
        <f t="shared" si="8"/>
        <v>1.1770048032838856</v>
      </c>
    </row>
    <row r="319" spans="1:21" ht="15">
      <c r="A319" s="86">
        <v>632.59457676649811</v>
      </c>
      <c r="B319" s="86">
        <v>636.74932086002445</v>
      </c>
      <c r="C319" s="86">
        <v>632.23675191633799</v>
      </c>
      <c r="D319" s="86">
        <v>635.2782631426993</v>
      </c>
      <c r="E319" s="86">
        <v>13702744.115746059</v>
      </c>
      <c r="F319" s="86" t="s">
        <v>367</v>
      </c>
      <c r="G319" s="25">
        <f t="shared" si="5"/>
        <v>-4.2244265732076514E-3</v>
      </c>
      <c r="I319" s="86">
        <v>622.18638011838391</v>
      </c>
      <c r="J319" s="86">
        <v>630.81413140250856</v>
      </c>
      <c r="K319" s="86">
        <v>619.17210275107811</v>
      </c>
      <c r="L319" s="86">
        <v>630.00373552015094</v>
      </c>
      <c r="M319" s="86">
        <v>1225480.2394982076</v>
      </c>
      <c r="N319" s="86" t="s">
        <v>367</v>
      </c>
      <c r="O319" s="25">
        <f t="shared" si="6"/>
        <v>-1.2408427063234417E-2</v>
      </c>
      <c r="Q319" s="87">
        <v>3.4000000000000023E-2</v>
      </c>
      <c r="R319">
        <v>2</v>
      </c>
      <c r="T319" s="25">
        <f t="shared" si="7"/>
        <v>3.2000000000000021E-2</v>
      </c>
      <c r="U319" s="1">
        <f t="shared" si="8"/>
        <v>0.94558412862744212</v>
      </c>
    </row>
    <row r="320" spans="1:21" ht="15">
      <c r="A320" s="86">
        <v>634.37376143812787</v>
      </c>
      <c r="B320" s="86">
        <v>636.1231273722442</v>
      </c>
      <c r="C320" s="86">
        <v>629.28469690251654</v>
      </c>
      <c r="D320" s="86">
        <v>630.2388965029437</v>
      </c>
      <c r="E320" s="86">
        <v>8939190.3289226554</v>
      </c>
      <c r="F320" s="86" t="s">
        <v>368</v>
      </c>
      <c r="G320" s="25">
        <f t="shared" si="5"/>
        <v>6.5607898181587743E-3</v>
      </c>
      <c r="I320" s="86">
        <v>630.81413140250856</v>
      </c>
      <c r="J320" s="86">
        <v>631.48616701226854</v>
      </c>
      <c r="K320" s="86">
        <v>617.68967125896052</v>
      </c>
      <c r="L320" s="86">
        <v>617.95650892754168</v>
      </c>
      <c r="M320" s="86">
        <v>1589295.3654367249</v>
      </c>
      <c r="N320" s="86" t="s">
        <v>368</v>
      </c>
      <c r="O320" s="25">
        <f t="shared" si="6"/>
        <v>2.0806678607983464E-2</v>
      </c>
      <c r="Q320" s="87">
        <v>3.5000000000000024E-2</v>
      </c>
      <c r="R320">
        <v>1</v>
      </c>
      <c r="T320" s="25">
        <f t="shared" si="7"/>
        <v>3.3000000000000022E-2</v>
      </c>
      <c r="U320" s="1">
        <f t="shared" si="8"/>
        <v>0.7544060834370796</v>
      </c>
    </row>
    <row r="321" spans="1:21" ht="15">
      <c r="A321" s="86">
        <v>631.40182726596413</v>
      </c>
      <c r="B321" s="86">
        <v>632.8728849832894</v>
      </c>
      <c r="C321" s="86">
        <v>622.41644769527545</v>
      </c>
      <c r="D321" s="86">
        <v>622.93330581217344</v>
      </c>
      <c r="E321" s="86">
        <v>13038197.87225973</v>
      </c>
      <c r="F321" s="86" t="s">
        <v>369</v>
      </c>
      <c r="G321" s="25">
        <f t="shared" si="5"/>
        <v>1.3594587694664151E-2</v>
      </c>
      <c r="I321" s="86">
        <v>616.27641990314169</v>
      </c>
      <c r="J321" s="86">
        <v>616.78044661046169</v>
      </c>
      <c r="K321" s="86">
        <v>604.04141865486417</v>
      </c>
      <c r="L321" s="86">
        <v>607.39171382705001</v>
      </c>
      <c r="M321" s="86">
        <v>1102133.5614410669</v>
      </c>
      <c r="N321" s="86" t="s">
        <v>369</v>
      </c>
      <c r="O321" s="25">
        <f t="shared" si="6"/>
        <v>1.4627637937486782E-2</v>
      </c>
      <c r="Q321" s="87">
        <v>3.6000000000000025E-2</v>
      </c>
      <c r="R321">
        <v>0</v>
      </c>
      <c r="T321" s="25">
        <f t="shared" si="7"/>
        <v>3.4000000000000023E-2</v>
      </c>
      <c r="U321" s="1">
        <f t="shared" si="8"/>
        <v>0.59771376630495188</v>
      </c>
    </row>
    <row r="322" spans="1:21" ht="15">
      <c r="A322" s="86">
        <v>619.33517815222956</v>
      </c>
      <c r="B322" s="86">
        <v>624.95104038390991</v>
      </c>
      <c r="C322" s="86">
        <v>617.744845484851</v>
      </c>
      <c r="D322" s="86">
        <v>622.45620601195992</v>
      </c>
      <c r="E322" s="86">
        <v>11576929.769259207</v>
      </c>
      <c r="F322" s="86" t="s">
        <v>370</v>
      </c>
      <c r="G322" s="25">
        <f t="shared" si="5"/>
        <v>-5.0140521205926936E-3</v>
      </c>
      <c r="I322" s="86">
        <v>602.04507757881231</v>
      </c>
      <c r="J322" s="86">
        <v>606.80862410681709</v>
      </c>
      <c r="K322" s="86">
        <v>588.03115853999373</v>
      </c>
      <c r="L322" s="86">
        <v>595.67062216270665</v>
      </c>
      <c r="M322" s="86">
        <v>1696646.7006223188</v>
      </c>
      <c r="N322" s="86" t="s">
        <v>370</v>
      </c>
      <c r="O322" s="25">
        <f t="shared" si="6"/>
        <v>1.0701309043850138E-2</v>
      </c>
      <c r="Q322" s="87">
        <v>3.7000000000000026E-2</v>
      </c>
      <c r="R322">
        <v>1</v>
      </c>
      <c r="T322" s="25">
        <f t="shared" si="7"/>
        <v>3.5000000000000024E-2</v>
      </c>
      <c r="U322" s="1">
        <f t="shared" si="8"/>
        <v>0.47028854857876579</v>
      </c>
    </row>
    <row r="323" spans="1:21" ht="15">
      <c r="A323" s="86">
        <v>627.09798948487094</v>
      </c>
      <c r="B323" s="86">
        <v>632.0777186496</v>
      </c>
      <c r="C323" s="86">
        <v>623.21161402896473</v>
      </c>
      <c r="D323" s="86">
        <v>631.09370031165952</v>
      </c>
      <c r="E323" s="86">
        <v>11296495.361321686</v>
      </c>
      <c r="F323" s="86" t="s">
        <v>371</v>
      </c>
      <c r="G323" s="25">
        <f t="shared" si="5"/>
        <v>-6.3314066117524659E-3</v>
      </c>
      <c r="I323" s="86">
        <v>595.70027079254896</v>
      </c>
      <c r="J323" s="86">
        <v>624.64721639529921</v>
      </c>
      <c r="K323" s="86">
        <v>589.24675236353016</v>
      </c>
      <c r="L323" s="86">
        <v>623.43162257176277</v>
      </c>
      <c r="M323" s="86">
        <v>2653171.847004923</v>
      </c>
      <c r="N323" s="86" t="s">
        <v>371</v>
      </c>
      <c r="O323" s="25">
        <f t="shared" si="6"/>
        <v>-4.4481785612377478E-2</v>
      </c>
      <c r="Q323" s="87">
        <v>3.8000000000000027E-2</v>
      </c>
      <c r="R323">
        <v>1</v>
      </c>
      <c r="T323" s="25">
        <f t="shared" si="7"/>
        <v>3.6000000000000025E-2</v>
      </c>
      <c r="U323" s="1">
        <f t="shared" si="8"/>
        <v>0.36746723218320559</v>
      </c>
    </row>
    <row r="324" spans="1:21" ht="15">
      <c r="A324" s="86">
        <v>630.31841313631253</v>
      </c>
      <c r="B324" s="86">
        <v>637.12702486852686</v>
      </c>
      <c r="C324" s="86">
        <v>625.30389544448462</v>
      </c>
      <c r="D324" s="86">
        <v>636.46107306406213</v>
      </c>
      <c r="E324" s="86">
        <v>9702820.2441666313</v>
      </c>
      <c r="F324" s="86" t="s">
        <v>372</v>
      </c>
      <c r="G324" s="25">
        <f t="shared" si="5"/>
        <v>-9.6512735620695178E-3</v>
      </c>
      <c r="I324" s="86">
        <v>620.9016061585487</v>
      </c>
      <c r="J324" s="86">
        <v>639.01691899222612</v>
      </c>
      <c r="K324" s="86">
        <v>611.2065042000994</v>
      </c>
      <c r="L324" s="86">
        <v>632.5041033035227</v>
      </c>
      <c r="M324" s="86">
        <v>2325366.4795502499</v>
      </c>
      <c r="N324" s="86" t="s">
        <v>372</v>
      </c>
      <c r="O324" s="25">
        <f t="shared" si="6"/>
        <v>-1.8343749999999992E-2</v>
      </c>
      <c r="Q324" s="87">
        <v>3.9000000000000028E-2</v>
      </c>
      <c r="R324">
        <v>0</v>
      </c>
      <c r="T324" s="25">
        <f t="shared" si="7"/>
        <v>3.7000000000000026E-2</v>
      </c>
      <c r="U324" s="1">
        <f t="shared" si="8"/>
        <v>0.28513852674516799</v>
      </c>
    </row>
    <row r="325" spans="1:21" ht="15">
      <c r="A325" s="86">
        <v>635.81500041793959</v>
      </c>
      <c r="B325" s="86">
        <v>637.0872665518425</v>
      </c>
      <c r="C325" s="86">
        <v>630.2388965029437</v>
      </c>
      <c r="D325" s="86">
        <v>630.34823187382585</v>
      </c>
      <c r="E325" s="86">
        <v>9179997.3046299871</v>
      </c>
      <c r="F325" s="86" t="s">
        <v>373</v>
      </c>
      <c r="G325" s="25">
        <f t="shared" si="5"/>
        <v>8.6726166072723654E-3</v>
      </c>
      <c r="I325" s="86">
        <v>628.55095265787565</v>
      </c>
      <c r="J325" s="86">
        <v>633.47252638294015</v>
      </c>
      <c r="K325" s="86">
        <v>607.97500120481527</v>
      </c>
      <c r="L325" s="86">
        <v>612.7383500752876</v>
      </c>
      <c r="M325" s="86">
        <v>1981466.6078119969</v>
      </c>
      <c r="N325" s="86" t="s">
        <v>373</v>
      </c>
      <c r="O325" s="25">
        <f t="shared" si="6"/>
        <v>2.5806451612903292E-2</v>
      </c>
      <c r="Q325" s="87">
        <v>4.0000000000000029E-2</v>
      </c>
      <c r="R325">
        <v>0</v>
      </c>
      <c r="T325" s="25">
        <f t="shared" si="7"/>
        <v>3.8000000000000027E-2</v>
      </c>
      <c r="U325" s="1">
        <f t="shared" si="8"/>
        <v>0.21972337100339312</v>
      </c>
    </row>
    <row r="326" spans="1:21" ht="15.75" thickBot="1">
      <c r="A326" s="86">
        <v>632.37590602473358</v>
      </c>
      <c r="B326" s="86">
        <v>634.5924321798924</v>
      </c>
      <c r="C326" s="86">
        <v>628.13170571866704</v>
      </c>
      <c r="D326" s="86">
        <v>632.4057247622469</v>
      </c>
      <c r="E326" s="86">
        <v>6559183.1281405091</v>
      </c>
      <c r="F326" s="86" t="s">
        <v>374</v>
      </c>
      <c r="G326" s="25">
        <f t="shared" si="5"/>
        <v>-4.71512770137128E-5</v>
      </c>
      <c r="I326" s="86">
        <v>626.79180062056275</v>
      </c>
      <c r="J326" s="86">
        <v>633.68016562060268</v>
      </c>
      <c r="K326" s="86">
        <v>608.29995018788736</v>
      </c>
      <c r="L326" s="86">
        <v>613.72663773669933</v>
      </c>
      <c r="M326" s="86">
        <v>2119821.062024931</v>
      </c>
      <c r="N326" s="86" t="s">
        <v>374</v>
      </c>
      <c r="O326" s="25">
        <f t="shared" si="6"/>
        <v>2.1288244766505704E-2</v>
      </c>
      <c r="Q326" s="88" t="s">
        <v>1777</v>
      </c>
      <c r="R326" s="88">
        <v>5</v>
      </c>
      <c r="T326" s="25">
        <f t="shared" si="7"/>
        <v>3.9000000000000028E-2</v>
      </c>
      <c r="U326" s="1">
        <f t="shared" si="8"/>
        <v>0.16814334163325623</v>
      </c>
    </row>
    <row r="327" spans="1:21">
      <c r="A327" s="86">
        <v>634.41351975481223</v>
      </c>
      <c r="B327" s="86">
        <v>637.16678318521133</v>
      </c>
      <c r="C327" s="86">
        <v>626.01457535521945</v>
      </c>
      <c r="D327" s="86">
        <v>636.56046885577325</v>
      </c>
      <c r="E327" s="86">
        <v>8537440.9257281832</v>
      </c>
      <c r="F327" s="86" t="s">
        <v>375</v>
      </c>
      <c r="G327" s="25">
        <f t="shared" si="5"/>
        <v>-3.37273394438109E-3</v>
      </c>
      <c r="I327" s="86">
        <v>615.21895210543107</v>
      </c>
      <c r="J327" s="86">
        <v>638.1076943437273</v>
      </c>
      <c r="K327" s="86">
        <v>600.44405156732535</v>
      </c>
      <c r="L327" s="86">
        <v>602.10437483849717</v>
      </c>
      <c r="M327" s="86">
        <v>3938236.9647721569</v>
      </c>
      <c r="N327" s="86" t="s">
        <v>375</v>
      </c>
      <c r="O327" s="25">
        <f t="shared" si="6"/>
        <v>2.1781235637843732E-2</v>
      </c>
      <c r="T327" s="25">
        <f t="shared" si="7"/>
        <v>4.0000000000000029E-2</v>
      </c>
      <c r="U327" s="1">
        <f t="shared" si="8"/>
        <v>0.12778096509396716</v>
      </c>
    </row>
    <row r="328" spans="1:21">
      <c r="A328" s="86">
        <v>635.73548378457065</v>
      </c>
      <c r="B328" s="86">
        <v>637.93213078138729</v>
      </c>
      <c r="C328" s="86">
        <v>634.36382185895673</v>
      </c>
      <c r="D328" s="86">
        <v>637.17672276438248</v>
      </c>
      <c r="E328" s="86">
        <v>5521735.7853027182</v>
      </c>
      <c r="F328" s="86" t="s">
        <v>376</v>
      </c>
      <c r="G328" s="25">
        <f t="shared" si="5"/>
        <v>-2.261914047266278E-3</v>
      </c>
      <c r="I328" s="86">
        <v>590.27457153139835</v>
      </c>
      <c r="J328" s="86">
        <v>592.30056123729253</v>
      </c>
      <c r="K328" s="86">
        <v>576.17180543181883</v>
      </c>
      <c r="L328" s="86">
        <v>585.95575445102907</v>
      </c>
      <c r="M328" s="86">
        <v>1334994.9124279416</v>
      </c>
      <c r="N328" s="86" t="s">
        <v>376</v>
      </c>
      <c r="O328" s="25">
        <f t="shared" si="6"/>
        <v>7.3705515263955412E-3</v>
      </c>
      <c r="T328" s="25">
        <f t="shared" si="7"/>
        <v>4.1000000000000029E-2</v>
      </c>
      <c r="U328" s="1">
        <f t="shared" si="8"/>
        <v>9.6435230409425476E-2</v>
      </c>
    </row>
    <row r="329" spans="1:21">
      <c r="A329" s="86">
        <v>635.83487957628188</v>
      </c>
      <c r="B329" s="86">
        <v>636.72536647422214</v>
      </c>
      <c r="C329" s="86">
        <v>634.01593658796764</v>
      </c>
      <c r="D329" s="86">
        <v>634.56261344237896</v>
      </c>
      <c r="E329" s="86">
        <v>4334495.3803676274</v>
      </c>
      <c r="F329" s="86" t="s">
        <v>377</v>
      </c>
      <c r="G329" s="25">
        <f t="shared" si="5"/>
        <v>2.0049497196203969E-3</v>
      </c>
      <c r="I329" s="86">
        <v>587.98174415692324</v>
      </c>
      <c r="J329" s="86">
        <v>588.89096880542195</v>
      </c>
      <c r="K329" s="86">
        <v>567.09843524116366</v>
      </c>
      <c r="L329" s="86">
        <v>573.2068436188174</v>
      </c>
      <c r="M329" s="86">
        <v>1722794.9578646333</v>
      </c>
      <c r="N329" s="86" t="s">
        <v>377</v>
      </c>
      <c r="O329" s="25">
        <f t="shared" si="6"/>
        <v>2.5775862068965649E-2</v>
      </c>
      <c r="T329" s="25">
        <f t="shared" si="7"/>
        <v>4.200000000000003E-2</v>
      </c>
      <c r="U329" s="1">
        <f t="shared" si="8"/>
        <v>7.2275041524951303E-2</v>
      </c>
    </row>
    <row r="330" spans="1:21">
      <c r="A330" s="86">
        <v>633.24064941262066</v>
      </c>
      <c r="B330" s="86">
        <v>634.53279470486564</v>
      </c>
      <c r="C330" s="86">
        <v>630.68617756564379</v>
      </c>
      <c r="D330" s="86">
        <v>631.19309610337075</v>
      </c>
      <c r="E330" s="86">
        <v>9030953.7712473068</v>
      </c>
      <c r="F330" s="86" t="s">
        <v>378</v>
      </c>
      <c r="G330" s="25">
        <f t="shared" si="5"/>
        <v>3.2439412311229265E-3</v>
      </c>
      <c r="I330" s="86">
        <v>574.84740113676094</v>
      </c>
      <c r="J330" s="86">
        <v>583.48503529749962</v>
      </c>
      <c r="K330" s="86">
        <v>568.888026538448</v>
      </c>
      <c r="L330" s="86">
        <v>583.08972023293495</v>
      </c>
      <c r="M330" s="86">
        <v>1473613.459789248</v>
      </c>
      <c r="N330" s="86" t="s">
        <v>378</v>
      </c>
      <c r="O330" s="25">
        <f t="shared" si="6"/>
        <v>-1.4135593220338971E-2</v>
      </c>
    </row>
    <row r="331" spans="1:21">
      <c r="A331" s="86">
        <v>630.00034660283688</v>
      </c>
      <c r="B331" s="86">
        <v>631.63093456585841</v>
      </c>
      <c r="C331" s="86">
        <v>628.15158487700933</v>
      </c>
      <c r="D331" s="86">
        <v>629.05608658158087</v>
      </c>
      <c r="E331" s="86">
        <v>5862676.7790469797</v>
      </c>
      <c r="F331" s="86" t="s">
        <v>379</v>
      </c>
      <c r="G331" s="25">
        <f t="shared" si="5"/>
        <v>1.5010744532928388E-3</v>
      </c>
      <c r="I331" s="86">
        <v>583.90011611529269</v>
      </c>
      <c r="J331" s="86">
        <v>589.24181092522315</v>
      </c>
      <c r="K331" s="86">
        <v>579.14645246390205</v>
      </c>
      <c r="L331" s="86">
        <v>587.67537498188551</v>
      </c>
      <c r="M331" s="86">
        <v>1274759.4138738443</v>
      </c>
      <c r="N331" s="86" t="s">
        <v>379</v>
      </c>
      <c r="O331" s="25">
        <f t="shared" si="6"/>
        <v>-6.424054890353692E-3</v>
      </c>
    </row>
    <row r="332" spans="1:21">
      <c r="A332" s="86">
        <v>629.74191754438789</v>
      </c>
      <c r="B332" s="86">
        <v>631.77953127446654</v>
      </c>
      <c r="C332" s="86">
        <v>627.93291413524469</v>
      </c>
      <c r="D332" s="86">
        <v>630.5967213531037</v>
      </c>
      <c r="E332" s="86">
        <v>6094608.1274786247</v>
      </c>
      <c r="F332" s="86" t="s">
        <v>380</v>
      </c>
      <c r="G332" s="25">
        <f t="shared" si="5"/>
        <v>-1.3555474993298677E-3</v>
      </c>
      <c r="I332" s="86">
        <v>586.95392498905494</v>
      </c>
      <c r="J332" s="86">
        <v>588.96509038002785</v>
      </c>
      <c r="K332" s="86">
        <v>575.67262133403972</v>
      </c>
      <c r="L332" s="86">
        <v>578.32617370493028</v>
      </c>
      <c r="M332" s="86">
        <v>1489594.63674479</v>
      </c>
      <c r="N332" s="86" t="s">
        <v>380</v>
      </c>
      <c r="O332" s="25">
        <f t="shared" si="6"/>
        <v>1.4918486619501792E-2</v>
      </c>
    </row>
    <row r="333" spans="1:21">
      <c r="A333" s="86">
        <v>626.48173557626183</v>
      </c>
      <c r="B333" s="86">
        <v>629.57294469847886</v>
      </c>
      <c r="C333" s="86">
        <v>619.88185500664088</v>
      </c>
      <c r="D333" s="86">
        <v>621.24357735308377</v>
      </c>
      <c r="E333" s="86">
        <v>10417923.960092066</v>
      </c>
      <c r="F333" s="86" t="s">
        <v>381</v>
      </c>
      <c r="G333" s="25">
        <f t="shared" si="5"/>
        <v>8.4317301846341675E-3</v>
      </c>
      <c r="I333" s="86">
        <v>579.36387574941261</v>
      </c>
      <c r="J333" s="86">
        <v>582.07178394168091</v>
      </c>
      <c r="K333" s="86">
        <v>569.3129902328551</v>
      </c>
      <c r="L333" s="86">
        <v>569.3129902328551</v>
      </c>
      <c r="M333" s="86">
        <v>1836078.77630275</v>
      </c>
      <c r="N333" s="86" t="s">
        <v>381</v>
      </c>
      <c r="O333" s="25">
        <f t="shared" si="6"/>
        <v>1.7654410998854342E-2</v>
      </c>
    </row>
    <row r="334" spans="1:21">
      <c r="A334" s="86">
        <v>619.38487604808506</v>
      </c>
      <c r="B334" s="86">
        <v>625.95483848440097</v>
      </c>
      <c r="C334" s="86">
        <v>618.46049518517134</v>
      </c>
      <c r="D334" s="86">
        <v>622.97306412885791</v>
      </c>
      <c r="E334" s="86">
        <v>14968067.30332605</v>
      </c>
      <c r="F334" s="86" t="s">
        <v>382</v>
      </c>
      <c r="G334" s="25">
        <f t="shared" si="5"/>
        <v>-5.7597804582296686E-3</v>
      </c>
      <c r="I334" s="86">
        <v>569.3129902328551</v>
      </c>
      <c r="J334" s="86">
        <v>579.97661409948796</v>
      </c>
      <c r="K334" s="86">
        <v>566.67426217688569</v>
      </c>
      <c r="L334" s="86">
        <v>573.2068436188174</v>
      </c>
      <c r="M334" s="86">
        <v>1540385.5167283525</v>
      </c>
      <c r="N334" s="86" t="s">
        <v>382</v>
      </c>
      <c r="O334" s="25">
        <f t="shared" si="6"/>
        <v>-6.7931034482758834E-3</v>
      </c>
    </row>
    <row r="335" spans="1:21">
      <c r="A335" s="86">
        <v>632.24669149550903</v>
      </c>
      <c r="B335" s="86">
        <v>634.65197025912732</v>
      </c>
      <c r="C335" s="86">
        <v>630.84521083238167</v>
      </c>
      <c r="D335" s="86">
        <v>634.10539280050773</v>
      </c>
      <c r="E335" s="86">
        <v>6734732.813892859</v>
      </c>
      <c r="F335" s="86" t="s">
        <v>383</v>
      </c>
      <c r="G335" s="25">
        <f t="shared" si="5"/>
        <v>-2.9312182581980872E-3</v>
      </c>
      <c r="I335" s="86">
        <v>575.60838263604796</v>
      </c>
      <c r="J335" s="86">
        <v>576.10252646675383</v>
      </c>
      <c r="K335" s="86">
        <v>570.65706145237505</v>
      </c>
      <c r="L335" s="86">
        <v>571.43780870489036</v>
      </c>
      <c r="M335" s="86">
        <v>2397637.9474525917</v>
      </c>
      <c r="N335" s="86" t="s">
        <v>383</v>
      </c>
      <c r="O335" s="25">
        <f t="shared" si="6"/>
        <v>7.2983863994051656E-3</v>
      </c>
    </row>
    <row r="336" spans="1:21">
      <c r="A336" s="86">
        <v>632.77348919157816</v>
      </c>
      <c r="B336" s="86">
        <v>635.71560462622847</v>
      </c>
      <c r="C336" s="86">
        <v>631.85904790783559</v>
      </c>
      <c r="D336" s="86">
        <v>634.91049871336804</v>
      </c>
      <c r="E336" s="86">
        <v>6792642.7102869321</v>
      </c>
      <c r="F336" s="86" t="s">
        <v>384</v>
      </c>
      <c r="G336" s="25">
        <f t="shared" si="5"/>
        <v>-3.3658437309203038E-3</v>
      </c>
      <c r="I336" s="86">
        <v>571.1215566532386</v>
      </c>
      <c r="J336" s="86">
        <v>572.81152855425273</v>
      </c>
      <c r="K336" s="86">
        <v>553.17425272200114</v>
      </c>
      <c r="L336" s="86">
        <v>561.99966153840808</v>
      </c>
      <c r="M336" s="86">
        <v>1705226.1864654263</v>
      </c>
      <c r="N336" s="86" t="s">
        <v>384</v>
      </c>
      <c r="O336" s="25">
        <f t="shared" si="6"/>
        <v>1.6231139872683098E-2</v>
      </c>
    </row>
    <row r="337" spans="1:15">
      <c r="A337" s="86">
        <v>631.10363989083078</v>
      </c>
      <c r="B337" s="86">
        <v>632.27551627510525</v>
      </c>
      <c r="C337" s="86">
        <v>627.18744569741102</v>
      </c>
      <c r="D337" s="86">
        <v>631.65031674524209</v>
      </c>
      <c r="E337" s="86">
        <v>8628389.4442154616</v>
      </c>
      <c r="F337" s="86" t="s">
        <v>385</v>
      </c>
      <c r="G337" s="25">
        <f t="shared" si="5"/>
        <v>-8.6547388629243382E-4</v>
      </c>
      <c r="I337" s="86">
        <v>565.99234369051169</v>
      </c>
      <c r="J337" s="86">
        <v>571.26979980245039</v>
      </c>
      <c r="K337" s="86">
        <v>549.60653426430474</v>
      </c>
      <c r="L337" s="86">
        <v>550.46634452973296</v>
      </c>
      <c r="M337" s="86">
        <v>2645675.0418850291</v>
      </c>
      <c r="N337" s="86" t="s">
        <v>385</v>
      </c>
      <c r="O337" s="25">
        <f t="shared" si="6"/>
        <v>2.8205174240112152E-2</v>
      </c>
    </row>
    <row r="338" spans="1:15">
      <c r="A338" s="86">
        <v>634.17496985470541</v>
      </c>
      <c r="B338" s="86">
        <v>636.28285640952402</v>
      </c>
      <c r="C338" s="86">
        <v>631.97335306830337</v>
      </c>
      <c r="D338" s="86">
        <v>635.81500041793959</v>
      </c>
      <c r="E338" s="86">
        <v>8890847.2359478194</v>
      </c>
      <c r="F338" s="86" t="s">
        <v>386</v>
      </c>
      <c r="G338" s="25">
        <f t="shared" si="5"/>
        <v>-2.5794147073537887E-3</v>
      </c>
      <c r="I338" s="86">
        <v>551.76100136618231</v>
      </c>
      <c r="J338" s="86">
        <v>556.70243967324109</v>
      </c>
      <c r="K338" s="86">
        <v>544.38837541205066</v>
      </c>
      <c r="L338" s="86">
        <v>553.46085614381059</v>
      </c>
      <c r="M338" s="86">
        <v>2033360.4055416365</v>
      </c>
      <c r="N338" s="86" t="s">
        <v>386</v>
      </c>
      <c r="O338" s="25">
        <f t="shared" si="6"/>
        <v>-3.0713188814686099E-3</v>
      </c>
    </row>
    <row r="339" spans="1:15">
      <c r="A339" s="86">
        <v>635.47705472612165</v>
      </c>
      <c r="B339" s="86">
        <v>636.29210021815311</v>
      </c>
      <c r="C339" s="86">
        <v>631.32231063259519</v>
      </c>
      <c r="D339" s="86">
        <v>631.35212937010863</v>
      </c>
      <c r="E339" s="86">
        <v>7937845.1181593072</v>
      </c>
      <c r="F339" s="86" t="s">
        <v>387</v>
      </c>
      <c r="G339" s="25">
        <f t="shared" si="5"/>
        <v>6.5334781718855428E-3</v>
      </c>
      <c r="I339" s="86">
        <v>544.78369047661533</v>
      </c>
      <c r="J339" s="86">
        <v>547.77820209069296</v>
      </c>
      <c r="K339" s="86">
        <v>533.98170633738482</v>
      </c>
      <c r="L339" s="86">
        <v>542.53039460859657</v>
      </c>
      <c r="M339" s="86">
        <v>2993359.236898812</v>
      </c>
      <c r="N339" s="86" t="s">
        <v>387</v>
      </c>
      <c r="O339" s="25">
        <f t="shared" si="6"/>
        <v>4.1533080734479366E-3</v>
      </c>
    </row>
    <row r="340" spans="1:15">
      <c r="A340" s="86">
        <v>634.4532780714967</v>
      </c>
      <c r="B340" s="86">
        <v>635.57645051783288</v>
      </c>
      <c r="C340" s="86">
        <v>629.97052786532345</v>
      </c>
      <c r="D340" s="86">
        <v>631.31237105342404</v>
      </c>
      <c r="E340" s="86">
        <v>7891396.4715866614</v>
      </c>
      <c r="F340" s="86" t="s">
        <v>388</v>
      </c>
      <c r="G340" s="25">
        <f t="shared" si="5"/>
        <v>4.9752027080218753E-3</v>
      </c>
      <c r="I340" s="86">
        <v>536.56113713366949</v>
      </c>
      <c r="J340" s="86">
        <v>539.67424326711659</v>
      </c>
      <c r="K340" s="86">
        <v>519.72071538321325</v>
      </c>
      <c r="L340" s="86">
        <v>519.72071538321325</v>
      </c>
      <c r="M340" s="86">
        <v>2663425.9464900102</v>
      </c>
      <c r="N340" s="86" t="s">
        <v>388</v>
      </c>
      <c r="O340" s="25">
        <f t="shared" si="6"/>
        <v>3.2402829542861333E-2</v>
      </c>
    </row>
    <row r="341" spans="1:15">
      <c r="A341" s="86">
        <v>630.22895692377244</v>
      </c>
      <c r="B341" s="86">
        <v>631.26277255336026</v>
      </c>
      <c r="C341" s="86">
        <v>628.41617647454439</v>
      </c>
      <c r="D341" s="86">
        <v>629.6524613318478</v>
      </c>
      <c r="E341" s="86">
        <v>9017282.1662768591</v>
      </c>
      <c r="F341" s="86" t="s">
        <v>389</v>
      </c>
      <c r="G341" s="25">
        <f t="shared" si="5"/>
        <v>9.155774452231924E-4</v>
      </c>
      <c r="I341" s="86">
        <v>512.36785518230988</v>
      </c>
      <c r="J341" s="86">
        <v>536.51172275059901</v>
      </c>
      <c r="K341" s="86">
        <v>507.00145318084401</v>
      </c>
      <c r="L341" s="86">
        <v>525.6603242282979</v>
      </c>
      <c r="M341" s="86">
        <v>4148278.0369266691</v>
      </c>
      <c r="N341" s="86" t="s">
        <v>389</v>
      </c>
      <c r="O341" s="25">
        <f t="shared" si="6"/>
        <v>-2.5287183440184879E-2</v>
      </c>
    </row>
    <row r="342" spans="1:15">
      <c r="A342" s="86">
        <v>630.33829229465471</v>
      </c>
      <c r="B342" s="86">
        <v>634.36382185895673</v>
      </c>
      <c r="C342" s="86">
        <v>630.09974239454789</v>
      </c>
      <c r="D342" s="86">
        <v>632.73373087489369</v>
      </c>
      <c r="E342" s="86">
        <v>8850232.8404034786</v>
      </c>
      <c r="F342" s="86" t="s">
        <v>390</v>
      </c>
      <c r="G342" s="25">
        <f t="shared" si="5"/>
        <v>-3.7858556662164755E-3</v>
      </c>
      <c r="I342" s="86">
        <v>491.0504903256583</v>
      </c>
      <c r="J342" s="86">
        <v>526.14003905914717</v>
      </c>
      <c r="K342" s="86">
        <v>490.19166834789144</v>
      </c>
      <c r="L342" s="86">
        <v>519.1573914162085</v>
      </c>
      <c r="M342" s="86">
        <v>3881699.7821464189</v>
      </c>
      <c r="N342" s="86" t="s">
        <v>390</v>
      </c>
      <c r="O342" s="25">
        <f t="shared" si="6"/>
        <v>-5.4139460509032622E-2</v>
      </c>
    </row>
    <row r="343" spans="1:15">
      <c r="A343" s="86">
        <v>632.36596644556244</v>
      </c>
      <c r="B343" s="86">
        <v>632.83312666660481</v>
      </c>
      <c r="C343" s="86">
        <v>628.70820131059179</v>
      </c>
      <c r="D343" s="86">
        <v>628.81753668147405</v>
      </c>
      <c r="E343" s="86">
        <v>8683365.6147949919</v>
      </c>
      <c r="F343" s="86" t="s">
        <v>391</v>
      </c>
      <c r="G343" s="25">
        <f t="shared" si="5"/>
        <v>5.6430197268588778E-3</v>
      </c>
      <c r="I343" s="86">
        <v>515.92569076339214</v>
      </c>
      <c r="J343" s="86">
        <v>532.42021183235431</v>
      </c>
      <c r="K343" s="86">
        <v>511.00401820956154</v>
      </c>
      <c r="L343" s="86">
        <v>511.00401820956154</v>
      </c>
      <c r="M343" s="86">
        <v>2843713.5357790217</v>
      </c>
      <c r="N343" s="86" t="s">
        <v>391</v>
      </c>
      <c r="O343" s="25">
        <f t="shared" si="6"/>
        <v>9.6313774030094557E-3</v>
      </c>
    </row>
    <row r="344" spans="1:15">
      <c r="A344" s="86">
        <v>628.638624256394</v>
      </c>
      <c r="B344" s="86">
        <v>630.20907776543027</v>
      </c>
      <c r="C344" s="86">
        <v>627.41605601834669</v>
      </c>
      <c r="D344" s="86">
        <v>627.56514970591343</v>
      </c>
      <c r="E344" s="86">
        <v>16238522.498923866</v>
      </c>
      <c r="F344" s="86" t="s">
        <v>392</v>
      </c>
      <c r="G344" s="25">
        <f t="shared" si="5"/>
        <v>1.7105388197282689E-3</v>
      </c>
      <c r="I344" s="86">
        <v>505.57831894841109</v>
      </c>
      <c r="J344" s="86">
        <v>509.83783876909575</v>
      </c>
      <c r="K344" s="86">
        <v>497.10869369011237</v>
      </c>
      <c r="L344" s="86">
        <v>498.02780121522528</v>
      </c>
      <c r="M344" s="86">
        <v>2002087.1222590648</v>
      </c>
      <c r="N344" s="86" t="s">
        <v>392</v>
      </c>
      <c r="O344" s="25">
        <f t="shared" si="6"/>
        <v>1.5160835830373198E-2</v>
      </c>
    </row>
    <row r="345" spans="1:15">
      <c r="A345" s="86">
        <v>624.50375932120971</v>
      </c>
      <c r="B345" s="86">
        <v>627.8434579227046</v>
      </c>
      <c r="C345" s="86">
        <v>621.43242935733497</v>
      </c>
      <c r="D345" s="86">
        <v>626.82465105766528</v>
      </c>
      <c r="E345" s="86">
        <v>11064395.997728506</v>
      </c>
      <c r="F345" s="86" t="s">
        <v>393</v>
      </c>
      <c r="G345" s="25">
        <f t="shared" si="5"/>
        <v>-3.7026172032951221E-3</v>
      </c>
      <c r="I345" s="86">
        <v>491.24814785794064</v>
      </c>
      <c r="J345" s="86">
        <v>491.33709374746775</v>
      </c>
      <c r="K345" s="86">
        <v>470.95860216915736</v>
      </c>
      <c r="L345" s="86">
        <v>477.59001237723021</v>
      </c>
      <c r="M345" s="86">
        <v>1139081.3059346478</v>
      </c>
      <c r="N345" s="86" t="s">
        <v>393</v>
      </c>
      <c r="O345" s="25">
        <f t="shared" si="6"/>
        <v>2.8598034143817896E-2</v>
      </c>
    </row>
    <row r="346" spans="1:15">
      <c r="A346" s="86">
        <v>623.34082855818917</v>
      </c>
      <c r="B346" s="86">
        <v>628.32055772291824</v>
      </c>
      <c r="C346" s="86">
        <v>623.15197655393808</v>
      </c>
      <c r="D346" s="86">
        <v>628.121766139496</v>
      </c>
      <c r="E346" s="86">
        <v>5544694.5037827864</v>
      </c>
      <c r="F346" s="86" t="s">
        <v>394</v>
      </c>
      <c r="G346" s="25">
        <f t="shared" si="5"/>
        <v>-7.6114821027314372E-3</v>
      </c>
      <c r="I346" s="86">
        <v>478.00509319502316</v>
      </c>
      <c r="J346" s="86">
        <v>483.94470204010781</v>
      </c>
      <c r="K346" s="86">
        <v>477.85685004581137</v>
      </c>
      <c r="L346" s="86">
        <v>483.27266643034778</v>
      </c>
      <c r="M346" s="86">
        <v>675037.26500745071</v>
      </c>
      <c r="N346" s="86" t="s">
        <v>394</v>
      </c>
      <c r="O346" s="25">
        <f t="shared" si="6"/>
        <v>-1.089979550102238E-2</v>
      </c>
    </row>
    <row r="347" spans="1:15">
      <c r="A347" s="86">
        <v>627.90309539773136</v>
      </c>
      <c r="B347" s="86">
        <v>629.38409269422766</v>
      </c>
      <c r="C347" s="86">
        <v>627.59496844342675</v>
      </c>
      <c r="D347" s="86">
        <v>628.380195197945</v>
      </c>
      <c r="E347" s="86">
        <v>4176099.3383525754</v>
      </c>
      <c r="F347" s="86" t="s">
        <v>395</v>
      </c>
      <c r="G347" s="25">
        <f t="shared" si="5"/>
        <v>-7.5925340082261261E-4</v>
      </c>
      <c r="I347" s="86">
        <v>482.28437876893605</v>
      </c>
      <c r="J347" s="86">
        <v>485.94104311615951</v>
      </c>
      <c r="K347" s="86">
        <v>482.22508150925131</v>
      </c>
      <c r="L347" s="86">
        <v>483.60868423522777</v>
      </c>
      <c r="M347" s="86">
        <v>1004350.2906654772</v>
      </c>
      <c r="N347" s="86" t="s">
        <v>395</v>
      </c>
      <c r="O347" s="25">
        <f t="shared" si="6"/>
        <v>-2.7383823108676486E-3</v>
      </c>
    </row>
    <row r="348" spans="1:15">
      <c r="A348" s="86">
        <v>628.77777836478958</v>
      </c>
      <c r="B348" s="86">
        <v>629.9605882861523</v>
      </c>
      <c r="C348" s="86">
        <v>627.13774780155552</v>
      </c>
      <c r="D348" s="86">
        <v>628.479590989656</v>
      </c>
      <c r="E348" s="86">
        <v>6536446.7530777976</v>
      </c>
      <c r="F348" s="86" t="s">
        <v>396</v>
      </c>
      <c r="G348" s="25">
        <f t="shared" si="5"/>
        <v>4.744583267437541E-4</v>
      </c>
      <c r="I348" s="86">
        <v>483.14418903436427</v>
      </c>
      <c r="J348" s="86">
        <v>483.69763012475482</v>
      </c>
      <c r="K348" s="86">
        <v>477.62954388368667</v>
      </c>
      <c r="L348" s="86">
        <v>478.16321922084899</v>
      </c>
      <c r="M348" s="86">
        <v>916189.72426162369</v>
      </c>
      <c r="N348" s="86" t="s">
        <v>396</v>
      </c>
      <c r="O348" s="25">
        <f t="shared" si="6"/>
        <v>1.0416881962672875E-2</v>
      </c>
    </row>
    <row r="349" spans="1:15">
      <c r="A349" s="86">
        <v>631.00424409911955</v>
      </c>
      <c r="B349" s="86">
        <v>632.23178212675236</v>
      </c>
      <c r="C349" s="86">
        <v>630.05004449869239</v>
      </c>
      <c r="D349" s="86">
        <v>631.30243147425301</v>
      </c>
      <c r="E349" s="86">
        <v>3853135.9668922909</v>
      </c>
      <c r="F349" s="86" t="s">
        <v>397</v>
      </c>
      <c r="G349" s="25">
        <f t="shared" si="5"/>
        <v>-4.7233680763292263E-4</v>
      </c>
      <c r="I349" s="86">
        <v>477.37258909171959</v>
      </c>
      <c r="J349" s="86">
        <v>481.35528953844289</v>
      </c>
      <c r="K349" s="86">
        <v>475.54425691810786</v>
      </c>
      <c r="L349" s="86">
        <v>479.51717331698313</v>
      </c>
      <c r="M349" s="86">
        <v>612627.2983466381</v>
      </c>
      <c r="N349" s="86" t="s">
        <v>397</v>
      </c>
      <c r="O349" s="25">
        <f t="shared" si="6"/>
        <v>-4.4723825226711256E-3</v>
      </c>
    </row>
    <row r="350" spans="1:15">
      <c r="A350" s="86">
        <v>630.94460662409278</v>
      </c>
      <c r="B350" s="86">
        <v>631.48134389933318</v>
      </c>
      <c r="C350" s="86">
        <v>628.71814088976282</v>
      </c>
      <c r="D350" s="86">
        <v>628.84735541898738</v>
      </c>
      <c r="E350" s="86">
        <v>3293313.472981282</v>
      </c>
      <c r="F350" s="86" t="s">
        <v>398</v>
      </c>
      <c r="G350" s="25">
        <f t="shared" ref="G350:G413" si="9">A350/D350-1</f>
        <v>3.3350719964593267E-3</v>
      </c>
      <c r="I350" s="86">
        <v>480.0607315307596</v>
      </c>
      <c r="J350" s="86">
        <v>485.42713353222541</v>
      </c>
      <c r="K350" s="86">
        <v>478.77595757092428</v>
      </c>
      <c r="L350" s="86">
        <v>479.3195157847008</v>
      </c>
      <c r="M350" s="86">
        <v>588356.02497494093</v>
      </c>
      <c r="N350" s="86" t="s">
        <v>398</v>
      </c>
      <c r="O350" s="25">
        <f t="shared" ref="O350:O413" si="10">I350/L350-1</f>
        <v>1.5463917525773141E-3</v>
      </c>
    </row>
    <row r="351" spans="1:15">
      <c r="A351" s="86">
        <v>628.84735541898738</v>
      </c>
      <c r="B351" s="86">
        <v>629.05608658158087</v>
      </c>
      <c r="C351" s="86">
        <v>625.12001322981894</v>
      </c>
      <c r="D351" s="86">
        <v>625.13989238816123</v>
      </c>
      <c r="E351" s="86">
        <v>13842509.590328423</v>
      </c>
      <c r="F351" s="86" t="s">
        <v>399</v>
      </c>
      <c r="G351" s="25">
        <f t="shared" si="9"/>
        <v>5.9306134130441279E-3</v>
      </c>
      <c r="I351" s="86">
        <v>476.89821101424201</v>
      </c>
      <c r="J351" s="86">
        <v>479.2701014016302</v>
      </c>
      <c r="K351" s="86">
        <v>475.36636513905376</v>
      </c>
      <c r="L351" s="86">
        <v>478.33122812328901</v>
      </c>
      <c r="M351" s="86">
        <v>858541.52908066299</v>
      </c>
      <c r="N351" s="86" t="s">
        <v>399</v>
      </c>
      <c r="O351" s="25">
        <f t="shared" si="10"/>
        <v>-2.9958677685949509E-3</v>
      </c>
    </row>
    <row r="352" spans="1:15">
      <c r="A352" s="86">
        <v>625.92511914267936</v>
      </c>
      <c r="B352" s="86">
        <v>626.46185641791953</v>
      </c>
      <c r="C352" s="86">
        <v>624.0067803626539</v>
      </c>
      <c r="D352" s="86">
        <v>625.16474133608904</v>
      </c>
      <c r="E352" s="86">
        <v>9855614.4393588509</v>
      </c>
      <c r="F352" s="86" t="s">
        <v>400</v>
      </c>
      <c r="G352" s="25">
        <f t="shared" si="9"/>
        <v>1.2162838949703048E-3</v>
      </c>
      <c r="I352" s="86">
        <v>477.90626442888197</v>
      </c>
      <c r="J352" s="86">
        <v>479.33928153792897</v>
      </c>
      <c r="K352" s="86">
        <v>469.39710766412674</v>
      </c>
      <c r="L352" s="86">
        <v>469.39710766412674</v>
      </c>
      <c r="M352" s="86">
        <v>1130947.034594544</v>
      </c>
      <c r="N352" s="86" t="s">
        <v>400</v>
      </c>
      <c r="O352" s="25">
        <f t="shared" si="10"/>
        <v>1.8127842344618506E-2</v>
      </c>
    </row>
    <row r="353" spans="1:15">
      <c r="A353" s="86">
        <v>622.00793100406111</v>
      </c>
      <c r="B353" s="86">
        <v>622.57288817257461</v>
      </c>
      <c r="C353" s="86">
        <v>618.34066517335975</v>
      </c>
      <c r="D353" s="86">
        <v>618.45960352462566</v>
      </c>
      <c r="E353" s="86">
        <v>10540579.27199837</v>
      </c>
      <c r="F353" s="86" t="s">
        <v>401</v>
      </c>
      <c r="G353" s="25">
        <f t="shared" si="9"/>
        <v>5.7373633770312349E-3</v>
      </c>
      <c r="I353" s="86">
        <v>468.57682890515503</v>
      </c>
      <c r="J353" s="86">
        <v>470.14820628679973</v>
      </c>
      <c r="K353" s="86">
        <v>459.43516803709628</v>
      </c>
      <c r="L353" s="86">
        <v>460.87806802275742</v>
      </c>
      <c r="M353" s="86">
        <v>2830542.2694481183</v>
      </c>
      <c r="N353" s="86" t="s">
        <v>401</v>
      </c>
      <c r="O353" s="25">
        <f t="shared" si="10"/>
        <v>1.6704550328086931E-2</v>
      </c>
    </row>
    <row r="354" spans="1:15">
      <c r="A354" s="86">
        <v>616.50703225800896</v>
      </c>
      <c r="B354" s="86">
        <v>620.40226326197035</v>
      </c>
      <c r="C354" s="86">
        <v>615.07977204281713</v>
      </c>
      <c r="D354" s="86">
        <v>617.5378313023142</v>
      </c>
      <c r="E354" s="86">
        <v>33719254.700537026</v>
      </c>
      <c r="F354" s="86" t="s">
        <v>402</v>
      </c>
      <c r="G354" s="25">
        <f t="shared" si="9"/>
        <v>-1.6692079287375927E-3</v>
      </c>
      <c r="I354" s="86">
        <v>464.63356113612207</v>
      </c>
      <c r="J354" s="86">
        <v>470.62258436427732</v>
      </c>
      <c r="K354" s="86">
        <v>463.50691320211268</v>
      </c>
      <c r="L354" s="86">
        <v>466.87697412752681</v>
      </c>
      <c r="M354" s="86">
        <v>1370024.1871540344</v>
      </c>
      <c r="N354" s="86" t="s">
        <v>402</v>
      </c>
      <c r="O354" s="25">
        <f t="shared" si="10"/>
        <v>-4.805148070532117E-3</v>
      </c>
    </row>
    <row r="355" spans="1:15">
      <c r="A355" s="86">
        <v>611.88825961717953</v>
      </c>
      <c r="B355" s="86">
        <v>620.10491738380529</v>
      </c>
      <c r="C355" s="86">
        <v>611.69894940808115</v>
      </c>
      <c r="D355" s="86">
        <v>619.65889856655781</v>
      </c>
      <c r="E355" s="86">
        <v>21140105.048008054</v>
      </c>
      <c r="F355" s="86" t="s">
        <v>403</v>
      </c>
      <c r="G355" s="25">
        <f t="shared" si="9"/>
        <v>-1.2540187782913992E-2</v>
      </c>
      <c r="I355" s="86">
        <v>469.22909876168677</v>
      </c>
      <c r="J355" s="86">
        <v>471.30450285065143</v>
      </c>
      <c r="K355" s="86">
        <v>456.83597148758338</v>
      </c>
      <c r="L355" s="86">
        <v>465.48348852493621</v>
      </c>
      <c r="M355" s="86">
        <v>1976360.8069434606</v>
      </c>
      <c r="N355" s="86" t="s">
        <v>403</v>
      </c>
      <c r="O355" s="25">
        <f t="shared" si="10"/>
        <v>8.0467091295117754E-3</v>
      </c>
    </row>
    <row r="356" spans="1:15">
      <c r="A356" s="86">
        <v>618.68756869788558</v>
      </c>
      <c r="B356" s="86">
        <v>620.67978608159092</v>
      </c>
      <c r="C356" s="86">
        <v>615.15906427699429</v>
      </c>
      <c r="D356" s="86">
        <v>619.02456069313916</v>
      </c>
      <c r="E356" s="86">
        <v>14046703.205626735</v>
      </c>
      <c r="F356" s="86" t="s">
        <v>404</v>
      </c>
      <c r="G356" s="25">
        <f t="shared" si="9"/>
        <v>-5.4439196221267583E-4</v>
      </c>
      <c r="I356" s="86">
        <v>471.47251175309145</v>
      </c>
      <c r="J356" s="86">
        <v>474.16559563043847</v>
      </c>
      <c r="K356" s="86">
        <v>468.30999123657386</v>
      </c>
      <c r="L356" s="86">
        <v>473.99264528969144</v>
      </c>
      <c r="M356" s="86">
        <v>1264162.2968512159</v>
      </c>
      <c r="N356" s="86" t="s">
        <v>404</v>
      </c>
      <c r="O356" s="25">
        <f t="shared" si="10"/>
        <v>-5.3168199161819363E-3</v>
      </c>
    </row>
    <row r="357" spans="1:15">
      <c r="A357" s="86">
        <v>620.42208632051461</v>
      </c>
      <c r="B357" s="86">
        <v>624.98138978571103</v>
      </c>
      <c r="C357" s="86">
        <v>619.04438375168354</v>
      </c>
      <c r="D357" s="86">
        <v>624.98138978571103</v>
      </c>
      <c r="E357" s="86">
        <v>11407850.079959303</v>
      </c>
      <c r="F357" s="86" t="s">
        <v>405</v>
      </c>
      <c r="G357" s="25">
        <f t="shared" si="9"/>
        <v>-7.2951027657954803E-3</v>
      </c>
      <c r="I357" s="86">
        <v>478.74630894108196</v>
      </c>
      <c r="J357" s="86">
        <v>479.09220962257604</v>
      </c>
      <c r="K357" s="86">
        <v>471.64546209383849</v>
      </c>
      <c r="L357" s="86">
        <v>473.37990693961615</v>
      </c>
      <c r="M357" s="86">
        <v>1012667.7070624985</v>
      </c>
      <c r="N357" s="86" t="s">
        <v>405</v>
      </c>
      <c r="O357" s="25">
        <f t="shared" si="10"/>
        <v>1.1336353577318992E-2</v>
      </c>
    </row>
    <row r="358" spans="1:15">
      <c r="A358" s="86">
        <v>621.32403548428169</v>
      </c>
      <c r="B358" s="86">
        <v>627.82599868682269</v>
      </c>
      <c r="C358" s="86">
        <v>618.95517998823402</v>
      </c>
      <c r="D358" s="86">
        <v>627.20157234267617</v>
      </c>
      <c r="E358" s="86">
        <v>8580697.0513453986</v>
      </c>
      <c r="F358" s="86" t="s">
        <v>406</v>
      </c>
      <c r="G358" s="25">
        <f t="shared" si="9"/>
        <v>-9.3710493046774701E-3</v>
      </c>
      <c r="I358" s="86">
        <v>474.62514939299496</v>
      </c>
      <c r="J358" s="86">
        <v>475.20823911322788</v>
      </c>
      <c r="K358" s="86">
        <v>465.27594811603979</v>
      </c>
      <c r="L358" s="86">
        <v>470.08890902711499</v>
      </c>
      <c r="M358" s="86">
        <v>1386364.5712654088</v>
      </c>
      <c r="N358" s="86" t="s">
        <v>406</v>
      </c>
      <c r="O358" s="25">
        <f t="shared" si="10"/>
        <v>9.6497498213008459E-3</v>
      </c>
    </row>
    <row r="359" spans="1:15">
      <c r="A359" s="86">
        <v>628.10352150644337</v>
      </c>
      <c r="B359" s="86">
        <v>628.26210597479803</v>
      </c>
      <c r="C359" s="86">
        <v>621.7204966551684</v>
      </c>
      <c r="D359" s="86">
        <v>624.42634414646977</v>
      </c>
      <c r="E359" s="86">
        <v>22325749.531044696</v>
      </c>
      <c r="F359" s="86" t="s">
        <v>407</v>
      </c>
      <c r="G359" s="25">
        <f t="shared" si="9"/>
        <v>5.8888888888888324E-3</v>
      </c>
      <c r="I359" s="86">
        <v>469.31804465121382</v>
      </c>
      <c r="J359" s="86">
        <v>474.08159117921849</v>
      </c>
      <c r="K359" s="86">
        <v>464.78180428533386</v>
      </c>
      <c r="L359" s="86">
        <v>464.78180428533386</v>
      </c>
      <c r="M359" s="86">
        <v>1261954.4376567756</v>
      </c>
      <c r="N359" s="86" t="s">
        <v>407</v>
      </c>
      <c r="O359" s="25">
        <f t="shared" si="10"/>
        <v>9.7599353590338556E-3</v>
      </c>
    </row>
    <row r="360" spans="1:15">
      <c r="A360" s="86">
        <v>626.56723446925764</v>
      </c>
      <c r="B360" s="86">
        <v>627.90033515636401</v>
      </c>
      <c r="C360" s="86">
        <v>620.9275743133951</v>
      </c>
      <c r="D360" s="86">
        <v>622.07731170896636</v>
      </c>
      <c r="E360" s="86">
        <v>22599171.515239444</v>
      </c>
      <c r="F360" s="86" t="s">
        <v>408</v>
      </c>
      <c r="G360" s="25">
        <f t="shared" si="9"/>
        <v>7.2176282204483577E-3</v>
      </c>
      <c r="I360" s="86">
        <v>462.45932828101627</v>
      </c>
      <c r="J360" s="86">
        <v>467.53912686067264</v>
      </c>
      <c r="K360" s="86">
        <v>450.54057908439046</v>
      </c>
      <c r="L360" s="86">
        <v>459.76130296536212</v>
      </c>
      <c r="M360" s="86">
        <v>2330853.7482997687</v>
      </c>
      <c r="N360" s="86" t="s">
        <v>408</v>
      </c>
      <c r="O360" s="25">
        <f t="shared" si="10"/>
        <v>5.8683175340170646E-3</v>
      </c>
    </row>
    <row r="361" spans="1:15">
      <c r="A361" s="86">
        <v>622.54315358475822</v>
      </c>
      <c r="B361" s="86">
        <v>624.63448626118532</v>
      </c>
      <c r="C361" s="86">
        <v>622.10704629678287</v>
      </c>
      <c r="D361" s="86">
        <v>622.62244581893549</v>
      </c>
      <c r="E361" s="86">
        <v>9703690.2539440319</v>
      </c>
      <c r="F361" s="86" t="s">
        <v>409</v>
      </c>
      <c r="G361" s="25">
        <f t="shared" si="9"/>
        <v>-1.2735203285674235E-4</v>
      </c>
      <c r="I361" s="86">
        <v>461.42162623653388</v>
      </c>
      <c r="J361" s="86">
        <v>467.27228919209148</v>
      </c>
      <c r="K361" s="86">
        <v>459.5537625564657</v>
      </c>
      <c r="L361" s="86">
        <v>460.81877076307273</v>
      </c>
      <c r="M361" s="86">
        <v>1109625.3073052454</v>
      </c>
      <c r="N361" s="86" t="s">
        <v>409</v>
      </c>
      <c r="O361" s="25">
        <f t="shared" si="10"/>
        <v>1.3082268165049982E-3</v>
      </c>
    </row>
    <row r="362" spans="1:15">
      <c r="A362" s="86">
        <v>623.0486415776387</v>
      </c>
      <c r="B362" s="86">
        <v>625.88333894947823</v>
      </c>
      <c r="C362" s="86">
        <v>621.15653063958212</v>
      </c>
      <c r="D362" s="86">
        <v>625.77431212748434</v>
      </c>
      <c r="E362" s="86">
        <v>6894887.5721843466</v>
      </c>
      <c r="F362" s="86" t="s">
        <v>410</v>
      </c>
      <c r="G362" s="25">
        <f t="shared" si="9"/>
        <v>-4.3556766345664855E-3</v>
      </c>
      <c r="I362" s="86">
        <v>459.92931186780214</v>
      </c>
      <c r="J362" s="86">
        <v>460.10720364685625</v>
      </c>
      <c r="K362" s="86">
        <v>446.1921133741788</v>
      </c>
      <c r="L362" s="86">
        <v>448.18845445023049</v>
      </c>
      <c r="M362" s="86">
        <v>1389919.204331435</v>
      </c>
      <c r="N362" s="86" t="s">
        <v>410</v>
      </c>
      <c r="O362" s="25">
        <f t="shared" si="10"/>
        <v>2.6196251378169721E-2</v>
      </c>
    </row>
    <row r="363" spans="1:15">
      <c r="A363" s="86">
        <v>624.90209755153376</v>
      </c>
      <c r="B363" s="86">
        <v>627.37997986957532</v>
      </c>
      <c r="C363" s="86">
        <v>623.91094462431715</v>
      </c>
      <c r="D363" s="86">
        <v>624.72369002463472</v>
      </c>
      <c r="E363" s="86">
        <v>5052250.6290349569</v>
      </c>
      <c r="F363" s="86" t="s">
        <v>411</v>
      </c>
      <c r="G363" s="25">
        <f t="shared" si="9"/>
        <v>2.8557829604958229E-4</v>
      </c>
      <c r="I363" s="86">
        <v>446.90368049039523</v>
      </c>
      <c r="J363" s="86">
        <v>447.51641884047052</v>
      </c>
      <c r="K363" s="86">
        <v>441.1814949308212</v>
      </c>
      <c r="L363" s="86">
        <v>442.53544902695523</v>
      </c>
      <c r="M363" s="86">
        <v>1300920.8251810202</v>
      </c>
      <c r="N363" s="86" t="s">
        <v>411</v>
      </c>
      <c r="O363" s="25">
        <f t="shared" si="10"/>
        <v>9.8709187547456612E-3</v>
      </c>
    </row>
    <row r="364" spans="1:15">
      <c r="A364" s="86">
        <v>623.732537097418</v>
      </c>
      <c r="B364" s="86">
        <v>624.6047516733687</v>
      </c>
      <c r="C364" s="86">
        <v>620.93748584266723</v>
      </c>
      <c r="D364" s="86">
        <v>624.55519402700793</v>
      </c>
      <c r="E364" s="86">
        <v>5160085.6533436133</v>
      </c>
      <c r="F364" s="86" t="s">
        <v>412</v>
      </c>
      <c r="G364" s="25">
        <f t="shared" si="9"/>
        <v>-1.3171885166555208E-3</v>
      </c>
      <c r="I364" s="86">
        <v>443.09877299395998</v>
      </c>
      <c r="J364" s="86">
        <v>444.26495243442582</v>
      </c>
      <c r="K364" s="86">
        <v>440.21297302263764</v>
      </c>
      <c r="L364" s="86">
        <v>442.93076409152002</v>
      </c>
      <c r="M364" s="86">
        <v>1295780.6213736155</v>
      </c>
      <c r="N364" s="86" t="s">
        <v>412</v>
      </c>
      <c r="O364" s="25">
        <f t="shared" si="10"/>
        <v>3.7931188361817192E-4</v>
      </c>
    </row>
    <row r="365" spans="1:15">
      <c r="A365" s="86">
        <v>623.20722604599325</v>
      </c>
      <c r="B365" s="86">
        <v>624.2082905024821</v>
      </c>
      <c r="C365" s="86">
        <v>619.42102186402587</v>
      </c>
      <c r="D365" s="86">
        <v>620.23376726434344</v>
      </c>
      <c r="E365" s="86">
        <v>5195495.9306441704</v>
      </c>
      <c r="F365" s="86" t="s">
        <v>413</v>
      </c>
      <c r="G365" s="25">
        <f t="shared" si="9"/>
        <v>4.7940936765904496E-3</v>
      </c>
      <c r="I365" s="86">
        <v>441.56692711877179</v>
      </c>
      <c r="J365" s="86">
        <v>443.21736751332941</v>
      </c>
      <c r="K365" s="86">
        <v>433.90769774283069</v>
      </c>
      <c r="L365" s="86">
        <v>438.21663194658595</v>
      </c>
      <c r="M365" s="86">
        <v>1707619.2144190704</v>
      </c>
      <c r="N365" s="86" t="s">
        <v>413</v>
      </c>
      <c r="O365" s="25">
        <f t="shared" si="10"/>
        <v>7.6452944227689557E-3</v>
      </c>
    </row>
    <row r="366" spans="1:15">
      <c r="A366" s="86">
        <v>621.03660113538899</v>
      </c>
      <c r="B366" s="86">
        <v>623.20722604599325</v>
      </c>
      <c r="C366" s="86">
        <v>619.09394139804431</v>
      </c>
      <c r="D366" s="86">
        <v>621.46279689409209</v>
      </c>
      <c r="E366" s="86">
        <v>5303719.3914790461</v>
      </c>
      <c r="F366" s="86" t="s">
        <v>414</v>
      </c>
      <c r="G366" s="25">
        <f t="shared" si="9"/>
        <v>-6.8579448493633066E-4</v>
      </c>
      <c r="I366" s="86">
        <v>436.64525456494124</v>
      </c>
      <c r="J366" s="86">
        <v>437.56436209005415</v>
      </c>
      <c r="K366" s="86">
        <v>432.12877995228951</v>
      </c>
      <c r="L366" s="86">
        <v>435.81509292935539</v>
      </c>
      <c r="M366" s="86">
        <v>1552572.2518969323</v>
      </c>
      <c r="N366" s="86" t="s">
        <v>414</v>
      </c>
      <c r="O366" s="25">
        <f t="shared" si="10"/>
        <v>1.9048482924395316E-3</v>
      </c>
    </row>
    <row r="367" spans="1:15">
      <c r="A367" s="86">
        <v>619.98597903253926</v>
      </c>
      <c r="B367" s="86">
        <v>622.4539498213087</v>
      </c>
      <c r="C367" s="86">
        <v>618.57854187589169</v>
      </c>
      <c r="D367" s="86">
        <v>618.64792258079683</v>
      </c>
      <c r="E367" s="86">
        <v>8456174.3902999498</v>
      </c>
      <c r="F367" s="86" t="s">
        <v>415</v>
      </c>
      <c r="G367" s="25">
        <f t="shared" si="9"/>
        <v>2.1628722944069256E-3</v>
      </c>
      <c r="I367" s="86">
        <v>434.04605801542829</v>
      </c>
      <c r="J367" s="86">
        <v>448.7666027321564</v>
      </c>
      <c r="K367" s="86">
        <v>433.36413952905423</v>
      </c>
      <c r="L367" s="86">
        <v>447.97103116471988</v>
      </c>
      <c r="M367" s="86">
        <v>1611388.1232971339</v>
      </c>
      <c r="N367" s="86" t="s">
        <v>415</v>
      </c>
      <c r="O367" s="25">
        <f t="shared" si="10"/>
        <v>-3.1084539357571384E-2</v>
      </c>
    </row>
    <row r="368" spans="1:15">
      <c r="A368" s="86">
        <v>622.85041099219529</v>
      </c>
      <c r="B368" s="86">
        <v>623.06846463618297</v>
      </c>
      <c r="C368" s="86">
        <v>620.16934232407436</v>
      </c>
      <c r="D368" s="86">
        <v>620.48651126078369</v>
      </c>
      <c r="E368" s="86">
        <v>2975491.3888837793</v>
      </c>
      <c r="F368" s="86" t="s">
        <v>416</v>
      </c>
      <c r="G368" s="25">
        <f t="shared" si="9"/>
        <v>3.8097520067088553E-3</v>
      </c>
      <c r="I368" s="86">
        <v>449.08779621462003</v>
      </c>
      <c r="J368" s="86">
        <v>449.08779621462003</v>
      </c>
      <c r="K368" s="86">
        <v>443.93838169898919</v>
      </c>
      <c r="L368" s="86">
        <v>445.83140455902111</v>
      </c>
      <c r="M368" s="86">
        <v>762410.12217658106</v>
      </c>
      <c r="N368" s="86" t="s">
        <v>416</v>
      </c>
      <c r="O368" s="25">
        <f t="shared" si="10"/>
        <v>7.3040876490517714E-3</v>
      </c>
    </row>
    <row r="369" spans="1:15">
      <c r="A369" s="86">
        <v>619.42102186402587</v>
      </c>
      <c r="B369" s="86">
        <v>621.26456630864868</v>
      </c>
      <c r="C369" s="86">
        <v>616.75482048981314</v>
      </c>
      <c r="D369" s="86">
        <v>617.54774283158633</v>
      </c>
      <c r="E369" s="86">
        <v>5339774.3725205241</v>
      </c>
      <c r="F369" s="86" t="s">
        <v>417</v>
      </c>
      <c r="G369" s="25">
        <f t="shared" si="9"/>
        <v>3.033415722402566E-3</v>
      </c>
      <c r="I369" s="86">
        <v>445.45868503217542</v>
      </c>
      <c r="J369" s="86">
        <v>448.49929169854789</v>
      </c>
      <c r="K369" s="86">
        <v>444.30129281723362</v>
      </c>
      <c r="L369" s="86">
        <v>444.61516189247209</v>
      </c>
      <c r="M369" s="86">
        <v>1078119.8489941016</v>
      </c>
      <c r="N369" s="86" t="s">
        <v>417</v>
      </c>
      <c r="O369" s="25">
        <f t="shared" si="10"/>
        <v>1.8971983234061796E-3</v>
      </c>
    </row>
    <row r="370" spans="1:15">
      <c r="A370" s="86">
        <v>615.16897580626653</v>
      </c>
      <c r="B370" s="86">
        <v>616.24933249693265</v>
      </c>
      <c r="C370" s="86">
        <v>605.58452700008183</v>
      </c>
      <c r="D370" s="86">
        <v>609.34099659423282</v>
      </c>
      <c r="E370" s="86">
        <v>7354974.9991373178</v>
      </c>
      <c r="F370" s="86" t="s">
        <v>418</v>
      </c>
      <c r="G370" s="25">
        <f t="shared" si="9"/>
        <v>9.5643970200722794E-3</v>
      </c>
      <c r="I370" s="86">
        <v>443.74221352696514</v>
      </c>
      <c r="J370" s="86">
        <v>445.33117572035974</v>
      </c>
      <c r="K370" s="86">
        <v>439.88750894669289</v>
      </c>
      <c r="L370" s="86">
        <v>442.4180783658029</v>
      </c>
      <c r="M370" s="86">
        <v>1576745.0795336219</v>
      </c>
      <c r="N370" s="86" t="s">
        <v>418</v>
      </c>
      <c r="O370" s="25">
        <f t="shared" si="10"/>
        <v>2.9929499401410986E-3</v>
      </c>
    </row>
    <row r="371" spans="1:15">
      <c r="A371" s="86">
        <v>609.49958106258748</v>
      </c>
      <c r="B371" s="86">
        <v>610.63940692888661</v>
      </c>
      <c r="C371" s="86">
        <v>602.92328139050517</v>
      </c>
      <c r="D371" s="86">
        <v>603.88965549454133</v>
      </c>
      <c r="E371" s="86">
        <v>6274066.119607918</v>
      </c>
      <c r="F371" s="86" t="s">
        <v>419</v>
      </c>
      <c r="G371" s="25">
        <f t="shared" si="9"/>
        <v>9.2896533613446852E-3</v>
      </c>
      <c r="I371" s="86">
        <v>442.4180783658029</v>
      </c>
      <c r="J371" s="86">
        <v>452.3539962788202</v>
      </c>
      <c r="K371" s="86">
        <v>441.43772792611276</v>
      </c>
      <c r="L371" s="86">
        <v>450.62771636500872</v>
      </c>
      <c r="M371" s="86">
        <v>1431748.0613806709</v>
      </c>
      <c r="N371" s="86" t="s">
        <v>419</v>
      </c>
      <c r="O371" s="25">
        <f t="shared" si="10"/>
        <v>-1.8218226933374049E-2</v>
      </c>
    </row>
    <row r="372" spans="1:15">
      <c r="A372" s="86">
        <v>600.56929318836569</v>
      </c>
      <c r="B372" s="86">
        <v>605.6043500586261</v>
      </c>
      <c r="C372" s="86">
        <v>593.08608858788023</v>
      </c>
      <c r="D372" s="86">
        <v>596.9218504162086</v>
      </c>
      <c r="E372" s="86">
        <v>9877250.7563410588</v>
      </c>
      <c r="F372" s="86" t="s">
        <v>420</v>
      </c>
      <c r="G372" s="25">
        <f t="shared" si="9"/>
        <v>6.1104192611041164E-3</v>
      </c>
      <c r="I372" s="86">
        <v>451.95185152617091</v>
      </c>
      <c r="J372" s="86">
        <v>460.40669974040674</v>
      </c>
      <c r="K372" s="86">
        <v>451.14756202087239</v>
      </c>
      <c r="L372" s="86">
        <v>459.61712284801007</v>
      </c>
      <c r="M372" s="86">
        <v>1604418.2741400073</v>
      </c>
      <c r="N372" s="86" t="s">
        <v>420</v>
      </c>
      <c r="O372" s="25">
        <f t="shared" si="10"/>
        <v>-1.6677514698193674E-2</v>
      </c>
    </row>
    <row r="373" spans="1:15">
      <c r="A373" s="86">
        <v>594.65211021288258</v>
      </c>
      <c r="B373" s="86">
        <v>615.63362829854566</v>
      </c>
      <c r="C373" s="86">
        <v>594.05741845655257</v>
      </c>
      <c r="D373" s="86">
        <v>613.24613912746634</v>
      </c>
      <c r="E373" s="86">
        <v>13981349.012321869</v>
      </c>
      <c r="F373" s="86" t="s">
        <v>421</v>
      </c>
      <c r="G373" s="25">
        <f t="shared" si="9"/>
        <v>-3.0320662011895538E-2</v>
      </c>
      <c r="I373" s="86">
        <v>459.28854115986974</v>
      </c>
      <c r="J373" s="86">
        <v>468.28285184717174</v>
      </c>
      <c r="K373" s="86">
        <v>456.11061677308044</v>
      </c>
      <c r="L373" s="86">
        <v>464.80086679374512</v>
      </c>
      <c r="M373" s="86">
        <v>1013546.6826679757</v>
      </c>
      <c r="N373" s="86" t="s">
        <v>421</v>
      </c>
      <c r="O373" s="25">
        <f t="shared" si="10"/>
        <v>-1.1859542500211151E-2</v>
      </c>
    </row>
    <row r="374" spans="1:15">
      <c r="A374" s="86">
        <v>603.81036326036417</v>
      </c>
      <c r="B374" s="86">
        <v>608.14160243700792</v>
      </c>
      <c r="C374" s="86">
        <v>600.31159342728938</v>
      </c>
      <c r="D374" s="86">
        <v>602.14522634264017</v>
      </c>
      <c r="E374" s="86">
        <v>7362433.9893667689</v>
      </c>
      <c r="F374" s="86" t="s">
        <v>422</v>
      </c>
      <c r="G374" s="25">
        <f t="shared" si="9"/>
        <v>2.7653410587307192E-3</v>
      </c>
      <c r="I374" s="86">
        <v>460.90692857906805</v>
      </c>
      <c r="J374" s="86">
        <v>463.3688391379697</v>
      </c>
      <c r="K374" s="86">
        <v>459.3277747942746</v>
      </c>
      <c r="L374" s="86">
        <v>462.95688597671921</v>
      </c>
      <c r="M374" s="86">
        <v>857116.61716152623</v>
      </c>
      <c r="N374" s="86" t="s">
        <v>422</v>
      </c>
      <c r="O374" s="25">
        <f t="shared" si="10"/>
        <v>-4.4279661016949357E-3</v>
      </c>
    </row>
    <row r="375" spans="1:15">
      <c r="A375" s="86">
        <v>601.62982682048755</v>
      </c>
      <c r="B375" s="86">
        <v>606.09992652223445</v>
      </c>
      <c r="C375" s="86">
        <v>597.66521511162102</v>
      </c>
      <c r="D375" s="86">
        <v>603.33460985530007</v>
      </c>
      <c r="E375" s="86">
        <v>8561307.5106677879</v>
      </c>
      <c r="F375" s="86" t="s">
        <v>423</v>
      </c>
      <c r="G375" s="25">
        <f t="shared" si="9"/>
        <v>-2.8256012616637571E-3</v>
      </c>
      <c r="I375" s="86">
        <v>465.6247731162461</v>
      </c>
      <c r="J375" s="86">
        <v>475.70781715828139</v>
      </c>
      <c r="K375" s="86">
        <v>462.16809375701058</v>
      </c>
      <c r="L375" s="86">
        <v>466.11519354630616</v>
      </c>
      <c r="M375" s="86">
        <v>1259288.8920315513</v>
      </c>
      <c r="N375" s="86" t="s">
        <v>423</v>
      </c>
      <c r="O375" s="25">
        <f t="shared" si="10"/>
        <v>-1.0521442700222039E-3</v>
      </c>
    </row>
    <row r="376" spans="1:15">
      <c r="A376" s="86">
        <v>606.62523757365921</v>
      </c>
      <c r="B376" s="86">
        <v>613.96819403494351</v>
      </c>
      <c r="C376" s="86">
        <v>603.42381361874948</v>
      </c>
      <c r="D376" s="86">
        <v>610.29250340436079</v>
      </c>
      <c r="E376" s="86">
        <v>8937943.6378982458</v>
      </c>
      <c r="F376" s="86" t="s">
        <v>424</v>
      </c>
      <c r="G376" s="25">
        <f t="shared" si="9"/>
        <v>-6.0090297852991581E-3</v>
      </c>
      <c r="I376" s="86">
        <v>461.76026012737259</v>
      </c>
      <c r="J376" s="86">
        <v>462.56454963267117</v>
      </c>
      <c r="K376" s="86">
        <v>455.81636451504443</v>
      </c>
      <c r="L376" s="86">
        <v>458.32731711695197</v>
      </c>
      <c r="M376" s="86">
        <v>1755258.2381091611</v>
      </c>
      <c r="N376" s="86" t="s">
        <v>424</v>
      </c>
      <c r="O376" s="25">
        <f t="shared" si="10"/>
        <v>7.490155795240705E-3</v>
      </c>
    </row>
    <row r="377" spans="1:15">
      <c r="A377" s="86">
        <v>612.36401302224351</v>
      </c>
      <c r="B377" s="86">
        <v>615.72392233021515</v>
      </c>
      <c r="C377" s="86">
        <v>604.43478960451057</v>
      </c>
      <c r="D377" s="86">
        <v>606.33780322476639</v>
      </c>
      <c r="E377" s="86">
        <v>9738048.2213826496</v>
      </c>
      <c r="F377" s="86" t="s">
        <v>425</v>
      </c>
      <c r="G377" s="25">
        <f t="shared" si="9"/>
        <v>9.9387004495301579E-3</v>
      </c>
      <c r="I377" s="86">
        <v>456.84624741817055</v>
      </c>
      <c r="J377" s="86">
        <v>457.45436875144503</v>
      </c>
      <c r="K377" s="86">
        <v>445.30175049455619</v>
      </c>
      <c r="L377" s="86">
        <v>447.11630608577849</v>
      </c>
      <c r="M377" s="86">
        <v>1198983.4924453706</v>
      </c>
      <c r="N377" s="86" t="s">
        <v>425</v>
      </c>
      <c r="O377" s="25">
        <f t="shared" si="10"/>
        <v>2.1761544367664865E-2</v>
      </c>
    </row>
    <row r="378" spans="1:15">
      <c r="A378" s="86">
        <v>612.52259749059817</v>
      </c>
      <c r="B378" s="86">
        <v>620.48155549614762</v>
      </c>
      <c r="C378" s="86">
        <v>611.05569115831759</v>
      </c>
      <c r="D378" s="86">
        <v>620.13465197162179</v>
      </c>
      <c r="E378" s="86">
        <v>10620360.098779622</v>
      </c>
      <c r="F378" s="86" t="s">
        <v>426</v>
      </c>
      <c r="G378" s="25">
        <f t="shared" si="9"/>
        <v>-1.2274841370051304E-2</v>
      </c>
      <c r="I378" s="86">
        <v>447.11630608577849</v>
      </c>
      <c r="J378" s="86">
        <v>452.07936083798654</v>
      </c>
      <c r="K378" s="86">
        <v>446.38067544068838</v>
      </c>
      <c r="L378" s="86">
        <v>449.23492234363806</v>
      </c>
      <c r="M378" s="86">
        <v>834696.05854276544</v>
      </c>
      <c r="N378" s="86" t="s">
        <v>426</v>
      </c>
      <c r="O378" s="25">
        <f t="shared" si="10"/>
        <v>-4.7160542346237344E-3</v>
      </c>
    </row>
    <row r="379" spans="1:15">
      <c r="A379" s="86">
        <v>622.66209193602413</v>
      </c>
      <c r="B379" s="86">
        <v>624.19837897320986</v>
      </c>
      <c r="C379" s="86">
        <v>620.56084773032489</v>
      </c>
      <c r="D379" s="86">
        <v>624.07944062194395</v>
      </c>
      <c r="E379" s="86">
        <v>6119969.8184156204</v>
      </c>
      <c r="F379" s="86" t="s">
        <v>427</v>
      </c>
      <c r="G379" s="25">
        <f t="shared" si="9"/>
        <v>-2.2711029937267924E-3</v>
      </c>
      <c r="I379" s="86">
        <v>448.2835067093215</v>
      </c>
      <c r="J379" s="86">
        <v>450.96120225744954</v>
      </c>
      <c r="K379" s="86">
        <v>446.50279012777332</v>
      </c>
      <c r="L379" s="86">
        <v>447.40074993521336</v>
      </c>
      <c r="M379" s="86">
        <v>952506.19951287447</v>
      </c>
      <c r="N379" s="86" t="s">
        <v>427</v>
      </c>
      <c r="O379" s="25">
        <f t="shared" si="10"/>
        <v>1.973078440829612E-3</v>
      </c>
    </row>
    <row r="380" spans="1:15">
      <c r="A380" s="86">
        <v>622.35483452858693</v>
      </c>
      <c r="B380" s="86">
        <v>622.92970322637268</v>
      </c>
      <c r="C380" s="86">
        <v>618.54880728807518</v>
      </c>
      <c r="D380" s="86">
        <v>619.6291639787413</v>
      </c>
      <c r="E380" s="86">
        <v>5660956.8976975149</v>
      </c>
      <c r="F380" s="86" t="s">
        <v>428</v>
      </c>
      <c r="G380" s="25">
        <f t="shared" si="9"/>
        <v>4.3988738882845269E-3</v>
      </c>
      <c r="I380" s="86">
        <v>448.31293193512511</v>
      </c>
      <c r="J380" s="86">
        <v>452.92288397768988</v>
      </c>
      <c r="K380" s="86">
        <v>442.35922791419569</v>
      </c>
      <c r="L380" s="86">
        <v>443.1144753764882</v>
      </c>
      <c r="M380" s="86">
        <v>1339785.1307285475</v>
      </c>
      <c r="N380" s="86" t="s">
        <v>428</v>
      </c>
      <c r="O380" s="25">
        <f t="shared" si="10"/>
        <v>1.1731633353255111E-2</v>
      </c>
    </row>
    <row r="381" spans="1:15">
      <c r="A381" s="86">
        <v>620.9275743133951</v>
      </c>
      <c r="B381" s="86">
        <v>621.66102747953539</v>
      </c>
      <c r="C381" s="86">
        <v>615.16897580626653</v>
      </c>
      <c r="D381" s="86">
        <v>617.18101624851636</v>
      </c>
      <c r="E381" s="86">
        <v>8458626.0805823188</v>
      </c>
      <c r="F381" s="86" t="s">
        <v>429</v>
      </c>
      <c r="G381" s="25">
        <f t="shared" si="9"/>
        <v>6.0704363326855582E-3</v>
      </c>
      <c r="I381" s="86">
        <v>443.43815286032788</v>
      </c>
      <c r="J381" s="86">
        <v>448.34235716092871</v>
      </c>
      <c r="K381" s="86">
        <v>439.88750894669289</v>
      </c>
      <c r="L381" s="86">
        <v>447.26343221479652</v>
      </c>
      <c r="M381" s="86">
        <v>1660168.3985723241</v>
      </c>
      <c r="N381" s="86" t="s">
        <v>429</v>
      </c>
      <c r="O381" s="25">
        <f t="shared" si="10"/>
        <v>-8.5526315789473673E-3</v>
      </c>
    </row>
    <row r="382" spans="1:15">
      <c r="A382" s="86">
        <v>611.43232927065981</v>
      </c>
      <c r="B382" s="86">
        <v>611.56117915119796</v>
      </c>
      <c r="C382" s="86">
        <v>602.54168751352677</v>
      </c>
      <c r="D382" s="86">
        <v>608.65710107445341</v>
      </c>
      <c r="E382" s="86">
        <v>7594386.0864519393</v>
      </c>
      <c r="F382" s="86" t="s">
        <v>430</v>
      </c>
      <c r="G382" s="25">
        <f t="shared" si="9"/>
        <v>4.5595922421792778E-3</v>
      </c>
      <c r="I382" s="86">
        <v>449.56840823607894</v>
      </c>
      <c r="J382" s="86">
        <v>460.41160394470734</v>
      </c>
      <c r="K382" s="86">
        <v>447.45960038682051</v>
      </c>
      <c r="L382" s="86">
        <v>459.91627931034668</v>
      </c>
      <c r="M382" s="86">
        <v>2357763.7250110814</v>
      </c>
      <c r="N382" s="86" t="s">
        <v>430</v>
      </c>
      <c r="O382" s="25">
        <f t="shared" si="10"/>
        <v>-2.2499466837278659E-2</v>
      </c>
    </row>
    <row r="383" spans="1:15">
      <c r="A383" s="86">
        <v>610.78807986796903</v>
      </c>
      <c r="B383" s="86">
        <v>617.28013154123789</v>
      </c>
      <c r="C383" s="86">
        <v>609.38064271132157</v>
      </c>
      <c r="D383" s="86">
        <v>616.45747461164819</v>
      </c>
      <c r="E383" s="86">
        <v>7094884.9636632465</v>
      </c>
      <c r="F383" s="86" t="s">
        <v>431</v>
      </c>
      <c r="G383" s="25">
        <f t="shared" si="9"/>
        <v>-9.1967329088689098E-3</v>
      </c>
      <c r="I383" s="86">
        <v>459.93589612754909</v>
      </c>
      <c r="J383" s="86">
        <v>465.09511905178118</v>
      </c>
      <c r="K383" s="86">
        <v>457.18434326265401</v>
      </c>
      <c r="L383" s="86">
        <v>464.0456193314526</v>
      </c>
      <c r="M383" s="86">
        <v>1114515.1516894097</v>
      </c>
      <c r="N383" s="86" t="s">
        <v>431</v>
      </c>
      <c r="O383" s="25">
        <f t="shared" si="10"/>
        <v>-8.8562913487350015E-3</v>
      </c>
    </row>
    <row r="384" spans="1:15">
      <c r="A384" s="86">
        <v>617.34951224614315</v>
      </c>
      <c r="B384" s="86">
        <v>620.46173243760325</v>
      </c>
      <c r="C384" s="86">
        <v>614.34631887667672</v>
      </c>
      <c r="D384" s="86">
        <v>615.09959510136139</v>
      </c>
      <c r="E384" s="86">
        <v>10356082.011304678</v>
      </c>
      <c r="F384" s="86" t="s">
        <v>432</v>
      </c>
      <c r="G384" s="25">
        <f t="shared" si="9"/>
        <v>3.6578095038592995E-3</v>
      </c>
      <c r="I384" s="86">
        <v>464.07504455725621</v>
      </c>
      <c r="J384" s="86">
        <v>476.53662768508298</v>
      </c>
      <c r="K384" s="86">
        <v>464.07504455725621</v>
      </c>
      <c r="L384" s="86">
        <v>473.76575225524346</v>
      </c>
      <c r="M384" s="86">
        <v>1739047.6573243721</v>
      </c>
      <c r="N384" s="86" t="s">
        <v>432</v>
      </c>
      <c r="O384" s="25">
        <f t="shared" si="10"/>
        <v>-2.0454639559438492E-2</v>
      </c>
    </row>
    <row r="385" spans="1:15">
      <c r="A385" s="86">
        <v>615.49605627224798</v>
      </c>
      <c r="B385" s="86">
        <v>619.63907550801343</v>
      </c>
      <c r="C385" s="86">
        <v>614.71304545974692</v>
      </c>
      <c r="D385" s="86">
        <v>616.150217204211</v>
      </c>
      <c r="E385" s="86">
        <v>8276576.4744668305</v>
      </c>
      <c r="F385" s="86" t="s">
        <v>433</v>
      </c>
      <c r="G385" s="25">
        <f t="shared" si="9"/>
        <v>-1.061690661948167E-3</v>
      </c>
      <c r="I385" s="86">
        <v>475.68820034107898</v>
      </c>
      <c r="J385" s="86">
        <v>479.14076016870195</v>
      </c>
      <c r="K385" s="86">
        <v>471.78445371780072</v>
      </c>
      <c r="L385" s="86">
        <v>475.17816309381647</v>
      </c>
      <c r="M385" s="86">
        <v>1189302.0034433356</v>
      </c>
      <c r="N385" s="86" t="s">
        <v>433</v>
      </c>
      <c r="O385" s="25">
        <f t="shared" si="10"/>
        <v>1.0733600297239132E-3</v>
      </c>
    </row>
    <row r="386" spans="1:15">
      <c r="A386" s="86">
        <v>622.71164958238501</v>
      </c>
      <c r="B386" s="86">
        <v>624.96156672716666</v>
      </c>
      <c r="C386" s="86">
        <v>619.6291639787413</v>
      </c>
      <c r="D386" s="86">
        <v>624.84262837590063</v>
      </c>
      <c r="E386" s="86">
        <v>5559411.518335483</v>
      </c>
      <c r="F386" s="86" t="s">
        <v>434</v>
      </c>
      <c r="G386" s="25">
        <f t="shared" si="9"/>
        <v>-3.4104247961674883E-3</v>
      </c>
      <c r="I386" s="86">
        <v>478.59148928703468</v>
      </c>
      <c r="J386" s="86">
        <v>482.09309115766365</v>
      </c>
      <c r="K386" s="86">
        <v>475.46260694325133</v>
      </c>
      <c r="L386" s="86">
        <v>481.59286231900239</v>
      </c>
      <c r="M386" s="86">
        <v>862165.34647261281</v>
      </c>
      <c r="N386" s="86" t="s">
        <v>434</v>
      </c>
      <c r="O386" s="25">
        <f t="shared" si="10"/>
        <v>-6.2321792260692233E-3</v>
      </c>
    </row>
    <row r="387" spans="1:15">
      <c r="A387" s="86">
        <v>621.49253148190849</v>
      </c>
      <c r="B387" s="86">
        <v>624.36687497083676</v>
      </c>
      <c r="C387" s="86">
        <v>618.97500304677828</v>
      </c>
      <c r="D387" s="86">
        <v>624.26775967811511</v>
      </c>
      <c r="E387" s="86">
        <v>7081931.3622083683</v>
      </c>
      <c r="F387" s="86" t="s">
        <v>435</v>
      </c>
      <c r="G387" s="25">
        <f t="shared" si="9"/>
        <v>-4.4455734789788925E-3</v>
      </c>
      <c r="I387" s="86">
        <v>482.45600227590813</v>
      </c>
      <c r="J387" s="86">
        <v>484.15285696391607</v>
      </c>
      <c r="K387" s="86">
        <v>476.73779814549357</v>
      </c>
      <c r="L387" s="86">
        <v>479.63118059876206</v>
      </c>
      <c r="M387" s="86">
        <v>1207001.1029668537</v>
      </c>
      <c r="N387" s="86" t="s">
        <v>435</v>
      </c>
      <c r="O387" s="25">
        <f t="shared" si="10"/>
        <v>5.8895705521471164E-3</v>
      </c>
    </row>
    <row r="388" spans="1:15">
      <c r="A388" s="86">
        <v>619.70845621291869</v>
      </c>
      <c r="B388" s="86">
        <v>625.05077049061617</v>
      </c>
      <c r="C388" s="86">
        <v>619.56969480310829</v>
      </c>
      <c r="D388" s="86">
        <v>623.24687216308189</v>
      </c>
      <c r="E388" s="86">
        <v>6226766.6578269275</v>
      </c>
      <c r="F388" s="86" t="s">
        <v>436</v>
      </c>
      <c r="G388" s="25">
        <f t="shared" si="9"/>
        <v>-5.6773906267392205E-3</v>
      </c>
      <c r="I388" s="86">
        <v>480.33738601804862</v>
      </c>
      <c r="J388" s="86">
        <v>484.98657169501814</v>
      </c>
      <c r="K388" s="86">
        <v>476.19823758834144</v>
      </c>
      <c r="L388" s="86">
        <v>476.26689644854986</v>
      </c>
      <c r="M388" s="86">
        <v>1098894.880733199</v>
      </c>
      <c r="N388" s="86" t="s">
        <v>436</v>
      </c>
      <c r="O388" s="25">
        <f t="shared" si="10"/>
        <v>8.5466565067859879E-3</v>
      </c>
    </row>
    <row r="389" spans="1:15">
      <c r="A389" s="86">
        <v>626.35909235454221</v>
      </c>
      <c r="B389" s="86">
        <v>628.51980573587434</v>
      </c>
      <c r="C389" s="86">
        <v>622.3151884114983</v>
      </c>
      <c r="D389" s="86">
        <v>627.60794504283513</v>
      </c>
      <c r="E389" s="86">
        <v>6091277.9796295911</v>
      </c>
      <c r="F389" s="86" t="s">
        <v>437</v>
      </c>
      <c r="G389" s="25">
        <f t="shared" si="9"/>
        <v>-1.9898611834935354E-3</v>
      </c>
      <c r="I389" s="86">
        <v>476.031494642121</v>
      </c>
      <c r="J389" s="86">
        <v>479.45168672136009</v>
      </c>
      <c r="K389" s="86">
        <v>474.39957161905312</v>
      </c>
      <c r="L389" s="86">
        <v>475.70781715828139</v>
      </c>
      <c r="M389" s="86">
        <v>988467.18098715635</v>
      </c>
      <c r="N389" s="86" t="s">
        <v>437</v>
      </c>
      <c r="O389" s="25">
        <f t="shared" si="10"/>
        <v>6.804123711339205E-4</v>
      </c>
    </row>
    <row r="390" spans="1:15">
      <c r="A390" s="86">
        <v>626.1013925934659</v>
      </c>
      <c r="B390" s="86">
        <v>627.78635256973405</v>
      </c>
      <c r="C390" s="86">
        <v>624.0695290926717</v>
      </c>
      <c r="D390" s="86">
        <v>626.12121565201016</v>
      </c>
      <c r="E390" s="86">
        <v>5625042.1573758936</v>
      </c>
      <c r="F390" s="86" t="s">
        <v>438</v>
      </c>
      <c r="G390" s="25">
        <f t="shared" si="9"/>
        <v>-3.1660097196350989E-5</v>
      </c>
      <c r="I390" s="86">
        <v>476.4630646205739</v>
      </c>
      <c r="J390" s="86">
        <v>480.02351694281009</v>
      </c>
      <c r="K390" s="86">
        <v>474.35425677131553</v>
      </c>
      <c r="L390" s="86">
        <v>477.05156913664604</v>
      </c>
      <c r="M390" s="86">
        <v>1242115.8717335018</v>
      </c>
      <c r="N390" s="86" t="s">
        <v>438</v>
      </c>
      <c r="O390" s="25">
        <f t="shared" si="10"/>
        <v>-1.233628718876667E-3</v>
      </c>
    </row>
    <row r="391" spans="1:15">
      <c r="A391" s="86">
        <v>624.42634414646977</v>
      </c>
      <c r="B391" s="86">
        <v>624.71377849536248</v>
      </c>
      <c r="C391" s="86">
        <v>621.61146983317451</v>
      </c>
      <c r="D391" s="86">
        <v>622.18633853096014</v>
      </c>
      <c r="E391" s="86">
        <v>7873977.6533942977</v>
      </c>
      <c r="F391" s="86" t="s">
        <v>439</v>
      </c>
      <c r="G391" s="25">
        <f t="shared" si="9"/>
        <v>3.600216650205601E-3</v>
      </c>
      <c r="I391" s="86">
        <v>477.5812232011109</v>
      </c>
      <c r="J391" s="86">
        <v>477.97355954515899</v>
      </c>
      <c r="K391" s="86">
        <v>470.67610354586492</v>
      </c>
      <c r="L391" s="86">
        <v>474.80544356697084</v>
      </c>
      <c r="M391" s="86">
        <v>1451036.6134478045</v>
      </c>
      <c r="N391" s="86" t="s">
        <v>439</v>
      </c>
      <c r="O391" s="25">
        <f t="shared" si="10"/>
        <v>5.8461411336969693E-3</v>
      </c>
    </row>
    <row r="392" spans="1:15">
      <c r="A392" s="86">
        <v>617.04225483870584</v>
      </c>
      <c r="B392" s="86">
        <v>618.27118535316185</v>
      </c>
      <c r="C392" s="86">
        <v>615.71113645745402</v>
      </c>
      <c r="D392" s="86">
        <v>616.41782849455944</v>
      </c>
      <c r="E392" s="86">
        <v>5701283.6716013607</v>
      </c>
      <c r="F392" s="86" t="s">
        <v>440</v>
      </c>
      <c r="G392" s="25">
        <f t="shared" si="9"/>
        <v>1.0129920246975122E-3</v>
      </c>
      <c r="I392" s="86">
        <v>476.10996191093068</v>
      </c>
      <c r="J392" s="86">
        <v>482.39715182430092</v>
      </c>
      <c r="K392" s="86">
        <v>474.80053936267024</v>
      </c>
      <c r="L392" s="86">
        <v>480.88665689971583</v>
      </c>
      <c r="M392" s="86">
        <v>1393269.8519845246</v>
      </c>
      <c r="N392" s="86" t="s">
        <v>440</v>
      </c>
      <c r="O392" s="25">
        <f t="shared" si="10"/>
        <v>-9.9330994533733952E-3</v>
      </c>
    </row>
    <row r="393" spans="1:15">
      <c r="A393" s="86">
        <v>611.97746338062905</v>
      </c>
      <c r="B393" s="86">
        <v>613.00231550737101</v>
      </c>
      <c r="C393" s="86">
        <v>608.55798578173165</v>
      </c>
      <c r="D393" s="86">
        <v>608.81568554280796</v>
      </c>
      <c r="E393" s="86">
        <v>5877357.4087693281</v>
      </c>
      <c r="F393" s="86" t="s">
        <v>441</v>
      </c>
      <c r="G393" s="25">
        <f t="shared" si="9"/>
        <v>5.1933251933253821E-3</v>
      </c>
      <c r="I393" s="86">
        <v>478.6993817816479</v>
      </c>
      <c r="J393" s="86">
        <v>484.51576808216049</v>
      </c>
      <c r="K393" s="86">
        <v>477.19869526566401</v>
      </c>
      <c r="L393" s="86">
        <v>478.76804064185632</v>
      </c>
      <c r="M393" s="86">
        <v>1453049.1723452369</v>
      </c>
      <c r="N393" s="86" t="s">
        <v>441</v>
      </c>
      <c r="O393" s="25">
        <f t="shared" si="10"/>
        <v>-1.4340735884621481E-4</v>
      </c>
    </row>
    <row r="394" spans="1:15">
      <c r="A394" s="86">
        <v>608.53816272318738</v>
      </c>
      <c r="B394" s="86">
        <v>612.36401302224351</v>
      </c>
      <c r="C394" s="86">
        <v>604.43478960451057</v>
      </c>
      <c r="D394" s="86">
        <v>612.36401302224351</v>
      </c>
      <c r="E394" s="86">
        <v>6173644.683856817</v>
      </c>
      <c r="F394" s="86" t="s">
        <v>442</v>
      </c>
      <c r="G394" s="25">
        <f t="shared" si="9"/>
        <v>-6.247673308191537E-3</v>
      </c>
      <c r="I394" s="86">
        <v>477.80681659893855</v>
      </c>
      <c r="J394" s="86">
        <v>482.97663260445989</v>
      </c>
      <c r="K394" s="86">
        <v>473.2949486423858</v>
      </c>
      <c r="L394" s="86">
        <v>482.0538575232589</v>
      </c>
      <c r="M394" s="86">
        <v>1758997.8865568724</v>
      </c>
      <c r="N394" s="86" t="s">
        <v>442</v>
      </c>
      <c r="O394" s="25">
        <f t="shared" si="10"/>
        <v>-8.8103037825300046E-3</v>
      </c>
    </row>
    <row r="395" spans="1:15">
      <c r="A395" s="86">
        <v>611.63055985610322</v>
      </c>
      <c r="B395" s="86">
        <v>613.2659621860106</v>
      </c>
      <c r="C395" s="86">
        <v>610.53137125981993</v>
      </c>
      <c r="D395" s="86">
        <v>611.86843655863527</v>
      </c>
      <c r="E395" s="86">
        <v>4193228.8003944606</v>
      </c>
      <c r="F395" s="86" t="s">
        <v>443</v>
      </c>
      <c r="G395" s="25">
        <f t="shared" si="9"/>
        <v>-3.8877099768364065E-4</v>
      </c>
      <c r="I395" s="86">
        <v>480.12160102882211</v>
      </c>
      <c r="J395" s="86">
        <v>496.89397973687704</v>
      </c>
      <c r="K395" s="86">
        <v>473.46169158860619</v>
      </c>
      <c r="L395" s="86">
        <v>473.46169158860619</v>
      </c>
      <c r="M395" s="86">
        <v>2897535.2838092507</v>
      </c>
      <c r="N395" s="86" t="s">
        <v>443</v>
      </c>
      <c r="O395" s="25">
        <f t="shared" si="10"/>
        <v>1.4066416689109351E-2</v>
      </c>
    </row>
    <row r="396" spans="1:15">
      <c r="A396" s="86">
        <v>611.70985209028049</v>
      </c>
      <c r="B396" s="86">
        <v>612.54242054914243</v>
      </c>
      <c r="C396" s="86">
        <v>608.08223237666766</v>
      </c>
      <c r="D396" s="86">
        <v>608.08223237666766</v>
      </c>
      <c r="E396" s="86">
        <v>4085368.5529347514</v>
      </c>
      <c r="F396" s="86" t="s">
        <v>444</v>
      </c>
      <c r="G396" s="25">
        <f t="shared" si="9"/>
        <v>5.9656729311665657E-3</v>
      </c>
      <c r="I396" s="86">
        <v>496.20739113479289</v>
      </c>
      <c r="J396" s="86">
        <v>496.20739113479289</v>
      </c>
      <c r="K396" s="86">
        <v>486.91882818945493</v>
      </c>
      <c r="L396" s="86">
        <v>486.91882818945493</v>
      </c>
      <c r="M396" s="86">
        <v>1455181.0166484439</v>
      </c>
      <c r="N396" s="86" t="s">
        <v>444</v>
      </c>
      <c r="O396" s="25">
        <f t="shared" si="10"/>
        <v>1.9076204097254301E-2</v>
      </c>
    </row>
    <row r="397" spans="1:15">
      <c r="A397" s="86">
        <v>605.35656182682203</v>
      </c>
      <c r="B397" s="86">
        <v>606.60541451511494</v>
      </c>
      <c r="C397" s="86">
        <v>599.74663625877599</v>
      </c>
      <c r="D397" s="86">
        <v>600.97566588852453</v>
      </c>
      <c r="E397" s="86">
        <v>6945537.6773512438</v>
      </c>
      <c r="F397" s="86" t="s">
        <v>445</v>
      </c>
      <c r="G397" s="25">
        <f t="shared" si="9"/>
        <v>7.2896394762016481E-3</v>
      </c>
      <c r="I397" s="86">
        <v>485.66335188850104</v>
      </c>
      <c r="J397" s="86">
        <v>487.16403840448493</v>
      </c>
      <c r="K397" s="86">
        <v>478.74842382465391</v>
      </c>
      <c r="L397" s="86">
        <v>481.08282507173993</v>
      </c>
      <c r="M397" s="86">
        <v>1946650.142374855</v>
      </c>
      <c r="N397" s="86" t="s">
        <v>445</v>
      </c>
      <c r="O397" s="25">
        <f t="shared" si="10"/>
        <v>9.5212852715704788E-3</v>
      </c>
    </row>
    <row r="398" spans="1:15">
      <c r="A398" s="86">
        <v>602.01637646210202</v>
      </c>
      <c r="B398" s="86">
        <v>609.36081965277708</v>
      </c>
      <c r="C398" s="86">
        <v>598.79512944864791</v>
      </c>
      <c r="D398" s="86">
        <v>607.68577120578107</v>
      </c>
      <c r="E398" s="86">
        <v>7600450.7408911688</v>
      </c>
      <c r="F398" s="86" t="s">
        <v>446</v>
      </c>
      <c r="G398" s="25">
        <f t="shared" si="9"/>
        <v>-9.3294841056253963E-3</v>
      </c>
      <c r="I398" s="86">
        <v>483.79975425427278</v>
      </c>
      <c r="J398" s="86">
        <v>491.70533158684134</v>
      </c>
      <c r="K398" s="86">
        <v>482.57370317912256</v>
      </c>
      <c r="L398" s="86">
        <v>491.14625229657281</v>
      </c>
      <c r="M398" s="86">
        <v>1119718.8500746654</v>
      </c>
      <c r="N398" s="86" t="s">
        <v>446</v>
      </c>
      <c r="O398" s="25">
        <f t="shared" si="10"/>
        <v>-1.4957862363701668E-2</v>
      </c>
    </row>
    <row r="399" spans="1:15">
      <c r="A399" s="86">
        <v>606.02063428805707</v>
      </c>
      <c r="B399" s="86">
        <v>610.75338951551657</v>
      </c>
      <c r="C399" s="86">
        <v>600.46026636637191</v>
      </c>
      <c r="D399" s="86">
        <v>607.64612508869243</v>
      </c>
      <c r="E399" s="86">
        <v>6532781.997812612</v>
      </c>
      <c r="F399" s="86" t="s">
        <v>447</v>
      </c>
      <c r="G399" s="25">
        <f t="shared" si="9"/>
        <v>-2.6750615753504681E-3</v>
      </c>
      <c r="I399" s="86">
        <v>489.84173395261303</v>
      </c>
      <c r="J399" s="86">
        <v>495.32463436068474</v>
      </c>
      <c r="K399" s="86">
        <v>476.17862077113909</v>
      </c>
      <c r="L399" s="86">
        <v>493.36295264044441</v>
      </c>
      <c r="M399" s="86">
        <v>1705629.3921065221</v>
      </c>
      <c r="N399" s="86" t="s">
        <v>447</v>
      </c>
      <c r="O399" s="25">
        <f t="shared" si="10"/>
        <v>-7.1371769383696826E-3</v>
      </c>
    </row>
    <row r="400" spans="1:15">
      <c r="A400" s="86">
        <v>603.36434444311658</v>
      </c>
      <c r="B400" s="86">
        <v>606.72435286638097</v>
      </c>
      <c r="C400" s="86">
        <v>595.19724432285159</v>
      </c>
      <c r="D400" s="86">
        <v>598.85459862428104</v>
      </c>
      <c r="E400" s="86">
        <v>7535686.7693209462</v>
      </c>
      <c r="F400" s="86" t="s">
        <v>448</v>
      </c>
      <c r="G400" s="25">
        <f t="shared" si="9"/>
        <v>7.5306190003308071E-3</v>
      </c>
      <c r="I400" s="86">
        <v>495.50118571550638</v>
      </c>
      <c r="J400" s="86">
        <v>497.28621799683907</v>
      </c>
      <c r="K400" s="86">
        <v>489.43958919996373</v>
      </c>
      <c r="L400" s="86">
        <v>491.64648113523413</v>
      </c>
      <c r="M400" s="86">
        <v>1098462.5985789378</v>
      </c>
      <c r="N400" s="86" t="s">
        <v>448</v>
      </c>
      <c r="O400" s="25">
        <f t="shared" si="10"/>
        <v>7.8403990024937809E-3</v>
      </c>
    </row>
    <row r="401" spans="1:15">
      <c r="A401" s="86">
        <v>604.2167359605229</v>
      </c>
      <c r="B401" s="86">
        <v>605.62139788897423</v>
      </c>
      <c r="C401" s="86">
        <v>601.20858682642051</v>
      </c>
      <c r="D401" s="86">
        <v>601.99655340355764</v>
      </c>
      <c r="E401" s="86">
        <v>7004428.6904302407</v>
      </c>
      <c r="F401" s="86" t="s">
        <v>449</v>
      </c>
      <c r="G401" s="25">
        <f t="shared" si="9"/>
        <v>3.6880320068493067E-3</v>
      </c>
      <c r="I401" s="86">
        <v>494.17705055434413</v>
      </c>
      <c r="J401" s="86">
        <v>497.70807765077677</v>
      </c>
      <c r="K401" s="86">
        <v>490.42052814416991</v>
      </c>
      <c r="L401" s="86">
        <v>492.6763640383603</v>
      </c>
      <c r="M401" s="86">
        <v>943525.12994474825</v>
      </c>
      <c r="N401" s="86" t="s">
        <v>449</v>
      </c>
      <c r="O401" s="25">
        <f t="shared" si="10"/>
        <v>3.0459884531155446E-3</v>
      </c>
    </row>
    <row r="402" spans="1:15">
      <c r="A402" s="86">
        <v>595.19724432285159</v>
      </c>
      <c r="B402" s="86">
        <v>614.11835370341691</v>
      </c>
      <c r="C402" s="86">
        <v>594.91972150323102</v>
      </c>
      <c r="D402" s="86">
        <v>612.52259749059817</v>
      </c>
      <c r="E402" s="86">
        <v>13458268.279002609</v>
      </c>
      <c r="F402" s="86" t="s">
        <v>450</v>
      </c>
      <c r="G402" s="25">
        <f t="shared" si="9"/>
        <v>-2.8285247334099428E-2</v>
      </c>
      <c r="I402" s="86">
        <v>495.37367640369075</v>
      </c>
      <c r="J402" s="86">
        <v>503.61273962870018</v>
      </c>
      <c r="K402" s="86">
        <v>490.95008412454882</v>
      </c>
      <c r="L402" s="86">
        <v>499.08125485494497</v>
      </c>
      <c r="M402" s="86">
        <v>1334231.7323930289</v>
      </c>
      <c r="N402" s="86" t="s">
        <v>450</v>
      </c>
      <c r="O402" s="25">
        <f t="shared" si="10"/>
        <v>-7.4288072637226366E-3</v>
      </c>
    </row>
    <row r="403" spans="1:15">
      <c r="A403" s="86">
        <v>611.64047138537535</v>
      </c>
      <c r="B403" s="86">
        <v>614.10844217414478</v>
      </c>
      <c r="C403" s="86">
        <v>609.83657305784106</v>
      </c>
      <c r="D403" s="86">
        <v>613.75162712034682</v>
      </c>
      <c r="E403" s="86">
        <v>5932230.8783485722</v>
      </c>
      <c r="F403" s="86" t="s">
        <v>451</v>
      </c>
      <c r="G403" s="25">
        <f t="shared" si="9"/>
        <v>-3.439755825783708E-3</v>
      </c>
      <c r="I403" s="86">
        <v>498.03175513461639</v>
      </c>
      <c r="J403" s="86">
        <v>505.32057973434138</v>
      </c>
      <c r="K403" s="86">
        <v>494.15743373714173</v>
      </c>
      <c r="L403" s="86">
        <v>504.04430960715302</v>
      </c>
      <c r="M403" s="86">
        <v>950941.21577044367</v>
      </c>
      <c r="N403" s="86" t="s">
        <v>451</v>
      </c>
      <c r="O403" s="25">
        <f t="shared" si="10"/>
        <v>-1.1928622857031668E-2</v>
      </c>
    </row>
    <row r="404" spans="1:15">
      <c r="A404" s="86">
        <v>613.2956967738271</v>
      </c>
      <c r="B404" s="86">
        <v>613.42454665436526</v>
      </c>
      <c r="C404" s="86">
        <v>610.01914342703446</v>
      </c>
      <c r="D404" s="86">
        <v>610.7633010447887</v>
      </c>
      <c r="E404" s="86">
        <v>5045070.1023931336</v>
      </c>
      <c r="F404" s="86" t="s">
        <v>452</v>
      </c>
      <c r="G404" s="25">
        <f t="shared" si="9"/>
        <v>4.1462801132721161E-3</v>
      </c>
      <c r="I404" s="86">
        <v>504.17181891896865</v>
      </c>
      <c r="J404" s="86">
        <v>506.11388382200658</v>
      </c>
      <c r="K404" s="86">
        <v>501.4254645106322</v>
      </c>
      <c r="L404" s="86">
        <v>505.37825317691647</v>
      </c>
      <c r="M404" s="86">
        <v>806718.0234549552</v>
      </c>
      <c r="N404" s="86" t="s">
        <v>452</v>
      </c>
      <c r="O404" s="25">
        <f t="shared" si="10"/>
        <v>-2.3871906841339552E-3</v>
      </c>
    </row>
    <row r="405" spans="1:15">
      <c r="A405" s="86">
        <v>609.75728082366379</v>
      </c>
      <c r="B405" s="86">
        <v>613.26526837896154</v>
      </c>
      <c r="C405" s="86">
        <v>608.38948978410485</v>
      </c>
      <c r="D405" s="86">
        <v>612.82985489803525</v>
      </c>
      <c r="E405" s="86">
        <v>7505913.3618177567</v>
      </c>
      <c r="F405" s="86" t="s">
        <v>453</v>
      </c>
      <c r="G405" s="25">
        <f t="shared" si="9"/>
        <v>-5.0137473718259162E-3</v>
      </c>
      <c r="I405" s="86">
        <v>501.27833838161416</v>
      </c>
      <c r="J405" s="86">
        <v>506.09426700480418</v>
      </c>
      <c r="K405" s="86">
        <v>499.38041131728164</v>
      </c>
      <c r="L405" s="86">
        <v>504.34837027379035</v>
      </c>
      <c r="M405" s="86">
        <v>931385.54595704493</v>
      </c>
      <c r="N405" s="86" t="s">
        <v>453</v>
      </c>
      <c r="O405" s="25">
        <f t="shared" si="10"/>
        <v>-6.087125632049939E-3</v>
      </c>
    </row>
    <row r="406" spans="1:15">
      <c r="A406" s="86">
        <v>611.9378172635403</v>
      </c>
      <c r="B406" s="86">
        <v>612.81003183949099</v>
      </c>
      <c r="C406" s="86">
        <v>610.03480364328448</v>
      </c>
      <c r="D406" s="86">
        <v>611.99728643917342</v>
      </c>
      <c r="E406" s="86">
        <v>6011376.081723284</v>
      </c>
      <c r="F406" s="86" t="s">
        <v>454</v>
      </c>
      <c r="G406" s="25">
        <f t="shared" si="9"/>
        <v>-9.7172286464108915E-5</v>
      </c>
      <c r="I406" s="86">
        <v>504.3876039081951</v>
      </c>
      <c r="J406" s="86">
        <v>505.55480453173806</v>
      </c>
      <c r="K406" s="86">
        <v>496.92340496268059</v>
      </c>
      <c r="L406" s="86">
        <v>496.92340496268059</v>
      </c>
      <c r="M406" s="86">
        <v>1414902.3112984651</v>
      </c>
      <c r="N406" s="86" t="s">
        <v>454</v>
      </c>
      <c r="O406" s="25">
        <f t="shared" si="10"/>
        <v>1.5020823875412148E-2</v>
      </c>
    </row>
    <row r="407" spans="1:15">
      <c r="A407" s="86">
        <v>609.85639611638544</v>
      </c>
      <c r="B407" s="86">
        <v>612.94879324930127</v>
      </c>
      <c r="C407" s="86">
        <v>608.85334935404228</v>
      </c>
      <c r="D407" s="86">
        <v>610.50064551907633</v>
      </c>
      <c r="E407" s="86">
        <v>7251315.9197170287</v>
      </c>
      <c r="F407" s="86" t="s">
        <v>455</v>
      </c>
      <c r="G407" s="25">
        <f t="shared" si="9"/>
        <v>-1.0552804610765021E-3</v>
      </c>
      <c r="I407" s="86">
        <v>494.82440552202348</v>
      </c>
      <c r="J407" s="86">
        <v>497.09995631750223</v>
      </c>
      <c r="K407" s="86">
        <v>489.67989521069319</v>
      </c>
      <c r="L407" s="86">
        <v>489.85154236121423</v>
      </c>
      <c r="M407" s="86">
        <v>973067.12924160669</v>
      </c>
      <c r="N407" s="86" t="s">
        <v>455</v>
      </c>
      <c r="O407" s="25">
        <f t="shared" si="10"/>
        <v>1.0151776060229878E-2</v>
      </c>
    </row>
    <row r="408" spans="1:15">
      <c r="A408" s="86">
        <v>609.80683847002456</v>
      </c>
      <c r="B408" s="86">
        <v>611.02595657050108</v>
      </c>
      <c r="C408" s="86">
        <v>607.59656744233155</v>
      </c>
      <c r="D408" s="86">
        <v>610.95657586559582</v>
      </c>
      <c r="E408" s="86">
        <v>7099455.3986340854</v>
      </c>
      <c r="F408" s="86" t="s">
        <v>456</v>
      </c>
      <c r="G408" s="25">
        <f t="shared" si="9"/>
        <v>-1.8818643435375426E-3</v>
      </c>
      <c r="I408" s="86">
        <v>489.79269190960702</v>
      </c>
      <c r="J408" s="86">
        <v>493.95145715651654</v>
      </c>
      <c r="K408" s="86">
        <v>487.4877158883246</v>
      </c>
      <c r="L408" s="86">
        <v>489.67499100639259</v>
      </c>
      <c r="M408" s="86">
        <v>932338.8096698611</v>
      </c>
      <c r="N408" s="86" t="s">
        <v>456</v>
      </c>
      <c r="O408" s="25">
        <f t="shared" si="10"/>
        <v>2.4036535534022185E-4</v>
      </c>
    </row>
    <row r="409" spans="1:15">
      <c r="A409" s="86">
        <v>609.13285447951739</v>
      </c>
      <c r="B409" s="86">
        <v>609.94559987983496</v>
      </c>
      <c r="C409" s="86">
        <v>604.17708984343426</v>
      </c>
      <c r="D409" s="86">
        <v>604.30593972397241</v>
      </c>
      <c r="E409" s="86">
        <v>9840084.9477271978</v>
      </c>
      <c r="F409" s="86" t="s">
        <v>457</v>
      </c>
      <c r="G409" s="25">
        <f t="shared" si="9"/>
        <v>7.9875348532065793E-3</v>
      </c>
      <c r="I409" s="86">
        <v>489.43958919996373</v>
      </c>
      <c r="J409" s="86">
        <v>494.41245236077299</v>
      </c>
      <c r="K409" s="86">
        <v>485.51622575948306</v>
      </c>
      <c r="L409" s="86">
        <v>486.66380956582367</v>
      </c>
      <c r="M409" s="86">
        <v>1172724.3906407775</v>
      </c>
      <c r="N409" s="86" t="s">
        <v>457</v>
      </c>
      <c r="O409" s="25">
        <f t="shared" si="10"/>
        <v>5.7036902674485468E-3</v>
      </c>
    </row>
    <row r="410" spans="1:15">
      <c r="A410" s="86">
        <v>606.9622295689129</v>
      </c>
      <c r="B410" s="86">
        <v>607.43798297397689</v>
      </c>
      <c r="C410" s="86">
        <v>602.8885910380526</v>
      </c>
      <c r="D410" s="86">
        <v>604.03832843362386</v>
      </c>
      <c r="E410" s="86">
        <v>6539276.4547457881</v>
      </c>
      <c r="F410" s="86" t="s">
        <v>458</v>
      </c>
      <c r="G410" s="25">
        <f t="shared" si="9"/>
        <v>4.8405887468618847E-3</v>
      </c>
      <c r="I410" s="86">
        <v>489.64556578058892</v>
      </c>
      <c r="J410" s="86">
        <v>490.31253756547068</v>
      </c>
      <c r="K410" s="86">
        <v>481.73018003941922</v>
      </c>
      <c r="L410" s="86">
        <v>483.14259087799223</v>
      </c>
      <c r="M410" s="86">
        <v>1336322.7953609284</v>
      </c>
      <c r="N410" s="86" t="s">
        <v>458</v>
      </c>
      <c r="O410" s="25">
        <f t="shared" si="10"/>
        <v>1.345974257988547E-2</v>
      </c>
    </row>
    <row r="411" spans="1:15">
      <c r="A411" s="86">
        <v>604.73213548267552</v>
      </c>
      <c r="B411" s="86">
        <v>606.26842251986125</v>
      </c>
      <c r="C411" s="86">
        <v>603.09673315276814</v>
      </c>
      <c r="D411" s="86">
        <v>605.38629641463842</v>
      </c>
      <c r="E411" s="86">
        <v>5709345.9996040035</v>
      </c>
      <c r="F411" s="86" t="s">
        <v>459</v>
      </c>
      <c r="G411" s="25">
        <f t="shared" si="9"/>
        <v>-1.0805677892564702E-3</v>
      </c>
      <c r="I411" s="86">
        <v>482.55408636192016</v>
      </c>
      <c r="J411" s="86">
        <v>489.42585742792204</v>
      </c>
      <c r="K411" s="86">
        <v>479.84696558798851</v>
      </c>
      <c r="L411" s="86">
        <v>487.4779074797234</v>
      </c>
      <c r="M411" s="86">
        <v>1418307.5527966535</v>
      </c>
      <c r="N411" s="86" t="s">
        <v>459</v>
      </c>
      <c r="O411" s="25">
        <f t="shared" si="10"/>
        <v>-1.0100603621730375E-2</v>
      </c>
    </row>
    <row r="412" spans="1:15">
      <c r="A412" s="86">
        <v>603.03726399323136</v>
      </c>
      <c r="B412" s="86">
        <v>603.5709602738076</v>
      </c>
      <c r="C412" s="86">
        <v>599.48423042161801</v>
      </c>
      <c r="D412" s="86">
        <v>600.93212866429212</v>
      </c>
      <c r="E412" s="86">
        <v>6514683.512964623</v>
      </c>
      <c r="F412" s="86" t="s">
        <v>460</v>
      </c>
      <c r="G412" s="25">
        <f t="shared" si="9"/>
        <v>3.5031166225349963E-3</v>
      </c>
      <c r="I412" s="86">
        <v>478.10106885697456</v>
      </c>
      <c r="J412" s="86">
        <v>481.34755401988639</v>
      </c>
      <c r="K412" s="86">
        <v>475.28605558842969</v>
      </c>
      <c r="L412" s="86">
        <v>478.56206406123107</v>
      </c>
      <c r="M412" s="86">
        <v>932133.8834599402</v>
      </c>
      <c r="N412" s="86" t="s">
        <v>460</v>
      </c>
      <c r="O412" s="25">
        <f t="shared" si="10"/>
        <v>-9.6329241048564995E-4</v>
      </c>
    </row>
    <row r="413" spans="1:15">
      <c r="A413" s="86">
        <v>599.50893858275583</v>
      </c>
      <c r="B413" s="86">
        <v>600.83329601974094</v>
      </c>
      <c r="C413" s="86">
        <v>596.30676089929887</v>
      </c>
      <c r="D413" s="86">
        <v>599.53858837612108</v>
      </c>
      <c r="E413" s="86">
        <v>7009572.6280149827</v>
      </c>
      <c r="F413" s="86" t="s">
        <v>461</v>
      </c>
      <c r="G413" s="25">
        <f t="shared" si="9"/>
        <v>-4.9454353631461778E-5</v>
      </c>
      <c r="I413" s="86">
        <v>475.06046219060204</v>
      </c>
      <c r="J413" s="86">
        <v>481.34255173149973</v>
      </c>
      <c r="K413" s="86">
        <v>474.78582674976843</v>
      </c>
      <c r="L413" s="86">
        <v>480.20006829763173</v>
      </c>
      <c r="M413" s="86">
        <v>1226848.3593277021</v>
      </c>
      <c r="N413" s="86" t="s">
        <v>461</v>
      </c>
      <c r="O413" s="25">
        <f t="shared" si="10"/>
        <v>-1.0703051595244983E-2</v>
      </c>
    </row>
    <row r="414" spans="1:15">
      <c r="A414" s="86">
        <v>602.38496853919389</v>
      </c>
      <c r="B414" s="86">
        <v>605.58714622265086</v>
      </c>
      <c r="C414" s="86">
        <v>601.09026089557403</v>
      </c>
      <c r="D414" s="86">
        <v>605.47843031364459</v>
      </c>
      <c r="E414" s="86">
        <v>24044766.896532532</v>
      </c>
      <c r="F414" s="86" t="s">
        <v>462</v>
      </c>
      <c r="G414" s="25">
        <f t="shared" ref="G414:G477" si="11">A414/D414-1</f>
        <v>-5.1091196970439734E-3</v>
      </c>
      <c r="I414" s="86">
        <v>476.93386823343161</v>
      </c>
      <c r="J414" s="86">
        <v>485.75162756591192</v>
      </c>
      <c r="K414" s="86">
        <v>476.20804599694264</v>
      </c>
      <c r="L414" s="86">
        <v>477.8166250075397</v>
      </c>
      <c r="M414" s="86">
        <v>1440666.939412453</v>
      </c>
      <c r="N414" s="86" t="s">
        <v>462</v>
      </c>
      <c r="O414" s="25">
        <f t="shared" ref="O414:O477" si="12">I414/L414-1</f>
        <v>-1.8474802422250303E-3</v>
      </c>
    </row>
    <row r="415" spans="1:15">
      <c r="A415" s="86">
        <v>604.40115448803715</v>
      </c>
      <c r="B415" s="86">
        <v>608.07772886533951</v>
      </c>
      <c r="C415" s="86">
        <v>603.21615107986906</v>
      </c>
      <c r="D415" s="86">
        <v>607.52920768808076</v>
      </c>
      <c r="E415" s="86">
        <v>10855272.616375949</v>
      </c>
      <c r="F415" s="86" t="s">
        <v>463</v>
      </c>
      <c r="G415" s="25">
        <f t="shared" si="11"/>
        <v>-5.148811218389393E-3</v>
      </c>
      <c r="I415" s="86">
        <v>477.3458213946821</v>
      </c>
      <c r="J415" s="86">
        <v>477.45371388929527</v>
      </c>
      <c r="K415" s="86">
        <v>470.1562578900012</v>
      </c>
      <c r="L415" s="86">
        <v>471.68636963178869</v>
      </c>
      <c r="M415" s="86">
        <v>1155804.2146216356</v>
      </c>
      <c r="N415" s="86" t="s">
        <v>463</v>
      </c>
      <c r="O415" s="25">
        <f t="shared" si="12"/>
        <v>1.1998336452484937E-2</v>
      </c>
    </row>
    <row r="416" spans="1:15">
      <c r="A416" s="86">
        <v>607.58356564258384</v>
      </c>
      <c r="B416" s="86">
        <v>608.03819580751906</v>
      </c>
      <c r="C416" s="86">
        <v>603.38317824916044</v>
      </c>
      <c r="D416" s="86">
        <v>603.39306151361552</v>
      </c>
      <c r="E416" s="86">
        <v>11688027.829734767</v>
      </c>
      <c r="F416" s="86" t="s">
        <v>464</v>
      </c>
      <c r="G416" s="25">
        <f t="shared" si="11"/>
        <v>6.9448994299941003E-3</v>
      </c>
      <c r="I416" s="86">
        <v>471.18614079312738</v>
      </c>
      <c r="J416" s="86">
        <v>472.83836722199982</v>
      </c>
      <c r="K416" s="86">
        <v>463.94753524544058</v>
      </c>
      <c r="L416" s="86">
        <v>464.59489021311992</v>
      </c>
      <c r="M416" s="86">
        <v>1412621.6151213851</v>
      </c>
      <c r="N416" s="86" t="s">
        <v>464</v>
      </c>
      <c r="O416" s="25">
        <f t="shared" si="12"/>
        <v>1.4187092279434932E-2</v>
      </c>
    </row>
    <row r="417" spans="1:15">
      <c r="A417" s="86">
        <v>604.63835283495985</v>
      </c>
      <c r="B417" s="86">
        <v>605.51796337146504</v>
      </c>
      <c r="C417" s="86">
        <v>601.7425563496115</v>
      </c>
      <c r="D417" s="86">
        <v>603.4918941581667</v>
      </c>
      <c r="E417" s="86">
        <v>6137299.0954030668</v>
      </c>
      <c r="F417" s="86" t="s">
        <v>465</v>
      </c>
      <c r="G417" s="25">
        <f t="shared" si="11"/>
        <v>1.899708493007024E-3</v>
      </c>
      <c r="I417" s="86">
        <v>463.87887638523216</v>
      </c>
      <c r="J417" s="86">
        <v>467.86109027732005</v>
      </c>
      <c r="K417" s="86">
        <v>462.34876464344467</v>
      </c>
      <c r="L417" s="86">
        <v>465.14416109478719</v>
      </c>
      <c r="M417" s="86">
        <v>2894676.5122041847</v>
      </c>
      <c r="N417" s="86" t="s">
        <v>465</v>
      </c>
      <c r="O417" s="25">
        <f t="shared" si="12"/>
        <v>-2.7201990595281389E-3</v>
      </c>
    </row>
    <row r="418" spans="1:15">
      <c r="A418" s="86">
        <v>601.8315057297076</v>
      </c>
      <c r="B418" s="86">
        <v>604.17383940556954</v>
      </c>
      <c r="C418" s="86">
        <v>599.98333527660134</v>
      </c>
      <c r="D418" s="86">
        <v>601.44605841595808</v>
      </c>
      <c r="E418" s="86">
        <v>11159501.043496931</v>
      </c>
      <c r="F418" s="86" t="s">
        <v>466</v>
      </c>
      <c r="G418" s="25">
        <f t="shared" si="11"/>
        <v>6.4086763618442788E-4</v>
      </c>
      <c r="I418" s="86">
        <v>464.54584817011386</v>
      </c>
      <c r="J418" s="86">
        <v>465.27167040660282</v>
      </c>
      <c r="K418" s="86">
        <v>459.02371412763733</v>
      </c>
      <c r="L418" s="86">
        <v>462.09374601981347</v>
      </c>
      <c r="M418" s="86">
        <v>1107977.9036395943</v>
      </c>
      <c r="N418" s="86" t="s">
        <v>466</v>
      </c>
      <c r="O418" s="25">
        <f t="shared" si="12"/>
        <v>5.3065036508743724E-3</v>
      </c>
    </row>
    <row r="419" spans="1:15">
      <c r="A419" s="86">
        <v>599.01477536000016</v>
      </c>
      <c r="B419" s="86">
        <v>601.22862659794566</v>
      </c>
      <c r="C419" s="86">
        <v>594.5277732973783</v>
      </c>
      <c r="D419" s="86">
        <v>599.75602019413361</v>
      </c>
      <c r="E419" s="86">
        <v>11750801.62303127</v>
      </c>
      <c r="F419" s="86" t="s">
        <v>467</v>
      </c>
      <c r="G419" s="25">
        <f t="shared" si="11"/>
        <v>-1.2359106189439029E-3</v>
      </c>
      <c r="I419" s="86">
        <v>464.0554277400538</v>
      </c>
      <c r="J419" s="86">
        <v>468.0459787794527</v>
      </c>
      <c r="K419" s="86">
        <v>463.57971992289549</v>
      </c>
      <c r="L419" s="86">
        <v>465.83074969687129</v>
      </c>
      <c r="M419" s="86">
        <v>1036577.9417829685</v>
      </c>
      <c r="N419" s="86" t="s">
        <v>467</v>
      </c>
      <c r="O419" s="25">
        <f t="shared" si="12"/>
        <v>-3.8110879498031158E-3</v>
      </c>
    </row>
    <row r="420" spans="1:15">
      <c r="A420" s="86">
        <v>599.70660387185796</v>
      </c>
      <c r="B420" s="86">
        <v>601.31757597804153</v>
      </c>
      <c r="C420" s="86">
        <v>598.98601506043565</v>
      </c>
      <c r="D420" s="86">
        <v>601.06061110220867</v>
      </c>
      <c r="E420" s="86">
        <v>6442357.2079015095</v>
      </c>
      <c r="F420" s="86" t="s">
        <v>468</v>
      </c>
      <c r="G420" s="25">
        <f t="shared" si="11"/>
        <v>-2.2526966587741448E-3</v>
      </c>
      <c r="I420" s="86">
        <v>465.23243677219796</v>
      </c>
      <c r="J420" s="86">
        <v>469.27350111589305</v>
      </c>
      <c r="K420" s="86">
        <v>462.62830428857899</v>
      </c>
      <c r="L420" s="86">
        <v>464.51642294431025</v>
      </c>
      <c r="M420" s="86">
        <v>1154513.4853591486</v>
      </c>
      <c r="N420" s="86" t="s">
        <v>468</v>
      </c>
      <c r="O420" s="25">
        <f t="shared" si="12"/>
        <v>1.5414176819612546E-3</v>
      </c>
    </row>
    <row r="421" spans="1:15">
      <c r="A421" s="86">
        <v>600.49726502826718</v>
      </c>
      <c r="B421" s="86">
        <v>600.67516378845914</v>
      </c>
      <c r="C421" s="86">
        <v>599.12349126900642</v>
      </c>
      <c r="D421" s="86">
        <v>599.39033940929448</v>
      </c>
      <c r="E421" s="86">
        <v>7535095.3460995434</v>
      </c>
      <c r="F421" s="86" t="s">
        <v>469</v>
      </c>
      <c r="G421" s="25">
        <f t="shared" si="11"/>
        <v>1.8467525186736111E-3</v>
      </c>
      <c r="I421" s="86">
        <v>464.18293705186943</v>
      </c>
      <c r="J421" s="86">
        <v>465.20301154639441</v>
      </c>
      <c r="K421" s="86">
        <v>460.0045549877575</v>
      </c>
      <c r="L421" s="86">
        <v>462.43704032085554</v>
      </c>
      <c r="M421" s="86">
        <v>1160342.1577079939</v>
      </c>
      <c r="N421" s="86" t="s">
        <v>469</v>
      </c>
      <c r="O421" s="25">
        <f t="shared" si="12"/>
        <v>3.775425795914833E-3</v>
      </c>
    </row>
    <row r="422" spans="1:15">
      <c r="A422" s="86">
        <v>597.38403672490631</v>
      </c>
      <c r="B422" s="86">
        <v>598.90605945099378</v>
      </c>
      <c r="C422" s="86">
        <v>596.89975676660572</v>
      </c>
      <c r="D422" s="86">
        <v>597.53228569173302</v>
      </c>
      <c r="E422" s="86">
        <v>8204467.2960302038</v>
      </c>
      <c r="F422" s="86" t="s">
        <v>470</v>
      </c>
      <c r="G422" s="25">
        <f t="shared" si="11"/>
        <v>-2.4810201955050015E-4</v>
      </c>
      <c r="I422" s="86">
        <v>462.28010578323631</v>
      </c>
      <c r="J422" s="86">
        <v>463.91811001963697</v>
      </c>
      <c r="K422" s="86">
        <v>458.21942462233881</v>
      </c>
      <c r="L422" s="86">
        <v>459.94570453615029</v>
      </c>
      <c r="M422" s="86">
        <v>1060671.5546827253</v>
      </c>
      <c r="N422" s="86" t="s">
        <v>470</v>
      </c>
      <c r="O422" s="25">
        <f t="shared" si="12"/>
        <v>5.0753843857291869E-3</v>
      </c>
    </row>
    <row r="423" spans="1:15">
      <c r="A423" s="86">
        <v>597.51251916282285</v>
      </c>
      <c r="B423" s="86">
        <v>598.16481461686033</v>
      </c>
      <c r="C423" s="86">
        <v>593.87547784334083</v>
      </c>
      <c r="D423" s="86">
        <v>594.40917412391696</v>
      </c>
      <c r="E423" s="86">
        <v>9194134.2268729694</v>
      </c>
      <c r="F423" s="86" t="s">
        <v>471</v>
      </c>
      <c r="G423" s="25">
        <f t="shared" si="11"/>
        <v>5.2208902116623879E-3</v>
      </c>
      <c r="I423" s="86">
        <v>461.71121808436664</v>
      </c>
      <c r="J423" s="86">
        <v>463.34922232076724</v>
      </c>
      <c r="K423" s="86">
        <v>454.1195098270365</v>
      </c>
      <c r="L423" s="86">
        <v>454.96303296673983</v>
      </c>
      <c r="M423" s="86">
        <v>1627625.9125302057</v>
      </c>
      <c r="N423" s="86" t="s">
        <v>471</v>
      </c>
      <c r="O423" s="25">
        <f t="shared" si="12"/>
        <v>1.4832381157702024E-2</v>
      </c>
    </row>
    <row r="424" spans="1:15">
      <c r="A424" s="86">
        <v>592.67960284427204</v>
      </c>
      <c r="B424" s="86">
        <v>594.72543858648066</v>
      </c>
      <c r="C424" s="86">
        <v>591.17734664709474</v>
      </c>
      <c r="D424" s="86">
        <v>593.90512763670608</v>
      </c>
      <c r="E424" s="86">
        <v>21796803.169476327</v>
      </c>
      <c r="F424" s="86" t="s">
        <v>472</v>
      </c>
      <c r="G424" s="25">
        <f t="shared" si="11"/>
        <v>-2.0635026293015502E-3</v>
      </c>
      <c r="I424" s="86">
        <v>454.98264978394224</v>
      </c>
      <c r="J424" s="86">
        <v>455.48287862260349</v>
      </c>
      <c r="K424" s="86">
        <v>446.97898836536166</v>
      </c>
      <c r="L424" s="86">
        <v>447.46940879542171</v>
      </c>
      <c r="M424" s="86">
        <v>1096345.0277430883</v>
      </c>
      <c r="N424" s="86" t="s">
        <v>472</v>
      </c>
      <c r="O424" s="25">
        <f t="shared" si="12"/>
        <v>1.6790513140878094E-2</v>
      </c>
    </row>
    <row r="425" spans="1:15">
      <c r="A425" s="86">
        <v>590.96979809353741</v>
      </c>
      <c r="B425" s="86">
        <v>591.38489520065207</v>
      </c>
      <c r="C425" s="86">
        <v>588.06411834373387</v>
      </c>
      <c r="D425" s="86">
        <v>589.64544065655207</v>
      </c>
      <c r="E425" s="86">
        <v>7872008.3180353548</v>
      </c>
      <c r="F425" s="86" t="s">
        <v>473</v>
      </c>
      <c r="G425" s="25">
        <f t="shared" si="11"/>
        <v>2.2460233653476269E-3</v>
      </c>
      <c r="I425" s="86">
        <v>448.3031235265239</v>
      </c>
      <c r="J425" s="86">
        <v>449.09760462322123</v>
      </c>
      <c r="K425" s="86">
        <v>443.75202193556635</v>
      </c>
      <c r="L425" s="86">
        <v>448.84258599959003</v>
      </c>
      <c r="M425" s="86">
        <v>1012385.4341450904</v>
      </c>
      <c r="N425" s="86" t="s">
        <v>473</v>
      </c>
      <c r="O425" s="25">
        <f t="shared" si="12"/>
        <v>-1.2018968116955797E-3</v>
      </c>
    </row>
    <row r="426" spans="1:15">
      <c r="A426" s="86">
        <v>589.5367247475458</v>
      </c>
      <c r="B426" s="86">
        <v>590.43610181296117</v>
      </c>
      <c r="C426" s="86">
        <v>588.08388487264403</v>
      </c>
      <c r="D426" s="86">
        <v>589.34894272289864</v>
      </c>
      <c r="E426" s="86">
        <v>9559890.9074128233</v>
      </c>
      <c r="F426" s="86" t="s">
        <v>474</v>
      </c>
      <c r="G426" s="25">
        <f t="shared" si="11"/>
        <v>3.1862621790668122E-4</v>
      </c>
      <c r="I426" s="86">
        <v>450.31384728977025</v>
      </c>
      <c r="J426" s="86">
        <v>454.05575517112868</v>
      </c>
      <c r="K426" s="86">
        <v>444.09041203230777</v>
      </c>
      <c r="L426" s="86">
        <v>454.05575517112868</v>
      </c>
      <c r="M426" s="86">
        <v>1500767.4127887129</v>
      </c>
      <c r="N426" s="86" t="s">
        <v>474</v>
      </c>
      <c r="O426" s="25">
        <f t="shared" si="12"/>
        <v>-8.2410757682129798E-3</v>
      </c>
    </row>
    <row r="427" spans="1:15">
      <c r="A427" s="86">
        <v>588.01470202145833</v>
      </c>
      <c r="B427" s="86">
        <v>592.60053672863114</v>
      </c>
      <c r="C427" s="86">
        <v>584.54567619771331</v>
      </c>
      <c r="D427" s="86">
        <v>591.91859148122819</v>
      </c>
      <c r="E427" s="86">
        <v>6700346.8642119467</v>
      </c>
      <c r="F427" s="86" t="s">
        <v>475</v>
      </c>
      <c r="G427" s="25">
        <f t="shared" si="11"/>
        <v>-6.5953148219262125E-3</v>
      </c>
      <c r="I427" s="86">
        <v>455.01207500974584</v>
      </c>
      <c r="J427" s="86">
        <v>455.09054227855546</v>
      </c>
      <c r="K427" s="86">
        <v>448.01377547278844</v>
      </c>
      <c r="L427" s="86">
        <v>448.01377547278844</v>
      </c>
      <c r="M427" s="86">
        <v>1488921.4544152245</v>
      </c>
      <c r="N427" s="86" t="s">
        <v>475</v>
      </c>
      <c r="O427" s="25">
        <f t="shared" si="12"/>
        <v>1.562072400468506E-2</v>
      </c>
    </row>
    <row r="428" spans="1:15">
      <c r="A428" s="86">
        <v>589.6256741276419</v>
      </c>
      <c r="B428" s="86">
        <v>589.80357288783387</v>
      </c>
      <c r="C428" s="86">
        <v>584.69392516454002</v>
      </c>
      <c r="D428" s="86">
        <v>585.55376917213493</v>
      </c>
      <c r="E428" s="86">
        <v>8107115.8587222453</v>
      </c>
      <c r="F428" s="86" t="s">
        <v>476</v>
      </c>
      <c r="G428" s="25">
        <f t="shared" si="11"/>
        <v>6.9539385960470934E-3</v>
      </c>
      <c r="I428" s="86">
        <v>448.09714694589866</v>
      </c>
      <c r="J428" s="86">
        <v>448.41101602113713</v>
      </c>
      <c r="K428" s="86">
        <v>440.88796662401541</v>
      </c>
      <c r="L428" s="86">
        <v>442.31999427979088</v>
      </c>
      <c r="M428" s="86">
        <v>1468412.5208890096</v>
      </c>
      <c r="N428" s="86" t="s">
        <v>476</v>
      </c>
      <c r="O428" s="25">
        <f t="shared" si="12"/>
        <v>1.3061025368103607E-2</v>
      </c>
    </row>
    <row r="429" spans="1:15">
      <c r="A429" s="86">
        <v>584.81252433800137</v>
      </c>
      <c r="B429" s="86">
        <v>585.31657082521224</v>
      </c>
      <c r="C429" s="86">
        <v>581.90684458819783</v>
      </c>
      <c r="D429" s="86">
        <v>583.91314727258589</v>
      </c>
      <c r="E429" s="86">
        <v>6748655.8012204012</v>
      </c>
      <c r="F429" s="86" t="s">
        <v>477</v>
      </c>
      <c r="G429" s="25">
        <f t="shared" si="11"/>
        <v>1.5402582894672445E-3</v>
      </c>
      <c r="I429" s="86">
        <v>440.45639664556256</v>
      </c>
      <c r="J429" s="86">
        <v>443.34006877431585</v>
      </c>
      <c r="K429" s="86">
        <v>438.13180380707774</v>
      </c>
      <c r="L429" s="86">
        <v>442.4278867744041</v>
      </c>
      <c r="M429" s="86">
        <v>1552308.9034172806</v>
      </c>
      <c r="N429" s="86" t="s">
        <v>477</v>
      </c>
      <c r="O429" s="25">
        <f t="shared" si="12"/>
        <v>-4.456071119781857E-3</v>
      </c>
    </row>
    <row r="430" spans="1:15">
      <c r="A430" s="86">
        <v>581.83766173701213</v>
      </c>
      <c r="B430" s="86">
        <v>581.926611117108</v>
      </c>
      <c r="C430" s="86">
        <v>576.8564964516346</v>
      </c>
      <c r="D430" s="86">
        <v>579.21859665640682</v>
      </c>
      <c r="E430" s="86">
        <v>11194339.734858856</v>
      </c>
      <c r="F430" s="86" t="s">
        <v>478</v>
      </c>
      <c r="G430" s="25">
        <f t="shared" si="11"/>
        <v>4.5217213254618027E-3</v>
      </c>
      <c r="I430" s="86">
        <v>443.83048920437591</v>
      </c>
      <c r="J430" s="86">
        <v>447.03783881696887</v>
      </c>
      <c r="K430" s="86">
        <v>439.01465866527195</v>
      </c>
      <c r="L430" s="86">
        <v>445.10558232253214</v>
      </c>
      <c r="M430" s="86">
        <v>1347673.2605104288</v>
      </c>
      <c r="N430" s="86" t="s">
        <v>478</v>
      </c>
      <c r="O430" s="25">
        <f t="shared" si="12"/>
        <v>-2.8646981048920939E-3</v>
      </c>
    </row>
    <row r="431" spans="1:15">
      <c r="A431" s="86">
        <v>586.15664830389687</v>
      </c>
      <c r="B431" s="86">
        <v>588.59781462430999</v>
      </c>
      <c r="C431" s="86">
        <v>584.3430692763834</v>
      </c>
      <c r="D431" s="86">
        <v>588.29143342620148</v>
      </c>
      <c r="E431" s="86">
        <v>7569104.3520840062</v>
      </c>
      <c r="F431" s="86" t="s">
        <v>479</v>
      </c>
      <c r="G431" s="25">
        <f t="shared" si="11"/>
        <v>-3.6287883878771687E-3</v>
      </c>
      <c r="I431" s="86">
        <v>443.66374624598626</v>
      </c>
      <c r="J431" s="86">
        <v>447.8216028324058</v>
      </c>
      <c r="K431" s="86">
        <v>442.92857488234529</v>
      </c>
      <c r="L431" s="86">
        <v>445.50410899735226</v>
      </c>
      <c r="M431" s="86">
        <v>1387583.229504341</v>
      </c>
      <c r="N431" s="86" t="s">
        <v>479</v>
      </c>
      <c r="O431" s="25">
        <f t="shared" si="12"/>
        <v>-4.1309669522642256E-3</v>
      </c>
    </row>
    <row r="432" spans="1:15">
      <c r="A432" s="86">
        <v>589.55649127645597</v>
      </c>
      <c r="B432" s="86">
        <v>590.10007082148741</v>
      </c>
      <c r="C432" s="86">
        <v>586.34443032854404</v>
      </c>
      <c r="D432" s="86">
        <v>588.1234179304646</v>
      </c>
      <c r="E432" s="86">
        <v>5097488.8134185066</v>
      </c>
      <c r="F432" s="86" t="s">
        <v>480</v>
      </c>
      <c r="G432" s="25">
        <f t="shared" si="11"/>
        <v>2.4366881207249502E-3</v>
      </c>
      <c r="I432" s="86">
        <v>444.19930154400282</v>
      </c>
      <c r="J432" s="86">
        <v>444.55958419903214</v>
      </c>
      <c r="K432" s="86">
        <v>438.53215275408195</v>
      </c>
      <c r="L432" s="86">
        <v>441.94996929233321</v>
      </c>
      <c r="M432" s="86">
        <v>1414920.1824842121</v>
      </c>
      <c r="N432" s="86" t="s">
        <v>480</v>
      </c>
      <c r="O432" s="25">
        <f t="shared" si="12"/>
        <v>5.0895630907528133E-3</v>
      </c>
    </row>
    <row r="433" spans="1:15">
      <c r="A433" s="86">
        <v>587.4810057408821</v>
      </c>
      <c r="B433" s="86">
        <v>588.1926007816503</v>
      </c>
      <c r="C433" s="86">
        <v>585.52411937876957</v>
      </c>
      <c r="D433" s="86">
        <v>585.60318549441047</v>
      </c>
      <c r="E433" s="86">
        <v>6161490.4950247062</v>
      </c>
      <c r="F433" s="86" t="s">
        <v>481</v>
      </c>
      <c r="G433" s="25">
        <f t="shared" si="11"/>
        <v>3.20664281374472E-3</v>
      </c>
      <c r="I433" s="86">
        <v>442.53421143562406</v>
      </c>
      <c r="J433" s="86">
        <v>447.40289596304746</v>
      </c>
      <c r="K433" s="86">
        <v>442.07655509004621</v>
      </c>
      <c r="L433" s="86">
        <v>444.87118000878723</v>
      </c>
      <c r="M433" s="86">
        <v>1290087.6950686346</v>
      </c>
      <c r="N433" s="86" t="s">
        <v>481</v>
      </c>
      <c r="O433" s="25">
        <f t="shared" si="12"/>
        <v>-5.2531354652306517E-3</v>
      </c>
    </row>
    <row r="434" spans="1:15">
      <c r="A434" s="86">
        <v>586.13688177498659</v>
      </c>
      <c r="B434" s="86">
        <v>586.50256255982583</v>
      </c>
      <c r="C434" s="86">
        <v>582.90999593039191</v>
      </c>
      <c r="D434" s="86">
        <v>583.48816690101603</v>
      </c>
      <c r="E434" s="86">
        <v>4802918.1264534742</v>
      </c>
      <c r="F434" s="86" t="s">
        <v>482</v>
      </c>
      <c r="G434" s="25">
        <f t="shared" si="11"/>
        <v>4.5394491683323768E-3</v>
      </c>
      <c r="I434" s="86">
        <v>443.49821097205381</v>
      </c>
      <c r="J434" s="86">
        <v>444.38431155604491</v>
      </c>
      <c r="K434" s="86">
        <v>435.26039675165345</v>
      </c>
      <c r="L434" s="86">
        <v>438.68795065895949</v>
      </c>
      <c r="M434" s="86">
        <v>2099768.4163796557</v>
      </c>
      <c r="N434" s="86" t="s">
        <v>482</v>
      </c>
      <c r="O434" s="25">
        <f t="shared" si="12"/>
        <v>1.0965106987480988E-2</v>
      </c>
    </row>
    <row r="435" spans="1:15">
      <c r="A435" s="86">
        <v>583.80443136357974</v>
      </c>
      <c r="B435" s="86">
        <v>586.30479843807905</v>
      </c>
      <c r="C435" s="86">
        <v>583.65618239675302</v>
      </c>
      <c r="D435" s="86">
        <v>585.13867206502005</v>
      </c>
      <c r="E435" s="86">
        <v>6559608.9525313303</v>
      </c>
      <c r="F435" s="86" t="s">
        <v>483</v>
      </c>
      <c r="G435" s="25">
        <f t="shared" si="11"/>
        <v>-2.2802128198630145E-3</v>
      </c>
      <c r="I435" s="86">
        <v>435.9614873236024</v>
      </c>
      <c r="J435" s="86">
        <v>436.96443633625159</v>
      </c>
      <c r="K435" s="86">
        <v>433.41029663123254</v>
      </c>
      <c r="L435" s="86">
        <v>435.32855833503737</v>
      </c>
      <c r="M435" s="86">
        <v>1011760.9740894194</v>
      </c>
      <c r="N435" s="86" t="s">
        <v>483</v>
      </c>
      <c r="O435" s="25">
        <f t="shared" si="12"/>
        <v>1.4539110206455153E-3</v>
      </c>
    </row>
    <row r="436" spans="1:15">
      <c r="A436" s="86">
        <v>586.28513074181342</v>
      </c>
      <c r="B436" s="86">
        <v>587.38217309633103</v>
      </c>
      <c r="C436" s="86">
        <v>579.0011648383944</v>
      </c>
      <c r="D436" s="86">
        <v>579.42614520996426</v>
      </c>
      <c r="E436" s="86">
        <v>6443763.6257974515</v>
      </c>
      <c r="F436" s="86" t="s">
        <v>484</v>
      </c>
      <c r="G436" s="25">
        <f t="shared" si="11"/>
        <v>1.1837549252051272E-2</v>
      </c>
      <c r="I436" s="86">
        <v>434.48140722726566</v>
      </c>
      <c r="J436" s="86">
        <v>440.67437394614825</v>
      </c>
      <c r="K436" s="86">
        <v>433.17669714760672</v>
      </c>
      <c r="L436" s="86">
        <v>438.17187009905263</v>
      </c>
      <c r="M436" s="86">
        <v>1653771.1479657278</v>
      </c>
      <c r="N436" s="86" t="s">
        <v>484</v>
      </c>
      <c r="O436" s="25">
        <f t="shared" si="12"/>
        <v>-8.4224093868753291E-3</v>
      </c>
    </row>
    <row r="437" spans="1:15">
      <c r="A437" s="86">
        <v>577.44949231894145</v>
      </c>
      <c r="B437" s="86">
        <v>579.61392723461142</v>
      </c>
      <c r="C437" s="86">
        <v>575.84840347721297</v>
      </c>
      <c r="D437" s="86">
        <v>578.10178777297892</v>
      </c>
      <c r="E437" s="86">
        <v>4864057.8442809507</v>
      </c>
      <c r="F437" s="86" t="s">
        <v>485</v>
      </c>
      <c r="G437" s="25">
        <f t="shared" si="11"/>
        <v>-1.1283401432649054E-3</v>
      </c>
      <c r="I437" s="86">
        <v>435.45514413275038</v>
      </c>
      <c r="J437" s="86">
        <v>436.71126474082564</v>
      </c>
      <c r="K437" s="86">
        <v>433.02080186903862</v>
      </c>
      <c r="L437" s="86">
        <v>433.30318557162923</v>
      </c>
      <c r="M437" s="86">
        <v>1053968.4736393546</v>
      </c>
      <c r="N437" s="86" t="s">
        <v>485</v>
      </c>
      <c r="O437" s="25">
        <f t="shared" si="12"/>
        <v>4.9664037394099303E-3</v>
      </c>
    </row>
    <row r="438" spans="1:15">
      <c r="A438" s="86">
        <v>579.73252640807289</v>
      </c>
      <c r="B438" s="86">
        <v>581.13594996069901</v>
      </c>
      <c r="C438" s="86">
        <v>575.05774232080398</v>
      </c>
      <c r="D438" s="86">
        <v>580.94816793605173</v>
      </c>
      <c r="E438" s="86">
        <v>7137587.0108887851</v>
      </c>
      <c r="F438" s="86" t="s">
        <v>486</v>
      </c>
      <c r="G438" s="25">
        <f t="shared" si="11"/>
        <v>-2.0925128868168885E-3</v>
      </c>
      <c r="I438" s="86">
        <v>434.28665984616873</v>
      </c>
      <c r="J438" s="86">
        <v>435.33829570409216</v>
      </c>
      <c r="K438" s="86">
        <v>428.58056158002847</v>
      </c>
      <c r="L438" s="86">
        <v>428.58056158002847</v>
      </c>
      <c r="M438" s="86">
        <v>1311263.8463307009</v>
      </c>
      <c r="N438" s="86" t="s">
        <v>486</v>
      </c>
      <c r="O438" s="25">
        <f t="shared" si="12"/>
        <v>1.3313945562775542E-2</v>
      </c>
    </row>
    <row r="439" spans="1:15">
      <c r="A439" s="86">
        <v>581.26443239861544</v>
      </c>
      <c r="B439" s="86">
        <v>585.20785491620597</v>
      </c>
      <c r="C439" s="86">
        <v>580.08832392845693</v>
      </c>
      <c r="D439" s="86">
        <v>584.34801090861095</v>
      </c>
      <c r="E439" s="86">
        <v>6768609.7345483676</v>
      </c>
      <c r="F439" s="86" t="s">
        <v>487</v>
      </c>
      <c r="G439" s="25">
        <f t="shared" si="11"/>
        <v>-5.2769556025369369E-3</v>
      </c>
      <c r="I439" s="86">
        <v>429.5153490092938</v>
      </c>
      <c r="J439" s="86">
        <v>432.82605448794169</v>
      </c>
      <c r="K439" s="86">
        <v>427.0810067455821</v>
      </c>
      <c r="L439" s="86">
        <v>428.30791524649283</v>
      </c>
      <c r="M439" s="86">
        <v>1207601.3483485007</v>
      </c>
      <c r="N439" s="86" t="s">
        <v>487</v>
      </c>
      <c r="O439" s="25">
        <f t="shared" si="12"/>
        <v>2.8190787977993015E-3</v>
      </c>
    </row>
    <row r="440" spans="1:15">
      <c r="A440" s="86">
        <v>584.45672681761732</v>
      </c>
      <c r="B440" s="86">
        <v>585.10902227165479</v>
      </c>
      <c r="C440" s="86">
        <v>583.45851710765078</v>
      </c>
      <c r="D440" s="86">
        <v>584.081162768323</v>
      </c>
      <c r="E440" s="86">
        <v>5374482.3121185713</v>
      </c>
      <c r="F440" s="86" t="s">
        <v>488</v>
      </c>
      <c r="G440" s="25">
        <f t="shared" si="11"/>
        <v>6.4299976310544515E-4</v>
      </c>
      <c r="I440" s="86">
        <v>429.0674300327708</v>
      </c>
      <c r="J440" s="86">
        <v>432.11522654693789</v>
      </c>
      <c r="K440" s="86">
        <v>427.58734993643412</v>
      </c>
      <c r="L440" s="86">
        <v>428.97979371127724</v>
      </c>
      <c r="M440" s="86">
        <v>1185530.7049550444</v>
      </c>
      <c r="N440" s="86" t="s">
        <v>488</v>
      </c>
      <c r="O440" s="25">
        <f t="shared" si="12"/>
        <v>2.0429009193034808E-4</v>
      </c>
    </row>
    <row r="441" spans="1:15">
      <c r="A441" s="86">
        <v>584.66427537117465</v>
      </c>
      <c r="B441" s="86">
        <v>587.01649231149179</v>
      </c>
      <c r="C441" s="86">
        <v>583.76489830575929</v>
      </c>
      <c r="D441" s="86">
        <v>586.92754293139581</v>
      </c>
      <c r="E441" s="86">
        <v>7281313.8135511372</v>
      </c>
      <c r="F441" s="86" t="s">
        <v>489</v>
      </c>
      <c r="G441" s="25">
        <f t="shared" si="11"/>
        <v>-3.8561277068670519E-3</v>
      </c>
      <c r="I441" s="86">
        <v>426.068320363878</v>
      </c>
      <c r="J441" s="86">
        <v>429.83181350357631</v>
      </c>
      <c r="K441" s="86">
        <v>424.99720976784482</v>
      </c>
      <c r="L441" s="86">
        <v>426.34096669741371</v>
      </c>
      <c r="M441" s="86">
        <v>1542165.0258316321</v>
      </c>
      <c r="N441" s="86" t="s">
        <v>489</v>
      </c>
      <c r="O441" s="25">
        <f t="shared" si="12"/>
        <v>-6.3950301479986926E-4</v>
      </c>
    </row>
    <row r="442" spans="1:15">
      <c r="A442" s="86">
        <v>585.92933322142926</v>
      </c>
      <c r="B442" s="86">
        <v>586.58162867546673</v>
      </c>
      <c r="C442" s="86">
        <v>583.60676607447749</v>
      </c>
      <c r="D442" s="86">
        <v>584.02186318159215</v>
      </c>
      <c r="E442" s="86">
        <v>6310329.9808728099</v>
      </c>
      <c r="F442" s="86" t="s">
        <v>490</v>
      </c>
      <c r="G442" s="25">
        <f t="shared" si="11"/>
        <v>3.2660935490422816E-3</v>
      </c>
      <c r="I442" s="86">
        <v>425.83462350656168</v>
      </c>
      <c r="J442" s="86">
        <v>432.2418123446509</v>
      </c>
      <c r="K442" s="86">
        <v>423.41975598095968</v>
      </c>
      <c r="L442" s="86">
        <v>424.58824026754132</v>
      </c>
      <c r="M442" s="86">
        <v>1780377.2150723618</v>
      </c>
      <c r="N442" s="86" t="s">
        <v>490</v>
      </c>
      <c r="O442" s="25">
        <f t="shared" si="12"/>
        <v>2.9355105036235063E-3</v>
      </c>
    </row>
    <row r="443" spans="1:15">
      <c r="A443" s="86">
        <v>585.91944995697418</v>
      </c>
      <c r="B443" s="86">
        <v>587.09555842713269</v>
      </c>
      <c r="C443" s="86">
        <v>583.91314727258589</v>
      </c>
      <c r="D443" s="86">
        <v>585.93921648588434</v>
      </c>
      <c r="E443" s="86">
        <v>5456671.7550591268</v>
      </c>
      <c r="F443" s="86" t="s">
        <v>491</v>
      </c>
      <c r="G443" s="25">
        <f t="shared" si="11"/>
        <v>-3.3734777181715359E-5</v>
      </c>
      <c r="I443" s="86">
        <v>430.94674226035625</v>
      </c>
      <c r="J443" s="86">
        <v>431.8036307371828</v>
      </c>
      <c r="K443" s="86">
        <v>420.0895757642021</v>
      </c>
      <c r="L443" s="86">
        <v>421.16068636023522</v>
      </c>
      <c r="M443" s="86">
        <v>1941568.5996403249</v>
      </c>
      <c r="N443" s="86" t="s">
        <v>491</v>
      </c>
      <c r="O443" s="25">
        <f t="shared" si="12"/>
        <v>2.3235919726255272E-2</v>
      </c>
    </row>
    <row r="444" spans="1:15">
      <c r="A444" s="86">
        <v>583.88349747922064</v>
      </c>
      <c r="B444" s="86">
        <v>584.06139623941272</v>
      </c>
      <c r="C444" s="86">
        <v>578.60089262796225</v>
      </c>
      <c r="D444" s="86">
        <v>579.90054190380977</v>
      </c>
      <c r="E444" s="86">
        <v>5943628.2684517978</v>
      </c>
      <c r="F444" s="86" t="s">
        <v>492</v>
      </c>
      <c r="G444" s="25">
        <f t="shared" si="11"/>
        <v>6.8683425649764818E-3</v>
      </c>
      <c r="I444" s="86">
        <v>420.22589893096989</v>
      </c>
      <c r="J444" s="86">
        <v>420.25511103813443</v>
      </c>
      <c r="K444" s="86">
        <v>413.83818483099037</v>
      </c>
      <c r="L444" s="86">
        <v>414.73402278403631</v>
      </c>
      <c r="M444" s="86">
        <v>1533667.8640691522</v>
      </c>
      <c r="N444" s="86" t="s">
        <v>492</v>
      </c>
      <c r="O444" s="25">
        <f t="shared" si="12"/>
        <v>1.3241923365890251E-2</v>
      </c>
    </row>
    <row r="445" spans="1:15">
      <c r="A445" s="86">
        <v>577.71634045922951</v>
      </c>
      <c r="B445" s="86">
        <v>580.50342103557171</v>
      </c>
      <c r="C445" s="86">
        <v>576.6291813691671</v>
      </c>
      <c r="D445" s="86">
        <v>579.18894686304145</v>
      </c>
      <c r="E445" s="86">
        <v>5437423.0543020032</v>
      </c>
      <c r="F445" s="86" t="s">
        <v>493</v>
      </c>
      <c r="G445" s="25">
        <f t="shared" si="11"/>
        <v>-2.5425319522890399E-3</v>
      </c>
      <c r="I445" s="86">
        <v>415.0650933319011</v>
      </c>
      <c r="J445" s="86">
        <v>416.58412290445722</v>
      </c>
      <c r="K445" s="86">
        <v>412.98129635416387</v>
      </c>
      <c r="L445" s="86">
        <v>414.81192173647509</v>
      </c>
      <c r="M445" s="86">
        <v>1501504.1452826995</v>
      </c>
      <c r="N445" s="86" t="s">
        <v>493</v>
      </c>
      <c r="O445" s="25">
        <f t="shared" si="12"/>
        <v>6.1032863849752594E-4</v>
      </c>
    </row>
    <row r="446" spans="1:15">
      <c r="A446" s="86">
        <v>578.90233219384322</v>
      </c>
      <c r="B446" s="86">
        <v>579.32731256541308</v>
      </c>
      <c r="C446" s="86">
        <v>575.79898715493744</v>
      </c>
      <c r="D446" s="86">
        <v>576.12513488195611</v>
      </c>
      <c r="E446" s="86">
        <v>4393630.282505624</v>
      </c>
      <c r="F446" s="86" t="s">
        <v>494</v>
      </c>
      <c r="G446" s="25">
        <f t="shared" si="11"/>
        <v>4.8204758718888296E-3</v>
      </c>
      <c r="I446" s="86">
        <v>414.45163908144576</v>
      </c>
      <c r="J446" s="86">
        <v>422.2025848491038</v>
      </c>
      <c r="K446" s="86">
        <v>412.7768116040121</v>
      </c>
      <c r="L446" s="86">
        <v>419.86561627594057</v>
      </c>
      <c r="M446" s="86">
        <v>1517912.0681107321</v>
      </c>
      <c r="N446" s="86" t="s">
        <v>494</v>
      </c>
      <c r="O446" s="25">
        <f t="shared" si="12"/>
        <v>-1.2894547647208765E-2</v>
      </c>
    </row>
    <row r="447" spans="1:15">
      <c r="A447" s="86">
        <v>574.50427951131746</v>
      </c>
      <c r="B447" s="86">
        <v>578.68490037583069</v>
      </c>
      <c r="C447" s="86">
        <v>571.56173518509638</v>
      </c>
      <c r="D447" s="86">
        <v>578.04248818624831</v>
      </c>
      <c r="E447" s="86">
        <v>4648524.8076335527</v>
      </c>
      <c r="F447" s="86" t="s">
        <v>495</v>
      </c>
      <c r="G447" s="25">
        <f t="shared" si="11"/>
        <v>-6.1210183459573519E-3</v>
      </c>
      <c r="I447" s="86">
        <v>419.43717203752732</v>
      </c>
      <c r="J447" s="86">
        <v>423.42949335001452</v>
      </c>
      <c r="K447" s="86">
        <v>416.80808239271869</v>
      </c>
      <c r="L447" s="86">
        <v>419.12557622777223</v>
      </c>
      <c r="M447" s="86">
        <v>1530528.4123519775</v>
      </c>
      <c r="N447" s="86" t="s">
        <v>495</v>
      </c>
      <c r="O447" s="25">
        <f t="shared" si="12"/>
        <v>7.4344260390768468E-4</v>
      </c>
    </row>
    <row r="448" spans="1:15">
      <c r="A448" s="86">
        <v>574.85019376724654</v>
      </c>
      <c r="B448" s="86">
        <v>575.47283942791864</v>
      </c>
      <c r="C448" s="86">
        <v>570.66957290273331</v>
      </c>
      <c r="D448" s="86">
        <v>571.49976711696286</v>
      </c>
      <c r="E448" s="86">
        <v>4598698.1534712035</v>
      </c>
      <c r="F448" s="86" t="s">
        <v>496</v>
      </c>
      <c r="G448" s="25">
        <f t="shared" si="11"/>
        <v>5.8625162127108332E-3</v>
      </c>
      <c r="I448" s="86">
        <v>423.42949335001452</v>
      </c>
      <c r="J448" s="86">
        <v>425.15300767272242</v>
      </c>
      <c r="K448" s="86">
        <v>416.42842237327022</v>
      </c>
      <c r="L448" s="86">
        <v>416.5305673746555</v>
      </c>
      <c r="M448" s="86">
        <v>2087160.2879099958</v>
      </c>
      <c r="N448" s="86" t="s">
        <v>496</v>
      </c>
      <c r="O448" s="25">
        <f t="shared" si="12"/>
        <v>1.6562832396292526E-2</v>
      </c>
    </row>
    <row r="449" spans="1:15">
      <c r="A449" s="86">
        <v>570.61027331600269</v>
      </c>
      <c r="B449" s="86">
        <v>574.71182806487491</v>
      </c>
      <c r="C449" s="86">
        <v>569.67136319276676</v>
      </c>
      <c r="D449" s="86">
        <v>574.01011628856179</v>
      </c>
      <c r="E449" s="86">
        <v>4702273.2429215647</v>
      </c>
      <c r="F449" s="86" t="s">
        <v>497</v>
      </c>
      <c r="G449" s="25">
        <f t="shared" si="11"/>
        <v>-5.9229669932332474E-3</v>
      </c>
      <c r="I449" s="86">
        <v>416.99309240476077</v>
      </c>
      <c r="J449" s="86">
        <v>418.77503094179775</v>
      </c>
      <c r="K449" s="86">
        <v>410.78065094776849</v>
      </c>
      <c r="L449" s="86">
        <v>412.21204419883094</v>
      </c>
      <c r="M449" s="86">
        <v>1688260.9570823733</v>
      </c>
      <c r="N449" s="86" t="s">
        <v>497</v>
      </c>
      <c r="O449" s="25">
        <f t="shared" si="12"/>
        <v>1.1598516523752211E-2</v>
      </c>
    </row>
    <row r="450" spans="1:15">
      <c r="A450" s="86">
        <v>573.3677040989794</v>
      </c>
      <c r="B450" s="86">
        <v>573.43688695016522</v>
      </c>
      <c r="C450" s="86">
        <v>568.36677228469182</v>
      </c>
      <c r="D450" s="86">
        <v>568.4557216647878</v>
      </c>
      <c r="E450" s="86">
        <v>6718517.9857898047</v>
      </c>
      <c r="F450" s="86" t="s">
        <v>498</v>
      </c>
      <c r="G450" s="25">
        <f t="shared" si="11"/>
        <v>8.6409235530364725E-3</v>
      </c>
      <c r="I450" s="86">
        <v>412.57232685386032</v>
      </c>
      <c r="J450" s="86">
        <v>413.44869006879657</v>
      </c>
      <c r="K450" s="86">
        <v>407.99576339808232</v>
      </c>
      <c r="L450" s="86">
        <v>408.96950030356697</v>
      </c>
      <c r="M450" s="86">
        <v>1589934.6027450662</v>
      </c>
      <c r="N450" s="86" t="s">
        <v>498</v>
      </c>
      <c r="O450" s="25">
        <f t="shared" si="12"/>
        <v>8.8095238095238226E-3</v>
      </c>
    </row>
    <row r="451" spans="1:15">
      <c r="A451" s="86">
        <v>564.77914728748544</v>
      </c>
      <c r="B451" s="86">
        <v>569.01906773872929</v>
      </c>
      <c r="C451" s="86">
        <v>562.64436216518072</v>
      </c>
      <c r="D451" s="86">
        <v>569.00918447427421</v>
      </c>
      <c r="E451" s="86">
        <v>8884973.2190018333</v>
      </c>
      <c r="F451" s="86" t="s">
        <v>499</v>
      </c>
      <c r="G451" s="25">
        <f t="shared" si="11"/>
        <v>-7.4340402619282875E-3</v>
      </c>
      <c r="I451" s="86">
        <v>409.95297457810648</v>
      </c>
      <c r="J451" s="86">
        <v>412.82549844928633</v>
      </c>
      <c r="K451" s="86">
        <v>406.04828958711295</v>
      </c>
      <c r="L451" s="86">
        <v>409.70954035173531</v>
      </c>
      <c r="M451" s="86">
        <v>2060427.1941416715</v>
      </c>
      <c r="N451" s="86" t="s">
        <v>499</v>
      </c>
      <c r="O451" s="25">
        <f t="shared" si="12"/>
        <v>5.9416294324554642E-4</v>
      </c>
    </row>
    <row r="452" spans="1:15">
      <c r="A452" s="86">
        <v>574.2374313710294</v>
      </c>
      <c r="B452" s="86">
        <v>581.29546584900447</v>
      </c>
      <c r="C452" s="86">
        <v>573.07120616532609</v>
      </c>
      <c r="D452" s="86">
        <v>580.96793446496213</v>
      </c>
      <c r="E452" s="86">
        <v>7130076.3345998805</v>
      </c>
      <c r="F452" s="86" t="s">
        <v>500</v>
      </c>
      <c r="G452" s="25">
        <f t="shared" si="11"/>
        <v>-1.1584982052634474E-2</v>
      </c>
      <c r="I452" s="86">
        <v>409.92376247094199</v>
      </c>
      <c r="J452" s="86">
        <v>411.48631808317322</v>
      </c>
      <c r="K452" s="86">
        <v>401.7152577313966</v>
      </c>
      <c r="L452" s="86">
        <v>406.17487538482595</v>
      </c>
      <c r="M452" s="86">
        <v>2236767.4345421633</v>
      </c>
      <c r="N452" s="86" t="s">
        <v>500</v>
      </c>
      <c r="O452" s="25">
        <f t="shared" si="12"/>
        <v>9.22973653297543E-3</v>
      </c>
    </row>
    <row r="453" spans="1:15">
      <c r="A453" s="86">
        <v>576.40186628669949</v>
      </c>
      <c r="B453" s="86">
        <v>579.30754603650291</v>
      </c>
      <c r="C453" s="86">
        <v>573.77291794163909</v>
      </c>
      <c r="D453" s="86">
        <v>577.83493963269086</v>
      </c>
      <c r="E453" s="86">
        <v>7057110.5647092592</v>
      </c>
      <c r="F453" s="86" t="s">
        <v>501</v>
      </c>
      <c r="G453" s="25">
        <f t="shared" si="11"/>
        <v>-2.4800738890976559E-3</v>
      </c>
      <c r="I453" s="86">
        <v>407.68416758832723</v>
      </c>
      <c r="J453" s="86">
        <v>411.69596363892413</v>
      </c>
      <c r="K453" s="86">
        <v>406.19435012293559</v>
      </c>
      <c r="L453" s="86">
        <v>409.09608610127998</v>
      </c>
      <c r="M453" s="86">
        <v>1676122.154564545</v>
      </c>
      <c r="N453" s="86" t="s">
        <v>501</v>
      </c>
      <c r="O453" s="25">
        <f t="shared" si="12"/>
        <v>-3.4513126889295087E-3</v>
      </c>
    </row>
    <row r="454" spans="1:15">
      <c r="A454" s="86">
        <v>577.10357806301249</v>
      </c>
      <c r="B454" s="86">
        <v>580.22668963082856</v>
      </c>
      <c r="C454" s="86">
        <v>576.31291690660339</v>
      </c>
      <c r="D454" s="86">
        <v>579.96972475499558</v>
      </c>
      <c r="E454" s="86">
        <v>5092758.5949555356</v>
      </c>
      <c r="F454" s="86" t="s">
        <v>502</v>
      </c>
      <c r="G454" s="25">
        <f t="shared" si="11"/>
        <v>-4.9418901877918975E-3</v>
      </c>
      <c r="I454" s="86">
        <v>409.09608610127998</v>
      </c>
      <c r="J454" s="86">
        <v>412.52364000858603</v>
      </c>
      <c r="K454" s="86">
        <v>406.38909750403258</v>
      </c>
      <c r="L454" s="86">
        <v>411.63753942459499</v>
      </c>
      <c r="M454" s="86">
        <v>2490738.5006556576</v>
      </c>
      <c r="N454" s="86" t="s">
        <v>502</v>
      </c>
      <c r="O454" s="25">
        <f t="shared" si="12"/>
        <v>-6.1740076642853303E-3</v>
      </c>
    </row>
    <row r="455" spans="1:15">
      <c r="A455" s="86">
        <v>578.60583426018991</v>
      </c>
      <c r="B455" s="86">
        <v>579.65346029243187</v>
      </c>
      <c r="C455" s="86">
        <v>577.4198425255762</v>
      </c>
      <c r="D455" s="86">
        <v>579.19883012749665</v>
      </c>
      <c r="E455" s="86">
        <v>4219110.010602193</v>
      </c>
      <c r="F455" s="86" t="s">
        <v>503</v>
      </c>
      <c r="G455" s="25">
        <f t="shared" si="11"/>
        <v>-1.0238208995971831E-3</v>
      </c>
      <c r="I455" s="86">
        <v>410.27430775691641</v>
      </c>
      <c r="J455" s="86">
        <v>417.59680928616126</v>
      </c>
      <c r="K455" s="86">
        <v>410.10877248298408</v>
      </c>
      <c r="L455" s="86">
        <v>414.71454804592656</v>
      </c>
      <c r="M455" s="86">
        <v>2468748.98800661</v>
      </c>
      <c r="N455" s="86" t="s">
        <v>503</v>
      </c>
      <c r="O455" s="25">
        <f t="shared" si="12"/>
        <v>-1.0706738671049543E-2</v>
      </c>
    </row>
    <row r="456" spans="1:15">
      <c r="A456" s="86">
        <v>578.74419996256142</v>
      </c>
      <c r="B456" s="86">
        <v>579.19883012749665</v>
      </c>
      <c r="C456" s="86">
        <v>576.77743033599381</v>
      </c>
      <c r="D456" s="86">
        <v>576.99486215400623</v>
      </c>
      <c r="E456" s="86">
        <v>3226728.3896768284</v>
      </c>
      <c r="F456" s="86" t="s">
        <v>504</v>
      </c>
      <c r="G456" s="25">
        <f t="shared" si="11"/>
        <v>3.0318082937943469E-3</v>
      </c>
      <c r="I456" s="86">
        <v>410.10877248298408</v>
      </c>
      <c r="J456" s="86">
        <v>414.49058855766515</v>
      </c>
      <c r="K456" s="86">
        <v>407.51863231439478</v>
      </c>
      <c r="L456" s="86">
        <v>410.4690551380134</v>
      </c>
      <c r="M456" s="86">
        <v>2502363.817449382</v>
      </c>
      <c r="N456" s="86" t="s">
        <v>504</v>
      </c>
      <c r="O456" s="25">
        <f t="shared" si="12"/>
        <v>-8.7773402286850377E-4</v>
      </c>
    </row>
    <row r="457" spans="1:15">
      <c r="A457" s="86">
        <v>576.45128260897502</v>
      </c>
      <c r="B457" s="86">
        <v>577.92388901278696</v>
      </c>
      <c r="C457" s="86">
        <v>575.9175863283989</v>
      </c>
      <c r="D457" s="86">
        <v>576.53034872461592</v>
      </c>
      <c r="E457" s="86">
        <v>3886267.5560731259</v>
      </c>
      <c r="F457" s="86" t="s">
        <v>505</v>
      </c>
      <c r="G457" s="25">
        <f t="shared" si="11"/>
        <v>-1.3714128981379137E-4</v>
      </c>
      <c r="I457" s="86">
        <v>409.50505560158359</v>
      </c>
      <c r="J457" s="86">
        <v>415.67251041354245</v>
      </c>
      <c r="K457" s="86">
        <v>409.09608610127998</v>
      </c>
      <c r="L457" s="86">
        <v>409.94323720905169</v>
      </c>
      <c r="M457" s="86">
        <v>3167120.3819320677</v>
      </c>
      <c r="N457" s="86" t="s">
        <v>505</v>
      </c>
      <c r="O457" s="25">
        <f t="shared" si="12"/>
        <v>-1.0688836104513211E-3</v>
      </c>
    </row>
    <row r="458" spans="1:15">
      <c r="A458" s="86">
        <v>576.05595203077041</v>
      </c>
      <c r="B458" s="86">
        <v>576.15478467532159</v>
      </c>
      <c r="C458" s="86">
        <v>572.11252951317999</v>
      </c>
      <c r="D458" s="86">
        <v>573.79268447054937</v>
      </c>
      <c r="E458" s="86">
        <v>4307630.3576973584</v>
      </c>
      <c r="F458" s="86" t="s">
        <v>506</v>
      </c>
      <c r="G458" s="25">
        <f t="shared" si="11"/>
        <v>3.9443994694867701E-3</v>
      </c>
      <c r="I458" s="86">
        <v>408.37552079122133</v>
      </c>
      <c r="J458" s="86">
        <v>412.25099367505038</v>
      </c>
      <c r="K458" s="86">
        <v>400.20586815420484</v>
      </c>
      <c r="L458" s="86">
        <v>402.88851332881512</v>
      </c>
      <c r="M458" s="86">
        <v>4702042.1781394826</v>
      </c>
      <c r="N458" s="86" t="s">
        <v>506</v>
      </c>
      <c r="O458" s="25">
        <f t="shared" si="12"/>
        <v>1.3619170765307942E-2</v>
      </c>
    </row>
    <row r="459" spans="1:15">
      <c r="A459" s="86">
        <v>571.20326918330954</v>
      </c>
      <c r="B459" s="86">
        <v>572.08287971981463</v>
      </c>
      <c r="C459" s="86">
        <v>568.92023509417811</v>
      </c>
      <c r="D459" s="86">
        <v>571.52941691032822</v>
      </c>
      <c r="E459" s="86">
        <v>4799708.6605787054</v>
      </c>
      <c r="F459" s="86" t="s">
        <v>507</v>
      </c>
      <c r="G459" s="25">
        <f t="shared" si="11"/>
        <v>-5.7065781282406025E-4</v>
      </c>
      <c r="I459" s="86">
        <v>399.95269655877883</v>
      </c>
      <c r="J459" s="86">
        <v>425.96120930427469</v>
      </c>
      <c r="K459" s="86">
        <v>399.33924230832349</v>
      </c>
      <c r="L459" s="86">
        <v>411.64727679364984</v>
      </c>
      <c r="M459" s="86">
        <v>9038413.7136295885</v>
      </c>
      <c r="N459" s="86" t="s">
        <v>507</v>
      </c>
      <c r="O459" s="25">
        <f t="shared" si="12"/>
        <v>-2.8409225310467079E-2</v>
      </c>
    </row>
    <row r="460" spans="1:15">
      <c r="A460" s="86">
        <v>571.20326918330954</v>
      </c>
      <c r="B460" s="86">
        <v>573.75315141272881</v>
      </c>
      <c r="C460" s="86">
        <v>570.84747166292539</v>
      </c>
      <c r="D460" s="86">
        <v>571.2329189766748</v>
      </c>
      <c r="E460" s="86">
        <v>5961802.4254639642</v>
      </c>
      <c r="F460" s="86" t="s">
        <v>508</v>
      </c>
      <c r="G460" s="25">
        <f t="shared" si="11"/>
        <v>-5.1904910204347843E-5</v>
      </c>
      <c r="I460" s="86">
        <v>448.43505708286119</v>
      </c>
      <c r="J460" s="86">
        <v>455.08568014732157</v>
      </c>
      <c r="K460" s="86">
        <v>448.43505708286119</v>
      </c>
      <c r="L460" s="86">
        <v>452.43711576440325</v>
      </c>
      <c r="M460" s="86">
        <v>1607395.171307513</v>
      </c>
      <c r="N460" s="86" t="s">
        <v>508</v>
      </c>
      <c r="O460" s="25">
        <f t="shared" si="12"/>
        <v>-8.8455578512396382E-3</v>
      </c>
    </row>
    <row r="461" spans="1:15">
      <c r="A461" s="86">
        <v>570.18529294443272</v>
      </c>
      <c r="B461" s="86">
        <v>571.74684872834075</v>
      </c>
      <c r="C461" s="86">
        <v>569.11790038328047</v>
      </c>
      <c r="D461" s="86">
        <v>571.71719893497539</v>
      </c>
      <c r="E461" s="86">
        <v>4294276.4703659611</v>
      </c>
      <c r="F461" s="86" t="s">
        <v>509</v>
      </c>
      <c r="G461" s="25">
        <f t="shared" si="11"/>
        <v>-2.679482082044049E-3</v>
      </c>
      <c r="I461" s="86">
        <v>451.77497466867362</v>
      </c>
      <c r="J461" s="86">
        <v>458.83456723343761</v>
      </c>
      <c r="K461" s="86">
        <v>448.8635013212745</v>
      </c>
      <c r="L461" s="86">
        <v>456.89683079152309</v>
      </c>
      <c r="M461" s="86">
        <v>1888997.9312065144</v>
      </c>
      <c r="N461" s="86" t="s">
        <v>509</v>
      </c>
      <c r="O461" s="25">
        <f t="shared" si="12"/>
        <v>-1.121009334640477E-2</v>
      </c>
    </row>
    <row r="462" spans="1:15">
      <c r="A462" s="86">
        <v>570.4422578202657</v>
      </c>
      <c r="B462" s="86">
        <v>570.906771249656</v>
      </c>
      <c r="C462" s="86">
        <v>567.1017144344371</v>
      </c>
      <c r="D462" s="86">
        <v>567.31914625244974</v>
      </c>
      <c r="E462" s="86">
        <v>5455257.2426716974</v>
      </c>
      <c r="F462" s="86" t="s">
        <v>510</v>
      </c>
      <c r="G462" s="25">
        <f t="shared" si="11"/>
        <v>5.5050346677816275E-3</v>
      </c>
      <c r="I462" s="86">
        <v>456.87735605341339</v>
      </c>
      <c r="J462" s="86">
        <v>461.94078796193372</v>
      </c>
      <c r="K462" s="86">
        <v>455.4264880642412</v>
      </c>
      <c r="L462" s="86">
        <v>458.1432140305435</v>
      </c>
      <c r="M462" s="86">
        <v>949966.04810779693</v>
      </c>
      <c r="N462" s="86" t="s">
        <v>510</v>
      </c>
      <c r="O462" s="25">
        <f t="shared" si="12"/>
        <v>-2.7630180658874126E-3</v>
      </c>
    </row>
    <row r="463" spans="1:15">
      <c r="A463" s="86">
        <v>567.04241484770648</v>
      </c>
      <c r="B463" s="86">
        <v>567.55634459937244</v>
      </c>
      <c r="C463" s="86">
        <v>561.53743654620803</v>
      </c>
      <c r="D463" s="86">
        <v>566.70638385623261</v>
      </c>
      <c r="E463" s="86">
        <v>6192136.2397961393</v>
      </c>
      <c r="F463" s="86" t="s">
        <v>511</v>
      </c>
      <c r="G463" s="25">
        <f t="shared" si="11"/>
        <v>5.9295430763861567E-4</v>
      </c>
      <c r="I463" s="86">
        <v>459.08773882886368</v>
      </c>
      <c r="J463" s="86">
        <v>460.18806153206134</v>
      </c>
      <c r="K463" s="86">
        <v>454.16121432925439</v>
      </c>
      <c r="L463" s="86">
        <v>457.33501239899124</v>
      </c>
      <c r="M463" s="86">
        <v>956310.6777148312</v>
      </c>
      <c r="N463" s="86" t="s">
        <v>511</v>
      </c>
      <c r="O463" s="25">
        <f t="shared" si="12"/>
        <v>3.8324781229372995E-3</v>
      </c>
    </row>
    <row r="464" spans="1:15">
      <c r="A464" s="86">
        <v>565.18436113014513</v>
      </c>
      <c r="B464" s="86">
        <v>570.42249129135541</v>
      </c>
      <c r="C464" s="86">
        <v>565.17447786569005</v>
      </c>
      <c r="D464" s="86">
        <v>570.11611009324702</v>
      </c>
      <c r="E464" s="86">
        <v>5401320.6104566017</v>
      </c>
      <c r="F464" s="86" t="s">
        <v>512</v>
      </c>
      <c r="G464" s="25">
        <f t="shared" si="11"/>
        <v>-8.6504290543469864E-3</v>
      </c>
      <c r="I464" s="86">
        <v>457.77319400645933</v>
      </c>
      <c r="J464" s="86">
        <v>461.49286898541078</v>
      </c>
      <c r="K464" s="86">
        <v>456.20547758862898</v>
      </c>
      <c r="L464" s="86">
        <v>460.85993999684575</v>
      </c>
      <c r="M464" s="86">
        <v>1065843.3444949933</v>
      </c>
      <c r="N464" s="86" t="s">
        <v>512</v>
      </c>
      <c r="O464" s="25">
        <f t="shared" si="12"/>
        <v>-6.6977962771238575E-3</v>
      </c>
    </row>
    <row r="465" spans="1:15">
      <c r="A465" s="86">
        <v>567.64529397946853</v>
      </c>
      <c r="B465" s="86">
        <v>567.9704533800417</v>
      </c>
      <c r="C465" s="86">
        <v>564.90762972540199</v>
      </c>
      <c r="D465" s="86">
        <v>566.1628043112014</v>
      </c>
      <c r="E465" s="86">
        <v>4775720.6350556882</v>
      </c>
      <c r="F465" s="86" t="s">
        <v>513</v>
      </c>
      <c r="G465" s="25">
        <f t="shared" si="11"/>
        <v>2.6184865147944603E-3</v>
      </c>
      <c r="I465" s="86">
        <v>461.13258633038146</v>
      </c>
      <c r="J465" s="86">
        <v>462.2913332479082</v>
      </c>
      <c r="K465" s="86">
        <v>455.70887176683175</v>
      </c>
      <c r="L465" s="86">
        <v>457.65634557780112</v>
      </c>
      <c r="M465" s="86">
        <v>1525117.2997913652</v>
      </c>
      <c r="N465" s="86" t="s">
        <v>513</v>
      </c>
      <c r="O465" s="25">
        <f t="shared" si="12"/>
        <v>7.5957446808510021E-3</v>
      </c>
    </row>
    <row r="466" spans="1:15">
      <c r="A466" s="86">
        <v>566.52848509604064</v>
      </c>
      <c r="B466" s="86">
        <v>567.67069396911813</v>
      </c>
      <c r="C466" s="86">
        <v>564.70008117184454</v>
      </c>
      <c r="D466" s="86">
        <v>565.7674737329969</v>
      </c>
      <c r="E466" s="86">
        <v>4466396.7255433667</v>
      </c>
      <c r="F466" s="86" t="s">
        <v>514</v>
      </c>
      <c r="G466" s="25">
        <f t="shared" si="11"/>
        <v>1.3450956415406168E-3</v>
      </c>
      <c r="I466" s="86">
        <v>455.23174068314427</v>
      </c>
      <c r="J466" s="86">
        <v>455.91335651698353</v>
      </c>
      <c r="K466" s="86">
        <v>449.6911776909364</v>
      </c>
      <c r="L466" s="86">
        <v>452.54422682400656</v>
      </c>
      <c r="M466" s="86">
        <v>1239877.0070228081</v>
      </c>
      <c r="N466" s="86" t="s">
        <v>514</v>
      </c>
      <c r="O466" s="25">
        <f t="shared" si="12"/>
        <v>5.9386767079074865E-3</v>
      </c>
    </row>
    <row r="467" spans="1:15">
      <c r="A467" s="86">
        <v>568.57432083824915</v>
      </c>
      <c r="B467" s="86">
        <v>569.53299749039525</v>
      </c>
      <c r="C467" s="86">
        <v>566.01455534437468</v>
      </c>
      <c r="D467" s="86">
        <v>567.08194790552693</v>
      </c>
      <c r="E467" s="86">
        <v>4978394.5601638583</v>
      </c>
      <c r="F467" s="86" t="s">
        <v>515</v>
      </c>
      <c r="G467" s="25">
        <f t="shared" si="11"/>
        <v>2.6316706751716712E-3</v>
      </c>
      <c r="I467" s="86">
        <v>452.11578258559331</v>
      </c>
      <c r="J467" s="86">
        <v>454.22879167049507</v>
      </c>
      <c r="K467" s="86">
        <v>444.02402890101558</v>
      </c>
      <c r="L467" s="86">
        <v>446.63364380771452</v>
      </c>
      <c r="M467" s="86">
        <v>1286653.5025458243</v>
      </c>
      <c r="N467" s="86" t="s">
        <v>515</v>
      </c>
      <c r="O467" s="25">
        <f t="shared" si="12"/>
        <v>1.2274352489753282E-2</v>
      </c>
    </row>
    <row r="468" spans="1:15">
      <c r="A468" s="86">
        <v>566.91393240979005</v>
      </c>
      <c r="B468" s="86">
        <v>567.55634459937244</v>
      </c>
      <c r="C468" s="86">
        <v>564.09720204008261</v>
      </c>
      <c r="D468" s="86">
        <v>565.77735699745199</v>
      </c>
      <c r="E468" s="86">
        <v>6913848.1834959984</v>
      </c>
      <c r="F468" s="86" t="s">
        <v>516</v>
      </c>
      <c r="G468" s="25">
        <f t="shared" si="11"/>
        <v>2.0088739824615232E-3</v>
      </c>
      <c r="I468" s="86">
        <v>450.89861145373743</v>
      </c>
      <c r="J468" s="86">
        <v>453.74727877073286</v>
      </c>
      <c r="K468" s="86">
        <v>448.11859258857868</v>
      </c>
      <c r="L468" s="86">
        <v>453.15768107446189</v>
      </c>
      <c r="M468" s="86">
        <v>915708.33453844651</v>
      </c>
      <c r="N468" s="86" t="s">
        <v>516</v>
      </c>
      <c r="O468" s="25">
        <f t="shared" si="12"/>
        <v>-4.9851734066783671E-3</v>
      </c>
    </row>
    <row r="469" spans="1:15">
      <c r="A469" s="86">
        <v>563.57338902396157</v>
      </c>
      <c r="B469" s="86">
        <v>565.15471133677977</v>
      </c>
      <c r="C469" s="86">
        <v>562.832144189828</v>
      </c>
      <c r="D469" s="86">
        <v>564.48264935383202</v>
      </c>
      <c r="E469" s="86">
        <v>6998512.517208837</v>
      </c>
      <c r="F469" s="86" t="s">
        <v>517</v>
      </c>
      <c r="G469" s="25">
        <f t="shared" si="11"/>
        <v>-1.6107852578131077E-3</v>
      </c>
      <c r="I469" s="86">
        <v>450.8499246084632</v>
      </c>
      <c r="J469" s="86">
        <v>454.36862029012269</v>
      </c>
      <c r="K469" s="86">
        <v>448.55190551151935</v>
      </c>
      <c r="L469" s="86">
        <v>452.00867152598994</v>
      </c>
      <c r="M469" s="86">
        <v>1274625.6129444023</v>
      </c>
      <c r="N469" s="86" t="s">
        <v>517</v>
      </c>
      <c r="O469" s="25">
        <f t="shared" si="12"/>
        <v>-2.5635501938818805E-3</v>
      </c>
    </row>
    <row r="470" spans="1:15">
      <c r="A470" s="86">
        <v>563.94895307325589</v>
      </c>
      <c r="B470" s="86">
        <v>566.89416588087988</v>
      </c>
      <c r="C470" s="86">
        <v>561.34965452156086</v>
      </c>
      <c r="D470" s="86">
        <v>566.31105327802811</v>
      </c>
      <c r="E470" s="86">
        <v>6422884.8968170462</v>
      </c>
      <c r="F470" s="86" t="s">
        <v>518</v>
      </c>
      <c r="G470" s="25">
        <f t="shared" si="11"/>
        <v>-4.1710296684118742E-3</v>
      </c>
      <c r="I470" s="86">
        <v>456.74103288664554</v>
      </c>
      <c r="J470" s="86">
        <v>458.19180350212713</v>
      </c>
      <c r="K470" s="86">
        <v>449.2529960834683</v>
      </c>
      <c r="L470" s="86">
        <v>452.30079259763539</v>
      </c>
      <c r="M470" s="86">
        <v>1254936.5163393423</v>
      </c>
      <c r="N470" s="86" t="s">
        <v>518</v>
      </c>
      <c r="O470" s="25">
        <f t="shared" si="12"/>
        <v>9.8170075349839347E-3</v>
      </c>
    </row>
    <row r="471" spans="1:15">
      <c r="A471" s="86">
        <v>568.50513798706345</v>
      </c>
      <c r="B471" s="86">
        <v>568.94988488754348</v>
      </c>
      <c r="C471" s="86">
        <v>565.4512092704332</v>
      </c>
      <c r="D471" s="86">
        <v>565.50062559270873</v>
      </c>
      <c r="E471" s="86">
        <v>4891069.1623745253</v>
      </c>
      <c r="F471" s="86" t="s">
        <v>519</v>
      </c>
      <c r="G471" s="25">
        <f t="shared" si="11"/>
        <v>5.3130133873957597E-3</v>
      </c>
      <c r="I471" s="86">
        <v>450.37279352477572</v>
      </c>
      <c r="J471" s="86">
        <v>453.12846896729741</v>
      </c>
      <c r="K471" s="86">
        <v>448.8635013212745</v>
      </c>
      <c r="L471" s="86">
        <v>451.53154044230246</v>
      </c>
      <c r="M471" s="86">
        <v>726217.72474364052</v>
      </c>
      <c r="N471" s="86" t="s">
        <v>519</v>
      </c>
      <c r="O471" s="25">
        <f t="shared" si="12"/>
        <v>-2.5662590843413824E-3</v>
      </c>
    </row>
    <row r="472" spans="1:15">
      <c r="A472" s="86">
        <v>563.63268861069218</v>
      </c>
      <c r="B472" s="86">
        <v>563.68210493296783</v>
      </c>
      <c r="C472" s="86">
        <v>560.19331258031252</v>
      </c>
      <c r="D472" s="86">
        <v>560.74677538979893</v>
      </c>
      <c r="E472" s="86">
        <v>6206477.6550890049</v>
      </c>
      <c r="F472" s="86" t="s">
        <v>520</v>
      </c>
      <c r="G472" s="25">
        <f t="shared" si="11"/>
        <v>5.1465533954915266E-3</v>
      </c>
      <c r="I472" s="86">
        <v>450.40200563194026</v>
      </c>
      <c r="J472" s="86">
        <v>454.66210459343574</v>
      </c>
      <c r="K472" s="86">
        <v>446.56548222433059</v>
      </c>
      <c r="L472" s="86">
        <v>453.76139795586244</v>
      </c>
      <c r="M472" s="86">
        <v>1156531.0852005233</v>
      </c>
      <c r="N472" s="86" t="s">
        <v>520</v>
      </c>
      <c r="O472" s="25">
        <f t="shared" si="12"/>
        <v>-7.4034334763949383E-3</v>
      </c>
    </row>
    <row r="473" spans="1:15">
      <c r="A473" s="86">
        <v>561.14210596800353</v>
      </c>
      <c r="B473" s="86">
        <v>562.16008220688013</v>
      </c>
      <c r="C473" s="86">
        <v>559.19510287034598</v>
      </c>
      <c r="D473" s="86">
        <v>559.94623096893463</v>
      </c>
      <c r="E473" s="86">
        <v>7456392.6053672014</v>
      </c>
      <c r="F473" s="86" t="s">
        <v>521</v>
      </c>
      <c r="G473" s="25">
        <f t="shared" si="11"/>
        <v>2.1356961310365907E-3</v>
      </c>
      <c r="I473" s="86">
        <v>453.7029737415333</v>
      </c>
      <c r="J473" s="86">
        <v>457.11105291072971</v>
      </c>
      <c r="K473" s="86">
        <v>447.91897652295432</v>
      </c>
      <c r="L473" s="86">
        <v>450.84018723940835</v>
      </c>
      <c r="M473" s="86">
        <v>1273323.4131480735</v>
      </c>
      <c r="N473" s="86" t="s">
        <v>521</v>
      </c>
      <c r="O473" s="25">
        <f t="shared" si="12"/>
        <v>6.3498920086393351E-3</v>
      </c>
    </row>
    <row r="474" spans="1:15">
      <c r="A474" s="86">
        <v>561.3990708438364</v>
      </c>
      <c r="B474" s="86">
        <v>562.50599646280921</v>
      </c>
      <c r="C474" s="86">
        <v>558.77506413100366</v>
      </c>
      <c r="D474" s="86">
        <v>560.87525782771547</v>
      </c>
      <c r="E474" s="86">
        <v>5786739.8226308748</v>
      </c>
      <c r="F474" s="86" t="s">
        <v>522</v>
      </c>
      <c r="G474" s="25">
        <f t="shared" si="11"/>
        <v>9.3392070484554779E-4</v>
      </c>
      <c r="I474" s="86">
        <v>450.9765104061762</v>
      </c>
      <c r="J474" s="86">
        <v>451.63865150190577</v>
      </c>
      <c r="K474" s="86">
        <v>445.84978559879937</v>
      </c>
      <c r="L474" s="86">
        <v>447.38342122493771</v>
      </c>
      <c r="M474" s="86">
        <v>1234021.2158251212</v>
      </c>
      <c r="N474" s="86" t="s">
        <v>522</v>
      </c>
      <c r="O474" s="25">
        <f t="shared" si="12"/>
        <v>8.0313418217434762E-3</v>
      </c>
    </row>
    <row r="475" spans="1:15">
      <c r="A475" s="86">
        <v>558.60734512261058</v>
      </c>
      <c r="B475" s="86">
        <v>559.96703845759453</v>
      </c>
      <c r="C475" s="86">
        <v>554.92237912779876</v>
      </c>
      <c r="D475" s="86">
        <v>556.79442067596517</v>
      </c>
      <c r="E475" s="86">
        <v>6146976.6049107648</v>
      </c>
      <c r="F475" s="86" t="s">
        <v>523</v>
      </c>
      <c r="G475" s="25">
        <f t="shared" si="11"/>
        <v>3.2560032560033925E-3</v>
      </c>
      <c r="I475" s="86">
        <v>446.5460074862209</v>
      </c>
      <c r="J475" s="86">
        <v>447.12051226045685</v>
      </c>
      <c r="K475" s="86">
        <v>439.60326335011507</v>
      </c>
      <c r="L475" s="86">
        <v>443.67348361504105</v>
      </c>
      <c r="M475" s="86">
        <v>2050206.7742890972</v>
      </c>
      <c r="N475" s="86" t="s">
        <v>523</v>
      </c>
      <c r="O475" s="25">
        <f t="shared" si="12"/>
        <v>6.4744096216311497E-3</v>
      </c>
    </row>
    <row r="476" spans="1:15">
      <c r="A476" s="86">
        <v>555.84854705162832</v>
      </c>
      <c r="B476" s="86">
        <v>556.24266106176867</v>
      </c>
      <c r="C476" s="86">
        <v>552.70548782075946</v>
      </c>
      <c r="D476" s="86">
        <v>553.25724743495584</v>
      </c>
      <c r="E476" s="86">
        <v>6172268.7786055068</v>
      </c>
      <c r="F476" s="86" t="s">
        <v>524</v>
      </c>
      <c r="G476" s="25">
        <f t="shared" si="11"/>
        <v>4.6837156290069348E-3</v>
      </c>
      <c r="I476" s="86">
        <v>445.87412902143643</v>
      </c>
      <c r="J476" s="86">
        <v>451.88403320208795</v>
      </c>
      <c r="K476" s="86">
        <v>444.64235183599834</v>
      </c>
      <c r="L476" s="86">
        <v>447.24709805816985</v>
      </c>
      <c r="M476" s="86">
        <v>1632992.4346541183</v>
      </c>
      <c r="N476" s="86" t="s">
        <v>524</v>
      </c>
      <c r="O476" s="25">
        <f t="shared" si="12"/>
        <v>-3.0698221244911394E-3</v>
      </c>
    </row>
    <row r="477" spans="1:15">
      <c r="A477" s="86">
        <v>551.48373438932458</v>
      </c>
      <c r="B477" s="86">
        <v>552.76460492228045</v>
      </c>
      <c r="C477" s="86">
        <v>550.12404105434052</v>
      </c>
      <c r="D477" s="86">
        <v>552.27196240960507</v>
      </c>
      <c r="E477" s="86">
        <v>16718314.575151458</v>
      </c>
      <c r="F477" s="86" t="s">
        <v>525</v>
      </c>
      <c r="G477" s="25">
        <f t="shared" si="11"/>
        <v>-1.4272461285946836E-3</v>
      </c>
      <c r="I477" s="86">
        <v>446.35126010512397</v>
      </c>
      <c r="J477" s="86">
        <v>452.67081262171956</v>
      </c>
      <c r="K477" s="86">
        <v>444.51089735375791</v>
      </c>
      <c r="L477" s="86">
        <v>452.01840889504479</v>
      </c>
      <c r="M477" s="86">
        <v>1299641.6104513216</v>
      </c>
      <c r="N477" s="86" t="s">
        <v>525</v>
      </c>
      <c r="O477" s="25">
        <f t="shared" si="12"/>
        <v>-1.2537429180758619E-2</v>
      </c>
    </row>
    <row r="478" spans="1:15">
      <c r="A478" s="86">
        <v>551.20785458222633</v>
      </c>
      <c r="B478" s="86">
        <v>552.18328675732357</v>
      </c>
      <c r="C478" s="86">
        <v>548.18302955439947</v>
      </c>
      <c r="D478" s="86">
        <v>548.9811104249336</v>
      </c>
      <c r="E478" s="86">
        <v>6871144.7203715621</v>
      </c>
      <c r="F478" s="86" t="s">
        <v>526</v>
      </c>
      <c r="G478" s="25">
        <f t="shared" ref="G478:G541" si="13">A478/D478-1</f>
        <v>4.0561398470870813E-3</v>
      </c>
      <c r="I478" s="86">
        <v>448.11372390405126</v>
      </c>
      <c r="J478" s="86">
        <v>456.39048760067107</v>
      </c>
      <c r="K478" s="86">
        <v>445.65990690222986</v>
      </c>
      <c r="L478" s="86">
        <v>455.56281123100911</v>
      </c>
      <c r="M478" s="86">
        <v>2023372.0103474001</v>
      </c>
      <c r="N478" s="86" t="s">
        <v>526</v>
      </c>
      <c r="O478" s="25">
        <f t="shared" ref="O478:O541" si="14">I478/L478-1</f>
        <v>-1.635139467778135E-2</v>
      </c>
    </row>
    <row r="479" spans="1:15">
      <c r="A479" s="86">
        <v>545.21732162809371</v>
      </c>
      <c r="B479" s="86">
        <v>545.55231853671307</v>
      </c>
      <c r="C479" s="86">
        <v>537.71930258517455</v>
      </c>
      <c r="D479" s="86">
        <v>540.58648200894515</v>
      </c>
      <c r="E479" s="86">
        <v>9835885.8103522025</v>
      </c>
      <c r="F479" s="86" t="s">
        <v>527</v>
      </c>
      <c r="G479" s="25">
        <f t="shared" si="13"/>
        <v>8.5663252287391245E-3</v>
      </c>
      <c r="I479" s="86">
        <v>460.05173836529343</v>
      </c>
      <c r="J479" s="86">
        <v>469.70147109864666</v>
      </c>
      <c r="K479" s="86">
        <v>456.22495232673862</v>
      </c>
      <c r="L479" s="86">
        <v>460.50939471087128</v>
      </c>
      <c r="M479" s="86">
        <v>2697817.0234724884</v>
      </c>
      <c r="N479" s="86" t="s">
        <v>527</v>
      </c>
      <c r="O479" s="25">
        <f t="shared" si="14"/>
        <v>-9.938045799591233E-4</v>
      </c>
    </row>
    <row r="480" spans="1:15">
      <c r="A480" s="86">
        <v>539.66031408511549</v>
      </c>
      <c r="B480" s="86">
        <v>544.58673921186926</v>
      </c>
      <c r="C480" s="86">
        <v>538.57650055722968</v>
      </c>
      <c r="D480" s="86">
        <v>543.60145418651848</v>
      </c>
      <c r="E480" s="86">
        <v>10091351.988690184</v>
      </c>
      <c r="F480" s="86" t="s">
        <v>528</v>
      </c>
      <c r="G480" s="25">
        <f t="shared" si="13"/>
        <v>-7.2500543754078217E-3</v>
      </c>
      <c r="I480" s="86">
        <v>458.20163824487258</v>
      </c>
      <c r="J480" s="86">
        <v>461.8531516404401</v>
      </c>
      <c r="K480" s="86">
        <v>448.99982448804229</v>
      </c>
      <c r="L480" s="86">
        <v>456.68260867231646</v>
      </c>
      <c r="M480" s="86">
        <v>2480899.0872103688</v>
      </c>
      <c r="N480" s="86" t="s">
        <v>528</v>
      </c>
      <c r="O480" s="25">
        <f t="shared" si="14"/>
        <v>3.3262260127933096E-3</v>
      </c>
    </row>
    <row r="481" spans="1:15">
      <c r="A481" s="86">
        <v>541.15794732364861</v>
      </c>
      <c r="B481" s="86">
        <v>544.57688636161583</v>
      </c>
      <c r="C481" s="86">
        <v>540.32045505210044</v>
      </c>
      <c r="D481" s="86">
        <v>542.06440954697132</v>
      </c>
      <c r="E481" s="86">
        <v>4671063.5821970413</v>
      </c>
      <c r="F481" s="86" t="s">
        <v>529</v>
      </c>
      <c r="G481" s="25">
        <f t="shared" si="13"/>
        <v>-1.6722408026755842E-3</v>
      </c>
      <c r="I481" s="86">
        <v>456.2931139101226</v>
      </c>
      <c r="J481" s="86">
        <v>469.69173372959182</v>
      </c>
      <c r="K481" s="86">
        <v>455.66992229061236</v>
      </c>
      <c r="L481" s="86">
        <v>465.8844224291467</v>
      </c>
      <c r="M481" s="86">
        <v>1921629.9489733505</v>
      </c>
      <c r="N481" s="86" t="s">
        <v>529</v>
      </c>
      <c r="O481" s="25">
        <f t="shared" si="14"/>
        <v>-2.0587313198871304E-2</v>
      </c>
    </row>
    <row r="482" spans="1:15">
      <c r="A482" s="86">
        <v>541.26632867643718</v>
      </c>
      <c r="B482" s="86">
        <v>545.02026462302354</v>
      </c>
      <c r="C482" s="86">
        <v>540.56184988331142</v>
      </c>
      <c r="D482" s="86">
        <v>543.67042413829301</v>
      </c>
      <c r="E482" s="86">
        <v>4824333.9518002328</v>
      </c>
      <c r="F482" s="86" t="s">
        <v>530</v>
      </c>
      <c r="G482" s="25">
        <f t="shared" si="13"/>
        <v>-4.4219721270772894E-3</v>
      </c>
      <c r="I482" s="86">
        <v>466.75104827502804</v>
      </c>
      <c r="J482" s="86">
        <v>468.9365033856979</v>
      </c>
      <c r="K482" s="86">
        <v>455.22200331408942</v>
      </c>
      <c r="L482" s="86">
        <v>458.39638562596951</v>
      </c>
      <c r="M482" s="86">
        <v>2250303.9452010039</v>
      </c>
      <c r="N482" s="86" t="s">
        <v>530</v>
      </c>
      <c r="O482" s="25">
        <f t="shared" si="14"/>
        <v>1.8225847565638498E-2</v>
      </c>
    </row>
    <row r="483" spans="1:15">
      <c r="A483" s="86">
        <v>545.91687399609282</v>
      </c>
      <c r="B483" s="86">
        <v>547.51303573716109</v>
      </c>
      <c r="C483" s="86">
        <v>543.74924694032109</v>
      </c>
      <c r="D483" s="86">
        <v>543.81821689209573</v>
      </c>
      <c r="E483" s="86">
        <v>7532162.5814398807</v>
      </c>
      <c r="F483" s="86" t="s">
        <v>531</v>
      </c>
      <c r="G483" s="25">
        <f t="shared" si="13"/>
        <v>3.8591151212088448E-3</v>
      </c>
      <c r="I483" s="86">
        <v>454.79355907567617</v>
      </c>
      <c r="J483" s="86">
        <v>470.0520163846212</v>
      </c>
      <c r="K483" s="86">
        <v>452.32260430431825</v>
      </c>
      <c r="L483" s="86">
        <v>469.35092581267219</v>
      </c>
      <c r="M483" s="86">
        <v>2841230.5053005083</v>
      </c>
      <c r="N483" s="86" t="s">
        <v>531</v>
      </c>
      <c r="O483" s="25">
        <f t="shared" si="14"/>
        <v>-3.1015954025850112E-2</v>
      </c>
    </row>
    <row r="484" spans="1:15">
      <c r="A484" s="86">
        <v>540.69486336173372</v>
      </c>
      <c r="B484" s="86">
        <v>545.10401385017838</v>
      </c>
      <c r="C484" s="86">
        <v>539.35487572725674</v>
      </c>
      <c r="D484" s="86">
        <v>542.14323234899939</v>
      </c>
      <c r="E484" s="86">
        <v>7167789.8458731398</v>
      </c>
      <c r="F484" s="86" t="s">
        <v>532</v>
      </c>
      <c r="G484" s="25">
        <f t="shared" si="13"/>
        <v>-2.671561500436237E-3</v>
      </c>
      <c r="I484" s="86">
        <v>473.67431767302418</v>
      </c>
      <c r="J484" s="86">
        <v>475.47573094817085</v>
      </c>
      <c r="K484" s="86">
        <v>460.91836421117483</v>
      </c>
      <c r="L484" s="86">
        <v>466.39076561999877</v>
      </c>
      <c r="M484" s="86">
        <v>2774149.757274955</v>
      </c>
      <c r="N484" s="86" t="s">
        <v>532</v>
      </c>
      <c r="O484" s="25">
        <f t="shared" si="14"/>
        <v>1.5616844478777425E-2</v>
      </c>
    </row>
    <row r="485" spans="1:15">
      <c r="A485" s="86">
        <v>546.78392481840149</v>
      </c>
      <c r="B485" s="86">
        <v>546.83318906966895</v>
      </c>
      <c r="C485" s="86">
        <v>543.02230364861737</v>
      </c>
      <c r="D485" s="86">
        <v>543.48321998347637</v>
      </c>
      <c r="E485" s="86">
        <v>8548737.4549323823</v>
      </c>
      <c r="F485" s="86" t="s">
        <v>533</v>
      </c>
      <c r="G485" s="25">
        <f t="shared" si="13"/>
        <v>6.0732414793329692E-3</v>
      </c>
      <c r="I485" s="86">
        <v>456.94551763679732</v>
      </c>
      <c r="J485" s="86">
        <v>456.94551763679732</v>
      </c>
      <c r="K485" s="86">
        <v>444.51089735375791</v>
      </c>
      <c r="L485" s="86">
        <v>445.29962424720054</v>
      </c>
      <c r="M485" s="86">
        <v>1746463.5369381614</v>
      </c>
      <c r="N485" s="86" t="s">
        <v>533</v>
      </c>
      <c r="O485" s="25">
        <f t="shared" si="14"/>
        <v>2.6152937832105039E-2</v>
      </c>
    </row>
    <row r="486" spans="1:15">
      <c r="A486" s="86">
        <v>544.72467911541833</v>
      </c>
      <c r="B486" s="86">
        <v>548.04016322572363</v>
      </c>
      <c r="C486" s="86">
        <v>542.80337331598435</v>
      </c>
      <c r="D486" s="86">
        <v>547.23715593006273</v>
      </c>
      <c r="E486" s="86">
        <v>21111207.888900109</v>
      </c>
      <c r="F486" s="86" t="s">
        <v>534</v>
      </c>
      <c r="G486" s="25">
        <f t="shared" si="13"/>
        <v>-4.5912028951584638E-3</v>
      </c>
      <c r="I486" s="86">
        <v>444.60827104430643</v>
      </c>
      <c r="J486" s="86">
        <v>451.95998468071571</v>
      </c>
      <c r="K486" s="86">
        <v>431.76370752405791</v>
      </c>
      <c r="L486" s="86">
        <v>451.95998468071571</v>
      </c>
      <c r="M486" s="86">
        <v>3715828.1457957067</v>
      </c>
      <c r="N486" s="86" t="s">
        <v>534</v>
      </c>
      <c r="O486" s="25">
        <f t="shared" si="14"/>
        <v>-1.6266293224173056E-2</v>
      </c>
    </row>
    <row r="487" spans="1:15">
      <c r="A487" s="86">
        <v>546.23216520420499</v>
      </c>
      <c r="B487" s="86">
        <v>546.57701496307777</v>
      </c>
      <c r="C487" s="86">
        <v>542.63587486167478</v>
      </c>
      <c r="D487" s="86">
        <v>543.66057128803948</v>
      </c>
      <c r="E487" s="86">
        <v>6040170.9625916425</v>
      </c>
      <c r="F487" s="86" t="s">
        <v>535</v>
      </c>
      <c r="G487" s="25">
        <f t="shared" si="13"/>
        <v>4.7301460727102729E-3</v>
      </c>
      <c r="I487" s="86">
        <v>464.37513022564542</v>
      </c>
      <c r="J487" s="86">
        <v>469.00038052669765</v>
      </c>
      <c r="K487" s="86">
        <v>463.14822172473475</v>
      </c>
      <c r="L487" s="86">
        <v>467.39371463264797</v>
      </c>
      <c r="M487" s="86">
        <v>1180581.729546126</v>
      </c>
      <c r="N487" s="86" t="s">
        <v>535</v>
      </c>
      <c r="O487" s="25">
        <f t="shared" si="14"/>
        <v>-6.4583333333334547E-3</v>
      </c>
    </row>
    <row r="488" spans="1:15">
      <c r="A488" s="86">
        <v>543.13837022460359</v>
      </c>
      <c r="B488" s="86">
        <v>544.5670335113623</v>
      </c>
      <c r="C488" s="86">
        <v>542.10382094798535</v>
      </c>
      <c r="D488" s="86">
        <v>543.18763447587116</v>
      </c>
      <c r="E488" s="86">
        <v>4549321.1453247285</v>
      </c>
      <c r="F488" s="86" t="s">
        <v>536</v>
      </c>
      <c r="G488" s="25">
        <f t="shared" si="13"/>
        <v>-9.0694721567308179E-5</v>
      </c>
      <c r="I488" s="86">
        <v>468.20191626420024</v>
      </c>
      <c r="J488" s="86">
        <v>470.15912744422445</v>
      </c>
      <c r="K488" s="86">
        <v>464.10248389210977</v>
      </c>
      <c r="L488" s="86">
        <v>467.66636096618367</v>
      </c>
      <c r="M488" s="86">
        <v>1092196.4588274804</v>
      </c>
      <c r="N488" s="86" t="s">
        <v>536</v>
      </c>
      <c r="O488" s="25">
        <f t="shared" si="14"/>
        <v>1.1451653202299017E-3</v>
      </c>
    </row>
    <row r="489" spans="1:15">
      <c r="A489" s="86">
        <v>542.55705205964671</v>
      </c>
      <c r="B489" s="86">
        <v>544.19262520172902</v>
      </c>
      <c r="C489" s="86">
        <v>540.62579488145661</v>
      </c>
      <c r="D489" s="86">
        <v>542.20234945052039</v>
      </c>
      <c r="E489" s="86">
        <v>4782980.4358615382</v>
      </c>
      <c r="F489" s="86" t="s">
        <v>537</v>
      </c>
      <c r="G489" s="25">
        <f t="shared" si="13"/>
        <v>6.5418862438670899E-4</v>
      </c>
      <c r="I489" s="86">
        <v>469.0393300029171</v>
      </c>
      <c r="J489" s="86">
        <v>469.30223896739795</v>
      </c>
      <c r="K489" s="86">
        <v>464.43998110355074</v>
      </c>
      <c r="L489" s="86">
        <v>465.25636212510909</v>
      </c>
      <c r="M489" s="86">
        <v>732950.54955809761</v>
      </c>
      <c r="N489" s="86" t="s">
        <v>537</v>
      </c>
      <c r="O489" s="25">
        <f t="shared" si="14"/>
        <v>8.1309320748004232E-3</v>
      </c>
    </row>
    <row r="490" spans="1:15">
      <c r="A490" s="86">
        <v>537.06901446844302</v>
      </c>
      <c r="B490" s="86">
        <v>542.52749350888621</v>
      </c>
      <c r="C490" s="86">
        <v>535.34230246151571</v>
      </c>
      <c r="D490" s="86">
        <v>541.39441572973283</v>
      </c>
      <c r="E490" s="86">
        <v>6429142.6714264201</v>
      </c>
      <c r="F490" s="86" t="s">
        <v>538</v>
      </c>
      <c r="G490" s="25">
        <f t="shared" si="13"/>
        <v>-7.9893717696731814E-3</v>
      </c>
      <c r="I490" s="86">
        <v>465.47545292884314</v>
      </c>
      <c r="J490" s="86">
        <v>472.38898495778437</v>
      </c>
      <c r="K490" s="86">
        <v>459.36038516239933</v>
      </c>
      <c r="L490" s="86">
        <v>471.64894490961603</v>
      </c>
      <c r="M490" s="86">
        <v>1090042.8997005865</v>
      </c>
      <c r="N490" s="86" t="s">
        <v>538</v>
      </c>
      <c r="O490" s="25">
        <f t="shared" si="14"/>
        <v>-1.3089167372050348E-2</v>
      </c>
    </row>
    <row r="491" spans="1:15">
      <c r="A491" s="86">
        <v>539.59134413334095</v>
      </c>
      <c r="B491" s="86">
        <v>541.56191418404239</v>
      </c>
      <c r="C491" s="86">
        <v>539.3869960190832</v>
      </c>
      <c r="D491" s="86">
        <v>540.67515766122676</v>
      </c>
      <c r="E491" s="86">
        <v>4577631.7349331211</v>
      </c>
      <c r="F491" s="86" t="s">
        <v>539</v>
      </c>
      <c r="G491" s="25">
        <f t="shared" si="13"/>
        <v>-2.0045558086559945E-3</v>
      </c>
      <c r="I491" s="86">
        <v>469.54567319376912</v>
      </c>
      <c r="J491" s="86">
        <v>474.07354980427289</v>
      </c>
      <c r="K491" s="86">
        <v>469.03446131838967</v>
      </c>
      <c r="L491" s="86">
        <v>469.33145107456249</v>
      </c>
      <c r="M491" s="86">
        <v>1307471.2407724657</v>
      </c>
      <c r="N491" s="86" t="s">
        <v>539</v>
      </c>
      <c r="O491" s="25">
        <f t="shared" si="14"/>
        <v>4.5644100500008555E-4</v>
      </c>
    </row>
    <row r="492" spans="1:15">
      <c r="A492" s="86">
        <v>539.93619389221374</v>
      </c>
      <c r="B492" s="86">
        <v>540.79339186426887</v>
      </c>
      <c r="C492" s="86">
        <v>536.08372944309224</v>
      </c>
      <c r="D492" s="86">
        <v>536.51725485424652</v>
      </c>
      <c r="E492" s="86">
        <v>5042854.4757707994</v>
      </c>
      <c r="F492" s="86" t="s">
        <v>540</v>
      </c>
      <c r="G492" s="25">
        <f t="shared" si="13"/>
        <v>6.3724679999266343E-3</v>
      </c>
      <c r="I492" s="86">
        <v>467.55924990658036</v>
      </c>
      <c r="J492" s="86">
        <v>468.48916865131827</v>
      </c>
      <c r="K492" s="86">
        <v>464.024584939671</v>
      </c>
      <c r="L492" s="86">
        <v>466.41997772716331</v>
      </c>
      <c r="M492" s="86">
        <v>1058072.2515463971</v>
      </c>
      <c r="N492" s="86" t="s">
        <v>540</v>
      </c>
      <c r="O492" s="25">
        <f t="shared" si="14"/>
        <v>2.4425887265135948E-3</v>
      </c>
    </row>
    <row r="493" spans="1:15">
      <c r="A493" s="86">
        <v>536.8916631638798</v>
      </c>
      <c r="B493" s="86">
        <v>536.8916631638798</v>
      </c>
      <c r="C493" s="86">
        <v>529.8862866336359</v>
      </c>
      <c r="D493" s="86">
        <v>532.30023494574539</v>
      </c>
      <c r="E493" s="86">
        <v>5988997.9530535638</v>
      </c>
      <c r="F493" s="86" t="s">
        <v>541</v>
      </c>
      <c r="G493" s="25">
        <f t="shared" si="13"/>
        <v>8.6256362795000818E-3</v>
      </c>
      <c r="I493" s="86">
        <v>466.24470508417602</v>
      </c>
      <c r="J493" s="86">
        <v>467.13080566816711</v>
      </c>
      <c r="K493" s="86">
        <v>461.55129319973986</v>
      </c>
      <c r="L493" s="86">
        <v>465.69941241710461</v>
      </c>
      <c r="M493" s="86">
        <v>1185116.8354614163</v>
      </c>
      <c r="N493" s="86" t="s">
        <v>541</v>
      </c>
      <c r="O493" s="25">
        <f t="shared" si="14"/>
        <v>1.1709112198385885E-3</v>
      </c>
    </row>
    <row r="494" spans="1:15">
      <c r="A494" s="86">
        <v>533.78801533402498</v>
      </c>
      <c r="B494" s="86">
        <v>535.39402992534667</v>
      </c>
      <c r="C494" s="86">
        <v>528.27041919206067</v>
      </c>
      <c r="D494" s="86">
        <v>533.3840484736312</v>
      </c>
      <c r="E494" s="86">
        <v>6252100.5003674394</v>
      </c>
      <c r="F494" s="86" t="s">
        <v>542</v>
      </c>
      <c r="G494" s="25">
        <f t="shared" si="13"/>
        <v>7.5736584464758394E-4</v>
      </c>
      <c r="I494" s="86">
        <v>466.49787670156178</v>
      </c>
      <c r="J494" s="86">
        <v>466.49787670156178</v>
      </c>
      <c r="K494" s="86">
        <v>455.55058211169137</v>
      </c>
      <c r="L494" s="86">
        <v>458.07464915052191</v>
      </c>
      <c r="M494" s="86">
        <v>2269429.8573995112</v>
      </c>
      <c r="N494" s="86" t="s">
        <v>542</v>
      </c>
      <c r="O494" s="25">
        <f t="shared" si="14"/>
        <v>1.8388329427660555E-2</v>
      </c>
    </row>
    <row r="495" spans="1:15">
      <c r="A495" s="86">
        <v>534.33977494822147</v>
      </c>
      <c r="B495" s="86">
        <v>537.25621862325966</v>
      </c>
      <c r="C495" s="86">
        <v>530.81245455746568</v>
      </c>
      <c r="D495" s="86">
        <v>537.12813156996401</v>
      </c>
      <c r="E495" s="86">
        <v>4738668.3851587912</v>
      </c>
      <c r="F495" s="86" t="s">
        <v>543</v>
      </c>
      <c r="G495" s="25">
        <f t="shared" si="13"/>
        <v>-5.1912317710719469E-3</v>
      </c>
      <c r="I495" s="86">
        <v>458.09399066039799</v>
      </c>
      <c r="J495" s="86">
        <v>458.93534634000821</v>
      </c>
      <c r="K495" s="86">
        <v>449.9995687772518</v>
      </c>
      <c r="L495" s="86">
        <v>452.52363581608233</v>
      </c>
      <c r="M495" s="86">
        <v>880596.19487358048</v>
      </c>
      <c r="N495" s="86" t="s">
        <v>543</v>
      </c>
      <c r="O495" s="25">
        <f t="shared" si="14"/>
        <v>1.2309533477229406E-2</v>
      </c>
    </row>
    <row r="496" spans="1:15">
      <c r="A496" s="86">
        <v>532.29038209549185</v>
      </c>
      <c r="B496" s="86">
        <v>536.88181031362637</v>
      </c>
      <c r="C496" s="86">
        <v>531.66965252952082</v>
      </c>
      <c r="D496" s="86">
        <v>535.78814393548703</v>
      </c>
      <c r="E496" s="86">
        <v>4878023.9994909177</v>
      </c>
      <c r="F496" s="86" t="s">
        <v>544</v>
      </c>
      <c r="G496" s="25">
        <f t="shared" si="13"/>
        <v>-6.5282553927067388E-3</v>
      </c>
      <c r="I496" s="86">
        <v>454.5061405783822</v>
      </c>
      <c r="J496" s="86">
        <v>463.2049846451564</v>
      </c>
      <c r="K496" s="86">
        <v>453.55840659445346</v>
      </c>
      <c r="L496" s="86">
        <v>461.81723131154655</v>
      </c>
      <c r="M496" s="86">
        <v>938353.836710045</v>
      </c>
      <c r="N496" s="86" t="s">
        <v>544</v>
      </c>
      <c r="O496" s="25">
        <f t="shared" si="14"/>
        <v>-1.5831134564643801E-2</v>
      </c>
    </row>
    <row r="497" spans="1:15">
      <c r="A497" s="86">
        <v>535.34476567407921</v>
      </c>
      <c r="B497" s="86">
        <v>535.52211697864232</v>
      </c>
      <c r="C497" s="86">
        <v>529.27540991791852</v>
      </c>
      <c r="D497" s="86">
        <v>530.79274885695872</v>
      </c>
      <c r="E497" s="86">
        <v>6177196.2867631307</v>
      </c>
      <c r="F497" s="86" t="s">
        <v>545</v>
      </c>
      <c r="G497" s="25">
        <f t="shared" si="13"/>
        <v>8.5758835758835694E-3</v>
      </c>
      <c r="I497" s="86">
        <v>461.14994922082121</v>
      </c>
      <c r="J497" s="86">
        <v>461.14994922082121</v>
      </c>
      <c r="K497" s="86">
        <v>453.22476554909076</v>
      </c>
      <c r="L497" s="86">
        <v>455.29914248330215</v>
      </c>
      <c r="M497" s="86">
        <v>1318581.6496942283</v>
      </c>
      <c r="N497" s="86" t="s">
        <v>545</v>
      </c>
      <c r="O497" s="25">
        <f t="shared" si="14"/>
        <v>1.2850467289719614E-2</v>
      </c>
    </row>
    <row r="498" spans="1:15">
      <c r="A498" s="86">
        <v>524.56574749674189</v>
      </c>
      <c r="B498" s="86">
        <v>526.94018587933465</v>
      </c>
      <c r="C498" s="86">
        <v>521.32415976333789</v>
      </c>
      <c r="D498" s="86">
        <v>521.63945097145017</v>
      </c>
      <c r="E498" s="86">
        <v>6552291.8078469234</v>
      </c>
      <c r="F498" s="86" t="s">
        <v>546</v>
      </c>
      <c r="G498" s="25">
        <f t="shared" si="13"/>
        <v>5.6098067733221235E-3</v>
      </c>
      <c r="I498" s="86">
        <v>453.44235753519689</v>
      </c>
      <c r="J498" s="86">
        <v>454.09029811604614</v>
      </c>
      <c r="K498" s="86">
        <v>450.23166689576493</v>
      </c>
      <c r="L498" s="86">
        <v>452.55264808089646</v>
      </c>
      <c r="M498" s="86">
        <v>896200.97453832708</v>
      </c>
      <c r="N498" s="86" t="s">
        <v>546</v>
      </c>
      <c r="O498" s="25">
        <f t="shared" si="14"/>
        <v>1.9659799982905124E-3</v>
      </c>
    </row>
    <row r="499" spans="1:15">
      <c r="A499" s="86">
        <v>528.1324792885116</v>
      </c>
      <c r="B499" s="86">
        <v>531.29031779476088</v>
      </c>
      <c r="C499" s="86">
        <v>526.57572894845748</v>
      </c>
      <c r="D499" s="86">
        <v>527.7186595778644</v>
      </c>
      <c r="E499" s="86">
        <v>5903440.9844291899</v>
      </c>
      <c r="F499" s="86" t="s">
        <v>547</v>
      </c>
      <c r="G499" s="25">
        <f t="shared" si="13"/>
        <v>7.8416728902142019E-4</v>
      </c>
      <c r="I499" s="86">
        <v>454.96066606047043</v>
      </c>
      <c r="J499" s="86">
        <v>457.30098875547804</v>
      </c>
      <c r="K499" s="86">
        <v>451.74030466610043</v>
      </c>
      <c r="L499" s="86">
        <v>453.35532074075451</v>
      </c>
      <c r="M499" s="86">
        <v>915272.90854777547</v>
      </c>
      <c r="N499" s="86" t="s">
        <v>547</v>
      </c>
      <c r="O499" s="25">
        <f t="shared" si="14"/>
        <v>3.5410311653405468E-3</v>
      </c>
    </row>
    <row r="500" spans="1:15">
      <c r="A500" s="86">
        <v>527.88615803217397</v>
      </c>
      <c r="B500" s="86">
        <v>536.67539310081543</v>
      </c>
      <c r="C500" s="86">
        <v>526.95013725809076</v>
      </c>
      <c r="D500" s="86">
        <v>532.9505230624768</v>
      </c>
      <c r="E500" s="86">
        <v>6434169.6431884607</v>
      </c>
      <c r="F500" s="86" t="s">
        <v>548</v>
      </c>
      <c r="G500" s="25">
        <f t="shared" si="13"/>
        <v>-9.5025050378065856E-3</v>
      </c>
      <c r="I500" s="86">
        <v>454.79626322652359</v>
      </c>
      <c r="J500" s="86">
        <v>465.09561723554481</v>
      </c>
      <c r="K500" s="86">
        <v>454.5738358629485</v>
      </c>
      <c r="L500" s="86">
        <v>465.00374506363329</v>
      </c>
      <c r="M500" s="86">
        <v>1483968.9447137036</v>
      </c>
      <c r="N500" s="86" t="s">
        <v>548</v>
      </c>
      <c r="O500" s="25">
        <f t="shared" si="14"/>
        <v>-2.1951397048883714E-2</v>
      </c>
    </row>
    <row r="501" spans="1:15">
      <c r="A501" s="86">
        <v>536.8621046131193</v>
      </c>
      <c r="B501" s="86">
        <v>538.02474094303318</v>
      </c>
      <c r="C501" s="86">
        <v>534.01463088985565</v>
      </c>
      <c r="D501" s="86">
        <v>537.19710152173866</v>
      </c>
      <c r="E501" s="86">
        <v>7265110.9230567338</v>
      </c>
      <c r="F501" s="86" t="s">
        <v>549</v>
      </c>
      <c r="G501" s="25">
        <f t="shared" si="13"/>
        <v>-6.2360148197082577E-4</v>
      </c>
      <c r="I501" s="86">
        <v>460.15386146220226</v>
      </c>
      <c r="J501" s="86">
        <v>461.38688271680337</v>
      </c>
      <c r="K501" s="86">
        <v>455.38617927774453</v>
      </c>
      <c r="L501" s="86">
        <v>455.71498494563821</v>
      </c>
      <c r="M501" s="86">
        <v>1094555.706127377</v>
      </c>
      <c r="N501" s="86" t="s">
        <v>549</v>
      </c>
      <c r="O501" s="25">
        <f t="shared" si="14"/>
        <v>9.7404664388940354E-3</v>
      </c>
    </row>
    <row r="502" spans="1:15">
      <c r="A502" s="86">
        <v>538.77355756229986</v>
      </c>
      <c r="B502" s="86">
        <v>539.39428712827078</v>
      </c>
      <c r="C502" s="86">
        <v>532.6253790041111</v>
      </c>
      <c r="D502" s="86">
        <v>532.67464325537867</v>
      </c>
      <c r="E502" s="86">
        <v>7882042.0489343526</v>
      </c>
      <c r="F502" s="86" t="s">
        <v>550</v>
      </c>
      <c r="G502" s="25">
        <f t="shared" si="13"/>
        <v>1.144960509035764E-2</v>
      </c>
      <c r="I502" s="86">
        <v>457.48473309930097</v>
      </c>
      <c r="J502" s="86">
        <v>458.81920057320224</v>
      </c>
      <c r="K502" s="86">
        <v>452.37857449201158</v>
      </c>
      <c r="L502" s="86">
        <v>453.95490754691349</v>
      </c>
      <c r="M502" s="86">
        <v>1240877.2714100159</v>
      </c>
      <c r="N502" s="86" t="s">
        <v>550</v>
      </c>
      <c r="O502" s="25">
        <f t="shared" si="14"/>
        <v>7.7757184550817371E-3</v>
      </c>
    </row>
    <row r="503" spans="1:15">
      <c r="A503" s="86">
        <v>538.22179794810336</v>
      </c>
      <c r="B503" s="86">
        <v>538.42870780342707</v>
      </c>
      <c r="C503" s="86">
        <v>533.72889823250398</v>
      </c>
      <c r="D503" s="86">
        <v>535.47285272737474</v>
      </c>
      <c r="E503" s="86">
        <v>7363698.6387945423</v>
      </c>
      <c r="F503" s="86" t="s">
        <v>551</v>
      </c>
      <c r="G503" s="25">
        <f t="shared" si="13"/>
        <v>5.1336780319060082E-3</v>
      </c>
      <c r="I503" s="86">
        <v>452.90079525866622</v>
      </c>
      <c r="J503" s="86">
        <v>453.065198092613</v>
      </c>
      <c r="K503" s="86">
        <v>447.42714796373104</v>
      </c>
      <c r="L503" s="86">
        <v>450.86026596673804</v>
      </c>
      <c r="M503" s="86">
        <v>1364115.8404395147</v>
      </c>
      <c r="N503" s="86" t="s">
        <v>551</v>
      </c>
      <c r="O503" s="25">
        <f t="shared" si="14"/>
        <v>4.5258574462152534E-3</v>
      </c>
    </row>
    <row r="504" spans="1:15">
      <c r="A504" s="86">
        <v>534.77330035937575</v>
      </c>
      <c r="B504" s="86">
        <v>535.25500620826972</v>
      </c>
      <c r="C504" s="86">
        <v>529.92569803465005</v>
      </c>
      <c r="D504" s="86">
        <v>530.33951774529737</v>
      </c>
      <c r="E504" s="86">
        <v>7472145.4305865541</v>
      </c>
      <c r="F504" s="86" t="s">
        <v>552</v>
      </c>
      <c r="G504" s="25">
        <f t="shared" si="13"/>
        <v>8.360271987515322E-3</v>
      </c>
      <c r="I504" s="86">
        <v>449.82549518836692</v>
      </c>
      <c r="J504" s="86">
        <v>450.08660557169424</v>
      </c>
      <c r="K504" s="86">
        <v>440.04942572904349</v>
      </c>
      <c r="L504" s="86">
        <v>443.85863939159128</v>
      </c>
      <c r="M504" s="86">
        <v>1818535.3793640533</v>
      </c>
      <c r="N504" s="86" t="s">
        <v>552</v>
      </c>
      <c r="O504" s="25">
        <f t="shared" si="14"/>
        <v>1.3443144432097931E-2</v>
      </c>
    </row>
    <row r="505" spans="1:15">
      <c r="A505" s="86">
        <v>532.16229504219621</v>
      </c>
      <c r="B505" s="86">
        <v>533.45301842540573</v>
      </c>
      <c r="C505" s="86">
        <v>530.3198120447903</v>
      </c>
      <c r="D505" s="86">
        <v>532.41846914878738</v>
      </c>
      <c r="E505" s="86">
        <v>5106442.1670357678</v>
      </c>
      <c r="F505" s="86" t="s">
        <v>553</v>
      </c>
      <c r="G505" s="25">
        <f t="shared" si="13"/>
        <v>-4.8115180339391994E-4</v>
      </c>
      <c r="I505" s="86">
        <v>434.39097030724224</v>
      </c>
      <c r="J505" s="86">
        <v>446.59546303905887</v>
      </c>
      <c r="K505" s="86">
        <v>430.40661927276642</v>
      </c>
      <c r="L505" s="86">
        <v>445.66707056500621</v>
      </c>
      <c r="M505" s="86">
        <v>2202194.1551027014</v>
      </c>
      <c r="N505" s="86" t="s">
        <v>553</v>
      </c>
      <c r="O505" s="25">
        <f t="shared" si="14"/>
        <v>-2.5301623122992667E-2</v>
      </c>
    </row>
    <row r="506" spans="1:15">
      <c r="A506" s="86">
        <v>531.50215407521125</v>
      </c>
      <c r="B506" s="86">
        <v>533.51213552692684</v>
      </c>
      <c r="C506" s="86">
        <v>527.89601088242739</v>
      </c>
      <c r="D506" s="86">
        <v>528.43791764637047</v>
      </c>
      <c r="E506" s="86">
        <v>7466675.9472783282</v>
      </c>
      <c r="F506" s="86" t="s">
        <v>554</v>
      </c>
      <c r="G506" s="25">
        <f t="shared" si="13"/>
        <v>5.7986687300728423E-3</v>
      </c>
      <c r="I506" s="86">
        <v>444.6903243162634</v>
      </c>
      <c r="J506" s="86">
        <v>457.24296422584979</v>
      </c>
      <c r="K506" s="86">
        <v>444.01820684806904</v>
      </c>
      <c r="L506" s="86">
        <v>457.24296422584979</v>
      </c>
      <c r="M506" s="86">
        <v>1922718.5591110692</v>
      </c>
      <c r="N506" s="86" t="s">
        <v>554</v>
      </c>
      <c r="O506" s="25">
        <f t="shared" si="14"/>
        <v>-2.7452888052283186E-2</v>
      </c>
    </row>
    <row r="507" spans="1:15">
      <c r="A507" s="86">
        <v>528.03395078597657</v>
      </c>
      <c r="B507" s="86">
        <v>528.03395078597657</v>
      </c>
      <c r="C507" s="86">
        <v>522.58532459578691</v>
      </c>
      <c r="D507" s="86">
        <v>526.63484604997848</v>
      </c>
      <c r="E507" s="86">
        <v>7909971.0230808984</v>
      </c>
      <c r="F507" s="86" t="s">
        <v>555</v>
      </c>
      <c r="G507" s="25">
        <f t="shared" si="13"/>
        <v>2.6566884939196456E-3</v>
      </c>
      <c r="I507" s="86">
        <v>457.58144064868151</v>
      </c>
      <c r="J507" s="86">
        <v>460.02330627053857</v>
      </c>
      <c r="K507" s="86">
        <v>450.43958812693296</v>
      </c>
      <c r="L507" s="86">
        <v>457.91024631657507</v>
      </c>
      <c r="M507" s="86">
        <v>1411330.3550172318</v>
      </c>
      <c r="N507" s="86" t="s">
        <v>555</v>
      </c>
      <c r="O507" s="25">
        <f t="shared" si="14"/>
        <v>-7.1805702217508927E-4</v>
      </c>
    </row>
    <row r="508" spans="1:15">
      <c r="A508" s="86">
        <v>511.018078398169</v>
      </c>
      <c r="B508" s="86">
        <v>513.95481894472948</v>
      </c>
      <c r="C508" s="86">
        <v>509.74706071546655</v>
      </c>
      <c r="D508" s="86">
        <v>513.02805984988458</v>
      </c>
      <c r="E508" s="86">
        <v>4810289.2848825827</v>
      </c>
      <c r="F508" s="86" t="s">
        <v>556</v>
      </c>
      <c r="G508" s="25">
        <f t="shared" si="13"/>
        <v>-3.9178782000807155E-3</v>
      </c>
      <c r="I508" s="86">
        <v>457.92958782645115</v>
      </c>
      <c r="J508" s="86">
        <v>460.93235723471508</v>
      </c>
      <c r="K508" s="86">
        <v>452.66869714015303</v>
      </c>
      <c r="L508" s="86">
        <v>459.62196994060957</v>
      </c>
      <c r="M508" s="86">
        <v>1012556.9371501892</v>
      </c>
      <c r="N508" s="86" t="s">
        <v>556</v>
      </c>
      <c r="O508" s="25">
        <f t="shared" si="14"/>
        <v>-3.6821175331916978E-3</v>
      </c>
    </row>
    <row r="509" spans="1:15">
      <c r="A509" s="86">
        <v>511.69792506566108</v>
      </c>
      <c r="B509" s="86">
        <v>516.51596883962623</v>
      </c>
      <c r="C509" s="86">
        <v>508.74699641473558</v>
      </c>
      <c r="D509" s="86">
        <v>511.89498207073115</v>
      </c>
      <c r="E509" s="86">
        <v>5164190.9387475308</v>
      </c>
      <c r="F509" s="86" t="s">
        <v>557</v>
      </c>
      <c r="G509" s="25">
        <f t="shared" si="13"/>
        <v>-3.8495592254672584E-4</v>
      </c>
      <c r="I509" s="86">
        <v>458.90633407519402</v>
      </c>
      <c r="J509" s="86">
        <v>463.22916153250151</v>
      </c>
      <c r="K509" s="86">
        <v>456.19852269254062</v>
      </c>
      <c r="L509" s="86">
        <v>457.42670856967271</v>
      </c>
      <c r="M509" s="86">
        <v>1130350.2229171768</v>
      </c>
      <c r="N509" s="86" t="s">
        <v>557</v>
      </c>
      <c r="O509" s="25">
        <f t="shared" si="14"/>
        <v>3.2346723044396342E-3</v>
      </c>
    </row>
    <row r="510" spans="1:15">
      <c r="A510" s="86">
        <v>508.30854457845442</v>
      </c>
      <c r="B510" s="86">
        <v>510.55499443625411</v>
      </c>
      <c r="C510" s="86">
        <v>503.57917645677088</v>
      </c>
      <c r="D510" s="86">
        <v>507.34296525361066</v>
      </c>
      <c r="E510" s="86">
        <v>5548997.3554136399</v>
      </c>
      <c r="F510" s="86" t="s">
        <v>558</v>
      </c>
      <c r="G510" s="25">
        <f t="shared" si="13"/>
        <v>1.9032082653616111E-3</v>
      </c>
      <c r="I510" s="86">
        <v>455.80202174008059</v>
      </c>
      <c r="J510" s="86">
        <v>459.26415200790177</v>
      </c>
      <c r="K510" s="86">
        <v>451.68228013647217</v>
      </c>
      <c r="L510" s="86">
        <v>452.97816129817056</v>
      </c>
      <c r="M510" s="86">
        <v>1245646.2889578133</v>
      </c>
      <c r="N510" s="86" t="s">
        <v>558</v>
      </c>
      <c r="O510" s="25">
        <f t="shared" si="14"/>
        <v>6.2339880444064466E-3</v>
      </c>
    </row>
    <row r="511" spans="1:15">
      <c r="A511" s="86">
        <v>506.02268331964075</v>
      </c>
      <c r="B511" s="86">
        <v>510.20521825225472</v>
      </c>
      <c r="C511" s="86">
        <v>504.40681587806546</v>
      </c>
      <c r="D511" s="86">
        <v>505.34283665214866</v>
      </c>
      <c r="E511" s="86">
        <v>4764377.6970312437</v>
      </c>
      <c r="F511" s="86" t="s">
        <v>559</v>
      </c>
      <c r="G511" s="25">
        <f t="shared" si="13"/>
        <v>1.3453177094504554E-3</v>
      </c>
      <c r="I511" s="86">
        <v>452.79441695434764</v>
      </c>
      <c r="J511" s="86">
        <v>455.64728966107185</v>
      </c>
      <c r="K511" s="86">
        <v>448.20080835877485</v>
      </c>
      <c r="L511" s="86">
        <v>454.30305472468314</v>
      </c>
      <c r="M511" s="86">
        <v>1174047.9489692957</v>
      </c>
      <c r="N511" s="86" t="s">
        <v>559</v>
      </c>
      <c r="O511" s="25">
        <f t="shared" si="14"/>
        <v>-3.3207739957851201E-3</v>
      </c>
    </row>
    <row r="512" spans="1:15">
      <c r="A512" s="86">
        <v>510.36779028143752</v>
      </c>
      <c r="B512" s="86">
        <v>513.18570545394073</v>
      </c>
      <c r="C512" s="86">
        <v>508.67310003783422</v>
      </c>
      <c r="D512" s="86">
        <v>509.47118090836841</v>
      </c>
      <c r="E512" s="86">
        <v>4865086.626373467</v>
      </c>
      <c r="F512" s="86" t="s">
        <v>560</v>
      </c>
      <c r="G512" s="25">
        <f t="shared" si="13"/>
        <v>1.7598824166471516E-3</v>
      </c>
      <c r="I512" s="86">
        <v>456.03411985859378</v>
      </c>
      <c r="J512" s="86">
        <v>458.86765105544185</v>
      </c>
      <c r="K512" s="86">
        <v>453.88721226234708</v>
      </c>
      <c r="L512" s="86">
        <v>458.39378406347748</v>
      </c>
      <c r="M512" s="86">
        <v>1189444.8855015386</v>
      </c>
      <c r="N512" s="86" t="s">
        <v>560</v>
      </c>
      <c r="O512" s="25">
        <f t="shared" si="14"/>
        <v>-5.1476793248944608E-3</v>
      </c>
    </row>
    <row r="513" spans="1:15">
      <c r="A513" s="86">
        <v>513.04776555039166</v>
      </c>
      <c r="B513" s="86">
        <v>514.72275009348789</v>
      </c>
      <c r="C513" s="86">
        <v>509.28397675355171</v>
      </c>
      <c r="D513" s="86">
        <v>511.48116236008389</v>
      </c>
      <c r="E513" s="86">
        <v>6379260.6588762915</v>
      </c>
      <c r="F513" s="86" t="s">
        <v>561</v>
      </c>
      <c r="G513" s="25">
        <f t="shared" si="13"/>
        <v>3.0628756356914089E-3</v>
      </c>
      <c r="I513" s="86">
        <v>457.23329347091175</v>
      </c>
      <c r="J513" s="86">
        <v>474.90176274272551</v>
      </c>
      <c r="K513" s="86">
        <v>452.11746410868432</v>
      </c>
      <c r="L513" s="86">
        <v>468.78984562187912</v>
      </c>
      <c r="M513" s="86">
        <v>2161651.3016738109</v>
      </c>
      <c r="N513" s="86" t="s">
        <v>561</v>
      </c>
      <c r="O513" s="25">
        <f t="shared" si="14"/>
        <v>-2.4651882413615156E-2</v>
      </c>
    </row>
    <row r="514" spans="1:15">
      <c r="A514" s="86">
        <v>505.79606776381007</v>
      </c>
      <c r="B514" s="86">
        <v>510.81116854284545</v>
      </c>
      <c r="C514" s="86">
        <v>505.22460244910656</v>
      </c>
      <c r="D514" s="86">
        <v>507.54987510893437</v>
      </c>
      <c r="E514" s="86">
        <v>5870872.7435908839</v>
      </c>
      <c r="F514" s="86" t="s">
        <v>562</v>
      </c>
      <c r="G514" s="25">
        <f t="shared" si="13"/>
        <v>-3.4554384330168775E-3</v>
      </c>
      <c r="I514" s="86">
        <v>461.99130490043137</v>
      </c>
      <c r="J514" s="86">
        <v>463.66434550471365</v>
      </c>
      <c r="K514" s="86">
        <v>457.42680527722206</v>
      </c>
      <c r="L514" s="86">
        <v>460.32793505108708</v>
      </c>
      <c r="M514" s="86">
        <v>1019933.8172859193</v>
      </c>
      <c r="N514" s="86" t="s">
        <v>562</v>
      </c>
      <c r="O514" s="25">
        <f t="shared" si="14"/>
        <v>3.6134453781513365E-3</v>
      </c>
    </row>
    <row r="515" spans="1:15">
      <c r="A515" s="86">
        <v>502.23918882229384</v>
      </c>
      <c r="B515" s="86">
        <v>503.97329046691112</v>
      </c>
      <c r="C515" s="86">
        <v>490.43547421859176</v>
      </c>
      <c r="D515" s="86">
        <v>495.85454185802092</v>
      </c>
      <c r="E515" s="86">
        <v>7991277.4450185318</v>
      </c>
      <c r="F515" s="86" t="s">
        <v>563</v>
      </c>
      <c r="G515" s="25">
        <f t="shared" si="13"/>
        <v>1.2876048165957998E-2</v>
      </c>
      <c r="I515" s="86">
        <v>462.0203171652455</v>
      </c>
      <c r="J515" s="86">
        <v>462.85200208991768</v>
      </c>
      <c r="K515" s="86">
        <v>455.61827739625772</v>
      </c>
      <c r="L515" s="86">
        <v>462.523196422024</v>
      </c>
      <c r="M515" s="86">
        <v>1132423.4840150375</v>
      </c>
      <c r="N515" s="86" t="s">
        <v>563</v>
      </c>
      <c r="O515" s="25">
        <f t="shared" si="14"/>
        <v>-1.0872519706441874E-3</v>
      </c>
    </row>
    <row r="516" spans="1:15">
      <c r="A516" s="86">
        <v>501.99286756595615</v>
      </c>
      <c r="B516" s="86">
        <v>503.0369741073203</v>
      </c>
      <c r="C516" s="86">
        <v>496.83982688337164</v>
      </c>
      <c r="D516" s="86">
        <v>497.11570669046989</v>
      </c>
      <c r="E516" s="86">
        <v>6622912.9968528459</v>
      </c>
      <c r="F516" s="86" t="s">
        <v>564</v>
      </c>
      <c r="G516" s="25">
        <f t="shared" si="13"/>
        <v>9.810916874777087E-3</v>
      </c>
      <c r="I516" s="86">
        <v>460.21188599183051</v>
      </c>
      <c r="J516" s="86">
        <v>463.51928418064296</v>
      </c>
      <c r="K516" s="86">
        <v>457.76528170005378</v>
      </c>
      <c r="L516" s="86">
        <v>460.30859354121105</v>
      </c>
      <c r="M516" s="86">
        <v>927767.27954301331</v>
      </c>
      <c r="N516" s="86" t="s">
        <v>564</v>
      </c>
      <c r="O516" s="25">
        <f t="shared" si="14"/>
        <v>-2.1009286104467506E-4</v>
      </c>
    </row>
    <row r="517" spans="1:15">
      <c r="A517" s="86">
        <v>498.96804253812934</v>
      </c>
      <c r="B517" s="86">
        <v>501.25390379694306</v>
      </c>
      <c r="C517" s="86">
        <v>493.58838629971416</v>
      </c>
      <c r="D517" s="86">
        <v>499.3523036980161</v>
      </c>
      <c r="E517" s="86">
        <v>4272891.4899536427</v>
      </c>
      <c r="F517" s="86" t="s">
        <v>565</v>
      </c>
      <c r="G517" s="25">
        <f t="shared" si="13"/>
        <v>-7.6951914918799158E-4</v>
      </c>
      <c r="I517" s="86">
        <v>460.60838694429054</v>
      </c>
      <c r="J517" s="86">
        <v>467.86145314782658</v>
      </c>
      <c r="K517" s="86">
        <v>458.67423595668089</v>
      </c>
      <c r="L517" s="86">
        <v>463.528954935581</v>
      </c>
      <c r="M517" s="86">
        <v>1199432.7303615073</v>
      </c>
      <c r="N517" s="86" t="s">
        <v>565</v>
      </c>
      <c r="O517" s="25">
        <f t="shared" si="14"/>
        <v>-6.3007239573552587E-3</v>
      </c>
    </row>
    <row r="518" spans="1:15">
      <c r="A518" s="86">
        <v>498.66260418027059</v>
      </c>
      <c r="B518" s="86">
        <v>499.06657104066437</v>
      </c>
      <c r="C518" s="86">
        <v>492.39619141903978</v>
      </c>
      <c r="D518" s="86">
        <v>495.04660813723331</v>
      </c>
      <c r="E518" s="86">
        <v>7036971.8625650965</v>
      </c>
      <c r="F518" s="86" t="s">
        <v>566</v>
      </c>
      <c r="G518" s="25">
        <f t="shared" si="13"/>
        <v>7.3043547488258476E-3</v>
      </c>
      <c r="I518" s="86">
        <v>461.91393886092698</v>
      </c>
      <c r="J518" s="86">
        <v>462.70694076584692</v>
      </c>
      <c r="K518" s="86">
        <v>452.49462355126815</v>
      </c>
      <c r="L518" s="86">
        <v>454.51097595585122</v>
      </c>
      <c r="M518" s="86">
        <v>1573493.4963693107</v>
      </c>
      <c r="N518" s="86" t="s">
        <v>566</v>
      </c>
      <c r="O518" s="25">
        <f t="shared" si="14"/>
        <v>1.6287753864485E-2</v>
      </c>
    </row>
    <row r="519" spans="1:15">
      <c r="A519" s="86">
        <v>495.01704958647281</v>
      </c>
      <c r="B519" s="86">
        <v>495.59836775142969</v>
      </c>
      <c r="C519" s="86">
        <v>484.98004956172713</v>
      </c>
      <c r="D519" s="86">
        <v>486.00169160451338</v>
      </c>
      <c r="E519" s="86">
        <v>6276694.3989617815</v>
      </c>
      <c r="F519" s="86" t="s">
        <v>567</v>
      </c>
      <c r="G519" s="25">
        <f t="shared" si="13"/>
        <v>1.8550054737866528E-2</v>
      </c>
      <c r="I519" s="86">
        <v>451.44051126302094</v>
      </c>
      <c r="J519" s="86">
        <v>452.19483014818866</v>
      </c>
      <c r="K519" s="86">
        <v>445.00945922921903</v>
      </c>
      <c r="L519" s="86">
        <v>450.43475274946394</v>
      </c>
      <c r="M519" s="86">
        <v>1142659.4997794884</v>
      </c>
      <c r="N519" s="86" t="s">
        <v>567</v>
      </c>
      <c r="O519" s="25">
        <f t="shared" si="14"/>
        <v>2.2328617128626327E-3</v>
      </c>
    </row>
    <row r="520" spans="1:15">
      <c r="A520" s="86">
        <v>484.82920242434597</v>
      </c>
      <c r="B520" s="86">
        <v>493.80514900529136</v>
      </c>
      <c r="C520" s="86">
        <v>483.47936193961544</v>
      </c>
      <c r="D520" s="86">
        <v>489.38121924146645</v>
      </c>
      <c r="E520" s="86">
        <v>8167789.8201437779</v>
      </c>
      <c r="F520" s="86" t="s">
        <v>568</v>
      </c>
      <c r="G520" s="25">
        <f t="shared" si="13"/>
        <v>-9.3015764360063757E-3</v>
      </c>
      <c r="I520" s="86">
        <v>448.28784515321729</v>
      </c>
      <c r="J520" s="86">
        <v>455.86971702464695</v>
      </c>
      <c r="K520" s="86">
        <v>442.58529108889849</v>
      </c>
      <c r="L520" s="86">
        <v>451.62425560684386</v>
      </c>
      <c r="M520" s="86">
        <v>1398962.1375651057</v>
      </c>
      <c r="N520" s="86" t="s">
        <v>568</v>
      </c>
      <c r="O520" s="25">
        <f t="shared" si="14"/>
        <v>-7.387580299785812E-3</v>
      </c>
    </row>
    <row r="521" spans="1:15">
      <c r="A521" s="86">
        <v>477.16368492711712</v>
      </c>
      <c r="B521" s="86">
        <v>479.32145913263525</v>
      </c>
      <c r="C521" s="86">
        <v>470.1681612471267</v>
      </c>
      <c r="D521" s="86">
        <v>471.03521206943537</v>
      </c>
      <c r="E521" s="86">
        <v>6329456.7963010622</v>
      </c>
      <c r="F521" s="86" t="s">
        <v>569</v>
      </c>
      <c r="G521" s="25">
        <f t="shared" si="13"/>
        <v>1.301064697638421E-2</v>
      </c>
      <c r="I521" s="86">
        <v>446.86624417732423</v>
      </c>
      <c r="J521" s="86">
        <v>455.27013021848796</v>
      </c>
      <c r="K521" s="86">
        <v>427.78584468455546</v>
      </c>
      <c r="L521" s="86">
        <v>442.96892993729085</v>
      </c>
      <c r="M521" s="86">
        <v>2975939.333006084</v>
      </c>
      <c r="N521" s="86" t="s">
        <v>569</v>
      </c>
      <c r="O521" s="25">
        <f t="shared" si="14"/>
        <v>8.79816613906792E-3</v>
      </c>
    </row>
    <row r="522" spans="1:15">
      <c r="A522" s="86">
        <v>465.41908742493609</v>
      </c>
      <c r="B522" s="86">
        <v>472.43431680543347</v>
      </c>
      <c r="C522" s="86">
        <v>460.45325089716829</v>
      </c>
      <c r="D522" s="86">
        <v>471.97123284351858</v>
      </c>
      <c r="E522" s="86">
        <v>7878431.9260678925</v>
      </c>
      <c r="F522" s="86" t="s">
        <v>570</v>
      </c>
      <c r="G522" s="25">
        <f t="shared" si="13"/>
        <v>-1.3882510124838099E-2</v>
      </c>
      <c r="I522" s="86">
        <v>443.23971107555622</v>
      </c>
      <c r="J522" s="86">
        <v>447.97838099519976</v>
      </c>
      <c r="K522" s="86">
        <v>437.88211283987761</v>
      </c>
      <c r="L522" s="86">
        <v>444.13909128479469</v>
      </c>
      <c r="M522" s="86">
        <v>1585108.9287445077</v>
      </c>
      <c r="N522" s="86" t="s">
        <v>570</v>
      </c>
      <c r="O522" s="25">
        <f t="shared" si="14"/>
        <v>-2.0249967338762387E-3</v>
      </c>
    </row>
    <row r="523" spans="1:15">
      <c r="A523" s="86">
        <v>476.7794237672303</v>
      </c>
      <c r="B523" s="86">
        <v>480.97673797522452</v>
      </c>
      <c r="C523" s="86">
        <v>474.4147397063885</v>
      </c>
      <c r="D523" s="86">
        <v>477.65632743979251</v>
      </c>
      <c r="E523" s="86">
        <v>5723155.0819445113</v>
      </c>
      <c r="F523" s="86" t="s">
        <v>571</v>
      </c>
      <c r="G523" s="25">
        <f t="shared" si="13"/>
        <v>-1.8358464489779402E-3</v>
      </c>
      <c r="I523" s="86">
        <v>448.80039516493383</v>
      </c>
      <c r="J523" s="86">
        <v>454.20625046775331</v>
      </c>
      <c r="K523" s="86">
        <v>433.62698066713642</v>
      </c>
      <c r="L523" s="86">
        <v>446.44073096005008</v>
      </c>
      <c r="M523" s="86">
        <v>3156738.0411938969</v>
      </c>
      <c r="N523" s="86" t="s">
        <v>571</v>
      </c>
      <c r="O523" s="25">
        <f t="shared" si="14"/>
        <v>5.2855038558183853E-3</v>
      </c>
    </row>
    <row r="524" spans="1:15">
      <c r="A524" s="86">
        <v>476.11928280024529</v>
      </c>
      <c r="B524" s="86">
        <v>484.52869049161399</v>
      </c>
      <c r="C524" s="86">
        <v>471.19285767349152</v>
      </c>
      <c r="D524" s="86">
        <v>481.45952763764637</v>
      </c>
      <c r="E524" s="86">
        <v>6470076.0043831877</v>
      </c>
      <c r="F524" s="86" t="s">
        <v>572</v>
      </c>
      <c r="G524" s="25">
        <f t="shared" si="13"/>
        <v>-1.1091783485112083E-2</v>
      </c>
      <c r="I524" s="86">
        <v>461.37237658439631</v>
      </c>
      <c r="J524" s="86">
        <v>466.91913478666316</v>
      </c>
      <c r="K524" s="86">
        <v>458.90633407519402</v>
      </c>
      <c r="L524" s="86">
        <v>461.61414545784748</v>
      </c>
      <c r="M524" s="86">
        <v>1582218.7717527268</v>
      </c>
      <c r="N524" s="86" t="s">
        <v>572</v>
      </c>
      <c r="O524" s="25">
        <f t="shared" si="14"/>
        <v>-5.2374667420862497E-4</v>
      </c>
    </row>
    <row r="525" spans="1:15">
      <c r="A525" s="86">
        <v>486.81947817555448</v>
      </c>
      <c r="B525" s="86">
        <v>491.92325460687141</v>
      </c>
      <c r="C525" s="86">
        <v>486.15933720856953</v>
      </c>
      <c r="D525" s="86">
        <v>488.73093112473492</v>
      </c>
      <c r="E525" s="86">
        <v>8323056.5663784929</v>
      </c>
      <c r="F525" s="86" t="s">
        <v>573</v>
      </c>
      <c r="G525" s="25">
        <f t="shared" si="13"/>
        <v>-3.911053766909256E-3</v>
      </c>
      <c r="I525" s="86">
        <v>454.11931038086027</v>
      </c>
      <c r="J525" s="86">
        <v>459.68966522517593</v>
      </c>
      <c r="K525" s="86">
        <v>452.59133110064869</v>
      </c>
      <c r="L525" s="86">
        <v>458.65489444680475</v>
      </c>
      <c r="M525" s="86">
        <v>1266153.4780315165</v>
      </c>
      <c r="N525" s="86" t="s">
        <v>573</v>
      </c>
      <c r="O525" s="25">
        <f t="shared" si="14"/>
        <v>-9.8888818605434858E-3</v>
      </c>
    </row>
    <row r="526" spans="1:15">
      <c r="A526" s="86">
        <v>488.18902436079208</v>
      </c>
      <c r="B526" s="86">
        <v>492.89868678196865</v>
      </c>
      <c r="C526" s="86">
        <v>483.46950908936191</v>
      </c>
      <c r="D526" s="86">
        <v>492.69177692664499</v>
      </c>
      <c r="E526" s="86">
        <v>7816507.71284007</v>
      </c>
      <c r="F526" s="86" t="s">
        <v>574</v>
      </c>
      <c r="G526" s="25">
        <f t="shared" si="13"/>
        <v>-9.1390860913908023E-3</v>
      </c>
      <c r="I526" s="86">
        <v>459.68966522517593</v>
      </c>
      <c r="J526" s="86">
        <v>462.98739265905033</v>
      </c>
      <c r="K526" s="86">
        <v>452.19879515771333</v>
      </c>
      <c r="L526" s="86">
        <v>457.23329347091175</v>
      </c>
      <c r="M526" s="86">
        <v>1116393.7116763655</v>
      </c>
      <c r="N526" s="86" t="s">
        <v>574</v>
      </c>
      <c r="O526" s="25">
        <f t="shared" si="14"/>
        <v>5.3722504230118151E-3</v>
      </c>
    </row>
    <row r="527" spans="1:15">
      <c r="A527" s="86">
        <v>483.33156918581284</v>
      </c>
      <c r="B527" s="86">
        <v>485.74551749792215</v>
      </c>
      <c r="C527" s="86">
        <v>470.96624211766084</v>
      </c>
      <c r="D527" s="86">
        <v>473.61665883585437</v>
      </c>
      <c r="E527" s="86">
        <v>11713559.734546266</v>
      </c>
      <c r="F527" s="86" t="s">
        <v>575</v>
      </c>
      <c r="G527" s="25">
        <f t="shared" si="13"/>
        <v>2.051218040733116E-2</v>
      </c>
      <c r="I527" s="86">
        <v>459.26415200790177</v>
      </c>
      <c r="J527" s="86">
        <v>462.43132425011254</v>
      </c>
      <c r="K527" s="86">
        <v>445.16419130822777</v>
      </c>
      <c r="L527" s="86">
        <v>449.04216403838501</v>
      </c>
      <c r="M527" s="86">
        <v>1501732.8112474442</v>
      </c>
      <c r="N527" s="86" t="s">
        <v>575</v>
      </c>
      <c r="O527" s="25">
        <f t="shared" si="14"/>
        <v>2.2763982512437275E-2</v>
      </c>
    </row>
    <row r="528" spans="1:15">
      <c r="A528" s="86">
        <v>474.96649932058489</v>
      </c>
      <c r="B528" s="86">
        <v>483.08524792947514</v>
      </c>
      <c r="C528" s="86">
        <v>461.43853592251901</v>
      </c>
      <c r="D528" s="86">
        <v>481.95217015032176</v>
      </c>
      <c r="E528" s="86">
        <v>16899985.863554809</v>
      </c>
      <c r="F528" s="86" t="s">
        <v>576</v>
      </c>
      <c r="G528" s="25">
        <f t="shared" si="13"/>
        <v>-1.4494531329858007E-2</v>
      </c>
      <c r="I528" s="86">
        <v>448.43290647728799</v>
      </c>
      <c r="J528" s="86">
        <v>453.655114143834</v>
      </c>
      <c r="K528" s="86">
        <v>435.55146089980798</v>
      </c>
      <c r="L528" s="86">
        <v>444.85472715021024</v>
      </c>
      <c r="M528" s="86">
        <v>1895292.5720294924</v>
      </c>
      <c r="N528" s="86" t="s">
        <v>576</v>
      </c>
      <c r="O528" s="25">
        <f t="shared" si="14"/>
        <v>8.0434782608695965E-3</v>
      </c>
    </row>
    <row r="529" spans="1:15">
      <c r="A529" s="86">
        <v>491.75575615256179</v>
      </c>
      <c r="B529" s="86">
        <v>494.67338216963043</v>
      </c>
      <c r="C529" s="86">
        <v>446.49176208794813</v>
      </c>
      <c r="D529" s="86">
        <v>446.81690614631384</v>
      </c>
      <c r="E529" s="86">
        <v>29723981.636252075</v>
      </c>
      <c r="F529" s="86" t="s">
        <v>577</v>
      </c>
      <c r="G529" s="25">
        <f t="shared" si="13"/>
        <v>0.10057553639551031</v>
      </c>
      <c r="I529" s="86">
        <v>447.02097625633297</v>
      </c>
      <c r="J529" s="86">
        <v>452.91046601360426</v>
      </c>
      <c r="K529" s="86">
        <v>421.04532849273591</v>
      </c>
      <c r="L529" s="86">
        <v>424.78307527629153</v>
      </c>
      <c r="M529" s="86">
        <v>2369566.8173580333</v>
      </c>
      <c r="N529" s="86" t="s">
        <v>577</v>
      </c>
      <c r="O529" s="25">
        <f t="shared" si="14"/>
        <v>5.2351193525253414E-2</v>
      </c>
    </row>
    <row r="530" spans="1:15">
      <c r="A530" s="86">
        <v>450.01908247870381</v>
      </c>
      <c r="B530" s="86">
        <v>475.39017188148574</v>
      </c>
      <c r="C530" s="86">
        <v>442.98414739769942</v>
      </c>
      <c r="D530" s="86">
        <v>472.62152096025011</v>
      </c>
      <c r="E530" s="86">
        <v>19286484.124972031</v>
      </c>
      <c r="F530" s="86" t="s">
        <v>578</v>
      </c>
      <c r="G530" s="25">
        <f t="shared" si="13"/>
        <v>-4.7823549032688373E-2</v>
      </c>
      <c r="I530" s="86">
        <v>428.76259093329827</v>
      </c>
      <c r="J530" s="86">
        <v>436.52820714855085</v>
      </c>
      <c r="K530" s="86">
        <v>423.02783325503577</v>
      </c>
      <c r="L530" s="86">
        <v>433.67049906435767</v>
      </c>
      <c r="M530" s="86">
        <v>2224732.2094114162</v>
      </c>
      <c r="N530" s="86" t="s">
        <v>578</v>
      </c>
      <c r="O530" s="25">
        <f t="shared" si="14"/>
        <v>-1.1317136262780636E-2</v>
      </c>
    </row>
    <row r="531" spans="1:15">
      <c r="A531" s="86">
        <v>456.73872635159597</v>
      </c>
      <c r="B531" s="86">
        <v>473.6856287876289</v>
      </c>
      <c r="C531" s="86">
        <v>436.28420922531427</v>
      </c>
      <c r="D531" s="86">
        <v>442.92503029617836</v>
      </c>
      <c r="E531" s="86">
        <v>31752504.295762185</v>
      </c>
      <c r="F531" s="86" t="s">
        <v>579</v>
      </c>
      <c r="G531" s="25">
        <f t="shared" si="13"/>
        <v>3.1187436045735595E-2</v>
      </c>
      <c r="I531" s="86">
        <v>416.63546424098604</v>
      </c>
      <c r="J531" s="86">
        <v>424.45910498586693</v>
      </c>
      <c r="K531" s="86">
        <v>405.08858284495665</v>
      </c>
      <c r="L531" s="86">
        <v>408.29927348438861</v>
      </c>
      <c r="M531" s="86">
        <v>2035393.3199731137</v>
      </c>
      <c r="N531" s="86" t="s">
        <v>579</v>
      </c>
      <c r="O531" s="25">
        <f t="shared" si="14"/>
        <v>2.0416864045476046E-2</v>
      </c>
    </row>
    <row r="532" spans="1:15">
      <c r="A532" s="86">
        <v>458.66988500128343</v>
      </c>
      <c r="B532" s="86">
        <v>476.18825275201988</v>
      </c>
      <c r="C532" s="86">
        <v>457.40872016883446</v>
      </c>
      <c r="D532" s="86">
        <v>474.19797700081131</v>
      </c>
      <c r="E532" s="86">
        <v>31428984.713307835</v>
      </c>
      <c r="F532" s="86" t="s">
        <v>580</v>
      </c>
      <c r="G532" s="25">
        <f t="shared" si="13"/>
        <v>-3.2746010638297851E-2</v>
      </c>
      <c r="I532" s="86">
        <v>417.92167464774639</v>
      </c>
      <c r="J532" s="86">
        <v>439.94681901915084</v>
      </c>
      <c r="K532" s="86">
        <v>417.9023331378703</v>
      </c>
      <c r="L532" s="86">
        <v>435.18397221216219</v>
      </c>
      <c r="M532" s="86">
        <v>2474203.9430511645</v>
      </c>
      <c r="N532" s="86" t="s">
        <v>580</v>
      </c>
      <c r="O532" s="25">
        <f t="shared" si="14"/>
        <v>-3.9666666666666739E-2</v>
      </c>
    </row>
    <row r="533" spans="1:15">
      <c r="A533" s="86">
        <v>486.88844812732907</v>
      </c>
      <c r="B533" s="86">
        <v>496.24865586816122</v>
      </c>
      <c r="C533" s="86">
        <v>486.23816001059754</v>
      </c>
      <c r="D533" s="86">
        <v>493.62779770072819</v>
      </c>
      <c r="E533" s="86">
        <v>16468354.417772302</v>
      </c>
      <c r="F533" s="86" t="s">
        <v>581</v>
      </c>
      <c r="G533" s="25">
        <f t="shared" si="13"/>
        <v>-1.3652694610778338E-2</v>
      </c>
      <c r="I533" s="86">
        <v>439.80659307254911</v>
      </c>
      <c r="J533" s="86">
        <v>446.66944431433495</v>
      </c>
      <c r="K533" s="86">
        <v>435.9577293147554</v>
      </c>
      <c r="L533" s="86">
        <v>438.57840719541701</v>
      </c>
      <c r="M533" s="86">
        <v>1875923.8669801007</v>
      </c>
      <c r="N533" s="86" t="s">
        <v>581</v>
      </c>
      <c r="O533" s="25">
        <f t="shared" si="14"/>
        <v>2.8003792639632596E-3</v>
      </c>
    </row>
    <row r="534" spans="1:15">
      <c r="A534" s="86">
        <v>511.27425250476017</v>
      </c>
      <c r="B534" s="86">
        <v>513.81628787016518</v>
      </c>
      <c r="C534" s="86">
        <v>502.42619592010539</v>
      </c>
      <c r="D534" s="86">
        <v>502.63330283243408</v>
      </c>
      <c r="E534" s="86">
        <v>6402860.9363611965</v>
      </c>
      <c r="F534" s="86" t="s">
        <v>582</v>
      </c>
      <c r="G534" s="25">
        <f t="shared" si="13"/>
        <v>1.7191359234719705E-2</v>
      </c>
      <c r="I534" s="86">
        <v>437.95947887938195</v>
      </c>
      <c r="J534" s="86">
        <v>440.90905913548664</v>
      </c>
      <c r="K534" s="86">
        <v>430.35826549807621</v>
      </c>
      <c r="L534" s="86">
        <v>431.52842684558004</v>
      </c>
      <c r="M534" s="86">
        <v>1313568.5974236901</v>
      </c>
      <c r="N534" s="86" t="s">
        <v>582</v>
      </c>
      <c r="O534" s="25">
        <f t="shared" si="14"/>
        <v>1.4902962664156583E-2</v>
      </c>
    </row>
    <row r="535" spans="1:15">
      <c r="A535" s="86">
        <v>508.21001607591933</v>
      </c>
      <c r="B535" s="86">
        <v>509.73720786521307</v>
      </c>
      <c r="C535" s="86">
        <v>501.39184370049213</v>
      </c>
      <c r="D535" s="86">
        <v>504.82063558871278</v>
      </c>
      <c r="E535" s="86">
        <v>7811969.9396222057</v>
      </c>
      <c r="F535" s="86" t="s">
        <v>583</v>
      </c>
      <c r="G535" s="25">
        <f t="shared" si="13"/>
        <v>6.7140291982199507E-3</v>
      </c>
      <c r="I535" s="86">
        <v>433.86874954058766</v>
      </c>
      <c r="J535" s="86">
        <v>436.3928165794182</v>
      </c>
      <c r="K535" s="86">
        <v>429.84571548635967</v>
      </c>
      <c r="L535" s="86">
        <v>433.24982122455259</v>
      </c>
      <c r="M535" s="86">
        <v>1077910.6767546763</v>
      </c>
      <c r="N535" s="86" t="s">
        <v>583</v>
      </c>
      <c r="O535" s="25">
        <f t="shared" si="14"/>
        <v>1.4285714285713347E-3</v>
      </c>
    </row>
    <row r="536" spans="1:15">
      <c r="A536" s="86">
        <v>506.3478273780064</v>
      </c>
      <c r="B536" s="86">
        <v>507.74693211400455</v>
      </c>
      <c r="C536" s="86">
        <v>495.24366514230343</v>
      </c>
      <c r="D536" s="86">
        <v>497.87437615998994</v>
      </c>
      <c r="E536" s="86">
        <v>8319083.096875486</v>
      </c>
      <c r="F536" s="86" t="s">
        <v>584</v>
      </c>
      <c r="G536" s="25">
        <f t="shared" si="13"/>
        <v>1.7019255506520725E-2</v>
      </c>
      <c r="I536" s="86">
        <v>432.00229383754436</v>
      </c>
      <c r="J536" s="86">
        <v>436.20907223559527</v>
      </c>
      <c r="K536" s="86">
        <v>426.22885313952969</v>
      </c>
      <c r="L536" s="86">
        <v>427.02669042191866</v>
      </c>
      <c r="M536" s="86">
        <v>1747720.8458155249</v>
      </c>
      <c r="N536" s="86" t="s">
        <v>584</v>
      </c>
      <c r="O536" s="25">
        <f t="shared" si="14"/>
        <v>1.1651738702116221E-2</v>
      </c>
    </row>
    <row r="537" spans="1:15">
      <c r="A537" s="86">
        <v>503.28359094916561</v>
      </c>
      <c r="B537" s="86">
        <v>512.80144429405391</v>
      </c>
      <c r="C537" s="86">
        <v>502.65300853294116</v>
      </c>
      <c r="D537" s="86">
        <v>512.11174477630834</v>
      </c>
      <c r="E537" s="86">
        <v>5918889.3060908141</v>
      </c>
      <c r="F537" s="86" t="s">
        <v>585</v>
      </c>
      <c r="G537" s="25">
        <f t="shared" si="13"/>
        <v>-1.7238725565645652E-2</v>
      </c>
      <c r="I537" s="86">
        <v>426.95415975988328</v>
      </c>
      <c r="J537" s="86">
        <v>431.0835721184298</v>
      </c>
      <c r="K537" s="86">
        <v>425.08770405684004</v>
      </c>
      <c r="L537" s="86">
        <v>427.66979562529889</v>
      </c>
      <c r="M537" s="86">
        <v>1650170.0334907931</v>
      </c>
      <c r="N537" s="86" t="s">
        <v>585</v>
      </c>
      <c r="O537" s="25">
        <f t="shared" si="14"/>
        <v>-1.6733374036136395E-3</v>
      </c>
    </row>
    <row r="538" spans="1:15">
      <c r="A538" s="86">
        <v>513.54040806306705</v>
      </c>
      <c r="B538" s="86">
        <v>516.95737653098342</v>
      </c>
      <c r="C538" s="86">
        <v>511.58954371287251</v>
      </c>
      <c r="D538" s="86">
        <v>513.61923086509501</v>
      </c>
      <c r="E538" s="86">
        <v>5617590.7048111307</v>
      </c>
      <c r="F538" s="86" t="s">
        <v>586</v>
      </c>
      <c r="G538" s="25">
        <f t="shared" si="13"/>
        <v>-1.5346544150074415E-4</v>
      </c>
      <c r="I538" s="86">
        <v>427.71814939998904</v>
      </c>
      <c r="J538" s="86">
        <v>433.38859655791356</v>
      </c>
      <c r="K538" s="86">
        <v>425.72597388275119</v>
      </c>
      <c r="L538" s="86">
        <v>431.34468250175706</v>
      </c>
      <c r="M538" s="86">
        <v>1612703.4652320452</v>
      </c>
      <c r="N538" s="86" t="s">
        <v>586</v>
      </c>
      <c r="O538" s="25">
        <f t="shared" si="14"/>
        <v>-8.407506221554617E-3</v>
      </c>
    </row>
    <row r="539" spans="1:15">
      <c r="A539" s="86">
        <v>514.95714942157781</v>
      </c>
      <c r="B539" s="86">
        <v>521.78122025344283</v>
      </c>
      <c r="C539" s="86">
        <v>513.62179167606178</v>
      </c>
      <c r="D539" s="86">
        <v>520.94662166249532</v>
      </c>
      <c r="E539" s="86">
        <v>4511368.8674280494</v>
      </c>
      <c r="F539" s="86" t="s">
        <v>587</v>
      </c>
      <c r="G539" s="25">
        <f t="shared" si="13"/>
        <v>-1.1497285886610253E-2</v>
      </c>
      <c r="I539" s="86">
        <v>430.512997577085</v>
      </c>
      <c r="J539" s="86">
        <v>436.34436609717858</v>
      </c>
      <c r="K539" s="86">
        <v>428.41444375552857</v>
      </c>
      <c r="L539" s="86">
        <v>429.65230038759864</v>
      </c>
      <c r="M539" s="86">
        <v>1395903.4311673641</v>
      </c>
      <c r="N539" s="86" t="s">
        <v>587</v>
      </c>
      <c r="O539" s="25">
        <f t="shared" si="14"/>
        <v>2.0032411992438881E-3</v>
      </c>
    </row>
    <row r="540" spans="1:15">
      <c r="A540" s="86">
        <v>521.03499092506627</v>
      </c>
      <c r="B540" s="86">
        <v>521.96777758553708</v>
      </c>
      <c r="C540" s="86">
        <v>519.52289465440845</v>
      </c>
      <c r="D540" s="86">
        <v>520.97607808335238</v>
      </c>
      <c r="E540" s="86">
        <v>6375722.6620270433</v>
      </c>
      <c r="F540" s="86" t="s">
        <v>588</v>
      </c>
      <c r="G540" s="25">
        <f t="shared" si="13"/>
        <v>1.1308166380818996E-4</v>
      </c>
      <c r="I540" s="86">
        <v>427.51506354629009</v>
      </c>
      <c r="J540" s="86">
        <v>429.39119000427138</v>
      </c>
      <c r="K540" s="86">
        <v>418.74368881748052</v>
      </c>
      <c r="L540" s="86">
        <v>422.38956342912462</v>
      </c>
      <c r="M540" s="86">
        <v>1654644.348089518</v>
      </c>
      <c r="N540" s="86" t="s">
        <v>588</v>
      </c>
      <c r="O540" s="25">
        <f t="shared" si="14"/>
        <v>1.2134533049431129E-2</v>
      </c>
    </row>
    <row r="541" spans="1:15">
      <c r="A541" s="86">
        <v>519.79782124907342</v>
      </c>
      <c r="B541" s="86">
        <v>520.77970194430588</v>
      </c>
      <c r="C541" s="86">
        <v>516.35142000880774</v>
      </c>
      <c r="D541" s="86">
        <v>516.94054842594721</v>
      </c>
      <c r="E541" s="86">
        <v>22789191.302619595</v>
      </c>
      <c r="F541" s="86" t="s">
        <v>589</v>
      </c>
      <c r="G541" s="25">
        <f t="shared" si="13"/>
        <v>5.5272754900470566E-3</v>
      </c>
      <c r="I541" s="86">
        <v>420.65849829521403</v>
      </c>
      <c r="J541" s="86">
        <v>421.42239122777045</v>
      </c>
      <c r="K541" s="86">
        <v>410.33013202137869</v>
      </c>
      <c r="L541" s="86">
        <v>411.61634242813909</v>
      </c>
      <c r="M541" s="86">
        <v>3118023.3800946912</v>
      </c>
      <c r="N541" s="86" t="s">
        <v>589</v>
      </c>
      <c r="O541" s="25">
        <f t="shared" si="14"/>
        <v>2.1967436505885507E-2</v>
      </c>
    </row>
    <row r="542" spans="1:15">
      <c r="A542" s="86">
        <v>510.83325050160175</v>
      </c>
      <c r="B542" s="86">
        <v>511.51074818131212</v>
      </c>
      <c r="C542" s="86">
        <v>505.32980920482419</v>
      </c>
      <c r="D542" s="86">
        <v>506.44424379391296</v>
      </c>
      <c r="E542" s="86">
        <v>5152368.3320840271</v>
      </c>
      <c r="F542" s="86" t="s">
        <v>590</v>
      </c>
      <c r="G542" s="25">
        <f t="shared" ref="G542:G605" si="15">A542/D542-1</f>
        <v>8.6663176874308689E-3</v>
      </c>
      <c r="I542" s="86">
        <v>425.22309462597269</v>
      </c>
      <c r="J542" s="86">
        <v>465.64685026701352</v>
      </c>
      <c r="K542" s="86">
        <v>418.26982182551615</v>
      </c>
      <c r="L542" s="86">
        <v>462.34912283313912</v>
      </c>
      <c r="M542" s="86">
        <v>7384868.1367180739</v>
      </c>
      <c r="N542" s="86" t="s">
        <v>590</v>
      </c>
      <c r="O542" s="25">
        <f t="shared" ref="O542:O605" si="16">I542/L542-1</f>
        <v>-8.0298688531447948E-2</v>
      </c>
    </row>
    <row r="543" spans="1:15">
      <c r="A543" s="86">
        <v>510.70560601122156</v>
      </c>
      <c r="B543" s="86">
        <v>515.10934092933883</v>
      </c>
      <c r="C543" s="86">
        <v>507.9465212576186</v>
      </c>
      <c r="D543" s="86">
        <v>508.57492490256732</v>
      </c>
      <c r="E543" s="86">
        <v>6141007.7917591697</v>
      </c>
      <c r="F543" s="86" t="s">
        <v>591</v>
      </c>
      <c r="G543" s="25">
        <f t="shared" si="15"/>
        <v>4.1895127036835067E-3</v>
      </c>
      <c r="I543" s="86">
        <v>451.37281597845464</v>
      </c>
      <c r="J543" s="86">
        <v>454.43109552006291</v>
      </c>
      <c r="K543" s="86">
        <v>448.92611497912844</v>
      </c>
      <c r="L543" s="86">
        <v>453.71313867346225</v>
      </c>
      <c r="M543" s="86">
        <v>953476.75120192219</v>
      </c>
      <c r="N543" s="86" t="s">
        <v>591</v>
      </c>
      <c r="O543" s="25">
        <f t="shared" si="16"/>
        <v>-5.1581550004262677E-3</v>
      </c>
    </row>
    <row r="544" spans="1:15">
      <c r="A544" s="86">
        <v>511.88386284550046</v>
      </c>
      <c r="B544" s="86">
        <v>515.44808976919398</v>
      </c>
      <c r="C544" s="86">
        <v>507.06194493928365</v>
      </c>
      <c r="D544" s="86">
        <v>508.16253501056963</v>
      </c>
      <c r="E544" s="86">
        <v>5473118.0947886109</v>
      </c>
      <c r="F544" s="86" t="s">
        <v>592</v>
      </c>
      <c r="G544" s="25">
        <f t="shared" si="15"/>
        <v>7.3231054604476764E-3</v>
      </c>
      <c r="I544" s="86">
        <v>455.05737360985091</v>
      </c>
      <c r="J544" s="86">
        <v>460.02814164800759</v>
      </c>
      <c r="K544" s="86">
        <v>451.40163482816996</v>
      </c>
      <c r="L544" s="86">
        <v>455.71498494563821</v>
      </c>
      <c r="M544" s="86">
        <v>1160873.1760776029</v>
      </c>
      <c r="N544" s="86" t="s">
        <v>592</v>
      </c>
      <c r="O544" s="25">
        <f t="shared" si="16"/>
        <v>-1.4430320650213879E-3</v>
      </c>
    </row>
    <row r="545" spans="1:15">
      <c r="A545" s="86">
        <v>506.56206947734086</v>
      </c>
      <c r="B545" s="86">
        <v>510.10665878712979</v>
      </c>
      <c r="C545" s="86">
        <v>504.75619450266942</v>
      </c>
      <c r="D545" s="86">
        <v>509.91028264808335</v>
      </c>
      <c r="E545" s="86">
        <v>6121515.6069215089</v>
      </c>
      <c r="F545" s="86" t="s">
        <v>593</v>
      </c>
      <c r="G545" s="25">
        <f t="shared" si="15"/>
        <v>-6.5662789802050092E-3</v>
      </c>
      <c r="I545" s="86">
        <v>453.82918773271876</v>
      </c>
      <c r="J545" s="86">
        <v>456.09697976569106</v>
      </c>
      <c r="K545" s="86">
        <v>450.06726406181809</v>
      </c>
      <c r="L545" s="86">
        <v>452.70738015990526</v>
      </c>
      <c r="M545" s="86">
        <v>911982.57597251714</v>
      </c>
      <c r="N545" s="86" t="s">
        <v>593</v>
      </c>
      <c r="O545" s="25">
        <f t="shared" si="16"/>
        <v>2.4779970947619301E-3</v>
      </c>
    </row>
    <row r="546" spans="1:15">
      <c r="A546" s="86">
        <v>511.962413301119</v>
      </c>
      <c r="B546" s="86">
        <v>514.34838339053374</v>
      </c>
      <c r="C546" s="86">
        <v>507.71086989076281</v>
      </c>
      <c r="D546" s="86">
        <v>508.07416574799879</v>
      </c>
      <c r="E546" s="86">
        <v>6385544.6292444738</v>
      </c>
      <c r="F546" s="86" t="s">
        <v>594</v>
      </c>
      <c r="G546" s="25">
        <f t="shared" si="15"/>
        <v>7.6529133249587655E-3</v>
      </c>
      <c r="I546" s="86">
        <v>452.2141716580648</v>
      </c>
      <c r="J546" s="86">
        <v>456.72074345919515</v>
      </c>
      <c r="K546" s="86">
        <v>447.59155079767783</v>
      </c>
      <c r="L546" s="86">
        <v>448.56829704642064</v>
      </c>
      <c r="M546" s="86">
        <v>1087363.9201245732</v>
      </c>
      <c r="N546" s="86" t="s">
        <v>594</v>
      </c>
      <c r="O546" s="25">
        <f t="shared" si="16"/>
        <v>8.127802690583108E-3</v>
      </c>
    </row>
    <row r="547" spans="1:15">
      <c r="A547" s="86">
        <v>508.08398455495109</v>
      </c>
      <c r="B547" s="86">
        <v>509.02659002237414</v>
      </c>
      <c r="C547" s="86">
        <v>501.58393435251264</v>
      </c>
      <c r="D547" s="86">
        <v>502.01596185841487</v>
      </c>
      <c r="E547" s="86">
        <v>7549044.4368556393</v>
      </c>
      <c r="F547" s="86" t="s">
        <v>595</v>
      </c>
      <c r="G547" s="25">
        <f t="shared" si="15"/>
        <v>1.2087310280081587E-2</v>
      </c>
      <c r="I547" s="86">
        <v>450.82158294698587</v>
      </c>
      <c r="J547" s="86">
        <v>453.55840659445346</v>
      </c>
      <c r="K547" s="86">
        <v>446.75019511806761</v>
      </c>
      <c r="L547" s="86">
        <v>450.57981407353469</v>
      </c>
      <c r="M547" s="86">
        <v>1005773.5990943455</v>
      </c>
      <c r="N547" s="86" t="s">
        <v>595</v>
      </c>
      <c r="O547" s="25">
        <f t="shared" si="16"/>
        <v>5.365728021977656E-4</v>
      </c>
    </row>
    <row r="548" spans="1:15">
      <c r="A548" s="86">
        <v>497.86260651758192</v>
      </c>
      <c r="B548" s="86">
        <v>504.74559019116089</v>
      </c>
      <c r="C548" s="86">
        <v>496.26214098435315</v>
      </c>
      <c r="D548" s="86">
        <v>504.20555580878312</v>
      </c>
      <c r="E548" s="86">
        <v>22049518.953905061</v>
      </c>
      <c r="F548" s="86" t="s">
        <v>596</v>
      </c>
      <c r="G548" s="25">
        <f t="shared" si="15"/>
        <v>-1.2580086074273078E-2</v>
      </c>
      <c r="I548" s="86">
        <v>452.52363581608233</v>
      </c>
      <c r="J548" s="86">
        <v>453.10388111236517</v>
      </c>
      <c r="K548" s="86">
        <v>444.71933658107758</v>
      </c>
      <c r="L548" s="86">
        <v>444.90308092490045</v>
      </c>
      <c r="M548" s="86">
        <v>1198987.0567788749</v>
      </c>
      <c r="N548" s="86" t="s">
        <v>596</v>
      </c>
      <c r="O548" s="25">
        <f t="shared" si="16"/>
        <v>1.7128572981197632E-2</v>
      </c>
    </row>
    <row r="549" spans="1:15">
      <c r="A549" s="86">
        <v>504.45102598259126</v>
      </c>
      <c r="B549" s="86">
        <v>508.35891114961618</v>
      </c>
      <c r="C549" s="86">
        <v>499.87546194280833</v>
      </c>
      <c r="D549" s="86">
        <v>507.52431255866861</v>
      </c>
      <c r="E549" s="86">
        <v>8749082.2884208206</v>
      </c>
      <c r="F549" s="86" t="s">
        <v>597</v>
      </c>
      <c r="G549" s="25">
        <f t="shared" si="15"/>
        <v>-6.0554470003288952E-3</v>
      </c>
      <c r="I549" s="86">
        <v>446.30534039091742</v>
      </c>
      <c r="J549" s="86">
        <v>451.45018201795898</v>
      </c>
      <c r="K549" s="86">
        <v>440.98652188254039</v>
      </c>
      <c r="L549" s="86">
        <v>449.82549518836692</v>
      </c>
      <c r="M549" s="86">
        <v>1314794.9753100057</v>
      </c>
      <c r="N549" s="86" t="s">
        <v>597</v>
      </c>
      <c r="O549" s="25">
        <f t="shared" si="16"/>
        <v>-7.8256008943543565E-3</v>
      </c>
    </row>
    <row r="550" spans="1:15">
      <c r="A550" s="86">
        <v>502.01596185841487</v>
      </c>
      <c r="B550" s="86">
        <v>508.15261801554783</v>
      </c>
      <c r="C550" s="86">
        <v>498.33390925129345</v>
      </c>
      <c r="D550" s="86">
        <v>505.01069797887374</v>
      </c>
      <c r="E550" s="86">
        <v>11415759.62785084</v>
      </c>
      <c r="F550" s="86" t="s">
        <v>598</v>
      </c>
      <c r="G550" s="25">
        <f t="shared" si="15"/>
        <v>-5.9300449127993593E-3</v>
      </c>
      <c r="I550" s="86">
        <v>453.44235753519689</v>
      </c>
      <c r="J550" s="86">
        <v>462.89068510966979</v>
      </c>
      <c r="K550" s="86">
        <v>451.17940087969367</v>
      </c>
      <c r="L550" s="86">
        <v>461.0145586516885</v>
      </c>
      <c r="M550" s="86">
        <v>1506693.12720078</v>
      </c>
      <c r="N550" s="86" t="s">
        <v>598</v>
      </c>
      <c r="O550" s="25">
        <f t="shared" si="16"/>
        <v>-1.6425080237460921E-2</v>
      </c>
    </row>
    <row r="551" spans="1:15">
      <c r="A551" s="86">
        <v>506.16931719924793</v>
      </c>
      <c r="B551" s="86">
        <v>514.21092009320125</v>
      </c>
      <c r="C551" s="86">
        <v>501.57411554556035</v>
      </c>
      <c r="D551" s="86">
        <v>512.44353484178282</v>
      </c>
      <c r="E551" s="86">
        <v>11383145.685896903</v>
      </c>
      <c r="F551" s="86" t="s">
        <v>599</v>
      </c>
      <c r="G551" s="25">
        <f t="shared" si="15"/>
        <v>-1.2243724851504045E-2</v>
      </c>
      <c r="I551" s="86">
        <v>463.39356436644835</v>
      </c>
      <c r="J551" s="86">
        <v>477.92870903833455</v>
      </c>
      <c r="K551" s="86">
        <v>458.10366141533603</v>
      </c>
      <c r="L551" s="86">
        <v>459.8057142844325</v>
      </c>
      <c r="M551" s="86">
        <v>2362183.7329496914</v>
      </c>
      <c r="N551" s="86" t="s">
        <v>599</v>
      </c>
      <c r="O551" s="25">
        <f t="shared" si="16"/>
        <v>7.802969755605238E-3</v>
      </c>
    </row>
    <row r="552" spans="1:15">
      <c r="A552" s="86">
        <v>519.91564693250132</v>
      </c>
      <c r="B552" s="86">
        <v>521.26082348496971</v>
      </c>
      <c r="C552" s="86">
        <v>510.70560601122156</v>
      </c>
      <c r="D552" s="86">
        <v>515.38917692747998</v>
      </c>
      <c r="E552" s="86">
        <v>7443144.6055371407</v>
      </c>
      <c r="F552" s="86" t="s">
        <v>600</v>
      </c>
      <c r="G552" s="25">
        <f t="shared" si="15"/>
        <v>8.782625261954724E-3</v>
      </c>
      <c r="I552" s="86">
        <v>458.05530764064576</v>
      </c>
      <c r="J552" s="86">
        <v>461.76887753685628</v>
      </c>
      <c r="K552" s="86">
        <v>442.92057616260064</v>
      </c>
      <c r="L552" s="86">
        <v>442.92057616260064</v>
      </c>
      <c r="M552" s="86">
        <v>2242984.1453906386</v>
      </c>
      <c r="N552" s="86" t="s">
        <v>600</v>
      </c>
      <c r="O552" s="25">
        <f t="shared" si="16"/>
        <v>3.4170305676855639E-2</v>
      </c>
    </row>
    <row r="553" spans="1:15">
      <c r="A553" s="86">
        <v>517.12710575804135</v>
      </c>
      <c r="B553" s="86">
        <v>523.76461925781223</v>
      </c>
      <c r="C553" s="86">
        <v>514.72149805472202</v>
      </c>
      <c r="D553" s="86">
        <v>519.60144511002704</v>
      </c>
      <c r="E553" s="86">
        <v>7362326.2328108912</v>
      </c>
      <c r="F553" s="86" t="s">
        <v>601</v>
      </c>
      <c r="G553" s="25">
        <f t="shared" si="15"/>
        <v>-4.7619947466884804E-3</v>
      </c>
      <c r="I553" s="86">
        <v>446.30534039091742</v>
      </c>
      <c r="J553" s="86">
        <v>448.23949137852702</v>
      </c>
      <c r="K553" s="86">
        <v>438.48169964603659</v>
      </c>
      <c r="L553" s="86">
        <v>446.13126680203254</v>
      </c>
      <c r="M553" s="86">
        <v>1443298.903696266</v>
      </c>
      <c r="N553" s="86" t="s">
        <v>601</v>
      </c>
      <c r="O553" s="25">
        <f t="shared" si="16"/>
        <v>3.9018468741880419E-4</v>
      </c>
    </row>
    <row r="554" spans="1:15">
      <c r="A554" s="86">
        <v>526.68080492265244</v>
      </c>
      <c r="B554" s="86">
        <v>528.04571727709504</v>
      </c>
      <c r="C554" s="86">
        <v>517.38239473880174</v>
      </c>
      <c r="D554" s="86">
        <v>520.64223864697328</v>
      </c>
      <c r="E554" s="86">
        <v>6336559.0445053661</v>
      </c>
      <c r="F554" s="86" t="s">
        <v>602</v>
      </c>
      <c r="G554" s="25">
        <f t="shared" si="15"/>
        <v>1.1598302687411577E-2</v>
      </c>
      <c r="I554" s="86">
        <v>445.26089885760825</v>
      </c>
      <c r="J554" s="86">
        <v>448.22014986865099</v>
      </c>
      <c r="K554" s="86">
        <v>434.57471465106516</v>
      </c>
      <c r="L554" s="86">
        <v>436.27676752016163</v>
      </c>
      <c r="M554" s="86">
        <v>2130209.0821213657</v>
      </c>
      <c r="N554" s="86" t="s">
        <v>602</v>
      </c>
      <c r="O554" s="25">
        <f t="shared" si="16"/>
        <v>2.0592733801786611E-2</v>
      </c>
    </row>
    <row r="555" spans="1:15">
      <c r="A555" s="86">
        <v>520.83861478601978</v>
      </c>
      <c r="B555" s="86">
        <v>528.52664244161986</v>
      </c>
      <c r="C555" s="86">
        <v>516.62634660347283</v>
      </c>
      <c r="D555" s="86">
        <v>523.4013234005763</v>
      </c>
      <c r="E555" s="86">
        <v>10670782.153956339</v>
      </c>
      <c r="F555" s="86" t="s">
        <v>603</v>
      </c>
      <c r="G555" s="25">
        <f t="shared" si="15"/>
        <v>-4.8962593329081594E-3</v>
      </c>
      <c r="I555" s="86">
        <v>434.04282312947248</v>
      </c>
      <c r="J555" s="86">
        <v>448.47062242154635</v>
      </c>
      <c r="K555" s="86">
        <v>433.7236882165169</v>
      </c>
      <c r="L555" s="86">
        <v>435.93829109732991</v>
      </c>
      <c r="M555" s="86">
        <v>2345891.3130704421</v>
      </c>
      <c r="N555" s="86" t="s">
        <v>603</v>
      </c>
      <c r="O555" s="25">
        <f t="shared" si="16"/>
        <v>-4.3480189893074783E-3</v>
      </c>
    </row>
    <row r="556" spans="1:15">
      <c r="A556" s="86">
        <v>527.19138288417332</v>
      </c>
      <c r="B556" s="86">
        <v>539.33724708419788</v>
      </c>
      <c r="C556" s="86">
        <v>523.58886261336568</v>
      </c>
      <c r="D556" s="86">
        <v>538.2669971263947</v>
      </c>
      <c r="E556" s="86">
        <v>7424525.2354967985</v>
      </c>
      <c r="F556" s="86" t="s">
        <v>604</v>
      </c>
      <c r="G556" s="25">
        <f t="shared" si="15"/>
        <v>-2.0576431959139052E-2</v>
      </c>
      <c r="I556" s="86">
        <v>437.06009867014347</v>
      </c>
      <c r="J556" s="86">
        <v>439.46811664971744</v>
      </c>
      <c r="K556" s="86">
        <v>434.05249388441052</v>
      </c>
      <c r="L556" s="86">
        <v>437.95947887938195</v>
      </c>
      <c r="M556" s="86">
        <v>1633188.9393516062</v>
      </c>
      <c r="N556" s="86" t="s">
        <v>604</v>
      </c>
      <c r="O556" s="25">
        <f t="shared" si="16"/>
        <v>-2.0535694570186225E-3</v>
      </c>
    </row>
    <row r="557" spans="1:15">
      <c r="A557" s="86">
        <v>536.43088022631014</v>
      </c>
      <c r="B557" s="86">
        <v>536.9807334156402</v>
      </c>
      <c r="C557" s="86">
        <v>525.87566275256199</v>
      </c>
      <c r="D557" s="86">
        <v>528.66420392702184</v>
      </c>
      <c r="E557" s="86">
        <v>7463280.4530958105</v>
      </c>
      <c r="F557" s="86" t="s">
        <v>605</v>
      </c>
      <c r="G557" s="25">
        <f t="shared" si="15"/>
        <v>1.4691133315998917E-2</v>
      </c>
      <c r="I557" s="86">
        <v>432.35044099672791</v>
      </c>
      <c r="J557" s="86">
        <v>432.76323645297185</v>
      </c>
      <c r="K557" s="86">
        <v>427.22409742383775</v>
      </c>
      <c r="L557" s="86">
        <v>429.11527660709498</v>
      </c>
      <c r="M557" s="86">
        <v>1493316.4371743668</v>
      </c>
      <c r="N557" s="86" t="s">
        <v>605</v>
      </c>
      <c r="O557" s="25">
        <f t="shared" si="16"/>
        <v>7.5391498881431929E-3</v>
      </c>
    </row>
    <row r="558" spans="1:15">
      <c r="A558" s="86">
        <v>528.22235761416732</v>
      </c>
      <c r="B558" s="86">
        <v>539.91655669438501</v>
      </c>
      <c r="C558" s="86">
        <v>527.8590617569314</v>
      </c>
      <c r="D558" s="86">
        <v>538.88558196439112</v>
      </c>
      <c r="E558" s="86">
        <v>5623240.2030200129</v>
      </c>
      <c r="F558" s="86" t="s">
        <v>606</v>
      </c>
      <c r="G558" s="25">
        <f t="shared" si="15"/>
        <v>-1.9787548056775406E-2</v>
      </c>
      <c r="I558" s="86">
        <v>428.59688231320717</v>
      </c>
      <c r="J558" s="86">
        <v>429.192075761745</v>
      </c>
      <c r="K558" s="86">
        <v>423.7873352532485</v>
      </c>
      <c r="L558" s="86">
        <v>424.49772743376138</v>
      </c>
      <c r="M558" s="86">
        <v>1518831.3013539168</v>
      </c>
      <c r="N558" s="86" t="s">
        <v>606</v>
      </c>
      <c r="O558" s="25">
        <f t="shared" si="16"/>
        <v>9.6564825075191596E-3</v>
      </c>
    </row>
    <row r="559" spans="1:15">
      <c r="A559" s="86">
        <v>536.84327011830771</v>
      </c>
      <c r="B559" s="86">
        <v>541.35501191290052</v>
      </c>
      <c r="C559" s="86">
        <v>534.38856838022673</v>
      </c>
      <c r="D559" s="86">
        <v>538.08043979430045</v>
      </c>
      <c r="E559" s="86">
        <v>4257954.1692797067</v>
      </c>
      <c r="F559" s="86" t="s">
        <v>607</v>
      </c>
      <c r="G559" s="25">
        <f t="shared" si="15"/>
        <v>-2.2992281162751427E-3</v>
      </c>
      <c r="I559" s="86">
        <v>423.83533472490478</v>
      </c>
      <c r="J559" s="86">
        <v>430.07526604022047</v>
      </c>
      <c r="K559" s="86">
        <v>421.76175754935366</v>
      </c>
      <c r="L559" s="86">
        <v>427.99208897033816</v>
      </c>
      <c r="M559" s="86">
        <v>1528309.5306823123</v>
      </c>
      <c r="N559" s="86" t="s">
        <v>607</v>
      </c>
      <c r="O559" s="25">
        <f t="shared" si="16"/>
        <v>-9.7122221474552628E-3</v>
      </c>
    </row>
    <row r="560" spans="1:15">
      <c r="A560" s="86">
        <v>536.50943068192862</v>
      </c>
      <c r="B560" s="86">
        <v>539.80854981790947</v>
      </c>
      <c r="C560" s="86">
        <v>532.34468552503097</v>
      </c>
      <c r="D560" s="86">
        <v>539.22924020772234</v>
      </c>
      <c r="E560" s="86">
        <v>5592832.2317206748</v>
      </c>
      <c r="F560" s="86" t="s">
        <v>608</v>
      </c>
      <c r="G560" s="25">
        <f t="shared" si="15"/>
        <v>-5.0438836082887795E-3</v>
      </c>
      <c r="I560" s="86">
        <v>430.5168611794582</v>
      </c>
      <c r="J560" s="86">
        <v>433.59564329043496</v>
      </c>
      <c r="K560" s="86">
        <v>423.35534000834201</v>
      </c>
      <c r="L560" s="86">
        <v>424.07533208318614</v>
      </c>
      <c r="M560" s="86">
        <v>1787254.0475929526</v>
      </c>
      <c r="N560" s="86" t="s">
        <v>608</v>
      </c>
      <c r="O560" s="25">
        <f t="shared" si="16"/>
        <v>1.5189586870401728E-2</v>
      </c>
    </row>
    <row r="561" spans="1:15">
      <c r="A561" s="86">
        <v>539.18996497991304</v>
      </c>
      <c r="B561" s="86">
        <v>544.46266431331105</v>
      </c>
      <c r="C561" s="86">
        <v>538.57462034821094</v>
      </c>
      <c r="D561" s="86">
        <v>543.57897168760189</v>
      </c>
      <c r="E561" s="86">
        <v>4860320.6307773711</v>
      </c>
      <c r="F561" s="86" t="s">
        <v>609</v>
      </c>
      <c r="G561" s="25">
        <f t="shared" si="15"/>
        <v>-8.0742761149547038E-3</v>
      </c>
      <c r="I561" s="86">
        <v>422.65454772216037</v>
      </c>
      <c r="J561" s="86">
        <v>430.34406308149556</v>
      </c>
      <c r="K561" s="86">
        <v>420.99386200179663</v>
      </c>
      <c r="L561" s="86">
        <v>424.3153294414675</v>
      </c>
      <c r="M561" s="86">
        <v>2027272.3145126465</v>
      </c>
      <c r="N561" s="86" t="s">
        <v>609</v>
      </c>
      <c r="O561" s="25">
        <f t="shared" si="16"/>
        <v>-3.9140271493213197E-3</v>
      </c>
    </row>
    <row r="562" spans="1:15">
      <c r="A562" s="86">
        <v>541.75267359446968</v>
      </c>
      <c r="B562" s="86">
        <v>551.03144616441568</v>
      </c>
      <c r="C562" s="86">
        <v>541.27646145728193</v>
      </c>
      <c r="D562" s="86">
        <v>550.93325809489249</v>
      </c>
      <c r="E562" s="86">
        <v>6262159.9852767801</v>
      </c>
      <c r="F562" s="86" t="s">
        <v>610</v>
      </c>
      <c r="G562" s="25">
        <f t="shared" si="15"/>
        <v>-1.6663696310817988E-2</v>
      </c>
      <c r="I562" s="86">
        <v>423.08654296706692</v>
      </c>
      <c r="J562" s="86">
        <v>425.97611116077462</v>
      </c>
      <c r="K562" s="86">
        <v>418.23859632978315</v>
      </c>
      <c r="L562" s="86">
        <v>418.92978872163349</v>
      </c>
      <c r="M562" s="86">
        <v>1721269.9879624553</v>
      </c>
      <c r="N562" s="86" t="s">
        <v>610</v>
      </c>
      <c r="O562" s="25">
        <f t="shared" si="16"/>
        <v>9.9223171933364718E-3</v>
      </c>
    </row>
    <row r="563" spans="1:15">
      <c r="A563" s="86">
        <v>551.12963423393887</v>
      </c>
      <c r="B563" s="86">
        <v>552.29267191744168</v>
      </c>
      <c r="C563" s="86">
        <v>548.10544169262323</v>
      </c>
      <c r="D563" s="86">
        <v>552.19988419174217</v>
      </c>
      <c r="E563" s="86">
        <v>4528841.4586331742</v>
      </c>
      <c r="F563" s="86" t="s">
        <v>611</v>
      </c>
      <c r="G563" s="25">
        <f t="shared" si="15"/>
        <v>-1.9381567951065604E-3</v>
      </c>
      <c r="I563" s="86">
        <v>418.83378977832098</v>
      </c>
      <c r="J563" s="86">
        <v>420.47537170896555</v>
      </c>
      <c r="K563" s="86">
        <v>412.13306353510501</v>
      </c>
      <c r="L563" s="86">
        <v>412.39226068204891</v>
      </c>
      <c r="M563" s="86">
        <v>1414579.1121666247</v>
      </c>
      <c r="N563" s="86" t="s">
        <v>611</v>
      </c>
      <c r="O563" s="25">
        <f t="shared" si="16"/>
        <v>1.5619907816937451E-2</v>
      </c>
    </row>
    <row r="564" spans="1:15">
      <c r="A564" s="86">
        <v>553.45669148163961</v>
      </c>
      <c r="B564" s="86">
        <v>553.70216165544775</v>
      </c>
      <c r="C564" s="86">
        <v>550.3745679793052</v>
      </c>
      <c r="D564" s="86">
        <v>550.8547076392739</v>
      </c>
      <c r="E564" s="86">
        <v>3928747.1672788206</v>
      </c>
      <c r="F564" s="86" t="s">
        <v>612</v>
      </c>
      <c r="G564" s="25">
        <f t="shared" si="15"/>
        <v>4.7235392677620336E-3</v>
      </c>
      <c r="I564" s="86">
        <v>415.62742507168178</v>
      </c>
      <c r="J564" s="86">
        <v>420.47537170896555</v>
      </c>
      <c r="K564" s="86">
        <v>408.55230294954691</v>
      </c>
      <c r="L564" s="86">
        <v>413.7554456770871</v>
      </c>
      <c r="M564" s="86">
        <v>2918901.92048989</v>
      </c>
      <c r="N564" s="86" t="s">
        <v>612</v>
      </c>
      <c r="O564" s="25">
        <f t="shared" si="16"/>
        <v>4.5243619489558906E-3</v>
      </c>
    </row>
    <row r="565" spans="1:15">
      <c r="A565" s="86">
        <v>552.12133373612357</v>
      </c>
      <c r="B565" s="86">
        <v>552.12133373612357</v>
      </c>
      <c r="C565" s="86">
        <v>549.35243017556832</v>
      </c>
      <c r="D565" s="86">
        <v>551.62057458155505</v>
      </c>
      <c r="E565" s="86">
        <v>3915857.6175998701</v>
      </c>
      <c r="F565" s="86" t="s">
        <v>613</v>
      </c>
      <c r="G565" s="25">
        <f t="shared" si="15"/>
        <v>9.077963688144397E-4</v>
      </c>
      <c r="I565" s="86">
        <v>411.39387167159839</v>
      </c>
      <c r="J565" s="86">
        <v>415.60822528301929</v>
      </c>
      <c r="K565" s="86">
        <v>406.55552492864592</v>
      </c>
      <c r="L565" s="86">
        <v>412.49785951969272</v>
      </c>
      <c r="M565" s="86">
        <v>2930151.0026436811</v>
      </c>
      <c r="N565" s="86" t="s">
        <v>613</v>
      </c>
      <c r="O565" s="25">
        <f t="shared" si="16"/>
        <v>-2.6763480648840376E-3</v>
      </c>
    </row>
    <row r="566" spans="1:15">
      <c r="A566" s="86">
        <v>550.53068700984727</v>
      </c>
      <c r="B566" s="86">
        <v>551.67948742326905</v>
      </c>
      <c r="C566" s="86">
        <v>549.92192097880309</v>
      </c>
      <c r="D566" s="86">
        <v>550.736881955846</v>
      </c>
      <c r="E566" s="86">
        <v>3442953.9315872807</v>
      </c>
      <c r="F566" s="86" t="s">
        <v>614</v>
      </c>
      <c r="G566" s="25">
        <f t="shared" si="15"/>
        <v>-3.7439828846486112E-4</v>
      </c>
      <c r="I566" s="86">
        <v>406.25792820437698</v>
      </c>
      <c r="J566" s="86">
        <v>417.74900171888919</v>
      </c>
      <c r="K566" s="86">
        <v>402.90756508276905</v>
      </c>
      <c r="L566" s="86">
        <v>416.20341873155712</v>
      </c>
      <c r="M566" s="86">
        <v>3388376.8797429935</v>
      </c>
      <c r="N566" s="86" t="s">
        <v>614</v>
      </c>
      <c r="O566" s="25">
        <f t="shared" si="16"/>
        <v>-2.3895744435474708E-2</v>
      </c>
    </row>
    <row r="567" spans="1:15">
      <c r="A567" s="86">
        <v>550.51104939594245</v>
      </c>
      <c r="B567" s="86">
        <v>550.7172443419413</v>
      </c>
      <c r="C567" s="86">
        <v>544.64431224192901</v>
      </c>
      <c r="D567" s="86">
        <v>545.79802205882709</v>
      </c>
      <c r="E567" s="86">
        <v>3451028.232302729</v>
      </c>
      <c r="F567" s="86" t="s">
        <v>615</v>
      </c>
      <c r="G567" s="25">
        <f t="shared" si="15"/>
        <v>8.6351125263099959E-3</v>
      </c>
      <c r="I567" s="86">
        <v>417.32660636831395</v>
      </c>
      <c r="J567" s="86">
        <v>427.47849462361603</v>
      </c>
      <c r="K567" s="86">
        <v>414.72503500454383</v>
      </c>
      <c r="L567" s="86">
        <v>424.79532415803027</v>
      </c>
      <c r="M567" s="86">
        <v>2500048.3517679134</v>
      </c>
      <c r="N567" s="86" t="s">
        <v>615</v>
      </c>
      <c r="O567" s="25">
        <f t="shared" si="16"/>
        <v>-1.7581920903954829E-2</v>
      </c>
    </row>
    <row r="568" spans="1:15">
      <c r="A568" s="86">
        <v>544.75722852188073</v>
      </c>
      <c r="B568" s="86">
        <v>545.84220669011245</v>
      </c>
      <c r="C568" s="86">
        <v>540.41731584895354</v>
      </c>
      <c r="D568" s="86">
        <v>541.01626307304537</v>
      </c>
      <c r="E568" s="86">
        <v>3645537.6069419757</v>
      </c>
      <c r="F568" s="86" t="s">
        <v>616</v>
      </c>
      <c r="G568" s="25">
        <f t="shared" si="15"/>
        <v>6.9147005444645249E-3</v>
      </c>
      <c r="I568" s="86">
        <v>424.28652975847376</v>
      </c>
      <c r="J568" s="86">
        <v>431.1696539939835</v>
      </c>
      <c r="K568" s="86">
        <v>423.40333947999829</v>
      </c>
      <c r="L568" s="86">
        <v>429.36487385970759</v>
      </c>
      <c r="M568" s="86">
        <v>1336709.5050433264</v>
      </c>
      <c r="N568" s="86" t="s">
        <v>616</v>
      </c>
      <c r="O568" s="25">
        <f t="shared" si="16"/>
        <v>-1.1827572329293878E-2</v>
      </c>
    </row>
    <row r="569" spans="1:15">
      <c r="A569" s="86">
        <v>546.56388900110835</v>
      </c>
      <c r="B569" s="86">
        <v>547.0204635243914</v>
      </c>
      <c r="C569" s="86">
        <v>543.95208635179017</v>
      </c>
      <c r="D569" s="86">
        <v>544.06009322826571</v>
      </c>
      <c r="E569" s="86">
        <v>2803724.5394140785</v>
      </c>
      <c r="F569" s="86" t="s">
        <v>617</v>
      </c>
      <c r="G569" s="25">
        <f t="shared" si="15"/>
        <v>4.6020573903629014E-3</v>
      </c>
      <c r="I569" s="86">
        <v>431.38085166927112</v>
      </c>
      <c r="J569" s="86">
        <v>433.72322588609734</v>
      </c>
      <c r="K569" s="86">
        <v>427.19049779367839</v>
      </c>
      <c r="L569" s="86">
        <v>429.9792670969079</v>
      </c>
      <c r="M569" s="86">
        <v>943999.97409298096</v>
      </c>
      <c r="N569" s="86" t="s">
        <v>617</v>
      </c>
      <c r="O569" s="25">
        <f t="shared" si="16"/>
        <v>3.2596561732529672E-3</v>
      </c>
    </row>
    <row r="570" spans="1:15">
      <c r="A570" s="86">
        <v>546.07294865349206</v>
      </c>
      <c r="B570" s="86">
        <v>546.68711502835993</v>
      </c>
      <c r="C570" s="86">
        <v>544.19755652559832</v>
      </c>
      <c r="D570" s="86">
        <v>545.37581335987716</v>
      </c>
      <c r="E570" s="86">
        <v>3582463.7525514048</v>
      </c>
      <c r="F570" s="86" t="s">
        <v>618</v>
      </c>
      <c r="G570" s="25">
        <f t="shared" si="15"/>
        <v>1.2782658793026869E-3</v>
      </c>
      <c r="I570" s="86">
        <v>430.28646371550809</v>
      </c>
      <c r="J570" s="86">
        <v>430.97765610735843</v>
      </c>
      <c r="K570" s="86">
        <v>423.07732706850885</v>
      </c>
      <c r="L570" s="86">
        <v>427.00329985421888</v>
      </c>
      <c r="M570" s="86">
        <v>1487323.6628776023</v>
      </c>
      <c r="N570" s="86" t="s">
        <v>618</v>
      </c>
      <c r="O570" s="25">
        <f t="shared" si="16"/>
        <v>7.6888489208633004E-3</v>
      </c>
    </row>
    <row r="571" spans="1:15">
      <c r="A571" s="86">
        <v>542.19451990732421</v>
      </c>
      <c r="B571" s="86">
        <v>549.06768477395099</v>
      </c>
      <c r="C571" s="86">
        <v>541.79685822575505</v>
      </c>
      <c r="D571" s="86">
        <v>547.98761600919534</v>
      </c>
      <c r="E571" s="86">
        <v>10349071.989438603</v>
      </c>
      <c r="F571" s="86" t="s">
        <v>619</v>
      </c>
      <c r="G571" s="25">
        <f t="shared" si="15"/>
        <v>-1.0571582153735992E-2</v>
      </c>
      <c r="I571" s="86">
        <v>426.60970418663743</v>
      </c>
      <c r="J571" s="86">
        <v>433.43513305721638</v>
      </c>
      <c r="K571" s="86">
        <v>426.02411063243085</v>
      </c>
      <c r="L571" s="86">
        <v>431.89924596315888</v>
      </c>
      <c r="M571" s="86">
        <v>1403522.7404673619</v>
      </c>
      <c r="N571" s="86" t="s">
        <v>619</v>
      </c>
      <c r="O571" s="25">
        <f t="shared" si="16"/>
        <v>-1.2247166036897017E-2</v>
      </c>
    </row>
    <row r="572" spans="1:15">
      <c r="A572" s="86">
        <v>547.51631327548375</v>
      </c>
      <c r="B572" s="86">
        <v>547.5457696963407</v>
      </c>
      <c r="C572" s="86">
        <v>544.14846249083666</v>
      </c>
      <c r="D572" s="86">
        <v>547.19229264605701</v>
      </c>
      <c r="E572" s="86">
        <v>3672848.4606232909</v>
      </c>
      <c r="F572" s="86" t="s">
        <v>620</v>
      </c>
      <c r="G572" s="25">
        <f t="shared" si="15"/>
        <v>5.9215130363021728E-4</v>
      </c>
      <c r="I572" s="86">
        <v>430.57446054544573</v>
      </c>
      <c r="J572" s="86">
        <v>434.07698199220408</v>
      </c>
      <c r="K572" s="86">
        <v>426.84010165058754</v>
      </c>
      <c r="L572" s="86">
        <v>431.99524490647144</v>
      </c>
      <c r="M572" s="86">
        <v>1345967.9402857465</v>
      </c>
      <c r="N572" s="86" t="s">
        <v>620</v>
      </c>
      <c r="O572" s="25">
        <f t="shared" si="16"/>
        <v>-3.2888888888888967E-3</v>
      </c>
    </row>
    <row r="573" spans="1:15">
      <c r="A573" s="86">
        <v>545.55255188501894</v>
      </c>
      <c r="B573" s="86">
        <v>545.6605587614946</v>
      </c>
      <c r="C573" s="86">
        <v>540.43695346285824</v>
      </c>
      <c r="D573" s="86">
        <v>542.33198320465681</v>
      </c>
      <c r="E573" s="86">
        <v>3487372.7700589728</v>
      </c>
      <c r="F573" s="86" t="s">
        <v>621</v>
      </c>
      <c r="G573" s="25">
        <f t="shared" si="15"/>
        <v>5.9383712930438648E-3</v>
      </c>
      <c r="I573" s="86">
        <v>431.87044628016514</v>
      </c>
      <c r="J573" s="86">
        <v>438.81116988166247</v>
      </c>
      <c r="K573" s="86">
        <v>430.81445790372709</v>
      </c>
      <c r="L573" s="86">
        <v>438.7151709383499</v>
      </c>
      <c r="M573" s="86">
        <v>1187196.4009951933</v>
      </c>
      <c r="N573" s="86" t="s">
        <v>621</v>
      </c>
      <c r="O573" s="25">
        <f t="shared" si="16"/>
        <v>-1.5601750547045934E-2</v>
      </c>
    </row>
    <row r="574" spans="1:15">
      <c r="A574" s="86">
        <v>543.32368270684151</v>
      </c>
      <c r="B574" s="86">
        <v>543.79498544055309</v>
      </c>
      <c r="C574" s="86">
        <v>539.27833424248399</v>
      </c>
      <c r="D574" s="86">
        <v>539.73981816924334</v>
      </c>
      <c r="E574" s="86">
        <v>4258575.4260199219</v>
      </c>
      <c r="F574" s="86" t="s">
        <v>622</v>
      </c>
      <c r="G574" s="25">
        <f t="shared" si="15"/>
        <v>6.6399854466072661E-3</v>
      </c>
      <c r="I574" s="86">
        <v>435.52800602037325</v>
      </c>
      <c r="J574" s="86">
        <v>437.18878773968038</v>
      </c>
      <c r="K574" s="86">
        <v>433.20483159220959</v>
      </c>
      <c r="L574" s="86">
        <v>435.83520263897344</v>
      </c>
      <c r="M574" s="86">
        <v>1285677.6933279615</v>
      </c>
      <c r="N574" s="86" t="s">
        <v>622</v>
      </c>
      <c r="O574" s="25">
        <f t="shared" si="16"/>
        <v>-7.0484581497809451E-4</v>
      </c>
    </row>
    <row r="575" spans="1:15">
      <c r="A575" s="86">
        <v>539.73981816924334</v>
      </c>
      <c r="B575" s="86">
        <v>541.95877035239891</v>
      </c>
      <c r="C575" s="86">
        <v>533.14157989728164</v>
      </c>
      <c r="D575" s="86">
        <v>535.11516009469869</v>
      </c>
      <c r="E575" s="86">
        <v>7968419.2162961727</v>
      </c>
      <c r="F575" s="86" t="s">
        <v>623</v>
      </c>
      <c r="G575" s="25">
        <f t="shared" si="15"/>
        <v>8.6423604102829898E-3</v>
      </c>
      <c r="I575" s="86">
        <v>437.19838763401162</v>
      </c>
      <c r="J575" s="86">
        <v>442.8738451626495</v>
      </c>
      <c r="K575" s="86">
        <v>435.42720712989507</v>
      </c>
      <c r="L575" s="86">
        <v>440.4431519179758</v>
      </c>
      <c r="M575" s="86">
        <v>1537853.385733061</v>
      </c>
      <c r="N575" s="86" t="s">
        <v>623</v>
      </c>
      <c r="O575" s="25">
        <f t="shared" si="16"/>
        <v>-7.3670444638186394E-3</v>
      </c>
    </row>
    <row r="576" spans="1:15">
      <c r="A576" s="86">
        <v>543.3040450929368</v>
      </c>
      <c r="B576" s="86">
        <v>550.72706314889365</v>
      </c>
      <c r="C576" s="86">
        <v>542.69527906189273</v>
      </c>
      <c r="D576" s="86">
        <v>548.4981939707161</v>
      </c>
      <c r="E576" s="86">
        <v>6358534.2193965409</v>
      </c>
      <c r="F576" s="86" t="s">
        <v>624</v>
      </c>
      <c r="G576" s="25">
        <f t="shared" si="15"/>
        <v>-9.4697647774872884E-3</v>
      </c>
      <c r="I576" s="86">
        <v>444.42710806544659</v>
      </c>
      <c r="J576" s="86">
        <v>445.65589453984722</v>
      </c>
      <c r="K576" s="86">
        <v>438.85916935331869</v>
      </c>
      <c r="L576" s="86">
        <v>441.59513923772636</v>
      </c>
      <c r="M576" s="86">
        <v>1536047.1158511578</v>
      </c>
      <c r="N576" s="86" t="s">
        <v>624</v>
      </c>
      <c r="O576" s="25">
        <f t="shared" si="16"/>
        <v>6.4130434782609935E-3</v>
      </c>
    </row>
    <row r="577" spans="1:15">
      <c r="A577" s="86">
        <v>546.2202307577769</v>
      </c>
      <c r="B577" s="86">
        <v>547.67341418672095</v>
      </c>
      <c r="C577" s="86">
        <v>542.37125843246599</v>
      </c>
      <c r="D577" s="86">
        <v>545.30708171121091</v>
      </c>
      <c r="E577" s="86">
        <v>4375824.9050645754</v>
      </c>
      <c r="F577" s="86" t="s">
        <v>625</v>
      </c>
      <c r="G577" s="25">
        <f t="shared" si="15"/>
        <v>1.6745593028069106E-3</v>
      </c>
      <c r="I577" s="86">
        <v>441.25914293613243</v>
      </c>
      <c r="J577" s="86">
        <v>441.48954040008255</v>
      </c>
      <c r="K577" s="86">
        <v>433.26243095819711</v>
      </c>
      <c r="L577" s="86">
        <v>438.3119753764372</v>
      </c>
      <c r="M577" s="86">
        <v>1991456.2952799585</v>
      </c>
      <c r="N577" s="86" t="s">
        <v>625</v>
      </c>
      <c r="O577" s="25">
        <f t="shared" si="16"/>
        <v>6.7239038065618484E-3</v>
      </c>
    </row>
    <row r="578" spans="1:15">
      <c r="A578" s="86">
        <v>543.3825955485554</v>
      </c>
      <c r="B578" s="86">
        <v>545.43472620159105</v>
      </c>
      <c r="C578" s="86">
        <v>540.98690484025792</v>
      </c>
      <c r="D578" s="86">
        <v>545.11070557216431</v>
      </c>
      <c r="E578" s="86">
        <v>4251505.3206255417</v>
      </c>
      <c r="F578" s="86" t="s">
        <v>626</v>
      </c>
      <c r="G578" s="25">
        <f t="shared" si="15"/>
        <v>-3.1702001188823603E-3</v>
      </c>
      <c r="I578" s="86">
        <v>436.18079883489861</v>
      </c>
      <c r="J578" s="86">
        <v>443.98551292620886</v>
      </c>
      <c r="K578" s="86">
        <v>431.41925124659616</v>
      </c>
      <c r="L578" s="86">
        <v>441.59513923772636</v>
      </c>
      <c r="M578" s="86">
        <v>2496718.1067780373</v>
      </c>
      <c r="N578" s="86" t="s">
        <v>626</v>
      </c>
      <c r="O578" s="25">
        <f t="shared" si="16"/>
        <v>-1.2260869565217325E-2</v>
      </c>
    </row>
    <row r="579" spans="1:15">
      <c r="A579" s="86">
        <v>545.77838444492249</v>
      </c>
      <c r="B579" s="86">
        <v>546.56388900110835</v>
      </c>
      <c r="C579" s="86">
        <v>539.26851543553175</v>
      </c>
      <c r="D579" s="86">
        <v>542.2927079768474</v>
      </c>
      <c r="E579" s="86">
        <v>4241527.5299962219</v>
      </c>
      <c r="F579" s="86" t="s">
        <v>627</v>
      </c>
      <c r="G579" s="25">
        <f t="shared" si="15"/>
        <v>6.4276661234838883E-3</v>
      </c>
      <c r="I579" s="86">
        <v>439.14716618325633</v>
      </c>
      <c r="J579" s="86">
        <v>460.53573075329234</v>
      </c>
      <c r="K579" s="86">
        <v>438.97436808529375</v>
      </c>
      <c r="L579" s="86">
        <v>454.74699447154563</v>
      </c>
      <c r="M579" s="86">
        <v>4191649.2631580676</v>
      </c>
      <c r="N579" s="86" t="s">
        <v>627</v>
      </c>
      <c r="O579" s="25">
        <f t="shared" si="16"/>
        <v>-3.4304412075153223E-2</v>
      </c>
    </row>
    <row r="580" spans="1:15">
      <c r="A580" s="86">
        <v>541.2420956329488</v>
      </c>
      <c r="B580" s="86">
        <v>541.399196544186</v>
      </c>
      <c r="C580" s="86">
        <v>536.92182057392631</v>
      </c>
      <c r="D580" s="86">
        <v>537.0200086434495</v>
      </c>
      <c r="E580" s="86">
        <v>7757953.7279701289</v>
      </c>
      <c r="F580" s="86" t="s">
        <v>628</v>
      </c>
      <c r="G580" s="25">
        <f t="shared" si="15"/>
        <v>7.8620664436035437E-3</v>
      </c>
      <c r="I580" s="86">
        <v>483.53707757097914</v>
      </c>
      <c r="J580" s="86">
        <v>486.82024143226835</v>
      </c>
      <c r="K580" s="86">
        <v>476.90355058808194</v>
      </c>
      <c r="L580" s="86">
        <v>480.08111561172734</v>
      </c>
      <c r="M580" s="86">
        <v>2029767.133640189</v>
      </c>
      <c r="N580" s="86" t="s">
        <v>628</v>
      </c>
      <c r="O580" s="25">
        <f t="shared" si="16"/>
        <v>7.1987042332379847E-3</v>
      </c>
    </row>
    <row r="581" spans="1:15">
      <c r="A581" s="86">
        <v>548.88112744185673</v>
      </c>
      <c r="B581" s="86">
        <v>551.48311128422256</v>
      </c>
      <c r="C581" s="86">
        <v>547.90906555357674</v>
      </c>
      <c r="D581" s="86">
        <v>550.5994186585134</v>
      </c>
      <c r="E581" s="86">
        <v>3678798.2669779393</v>
      </c>
      <c r="F581" s="86" t="s">
        <v>629</v>
      </c>
      <c r="G581" s="25">
        <f t="shared" si="15"/>
        <v>-3.1207646765104569E-3</v>
      </c>
      <c r="I581" s="86">
        <v>477.07634868604453</v>
      </c>
      <c r="J581" s="86">
        <v>477.39314519897601</v>
      </c>
      <c r="K581" s="86">
        <v>474.81538157314742</v>
      </c>
      <c r="L581" s="86">
        <v>475.19476939711859</v>
      </c>
      <c r="M581" s="86">
        <v>791357.66893456096</v>
      </c>
      <c r="N581" s="86" t="s">
        <v>629</v>
      </c>
      <c r="O581" s="25">
        <f t="shared" si="16"/>
        <v>3.9595959595959407E-3</v>
      </c>
    </row>
    <row r="582" spans="1:15">
      <c r="A582" s="86">
        <v>550.54050581679951</v>
      </c>
      <c r="B582" s="86">
        <v>550.54050581679951</v>
      </c>
      <c r="C582" s="86">
        <v>546.71117110539319</v>
      </c>
      <c r="D582" s="86">
        <v>546.94682247224887</v>
      </c>
      <c r="E582" s="86">
        <v>6332620.6841538725</v>
      </c>
      <c r="F582" s="86" t="s">
        <v>630</v>
      </c>
      <c r="G582" s="25">
        <f t="shared" si="15"/>
        <v>6.5704437742353239E-3</v>
      </c>
      <c r="I582" s="86">
        <v>477.38354530464471</v>
      </c>
      <c r="J582" s="86">
        <v>485.75465316149899</v>
      </c>
      <c r="K582" s="86">
        <v>474.21558017533062</v>
      </c>
      <c r="L582" s="86">
        <v>483.3738793673478</v>
      </c>
      <c r="M582" s="86">
        <v>951200.05334541202</v>
      </c>
      <c r="N582" s="86" t="s">
        <v>630</v>
      </c>
      <c r="O582" s="25">
        <f t="shared" si="16"/>
        <v>-1.2392755004766443E-2</v>
      </c>
    </row>
    <row r="583" spans="1:15">
      <c r="A583" s="86">
        <v>547.5064944685314</v>
      </c>
      <c r="B583" s="86">
        <v>548.80247879816864</v>
      </c>
      <c r="C583" s="86">
        <v>546.64243945672695</v>
      </c>
      <c r="D583" s="86">
        <v>547.09410457653382</v>
      </c>
      <c r="E583" s="86">
        <v>4868245.2188029652</v>
      </c>
      <c r="F583" s="86" t="s">
        <v>631</v>
      </c>
      <c r="G583" s="25">
        <f t="shared" si="15"/>
        <v>7.5378237226075839E-4</v>
      </c>
      <c r="I583" s="86">
        <v>479.36112353688321</v>
      </c>
      <c r="J583" s="86">
        <v>485.30345812793001</v>
      </c>
      <c r="K583" s="86">
        <v>475.36756749508118</v>
      </c>
      <c r="L583" s="86">
        <v>483.10508232607265</v>
      </c>
      <c r="M583" s="86">
        <v>1380273.5262261855</v>
      </c>
      <c r="N583" s="86" t="s">
        <v>631</v>
      </c>
      <c r="O583" s="25">
        <f t="shared" si="16"/>
        <v>-7.749781416421575E-3</v>
      </c>
    </row>
    <row r="584" spans="1:15">
      <c r="A584" s="86">
        <v>544.4135702785494</v>
      </c>
      <c r="B584" s="86">
        <v>544.4135702785494</v>
      </c>
      <c r="C584" s="86">
        <v>540.52532272542919</v>
      </c>
      <c r="D584" s="86">
        <v>542.3123455907521</v>
      </c>
      <c r="E584" s="86">
        <v>5399513.4294245616</v>
      </c>
      <c r="F584" s="86" t="s">
        <v>632</v>
      </c>
      <c r="G584" s="25">
        <f t="shared" si="15"/>
        <v>3.8745654692931009E-3</v>
      </c>
      <c r="I584" s="86">
        <v>486.03305009710544</v>
      </c>
      <c r="J584" s="86">
        <v>489.16251965015118</v>
      </c>
      <c r="K584" s="86">
        <v>474.9259723558435</v>
      </c>
      <c r="L584" s="86">
        <v>475.19476939711859</v>
      </c>
      <c r="M584" s="86">
        <v>1683237.2776636251</v>
      </c>
      <c r="N584" s="86" t="s">
        <v>632</v>
      </c>
      <c r="O584" s="25">
        <f t="shared" si="16"/>
        <v>2.2808080808080833E-2</v>
      </c>
    </row>
    <row r="585" spans="1:15">
      <c r="A585" s="86">
        <v>539.50416680238754</v>
      </c>
      <c r="B585" s="86">
        <v>541.13408875647326</v>
      </c>
      <c r="C585" s="86">
        <v>537.75641916487382</v>
      </c>
      <c r="D585" s="86">
        <v>538.97395122696196</v>
      </c>
      <c r="E585" s="86">
        <v>6679682.1974870656</v>
      </c>
      <c r="F585" s="86" t="s">
        <v>633</v>
      </c>
      <c r="G585" s="25">
        <f t="shared" si="15"/>
        <v>9.83749908912257E-4</v>
      </c>
      <c r="I585" s="86">
        <v>470.70201885009129</v>
      </c>
      <c r="J585" s="86">
        <v>472.35800062223279</v>
      </c>
      <c r="K585" s="86">
        <v>464.821891574311</v>
      </c>
      <c r="L585" s="86">
        <v>468.03324822600246</v>
      </c>
      <c r="M585" s="86">
        <v>1393321.5865149519</v>
      </c>
      <c r="N585" s="86" t="s">
        <v>633</v>
      </c>
      <c r="O585" s="25">
        <f t="shared" si="16"/>
        <v>5.7020962382572371E-3</v>
      </c>
    </row>
    <row r="586" spans="1:15">
      <c r="A586" s="86">
        <v>534.37874957327438</v>
      </c>
      <c r="B586" s="86">
        <v>536.60761875145192</v>
      </c>
      <c r="C586" s="86">
        <v>533.54415098232687</v>
      </c>
      <c r="D586" s="86">
        <v>536.45051784021473</v>
      </c>
      <c r="E586" s="86">
        <v>3699789.6156214951</v>
      </c>
      <c r="F586" s="86" t="s">
        <v>634</v>
      </c>
      <c r="G586" s="25">
        <f t="shared" si="15"/>
        <v>-3.861993227784466E-3</v>
      </c>
      <c r="I586" s="86">
        <v>467.3804554114771</v>
      </c>
      <c r="J586" s="86">
        <v>467.51475793317138</v>
      </c>
      <c r="K586" s="86">
        <v>462.23491204992445</v>
      </c>
      <c r="L586" s="86">
        <v>462.52290887986209</v>
      </c>
      <c r="M586" s="86">
        <v>996381.80066817661</v>
      </c>
      <c r="N586" s="86" t="s">
        <v>634</v>
      </c>
      <c r="O586" s="25">
        <f t="shared" si="16"/>
        <v>1.0502283105022991E-2</v>
      </c>
    </row>
    <row r="587" spans="1:15">
      <c r="A587" s="86">
        <v>535.17407293641259</v>
      </c>
      <c r="B587" s="86">
        <v>536.23450408726364</v>
      </c>
      <c r="C587" s="86">
        <v>531.9436854490981</v>
      </c>
      <c r="D587" s="86">
        <v>533.00411659994904</v>
      </c>
      <c r="E587" s="86">
        <v>5405257.5081373686</v>
      </c>
      <c r="F587" s="86" t="s">
        <v>635</v>
      </c>
      <c r="G587" s="25">
        <f t="shared" si="15"/>
        <v>4.0711811951956722E-3</v>
      </c>
      <c r="I587" s="86">
        <v>464.60608594974445</v>
      </c>
      <c r="J587" s="86">
        <v>468.24444590129002</v>
      </c>
      <c r="K587" s="86">
        <v>461.15012399049266</v>
      </c>
      <c r="L587" s="86">
        <v>468.24444590129002</v>
      </c>
      <c r="M587" s="86">
        <v>919183.03426226333</v>
      </c>
      <c r="N587" s="86" t="s">
        <v>635</v>
      </c>
      <c r="O587" s="25">
        <f t="shared" si="16"/>
        <v>-7.7702148597670329E-3</v>
      </c>
    </row>
    <row r="588" spans="1:15">
      <c r="A588" s="86">
        <v>525.56146093008761</v>
      </c>
      <c r="B588" s="86">
        <v>528.15991000195049</v>
      </c>
      <c r="C588" s="86">
        <v>522.17878374694249</v>
      </c>
      <c r="D588" s="86">
        <v>527.58413516226631</v>
      </c>
      <c r="E588" s="86">
        <v>8982764.4466647971</v>
      </c>
      <c r="F588" s="86" t="s">
        <v>636</v>
      </c>
      <c r="G588" s="25">
        <f t="shared" si="15"/>
        <v>-3.8338420308196008E-3</v>
      </c>
      <c r="I588" s="86">
        <v>465.07648077197587</v>
      </c>
      <c r="J588" s="86">
        <v>465.78802493980851</v>
      </c>
      <c r="K588" s="86">
        <v>458.84614935099148</v>
      </c>
      <c r="L588" s="86">
        <v>465.59487506586368</v>
      </c>
      <c r="M588" s="86">
        <v>1210541.4496245675</v>
      </c>
      <c r="N588" s="86" t="s">
        <v>636</v>
      </c>
      <c r="O588" s="25">
        <f t="shared" si="16"/>
        <v>-1.1134020618557283E-3</v>
      </c>
    </row>
    <row r="589" spans="1:15">
      <c r="A589" s="86">
        <v>524.89378205732953</v>
      </c>
      <c r="B589" s="86">
        <v>525.21780268675616</v>
      </c>
      <c r="C589" s="86">
        <v>519.4345253918375</v>
      </c>
      <c r="D589" s="86">
        <v>519.80764005602578</v>
      </c>
      <c r="E589" s="86">
        <v>5724739.2960197106</v>
      </c>
      <c r="F589" s="86" t="s">
        <v>637</v>
      </c>
      <c r="G589" s="25">
        <f t="shared" si="15"/>
        <v>9.7846618813750563E-3</v>
      </c>
      <c r="I589" s="86">
        <v>463.8284945089128</v>
      </c>
      <c r="J589" s="86">
        <v>465.42198096895777</v>
      </c>
      <c r="K589" s="86">
        <v>450.04304624923071</v>
      </c>
      <c r="L589" s="86">
        <v>450.23504413585579</v>
      </c>
      <c r="M589" s="86">
        <v>1495021.6642774094</v>
      </c>
      <c r="N589" s="86" t="s">
        <v>637</v>
      </c>
      <c r="O589" s="25">
        <f t="shared" si="16"/>
        <v>3.0191897654584299E-2</v>
      </c>
    </row>
    <row r="590" spans="1:15">
      <c r="A590" s="86">
        <v>524.21628437761922</v>
      </c>
      <c r="B590" s="86">
        <v>528.98822455644859</v>
      </c>
      <c r="C590" s="86">
        <v>522.36052986362995</v>
      </c>
      <c r="D590" s="86">
        <v>528.94894932863929</v>
      </c>
      <c r="E590" s="86">
        <v>8081635.6187977921</v>
      </c>
      <c r="F590" s="86" t="s">
        <v>638</v>
      </c>
      <c r="G590" s="25">
        <f t="shared" si="15"/>
        <v>-8.9473000315567486E-3</v>
      </c>
      <c r="I590" s="86">
        <v>449.32305417438658</v>
      </c>
      <c r="J590" s="86">
        <v>452.72141676765079</v>
      </c>
      <c r="K590" s="86">
        <v>447.09587868953548</v>
      </c>
      <c r="L590" s="86">
        <v>449.2750547027303</v>
      </c>
      <c r="M590" s="86">
        <v>1174794.1811486301</v>
      </c>
      <c r="N590" s="86" t="s">
        <v>638</v>
      </c>
      <c r="O590" s="25">
        <f t="shared" si="16"/>
        <v>1.0683760683760646E-4</v>
      </c>
    </row>
    <row r="591" spans="1:15">
      <c r="A591" s="86">
        <v>532.31680011328638</v>
      </c>
      <c r="B591" s="86">
        <v>533.16121751118624</v>
      </c>
      <c r="C591" s="86">
        <v>528.33036449064298</v>
      </c>
      <c r="D591" s="86">
        <v>531.51165794319593</v>
      </c>
      <c r="E591" s="86">
        <v>4396663.4856572589</v>
      </c>
      <c r="F591" s="86" t="s">
        <v>639</v>
      </c>
      <c r="G591" s="25">
        <f t="shared" si="15"/>
        <v>1.514815635852873E-3</v>
      </c>
      <c r="I591" s="86">
        <v>450.091045720887</v>
      </c>
      <c r="J591" s="86">
        <v>450.44624181114347</v>
      </c>
      <c r="K591" s="86">
        <v>442.78552613480201</v>
      </c>
      <c r="L591" s="86">
        <v>444.95510225366559</v>
      </c>
      <c r="M591" s="86">
        <v>1040295.8257035847</v>
      </c>
      <c r="N591" s="86" t="s">
        <v>639</v>
      </c>
      <c r="O591" s="25">
        <f t="shared" si="16"/>
        <v>1.1542610571736889E-2</v>
      </c>
    </row>
    <row r="592" spans="1:15">
      <c r="A592" s="86">
        <v>531.60002720576676</v>
      </c>
      <c r="B592" s="86">
        <v>539.64163009972003</v>
      </c>
      <c r="C592" s="86">
        <v>529.78354791958679</v>
      </c>
      <c r="D592" s="86">
        <v>539.36670350505494</v>
      </c>
      <c r="E592" s="86">
        <v>5482575.4555912921</v>
      </c>
      <c r="F592" s="86" t="s">
        <v>640</v>
      </c>
      <c r="G592" s="25">
        <f t="shared" si="15"/>
        <v>-1.439962135003281E-2</v>
      </c>
      <c r="I592" s="86">
        <v>445.39669739290332</v>
      </c>
      <c r="J592" s="86">
        <v>454.47339748310486</v>
      </c>
      <c r="K592" s="86">
        <v>444.41750817111534</v>
      </c>
      <c r="L592" s="86">
        <v>447.08627879520424</v>
      </c>
      <c r="M592" s="86">
        <v>1330060.4735230329</v>
      </c>
      <c r="N592" s="86" t="s">
        <v>640</v>
      </c>
      <c r="O592" s="25">
        <f t="shared" si="16"/>
        <v>-3.7790947350340165E-3</v>
      </c>
    </row>
    <row r="593" spans="1:15">
      <c r="A593" s="86">
        <v>537.64841228839828</v>
      </c>
      <c r="B593" s="86">
        <v>541.43847177199518</v>
      </c>
      <c r="C593" s="86">
        <v>535.93012107174161</v>
      </c>
      <c r="D593" s="86">
        <v>538.34554758201318</v>
      </c>
      <c r="E593" s="86">
        <v>6093851.3498158418</v>
      </c>
      <c r="F593" s="86" t="s">
        <v>641</v>
      </c>
      <c r="G593" s="25">
        <f t="shared" si="15"/>
        <v>-1.2949587801851514E-3</v>
      </c>
      <c r="I593" s="86">
        <v>447.35507583647933</v>
      </c>
      <c r="J593" s="86">
        <v>460.79492790023619</v>
      </c>
      <c r="K593" s="86">
        <v>447.22067731584178</v>
      </c>
      <c r="L593" s="86">
        <v>459.59494110882935</v>
      </c>
      <c r="M593" s="86">
        <v>1769400.7260785694</v>
      </c>
      <c r="N593" s="86" t="s">
        <v>641</v>
      </c>
      <c r="O593" s="25">
        <f t="shared" si="16"/>
        <v>-2.6631853785900717E-2</v>
      </c>
    </row>
    <row r="594" spans="1:15">
      <c r="A594" s="86">
        <v>534.53585048451157</v>
      </c>
      <c r="B594" s="86">
        <v>535.00715321822315</v>
      </c>
      <c r="C594" s="86">
        <v>529.43007086930322</v>
      </c>
      <c r="D594" s="86">
        <v>530.40213275758333</v>
      </c>
      <c r="E594" s="86">
        <v>6538129.3584559401</v>
      </c>
      <c r="F594" s="86" t="s">
        <v>642</v>
      </c>
      <c r="G594" s="25">
        <f t="shared" si="15"/>
        <v>7.7935541198466129E-3</v>
      </c>
      <c r="I594" s="86">
        <v>462.54210866852463</v>
      </c>
      <c r="J594" s="86">
        <v>464.56039045272763</v>
      </c>
      <c r="K594" s="86">
        <v>461.66851828438041</v>
      </c>
      <c r="L594" s="86">
        <v>462.15811289527443</v>
      </c>
      <c r="M594" s="86">
        <v>851677.08288005833</v>
      </c>
      <c r="N594" s="86" t="s">
        <v>642</v>
      </c>
      <c r="O594" s="25">
        <f t="shared" si="16"/>
        <v>8.308753271570879E-4</v>
      </c>
    </row>
    <row r="595" spans="1:15">
      <c r="A595" s="86">
        <v>527.72159845959891</v>
      </c>
      <c r="B595" s="86">
        <v>533.69133489854221</v>
      </c>
      <c r="C595" s="86">
        <v>524.12300571157209</v>
      </c>
      <c r="D595" s="86">
        <v>532.19897442985848</v>
      </c>
      <c r="E595" s="86">
        <v>7274507.0095399907</v>
      </c>
      <c r="F595" s="86" t="s">
        <v>643</v>
      </c>
      <c r="G595" s="25">
        <f t="shared" si="15"/>
        <v>-8.4129736910074637E-3</v>
      </c>
      <c r="I595" s="86">
        <v>462.95490412476858</v>
      </c>
      <c r="J595" s="86">
        <v>470.12602519021601</v>
      </c>
      <c r="K595" s="86">
        <v>462.15820889421769</v>
      </c>
      <c r="L595" s="86">
        <v>466.49726513300163</v>
      </c>
      <c r="M595" s="86">
        <v>993704.6878674319</v>
      </c>
      <c r="N595" s="86" t="s">
        <v>643</v>
      </c>
      <c r="O595" s="25">
        <f t="shared" si="16"/>
        <v>-7.5935300654401683E-3</v>
      </c>
    </row>
    <row r="596" spans="1:15">
      <c r="A596" s="86">
        <v>529.04713739816248</v>
      </c>
      <c r="B596" s="86">
        <v>533.22513794444592</v>
      </c>
      <c r="C596" s="86">
        <v>527.6627838059544</v>
      </c>
      <c r="D596" s="86">
        <v>532.62118312880852</v>
      </c>
      <c r="E596" s="86">
        <v>6152224.0220542289</v>
      </c>
      <c r="F596" s="86" t="s">
        <v>644</v>
      </c>
      <c r="G596" s="25">
        <f t="shared" si="15"/>
        <v>-6.7102958798048729E-3</v>
      </c>
      <c r="I596" s="86">
        <v>466.49726513300163</v>
      </c>
      <c r="J596" s="86">
        <v>467.06365889854567</v>
      </c>
      <c r="K596" s="86">
        <v>462.71490676648722</v>
      </c>
      <c r="L596" s="86">
        <v>464.99968161732585</v>
      </c>
      <c r="M596" s="86">
        <v>762492.76788061601</v>
      </c>
      <c r="N596" s="86" t="s">
        <v>644</v>
      </c>
      <c r="O596" s="25">
        <f t="shared" si="16"/>
        <v>3.2206119162641045E-3</v>
      </c>
    </row>
    <row r="597" spans="1:15">
      <c r="A597" s="86">
        <v>531.18763731376919</v>
      </c>
      <c r="B597" s="86">
        <v>534.23146746898954</v>
      </c>
      <c r="C597" s="86">
        <v>527.6626856178849</v>
      </c>
      <c r="D597" s="86">
        <v>530.76542861481914</v>
      </c>
      <c r="E597" s="86">
        <v>6625131.7818815084</v>
      </c>
      <c r="F597" s="86" t="s">
        <v>645</v>
      </c>
      <c r="G597" s="25">
        <f t="shared" si="15"/>
        <v>7.9547136303115273E-4</v>
      </c>
      <c r="I597" s="86">
        <v>464.03009228986912</v>
      </c>
      <c r="J597" s="86">
        <v>467.08285868720822</v>
      </c>
      <c r="K597" s="86">
        <v>462.57090835151843</v>
      </c>
      <c r="L597" s="86">
        <v>466.55486449898916</v>
      </c>
      <c r="M597" s="86">
        <v>924813.30456888815</v>
      </c>
      <c r="N597" s="86" t="s">
        <v>645</v>
      </c>
      <c r="O597" s="25">
        <f t="shared" si="16"/>
        <v>-5.4115226337448918E-3</v>
      </c>
    </row>
    <row r="598" spans="1:15">
      <c r="A598" s="86">
        <v>537.16729074773446</v>
      </c>
      <c r="B598" s="86">
        <v>539.66126771362462</v>
      </c>
      <c r="C598" s="86">
        <v>533.35769183830223</v>
      </c>
      <c r="D598" s="86">
        <v>539.41579753981659</v>
      </c>
      <c r="E598" s="86">
        <v>7207734.1314109601</v>
      </c>
      <c r="F598" s="86" t="s">
        <v>646</v>
      </c>
      <c r="G598" s="25">
        <f t="shared" si="15"/>
        <v>-4.1684110890656267E-3</v>
      </c>
      <c r="I598" s="86">
        <v>469.40603311537188</v>
      </c>
      <c r="J598" s="86">
        <v>473.65878630411777</v>
      </c>
      <c r="K598" s="86">
        <v>466.91966048357688</v>
      </c>
      <c r="L598" s="86">
        <v>468.83963934982785</v>
      </c>
      <c r="M598" s="86">
        <v>855000.03612300614</v>
      </c>
      <c r="N598" s="86" t="s">
        <v>646</v>
      </c>
      <c r="O598" s="25">
        <f t="shared" si="16"/>
        <v>1.2080756787746783E-3</v>
      </c>
    </row>
    <row r="599" spans="1:15">
      <c r="A599" s="86">
        <v>542.79346713141592</v>
      </c>
      <c r="B599" s="86">
        <v>543.93244873788558</v>
      </c>
      <c r="C599" s="86">
        <v>539.95593011026392</v>
      </c>
      <c r="D599" s="86">
        <v>541.21263921209186</v>
      </c>
      <c r="E599" s="86">
        <v>4579240.6570696896</v>
      </c>
      <c r="F599" s="86" t="s">
        <v>647</v>
      </c>
      <c r="G599" s="25">
        <f t="shared" si="15"/>
        <v>2.9208998548619913E-3</v>
      </c>
      <c r="I599" s="86">
        <v>470.37562244282867</v>
      </c>
      <c r="J599" s="86">
        <v>473.72588956549328</v>
      </c>
      <c r="K599" s="86">
        <v>466.81406164593301</v>
      </c>
      <c r="L599" s="86">
        <v>468.47484336524013</v>
      </c>
      <c r="M599" s="86">
        <v>690065.92900007695</v>
      </c>
      <c r="N599" s="86" t="s">
        <v>647</v>
      </c>
      <c r="O599" s="25">
        <f t="shared" si="16"/>
        <v>4.0573770491805217E-3</v>
      </c>
    </row>
    <row r="600" spans="1:15">
      <c r="A600" s="86">
        <v>542.80328593836839</v>
      </c>
      <c r="B600" s="86">
        <v>542.88183639398687</v>
      </c>
      <c r="C600" s="86">
        <v>537.61895586754122</v>
      </c>
      <c r="D600" s="86">
        <v>538.1295338290621</v>
      </c>
      <c r="E600" s="86">
        <v>3502716.793088608</v>
      </c>
      <c r="F600" s="86" t="s">
        <v>648</v>
      </c>
      <c r="G600" s="25">
        <f t="shared" si="15"/>
        <v>8.6851804546950184E-3</v>
      </c>
      <c r="I600" s="86">
        <v>468.59964199154649</v>
      </c>
      <c r="J600" s="86">
        <v>469.17563565142177</v>
      </c>
      <c r="K600" s="86">
        <v>464.64448552706943</v>
      </c>
      <c r="L600" s="86">
        <v>466.61246386497669</v>
      </c>
      <c r="M600" s="86">
        <v>391558.4766138384</v>
      </c>
      <c r="N600" s="86" t="s">
        <v>648</v>
      </c>
      <c r="O600" s="25">
        <f t="shared" si="16"/>
        <v>4.2587334896926343E-3</v>
      </c>
    </row>
    <row r="601" spans="1:15">
      <c r="A601" s="86">
        <v>537.27529762421</v>
      </c>
      <c r="B601" s="86">
        <v>537.44221734239943</v>
      </c>
      <c r="C601" s="86">
        <v>530.52977724796347</v>
      </c>
      <c r="D601" s="86">
        <v>533.46560052670827</v>
      </c>
      <c r="E601" s="86">
        <v>7193699.839804139</v>
      </c>
      <c r="F601" s="86" t="s">
        <v>649</v>
      </c>
      <c r="G601" s="25">
        <f t="shared" si="15"/>
        <v>7.1414109808398685E-3</v>
      </c>
      <c r="I601" s="86">
        <v>467.02525932122069</v>
      </c>
      <c r="J601" s="86">
        <v>469.29409834746946</v>
      </c>
      <c r="K601" s="86">
        <v>462.55170856285588</v>
      </c>
      <c r="L601" s="86">
        <v>467.92764938835865</v>
      </c>
      <c r="M601" s="86">
        <v>1097776.6667377865</v>
      </c>
      <c r="N601" s="86" t="s">
        <v>649</v>
      </c>
      <c r="O601" s="25">
        <f t="shared" si="16"/>
        <v>-1.9284820384465329E-3</v>
      </c>
    </row>
    <row r="602" spans="1:15">
      <c r="A602" s="86">
        <v>533.45725451530132</v>
      </c>
      <c r="B602" s="86">
        <v>537.86162418600225</v>
      </c>
      <c r="C602" s="86">
        <v>524.46255289891428</v>
      </c>
      <c r="D602" s="86">
        <v>525.20640199885486</v>
      </c>
      <c r="E602" s="86">
        <v>9593281.5951108411</v>
      </c>
      <c r="F602" s="86" t="s">
        <v>650</v>
      </c>
      <c r="G602" s="25">
        <f t="shared" si="15"/>
        <v>1.5709733325879105E-2</v>
      </c>
      <c r="I602" s="86">
        <v>469.45403258702817</v>
      </c>
      <c r="J602" s="86">
        <v>469.45403258702817</v>
      </c>
      <c r="K602" s="86">
        <v>458.65415146436635</v>
      </c>
      <c r="L602" s="86">
        <v>460.26693371201719</v>
      </c>
      <c r="M602" s="86">
        <v>4139097.6430472606</v>
      </c>
      <c r="N602" s="86" t="s">
        <v>650</v>
      </c>
      <c r="O602" s="25">
        <f t="shared" si="16"/>
        <v>1.9960371258733955E-2</v>
      </c>
    </row>
    <row r="603" spans="1:15">
      <c r="A603" s="86">
        <v>527.48688673946231</v>
      </c>
      <c r="B603" s="86">
        <v>533.51597944424395</v>
      </c>
      <c r="C603" s="86">
        <v>527.20304958290592</v>
      </c>
      <c r="D603" s="86">
        <v>532.13594361409105</v>
      </c>
      <c r="E603" s="86">
        <v>17156725.740501631</v>
      </c>
      <c r="F603" s="86" t="s">
        <v>651</v>
      </c>
      <c r="G603" s="25">
        <f t="shared" si="15"/>
        <v>-8.7365962221117588E-3</v>
      </c>
      <c r="I603" s="86">
        <v>460.46853149297357</v>
      </c>
      <c r="J603" s="86">
        <v>464.63488563273819</v>
      </c>
      <c r="K603" s="86">
        <v>458.20775637796305</v>
      </c>
      <c r="L603" s="86">
        <v>460.79492790023619</v>
      </c>
      <c r="M603" s="86">
        <v>1302541.4206163886</v>
      </c>
      <c r="N603" s="86" t="s">
        <v>651</v>
      </c>
      <c r="O603" s="25">
        <f t="shared" si="16"/>
        <v>-7.0833333333319981E-4</v>
      </c>
    </row>
    <row r="604" spans="1:15">
      <c r="A604" s="86">
        <v>527.68263650260451</v>
      </c>
      <c r="B604" s="86">
        <v>545.68182722353572</v>
      </c>
      <c r="C604" s="86">
        <v>527.08559972502053</v>
      </c>
      <c r="D604" s="86">
        <v>543.49921736449949</v>
      </c>
      <c r="E604" s="86">
        <v>25118732.820261329</v>
      </c>
      <c r="F604" s="86" t="s">
        <v>652</v>
      </c>
      <c r="G604" s="25">
        <f t="shared" si="15"/>
        <v>-2.9101386637853333E-2</v>
      </c>
      <c r="I604" s="86">
        <v>463.61729683362518</v>
      </c>
      <c r="J604" s="86">
        <v>470.62521969544127</v>
      </c>
      <c r="K604" s="86">
        <v>463.10850243406867</v>
      </c>
      <c r="L604" s="86">
        <v>469.91482751492839</v>
      </c>
      <c r="M604" s="86">
        <v>1484080.9188508636</v>
      </c>
      <c r="N604" s="86" t="s">
        <v>652</v>
      </c>
      <c r="O604" s="25">
        <f t="shared" si="16"/>
        <v>-1.3401430030643535E-2</v>
      </c>
    </row>
    <row r="605" spans="1:15">
      <c r="A605" s="86">
        <v>543.6460296868562</v>
      </c>
      <c r="B605" s="86">
        <v>544.56115982954634</v>
      </c>
      <c r="C605" s="86">
        <v>542.51068106063099</v>
      </c>
      <c r="D605" s="86">
        <v>543.66560466317048</v>
      </c>
      <c r="E605" s="86">
        <v>6243563.1102744061</v>
      </c>
      <c r="F605" s="86" t="s">
        <v>653</v>
      </c>
      <c r="G605" s="25">
        <f t="shared" si="15"/>
        <v>-3.6005544854056382E-5</v>
      </c>
      <c r="I605" s="86">
        <v>470.98041578569769</v>
      </c>
      <c r="J605" s="86">
        <v>473.27479053086762</v>
      </c>
      <c r="K605" s="86">
        <v>468.24444590129002</v>
      </c>
      <c r="L605" s="86">
        <v>469.48763221718758</v>
      </c>
      <c r="M605" s="86">
        <v>1410957.1972996248</v>
      </c>
      <c r="N605" s="86" t="s">
        <v>653</v>
      </c>
      <c r="O605" s="25">
        <f t="shared" si="16"/>
        <v>3.1796014763165736E-3</v>
      </c>
    </row>
    <row r="606" spans="1:15">
      <c r="A606" s="86">
        <v>545.93630191562067</v>
      </c>
      <c r="B606" s="86">
        <v>546.92317434650249</v>
      </c>
      <c r="C606" s="86">
        <v>544.59052229401755</v>
      </c>
      <c r="D606" s="86">
        <v>545.2903276972512</v>
      </c>
      <c r="E606" s="86">
        <v>23342842.037970304</v>
      </c>
      <c r="F606" s="86" t="s">
        <v>654</v>
      </c>
      <c r="G606" s="25">
        <f t="shared" ref="G606:G669" si="17">A606/D606-1</f>
        <v>1.1846427225243872E-3</v>
      </c>
      <c r="I606" s="86">
        <v>471.97880479614815</v>
      </c>
      <c r="J606" s="86">
        <v>475.00277151049352</v>
      </c>
      <c r="K606" s="86">
        <v>470.53882064645995</v>
      </c>
      <c r="L606" s="86">
        <v>475.00277151049352</v>
      </c>
      <c r="M606" s="86">
        <v>1545558.6788797961</v>
      </c>
      <c r="N606" s="86" t="s">
        <v>654</v>
      </c>
      <c r="O606" s="25">
        <f t="shared" ref="O606:O669" si="18">I606/L606-1</f>
        <v>-6.3662085691189585E-3</v>
      </c>
    </row>
    <row r="607" spans="1:15">
      <c r="A607" s="86">
        <v>543.80262949737005</v>
      </c>
      <c r="B607" s="86">
        <v>546.29843897743388</v>
      </c>
      <c r="C607" s="86">
        <v>542.42690016200618</v>
      </c>
      <c r="D607" s="86">
        <v>545.66225224722155</v>
      </c>
      <c r="E607" s="86">
        <v>4768192.7426990131</v>
      </c>
      <c r="F607" s="86" t="s">
        <v>655</v>
      </c>
      <c r="G607" s="25">
        <f t="shared" si="17"/>
        <v>-3.4080106186435977E-3</v>
      </c>
      <c r="I607" s="86">
        <v>474.85877309552467</v>
      </c>
      <c r="J607" s="86">
        <v>479.24803678166103</v>
      </c>
      <c r="K607" s="86">
        <v>472.48759919570472</v>
      </c>
      <c r="L607" s="86">
        <v>475.74196337400014</v>
      </c>
      <c r="M607" s="86">
        <v>1031520.7291146842</v>
      </c>
      <c r="N607" s="86" t="s">
        <v>655</v>
      </c>
      <c r="O607" s="25">
        <f t="shared" si="18"/>
        <v>-1.8564481304357283E-3</v>
      </c>
    </row>
    <row r="608" spans="1:15">
      <c r="A608" s="86">
        <v>543.8417794499984</v>
      </c>
      <c r="B608" s="86">
        <v>546.33758893006245</v>
      </c>
      <c r="C608" s="86">
        <v>543.81241698552719</v>
      </c>
      <c r="D608" s="86">
        <v>545.81885205773528</v>
      </c>
      <c r="E608" s="86">
        <v>4136507.6871715989</v>
      </c>
      <c r="F608" s="86" t="s">
        <v>656</v>
      </c>
      <c r="G608" s="25">
        <f t="shared" si="17"/>
        <v>-3.6222138540714655E-3</v>
      </c>
      <c r="I608" s="86">
        <v>476.71155270145687</v>
      </c>
      <c r="J608" s="86">
        <v>481.04590499201851</v>
      </c>
      <c r="K608" s="86">
        <v>469.15643586275922</v>
      </c>
      <c r="L608" s="86">
        <v>479.99471656274608</v>
      </c>
      <c r="M608" s="86">
        <v>1940655.7361100276</v>
      </c>
      <c r="N608" s="86" t="s">
        <v>656</v>
      </c>
      <c r="O608" s="25">
        <f t="shared" si="18"/>
        <v>-6.8400000000000682E-3</v>
      </c>
    </row>
    <row r="609" spans="1:15">
      <c r="A609" s="86">
        <v>546.66057603924708</v>
      </c>
      <c r="B609" s="86">
        <v>547.50230002075887</v>
      </c>
      <c r="C609" s="86">
        <v>544.8303157538669</v>
      </c>
      <c r="D609" s="86">
        <v>545.08479044595185</v>
      </c>
      <c r="E609" s="86">
        <v>3590724.1404382423</v>
      </c>
      <c r="F609" s="86" t="s">
        <v>657</v>
      </c>
      <c r="G609" s="25">
        <f t="shared" si="17"/>
        <v>2.8908999497234689E-3</v>
      </c>
      <c r="I609" s="86">
        <v>484.06507175919813</v>
      </c>
      <c r="J609" s="86">
        <v>493.43456862650294</v>
      </c>
      <c r="K609" s="86">
        <v>483.1674816392258</v>
      </c>
      <c r="L609" s="86">
        <v>493.24257073987781</v>
      </c>
      <c r="M609" s="86">
        <v>1362480.6220434923</v>
      </c>
      <c r="N609" s="86" t="s">
        <v>657</v>
      </c>
      <c r="O609" s="25">
        <f t="shared" si="18"/>
        <v>-1.8606461658232765E-2</v>
      </c>
    </row>
    <row r="610" spans="1:15">
      <c r="A610" s="86">
        <v>542.54983101325956</v>
      </c>
      <c r="B610" s="86">
        <v>545.04564049332339</v>
      </c>
      <c r="C610" s="86">
        <v>541.80598191331899</v>
      </c>
      <c r="D610" s="86">
        <v>544.75201584861009</v>
      </c>
      <c r="E610" s="86">
        <v>4199354.2510831943</v>
      </c>
      <c r="F610" s="86" t="s">
        <v>658</v>
      </c>
      <c r="G610" s="25">
        <f t="shared" si="17"/>
        <v>-4.0425455460132431E-3</v>
      </c>
      <c r="I610" s="86">
        <v>492.41697982738998</v>
      </c>
      <c r="J610" s="86">
        <v>494.0200661817662</v>
      </c>
      <c r="K610" s="86">
        <v>487.77063097106259</v>
      </c>
      <c r="L610" s="86">
        <v>488.7882197701756</v>
      </c>
      <c r="M610" s="86">
        <v>1228003.1001610986</v>
      </c>
      <c r="N610" s="86" t="s">
        <v>658</v>
      </c>
      <c r="O610" s="25">
        <f t="shared" si="18"/>
        <v>7.4239924581664951E-3</v>
      </c>
    </row>
    <row r="611" spans="1:15">
      <c r="A611" s="86">
        <v>544.09625414208335</v>
      </c>
      <c r="B611" s="86">
        <v>546.98845689251038</v>
      </c>
      <c r="C611" s="86">
        <v>543.57751726975641</v>
      </c>
      <c r="D611" s="86">
        <v>546.83675082607522</v>
      </c>
      <c r="E611" s="86">
        <v>4508077.9962868057</v>
      </c>
      <c r="F611" s="86" t="s">
        <v>659</v>
      </c>
      <c r="G611" s="25">
        <f t="shared" si="17"/>
        <v>-5.0115444506096951E-3</v>
      </c>
      <c r="I611" s="86">
        <v>489.60421078833224</v>
      </c>
      <c r="J611" s="86">
        <v>495.70091168022566</v>
      </c>
      <c r="K611" s="86">
        <v>488.20262621596902</v>
      </c>
      <c r="L611" s="86">
        <v>490.73699831942031</v>
      </c>
      <c r="M611" s="86">
        <v>1219260.2955943083</v>
      </c>
      <c r="N611" s="86" t="s">
        <v>659</v>
      </c>
      <c r="O611" s="25">
        <f t="shared" si="18"/>
        <v>-2.3083393650110695E-3</v>
      </c>
    </row>
    <row r="612" spans="1:15">
      <c r="A612" s="86">
        <v>546.94441319580346</v>
      </c>
      <c r="B612" s="86">
        <v>548.06018684571427</v>
      </c>
      <c r="C612" s="86">
        <v>546.22013907217706</v>
      </c>
      <c r="D612" s="86">
        <v>546.60185111030444</v>
      </c>
      <c r="E612" s="86">
        <v>5246371.6099294769</v>
      </c>
      <c r="F612" s="86" t="s">
        <v>660</v>
      </c>
      <c r="G612" s="25">
        <f t="shared" si="17"/>
        <v>6.2671226744503983E-4</v>
      </c>
      <c r="I612" s="86">
        <v>492.50337887637119</v>
      </c>
      <c r="J612" s="86">
        <v>496.7369322764547</v>
      </c>
      <c r="K612" s="86">
        <v>489.21061512075079</v>
      </c>
      <c r="L612" s="86">
        <v>495.08575045147882</v>
      </c>
      <c r="M612" s="86">
        <v>1338567.858831859</v>
      </c>
      <c r="N612" s="86" t="s">
        <v>660</v>
      </c>
      <c r="O612" s="25">
        <f t="shared" si="18"/>
        <v>-5.2160086868844324E-3</v>
      </c>
    </row>
    <row r="613" spans="1:15">
      <c r="A613" s="86">
        <v>545.85800201036386</v>
      </c>
      <c r="B613" s="86">
        <v>547.52187499707304</v>
      </c>
      <c r="C613" s="86">
        <v>545.61331480643605</v>
      </c>
      <c r="D613" s="86">
        <v>546.75845092081818</v>
      </c>
      <c r="E613" s="86">
        <v>3087166.9538665209</v>
      </c>
      <c r="F613" s="86" t="s">
        <v>661</v>
      </c>
      <c r="G613" s="25">
        <f t="shared" si="17"/>
        <v>-1.6468861321444761E-3</v>
      </c>
      <c r="I613" s="86">
        <v>496.77533185377968</v>
      </c>
      <c r="J613" s="86">
        <v>499.73209930780615</v>
      </c>
      <c r="K613" s="86">
        <v>493.44416852083418</v>
      </c>
      <c r="L613" s="86">
        <v>496.71773248779209</v>
      </c>
      <c r="M613" s="86">
        <v>1160107.5611573067</v>
      </c>
      <c r="N613" s="86" t="s">
        <v>661</v>
      </c>
      <c r="O613" s="25">
        <f t="shared" si="18"/>
        <v>1.1595995516233693E-4</v>
      </c>
    </row>
    <row r="614" spans="1:15">
      <c r="A614" s="86">
        <v>546.76823840897532</v>
      </c>
      <c r="B614" s="86">
        <v>547.0031381247461</v>
      </c>
      <c r="C614" s="86">
        <v>544.35170758298409</v>
      </c>
      <c r="D614" s="86">
        <v>544.9967030525379</v>
      </c>
      <c r="E614" s="86">
        <v>5609530.159185729</v>
      </c>
      <c r="F614" s="86" t="s">
        <v>662</v>
      </c>
      <c r="G614" s="25">
        <f t="shared" si="17"/>
        <v>3.2505432537757173E-3</v>
      </c>
      <c r="I614" s="86">
        <v>496.79453164244217</v>
      </c>
      <c r="J614" s="86">
        <v>499.02746706389206</v>
      </c>
      <c r="K614" s="86">
        <v>492.608977714015</v>
      </c>
      <c r="L614" s="86">
        <v>495.47934611906027</v>
      </c>
      <c r="M614" s="86">
        <v>1607319.7753607919</v>
      </c>
      <c r="N614" s="86" t="s">
        <v>662</v>
      </c>
      <c r="O614" s="25">
        <f t="shared" si="18"/>
        <v>2.6543700230561296E-3</v>
      </c>
    </row>
    <row r="615" spans="1:15">
      <c r="A615" s="86">
        <v>543.34261755398563</v>
      </c>
      <c r="B615" s="86">
        <v>543.62655258542361</v>
      </c>
      <c r="C615" s="86">
        <v>542.02130665277537</v>
      </c>
      <c r="D615" s="86">
        <v>543.00984295664375</v>
      </c>
      <c r="E615" s="86">
        <v>4294162.0286359675</v>
      </c>
      <c r="F615" s="86" t="s">
        <v>663</v>
      </c>
      <c r="G615" s="25">
        <f t="shared" si="17"/>
        <v>6.1283345349671947E-4</v>
      </c>
      <c r="I615" s="86">
        <v>496.31453692587945</v>
      </c>
      <c r="J615" s="86">
        <v>500.63448937494417</v>
      </c>
      <c r="K615" s="86">
        <v>495.59464084997859</v>
      </c>
      <c r="L615" s="86">
        <v>499.32890374589346</v>
      </c>
      <c r="M615" s="86">
        <v>1237918.8343051802</v>
      </c>
      <c r="N615" s="86" t="s">
        <v>663</v>
      </c>
      <c r="O615" s="25">
        <f t="shared" si="18"/>
        <v>-6.0368362363978356E-3</v>
      </c>
    </row>
    <row r="616" spans="1:15">
      <c r="A616" s="86">
        <v>543.21538020794321</v>
      </c>
      <c r="B616" s="86">
        <v>543.76347954474159</v>
      </c>
      <c r="C616" s="86">
        <v>542.11918153434658</v>
      </c>
      <c r="D616" s="86">
        <v>542.57919347773088</v>
      </c>
      <c r="E616" s="86">
        <v>5559149.5107410485</v>
      </c>
      <c r="F616" s="86" t="s">
        <v>664</v>
      </c>
      <c r="G616" s="25">
        <f t="shared" si="17"/>
        <v>1.1725232700772192E-3</v>
      </c>
      <c r="I616" s="86">
        <v>499.52090163251859</v>
      </c>
      <c r="J616" s="86">
        <v>505.70803352901231</v>
      </c>
      <c r="K616" s="86">
        <v>498.52251262206801</v>
      </c>
      <c r="L616" s="86">
        <v>504.23444974916475</v>
      </c>
      <c r="M616" s="86">
        <v>1162478.4205870712</v>
      </c>
      <c r="N616" s="86" t="s">
        <v>664</v>
      </c>
      <c r="O616" s="25">
        <f t="shared" si="18"/>
        <v>-9.3479295573536403E-3</v>
      </c>
    </row>
    <row r="617" spans="1:15">
      <c r="A617" s="86">
        <v>541.6885320554336</v>
      </c>
      <c r="B617" s="86">
        <v>542.91196807507276</v>
      </c>
      <c r="C617" s="86">
        <v>539.35910987404066</v>
      </c>
      <c r="D617" s="86">
        <v>539.57443461349703</v>
      </c>
      <c r="E617" s="86">
        <v>4075332.645078205</v>
      </c>
      <c r="F617" s="86" t="s">
        <v>665</v>
      </c>
      <c r="G617" s="25">
        <f t="shared" si="17"/>
        <v>3.9180830415934675E-3</v>
      </c>
      <c r="I617" s="86">
        <v>505.06004066733482</v>
      </c>
      <c r="J617" s="86">
        <v>505.12682105086878</v>
      </c>
      <c r="K617" s="86">
        <v>500.46173425828221</v>
      </c>
      <c r="L617" s="86">
        <v>503.49547168168203</v>
      </c>
      <c r="M617" s="86">
        <v>689981.36221497832</v>
      </c>
      <c r="N617" s="86" t="s">
        <v>665</v>
      </c>
      <c r="O617" s="25">
        <f t="shared" si="18"/>
        <v>3.107414214525317E-3</v>
      </c>
    </row>
    <row r="618" spans="1:15">
      <c r="A618" s="86">
        <v>538.85016048987063</v>
      </c>
      <c r="B618" s="86">
        <v>540.64127082262246</v>
      </c>
      <c r="C618" s="86">
        <v>537.44076219524641</v>
      </c>
      <c r="D618" s="86">
        <v>540.30849622528058</v>
      </c>
      <c r="E618" s="86">
        <v>3384135.8955747751</v>
      </c>
      <c r="F618" s="86" t="s">
        <v>666</v>
      </c>
      <c r="G618" s="25">
        <f t="shared" si="17"/>
        <v>-2.6990797768279284E-3</v>
      </c>
      <c r="I618" s="86">
        <v>501.56838061398781</v>
      </c>
      <c r="J618" s="86">
        <v>505.61336384518762</v>
      </c>
      <c r="K618" s="86">
        <v>499.10704647802186</v>
      </c>
      <c r="L618" s="86">
        <v>499.46002850527276</v>
      </c>
      <c r="M618" s="86">
        <v>933321.68372924917</v>
      </c>
      <c r="N618" s="86" t="s">
        <v>666</v>
      </c>
      <c r="O618" s="25">
        <f t="shared" si="18"/>
        <v>4.2212629407496483E-3</v>
      </c>
    </row>
    <row r="619" spans="1:15">
      <c r="A619" s="86">
        <v>540.57275840552256</v>
      </c>
      <c r="B619" s="86">
        <v>541.07182242665385</v>
      </c>
      <c r="C619" s="86">
        <v>538.16503631887281</v>
      </c>
      <c r="D619" s="86">
        <v>538.80122304908514</v>
      </c>
      <c r="E619" s="86">
        <v>4534946.9943155665</v>
      </c>
      <c r="F619" s="86" t="s">
        <v>667</v>
      </c>
      <c r="G619" s="25">
        <f t="shared" si="17"/>
        <v>3.2879200726609881E-3</v>
      </c>
      <c r="I619" s="86">
        <v>497.46615705404463</v>
      </c>
      <c r="J619" s="86">
        <v>499.95611135438219</v>
      </c>
      <c r="K619" s="86">
        <v>495.50090576718804</v>
      </c>
      <c r="L619" s="86">
        <v>495.50090576718804</v>
      </c>
      <c r="M619" s="86">
        <v>1410671.1434517964</v>
      </c>
      <c r="N619" s="86" t="s">
        <v>667</v>
      </c>
      <c r="O619" s="25">
        <f t="shared" si="18"/>
        <v>3.9661911088009205E-3</v>
      </c>
    </row>
    <row r="620" spans="1:15">
      <c r="A620" s="86">
        <v>537.5582120531318</v>
      </c>
      <c r="B620" s="86">
        <v>540.64127082262246</v>
      </c>
      <c r="C620" s="86">
        <v>535.57125408235618</v>
      </c>
      <c r="D620" s="86">
        <v>539.48634722008308</v>
      </c>
      <c r="E620" s="86">
        <v>4398473.7768201027</v>
      </c>
      <c r="F620" s="86" t="s">
        <v>668</v>
      </c>
      <c r="G620" s="25">
        <f t="shared" si="17"/>
        <v>-3.5740203193033171E-3</v>
      </c>
      <c r="I620" s="86">
        <v>497.88591946482944</v>
      </c>
      <c r="J620" s="86">
        <v>509.59156669285346</v>
      </c>
      <c r="K620" s="86">
        <v>491.21742116622409</v>
      </c>
      <c r="L620" s="86">
        <v>508.46584022756679</v>
      </c>
      <c r="M620" s="86">
        <v>3787704.6613751757</v>
      </c>
      <c r="N620" s="86" t="s">
        <v>668</v>
      </c>
      <c r="O620" s="25">
        <f t="shared" si="18"/>
        <v>-2.080753499193233E-2</v>
      </c>
    </row>
    <row r="621" spans="1:15">
      <c r="A621" s="86">
        <v>535.83561413747987</v>
      </c>
      <c r="B621" s="86">
        <v>536.40289695106617</v>
      </c>
      <c r="C621" s="86">
        <v>533.78024162448605</v>
      </c>
      <c r="D621" s="86">
        <v>534.22067859155618</v>
      </c>
      <c r="E621" s="86">
        <v>5695626.8150869235</v>
      </c>
      <c r="F621" s="86" t="s">
        <v>669</v>
      </c>
      <c r="G621" s="25">
        <f t="shared" si="17"/>
        <v>3.0229746070133956E-3</v>
      </c>
      <c r="I621" s="86">
        <v>517.28085085404939</v>
      </c>
      <c r="J621" s="86">
        <v>520.88699156488315</v>
      </c>
      <c r="K621" s="86">
        <v>515.08663825221925</v>
      </c>
      <c r="L621" s="86">
        <v>519.93298608582666</v>
      </c>
      <c r="M621" s="86">
        <v>1374368.4169367985</v>
      </c>
      <c r="N621" s="86" t="s">
        <v>669</v>
      </c>
      <c r="O621" s="25">
        <f t="shared" si="18"/>
        <v>-5.1009174311926753E-3</v>
      </c>
    </row>
    <row r="622" spans="1:15">
      <c r="A622" s="86">
        <v>534.04450380472804</v>
      </c>
      <c r="B622" s="86">
        <v>535.44411461119535</v>
      </c>
      <c r="C622" s="86">
        <v>528.56351043674465</v>
      </c>
      <c r="D622" s="86">
        <v>533.98577887578551</v>
      </c>
      <c r="E622" s="86">
        <v>4628990.5308414372</v>
      </c>
      <c r="F622" s="86" t="s">
        <v>670</v>
      </c>
      <c r="G622" s="25">
        <f t="shared" si="17"/>
        <v>1.0997470581730617E-4</v>
      </c>
      <c r="I622" s="86">
        <v>517.08050970344755</v>
      </c>
      <c r="J622" s="86">
        <v>519.62770433252854</v>
      </c>
      <c r="K622" s="86">
        <v>509.16703425467335</v>
      </c>
      <c r="L622" s="86">
        <v>510.52649206232894</v>
      </c>
      <c r="M622" s="86">
        <v>1385688.0584242661</v>
      </c>
      <c r="N622" s="86" t="s">
        <v>670</v>
      </c>
      <c r="O622" s="25">
        <f t="shared" si="18"/>
        <v>1.2837762080950776E-2</v>
      </c>
    </row>
    <row r="623" spans="1:15">
      <c r="A623" s="86">
        <v>531.36273204967904</v>
      </c>
      <c r="B623" s="86">
        <v>531.52911934835004</v>
      </c>
      <c r="C623" s="86">
        <v>526.01876351589533</v>
      </c>
      <c r="D623" s="86">
        <v>531.24528219179365</v>
      </c>
      <c r="E623" s="86">
        <v>4034804.3712624442</v>
      </c>
      <c r="F623" s="86" t="s">
        <v>671</v>
      </c>
      <c r="G623" s="25">
        <f t="shared" si="17"/>
        <v>2.2108404878595778E-4</v>
      </c>
      <c r="I623" s="86">
        <v>510.13534981591573</v>
      </c>
      <c r="J623" s="86">
        <v>510.61235255544403</v>
      </c>
      <c r="K623" s="86">
        <v>504.85969951673297</v>
      </c>
      <c r="L623" s="86">
        <v>509.61064680243459</v>
      </c>
      <c r="M623" s="86">
        <v>1042314.7684469891</v>
      </c>
      <c r="N623" s="86" t="s">
        <v>671</v>
      </c>
      <c r="O623" s="25">
        <f t="shared" si="18"/>
        <v>1.0296154854170236E-3</v>
      </c>
    </row>
    <row r="624" spans="1:15">
      <c r="A624" s="86">
        <v>531.16698228653684</v>
      </c>
      <c r="B624" s="86">
        <v>531.82274399306334</v>
      </c>
      <c r="C624" s="86">
        <v>525.49023915541113</v>
      </c>
      <c r="D624" s="86">
        <v>526.07748844483785</v>
      </c>
      <c r="E624" s="86">
        <v>7129891.6412259666</v>
      </c>
      <c r="F624" s="86" t="s">
        <v>672</v>
      </c>
      <c r="G624" s="25">
        <f t="shared" si="17"/>
        <v>9.674418604651347E-3</v>
      </c>
      <c r="I624" s="86">
        <v>508.7329617617026</v>
      </c>
      <c r="J624" s="86">
        <v>514.51423496478537</v>
      </c>
      <c r="K624" s="86">
        <v>506.77725052963666</v>
      </c>
      <c r="L624" s="86">
        <v>512.37726269169866</v>
      </c>
      <c r="M624" s="86">
        <v>981178.85122177785</v>
      </c>
      <c r="N624" s="86" t="s">
        <v>672</v>
      </c>
      <c r="O624" s="25">
        <f t="shared" si="18"/>
        <v>-7.11253444552018E-3</v>
      </c>
    </row>
    <row r="625" spans="1:15">
      <c r="A625" s="86">
        <v>529.23884711958556</v>
      </c>
      <c r="B625" s="86">
        <v>530.413345698439</v>
      </c>
      <c r="C625" s="86">
        <v>526.70878143097173</v>
      </c>
      <c r="D625" s="86">
        <v>527.4673117631479</v>
      </c>
      <c r="E625" s="86">
        <v>4602044.9043674646</v>
      </c>
      <c r="F625" s="86" t="s">
        <v>673</v>
      </c>
      <c r="G625" s="25">
        <f t="shared" si="17"/>
        <v>3.3585689898318893E-3</v>
      </c>
      <c r="I625" s="86">
        <v>506.53874915987251</v>
      </c>
      <c r="J625" s="86">
        <v>513.23586762284958</v>
      </c>
      <c r="K625" s="86">
        <v>504.41894898540886</v>
      </c>
      <c r="L625" s="86">
        <v>511.72853896594017</v>
      </c>
      <c r="M625" s="86">
        <v>1361370.5880225843</v>
      </c>
      <c r="N625" s="86" t="s">
        <v>673</v>
      </c>
      <c r="O625" s="25">
        <f t="shared" si="18"/>
        <v>-1.0141685309470461E-2</v>
      </c>
    </row>
    <row r="626" spans="1:15">
      <c r="A626" s="86">
        <v>527.05623726054921</v>
      </c>
      <c r="B626" s="86">
        <v>531.03974494049442</v>
      </c>
      <c r="C626" s="86">
        <v>525.34342683305442</v>
      </c>
      <c r="D626" s="86">
        <v>530.60909546158132</v>
      </c>
      <c r="E626" s="86">
        <v>7519921.2319361856</v>
      </c>
      <c r="F626" s="86" t="s">
        <v>674</v>
      </c>
      <c r="G626" s="25">
        <f t="shared" si="17"/>
        <v>-6.6958109678489919E-3</v>
      </c>
      <c r="I626" s="86">
        <v>510.23075036382141</v>
      </c>
      <c r="J626" s="86">
        <v>517.58613260734751</v>
      </c>
      <c r="K626" s="86">
        <v>506.98112150051105</v>
      </c>
      <c r="L626" s="86">
        <v>513.13092702015331</v>
      </c>
      <c r="M626" s="86">
        <v>1842035.5423302655</v>
      </c>
      <c r="N626" s="86" t="s">
        <v>674</v>
      </c>
      <c r="O626" s="25">
        <f t="shared" si="18"/>
        <v>-5.651923327197883E-3</v>
      </c>
    </row>
    <row r="627" spans="1:15">
      <c r="A627" s="86">
        <v>533.94662892315694</v>
      </c>
      <c r="B627" s="86">
        <v>537.89098665047368</v>
      </c>
      <c r="C627" s="86">
        <v>533.30065470478746</v>
      </c>
      <c r="D627" s="86">
        <v>537.43097470708926</v>
      </c>
      <c r="E627" s="86">
        <v>4025835.7780349567</v>
      </c>
      <c r="F627" s="86" t="s">
        <v>675</v>
      </c>
      <c r="G627" s="25">
        <f t="shared" si="17"/>
        <v>-6.4833363686032097E-3</v>
      </c>
      <c r="I627" s="86">
        <v>514.19941315669666</v>
      </c>
      <c r="J627" s="86">
        <v>535.53097566840142</v>
      </c>
      <c r="K627" s="86">
        <v>509.23381463820726</v>
      </c>
      <c r="L627" s="86">
        <v>535.53097566840142</v>
      </c>
      <c r="M627" s="86">
        <v>2067841.373354458</v>
      </c>
      <c r="N627" s="86" t="s">
        <v>675</v>
      </c>
      <c r="O627" s="25">
        <f t="shared" si="18"/>
        <v>-3.9832546539592117E-2</v>
      </c>
    </row>
    <row r="628" spans="1:15">
      <c r="A628" s="86">
        <v>537.36246228998948</v>
      </c>
      <c r="B628" s="86">
        <v>539.17314759905548</v>
      </c>
      <c r="C628" s="86">
        <v>535.34623972962413</v>
      </c>
      <c r="D628" s="86">
        <v>537.4896996360319</v>
      </c>
      <c r="E628" s="86">
        <v>3781940.7191923968</v>
      </c>
      <c r="F628" s="86" t="s">
        <v>676</v>
      </c>
      <c r="G628" s="25">
        <f t="shared" si="17"/>
        <v>-2.3672518027528788E-4</v>
      </c>
      <c r="I628" s="86">
        <v>532.07747583421667</v>
      </c>
      <c r="J628" s="86">
        <v>539.01309566695784</v>
      </c>
      <c r="K628" s="86">
        <v>530.74196356408538</v>
      </c>
      <c r="L628" s="86">
        <v>538.05909018790135</v>
      </c>
      <c r="M628" s="86">
        <v>1172580.2676796531</v>
      </c>
      <c r="N628" s="86" t="s">
        <v>676</v>
      </c>
      <c r="O628" s="25">
        <f t="shared" si="18"/>
        <v>-1.1117021276595751E-2</v>
      </c>
    </row>
    <row r="629" spans="1:15">
      <c r="A629" s="86">
        <v>537.08841262159035</v>
      </c>
      <c r="B629" s="86">
        <v>539.23187252799823</v>
      </c>
      <c r="C629" s="86">
        <v>534.81771536914005</v>
      </c>
      <c r="D629" s="86">
        <v>538.69356067935689</v>
      </c>
      <c r="E629" s="86">
        <v>4923237.6301757991</v>
      </c>
      <c r="F629" s="86" t="s">
        <v>677</v>
      </c>
      <c r="G629" s="25">
        <f t="shared" si="17"/>
        <v>-2.9797052998782325E-3</v>
      </c>
      <c r="I629" s="86">
        <v>539.92894092685219</v>
      </c>
      <c r="J629" s="86">
        <v>549.91737829257431</v>
      </c>
      <c r="K629" s="86">
        <v>538.82229457114659</v>
      </c>
      <c r="L629" s="86">
        <v>547.90442673176506</v>
      </c>
      <c r="M629" s="86">
        <v>1188580.175788247</v>
      </c>
      <c r="N629" s="86" t="s">
        <v>677</v>
      </c>
      <c r="O629" s="25">
        <f t="shared" si="18"/>
        <v>-1.4556344894832152E-2</v>
      </c>
    </row>
    <row r="630" spans="1:15">
      <c r="A630" s="86">
        <v>538.70334816751404</v>
      </c>
      <c r="B630" s="86">
        <v>540.00508409241013</v>
      </c>
      <c r="C630" s="86">
        <v>537.18628750316145</v>
      </c>
      <c r="D630" s="86">
        <v>539.7114594476966</v>
      </c>
      <c r="E630" s="86">
        <v>4999371.5664869696</v>
      </c>
      <c r="F630" s="86" t="s">
        <v>678</v>
      </c>
      <c r="G630" s="25">
        <f t="shared" si="17"/>
        <v>-1.8678708086246054E-3</v>
      </c>
      <c r="I630" s="86">
        <v>544.33644624009355</v>
      </c>
      <c r="J630" s="86">
        <v>549.65016135789062</v>
      </c>
      <c r="K630" s="86">
        <v>543.59232196642938</v>
      </c>
      <c r="L630" s="86">
        <v>543.99300426763318</v>
      </c>
      <c r="M630" s="86">
        <v>1227837.8119572103</v>
      </c>
      <c r="N630" s="86" t="s">
        <v>678</v>
      </c>
      <c r="O630" s="25">
        <f t="shared" si="18"/>
        <v>6.3133527410474954E-4</v>
      </c>
    </row>
    <row r="631" spans="1:15">
      <c r="A631" s="86">
        <v>538.26291120044391</v>
      </c>
      <c r="B631" s="86">
        <v>539.52549717271154</v>
      </c>
      <c r="C631" s="86">
        <v>536.41307593874944</v>
      </c>
      <c r="D631" s="86">
        <v>536.4228634269067</v>
      </c>
      <c r="E631" s="86">
        <v>6945577.7528164135</v>
      </c>
      <c r="F631" s="86" t="s">
        <v>679</v>
      </c>
      <c r="G631" s="25">
        <f t="shared" si="17"/>
        <v>3.4302187676755747E-3</v>
      </c>
      <c r="I631" s="86">
        <v>538.59333325617297</v>
      </c>
      <c r="J631" s="86">
        <v>540.73975018350234</v>
      </c>
      <c r="K631" s="86">
        <v>529.20591934225649</v>
      </c>
      <c r="L631" s="86">
        <v>529.92142345154889</v>
      </c>
      <c r="M631" s="86">
        <v>1222308.4936086233</v>
      </c>
      <c r="N631" s="86" t="s">
        <v>679</v>
      </c>
      <c r="O631" s="25">
        <f t="shared" si="18"/>
        <v>1.6364520136100902E-2</v>
      </c>
    </row>
    <row r="632" spans="1:15">
      <c r="A632" s="86">
        <v>535.8943390664225</v>
      </c>
      <c r="B632" s="86">
        <v>536.81925669726968</v>
      </c>
      <c r="C632" s="86">
        <v>533.56491688502956</v>
      </c>
      <c r="D632" s="86">
        <v>533.63342930212934</v>
      </c>
      <c r="E632" s="86">
        <v>6182664.9522963744</v>
      </c>
      <c r="F632" s="86" t="s">
        <v>680</v>
      </c>
      <c r="G632" s="25">
        <f t="shared" si="17"/>
        <v>4.23682183338836E-3</v>
      </c>
      <c r="I632" s="86">
        <v>526.45838356257354</v>
      </c>
      <c r="J632" s="86">
        <v>531.38095643395752</v>
      </c>
      <c r="K632" s="86">
        <v>524.38819167302074</v>
      </c>
      <c r="L632" s="86">
        <v>529.47304087639225</v>
      </c>
      <c r="M632" s="86">
        <v>858062.15789193148</v>
      </c>
      <c r="N632" s="86" t="s">
        <v>680</v>
      </c>
      <c r="O632" s="25">
        <f t="shared" si="18"/>
        <v>-5.6936936936936577E-3</v>
      </c>
    </row>
    <row r="633" spans="1:15">
      <c r="A633" s="86">
        <v>531.75423157596356</v>
      </c>
      <c r="B633" s="86">
        <v>532.57638058116106</v>
      </c>
      <c r="C633" s="86">
        <v>526.73325015136447</v>
      </c>
      <c r="D633" s="86">
        <v>530.13929603003987</v>
      </c>
      <c r="E633" s="86">
        <v>7645819.7239925414</v>
      </c>
      <c r="F633" s="86" t="s">
        <v>681</v>
      </c>
      <c r="G633" s="25">
        <f t="shared" si="17"/>
        <v>3.0462475768484598E-3</v>
      </c>
      <c r="I633" s="86">
        <v>526.43930345299248</v>
      </c>
      <c r="J633" s="86">
        <v>535.57867594235427</v>
      </c>
      <c r="K633" s="86">
        <v>515.16305409109168</v>
      </c>
      <c r="L633" s="86">
        <v>535.57867594235427</v>
      </c>
      <c r="M633" s="86">
        <v>1835738.932790936</v>
      </c>
      <c r="N633" s="86" t="s">
        <v>681</v>
      </c>
      <c r="O633" s="25">
        <f t="shared" si="18"/>
        <v>-1.7064481653010222E-2</v>
      </c>
    </row>
    <row r="634" spans="1:15">
      <c r="A634" s="86">
        <v>518.83474720857407</v>
      </c>
      <c r="B634" s="86">
        <v>518.90325962567385</v>
      </c>
      <c r="C634" s="86">
        <v>513.3341788642764</v>
      </c>
      <c r="D634" s="86">
        <v>513.56907858004718</v>
      </c>
      <c r="E634" s="86">
        <v>3371936.647097195</v>
      </c>
      <c r="F634" s="86" t="s">
        <v>682</v>
      </c>
      <c r="G634" s="25">
        <f t="shared" si="17"/>
        <v>1.0253087360878155E-2</v>
      </c>
      <c r="I634" s="86">
        <v>521.60249567417566</v>
      </c>
      <c r="J634" s="86">
        <v>522.00317797537934</v>
      </c>
      <c r="K634" s="86">
        <v>517.07096964865696</v>
      </c>
      <c r="L634" s="86">
        <v>519.93298608582666</v>
      </c>
      <c r="M634" s="86">
        <v>639558.17172390153</v>
      </c>
      <c r="N634" s="86" t="s">
        <v>682</v>
      </c>
      <c r="O634" s="25">
        <f t="shared" si="18"/>
        <v>3.2110091743120517E-3</v>
      </c>
    </row>
    <row r="635" spans="1:15">
      <c r="A635" s="86">
        <v>512.66862966959263</v>
      </c>
      <c r="B635" s="86">
        <v>515.09592673255679</v>
      </c>
      <c r="C635" s="86">
        <v>510.9363421406652</v>
      </c>
      <c r="D635" s="86">
        <v>513.90185317738894</v>
      </c>
      <c r="E635" s="86">
        <v>3761395.1004624418</v>
      </c>
      <c r="F635" s="86" t="s">
        <v>683</v>
      </c>
      <c r="G635" s="25">
        <f t="shared" si="17"/>
        <v>-2.3997257456291887E-3</v>
      </c>
      <c r="I635" s="86">
        <v>518.12037567561924</v>
      </c>
      <c r="J635" s="86">
        <v>523.56774696103207</v>
      </c>
      <c r="K635" s="86">
        <v>515.55410093695696</v>
      </c>
      <c r="L635" s="86">
        <v>520.60078992116632</v>
      </c>
      <c r="M635" s="86">
        <v>867454.13749446033</v>
      </c>
      <c r="N635" s="86" t="s">
        <v>683</v>
      </c>
      <c r="O635" s="25">
        <f t="shared" si="18"/>
        <v>-4.7645226314825262E-3</v>
      </c>
    </row>
    <row r="636" spans="1:15">
      <c r="A636" s="86">
        <v>513.78440331950367</v>
      </c>
      <c r="B636" s="86">
        <v>517.83642341654854</v>
      </c>
      <c r="C636" s="86">
        <v>513.39300166810074</v>
      </c>
      <c r="D636" s="86">
        <v>513.99972805896016</v>
      </c>
      <c r="E636" s="86">
        <v>6239539.6060445309</v>
      </c>
      <c r="F636" s="86" t="s">
        <v>684</v>
      </c>
      <c r="G636" s="25">
        <f t="shared" si="17"/>
        <v>-4.1891994820630885E-4</v>
      </c>
      <c r="I636" s="86">
        <v>520.26688800349643</v>
      </c>
      <c r="J636" s="86">
        <v>524.06382981014156</v>
      </c>
      <c r="K636" s="86">
        <v>519.5704640037851</v>
      </c>
      <c r="L636" s="86">
        <v>522.79500252299636</v>
      </c>
      <c r="M636" s="86">
        <v>830976.35957392422</v>
      </c>
      <c r="N636" s="86" t="s">
        <v>684</v>
      </c>
      <c r="O636" s="25">
        <f t="shared" si="18"/>
        <v>-4.8357664233577013E-3</v>
      </c>
    </row>
    <row r="637" spans="1:15">
      <c r="A637" s="86">
        <v>511.56264350783891</v>
      </c>
      <c r="B637" s="86">
        <v>517.98323573890525</v>
      </c>
      <c r="C637" s="86">
        <v>511.40604369732512</v>
      </c>
      <c r="D637" s="86">
        <v>517.84621090470569</v>
      </c>
      <c r="E637" s="86">
        <v>8145883.6751752477</v>
      </c>
      <c r="F637" s="86" t="s">
        <v>685</v>
      </c>
      <c r="G637" s="25">
        <f t="shared" si="17"/>
        <v>-1.213404146742536E-2</v>
      </c>
      <c r="I637" s="86">
        <v>520.93469183883599</v>
      </c>
      <c r="J637" s="86">
        <v>526.30564728537649</v>
      </c>
      <c r="K637" s="86">
        <v>517.71492334702009</v>
      </c>
      <c r="L637" s="86">
        <v>521.879157263102</v>
      </c>
      <c r="M637" s="86">
        <v>1305518.7075358049</v>
      </c>
      <c r="N637" s="86" t="s">
        <v>685</v>
      </c>
      <c r="O637" s="25">
        <f t="shared" si="18"/>
        <v>-1.809739689967893E-3</v>
      </c>
    </row>
    <row r="638" spans="1:15">
      <c r="A638" s="86">
        <v>521.82971858465066</v>
      </c>
      <c r="B638" s="86">
        <v>524.80511498441319</v>
      </c>
      <c r="C638" s="86">
        <v>521.27183175969537</v>
      </c>
      <c r="D638" s="86">
        <v>522.99442967534719</v>
      </c>
      <c r="E638" s="86">
        <v>3133607.8785147569</v>
      </c>
      <c r="F638" s="86" t="s">
        <v>686</v>
      </c>
      <c r="G638" s="25">
        <f t="shared" si="17"/>
        <v>-2.2270047721532071E-3</v>
      </c>
      <c r="I638" s="86">
        <v>520.82975123613983</v>
      </c>
      <c r="J638" s="86">
        <v>525.90506038472074</v>
      </c>
      <c r="K638" s="86">
        <v>518.21577622352481</v>
      </c>
      <c r="L638" s="86">
        <v>521.74559649603407</v>
      </c>
      <c r="M638" s="86">
        <v>1053623.9278143644</v>
      </c>
      <c r="N638" s="86" t="s">
        <v>686</v>
      </c>
      <c r="O638" s="25">
        <f t="shared" si="18"/>
        <v>-1.7553483269334702E-3</v>
      </c>
    </row>
    <row r="639" spans="1:15">
      <c r="A639" s="86">
        <v>523.405504177946</v>
      </c>
      <c r="B639" s="86">
        <v>524.43319043444296</v>
      </c>
      <c r="C639" s="86">
        <v>520.44968275449776</v>
      </c>
      <c r="D639" s="86">
        <v>521.79056863202231</v>
      </c>
      <c r="E639" s="86">
        <v>3093348.3151135361</v>
      </c>
      <c r="F639" s="86" t="s">
        <v>687</v>
      </c>
      <c r="G639" s="25">
        <f t="shared" si="17"/>
        <v>3.0949879951980286E-3</v>
      </c>
      <c r="I639" s="86">
        <v>521.65019594812838</v>
      </c>
      <c r="J639" s="86">
        <v>527.94663210990177</v>
      </c>
      <c r="K639" s="86">
        <v>521.27813381129636</v>
      </c>
      <c r="L639" s="86">
        <v>527.37422882246778</v>
      </c>
      <c r="M639" s="86">
        <v>1091964.3784752684</v>
      </c>
      <c r="N639" s="86" t="s">
        <v>687</v>
      </c>
      <c r="O639" s="25">
        <f t="shared" si="18"/>
        <v>-1.085383502170767E-2</v>
      </c>
    </row>
    <row r="640" spans="1:15">
      <c r="A640" s="86">
        <v>522.57356768459135</v>
      </c>
      <c r="B640" s="86">
        <v>524.18850323051504</v>
      </c>
      <c r="C640" s="86">
        <v>522.32966347971603</v>
      </c>
      <c r="D640" s="86">
        <v>524.14935327788658</v>
      </c>
      <c r="E640" s="86">
        <v>3481966.9207192706</v>
      </c>
      <c r="F640" s="86" t="s">
        <v>688</v>
      </c>
      <c r="G640" s="25">
        <f t="shared" si="17"/>
        <v>-3.0063675237614884E-3</v>
      </c>
      <c r="I640" s="86">
        <v>529.63522180783184</v>
      </c>
      <c r="J640" s="86">
        <v>537.25295555809851</v>
      </c>
      <c r="K640" s="86">
        <v>528.99126810946871</v>
      </c>
      <c r="L640" s="86">
        <v>537.10508470884474</v>
      </c>
      <c r="M640" s="86">
        <v>1340314.1051815576</v>
      </c>
      <c r="N640" s="86" t="s">
        <v>688</v>
      </c>
      <c r="O640" s="25">
        <f t="shared" si="18"/>
        <v>-1.3907637655417471E-2</v>
      </c>
    </row>
    <row r="641" spans="1:15">
      <c r="A641" s="86">
        <v>520.94884465051052</v>
      </c>
      <c r="B641" s="86">
        <v>525.84268660394866</v>
      </c>
      <c r="C641" s="86">
        <v>520.12082315241878</v>
      </c>
      <c r="D641" s="86">
        <v>523.28805432006061</v>
      </c>
      <c r="E641" s="86">
        <v>4421144.5577639071</v>
      </c>
      <c r="F641" s="86" t="s">
        <v>689</v>
      </c>
      <c r="G641" s="25">
        <f t="shared" si="17"/>
        <v>-4.4702141587955602E-3</v>
      </c>
      <c r="I641" s="86">
        <v>536.4277408187146</v>
      </c>
      <c r="J641" s="86">
        <v>543.76394755211174</v>
      </c>
      <c r="K641" s="86">
        <v>535.29247429863733</v>
      </c>
      <c r="L641" s="86">
        <v>540.63490498135411</v>
      </c>
      <c r="M641" s="86">
        <v>1129514.477281227</v>
      </c>
      <c r="N641" s="86" t="s">
        <v>689</v>
      </c>
      <c r="O641" s="25">
        <f t="shared" si="18"/>
        <v>-7.7818951826365002E-3</v>
      </c>
    </row>
    <row r="642" spans="1:15">
      <c r="A642" s="86">
        <v>521.15438190180998</v>
      </c>
      <c r="B642" s="86">
        <v>521.84929356096495</v>
      </c>
      <c r="C642" s="86">
        <v>518.77602227963132</v>
      </c>
      <c r="D642" s="86">
        <v>521.83950607280781</v>
      </c>
      <c r="E642" s="86">
        <v>4574985.8677945798</v>
      </c>
      <c r="F642" s="86" t="s">
        <v>690</v>
      </c>
      <c r="G642" s="25">
        <f t="shared" si="17"/>
        <v>-1.3129020762606691E-3</v>
      </c>
      <c r="I642" s="86">
        <v>538.25943133850319</v>
      </c>
      <c r="J642" s="86">
        <v>547.53236459493291</v>
      </c>
      <c r="K642" s="86">
        <v>538.23081117413142</v>
      </c>
      <c r="L642" s="86">
        <v>544.47954706195196</v>
      </c>
      <c r="M642" s="86">
        <v>1155949.3359415145</v>
      </c>
      <c r="N642" s="86" t="s">
        <v>690</v>
      </c>
      <c r="O642" s="25">
        <f t="shared" si="18"/>
        <v>-1.1423965798188274E-2</v>
      </c>
    </row>
    <row r="643" spans="1:15">
      <c r="A643" s="86">
        <v>519.97988332295631</v>
      </c>
      <c r="B643" s="86">
        <v>523.35656673716039</v>
      </c>
      <c r="C643" s="86">
        <v>516.79894967189455</v>
      </c>
      <c r="D643" s="86">
        <v>522.92591725824741</v>
      </c>
      <c r="E643" s="86">
        <v>5341262.1462030783</v>
      </c>
      <c r="F643" s="86" t="s">
        <v>691</v>
      </c>
      <c r="G643" s="25">
        <f t="shared" si="17"/>
        <v>-5.6337500935839113E-3</v>
      </c>
      <c r="I643" s="86">
        <v>544.83252908920292</v>
      </c>
      <c r="J643" s="86">
        <v>555.40290979714962</v>
      </c>
      <c r="K643" s="86">
        <v>544.73712854129724</v>
      </c>
      <c r="L643" s="86">
        <v>550.48024152521771</v>
      </c>
      <c r="M643" s="86">
        <v>1469778.7704391847</v>
      </c>
      <c r="N643" s="86" t="s">
        <v>691</v>
      </c>
      <c r="O643" s="25">
        <f t="shared" si="18"/>
        <v>-1.0259609718900387E-2</v>
      </c>
    </row>
    <row r="644" spans="1:15">
      <c r="A644" s="86">
        <v>524.76596503178473</v>
      </c>
      <c r="B644" s="86">
        <v>525.86216370538136</v>
      </c>
      <c r="C644" s="86">
        <v>522.13313071752123</v>
      </c>
      <c r="D644" s="86">
        <v>522.75952995957653</v>
      </c>
      <c r="E644" s="86">
        <v>3439692.5400653039</v>
      </c>
      <c r="F644" s="86" t="s">
        <v>692</v>
      </c>
      <c r="G644" s="25">
        <f t="shared" si="17"/>
        <v>3.8381606785118372E-3</v>
      </c>
      <c r="I644" s="86">
        <v>550.44208130605557</v>
      </c>
      <c r="J644" s="86">
        <v>580.35969312926932</v>
      </c>
      <c r="K644" s="86">
        <v>547.59924037901487</v>
      </c>
      <c r="L644" s="86">
        <v>578.98592523942784</v>
      </c>
      <c r="M644" s="86">
        <v>2368113.2337249955</v>
      </c>
      <c r="N644" s="86" t="s">
        <v>692</v>
      </c>
      <c r="O644" s="25">
        <f t="shared" si="18"/>
        <v>-4.9299719887955007E-2</v>
      </c>
    </row>
    <row r="645" spans="1:15">
      <c r="A645" s="86">
        <v>525.12810209359793</v>
      </c>
      <c r="B645" s="86">
        <v>526.18515081456621</v>
      </c>
      <c r="C645" s="86">
        <v>522.36803043329201</v>
      </c>
      <c r="D645" s="86">
        <v>525.3140643685831</v>
      </c>
      <c r="E645" s="86">
        <v>3751147.3230562331</v>
      </c>
      <c r="F645" s="86" t="s">
        <v>693</v>
      </c>
      <c r="G645" s="25">
        <f t="shared" si="17"/>
        <v>-3.5400208674918332E-4</v>
      </c>
      <c r="I645" s="86">
        <v>586.34130748295399</v>
      </c>
      <c r="J645" s="86">
        <v>590.48169126205948</v>
      </c>
      <c r="K645" s="86">
        <v>583.2407896760202</v>
      </c>
      <c r="L645" s="86">
        <v>587.32393312638226</v>
      </c>
      <c r="M645" s="86">
        <v>1066534.7551318142</v>
      </c>
      <c r="N645" s="86" t="s">
        <v>693</v>
      </c>
      <c r="O645" s="25">
        <f t="shared" si="18"/>
        <v>-1.6730556818920217E-3</v>
      </c>
    </row>
    <row r="646" spans="1:15">
      <c r="A646" s="86">
        <v>525.94046361063829</v>
      </c>
      <c r="B646" s="86">
        <v>526.66473773426469</v>
      </c>
      <c r="C646" s="86">
        <v>524.17871574235789</v>
      </c>
      <c r="D646" s="86">
        <v>525.49023915541113</v>
      </c>
      <c r="E646" s="86">
        <v>5180503.8418513658</v>
      </c>
      <c r="F646" s="86" t="s">
        <v>694</v>
      </c>
      <c r="G646" s="25">
        <f t="shared" si="17"/>
        <v>8.5677034829556575E-4</v>
      </c>
      <c r="I646" s="86">
        <v>583.67009214159555</v>
      </c>
      <c r="J646" s="86">
        <v>585.15824528837595</v>
      </c>
      <c r="K646" s="86">
        <v>580.50279395112784</v>
      </c>
      <c r="L646" s="86">
        <v>583.26940984039186</v>
      </c>
      <c r="M646" s="86">
        <v>905745.32219093118</v>
      </c>
      <c r="N646" s="86" t="s">
        <v>694</v>
      </c>
      <c r="O646" s="25">
        <f t="shared" si="18"/>
        <v>6.8695922406303289E-4</v>
      </c>
    </row>
    <row r="647" spans="1:15">
      <c r="A647" s="86">
        <v>523.92424105027294</v>
      </c>
      <c r="B647" s="86">
        <v>527.31071195263416</v>
      </c>
      <c r="C647" s="86">
        <v>523.77742872791623</v>
      </c>
      <c r="D647" s="86">
        <v>527.1736871184346</v>
      </c>
      <c r="E647" s="86">
        <v>3295326.5927131134</v>
      </c>
      <c r="F647" s="86" t="s">
        <v>695</v>
      </c>
      <c r="G647" s="25">
        <f t="shared" si="17"/>
        <v>-6.1639003379007073E-3</v>
      </c>
      <c r="I647" s="86">
        <v>581.58082014246168</v>
      </c>
      <c r="J647" s="86">
        <v>586.21719137012872</v>
      </c>
      <c r="K647" s="86">
        <v>579.31028710230714</v>
      </c>
      <c r="L647" s="86">
        <v>584.64317773023333</v>
      </c>
      <c r="M647" s="86">
        <v>647263.57820361014</v>
      </c>
      <c r="N647" s="86" t="s">
        <v>695</v>
      </c>
      <c r="O647" s="25">
        <f t="shared" si="18"/>
        <v>-5.237994223520559E-3</v>
      </c>
    </row>
    <row r="648" spans="1:15">
      <c r="A648" s="86">
        <v>523.84594114501613</v>
      </c>
      <c r="B648" s="86">
        <v>524.34510304102889</v>
      </c>
      <c r="C648" s="86">
        <v>520.9048009538036</v>
      </c>
      <c r="D648" s="86">
        <v>521.60460635703714</v>
      </c>
      <c r="E648" s="86">
        <v>3307504.3852260346</v>
      </c>
      <c r="F648" s="86" t="s">
        <v>696</v>
      </c>
      <c r="G648" s="25">
        <f t="shared" si="17"/>
        <v>4.2969996059520899E-3</v>
      </c>
      <c r="I648" s="86">
        <v>584.64317773023333</v>
      </c>
      <c r="J648" s="86">
        <v>584.8148987164634</v>
      </c>
      <c r="K648" s="86">
        <v>574.90278178906578</v>
      </c>
      <c r="L648" s="86">
        <v>575.26530387110722</v>
      </c>
      <c r="M648" s="86">
        <v>575891.87070845533</v>
      </c>
      <c r="N648" s="86" t="s">
        <v>696</v>
      </c>
      <c r="O648" s="25">
        <f t="shared" si="18"/>
        <v>1.6301824212272109E-2</v>
      </c>
    </row>
    <row r="649" spans="1:15">
      <c r="A649" s="86">
        <v>521.65354379782275</v>
      </c>
      <c r="B649" s="86">
        <v>526.18515081456621</v>
      </c>
      <c r="C649" s="86">
        <v>520.51819517159765</v>
      </c>
      <c r="D649" s="86">
        <v>525.96003858695258</v>
      </c>
      <c r="E649" s="86">
        <v>4915796.497289516</v>
      </c>
      <c r="F649" s="86" t="s">
        <v>697</v>
      </c>
      <c r="G649" s="25">
        <f t="shared" si="17"/>
        <v>-8.1878745022144761E-3</v>
      </c>
      <c r="I649" s="86">
        <v>577.17331482922043</v>
      </c>
      <c r="J649" s="86">
        <v>586.35084753774458</v>
      </c>
      <c r="K649" s="86">
        <v>575.95218781602807</v>
      </c>
      <c r="L649" s="86">
        <v>584.32835592214462</v>
      </c>
      <c r="M649" s="86">
        <v>890811.44569570478</v>
      </c>
      <c r="N649" s="86" t="s">
        <v>697</v>
      </c>
      <c r="O649" s="25">
        <f t="shared" si="18"/>
        <v>-1.2244897959183598E-2</v>
      </c>
    </row>
    <row r="650" spans="1:15">
      <c r="A650" s="86">
        <v>525.65662645408213</v>
      </c>
      <c r="B650" s="86">
        <v>526.5472878763793</v>
      </c>
      <c r="C650" s="86">
        <v>522.62250512537696</v>
      </c>
      <c r="D650" s="86">
        <v>522.89655479377609</v>
      </c>
      <c r="E650" s="86">
        <v>2696227.0172271961</v>
      </c>
      <c r="F650" s="86" t="s">
        <v>698</v>
      </c>
      <c r="G650" s="25">
        <f t="shared" si="17"/>
        <v>5.2784277023867343E-3</v>
      </c>
      <c r="I650" s="86">
        <v>582.77332699128237</v>
      </c>
      <c r="J650" s="86">
        <v>583.84181312782573</v>
      </c>
      <c r="K650" s="86">
        <v>576.00484891847191</v>
      </c>
      <c r="L650" s="86">
        <v>578.12732030827692</v>
      </c>
      <c r="M650" s="86">
        <v>589400.17887115502</v>
      </c>
      <c r="N650" s="86" t="s">
        <v>698</v>
      </c>
      <c r="O650" s="25">
        <f t="shared" si="18"/>
        <v>8.0363036303630064E-3</v>
      </c>
    </row>
    <row r="651" spans="1:15">
      <c r="A651" s="86">
        <v>521.38928161758065</v>
      </c>
      <c r="B651" s="86">
        <v>522.09398076489276</v>
      </c>
      <c r="C651" s="86">
        <v>518.13983554941899</v>
      </c>
      <c r="D651" s="86">
        <v>518.24749791914724</v>
      </c>
      <c r="E651" s="86">
        <v>5547049.3683859408</v>
      </c>
      <c r="F651" s="86" t="s">
        <v>699</v>
      </c>
      <c r="G651" s="25">
        <f t="shared" si="17"/>
        <v>6.0623229461758132E-3</v>
      </c>
      <c r="I651" s="86">
        <v>576.38149028160342</v>
      </c>
      <c r="J651" s="86">
        <v>576.74401236364486</v>
      </c>
      <c r="K651" s="86">
        <v>572.48638131116343</v>
      </c>
      <c r="L651" s="86">
        <v>572.95661061179044</v>
      </c>
      <c r="M651" s="86">
        <v>551385.72214511584</v>
      </c>
      <c r="N651" s="86" t="s">
        <v>699</v>
      </c>
      <c r="O651" s="25">
        <f t="shared" si="18"/>
        <v>5.9775550301373048E-3</v>
      </c>
    </row>
    <row r="652" spans="1:15">
      <c r="A652" s="86">
        <v>518.30622284808987</v>
      </c>
      <c r="B652" s="86">
        <v>519.61774626114311</v>
      </c>
      <c r="C652" s="86">
        <v>516.86746208899433</v>
      </c>
      <c r="D652" s="86">
        <v>518.02238569153371</v>
      </c>
      <c r="E652" s="86">
        <v>3716615.4805063787</v>
      </c>
      <c r="F652" s="86" t="s">
        <v>700</v>
      </c>
      <c r="G652" s="25">
        <f t="shared" si="17"/>
        <v>5.4792449978258162E-4</v>
      </c>
      <c r="I652" s="86">
        <v>570.00873368150565</v>
      </c>
      <c r="J652" s="86">
        <v>579.35798737625987</v>
      </c>
      <c r="K652" s="86">
        <v>568.79714672310376</v>
      </c>
      <c r="L652" s="86">
        <v>578.2322609109732</v>
      </c>
      <c r="M652" s="86">
        <v>894931.9671039125</v>
      </c>
      <c r="N652" s="86" t="s">
        <v>700</v>
      </c>
      <c r="O652" s="25">
        <f t="shared" si="18"/>
        <v>-1.4221840919965034E-2</v>
      </c>
    </row>
    <row r="653" spans="1:15">
      <c r="A653" s="86">
        <v>519.1773092940731</v>
      </c>
      <c r="B653" s="86">
        <v>519.74498360718565</v>
      </c>
      <c r="C653" s="86">
        <v>515.12528919702811</v>
      </c>
      <c r="D653" s="86">
        <v>515.67338853382648</v>
      </c>
      <c r="E653" s="86">
        <v>3005658.8092645565</v>
      </c>
      <c r="F653" s="86" t="s">
        <v>701</v>
      </c>
      <c r="G653" s="25">
        <f t="shared" si="17"/>
        <v>6.7948450281853923E-3</v>
      </c>
      <c r="I653" s="86">
        <v>577.27825543191659</v>
      </c>
      <c r="J653" s="86">
        <v>579.21488655440146</v>
      </c>
      <c r="K653" s="86">
        <v>575.2843839806884</v>
      </c>
      <c r="L653" s="86">
        <v>578.80466419840718</v>
      </c>
      <c r="M653" s="86">
        <v>570056.47445317882</v>
      </c>
      <c r="N653" s="86" t="s">
        <v>701</v>
      </c>
      <c r="O653" s="25">
        <f t="shared" si="18"/>
        <v>-2.6371742677722132E-3</v>
      </c>
    </row>
    <row r="654" spans="1:15">
      <c r="A654" s="86">
        <v>515.65381355751231</v>
      </c>
      <c r="B654" s="86">
        <v>516.17255042983925</v>
      </c>
      <c r="C654" s="86">
        <v>512.37500502487933</v>
      </c>
      <c r="D654" s="86">
        <v>513.17757905376266</v>
      </c>
      <c r="E654" s="86">
        <v>2683698.7772915103</v>
      </c>
      <c r="F654" s="86" t="s">
        <v>702</v>
      </c>
      <c r="G654" s="25">
        <f t="shared" si="17"/>
        <v>4.8252975282270238E-3</v>
      </c>
      <c r="I654" s="86">
        <v>580.08303154034286</v>
      </c>
      <c r="J654" s="86">
        <v>582.6587509332478</v>
      </c>
      <c r="K654" s="86">
        <v>575.35116436422243</v>
      </c>
      <c r="L654" s="86">
        <v>579.29120699272596</v>
      </c>
      <c r="M654" s="86">
        <v>599361.33759468538</v>
      </c>
      <c r="N654" s="86" t="s">
        <v>702</v>
      </c>
      <c r="O654" s="25">
        <f t="shared" si="18"/>
        <v>1.3668851487105282E-3</v>
      </c>
    </row>
    <row r="655" spans="1:15">
      <c r="A655" s="86">
        <v>510.81879440789828</v>
      </c>
      <c r="B655" s="86">
        <v>514.54792527064001</v>
      </c>
      <c r="C655" s="86">
        <v>509.74217071061582</v>
      </c>
      <c r="D655" s="86">
        <v>513.98015308264587</v>
      </c>
      <c r="E655" s="86">
        <v>4056714.9980297568</v>
      </c>
      <c r="F655" s="86" t="s">
        <v>703</v>
      </c>
      <c r="G655" s="25">
        <f t="shared" si="17"/>
        <v>-6.15074075484634E-3</v>
      </c>
      <c r="I655" s="86">
        <v>577.68847778791087</v>
      </c>
      <c r="J655" s="86">
        <v>583.46021093620323</v>
      </c>
      <c r="K655" s="86">
        <v>576.21930935016383</v>
      </c>
      <c r="L655" s="86">
        <v>579.08132578733353</v>
      </c>
      <c r="M655" s="86">
        <v>1155530.0511378301</v>
      </c>
      <c r="N655" s="86" t="s">
        <v>703</v>
      </c>
      <c r="O655" s="25">
        <f t="shared" si="18"/>
        <v>-2.4052718286656782E-3</v>
      </c>
    </row>
    <row r="656" spans="1:15">
      <c r="A656" s="86">
        <v>515.45806379436999</v>
      </c>
      <c r="B656" s="86">
        <v>515.82020085618319</v>
      </c>
      <c r="C656" s="86">
        <v>511.20050644602571</v>
      </c>
      <c r="D656" s="86">
        <v>514.9784768746714</v>
      </c>
      <c r="E656" s="86">
        <v>5474514.9255744778</v>
      </c>
      <c r="F656" s="86" t="s">
        <v>704</v>
      </c>
      <c r="G656" s="25">
        <f t="shared" si="17"/>
        <v>9.312756575947656E-4</v>
      </c>
      <c r="I656" s="86">
        <v>577.29733554149777</v>
      </c>
      <c r="J656" s="86">
        <v>578.40398189720338</v>
      </c>
      <c r="K656" s="86">
        <v>571.75456370817915</v>
      </c>
      <c r="L656" s="86">
        <v>575.89494748728453</v>
      </c>
      <c r="M656" s="86">
        <v>587052.18397052283</v>
      </c>
      <c r="N656" s="86" t="s">
        <v>704</v>
      </c>
      <c r="O656" s="25">
        <f t="shared" si="18"/>
        <v>2.4351456117683856E-3</v>
      </c>
    </row>
    <row r="657" spans="1:15">
      <c r="A657" s="86">
        <v>510.75028199079856</v>
      </c>
      <c r="B657" s="86">
        <v>512.62458597288571</v>
      </c>
      <c r="C657" s="86">
        <v>508.77320938306173</v>
      </c>
      <c r="D657" s="86">
        <v>510.47623232239931</v>
      </c>
      <c r="E657" s="86">
        <v>4094975.0698672738</v>
      </c>
      <c r="F657" s="86" t="s">
        <v>705</v>
      </c>
      <c r="G657" s="25">
        <f t="shared" si="17"/>
        <v>5.3685098550526611E-4</v>
      </c>
      <c r="I657" s="86">
        <v>577.95559932204685</v>
      </c>
      <c r="J657" s="86">
        <v>580.98933674544662</v>
      </c>
      <c r="K657" s="86">
        <v>573.35738831354206</v>
      </c>
      <c r="L657" s="86">
        <v>576.63907176094881</v>
      </c>
      <c r="M657" s="86">
        <v>897874.29821376724</v>
      </c>
      <c r="N657" s="86" t="s">
        <v>705</v>
      </c>
      <c r="O657" s="25">
        <f t="shared" si="18"/>
        <v>2.2831050228311334E-3</v>
      </c>
    </row>
    <row r="658" spans="1:15">
      <c r="A658" s="86">
        <v>511.71924331835277</v>
      </c>
      <c r="B658" s="86">
        <v>512.71756711037835</v>
      </c>
      <c r="C658" s="86">
        <v>508.53840754217254</v>
      </c>
      <c r="D658" s="86">
        <v>510.76006947895564</v>
      </c>
      <c r="E658" s="86">
        <v>3341595.869644077</v>
      </c>
      <c r="F658" s="86" t="s">
        <v>706</v>
      </c>
      <c r="G658" s="25">
        <f t="shared" si="17"/>
        <v>1.877934272300541E-3</v>
      </c>
      <c r="I658" s="86">
        <v>575.45610496691859</v>
      </c>
      <c r="J658" s="86">
        <v>581.94334222450323</v>
      </c>
      <c r="K658" s="86">
        <v>573.7603602278956</v>
      </c>
      <c r="L658" s="86">
        <v>577.116074500477</v>
      </c>
      <c r="M658" s="86">
        <v>1249980.2424397795</v>
      </c>
      <c r="N658" s="86" t="s">
        <v>706</v>
      </c>
      <c r="O658" s="25">
        <f t="shared" si="18"/>
        <v>-2.8763183125598557E-3</v>
      </c>
    </row>
    <row r="659" spans="1:15">
      <c r="A659" s="86">
        <v>511.63115592493875</v>
      </c>
      <c r="B659" s="86">
        <v>515.89850076144012</v>
      </c>
      <c r="C659" s="86">
        <v>509.17449639750333</v>
      </c>
      <c r="D659" s="86">
        <v>515.83977583249737</v>
      </c>
      <c r="E659" s="86">
        <v>9398383.7858487554</v>
      </c>
      <c r="F659" s="86" t="s">
        <v>707</v>
      </c>
      <c r="G659" s="25">
        <f t="shared" si="17"/>
        <v>-8.15877352762584E-3</v>
      </c>
      <c r="I659" s="86">
        <v>577.9937595412091</v>
      </c>
      <c r="J659" s="86">
        <v>583.36481038829754</v>
      </c>
      <c r="K659" s="86">
        <v>555.14532831780434</v>
      </c>
      <c r="L659" s="86">
        <v>559.16169138463249</v>
      </c>
      <c r="M659" s="86">
        <v>2469809.7146466188</v>
      </c>
      <c r="N659" s="86" t="s">
        <v>707</v>
      </c>
      <c r="O659" s="25">
        <f t="shared" si="18"/>
        <v>3.3679110079847252E-2</v>
      </c>
    </row>
    <row r="660" spans="1:15">
      <c r="A660" s="86">
        <v>516.45638758639552</v>
      </c>
      <c r="B660" s="86">
        <v>516.73533099887334</v>
      </c>
      <c r="C660" s="86">
        <v>511.09284407629752</v>
      </c>
      <c r="D660" s="86">
        <v>513.17757905376266</v>
      </c>
      <c r="E660" s="86">
        <v>8191426.5144456113</v>
      </c>
      <c r="F660" s="86" t="s">
        <v>708</v>
      </c>
      <c r="G660" s="25">
        <f t="shared" si="17"/>
        <v>6.3892279523953821E-3</v>
      </c>
      <c r="I660" s="86">
        <v>557.67344283730415</v>
      </c>
      <c r="J660" s="86">
        <v>558.04550497413641</v>
      </c>
      <c r="K660" s="86">
        <v>552.56951352435169</v>
      </c>
      <c r="L660" s="86">
        <v>557.27276053610046</v>
      </c>
      <c r="M660" s="86">
        <v>1022531.8631971536</v>
      </c>
      <c r="N660" s="86" t="s">
        <v>708</v>
      </c>
      <c r="O660" s="25">
        <f t="shared" si="18"/>
        <v>7.1900571780725286E-4</v>
      </c>
    </row>
    <row r="661" spans="1:15">
      <c r="A661" s="86">
        <v>514.21505279841665</v>
      </c>
      <c r="B661" s="86">
        <v>516.55426246796662</v>
      </c>
      <c r="C661" s="86">
        <v>513.17757905376266</v>
      </c>
      <c r="D661" s="86">
        <v>515.88871327328297</v>
      </c>
      <c r="E661" s="86">
        <v>5720154.0478300387</v>
      </c>
      <c r="F661" s="86" t="s">
        <v>709</v>
      </c>
      <c r="G661" s="25">
        <f t="shared" si="17"/>
        <v>-3.2442277409928666E-3</v>
      </c>
      <c r="I661" s="86">
        <v>555.5746307833798</v>
      </c>
      <c r="J661" s="86">
        <v>557.2092237711953</v>
      </c>
      <c r="K661" s="86">
        <v>548.86797226561225</v>
      </c>
      <c r="L661" s="86">
        <v>551.08126497702335</v>
      </c>
      <c r="M661" s="86">
        <v>889011.66567588982</v>
      </c>
      <c r="N661" s="86" t="s">
        <v>709</v>
      </c>
      <c r="O661" s="25">
        <f t="shared" si="18"/>
        <v>8.1537263048558906E-3</v>
      </c>
    </row>
    <row r="662" spans="1:15">
      <c r="A662" s="86">
        <v>514.88197223832992</v>
      </c>
      <c r="B662" s="86">
        <v>517.04804761898004</v>
      </c>
      <c r="C662" s="86">
        <v>512.72565395398897</v>
      </c>
      <c r="D662" s="86">
        <v>516.80412021124914</v>
      </c>
      <c r="E662" s="86">
        <v>5405209.5345295509</v>
      </c>
      <c r="F662" s="86" t="s">
        <v>710</v>
      </c>
      <c r="G662" s="25">
        <f t="shared" si="17"/>
        <v>-3.7192969207240356E-3</v>
      </c>
      <c r="I662" s="86">
        <v>550.84276360725926</v>
      </c>
      <c r="J662" s="86">
        <v>555.7368117148194</v>
      </c>
      <c r="K662" s="86">
        <v>548.01890738925192</v>
      </c>
      <c r="L662" s="86">
        <v>548.55315045752354</v>
      </c>
      <c r="M662" s="86">
        <v>782274.3332019716</v>
      </c>
      <c r="N662" s="86" t="s">
        <v>710</v>
      </c>
      <c r="O662" s="25">
        <f t="shared" si="18"/>
        <v>4.1739130434781391E-3</v>
      </c>
    </row>
    <row r="663" spans="1:15">
      <c r="A663" s="86">
        <v>512.84273910969978</v>
      </c>
      <c r="B663" s="86">
        <v>514.4916883859604</v>
      </c>
      <c r="C663" s="86">
        <v>511.90605786401318</v>
      </c>
      <c r="D663" s="86">
        <v>513.81844874062324</v>
      </c>
      <c r="E663" s="86">
        <v>36299784.154510416</v>
      </c>
      <c r="F663" s="86" t="s">
        <v>711</v>
      </c>
      <c r="G663" s="25">
        <f t="shared" si="17"/>
        <v>-1.8989384933820741E-3</v>
      </c>
      <c r="I663" s="86">
        <v>551.35792656594981</v>
      </c>
      <c r="J663" s="86">
        <v>556.90069839926844</v>
      </c>
      <c r="K663" s="86">
        <v>550.33217987486819</v>
      </c>
      <c r="L663" s="86">
        <v>554.81142640013456</v>
      </c>
      <c r="M663" s="86">
        <v>885232.8613826849</v>
      </c>
      <c r="N663" s="86" t="s">
        <v>711</v>
      </c>
      <c r="O663" s="25">
        <f t="shared" si="18"/>
        <v>-6.2246371827497926E-3</v>
      </c>
    </row>
    <row r="664" spans="1:15">
      <c r="A664" s="86">
        <v>513.8867484147878</v>
      </c>
      <c r="B664" s="86">
        <v>514.0428619557357</v>
      </c>
      <c r="C664" s="86">
        <v>510.66690663274034</v>
      </c>
      <c r="D664" s="86">
        <v>513.23302296206919</v>
      </c>
      <c r="E664" s="86">
        <v>4766385.2570546558</v>
      </c>
      <c r="F664" s="86" t="s">
        <v>712</v>
      </c>
      <c r="G664" s="25">
        <f t="shared" si="17"/>
        <v>1.2737400429647661E-3</v>
      </c>
      <c r="I664" s="86">
        <v>552.01619034649889</v>
      </c>
      <c r="J664" s="86">
        <v>554.42982420851195</v>
      </c>
      <c r="K664" s="86">
        <v>549.65025675843856</v>
      </c>
      <c r="L664" s="86">
        <v>552.30239199021571</v>
      </c>
      <c r="M664" s="86">
        <v>723395.2164325912</v>
      </c>
      <c r="N664" s="86" t="s">
        <v>712</v>
      </c>
      <c r="O664" s="25">
        <f t="shared" si="18"/>
        <v>-5.1819736410252393E-4</v>
      </c>
    </row>
    <row r="665" spans="1:15">
      <c r="A665" s="86">
        <v>512.4134268720934</v>
      </c>
      <c r="B665" s="86">
        <v>513.05739522850297</v>
      </c>
      <c r="C665" s="86">
        <v>511.10597596665599</v>
      </c>
      <c r="D665" s="86">
        <v>512.24755623483645</v>
      </c>
      <c r="E665" s="86">
        <v>30018310.849589702</v>
      </c>
      <c r="F665" s="86" t="s">
        <v>713</v>
      </c>
      <c r="G665" s="25">
        <f t="shared" si="17"/>
        <v>3.2380952380939299E-4</v>
      </c>
      <c r="I665" s="86">
        <v>553.80972064712512</v>
      </c>
      <c r="J665" s="86">
        <v>554.99268744115534</v>
      </c>
      <c r="K665" s="86">
        <v>544.56540755506717</v>
      </c>
      <c r="L665" s="86">
        <v>545.21413128082554</v>
      </c>
      <c r="M665" s="86">
        <v>927352.11633679364</v>
      </c>
      <c r="N665" s="86" t="s">
        <v>713</v>
      </c>
      <c r="O665" s="25">
        <f t="shared" si="18"/>
        <v>1.5765529308836346E-2</v>
      </c>
    </row>
    <row r="666" spans="1:15">
      <c r="A666" s="86">
        <v>511.15476144820212</v>
      </c>
      <c r="B666" s="86">
        <v>512.1694994643625</v>
      </c>
      <c r="C666" s="86">
        <v>508.46180286685325</v>
      </c>
      <c r="D666" s="86">
        <v>510.79374888476042</v>
      </c>
      <c r="E666" s="86">
        <v>5752406.0664315317</v>
      </c>
      <c r="F666" s="86" t="s">
        <v>714</v>
      </c>
      <c r="G666" s="25">
        <f t="shared" si="17"/>
        <v>7.0676777903000421E-4</v>
      </c>
      <c r="I666" s="86">
        <v>545.61481358202923</v>
      </c>
      <c r="J666" s="86">
        <v>547.12214223893864</v>
      </c>
      <c r="K666" s="86">
        <v>537.04784438010142</v>
      </c>
      <c r="L666" s="86">
        <v>537.18140514716936</v>
      </c>
      <c r="M666" s="86">
        <v>3977286.3817850612</v>
      </c>
      <c r="N666" s="86" t="s">
        <v>714</v>
      </c>
      <c r="O666" s="25">
        <f t="shared" si="18"/>
        <v>1.5699367763017502E-2</v>
      </c>
    </row>
    <row r="667" spans="1:15">
      <c r="A667" s="86">
        <v>512.15974236805323</v>
      </c>
      <c r="B667" s="86">
        <v>513.80869164431408</v>
      </c>
      <c r="C667" s="86">
        <v>509.50581217194144</v>
      </c>
      <c r="D667" s="86">
        <v>512.13047107912564</v>
      </c>
      <c r="E667" s="86">
        <v>5696747.0893354472</v>
      </c>
      <c r="F667" s="86" t="s">
        <v>715</v>
      </c>
      <c r="G667" s="25">
        <f t="shared" si="17"/>
        <v>5.7155921353135852E-5</v>
      </c>
      <c r="I667" s="86">
        <v>539.18481665318802</v>
      </c>
      <c r="J667" s="86">
        <v>541.42195950157566</v>
      </c>
      <c r="K667" s="86">
        <v>536.30648672232655</v>
      </c>
      <c r="L667" s="86">
        <v>540.41548372117109</v>
      </c>
      <c r="M667" s="86">
        <v>961911.66628047405</v>
      </c>
      <c r="N667" s="86" t="s">
        <v>715</v>
      </c>
      <c r="O667" s="25">
        <f t="shared" si="18"/>
        <v>-2.2772609317353032E-3</v>
      </c>
    </row>
    <row r="668" spans="1:15">
      <c r="A668" s="86">
        <v>503.3783556897418</v>
      </c>
      <c r="B668" s="86">
        <v>510.03269537264009</v>
      </c>
      <c r="C668" s="86">
        <v>502.94904345213553</v>
      </c>
      <c r="D668" s="86">
        <v>505.5932165519381</v>
      </c>
      <c r="E668" s="86">
        <v>7093583.7677948205</v>
      </c>
      <c r="F668" s="86" t="s">
        <v>716</v>
      </c>
      <c r="G668" s="25">
        <f t="shared" si="17"/>
        <v>-4.3807171253231747E-3</v>
      </c>
      <c r="I668" s="86">
        <v>539.48055835169566</v>
      </c>
      <c r="J668" s="86">
        <v>543.3442805418747</v>
      </c>
      <c r="K668" s="86">
        <v>536.41820076392401</v>
      </c>
      <c r="L668" s="86">
        <v>540.27238289931256</v>
      </c>
      <c r="M668" s="86">
        <v>767099.36794462672</v>
      </c>
      <c r="N668" s="86" t="s">
        <v>716</v>
      </c>
      <c r="O668" s="25">
        <f t="shared" si="18"/>
        <v>-1.4656024862267358E-3</v>
      </c>
    </row>
    <row r="669" spans="1:15">
      <c r="A669" s="86">
        <v>505.01754786969332</v>
      </c>
      <c r="B669" s="86">
        <v>508.08615465894769</v>
      </c>
      <c r="C669" s="86">
        <v>502.97831474106317</v>
      </c>
      <c r="D669" s="86">
        <v>506.82261068690184</v>
      </c>
      <c r="E669" s="86">
        <v>8352850.8294892609</v>
      </c>
      <c r="F669" s="86" t="s">
        <v>717</v>
      </c>
      <c r="G669" s="25">
        <f t="shared" si="17"/>
        <v>-3.5615277991684069E-3</v>
      </c>
      <c r="I669" s="86">
        <v>540.93064667986152</v>
      </c>
      <c r="J669" s="86">
        <v>541.98005270682381</v>
      </c>
      <c r="K669" s="86">
        <v>537.67758339682655</v>
      </c>
      <c r="L669" s="86">
        <v>540.59674476219175</v>
      </c>
      <c r="M669" s="86">
        <v>775561.58349498559</v>
      </c>
      <c r="N669" s="86" t="s">
        <v>717</v>
      </c>
      <c r="O669" s="25">
        <f t="shared" si="18"/>
        <v>6.1765432534488518E-4</v>
      </c>
    </row>
    <row r="670" spans="1:15">
      <c r="A670" s="86">
        <v>504.7833775582717</v>
      </c>
      <c r="B670" s="86">
        <v>505.01754786969332</v>
      </c>
      <c r="C670" s="86">
        <v>502.14896155477817</v>
      </c>
      <c r="D670" s="86">
        <v>503.79791083103896</v>
      </c>
      <c r="E670" s="86">
        <v>4362212.7578791091</v>
      </c>
      <c r="F670" s="86" t="s">
        <v>718</v>
      </c>
      <c r="G670" s="25">
        <f t="shared" ref="G670:G733" si="19">A670/D670-1</f>
        <v>1.9560754541581016E-3</v>
      </c>
      <c r="I670" s="86">
        <v>546.56881906108583</v>
      </c>
      <c r="J670" s="86">
        <v>550.46116141563664</v>
      </c>
      <c r="K670" s="86">
        <v>542.81967292894149</v>
      </c>
      <c r="L670" s="86">
        <v>547.99028722488015</v>
      </c>
      <c r="M670" s="86">
        <v>626634.76586234139</v>
      </c>
      <c r="N670" s="86" t="s">
        <v>718</v>
      </c>
      <c r="O670" s="25">
        <f t="shared" ref="O670:O733" si="20">I670/L670-1</f>
        <v>-2.5939659824864014E-3</v>
      </c>
    </row>
    <row r="671" spans="1:15">
      <c r="A671" s="86">
        <v>504.02232404615137</v>
      </c>
      <c r="B671" s="86">
        <v>504.95900529183785</v>
      </c>
      <c r="C671" s="86">
        <v>501.73916350979039</v>
      </c>
      <c r="D671" s="86">
        <v>501.93430543597498</v>
      </c>
      <c r="E671" s="86">
        <v>4526593.6299303519</v>
      </c>
      <c r="F671" s="86" t="s">
        <v>719</v>
      </c>
      <c r="G671" s="25">
        <f t="shared" si="19"/>
        <v>4.1599440157069623E-3</v>
      </c>
      <c r="I671" s="86">
        <v>543.69726256912554</v>
      </c>
      <c r="J671" s="86">
        <v>546.12558811551628</v>
      </c>
      <c r="K671" s="86">
        <v>538.56471309180131</v>
      </c>
      <c r="L671" s="86">
        <v>540.92110662507105</v>
      </c>
      <c r="M671" s="86">
        <v>669607.26539194782</v>
      </c>
      <c r="N671" s="86" t="s">
        <v>719</v>
      </c>
      <c r="O671" s="25">
        <f t="shared" si="20"/>
        <v>5.1322751322748772E-3</v>
      </c>
    </row>
    <row r="672" spans="1:15">
      <c r="A672" s="86">
        <v>501.3586367537302</v>
      </c>
      <c r="B672" s="86">
        <v>501.65115450108107</v>
      </c>
      <c r="C672" s="86">
        <v>495.71903508699239</v>
      </c>
      <c r="D672" s="86">
        <v>497.69972563776702</v>
      </c>
      <c r="E672" s="86">
        <v>4201596.325455796</v>
      </c>
      <c r="F672" s="86" t="s">
        <v>720</v>
      </c>
      <c r="G672" s="25">
        <f t="shared" si="19"/>
        <v>7.3516438275600393E-3</v>
      </c>
      <c r="I672" s="86">
        <v>542.13269358347281</v>
      </c>
      <c r="J672" s="86">
        <v>542.80049741881248</v>
      </c>
      <c r="K672" s="86">
        <v>537.96368963999566</v>
      </c>
      <c r="L672" s="86">
        <v>539.01309566695784</v>
      </c>
      <c r="M672" s="86">
        <v>775066.8274266381</v>
      </c>
      <c r="N672" s="86" t="s">
        <v>720</v>
      </c>
      <c r="O672" s="25">
        <f t="shared" si="20"/>
        <v>5.7876106194689747E-3</v>
      </c>
    </row>
    <row r="673" spans="1:15">
      <c r="A673" s="86">
        <v>497.08502857028526</v>
      </c>
      <c r="B673" s="86">
        <v>498.04122400859029</v>
      </c>
      <c r="C673" s="86">
        <v>484.19590434578583</v>
      </c>
      <c r="D673" s="86">
        <v>492.06012397102927</v>
      </c>
      <c r="E673" s="86">
        <v>5068958.88207932</v>
      </c>
      <c r="F673" s="86" t="s">
        <v>721</v>
      </c>
      <c r="G673" s="25">
        <f t="shared" si="19"/>
        <v>1.0211972794511359E-2</v>
      </c>
      <c r="I673" s="86">
        <v>540.8829464059088</v>
      </c>
      <c r="J673" s="86">
        <v>546.08227626676694</v>
      </c>
      <c r="K673" s="86">
        <v>535.26394953481349</v>
      </c>
      <c r="L673" s="86">
        <v>544.9279296371086</v>
      </c>
      <c r="M673" s="86">
        <v>848257.18275777355</v>
      </c>
      <c r="N673" s="86" t="s">
        <v>721</v>
      </c>
      <c r="O673" s="25">
        <f t="shared" si="20"/>
        <v>-7.4229691876750437E-3</v>
      </c>
    </row>
    <row r="674" spans="1:15">
      <c r="A674" s="86">
        <v>492.05036687472</v>
      </c>
      <c r="B674" s="86">
        <v>492.44552927524398</v>
      </c>
      <c r="C674" s="86">
        <v>487.36666793339793</v>
      </c>
      <c r="D674" s="86">
        <v>491.70886850389678</v>
      </c>
      <c r="E674" s="86">
        <v>3049457.446867499</v>
      </c>
      <c r="F674" s="86" t="s">
        <v>722</v>
      </c>
      <c r="G674" s="25">
        <f t="shared" si="19"/>
        <v>6.9451334457792946E-4</v>
      </c>
      <c r="I674" s="86">
        <v>545.87239506137462</v>
      </c>
      <c r="J674" s="86">
        <v>551.27445108653228</v>
      </c>
      <c r="K674" s="86">
        <v>544.18380536344443</v>
      </c>
      <c r="L674" s="86">
        <v>550.99540448390826</v>
      </c>
      <c r="M674" s="86">
        <v>793001.734904235</v>
      </c>
      <c r="N674" s="86" t="s">
        <v>722</v>
      </c>
      <c r="O674" s="25">
        <f t="shared" si="20"/>
        <v>-9.2977353002283714E-3</v>
      </c>
    </row>
    <row r="675" spans="1:15">
      <c r="A675" s="86">
        <v>490.0306479387084</v>
      </c>
      <c r="B675" s="86">
        <v>491.14295691796116</v>
      </c>
      <c r="C675" s="86">
        <v>486.6351784230946</v>
      </c>
      <c r="D675" s="86">
        <v>488.44024124030307</v>
      </c>
      <c r="E675" s="86">
        <v>3747833.2529513761</v>
      </c>
      <c r="F675" s="86" t="s">
        <v>723</v>
      </c>
      <c r="G675" s="25">
        <f t="shared" si="19"/>
        <v>3.2560926887734709E-3</v>
      </c>
      <c r="I675" s="86">
        <v>550.05093905964236</v>
      </c>
      <c r="J675" s="86">
        <v>551.41516689469324</v>
      </c>
      <c r="K675" s="86">
        <v>541.37902925501817</v>
      </c>
      <c r="L675" s="86">
        <v>541.40764941938983</v>
      </c>
      <c r="M675" s="86">
        <v>849227.82707830286</v>
      </c>
      <c r="N675" s="86" t="s">
        <v>723</v>
      </c>
      <c r="O675" s="25">
        <f t="shared" si="20"/>
        <v>1.5964476396891802E-2</v>
      </c>
    </row>
    <row r="676" spans="1:15">
      <c r="A676" s="86">
        <v>484.57643110184603</v>
      </c>
      <c r="B676" s="86">
        <v>494.62624030035806</v>
      </c>
      <c r="C676" s="86">
        <v>483.75683501187029</v>
      </c>
      <c r="D676" s="86">
        <v>493.06510489088043</v>
      </c>
      <c r="E676" s="86">
        <v>7595947.3649810739</v>
      </c>
      <c r="F676" s="86" t="s">
        <v>724</v>
      </c>
      <c r="G676" s="25">
        <f t="shared" si="19"/>
        <v>-1.7216131713301941E-2</v>
      </c>
      <c r="I676" s="86">
        <v>540.56812459782009</v>
      </c>
      <c r="J676" s="86">
        <v>545.79607462305012</v>
      </c>
      <c r="K676" s="86">
        <v>538.96539539300511</v>
      </c>
      <c r="L676" s="86">
        <v>542.87681785713687</v>
      </c>
      <c r="M676" s="86">
        <v>1023776.0908520868</v>
      </c>
      <c r="N676" s="86" t="s">
        <v>724</v>
      </c>
      <c r="O676" s="25">
        <f t="shared" si="20"/>
        <v>-4.2527018715401432E-3</v>
      </c>
    </row>
    <row r="677" spans="1:15">
      <c r="A677" s="86">
        <v>492.78214909791262</v>
      </c>
      <c r="B677" s="86">
        <v>496.57765956220504</v>
      </c>
      <c r="C677" s="86">
        <v>490.62583081357167</v>
      </c>
      <c r="D677" s="86">
        <v>494.06032871442244</v>
      </c>
      <c r="E677" s="86">
        <v>3510848.8134505125</v>
      </c>
      <c r="F677" s="86" t="s">
        <v>725</v>
      </c>
      <c r="G677" s="25">
        <f t="shared" si="19"/>
        <v>-2.5870921873766273E-3</v>
      </c>
      <c r="I677" s="86">
        <v>542.43797533677093</v>
      </c>
      <c r="J677" s="86">
        <v>549.43083549825553</v>
      </c>
      <c r="K677" s="86">
        <v>538.45023243431444</v>
      </c>
      <c r="L677" s="86">
        <v>548.74395155333491</v>
      </c>
      <c r="M677" s="86">
        <v>881576.69789455761</v>
      </c>
      <c r="N677" s="86" t="s">
        <v>725</v>
      </c>
      <c r="O677" s="25">
        <f t="shared" si="20"/>
        <v>-1.14916550764953E-2</v>
      </c>
    </row>
    <row r="678" spans="1:15">
      <c r="A678" s="86">
        <v>494.00178613656703</v>
      </c>
      <c r="B678" s="86">
        <v>497.15332824444988</v>
      </c>
      <c r="C678" s="86">
        <v>492.75287780898492</v>
      </c>
      <c r="D678" s="86">
        <v>493.39684616539444</v>
      </c>
      <c r="E678" s="86">
        <v>3691029.4680512091</v>
      </c>
      <c r="F678" s="86" t="s">
        <v>726</v>
      </c>
      <c r="G678" s="25">
        <f t="shared" si="19"/>
        <v>1.2260718240786339E-3</v>
      </c>
      <c r="I678" s="86">
        <v>548.34326925213099</v>
      </c>
      <c r="J678" s="86">
        <v>552.11159089440446</v>
      </c>
      <c r="K678" s="86">
        <v>542.56199604904828</v>
      </c>
      <c r="L678" s="86">
        <v>543.15347944606344</v>
      </c>
      <c r="M678" s="86">
        <v>987178.81676250056</v>
      </c>
      <c r="N678" s="86" t="s">
        <v>726</v>
      </c>
      <c r="O678" s="25">
        <f t="shared" si="20"/>
        <v>9.5549232444582799E-3</v>
      </c>
    </row>
    <row r="679" spans="1:15">
      <c r="A679" s="86">
        <v>495.2311802715306</v>
      </c>
      <c r="B679" s="86">
        <v>502.9100150668985</v>
      </c>
      <c r="C679" s="86">
        <v>492.83093457945881</v>
      </c>
      <c r="D679" s="86">
        <v>502.60754508131225</v>
      </c>
      <c r="E679" s="86">
        <v>6012486.5165546034</v>
      </c>
      <c r="F679" s="86" t="s">
        <v>727</v>
      </c>
      <c r="G679" s="25">
        <f t="shared" si="19"/>
        <v>-1.4676191955272588E-2</v>
      </c>
      <c r="I679" s="86">
        <v>541.13098783046348</v>
      </c>
      <c r="J679" s="86">
        <v>545.69113402035384</v>
      </c>
      <c r="K679" s="86">
        <v>539.19435670797873</v>
      </c>
      <c r="L679" s="86">
        <v>541.23592843315976</v>
      </c>
      <c r="M679" s="86">
        <v>1328199.9189911084</v>
      </c>
      <c r="N679" s="86" t="s">
        <v>727</v>
      </c>
      <c r="O679" s="25">
        <f t="shared" si="20"/>
        <v>-1.938906809089147E-4</v>
      </c>
    </row>
    <row r="680" spans="1:15">
      <c r="A680" s="86">
        <v>505.45661720360886</v>
      </c>
      <c r="B680" s="86">
        <v>505.98350040430762</v>
      </c>
      <c r="C680" s="86">
        <v>499.68041618854176</v>
      </c>
      <c r="D680" s="86">
        <v>502.90025797058928</v>
      </c>
      <c r="E680" s="86">
        <v>5778076.6134940758</v>
      </c>
      <c r="F680" s="86" t="s">
        <v>728</v>
      </c>
      <c r="G680" s="25">
        <f t="shared" si="19"/>
        <v>5.0832330914594159E-3</v>
      </c>
      <c r="I680" s="86">
        <v>538.96539536643604</v>
      </c>
      <c r="J680" s="86">
        <v>539.90462392023426</v>
      </c>
      <c r="K680" s="86">
        <v>533.70002317090041</v>
      </c>
      <c r="L680" s="86">
        <v>535.99591519129615</v>
      </c>
      <c r="M680" s="86">
        <v>1141341.9083831371</v>
      </c>
      <c r="N680" s="86" t="s">
        <v>728</v>
      </c>
      <c r="O680" s="25">
        <f t="shared" si="20"/>
        <v>5.5401171743634237E-3</v>
      </c>
    </row>
    <row r="681" spans="1:15">
      <c r="A681" s="86">
        <v>500.74393968624844</v>
      </c>
      <c r="B681" s="86">
        <v>505.5054026851551</v>
      </c>
      <c r="C681" s="86">
        <v>499.69017328485097</v>
      </c>
      <c r="D681" s="86">
        <v>502.48070282929223</v>
      </c>
      <c r="E681" s="86">
        <v>3573957.7528813132</v>
      </c>
      <c r="F681" s="86" t="s">
        <v>729</v>
      </c>
      <c r="G681" s="25">
        <f t="shared" si="19"/>
        <v>-3.4563777937435258E-3</v>
      </c>
      <c r="I681" s="86">
        <v>537.77950072780186</v>
      </c>
      <c r="J681" s="86">
        <v>539.41129175056244</v>
      </c>
      <c r="K681" s="86">
        <v>534.12694524080882</v>
      </c>
      <c r="L681" s="86">
        <v>535.07566095171603</v>
      </c>
      <c r="M681" s="86">
        <v>698272.40382312087</v>
      </c>
      <c r="N681" s="86" t="s">
        <v>729</v>
      </c>
      <c r="O681" s="25">
        <f t="shared" si="20"/>
        <v>5.0531914893616747E-3</v>
      </c>
    </row>
    <row r="682" spans="1:15">
      <c r="A682" s="86">
        <v>500.66588291577449</v>
      </c>
      <c r="B682" s="86">
        <v>503.69058277163737</v>
      </c>
      <c r="C682" s="86">
        <v>497.76802531193175</v>
      </c>
      <c r="D682" s="86">
        <v>503.2710276303402</v>
      </c>
      <c r="E682" s="86">
        <v>4038525.2693164772</v>
      </c>
      <c r="F682" s="86" t="s">
        <v>730</v>
      </c>
      <c r="G682" s="25">
        <f t="shared" si="19"/>
        <v>-5.1764249709188581E-3</v>
      </c>
      <c r="I682" s="86">
        <v>535.05668663749793</v>
      </c>
      <c r="J682" s="86">
        <v>539.56308626430757</v>
      </c>
      <c r="K682" s="86">
        <v>532.96951207350185</v>
      </c>
      <c r="L682" s="86">
        <v>533.36797267208294</v>
      </c>
      <c r="M682" s="86">
        <v>874139.62946486345</v>
      </c>
      <c r="N682" s="86" t="s">
        <v>730</v>
      </c>
      <c r="O682" s="25">
        <f t="shared" si="20"/>
        <v>3.1661330487371409E-3</v>
      </c>
    </row>
    <row r="683" spans="1:15">
      <c r="A683" s="86">
        <v>503.54422632699885</v>
      </c>
      <c r="B683" s="86">
        <v>504.04183823876986</v>
      </c>
      <c r="C683" s="86">
        <v>500.69515420470219</v>
      </c>
      <c r="D683" s="86">
        <v>501.76843479871803</v>
      </c>
      <c r="E683" s="86">
        <v>3107254.3550999463</v>
      </c>
      <c r="F683" s="86" t="s">
        <v>731</v>
      </c>
      <c r="G683" s="25">
        <f t="shared" si="19"/>
        <v>3.5390658421809995E-3</v>
      </c>
      <c r="I683" s="86">
        <v>531.66977154955885</v>
      </c>
      <c r="J683" s="86">
        <v>533.35858038654499</v>
      </c>
      <c r="K683" s="86">
        <v>528.4536252895831</v>
      </c>
      <c r="L683" s="86">
        <v>530.75900446708795</v>
      </c>
      <c r="M683" s="86">
        <v>790364.26969561202</v>
      </c>
      <c r="N683" s="86" t="s">
        <v>731</v>
      </c>
      <c r="O683" s="25">
        <f t="shared" si="20"/>
        <v>1.7159710429883734E-3</v>
      </c>
    </row>
    <row r="684" spans="1:15">
      <c r="A684" s="86">
        <v>502.87098668166158</v>
      </c>
      <c r="B684" s="86">
        <v>505.70054461133969</v>
      </c>
      <c r="C684" s="86">
        <v>501.39278659081248</v>
      </c>
      <c r="D684" s="86">
        <v>505.06633335123945</v>
      </c>
      <c r="E684" s="86">
        <v>3483249.4138478744</v>
      </c>
      <c r="F684" s="86" t="s">
        <v>732</v>
      </c>
      <c r="G684" s="25">
        <f t="shared" si="19"/>
        <v>-4.3466501815934144E-3</v>
      </c>
      <c r="I684" s="86">
        <v>529.47823825736305</v>
      </c>
      <c r="J684" s="86">
        <v>531.41361830761389</v>
      </c>
      <c r="K684" s="86">
        <v>527.59029399265751</v>
      </c>
      <c r="L684" s="86">
        <v>527.59029399265751</v>
      </c>
      <c r="M684" s="86">
        <v>838354.40992050478</v>
      </c>
      <c r="N684" s="86" t="s">
        <v>732</v>
      </c>
      <c r="O684" s="25">
        <f t="shared" si="20"/>
        <v>3.5784287281293015E-3</v>
      </c>
    </row>
    <row r="685" spans="1:15">
      <c r="A685" s="86">
        <v>504.11013791293442</v>
      </c>
      <c r="B685" s="86">
        <v>504.97851948445634</v>
      </c>
      <c r="C685" s="86">
        <v>499.80930743078682</v>
      </c>
      <c r="D685" s="86">
        <v>501.83673447288271</v>
      </c>
      <c r="E685" s="86">
        <v>5229825.3889020924</v>
      </c>
      <c r="F685" s="86" t="s">
        <v>733</v>
      </c>
      <c r="G685" s="25">
        <f t="shared" si="19"/>
        <v>4.5301654579743555E-3</v>
      </c>
      <c r="I685" s="86">
        <v>526.54670671065946</v>
      </c>
      <c r="J685" s="86">
        <v>530.20874935476161</v>
      </c>
      <c r="K685" s="86">
        <v>524.43107067533617</v>
      </c>
      <c r="L685" s="86">
        <v>529.38336668627232</v>
      </c>
      <c r="M685" s="86">
        <v>917403.38016289589</v>
      </c>
      <c r="N685" s="86" t="s">
        <v>733</v>
      </c>
      <c r="O685" s="25">
        <f t="shared" si="20"/>
        <v>-5.3584229390681859E-3</v>
      </c>
    </row>
    <row r="686" spans="1:15">
      <c r="A686" s="86">
        <v>498.71446365392751</v>
      </c>
      <c r="B686" s="86">
        <v>505.05657625493023</v>
      </c>
      <c r="C686" s="86">
        <v>497.70948273407635</v>
      </c>
      <c r="D686" s="86">
        <v>504.49066466899455</v>
      </c>
      <c r="E686" s="86">
        <v>3768628.3741195416</v>
      </c>
      <c r="F686" s="86" t="s">
        <v>734</v>
      </c>
      <c r="G686" s="25">
        <f t="shared" si="19"/>
        <v>-1.1449569674112592E-2</v>
      </c>
      <c r="I686" s="86">
        <v>528.46311244669221</v>
      </c>
      <c r="J686" s="86">
        <v>529.5542303858067</v>
      </c>
      <c r="K686" s="86">
        <v>524.89603624525182</v>
      </c>
      <c r="L686" s="86">
        <v>525.75927267060638</v>
      </c>
      <c r="M686" s="86">
        <v>816449.00689927174</v>
      </c>
      <c r="N686" s="86" t="s">
        <v>734</v>
      </c>
      <c r="O686" s="25">
        <f t="shared" si="20"/>
        <v>5.1427334079181541E-3</v>
      </c>
    </row>
    <row r="687" spans="1:15">
      <c r="A687" s="86">
        <v>502.78317281487847</v>
      </c>
      <c r="B687" s="86">
        <v>504.11004034197134</v>
      </c>
      <c r="C687" s="86">
        <v>500.39268421911595</v>
      </c>
      <c r="D687" s="86">
        <v>501.97333382121201</v>
      </c>
      <c r="E687" s="86">
        <v>3427300.3914442202</v>
      </c>
      <c r="F687" s="86" t="s">
        <v>735</v>
      </c>
      <c r="G687" s="25">
        <f t="shared" si="19"/>
        <v>1.6133107858571361E-3</v>
      </c>
      <c r="I687" s="86">
        <v>525.36081207202528</v>
      </c>
      <c r="J687" s="86">
        <v>531.27121607940671</v>
      </c>
      <c r="K687" s="86">
        <v>524.93389000211698</v>
      </c>
      <c r="L687" s="86">
        <v>529.74387865641711</v>
      </c>
      <c r="M687" s="86">
        <v>930797.27662092738</v>
      </c>
      <c r="N687" s="86" t="s">
        <v>735</v>
      </c>
      <c r="O687" s="25">
        <f t="shared" si="20"/>
        <v>-8.2739353128695736E-3</v>
      </c>
    </row>
    <row r="688" spans="1:15">
      <c r="A688" s="86">
        <v>501.02689547921619</v>
      </c>
      <c r="B688" s="86">
        <v>502.95870297748166</v>
      </c>
      <c r="C688" s="86">
        <v>499.80725844056184</v>
      </c>
      <c r="D688" s="86">
        <v>501.43669352420403</v>
      </c>
      <c r="E688" s="86">
        <v>3234549.3986903667</v>
      </c>
      <c r="F688" s="86" t="s">
        <v>736</v>
      </c>
      <c r="G688" s="25">
        <f t="shared" si="19"/>
        <v>-8.1724782067238433E-4</v>
      </c>
      <c r="I688" s="86">
        <v>528.44413813247411</v>
      </c>
      <c r="J688" s="86">
        <v>530.23721082608881</v>
      </c>
      <c r="K688" s="86">
        <v>522.70440808148498</v>
      </c>
      <c r="L688" s="86">
        <v>529.35490521494512</v>
      </c>
      <c r="M688" s="86">
        <v>1024810.6875664485</v>
      </c>
      <c r="N688" s="86" t="s">
        <v>736</v>
      </c>
      <c r="O688" s="25">
        <f t="shared" si="20"/>
        <v>-1.7205226087424474E-3</v>
      </c>
    </row>
    <row r="689" spans="1:15">
      <c r="A689" s="86">
        <v>501.8562486655012</v>
      </c>
      <c r="B689" s="86">
        <v>501.8562486655012</v>
      </c>
      <c r="C689" s="86">
        <v>496.69474471791585</v>
      </c>
      <c r="D689" s="86">
        <v>497.47531242265467</v>
      </c>
      <c r="E689" s="86">
        <v>3899021.6755360523</v>
      </c>
      <c r="F689" s="86" t="s">
        <v>737</v>
      </c>
      <c r="G689" s="25">
        <f t="shared" si="19"/>
        <v>8.8063389950183701E-3</v>
      </c>
      <c r="I689" s="86">
        <v>529.7533658135261</v>
      </c>
      <c r="J689" s="86">
        <v>533.89925347019107</v>
      </c>
      <c r="K689" s="86">
        <v>526.77439848127722</v>
      </c>
      <c r="L689" s="86">
        <v>526.84080858104073</v>
      </c>
      <c r="M689" s="86">
        <v>748100.81865435711</v>
      </c>
      <c r="N689" s="86" t="s">
        <v>737</v>
      </c>
      <c r="O689" s="25">
        <f t="shared" si="20"/>
        <v>5.5283440178635068E-3</v>
      </c>
    </row>
    <row r="690" spans="1:15">
      <c r="A690" s="86">
        <v>497.07527147397599</v>
      </c>
      <c r="B690" s="86">
        <v>497.71923983038556</v>
      </c>
      <c r="C690" s="86">
        <v>494.34328450739019</v>
      </c>
      <c r="D690" s="86">
        <v>494.52866933726568</v>
      </c>
      <c r="E690" s="86">
        <v>3535156.2500569872</v>
      </c>
      <c r="F690" s="86" t="s">
        <v>738</v>
      </c>
      <c r="G690" s="25">
        <f t="shared" si="19"/>
        <v>5.149554099913134E-3</v>
      </c>
      <c r="I690" s="86">
        <v>531.40413115050478</v>
      </c>
      <c r="J690" s="86">
        <v>533.58143370703704</v>
      </c>
      <c r="K690" s="86">
        <v>528.434650975365</v>
      </c>
      <c r="L690" s="86">
        <v>532.51412853226634</v>
      </c>
      <c r="M690" s="86">
        <v>961322.75402901659</v>
      </c>
      <c r="N690" s="86" t="s">
        <v>738</v>
      </c>
      <c r="O690" s="25">
        <f t="shared" si="20"/>
        <v>-2.0844468198824018E-3</v>
      </c>
    </row>
    <row r="691" spans="1:15">
      <c r="A691" s="86">
        <v>496.03126216888791</v>
      </c>
      <c r="B691" s="86">
        <v>496.23616119138177</v>
      </c>
      <c r="C691" s="86">
        <v>492.23155615318251</v>
      </c>
      <c r="D691" s="86">
        <v>492.82117748314954</v>
      </c>
      <c r="E691" s="86">
        <v>4385477.8761894768</v>
      </c>
      <c r="F691" s="86" t="s">
        <v>739</v>
      </c>
      <c r="G691" s="25">
        <f t="shared" si="19"/>
        <v>6.5136906293929986E-3</v>
      </c>
      <c r="I691" s="86">
        <v>531.55592566424991</v>
      </c>
      <c r="J691" s="86">
        <v>535.15155820858865</v>
      </c>
      <c r="K691" s="86">
        <v>530.17080072632541</v>
      </c>
      <c r="L691" s="86">
        <v>532.98848638771995</v>
      </c>
      <c r="M691" s="86">
        <v>1027272.96364467</v>
      </c>
      <c r="N691" s="86" t="s">
        <v>739</v>
      </c>
      <c r="O691" s="25">
        <f t="shared" si="20"/>
        <v>-2.6877892488430533E-3</v>
      </c>
    </row>
    <row r="692" spans="1:15">
      <c r="A692" s="86">
        <v>487.65967353556431</v>
      </c>
      <c r="B692" s="86">
        <v>488.68416864803396</v>
      </c>
      <c r="C692" s="86">
        <v>484.4183661416364</v>
      </c>
      <c r="D692" s="86">
        <v>486.8010490603516</v>
      </c>
      <c r="E692" s="86">
        <v>3792627.3173070112</v>
      </c>
      <c r="F692" s="86" t="s">
        <v>740</v>
      </c>
      <c r="G692" s="25">
        <f t="shared" si="19"/>
        <v>1.7638098292311888E-3</v>
      </c>
      <c r="I692" s="86">
        <v>534.33566269720836</v>
      </c>
      <c r="J692" s="86">
        <v>535.28437840811569</v>
      </c>
      <c r="K692" s="86">
        <v>528.434650975365</v>
      </c>
      <c r="L692" s="86">
        <v>529.45926394314495</v>
      </c>
      <c r="M692" s="86">
        <v>839795.30521114217</v>
      </c>
      <c r="N692" s="86" t="s">
        <v>740</v>
      </c>
      <c r="O692" s="25">
        <f t="shared" si="20"/>
        <v>9.2101490825686749E-3</v>
      </c>
    </row>
    <row r="693" spans="1:15">
      <c r="A693" s="86">
        <v>486.1082952223959</v>
      </c>
      <c r="B693" s="86">
        <v>486.2741658596529</v>
      </c>
      <c r="C693" s="86">
        <v>480.94679127481061</v>
      </c>
      <c r="D693" s="86">
        <v>481.16144739361374</v>
      </c>
      <c r="E693" s="86">
        <v>3328743.4058900415</v>
      </c>
      <c r="F693" s="86" t="s">
        <v>741</v>
      </c>
      <c r="G693" s="25">
        <f t="shared" si="19"/>
        <v>1.0281056089548546E-2</v>
      </c>
      <c r="I693" s="86">
        <v>530.73054299576063</v>
      </c>
      <c r="J693" s="86">
        <v>530.9866962377057</v>
      </c>
      <c r="K693" s="86">
        <v>523.98517429120966</v>
      </c>
      <c r="L693" s="86">
        <v>528.33977940427428</v>
      </c>
      <c r="M693" s="86">
        <v>836509.81097491924</v>
      </c>
      <c r="N693" s="86" t="s">
        <v>741</v>
      </c>
      <c r="O693" s="25">
        <f t="shared" si="20"/>
        <v>4.5250493804991354E-3</v>
      </c>
    </row>
    <row r="694" spans="1:15">
      <c r="A694" s="86">
        <v>478.16601882667862</v>
      </c>
      <c r="B694" s="86">
        <v>480.39063678518426</v>
      </c>
      <c r="C694" s="86">
        <v>476.12678569804854</v>
      </c>
      <c r="D694" s="86">
        <v>479.01488620558206</v>
      </c>
      <c r="E694" s="86">
        <v>3667211.9312928552</v>
      </c>
      <c r="F694" s="86" t="s">
        <v>742</v>
      </c>
      <c r="G694" s="25">
        <f t="shared" si="19"/>
        <v>-1.7721106448853607E-3</v>
      </c>
      <c r="I694" s="86">
        <v>528.34926656138327</v>
      </c>
      <c r="J694" s="86">
        <v>528.96593177347302</v>
      </c>
      <c r="K694" s="86">
        <v>522.17312728337674</v>
      </c>
      <c r="L694" s="86">
        <v>522.80876680968481</v>
      </c>
      <c r="M694" s="86">
        <v>836836.568502423</v>
      </c>
      <c r="N694" s="86" t="s">
        <v>742</v>
      </c>
      <c r="O694" s="25">
        <f t="shared" si="20"/>
        <v>1.0597564737691911E-2</v>
      </c>
    </row>
    <row r="695" spans="1:15">
      <c r="A695" s="86">
        <v>477.92209141894773</v>
      </c>
      <c r="B695" s="86">
        <v>479.27832780593138</v>
      </c>
      <c r="C695" s="86">
        <v>474.01925289525377</v>
      </c>
      <c r="D695" s="86">
        <v>475.10229058557888</v>
      </c>
      <c r="E695" s="86">
        <v>7852060.4462504266</v>
      </c>
      <c r="F695" s="86" t="s">
        <v>743</v>
      </c>
      <c r="G695" s="25">
        <f t="shared" si="19"/>
        <v>5.9351446819870812E-3</v>
      </c>
      <c r="I695" s="86">
        <v>523.29261182224752</v>
      </c>
      <c r="J695" s="86">
        <v>525.21916881638685</v>
      </c>
      <c r="K695" s="86">
        <v>520.01906826176184</v>
      </c>
      <c r="L695" s="86">
        <v>523.84286693457364</v>
      </c>
      <c r="M695" s="86">
        <v>869898.10594655713</v>
      </c>
      <c r="N695" s="86" t="s">
        <v>743</v>
      </c>
      <c r="O695" s="25">
        <f t="shared" si="20"/>
        <v>-1.0504201680670011E-3</v>
      </c>
    </row>
    <row r="696" spans="1:15">
      <c r="A696" s="86">
        <v>475.88285829031764</v>
      </c>
      <c r="B696" s="86">
        <v>476.40974149101635</v>
      </c>
      <c r="C696" s="86">
        <v>467.98936737614656</v>
      </c>
      <c r="D696" s="86">
        <v>469.79443019335503</v>
      </c>
      <c r="E696" s="86">
        <v>4281226.573572197</v>
      </c>
      <c r="F696" s="86" t="s">
        <v>744</v>
      </c>
      <c r="G696" s="25">
        <f t="shared" si="19"/>
        <v>1.295977071174903E-2</v>
      </c>
      <c r="I696" s="86">
        <v>523.33056045068372</v>
      </c>
      <c r="J696" s="86">
        <v>525.28965839370721</v>
      </c>
      <c r="K696" s="86">
        <v>515.80724486318888</v>
      </c>
      <c r="L696" s="86">
        <v>517.53390745704007</v>
      </c>
      <c r="M696" s="86">
        <v>892087.05017714016</v>
      </c>
      <c r="N696" s="86" t="s">
        <v>744</v>
      </c>
      <c r="O696" s="25">
        <f t="shared" si="20"/>
        <v>1.1200527946325645E-2</v>
      </c>
    </row>
    <row r="697" spans="1:15">
      <c r="A697" s="86">
        <v>465.03296719444836</v>
      </c>
      <c r="B697" s="86">
        <v>476.68294018767494</v>
      </c>
      <c r="C697" s="86">
        <v>464.54511237898663</v>
      </c>
      <c r="D697" s="86">
        <v>473.90216773954296</v>
      </c>
      <c r="E697" s="86">
        <v>6125132.7347701313</v>
      </c>
      <c r="F697" s="86" t="s">
        <v>745</v>
      </c>
      <c r="G697" s="25">
        <f t="shared" si="19"/>
        <v>-1.8715256331068519E-2</v>
      </c>
      <c r="I697" s="86">
        <v>520.38005458976204</v>
      </c>
      <c r="J697" s="86">
        <v>523.85235409168274</v>
      </c>
      <c r="K697" s="86">
        <v>509.21120401153473</v>
      </c>
      <c r="L697" s="86">
        <v>512.18315084752294</v>
      </c>
      <c r="M697" s="86">
        <v>1377213.4106965058</v>
      </c>
      <c r="N697" s="86" t="s">
        <v>745</v>
      </c>
      <c r="O697" s="25">
        <f t="shared" si="20"/>
        <v>1.6003852779372885E-2</v>
      </c>
    </row>
    <row r="698" spans="1:15">
      <c r="A698" s="86">
        <v>468.28208026542359</v>
      </c>
      <c r="B698" s="86">
        <v>475.03399091141421</v>
      </c>
      <c r="C698" s="86">
        <v>464.37924174172963</v>
      </c>
      <c r="D698" s="86">
        <v>465.79402070656869</v>
      </c>
      <c r="E698" s="86">
        <v>8460549.8791548256</v>
      </c>
      <c r="F698" s="86" t="s">
        <v>746</v>
      </c>
      <c r="G698" s="25">
        <f t="shared" si="19"/>
        <v>5.3415446490290286E-3</v>
      </c>
      <c r="I698" s="86">
        <v>513.7864803989562</v>
      </c>
      <c r="J698" s="86">
        <v>521.30030882934216</v>
      </c>
      <c r="K698" s="86">
        <v>513.38801980037522</v>
      </c>
      <c r="L698" s="86">
        <v>517.97980384116659</v>
      </c>
      <c r="M698" s="86">
        <v>1089625.6782881615</v>
      </c>
      <c r="N698" s="86" t="s">
        <v>746</v>
      </c>
      <c r="O698" s="25">
        <f t="shared" si="20"/>
        <v>-8.095534634968593E-3</v>
      </c>
    </row>
    <row r="699" spans="1:15">
      <c r="A699" s="86">
        <v>463.65721661484622</v>
      </c>
      <c r="B699" s="86">
        <v>469.49196020776873</v>
      </c>
      <c r="C699" s="86">
        <v>457.50048884371893</v>
      </c>
      <c r="D699" s="86">
        <v>458.74939717130104</v>
      </c>
      <c r="E699" s="86">
        <v>15623783.466779424</v>
      </c>
      <c r="F699" s="86" t="s">
        <v>747</v>
      </c>
      <c r="G699" s="25">
        <f t="shared" si="19"/>
        <v>1.0698258076865752E-2</v>
      </c>
      <c r="I699" s="86">
        <v>517.41057441462215</v>
      </c>
      <c r="J699" s="86">
        <v>533.74745895644583</v>
      </c>
      <c r="K699" s="86">
        <v>510.63674423874409</v>
      </c>
      <c r="L699" s="86">
        <v>524.79158264548096</v>
      </c>
      <c r="M699" s="86">
        <v>1774791.9430887625</v>
      </c>
      <c r="N699" s="86" t="s">
        <v>747</v>
      </c>
      <c r="O699" s="25">
        <f t="shared" si="20"/>
        <v>-1.4064646756815402E-2</v>
      </c>
    </row>
    <row r="700" spans="1:15">
      <c r="A700" s="86">
        <v>478.00990528573089</v>
      </c>
      <c r="B700" s="86">
        <v>481.53221705336466</v>
      </c>
      <c r="C700" s="86">
        <v>473.99973870263528</v>
      </c>
      <c r="D700" s="86">
        <v>480.44917936303966</v>
      </c>
      <c r="E700" s="86">
        <v>8774296.9103389438</v>
      </c>
      <c r="F700" s="86" t="s">
        <v>748</v>
      </c>
      <c r="G700" s="25">
        <f t="shared" si="19"/>
        <v>-5.0770699214069959E-3</v>
      </c>
      <c r="I700" s="86">
        <v>520.62672067459789</v>
      </c>
      <c r="J700" s="86">
        <v>532.34335970430311</v>
      </c>
      <c r="K700" s="86">
        <v>513.62519872810208</v>
      </c>
      <c r="L700" s="86">
        <v>522.85620259523012</v>
      </c>
      <c r="M700" s="86">
        <v>1565016.772600997</v>
      </c>
      <c r="N700" s="86" t="s">
        <v>748</v>
      </c>
      <c r="O700" s="25">
        <f t="shared" si="20"/>
        <v>-4.2640441283205988E-3</v>
      </c>
    </row>
    <row r="701" spans="1:15">
      <c r="A701" s="86">
        <v>486.90837711975314</v>
      </c>
      <c r="B701" s="86">
        <v>497.51434080789159</v>
      </c>
      <c r="C701" s="86">
        <v>483.7080495303241</v>
      </c>
      <c r="D701" s="86">
        <v>495.50437896818914</v>
      </c>
      <c r="E701" s="86">
        <v>7111969.360630489</v>
      </c>
      <c r="F701" s="86" t="s">
        <v>749</v>
      </c>
      <c r="G701" s="25">
        <f t="shared" si="19"/>
        <v>-1.7347983616887164E-2</v>
      </c>
      <c r="I701" s="86">
        <v>520.71210508857962</v>
      </c>
      <c r="J701" s="86">
        <v>520.95877117341547</v>
      </c>
      <c r="K701" s="86">
        <v>512.96109773046703</v>
      </c>
      <c r="L701" s="86">
        <v>516.13929536200635</v>
      </c>
      <c r="M701" s="86">
        <v>1340494.2970574107</v>
      </c>
      <c r="N701" s="86" t="s">
        <v>749</v>
      </c>
      <c r="O701" s="25">
        <f t="shared" si="20"/>
        <v>8.8596426733329459E-3</v>
      </c>
    </row>
    <row r="702" spans="1:15">
      <c r="A702" s="86">
        <v>493.64077357312533</v>
      </c>
      <c r="B702" s="86">
        <v>496.29782604005624</v>
      </c>
      <c r="C702" s="86">
        <v>491.07953579195112</v>
      </c>
      <c r="D702" s="86">
        <v>492.22599460828627</v>
      </c>
      <c r="E702" s="86">
        <v>5501213.5064400677</v>
      </c>
      <c r="F702" s="86" t="s">
        <v>750</v>
      </c>
      <c r="G702" s="25">
        <f t="shared" si="19"/>
        <v>2.8742467491278401E-3</v>
      </c>
      <c r="I702" s="86">
        <v>514.12801805488289</v>
      </c>
      <c r="J702" s="86">
        <v>518.94749386629201</v>
      </c>
      <c r="K702" s="86">
        <v>510.57982129608962</v>
      </c>
      <c r="L702" s="86">
        <v>515.15263102266283</v>
      </c>
      <c r="M702" s="86">
        <v>1561615.3321453372</v>
      </c>
      <c r="N702" s="86" t="s">
        <v>750</v>
      </c>
      <c r="O702" s="25">
        <f t="shared" si="20"/>
        <v>-1.9889502762432398E-3</v>
      </c>
    </row>
    <row r="703" spans="1:15">
      <c r="A703" s="86">
        <v>485.98145297037581</v>
      </c>
      <c r="B703" s="86">
        <v>490.79170145082867</v>
      </c>
      <c r="C703" s="86">
        <v>482.89333198850301</v>
      </c>
      <c r="D703" s="86">
        <v>489.85502020514213</v>
      </c>
      <c r="E703" s="86">
        <v>3912844.4354766654</v>
      </c>
      <c r="F703" s="86" t="s">
        <v>751</v>
      </c>
      <c r="G703" s="25">
        <f t="shared" si="19"/>
        <v>-7.9075789264018148E-3</v>
      </c>
      <c r="I703" s="86">
        <v>510.0864891264178</v>
      </c>
      <c r="J703" s="86">
        <v>510.84546169514374</v>
      </c>
      <c r="K703" s="86">
        <v>498.10420969765863</v>
      </c>
      <c r="L703" s="86">
        <v>500.87445957350803</v>
      </c>
      <c r="M703" s="86">
        <v>1300952.4200032994</v>
      </c>
      <c r="N703" s="86" t="s">
        <v>751</v>
      </c>
      <c r="O703" s="25">
        <f t="shared" si="20"/>
        <v>1.8391893171701756E-2</v>
      </c>
    </row>
    <row r="704" spans="1:15">
      <c r="A704" s="86">
        <v>488.53781220339539</v>
      </c>
      <c r="B704" s="86">
        <v>490.55265259125241</v>
      </c>
      <c r="C704" s="86">
        <v>486.65918088001536</v>
      </c>
      <c r="D704" s="86">
        <v>489.63060699002972</v>
      </c>
      <c r="E704" s="86">
        <v>3173257.5982359662</v>
      </c>
      <c r="F704" s="86" t="s">
        <v>752</v>
      </c>
      <c r="G704" s="25">
        <f t="shared" si="19"/>
        <v>-2.2318759714639036E-3</v>
      </c>
      <c r="I704" s="86">
        <v>500.58035770312671</v>
      </c>
      <c r="J704" s="86">
        <v>502.30702029697801</v>
      </c>
      <c r="K704" s="86">
        <v>492.63012004572357</v>
      </c>
      <c r="L704" s="86">
        <v>496.17831680451684</v>
      </c>
      <c r="M704" s="86">
        <v>1013311.9847679386</v>
      </c>
      <c r="N704" s="86" t="s">
        <v>752</v>
      </c>
      <c r="O704" s="25">
        <f t="shared" si="20"/>
        <v>8.8718929254301138E-3</v>
      </c>
    </row>
    <row r="705" spans="1:15">
      <c r="A705" s="86">
        <v>488.17679963995369</v>
      </c>
      <c r="B705" s="86">
        <v>490.66973774696328</v>
      </c>
      <c r="C705" s="86">
        <v>485.58141202169725</v>
      </c>
      <c r="D705" s="86">
        <v>486.25465166703447</v>
      </c>
      <c r="E705" s="86">
        <v>3726502.1116565005</v>
      </c>
      <c r="F705" s="86" t="s">
        <v>753</v>
      </c>
      <c r="G705" s="25">
        <f t="shared" si="19"/>
        <v>3.9529657275862995E-3</v>
      </c>
      <c r="I705" s="86">
        <v>497.88600508414993</v>
      </c>
      <c r="J705" s="86">
        <v>501.52907341403403</v>
      </c>
      <c r="K705" s="86">
        <v>493.34260554461491</v>
      </c>
      <c r="L705" s="86">
        <v>495.50472864977263</v>
      </c>
      <c r="M705" s="86">
        <v>1203005.2700492498</v>
      </c>
      <c r="N705" s="86" t="s">
        <v>753</v>
      </c>
      <c r="O705" s="25">
        <f t="shared" si="20"/>
        <v>4.805759252522579E-3</v>
      </c>
    </row>
    <row r="706" spans="1:15">
      <c r="A706" s="86">
        <v>482.76161118832829</v>
      </c>
      <c r="B706" s="86">
        <v>490.91854370284875</v>
      </c>
      <c r="C706" s="86">
        <v>481.92250090573413</v>
      </c>
      <c r="D706" s="86">
        <v>485.46432686598644</v>
      </c>
      <c r="E706" s="86">
        <v>5787173.5822219541</v>
      </c>
      <c r="F706" s="86" t="s">
        <v>754</v>
      </c>
      <c r="G706" s="25">
        <f t="shared" si="19"/>
        <v>-5.5672796703850613E-3</v>
      </c>
      <c r="I706" s="86">
        <v>494.66037166706514</v>
      </c>
      <c r="J706" s="86">
        <v>499.67907777776486</v>
      </c>
      <c r="K706" s="86">
        <v>486.56782665302592</v>
      </c>
      <c r="L706" s="86">
        <v>488.58859111725849</v>
      </c>
      <c r="M706" s="86">
        <v>2027900.4320062224</v>
      </c>
      <c r="N706" s="86" t="s">
        <v>754</v>
      </c>
      <c r="O706" s="25">
        <f t="shared" si="20"/>
        <v>1.2427184466019314E-2</v>
      </c>
    </row>
    <row r="707" spans="1:15">
      <c r="A707" s="86">
        <v>485.21064236194633</v>
      </c>
      <c r="B707" s="86">
        <v>492.44065072708941</v>
      </c>
      <c r="C707" s="86">
        <v>484.48373868690828</v>
      </c>
      <c r="D707" s="86">
        <v>492.17720912674008</v>
      </c>
      <c r="E707" s="86">
        <v>6310691.0138542857</v>
      </c>
      <c r="F707" s="86" t="s">
        <v>755</v>
      </c>
      <c r="G707" s="25">
        <f t="shared" si="19"/>
        <v>-1.4154590329679029E-2</v>
      </c>
      <c r="I707" s="86">
        <v>488.77833425943999</v>
      </c>
      <c r="J707" s="86">
        <v>492.943196230323</v>
      </c>
      <c r="K707" s="86">
        <v>475.69554460602831</v>
      </c>
      <c r="L707" s="86">
        <v>479.10143400818549</v>
      </c>
      <c r="M707" s="86">
        <v>2719535.4417948565</v>
      </c>
      <c r="N707" s="86" t="s">
        <v>755</v>
      </c>
      <c r="O707" s="25">
        <f t="shared" si="20"/>
        <v>2.0198019801980216E-2</v>
      </c>
    </row>
    <row r="708" spans="1:15">
      <c r="A708" s="86">
        <v>496.57765956220504</v>
      </c>
      <c r="B708" s="86">
        <v>499.22183266200767</v>
      </c>
      <c r="C708" s="86">
        <v>496.1385902282895</v>
      </c>
      <c r="D708" s="86">
        <v>497.28017049646996</v>
      </c>
      <c r="E708" s="86">
        <v>3193619.1887853965</v>
      </c>
      <c r="F708" s="86" t="s">
        <v>756</v>
      </c>
      <c r="G708" s="25">
        <f t="shared" si="19"/>
        <v>-1.4127065102225167E-3</v>
      </c>
      <c r="I708" s="86">
        <v>475.58169872071943</v>
      </c>
      <c r="J708" s="86">
        <v>476.03708226195488</v>
      </c>
      <c r="K708" s="86">
        <v>458.09686816869794</v>
      </c>
      <c r="L708" s="86">
        <v>463.77018811992355</v>
      </c>
      <c r="M708" s="86">
        <v>2718550.952986184</v>
      </c>
      <c r="N708" s="86" t="s">
        <v>756</v>
      </c>
      <c r="O708" s="25">
        <f t="shared" si="20"/>
        <v>2.5468455936502821E-2</v>
      </c>
    </row>
    <row r="709" spans="1:15">
      <c r="A709" s="86">
        <v>497.40701274849005</v>
      </c>
      <c r="B709" s="86">
        <v>497.92413885287948</v>
      </c>
      <c r="C709" s="86">
        <v>494.13838548489628</v>
      </c>
      <c r="D709" s="86">
        <v>495.92393410948625</v>
      </c>
      <c r="E709" s="86">
        <v>4451046.5638116822</v>
      </c>
      <c r="F709" s="86" t="s">
        <v>757</v>
      </c>
      <c r="G709" s="25">
        <f t="shared" si="19"/>
        <v>2.9905365258624528E-3</v>
      </c>
      <c r="I709" s="86">
        <v>450.25098923949452</v>
      </c>
      <c r="J709" s="86">
        <v>451.71201143429181</v>
      </c>
      <c r="K709" s="86">
        <v>448.60022390251589</v>
      </c>
      <c r="L709" s="86">
        <v>450.63996268096656</v>
      </c>
      <c r="M709" s="86">
        <v>929216.19181042549</v>
      </c>
      <c r="N709" s="86" t="s">
        <v>757</v>
      </c>
      <c r="O709" s="25">
        <f t="shared" si="20"/>
        <v>-8.6315789473700999E-4</v>
      </c>
    </row>
    <row r="710" spans="1:15">
      <c r="A710" s="86">
        <v>492.29429428245089</v>
      </c>
      <c r="B710" s="86">
        <v>496.83134406624515</v>
      </c>
      <c r="C710" s="86">
        <v>491.32834174783665</v>
      </c>
      <c r="D710" s="86">
        <v>495.3092370420045</v>
      </c>
      <c r="E710" s="86">
        <v>4139999.1062676292</v>
      </c>
      <c r="F710" s="86" t="s">
        <v>758</v>
      </c>
      <c r="G710" s="25">
        <f t="shared" si="19"/>
        <v>-6.0869907808682733E-3</v>
      </c>
      <c r="I710" s="86">
        <v>450.564065424094</v>
      </c>
      <c r="J710" s="86">
        <v>454.94713200848571</v>
      </c>
      <c r="K710" s="86">
        <v>448.56635475163648</v>
      </c>
      <c r="L710" s="86">
        <v>454.94713200848571</v>
      </c>
      <c r="M710" s="86">
        <v>937436.77876849484</v>
      </c>
      <c r="N710" s="86" t="s">
        <v>758</v>
      </c>
      <c r="O710" s="25">
        <f t="shared" si="20"/>
        <v>-9.6342328064394911E-3</v>
      </c>
    </row>
    <row r="711" spans="1:15">
      <c r="A711" s="86">
        <v>495.60194993128152</v>
      </c>
      <c r="B711" s="86">
        <v>501.70013512455347</v>
      </c>
      <c r="C711" s="86">
        <v>493.58320670490082</v>
      </c>
      <c r="D711" s="86">
        <v>500.7829680714853</v>
      </c>
      <c r="E711" s="86">
        <v>5181715.7889634604</v>
      </c>
      <c r="F711" s="86" t="s">
        <v>759</v>
      </c>
      <c r="G711" s="25">
        <f t="shared" si="19"/>
        <v>-1.0345835362883582E-2</v>
      </c>
      <c r="I711" s="86">
        <v>451.58867839187383</v>
      </c>
      <c r="J711" s="86">
        <v>456.19943674688335</v>
      </c>
      <c r="K711" s="86">
        <v>448.75676199481558</v>
      </c>
      <c r="L711" s="86">
        <v>450.1656048255129</v>
      </c>
      <c r="M711" s="86">
        <v>1034093.763517175</v>
      </c>
      <c r="N711" s="86" t="s">
        <v>759</v>
      </c>
      <c r="O711" s="25">
        <f t="shared" si="20"/>
        <v>3.1612223393044925E-3</v>
      </c>
    </row>
    <row r="712" spans="1:15">
      <c r="A712" s="86">
        <v>499.35843201033703</v>
      </c>
      <c r="B712" s="86">
        <v>502.59778798500304</v>
      </c>
      <c r="C712" s="86">
        <v>499.13401879522462</v>
      </c>
      <c r="D712" s="86">
        <v>501.08543805707154</v>
      </c>
      <c r="E712" s="86">
        <v>5108390.6953776935</v>
      </c>
      <c r="F712" s="86" t="s">
        <v>760</v>
      </c>
      <c r="G712" s="25">
        <f t="shared" si="19"/>
        <v>-3.4465301035904172E-3</v>
      </c>
      <c r="I712" s="86">
        <v>451.65508849163734</v>
      </c>
      <c r="J712" s="86">
        <v>452.323933067827</v>
      </c>
      <c r="K712" s="86">
        <v>445.61603863385693</v>
      </c>
      <c r="L712" s="86">
        <v>445.89638412643006</v>
      </c>
      <c r="M712" s="86">
        <v>1183768.7381881438</v>
      </c>
      <c r="N712" s="86" t="s">
        <v>760</v>
      </c>
      <c r="O712" s="25">
        <f t="shared" si="20"/>
        <v>1.2914893617021139E-2</v>
      </c>
    </row>
    <row r="713" spans="1:15">
      <c r="A713" s="86">
        <v>506.43232683453232</v>
      </c>
      <c r="B713" s="86">
        <v>506.78358230166481</v>
      </c>
      <c r="C713" s="86">
        <v>504.05159533507907</v>
      </c>
      <c r="D713" s="86">
        <v>504.76386336565321</v>
      </c>
      <c r="E713" s="86">
        <v>4267970.580610686</v>
      </c>
      <c r="F713" s="86" t="s">
        <v>761</v>
      </c>
      <c r="G713" s="25">
        <f t="shared" si="19"/>
        <v>3.3054336690312436E-3</v>
      </c>
      <c r="I713" s="86">
        <v>444.5492078169417</v>
      </c>
      <c r="J713" s="86">
        <v>445.12792440059513</v>
      </c>
      <c r="K713" s="86">
        <v>439.96691093325944</v>
      </c>
      <c r="L713" s="86">
        <v>439.96691093325944</v>
      </c>
      <c r="M713" s="86">
        <v>776362.18261380761</v>
      </c>
      <c r="N713" s="86" t="s">
        <v>761</v>
      </c>
      <c r="O713" s="25">
        <f t="shared" si="20"/>
        <v>1.0415094339622621E-2</v>
      </c>
    </row>
    <row r="714" spans="1:15">
      <c r="A714" s="86">
        <v>503.57349761592656</v>
      </c>
      <c r="B714" s="86">
        <v>506.51038360500627</v>
      </c>
      <c r="C714" s="86">
        <v>501.84649156919198</v>
      </c>
      <c r="D714" s="86">
        <v>504.03208114246058</v>
      </c>
      <c r="E714" s="86">
        <v>7964996.7097735237</v>
      </c>
      <c r="F714" s="86" t="s">
        <v>762</v>
      </c>
      <c r="G714" s="25">
        <f t="shared" si="19"/>
        <v>-9.0983003600597634E-4</v>
      </c>
      <c r="I714" s="86">
        <v>440.09024397567737</v>
      </c>
      <c r="J714" s="86">
        <v>443.28741592143501</v>
      </c>
      <c r="K714" s="86">
        <v>439.04665669367932</v>
      </c>
      <c r="L714" s="86">
        <v>442.77510943754504</v>
      </c>
      <c r="M714" s="86">
        <v>825423.24428368022</v>
      </c>
      <c r="N714" s="86" t="s">
        <v>762</v>
      </c>
      <c r="O714" s="25">
        <f t="shared" si="20"/>
        <v>-6.0637226543249767E-3</v>
      </c>
    </row>
    <row r="715" spans="1:15">
      <c r="A715" s="86">
        <v>502.05139059168584</v>
      </c>
      <c r="B715" s="86">
        <v>505.44686010729959</v>
      </c>
      <c r="C715" s="86">
        <v>499.72920167008789</v>
      </c>
      <c r="D715" s="86">
        <v>500.04142875198346</v>
      </c>
      <c r="E715" s="86">
        <v>5368574.6599038206</v>
      </c>
      <c r="F715" s="86" t="s">
        <v>763</v>
      </c>
      <c r="G715" s="25">
        <f t="shared" si="19"/>
        <v>4.0195906261584202E-3</v>
      </c>
      <c r="I715" s="86">
        <v>439.94793661904134</v>
      </c>
      <c r="J715" s="86">
        <v>441.05793400080285</v>
      </c>
      <c r="K715" s="86">
        <v>435.96333063323061</v>
      </c>
      <c r="L715" s="86">
        <v>438.64819609509834</v>
      </c>
      <c r="M715" s="86">
        <v>610758.30550530273</v>
      </c>
      <c r="N715" s="86" t="s">
        <v>763</v>
      </c>
      <c r="O715" s="25">
        <f t="shared" si="20"/>
        <v>2.9630590881564167E-3</v>
      </c>
    </row>
    <row r="716" spans="1:15">
      <c r="A716" s="86">
        <v>498.96814815796762</v>
      </c>
      <c r="B716" s="86">
        <v>504.23698016495445</v>
      </c>
      <c r="C716" s="86">
        <v>498.41687221649585</v>
      </c>
      <c r="D716" s="86">
        <v>503.46616955652496</v>
      </c>
      <c r="E716" s="86">
        <v>5684383.7799883997</v>
      </c>
      <c r="F716" s="86" t="s">
        <v>764</v>
      </c>
      <c r="G716" s="25">
        <f t="shared" si="19"/>
        <v>-8.9341085271318343E-3</v>
      </c>
      <c r="I716" s="86">
        <v>436.76973898750185</v>
      </c>
      <c r="J716" s="86">
        <v>441.88331666929218</v>
      </c>
      <c r="K716" s="86">
        <v>432.71872290192772</v>
      </c>
      <c r="L716" s="86">
        <v>436.3333297604845</v>
      </c>
      <c r="M716" s="86">
        <v>1194220.7628421015</v>
      </c>
      <c r="N716" s="86" t="s">
        <v>764</v>
      </c>
      <c r="O716" s="25">
        <f t="shared" si="20"/>
        <v>1.0001739432945467E-3</v>
      </c>
    </row>
    <row r="717" spans="1:15">
      <c r="A717" s="86">
        <v>503.28078472664942</v>
      </c>
      <c r="B717" s="86">
        <v>503.64667583824576</v>
      </c>
      <c r="C717" s="86">
        <v>499.26086104724465</v>
      </c>
      <c r="D717" s="86">
        <v>499.54381684021251</v>
      </c>
      <c r="E717" s="86">
        <v>3532734.4229835337</v>
      </c>
      <c r="F717" s="86" t="s">
        <v>765</v>
      </c>
      <c r="G717" s="25">
        <f t="shared" si="19"/>
        <v>7.480760967225164E-3</v>
      </c>
      <c r="I717" s="86">
        <v>437.36742988537344</v>
      </c>
      <c r="J717" s="86">
        <v>437.72794185551822</v>
      </c>
      <c r="K717" s="86">
        <v>433.80025881236202</v>
      </c>
      <c r="L717" s="86">
        <v>436.7602518303928</v>
      </c>
      <c r="M717" s="86">
        <v>691432.63093288988</v>
      </c>
      <c r="N717" s="86" t="s">
        <v>765</v>
      </c>
      <c r="O717" s="25">
        <f t="shared" si="20"/>
        <v>1.3901861546146144E-3</v>
      </c>
    </row>
    <row r="718" spans="1:15">
      <c r="A718" s="86">
        <v>498.48029334250583</v>
      </c>
      <c r="B718" s="86">
        <v>499.57308812914016</v>
      </c>
      <c r="C718" s="86">
        <v>498.13879497168267</v>
      </c>
      <c r="D718" s="86">
        <v>498.79252042440135</v>
      </c>
      <c r="E718" s="86">
        <v>3224138.5144702476</v>
      </c>
      <c r="F718" s="86" t="s">
        <v>766</v>
      </c>
      <c r="G718" s="25">
        <f t="shared" si="19"/>
        <v>-6.2596584573848535E-4</v>
      </c>
      <c r="I718" s="86">
        <v>436.69384173062929</v>
      </c>
      <c r="J718" s="86">
        <v>438.8947673083631</v>
      </c>
      <c r="K718" s="86">
        <v>436.18153524673932</v>
      </c>
      <c r="L718" s="86">
        <v>438.02204372589949</v>
      </c>
      <c r="M718" s="86">
        <v>566248.65997659485</v>
      </c>
      <c r="N718" s="86" t="s">
        <v>766</v>
      </c>
      <c r="O718" s="25">
        <f t="shared" si="20"/>
        <v>-3.0322720381199542E-3</v>
      </c>
    </row>
    <row r="719" spans="1:15">
      <c r="A719" s="86">
        <v>497.9338959491887</v>
      </c>
      <c r="B719" s="86">
        <v>498.78764187624677</v>
      </c>
      <c r="C719" s="86">
        <v>496.94842922195596</v>
      </c>
      <c r="D719" s="86">
        <v>498.0997665864457</v>
      </c>
      <c r="E719" s="86">
        <v>3221633.6708953339</v>
      </c>
      <c r="F719" s="86" t="s">
        <v>767</v>
      </c>
      <c r="G719" s="25">
        <f t="shared" si="19"/>
        <v>-3.330068560235544E-4</v>
      </c>
      <c r="I719" s="86">
        <v>438.0789666685539</v>
      </c>
      <c r="J719" s="86">
        <v>440.74485781620342</v>
      </c>
      <c r="K719" s="86">
        <v>437.47178861357327</v>
      </c>
      <c r="L719" s="86">
        <v>438.95178512258866</v>
      </c>
      <c r="M719" s="86">
        <v>472077.14055002353</v>
      </c>
      <c r="N719" s="86" t="s">
        <v>767</v>
      </c>
      <c r="O719" s="25">
        <f t="shared" si="20"/>
        <v>-1.9884153194433818E-3</v>
      </c>
    </row>
    <row r="720" spans="1:15">
      <c r="A720" s="86">
        <v>497.45579823003618</v>
      </c>
      <c r="B720" s="86">
        <v>497.70948273407635</v>
      </c>
      <c r="C720" s="86">
        <v>494.18717096644247</v>
      </c>
      <c r="D720" s="86">
        <v>494.81162513023349</v>
      </c>
      <c r="E720" s="86">
        <v>3235513.8249604134</v>
      </c>
      <c r="F720" s="86" t="s">
        <v>768</v>
      </c>
      <c r="G720" s="25">
        <f t="shared" si="19"/>
        <v>5.3437974483860895E-3</v>
      </c>
      <c r="I720" s="86">
        <v>438.45845295291684</v>
      </c>
      <c r="J720" s="86">
        <v>441.15280557189357</v>
      </c>
      <c r="K720" s="86">
        <v>436.1151251469758</v>
      </c>
      <c r="L720" s="86">
        <v>441.13383125767547</v>
      </c>
      <c r="M720" s="86">
        <v>665736.84059261368</v>
      </c>
      <c r="N720" s="86" t="s">
        <v>768</v>
      </c>
      <c r="O720" s="25">
        <f t="shared" si="20"/>
        <v>-6.0647769796551287E-3</v>
      </c>
    </row>
    <row r="721" spans="1:15">
      <c r="A721" s="86">
        <v>494.49939804833798</v>
      </c>
      <c r="B721" s="86">
        <v>494.82138222654271</v>
      </c>
      <c r="C721" s="86">
        <v>491.97231010424616</v>
      </c>
      <c r="D721" s="86">
        <v>491.97231010424616</v>
      </c>
      <c r="E721" s="86">
        <v>2184139.5559280803</v>
      </c>
      <c r="F721" s="86" t="s">
        <v>769</v>
      </c>
      <c r="G721" s="25">
        <f t="shared" si="19"/>
        <v>5.1366467018363338E-3</v>
      </c>
      <c r="I721" s="86">
        <v>442.12998275412804</v>
      </c>
      <c r="J721" s="86">
        <v>442.54741766692734</v>
      </c>
      <c r="K721" s="86">
        <v>440.32723316026204</v>
      </c>
      <c r="L721" s="86">
        <v>441.61767627023818</v>
      </c>
      <c r="M721" s="86">
        <v>330217.99512563553</v>
      </c>
      <c r="N721" s="86" t="s">
        <v>769</v>
      </c>
      <c r="O721" s="25">
        <f t="shared" si="20"/>
        <v>1.1600678854537527E-3</v>
      </c>
    </row>
    <row r="722" spans="1:15">
      <c r="A722" s="86">
        <v>492.2747800898324</v>
      </c>
      <c r="B722" s="86">
        <v>492.3528368603063</v>
      </c>
      <c r="C722" s="86">
        <v>487.47428870568882</v>
      </c>
      <c r="D722" s="86">
        <v>487.55234547616266</v>
      </c>
      <c r="E722" s="86">
        <v>4314893.3520469656</v>
      </c>
      <c r="F722" s="86" t="s">
        <v>770</v>
      </c>
      <c r="G722" s="25">
        <f t="shared" si="19"/>
        <v>9.6860053233005505E-3</v>
      </c>
      <c r="I722" s="86">
        <v>441.81690656952867</v>
      </c>
      <c r="J722" s="86">
        <v>442.73716080910879</v>
      </c>
      <c r="K722" s="86">
        <v>440.22315904677555</v>
      </c>
      <c r="L722" s="86">
        <v>441.72203499843795</v>
      </c>
      <c r="M722" s="86">
        <v>529654.9790657995</v>
      </c>
      <c r="N722" s="86" t="s">
        <v>770</v>
      </c>
      <c r="O722" s="25">
        <f t="shared" si="20"/>
        <v>2.1477663230240474E-4</v>
      </c>
    </row>
    <row r="723" spans="1:15">
      <c r="A723" s="86">
        <v>489.10372378933101</v>
      </c>
      <c r="B723" s="86">
        <v>489.49391007073734</v>
      </c>
      <c r="C723" s="86">
        <v>486.48882197845609</v>
      </c>
      <c r="D723" s="86">
        <v>489.30862281182499</v>
      </c>
      <c r="E723" s="86">
        <v>4477280.8031680901</v>
      </c>
      <c r="F723" s="86" t="s">
        <v>771</v>
      </c>
      <c r="G723" s="25">
        <f t="shared" si="19"/>
        <v>-4.1875211868636075E-4</v>
      </c>
      <c r="I723" s="86">
        <v>442.51895619560008</v>
      </c>
      <c r="J723" s="86">
        <v>447.49022652075433</v>
      </c>
      <c r="K723" s="86">
        <v>440.92511380127581</v>
      </c>
      <c r="L723" s="86">
        <v>446.62689522382868</v>
      </c>
      <c r="M723" s="86">
        <v>592972.15544369724</v>
      </c>
      <c r="N723" s="86" t="s">
        <v>771</v>
      </c>
      <c r="O723" s="25">
        <f t="shared" si="20"/>
        <v>-9.1976973893833636E-3</v>
      </c>
    </row>
    <row r="724" spans="1:15">
      <c r="A724" s="86">
        <v>487.98165771376904</v>
      </c>
      <c r="B724" s="86">
        <v>493.44563164694063</v>
      </c>
      <c r="C724" s="86">
        <v>486.88886292713471</v>
      </c>
      <c r="D724" s="86">
        <v>490.75267306559181</v>
      </c>
      <c r="E724" s="86">
        <v>5737947.8715414722</v>
      </c>
      <c r="F724" s="86" t="s">
        <v>772</v>
      </c>
      <c r="G724" s="25">
        <f t="shared" si="19"/>
        <v>-5.6464600274370724E-3</v>
      </c>
      <c r="I724" s="86">
        <v>443.14510856479893</v>
      </c>
      <c r="J724" s="86">
        <v>447.55654174894676</v>
      </c>
      <c r="K724" s="86">
        <v>441.02947252947564</v>
      </c>
      <c r="L724" s="86">
        <v>445.94381991197542</v>
      </c>
      <c r="M724" s="86">
        <v>3660262.9850822757</v>
      </c>
      <c r="N724" s="86" t="s">
        <v>772</v>
      </c>
      <c r="O724" s="25">
        <f t="shared" si="20"/>
        <v>-6.2759280927560113E-3</v>
      </c>
    </row>
    <row r="725" spans="1:15">
      <c r="A725" s="86">
        <v>489.87111940000216</v>
      </c>
      <c r="B725" s="86">
        <v>490.48364059722752</v>
      </c>
      <c r="C725" s="86">
        <v>488.38356792102621</v>
      </c>
      <c r="D725" s="86">
        <v>489.04470191168218</v>
      </c>
      <c r="E725" s="86">
        <v>3722944.871671061</v>
      </c>
      <c r="F725" s="86" t="s">
        <v>773</v>
      </c>
      <c r="G725" s="25">
        <f t="shared" si="19"/>
        <v>1.6898608349902311E-3</v>
      </c>
      <c r="I725" s="86">
        <v>443.17357003612614</v>
      </c>
      <c r="J725" s="86">
        <v>444.83382253021387</v>
      </c>
      <c r="K725" s="86">
        <v>441.44216386372028</v>
      </c>
      <c r="L725" s="86">
        <v>444.83382253021387</v>
      </c>
      <c r="M725" s="86">
        <v>918309.86878758366</v>
      </c>
      <c r="N725" s="86" t="s">
        <v>773</v>
      </c>
      <c r="O725" s="25">
        <f t="shared" si="20"/>
        <v>-3.7322982426206686E-3</v>
      </c>
    </row>
    <row r="726" spans="1:15">
      <c r="A726" s="86">
        <v>489.11275982248503</v>
      </c>
      <c r="B726" s="86">
        <v>489.79333893051319</v>
      </c>
      <c r="C726" s="86">
        <v>486.99324202891148</v>
      </c>
      <c r="D726" s="86">
        <v>487.55715043270635</v>
      </c>
      <c r="E726" s="86">
        <v>3294091.713298894</v>
      </c>
      <c r="F726" s="86" t="s">
        <v>774</v>
      </c>
      <c r="G726" s="25">
        <f t="shared" si="19"/>
        <v>3.1906195784392466E-3</v>
      </c>
      <c r="I726" s="86">
        <v>443.0407498365991</v>
      </c>
      <c r="J726" s="86">
        <v>444.0938242757062</v>
      </c>
      <c r="K726" s="86">
        <v>439.93844946193224</v>
      </c>
      <c r="L726" s="86">
        <v>443.05023699370815</v>
      </c>
      <c r="M726" s="86">
        <v>982444.993040781</v>
      </c>
      <c r="N726" s="86" t="s">
        <v>774</v>
      </c>
      <c r="O726" s="25">
        <f t="shared" si="20"/>
        <v>-2.1413276231174727E-5</v>
      </c>
    </row>
    <row r="727" spans="1:15">
      <c r="A727" s="86">
        <v>488.56829653606246</v>
      </c>
      <c r="B727" s="86">
        <v>488.87941841401818</v>
      </c>
      <c r="C727" s="86">
        <v>486.43905618380285</v>
      </c>
      <c r="D727" s="86">
        <v>487.79049184117309</v>
      </c>
      <c r="E727" s="86">
        <v>6517547.6997103132</v>
      </c>
      <c r="F727" s="86" t="s">
        <v>775</v>
      </c>
      <c r="G727" s="25">
        <f t="shared" si="19"/>
        <v>1.5945466504554417E-3</v>
      </c>
      <c r="I727" s="86">
        <v>444.06536280437899</v>
      </c>
      <c r="J727" s="86">
        <v>447.43330357809987</v>
      </c>
      <c r="K727" s="86">
        <v>442.72767365199974</v>
      </c>
      <c r="L727" s="86">
        <v>446.67433100937404</v>
      </c>
      <c r="M727" s="86">
        <v>754510.53647613165</v>
      </c>
      <c r="N727" s="86" t="s">
        <v>775</v>
      </c>
      <c r="O727" s="25">
        <f t="shared" si="20"/>
        <v>-5.8408733698652737E-3</v>
      </c>
    </row>
    <row r="728" spans="1:15">
      <c r="A728" s="86">
        <v>486.54600432935013</v>
      </c>
      <c r="B728" s="86">
        <v>490.44426423454871</v>
      </c>
      <c r="C728" s="86">
        <v>486.54600432935013</v>
      </c>
      <c r="D728" s="86">
        <v>488.10161371912881</v>
      </c>
      <c r="E728" s="86">
        <v>7223246.7056517489</v>
      </c>
      <c r="F728" s="86" t="s">
        <v>776</v>
      </c>
      <c r="G728" s="25">
        <f t="shared" si="19"/>
        <v>-3.1870605342310121E-3</v>
      </c>
      <c r="I728" s="86">
        <v>447.3289448499001</v>
      </c>
      <c r="J728" s="86">
        <v>451.29457652149256</v>
      </c>
      <c r="K728" s="86">
        <v>443.82818387665213</v>
      </c>
      <c r="L728" s="86">
        <v>444.90971978708643</v>
      </c>
      <c r="M728" s="86">
        <v>1087372.1054049262</v>
      </c>
      <c r="N728" s="86" t="s">
        <v>776</v>
      </c>
      <c r="O728" s="25">
        <f t="shared" si="20"/>
        <v>5.4375639713408752E-3</v>
      </c>
    </row>
    <row r="729" spans="1:15">
      <c r="A729" s="86">
        <v>487.85854975197589</v>
      </c>
      <c r="B729" s="86">
        <v>489.25441750254174</v>
      </c>
      <c r="C729" s="86">
        <v>486.95435179416705</v>
      </c>
      <c r="D729" s="86">
        <v>488.16967162993171</v>
      </c>
      <c r="E729" s="86">
        <v>4471907.1803684505</v>
      </c>
      <c r="F729" s="86" t="s">
        <v>777</v>
      </c>
      <c r="G729" s="25">
        <f t="shared" si="19"/>
        <v>-6.3732324238219284E-4</v>
      </c>
      <c r="I729" s="86">
        <v>443.61946642025259</v>
      </c>
      <c r="J729" s="86">
        <v>445.70664098424862</v>
      </c>
      <c r="K729" s="86">
        <v>439.87203936216872</v>
      </c>
      <c r="L729" s="86">
        <v>443.19254435034424</v>
      </c>
      <c r="M729" s="86">
        <v>3547157.4480216745</v>
      </c>
      <c r="N729" s="86" t="s">
        <v>777</v>
      </c>
      <c r="O729" s="25">
        <f t="shared" si="20"/>
        <v>9.6328802311917983E-4</v>
      </c>
    </row>
    <row r="730" spans="1:15">
      <c r="A730" s="86">
        <v>488.92803120744878</v>
      </c>
      <c r="B730" s="86">
        <v>491.70868299167824</v>
      </c>
      <c r="C730" s="86">
        <v>487.28491878949501</v>
      </c>
      <c r="D730" s="86">
        <v>491.12532947051119</v>
      </c>
      <c r="E730" s="86">
        <v>4948149.0987239238</v>
      </c>
      <c r="F730" s="86" t="s">
        <v>778</v>
      </c>
      <c r="G730" s="25">
        <f t="shared" si="19"/>
        <v>-4.4740072059230585E-3</v>
      </c>
      <c r="I730" s="86">
        <v>442.42408462450931</v>
      </c>
      <c r="J730" s="86">
        <v>443.51501282048162</v>
      </c>
      <c r="K730" s="86">
        <v>435.61230582019499</v>
      </c>
      <c r="L730" s="86">
        <v>436.40922701735707</v>
      </c>
      <c r="M730" s="86">
        <v>1097707.1297829067</v>
      </c>
      <c r="N730" s="86" t="s">
        <v>778</v>
      </c>
      <c r="O730" s="25">
        <f t="shared" si="20"/>
        <v>1.3782608695652065E-2</v>
      </c>
    </row>
    <row r="731" spans="1:15">
      <c r="A731" s="86">
        <v>490.28918942350515</v>
      </c>
      <c r="B731" s="86">
        <v>490.3623030648248</v>
      </c>
      <c r="C731" s="86">
        <v>488.68496724029586</v>
      </c>
      <c r="D731" s="86">
        <v>489.09331470511279</v>
      </c>
      <c r="E731" s="86">
        <v>3529590.4203696409</v>
      </c>
      <c r="F731" s="86" t="s">
        <v>779</v>
      </c>
      <c r="G731" s="25">
        <f t="shared" si="19"/>
        <v>2.4450849816122222E-3</v>
      </c>
      <c r="I731" s="86">
        <v>436.40922701735707</v>
      </c>
      <c r="J731" s="86">
        <v>437.07332801499217</v>
      </c>
      <c r="K731" s="86">
        <v>433.93307901188905</v>
      </c>
      <c r="L731" s="86">
        <v>436.21948387517563</v>
      </c>
      <c r="M731" s="86">
        <v>693657.74428953615</v>
      </c>
      <c r="N731" s="86" t="s">
        <v>779</v>
      </c>
      <c r="O731" s="25">
        <f t="shared" si="20"/>
        <v>4.3497172683770735E-4</v>
      </c>
    </row>
    <row r="732" spans="1:15">
      <c r="A732" s="86">
        <v>488.98636655956551</v>
      </c>
      <c r="B732" s="86">
        <v>490.19196383664399</v>
      </c>
      <c r="C732" s="86">
        <v>484.09591954044868</v>
      </c>
      <c r="D732" s="86">
        <v>484.65010538555737</v>
      </c>
      <c r="E732" s="86">
        <v>4741076.0364779932</v>
      </c>
      <c r="F732" s="86" t="s">
        <v>780</v>
      </c>
      <c r="G732" s="25">
        <f t="shared" si="19"/>
        <v>8.9471994864387394E-3</v>
      </c>
      <c r="I732" s="86">
        <v>435.46999846355885</v>
      </c>
      <c r="J732" s="86">
        <v>435.6407672915222</v>
      </c>
      <c r="K732" s="86">
        <v>432.90372246555461</v>
      </c>
      <c r="L732" s="86">
        <v>434.27461666781568</v>
      </c>
      <c r="M732" s="86">
        <v>705990.20581145061</v>
      </c>
      <c r="N732" s="86" t="s">
        <v>780</v>
      </c>
      <c r="O732" s="25">
        <f t="shared" si="20"/>
        <v>2.7525942108137524E-3</v>
      </c>
    </row>
    <row r="733" spans="1:15">
      <c r="A733" s="86">
        <v>485.13623331986321</v>
      </c>
      <c r="B733" s="86">
        <v>485.19456867197988</v>
      </c>
      <c r="C733" s="86">
        <v>482.52086503329775</v>
      </c>
      <c r="D733" s="86">
        <v>483.46395322585107</v>
      </c>
      <c r="E733" s="86">
        <v>5977897.5757679399</v>
      </c>
      <c r="F733" s="86" t="s">
        <v>781</v>
      </c>
      <c r="G733" s="25">
        <f t="shared" si="19"/>
        <v>3.4589550738044483E-3</v>
      </c>
      <c r="I733" s="86">
        <v>434.83435893725095</v>
      </c>
      <c r="J733" s="86">
        <v>435.04307639365055</v>
      </c>
      <c r="K733" s="86">
        <v>431.1343676647125</v>
      </c>
      <c r="L733" s="86">
        <v>433.08872202918155</v>
      </c>
      <c r="M733" s="86">
        <v>740875.26107036357</v>
      </c>
      <c r="N733" s="86" t="s">
        <v>781</v>
      </c>
      <c r="O733" s="25">
        <f t="shared" si="20"/>
        <v>4.0306681270536604E-3</v>
      </c>
    </row>
    <row r="734" spans="1:15">
      <c r="A734" s="86">
        <v>484.74733097241847</v>
      </c>
      <c r="B734" s="86">
        <v>485.59319357811069</v>
      </c>
      <c r="C734" s="86">
        <v>482.29724618351702</v>
      </c>
      <c r="D734" s="86">
        <v>485.44735519781892</v>
      </c>
      <c r="E734" s="86">
        <v>9060247.7026735712</v>
      </c>
      <c r="F734" s="86" t="s">
        <v>782</v>
      </c>
      <c r="G734" s="25">
        <f t="shared" ref="G734:G797" si="21">A734/D734-1</f>
        <v>-1.4420188263569722E-3</v>
      </c>
      <c r="I734" s="86">
        <v>435.04307639365055</v>
      </c>
      <c r="J734" s="86">
        <v>436.17204808963027</v>
      </c>
      <c r="K734" s="86">
        <v>432.62385133083694</v>
      </c>
      <c r="L734" s="86">
        <v>435.11897365052312</v>
      </c>
      <c r="M734" s="86">
        <v>782136.30434176035</v>
      </c>
      <c r="N734" s="86" t="s">
        <v>782</v>
      </c>
      <c r="O734" s="25">
        <f t="shared" ref="O734:O797" si="22">I734/L734-1</f>
        <v>-1.7442874585726909E-4</v>
      </c>
    </row>
    <row r="735" spans="1:15">
      <c r="A735" s="86">
        <v>483.83341045592351</v>
      </c>
      <c r="B735" s="86">
        <v>486.27377268613884</v>
      </c>
      <c r="C735" s="86">
        <v>482.92921249811462</v>
      </c>
      <c r="D735" s="86">
        <v>484.11536465782092</v>
      </c>
      <c r="E735" s="86">
        <v>3804334.9692314845</v>
      </c>
      <c r="F735" s="86" t="s">
        <v>783</v>
      </c>
      <c r="G735" s="25">
        <f t="shared" si="21"/>
        <v>-5.8241118229473976E-4</v>
      </c>
      <c r="I735" s="86">
        <v>435.56487003464957</v>
      </c>
      <c r="J735" s="86">
        <v>439.47357876358768</v>
      </c>
      <c r="K735" s="86">
        <v>434.19397583238856</v>
      </c>
      <c r="L735" s="86">
        <v>438.59127315244388</v>
      </c>
      <c r="M735" s="86">
        <v>1082090.2280813097</v>
      </c>
      <c r="N735" s="86" t="s">
        <v>783</v>
      </c>
      <c r="O735" s="25">
        <f t="shared" si="22"/>
        <v>-6.900281202682268E-3</v>
      </c>
    </row>
    <row r="736" spans="1:15">
      <c r="A736" s="86">
        <v>479.83743883592945</v>
      </c>
      <c r="B736" s="86">
        <v>479.96383209884897</v>
      </c>
      <c r="C736" s="86">
        <v>475.53909564079714</v>
      </c>
      <c r="D736" s="86">
        <v>477.36790892965575</v>
      </c>
      <c r="E736" s="86">
        <v>4143377.4071760294</v>
      </c>
      <c r="F736" s="86" t="s">
        <v>784</v>
      </c>
      <c r="G736" s="25">
        <f t="shared" si="21"/>
        <v>5.1732214505386676E-3</v>
      </c>
      <c r="I736" s="86">
        <v>439.06563100789754</v>
      </c>
      <c r="J736" s="86">
        <v>442.65500202854417</v>
      </c>
      <c r="K736" s="86">
        <v>438.85216997294339</v>
      </c>
      <c r="L736" s="86">
        <v>441.79793225531051</v>
      </c>
      <c r="M736" s="86">
        <v>957521.82614457002</v>
      </c>
      <c r="N736" s="86" t="s">
        <v>784</v>
      </c>
      <c r="O736" s="25">
        <f t="shared" si="22"/>
        <v>-6.1845043806905142E-3</v>
      </c>
    </row>
    <row r="737" spans="1:15">
      <c r="A737" s="86">
        <v>478.74851226308436</v>
      </c>
      <c r="B737" s="86">
        <v>479.02074390629565</v>
      </c>
      <c r="C737" s="86">
        <v>475.97758303754102</v>
      </c>
      <c r="D737" s="86">
        <v>476.57065911739414</v>
      </c>
      <c r="E737" s="86">
        <v>3564104.9973275736</v>
      </c>
      <c r="F737" s="86" t="s">
        <v>785</v>
      </c>
      <c r="G737" s="25">
        <f t="shared" si="21"/>
        <v>4.5698431156537822E-3</v>
      </c>
      <c r="I737" s="86">
        <v>443.4866462207255</v>
      </c>
      <c r="J737" s="86">
        <v>446.60792090961053</v>
      </c>
      <c r="K737" s="86">
        <v>441.86908593362858</v>
      </c>
      <c r="L737" s="86">
        <v>446.60792090961053</v>
      </c>
      <c r="M737" s="86">
        <v>949135.75230966823</v>
      </c>
      <c r="N737" s="86" t="s">
        <v>785</v>
      </c>
      <c r="O737" s="25">
        <f t="shared" si="22"/>
        <v>-6.9888475836431541E-3</v>
      </c>
    </row>
    <row r="738" spans="1:15">
      <c r="A738" s="86">
        <v>477.18318031461951</v>
      </c>
      <c r="B738" s="86">
        <v>479.83743883592945</v>
      </c>
      <c r="C738" s="86">
        <v>475.95813792016878</v>
      </c>
      <c r="D738" s="86">
        <v>476.94011634746659</v>
      </c>
      <c r="E738" s="86">
        <v>3151009.0079215094</v>
      </c>
      <c r="F738" s="86" t="s">
        <v>786</v>
      </c>
      <c r="G738" s="25">
        <f t="shared" si="21"/>
        <v>5.0963204566301101E-4</v>
      </c>
      <c r="I738" s="86">
        <v>446.01971716884799</v>
      </c>
      <c r="J738" s="86">
        <v>450.91509023712968</v>
      </c>
      <c r="K738" s="86">
        <v>444.58715644537801</v>
      </c>
      <c r="L738" s="86">
        <v>444.76741243045041</v>
      </c>
      <c r="M738" s="86">
        <v>1099170.1602608911</v>
      </c>
      <c r="N738" s="86" t="s">
        <v>786</v>
      </c>
      <c r="O738" s="25">
        <f t="shared" si="22"/>
        <v>2.8156395981313587E-3</v>
      </c>
    </row>
    <row r="739" spans="1:15">
      <c r="A739" s="86">
        <v>477.80542407053099</v>
      </c>
      <c r="B739" s="86">
        <v>478.52489341330369</v>
      </c>
      <c r="C739" s="86">
        <v>476.05546073261684</v>
      </c>
      <c r="D739" s="86">
        <v>478.19432641797567</v>
      </c>
      <c r="E739" s="86">
        <v>21953031.798591785</v>
      </c>
      <c r="F739" s="86" t="s">
        <v>787</v>
      </c>
      <c r="G739" s="25">
        <f t="shared" si="21"/>
        <v>-8.1327260897856579E-4</v>
      </c>
      <c r="I739" s="86">
        <v>444.58715644537801</v>
      </c>
      <c r="J739" s="86">
        <v>445.69715382713957</v>
      </c>
      <c r="K739" s="86">
        <v>440.53614035980382</v>
      </c>
      <c r="L739" s="86">
        <v>441.37101018540227</v>
      </c>
      <c r="M739" s="86">
        <v>809845.34267407563</v>
      </c>
      <c r="N739" s="86" t="s">
        <v>787</v>
      </c>
      <c r="O739" s="25">
        <f t="shared" si="22"/>
        <v>7.2867183973519545E-3</v>
      </c>
    </row>
    <row r="740" spans="1:15">
      <c r="A740" s="86">
        <v>477.91237221607832</v>
      </c>
      <c r="B740" s="86">
        <v>477.91237221607832</v>
      </c>
      <c r="C740" s="86">
        <v>472.57468749740008</v>
      </c>
      <c r="D740" s="86">
        <v>474.33447061958725</v>
      </c>
      <c r="E740" s="86">
        <v>3112499.5977870529</v>
      </c>
      <c r="F740" s="86" t="s">
        <v>788</v>
      </c>
      <c r="G740" s="25">
        <f t="shared" si="21"/>
        <v>7.5429930104331522E-3</v>
      </c>
      <c r="I740" s="86">
        <v>441.37101018540227</v>
      </c>
      <c r="J740" s="86">
        <v>444.80536105888672</v>
      </c>
      <c r="K740" s="86">
        <v>439.84168045941971</v>
      </c>
      <c r="L740" s="86">
        <v>444.39741330319657</v>
      </c>
      <c r="M740" s="86">
        <v>964896.00570075074</v>
      </c>
      <c r="N740" s="86" t="s">
        <v>788</v>
      </c>
      <c r="O740" s="25">
        <f t="shared" si="22"/>
        <v>-6.8101276632083207E-3</v>
      </c>
    </row>
    <row r="741" spans="1:15">
      <c r="A741" s="86">
        <v>472.26356561944436</v>
      </c>
      <c r="B741" s="86">
        <v>472.91497705141421</v>
      </c>
      <c r="C741" s="86">
        <v>469.17179195725919</v>
      </c>
      <c r="D741" s="86">
        <v>470.57184040805998</v>
      </c>
      <c r="E741" s="86">
        <v>2633328.4093783512</v>
      </c>
      <c r="F741" s="86" t="s">
        <v>789</v>
      </c>
      <c r="G741" s="25">
        <f t="shared" si="21"/>
        <v>3.5950413223140298E-3</v>
      </c>
      <c r="I741" s="86">
        <v>444.84330968732297</v>
      </c>
      <c r="J741" s="86">
        <v>446.04817864017525</v>
      </c>
      <c r="K741" s="86">
        <v>442.25331579654608</v>
      </c>
      <c r="L741" s="86">
        <v>443.53408200627086</v>
      </c>
      <c r="M741" s="86">
        <v>891497.83257109323</v>
      </c>
      <c r="N741" s="86" t="s">
        <v>789</v>
      </c>
      <c r="O741" s="25">
        <f t="shared" si="22"/>
        <v>2.9518085174649045E-3</v>
      </c>
    </row>
    <row r="742" spans="1:15">
      <c r="A742" s="86">
        <v>471.68993465696343</v>
      </c>
      <c r="B742" s="86">
        <v>472.91497705141421</v>
      </c>
      <c r="C742" s="86">
        <v>467.07171928105788</v>
      </c>
      <c r="D742" s="86">
        <v>472.80802890586693</v>
      </c>
      <c r="E742" s="86">
        <v>4331427.6991851395</v>
      </c>
      <c r="F742" s="86" t="s">
        <v>790</v>
      </c>
      <c r="G742" s="25">
        <f t="shared" si="21"/>
        <v>-2.3647953937899757E-3</v>
      </c>
      <c r="I742" s="86">
        <v>443.61946642025259</v>
      </c>
      <c r="J742" s="86">
        <v>446.38971629610182</v>
      </c>
      <c r="K742" s="86">
        <v>441.16229272900262</v>
      </c>
      <c r="L742" s="86">
        <v>442.10152128280089</v>
      </c>
      <c r="M742" s="86">
        <v>1043655.1103945499</v>
      </c>
      <c r="N742" s="86" t="s">
        <v>790</v>
      </c>
      <c r="O742" s="25">
        <f t="shared" si="22"/>
        <v>3.4334763948498104E-3</v>
      </c>
    </row>
    <row r="743" spans="1:15">
      <c r="A743" s="86">
        <v>471.17463904659928</v>
      </c>
      <c r="B743" s="86">
        <v>471.45659324849669</v>
      </c>
      <c r="C743" s="86">
        <v>463.255614996757</v>
      </c>
      <c r="D743" s="86">
        <v>467.88841421069174</v>
      </c>
      <c r="E743" s="86">
        <v>5486180.3072646875</v>
      </c>
      <c r="F743" s="86" t="s">
        <v>791</v>
      </c>
      <c r="G743" s="25">
        <f t="shared" si="21"/>
        <v>7.0235225667028001E-3</v>
      </c>
      <c r="I743" s="86">
        <v>443.23049298622607</v>
      </c>
      <c r="J743" s="86">
        <v>443.24934022409599</v>
      </c>
      <c r="K743" s="86">
        <v>433.00586644181021</v>
      </c>
      <c r="L743" s="86">
        <v>434.33459671163752</v>
      </c>
      <c r="M743" s="86">
        <v>1752575.1109009096</v>
      </c>
      <c r="N743" s="86" t="s">
        <v>791</v>
      </c>
      <c r="O743" s="25">
        <f t="shared" si="22"/>
        <v>2.0481666305055324E-2</v>
      </c>
    </row>
    <row r="744" spans="1:15">
      <c r="A744" s="86">
        <v>467.11060951580237</v>
      </c>
      <c r="B744" s="86">
        <v>469.35690947464286</v>
      </c>
      <c r="C744" s="86">
        <v>465.90501223872388</v>
      </c>
      <c r="D744" s="86">
        <v>468.74399937507002</v>
      </c>
      <c r="E744" s="86">
        <v>3490427.8899810407</v>
      </c>
      <c r="F744" s="86" t="s">
        <v>792</v>
      </c>
      <c r="G744" s="25">
        <f t="shared" si="21"/>
        <v>-3.4846096407533667E-3</v>
      </c>
      <c r="I744" s="86">
        <v>434.3722911873773</v>
      </c>
      <c r="J744" s="86">
        <v>436.25701497436643</v>
      </c>
      <c r="K744" s="86">
        <v>428.77466154001968</v>
      </c>
      <c r="L744" s="86">
        <v>428.77466154001968</v>
      </c>
      <c r="M744" s="86">
        <v>1245490.7271850435</v>
      </c>
      <c r="N744" s="86" t="s">
        <v>792</v>
      </c>
      <c r="O744" s="25">
        <f t="shared" si="22"/>
        <v>1.3054945054945089E-2</v>
      </c>
    </row>
    <row r="745" spans="1:15">
      <c r="A745" s="86">
        <v>470.27044108879039</v>
      </c>
      <c r="B745" s="86">
        <v>471.23297439871595</v>
      </c>
      <c r="C745" s="86">
        <v>469.56069430470382</v>
      </c>
      <c r="D745" s="86">
        <v>469.78431315448455</v>
      </c>
      <c r="E745" s="86">
        <v>5764903.2327297218</v>
      </c>
      <c r="F745" s="86" t="s">
        <v>793</v>
      </c>
      <c r="G745" s="25">
        <f t="shared" si="21"/>
        <v>1.0347896272686619E-3</v>
      </c>
      <c r="I745" s="86">
        <v>426.62607642285218</v>
      </c>
      <c r="J745" s="86">
        <v>429.71702343351427</v>
      </c>
      <c r="K745" s="86">
        <v>425.75910348083715</v>
      </c>
      <c r="L745" s="86">
        <v>429.69817619564435</v>
      </c>
      <c r="M745" s="86">
        <v>1345517.0553406239</v>
      </c>
      <c r="N745" s="86" t="s">
        <v>793</v>
      </c>
      <c r="O745" s="25">
        <f t="shared" si="22"/>
        <v>-7.1494363787883985E-3</v>
      </c>
    </row>
    <row r="746" spans="1:15">
      <c r="A746" s="86">
        <v>473.60527871812849</v>
      </c>
      <c r="B746" s="86">
        <v>474.11571304914963</v>
      </c>
      <c r="C746" s="86">
        <v>471.08227473908113</v>
      </c>
      <c r="D746" s="86">
        <v>473.87751036133972</v>
      </c>
      <c r="E746" s="86">
        <v>4149849.9831749648</v>
      </c>
      <c r="F746" s="86" t="s">
        <v>794</v>
      </c>
      <c r="G746" s="25">
        <f t="shared" si="21"/>
        <v>-5.7447681575695242E-4</v>
      </c>
      <c r="I746" s="86">
        <v>432.05408092938075</v>
      </c>
      <c r="J746" s="86">
        <v>439.14064236845974</v>
      </c>
      <c r="K746" s="86">
        <v>430.89497580038244</v>
      </c>
      <c r="L746" s="86">
        <v>438.77312122999689</v>
      </c>
      <c r="M746" s="86">
        <v>1221142.3317772946</v>
      </c>
      <c r="N746" s="86" t="s">
        <v>794</v>
      </c>
      <c r="O746" s="25">
        <f t="shared" si="22"/>
        <v>-1.531324499044262E-2</v>
      </c>
    </row>
    <row r="747" spans="1:15">
      <c r="A747" s="86">
        <v>473.22609892936993</v>
      </c>
      <c r="B747" s="86">
        <v>473.87751036133972</v>
      </c>
      <c r="C747" s="86">
        <v>470.89268484470182</v>
      </c>
      <c r="D747" s="86">
        <v>471.71910233302179</v>
      </c>
      <c r="E747" s="86">
        <v>2628156.931208536</v>
      </c>
      <c r="F747" s="86" t="s">
        <v>795</v>
      </c>
      <c r="G747" s="25">
        <f t="shared" si="21"/>
        <v>3.1946906302815492E-3</v>
      </c>
      <c r="I747" s="86">
        <v>440.41283092467739</v>
      </c>
      <c r="J747" s="86">
        <v>441.64732500515527</v>
      </c>
      <c r="K747" s="86">
        <v>438.64119056490767</v>
      </c>
      <c r="L747" s="86">
        <v>440.71438673059566</v>
      </c>
      <c r="M747" s="86">
        <v>545227.90400052629</v>
      </c>
      <c r="N747" s="86" t="s">
        <v>795</v>
      </c>
      <c r="O747" s="25">
        <f t="shared" si="22"/>
        <v>-6.8424316291404441E-4</v>
      </c>
    </row>
    <row r="748" spans="1:15">
      <c r="A748" s="86">
        <v>470.02737712163747</v>
      </c>
      <c r="B748" s="86">
        <v>476.39565306104407</v>
      </c>
      <c r="C748" s="86">
        <v>468.90928287273402</v>
      </c>
      <c r="D748" s="86">
        <v>476.31787259155516</v>
      </c>
      <c r="E748" s="86">
        <v>3920065.8211940136</v>
      </c>
      <c r="F748" s="86" t="s">
        <v>796</v>
      </c>
      <c r="G748" s="25">
        <f t="shared" si="21"/>
        <v>-1.320650731767059E-2</v>
      </c>
      <c r="I748" s="86">
        <v>440.15839321343384</v>
      </c>
      <c r="J748" s="86">
        <v>442.60853413651967</v>
      </c>
      <c r="K748" s="86">
        <v>439.35738560396351</v>
      </c>
      <c r="L748" s="86">
        <v>441.11017872586331</v>
      </c>
      <c r="M748" s="86">
        <v>919980.96058944159</v>
      </c>
      <c r="N748" s="86" t="s">
        <v>796</v>
      </c>
      <c r="O748" s="25">
        <f t="shared" si="22"/>
        <v>-2.1577047149051731E-3</v>
      </c>
    </row>
    <row r="749" spans="1:15">
      <c r="A749" s="86">
        <v>473.54694336601176</v>
      </c>
      <c r="B749" s="86">
        <v>474.87893390600982</v>
      </c>
      <c r="C749" s="86">
        <v>471.485760924555</v>
      </c>
      <c r="D749" s="86">
        <v>474.25669015009834</v>
      </c>
      <c r="E749" s="86">
        <v>3343339.0375329666</v>
      </c>
      <c r="F749" s="86" t="s">
        <v>797</v>
      </c>
      <c r="G749" s="25">
        <f t="shared" si="21"/>
        <v>-1.4965456446422998E-3</v>
      </c>
      <c r="I749" s="86">
        <v>442.63680499332452</v>
      </c>
      <c r="J749" s="86">
        <v>442.81585375308845</v>
      </c>
      <c r="K749" s="86">
        <v>439.87568464538543</v>
      </c>
      <c r="L749" s="86">
        <v>440.52591435189674</v>
      </c>
      <c r="M749" s="86">
        <v>582376.05296714453</v>
      </c>
      <c r="N749" s="86" t="s">
        <v>797</v>
      </c>
      <c r="O749" s="25">
        <f t="shared" si="22"/>
        <v>4.7917513423321179E-3</v>
      </c>
    </row>
    <row r="750" spans="1:15">
      <c r="A750" s="86">
        <v>474.92754669944043</v>
      </c>
      <c r="B750" s="86">
        <v>475.02477228630153</v>
      </c>
      <c r="C750" s="86">
        <v>472.85664169929748</v>
      </c>
      <c r="D750" s="86">
        <v>473.03164775564755</v>
      </c>
      <c r="E750" s="86">
        <v>2523590.8357164413</v>
      </c>
      <c r="F750" s="86" t="s">
        <v>798</v>
      </c>
      <c r="G750" s="25">
        <f t="shared" si="21"/>
        <v>4.0079748422503503E-3</v>
      </c>
      <c r="I750" s="86">
        <v>441.31749834243215</v>
      </c>
      <c r="J750" s="86">
        <v>442.08081147616275</v>
      </c>
      <c r="K750" s="86">
        <v>439.93222635899514</v>
      </c>
      <c r="L750" s="86">
        <v>441.02536615544886</v>
      </c>
      <c r="M750" s="86">
        <v>593164.90178434132</v>
      </c>
      <c r="N750" s="86" t="s">
        <v>798</v>
      </c>
      <c r="O750" s="25">
        <f t="shared" si="22"/>
        <v>6.6239316239302681E-4</v>
      </c>
    </row>
    <row r="751" spans="1:15">
      <c r="A751" s="86">
        <v>473.6538915115591</v>
      </c>
      <c r="B751" s="86">
        <v>475.05384273677305</v>
      </c>
      <c r="C751" s="86">
        <v>472.95386728615864</v>
      </c>
      <c r="D751" s="86">
        <v>473.27471172280048</v>
      </c>
      <c r="E751" s="86">
        <v>2673766.324200239</v>
      </c>
      <c r="F751" s="86" t="s">
        <v>799</v>
      </c>
      <c r="G751" s="25">
        <f t="shared" si="21"/>
        <v>8.0118328608413947E-4</v>
      </c>
      <c r="I751" s="86">
        <v>440.15839321343384</v>
      </c>
      <c r="J751" s="86">
        <v>441.75098481343963</v>
      </c>
      <c r="K751" s="86">
        <v>438.12289152348563</v>
      </c>
      <c r="L751" s="86">
        <v>440.80862291994509</v>
      </c>
      <c r="M751" s="86">
        <v>780263.93583608267</v>
      </c>
      <c r="N751" s="86" t="s">
        <v>799</v>
      </c>
      <c r="O751" s="25">
        <f t="shared" si="22"/>
        <v>-1.4750839087586121E-3</v>
      </c>
    </row>
    <row r="752" spans="1:15">
      <c r="A752" s="86">
        <v>473.18720869462544</v>
      </c>
      <c r="B752" s="86">
        <v>473.22609892936993</v>
      </c>
      <c r="C752" s="86">
        <v>471.2524195160882</v>
      </c>
      <c r="D752" s="86">
        <v>472.60385517345844</v>
      </c>
      <c r="E752" s="86">
        <v>3367462.3169671041</v>
      </c>
      <c r="F752" s="86" t="s">
        <v>800</v>
      </c>
      <c r="G752" s="25">
        <f t="shared" si="21"/>
        <v>1.2343393198790409E-3</v>
      </c>
      <c r="I752" s="86">
        <v>439.32911474715866</v>
      </c>
      <c r="J752" s="86">
        <v>440.08300426195427</v>
      </c>
      <c r="K752" s="86">
        <v>436.45491097200028</v>
      </c>
      <c r="L752" s="86">
        <v>438.9898644655006</v>
      </c>
      <c r="M752" s="86">
        <v>718640.05184746732</v>
      </c>
      <c r="N752" s="86" t="s">
        <v>800</v>
      </c>
      <c r="O752" s="25">
        <f t="shared" si="22"/>
        <v>7.7279752704795257E-4</v>
      </c>
    </row>
    <row r="753" spans="1:15">
      <c r="A753" s="86">
        <v>472.48718446922504</v>
      </c>
      <c r="B753" s="86">
        <v>475.01504972761546</v>
      </c>
      <c r="C753" s="86">
        <v>472.3510686476194</v>
      </c>
      <c r="D753" s="86">
        <v>473.5372208073257</v>
      </c>
      <c r="E753" s="86">
        <v>3442901.3061960735</v>
      </c>
      <c r="F753" s="86" t="s">
        <v>801</v>
      </c>
      <c r="G753" s="25">
        <f t="shared" si="21"/>
        <v>-2.2174314752079205E-3</v>
      </c>
      <c r="I753" s="86">
        <v>438.03807895307108</v>
      </c>
      <c r="J753" s="86">
        <v>441.32692196136708</v>
      </c>
      <c r="K753" s="86">
        <v>426.88993775303061</v>
      </c>
      <c r="L753" s="86">
        <v>436.87897382407283</v>
      </c>
      <c r="M753" s="86">
        <v>1199948.7753125506</v>
      </c>
      <c r="N753" s="86" t="s">
        <v>801</v>
      </c>
      <c r="O753" s="25">
        <f t="shared" si="22"/>
        <v>2.6531492666090895E-3</v>
      </c>
    </row>
    <row r="754" spans="1:15">
      <c r="A754" s="86">
        <v>473.39138242703388</v>
      </c>
      <c r="B754" s="86">
        <v>473.71222686367577</v>
      </c>
      <c r="C754" s="86">
        <v>469.3419367342662</v>
      </c>
      <c r="D754" s="86">
        <v>469.93015153477626</v>
      </c>
      <c r="E754" s="86">
        <v>4525027.9705507178</v>
      </c>
      <c r="F754" s="86" t="s">
        <v>802</v>
      </c>
      <c r="G754" s="25">
        <f t="shared" si="21"/>
        <v>7.3654156494393774E-3</v>
      </c>
      <c r="I754" s="86">
        <v>437.33130753295018</v>
      </c>
      <c r="J754" s="86">
        <v>440.45994901935211</v>
      </c>
      <c r="K754" s="86">
        <v>436.79416125365833</v>
      </c>
      <c r="L754" s="86">
        <v>439.40450369863817</v>
      </c>
      <c r="M754" s="86">
        <v>853241.20759839611</v>
      </c>
      <c r="N754" s="86" t="s">
        <v>802</v>
      </c>
      <c r="O754" s="25">
        <f t="shared" si="22"/>
        <v>-4.7181950759199731E-3</v>
      </c>
    </row>
    <row r="755" spans="1:15">
      <c r="A755" s="86">
        <v>467.69396303696942</v>
      </c>
      <c r="B755" s="86">
        <v>468.11203306047247</v>
      </c>
      <c r="C755" s="86">
        <v>465.20498801332349</v>
      </c>
      <c r="D755" s="86">
        <v>465.69111594762933</v>
      </c>
      <c r="E755" s="86">
        <v>3350685.8689902038</v>
      </c>
      <c r="F755" s="86" t="s">
        <v>803</v>
      </c>
      <c r="G755" s="25">
        <f t="shared" si="21"/>
        <v>4.3008058791598192E-3</v>
      </c>
      <c r="I755" s="86">
        <v>440.25262940278333</v>
      </c>
      <c r="J755" s="86">
        <v>443.95611164421689</v>
      </c>
      <c r="K755" s="86">
        <v>439.89453188325541</v>
      </c>
      <c r="L755" s="86">
        <v>443.95611164421689</v>
      </c>
      <c r="M755" s="86">
        <v>600290.61436499213</v>
      </c>
      <c r="N755" s="86" t="s">
        <v>803</v>
      </c>
      <c r="O755" s="25">
        <f t="shared" si="22"/>
        <v>-8.3420008066056317E-3</v>
      </c>
    </row>
    <row r="756" spans="1:15">
      <c r="A756" s="86">
        <v>465.48694221522084</v>
      </c>
      <c r="B756" s="86">
        <v>467.09116439843012</v>
      </c>
      <c r="C756" s="86">
        <v>464.47579611186472</v>
      </c>
      <c r="D756" s="86">
        <v>467.02310648762733</v>
      </c>
      <c r="E756" s="86">
        <v>3197143.9827240268</v>
      </c>
      <c r="F756" s="86" t="s">
        <v>804</v>
      </c>
      <c r="G756" s="25">
        <f t="shared" si="21"/>
        <v>-3.2892682419070063E-3</v>
      </c>
      <c r="I756" s="86">
        <v>443.43781260279491</v>
      </c>
      <c r="J756" s="86">
        <v>445.11992858268269</v>
      </c>
      <c r="K756" s="86">
        <v>442.43890899569067</v>
      </c>
      <c r="L756" s="86">
        <v>442.79700651521858</v>
      </c>
      <c r="M756" s="86">
        <v>673157.52512829029</v>
      </c>
      <c r="N756" s="86" t="s">
        <v>804</v>
      </c>
      <c r="O756" s="25">
        <f t="shared" si="22"/>
        <v>1.4471780028944004E-3</v>
      </c>
    </row>
    <row r="757" spans="1:15">
      <c r="A757" s="86">
        <v>465.45777453916247</v>
      </c>
      <c r="B757" s="86">
        <v>467.06199672237176</v>
      </c>
      <c r="C757" s="86">
        <v>464.33968029025903</v>
      </c>
      <c r="D757" s="86">
        <v>466.3814176143436</v>
      </c>
      <c r="E757" s="86">
        <v>3442672.9712410816</v>
      </c>
      <c r="F757" s="86" t="s">
        <v>805</v>
      </c>
      <c r="G757" s="25">
        <f t="shared" si="21"/>
        <v>-1.9804457045174972E-3</v>
      </c>
      <c r="I757" s="86">
        <v>441.85464462172405</v>
      </c>
      <c r="J757" s="86">
        <v>443.49435431640455</v>
      </c>
      <c r="K757" s="86">
        <v>441.00180710811151</v>
      </c>
      <c r="L757" s="86">
        <v>441.9677280489434</v>
      </c>
      <c r="M757" s="86">
        <v>512079.28008476016</v>
      </c>
      <c r="N757" s="86" t="s">
        <v>805</v>
      </c>
      <c r="O757" s="25">
        <f t="shared" si="22"/>
        <v>-2.5586353944562212E-4</v>
      </c>
    </row>
    <row r="758" spans="1:15">
      <c r="A758" s="86">
        <v>464.88414357668159</v>
      </c>
      <c r="B758" s="86">
        <v>464.88414357668159</v>
      </c>
      <c r="C758" s="86">
        <v>461.76320223843805</v>
      </c>
      <c r="D758" s="86">
        <v>462.3951685530356</v>
      </c>
      <c r="E758" s="86">
        <v>3585526.3131276411</v>
      </c>
      <c r="F758" s="86" t="s">
        <v>806</v>
      </c>
      <c r="G758" s="25">
        <f t="shared" si="21"/>
        <v>5.382787695283886E-3</v>
      </c>
      <c r="I758" s="86">
        <v>441.39288729391171</v>
      </c>
      <c r="J758" s="86">
        <v>441.7415611945047</v>
      </c>
      <c r="K758" s="86">
        <v>438.39627070878839</v>
      </c>
      <c r="L758" s="86">
        <v>439.2160313199393</v>
      </c>
      <c r="M758" s="86">
        <v>631441.06750051025</v>
      </c>
      <c r="N758" s="86" t="s">
        <v>806</v>
      </c>
      <c r="O758" s="25">
        <f t="shared" si="22"/>
        <v>4.9562306900103881E-3</v>
      </c>
    </row>
    <row r="759" spans="1:15">
      <c r="A759" s="86">
        <v>462.22988505537165</v>
      </c>
      <c r="B759" s="86">
        <v>462.65767763756082</v>
      </c>
      <c r="C759" s="86">
        <v>460.3631537876372</v>
      </c>
      <c r="D759" s="86">
        <v>460.45065681581224</v>
      </c>
      <c r="E759" s="86">
        <v>3306617.2226767791</v>
      </c>
      <c r="F759" s="86" t="s">
        <v>807</v>
      </c>
      <c r="G759" s="25">
        <f t="shared" si="21"/>
        <v>3.8641018602589838E-3</v>
      </c>
      <c r="I759" s="86">
        <v>439.29142027141887</v>
      </c>
      <c r="J759" s="86">
        <v>441.02536615544886</v>
      </c>
      <c r="K759" s="86">
        <v>437.04859896490183</v>
      </c>
      <c r="L759" s="86">
        <v>440.55418520870154</v>
      </c>
      <c r="M759" s="86">
        <v>635691.02712605102</v>
      </c>
      <c r="N759" s="86" t="s">
        <v>807</v>
      </c>
      <c r="O759" s="25">
        <f t="shared" si="22"/>
        <v>-2.8663101604277097E-3</v>
      </c>
    </row>
    <row r="760" spans="1:15">
      <c r="A760" s="86">
        <v>462.21043993799941</v>
      </c>
      <c r="B760" s="86">
        <v>463.41603721507789</v>
      </c>
      <c r="C760" s="86">
        <v>461.53958338865732</v>
      </c>
      <c r="D760" s="86">
        <v>462.50211669858294</v>
      </c>
      <c r="E760" s="86">
        <v>3549787.7785280854</v>
      </c>
      <c r="F760" s="86" t="s">
        <v>808</v>
      </c>
      <c r="G760" s="25">
        <f t="shared" si="21"/>
        <v>-6.3064956905611869E-4</v>
      </c>
      <c r="I760" s="86">
        <v>439.78144845603606</v>
      </c>
      <c r="J760" s="86">
        <v>439.90395550219034</v>
      </c>
      <c r="K760" s="86">
        <v>436.46433459093527</v>
      </c>
      <c r="L760" s="86">
        <v>437.25591858147067</v>
      </c>
      <c r="M760" s="86">
        <v>767683.84311179153</v>
      </c>
      <c r="N760" s="86" t="s">
        <v>808</v>
      </c>
      <c r="O760" s="25">
        <f t="shared" si="22"/>
        <v>5.7758620689656315E-3</v>
      </c>
    </row>
    <row r="761" spans="1:15">
      <c r="A761" s="86">
        <v>461.5493059473435</v>
      </c>
      <c r="B761" s="86">
        <v>461.63680897551853</v>
      </c>
      <c r="C761" s="86">
        <v>458.72976392836955</v>
      </c>
      <c r="D761" s="86">
        <v>459.11866627581429</v>
      </c>
      <c r="E761" s="86">
        <v>4919015.8212457979</v>
      </c>
      <c r="F761" s="86" t="s">
        <v>809</v>
      </c>
      <c r="G761" s="25">
        <f t="shared" si="21"/>
        <v>5.2941425606707337E-3</v>
      </c>
      <c r="I761" s="86">
        <v>436.10623707140729</v>
      </c>
      <c r="J761" s="86">
        <v>436.78464339853406</v>
      </c>
      <c r="K761" s="86">
        <v>433.65609614832147</v>
      </c>
      <c r="L761" s="86">
        <v>436.46433459093527</v>
      </c>
      <c r="M761" s="86">
        <v>845101.0227575663</v>
      </c>
      <c r="N761" s="86" t="s">
        <v>809</v>
      </c>
      <c r="O761" s="25">
        <f t="shared" si="22"/>
        <v>-8.2045081613280058E-4</v>
      </c>
    </row>
    <row r="762" spans="1:15">
      <c r="A762" s="86">
        <v>456.94081313012407</v>
      </c>
      <c r="B762" s="86">
        <v>457.932514116108</v>
      </c>
      <c r="C762" s="86">
        <v>454.47138044943716</v>
      </c>
      <c r="D762" s="86">
        <v>456.72691683902946</v>
      </c>
      <c r="E762" s="86">
        <v>4717748.8437788272</v>
      </c>
      <c r="F762" s="86" t="s">
        <v>810</v>
      </c>
      <c r="G762" s="25">
        <f t="shared" si="21"/>
        <v>4.6832425068132899E-4</v>
      </c>
      <c r="I762" s="86">
        <v>435.28638222406704</v>
      </c>
      <c r="J762" s="86">
        <v>436.2475913554315</v>
      </c>
      <c r="K762" s="86">
        <v>430.81968108509221</v>
      </c>
      <c r="L762" s="86">
        <v>436.2475913554315</v>
      </c>
      <c r="M762" s="86">
        <v>966487.51003986609</v>
      </c>
      <c r="N762" s="86" t="s">
        <v>810</v>
      </c>
      <c r="O762" s="25">
        <f t="shared" si="22"/>
        <v>-2.2033568790098546E-3</v>
      </c>
    </row>
    <row r="763" spans="1:15">
      <c r="A763" s="86">
        <v>451.34061932692072</v>
      </c>
      <c r="B763" s="86">
        <v>452.05036611100724</v>
      </c>
      <c r="C763" s="86">
        <v>446.42100463174552</v>
      </c>
      <c r="D763" s="86">
        <v>450.50447927991462</v>
      </c>
      <c r="E763" s="86">
        <v>4085780.4290472553</v>
      </c>
      <c r="F763" s="86" t="s">
        <v>811</v>
      </c>
      <c r="G763" s="25">
        <f t="shared" si="21"/>
        <v>1.8560082872929318E-3</v>
      </c>
      <c r="I763" s="86">
        <v>436.50202906667499</v>
      </c>
      <c r="J763" s="86">
        <v>436.87897382407283</v>
      </c>
      <c r="K763" s="86">
        <v>432.54410911399788</v>
      </c>
      <c r="L763" s="86">
        <v>434.52306909033649</v>
      </c>
      <c r="M763" s="86">
        <v>1073254.3484429962</v>
      </c>
      <c r="N763" s="86" t="s">
        <v>811</v>
      </c>
      <c r="O763" s="25">
        <f t="shared" si="22"/>
        <v>4.5543266102796576E-3</v>
      </c>
    </row>
    <row r="764" spans="1:15">
      <c r="A764" s="86">
        <v>447.16964165057652</v>
      </c>
      <c r="B764" s="86">
        <v>454.111548552464</v>
      </c>
      <c r="C764" s="86">
        <v>446.6932362749568</v>
      </c>
      <c r="D764" s="86">
        <v>447.98633658021032</v>
      </c>
      <c r="E764" s="86">
        <v>6289884.3786176192</v>
      </c>
      <c r="F764" s="86" t="s">
        <v>812</v>
      </c>
      <c r="G764" s="25">
        <f t="shared" si="21"/>
        <v>-1.8230353538640776E-3</v>
      </c>
      <c r="I764" s="86">
        <v>435.11675708323804</v>
      </c>
      <c r="J764" s="86">
        <v>438.57522523236298</v>
      </c>
      <c r="K764" s="86">
        <v>434.01419366784938</v>
      </c>
      <c r="L764" s="86">
        <v>435.94603554951323</v>
      </c>
      <c r="M764" s="86">
        <v>1055910.6929823621</v>
      </c>
      <c r="N764" s="86" t="s">
        <v>812</v>
      </c>
      <c r="O764" s="25">
        <f t="shared" si="22"/>
        <v>-1.9022502756100845E-3</v>
      </c>
    </row>
    <row r="765" spans="1:15">
      <c r="A765" s="86">
        <v>448.62802545349405</v>
      </c>
      <c r="B765" s="86">
        <v>455.34631350560085</v>
      </c>
      <c r="C765" s="86">
        <v>448.55996754269125</v>
      </c>
      <c r="D765" s="86">
        <v>454.45183810647814</v>
      </c>
      <c r="E765" s="86">
        <v>4489390.2324628253</v>
      </c>
      <c r="F765" s="86" t="s">
        <v>813</v>
      </c>
      <c r="G765" s="25">
        <f t="shared" si="21"/>
        <v>-1.2815027170424931E-2</v>
      </c>
      <c r="I765" s="86">
        <v>438.13231514242057</v>
      </c>
      <c r="J765" s="86">
        <v>441.00180710811151</v>
      </c>
      <c r="K765" s="86">
        <v>436.89310925247526</v>
      </c>
      <c r="L765" s="86">
        <v>440.15839321343384</v>
      </c>
      <c r="M765" s="86">
        <v>755290.51515506476</v>
      </c>
      <c r="N765" s="86" t="s">
        <v>813</v>
      </c>
      <c r="O765" s="25">
        <f t="shared" si="22"/>
        <v>-4.6030658559561566E-3</v>
      </c>
    </row>
    <row r="766" spans="1:15">
      <c r="A766" s="86">
        <v>455.83244143990669</v>
      </c>
      <c r="B766" s="86">
        <v>456.3963498437015</v>
      </c>
      <c r="C766" s="86">
        <v>453.27540850545796</v>
      </c>
      <c r="D766" s="86">
        <v>455.83244143990669</v>
      </c>
      <c r="E766" s="86">
        <v>3346037.9155595368</v>
      </c>
      <c r="F766" s="86" t="s">
        <v>814</v>
      </c>
      <c r="G766" s="25">
        <f t="shared" si="21"/>
        <v>0</v>
      </c>
      <c r="I766" s="86">
        <v>440.60130330337631</v>
      </c>
      <c r="J766" s="86">
        <v>440.69553949272574</v>
      </c>
      <c r="K766" s="86">
        <v>435.32878850927426</v>
      </c>
      <c r="L766" s="86">
        <v>435.36177117554661</v>
      </c>
      <c r="M766" s="86">
        <v>1009755.3886345727</v>
      </c>
      <c r="N766" s="86" t="s">
        <v>814</v>
      </c>
      <c r="O766" s="25">
        <f t="shared" si="22"/>
        <v>1.203489253014145E-2</v>
      </c>
    </row>
    <row r="767" spans="1:15">
      <c r="A767" s="86">
        <v>454.24766437406964</v>
      </c>
      <c r="B767" s="86">
        <v>455.62826770749825</v>
      </c>
      <c r="C767" s="86">
        <v>451.91425028940159</v>
      </c>
      <c r="D767" s="86">
        <v>452.41982334107968</v>
      </c>
      <c r="E767" s="86">
        <v>5047141.558535384</v>
      </c>
      <c r="F767" s="86" t="s">
        <v>815</v>
      </c>
      <c r="G767" s="25">
        <f t="shared" si="21"/>
        <v>4.0401435540369235E-3</v>
      </c>
      <c r="I767" s="86">
        <v>434.70211785010042</v>
      </c>
      <c r="J767" s="86">
        <v>439.14064236845974</v>
      </c>
      <c r="K767" s="86">
        <v>432.704310635892</v>
      </c>
      <c r="L767" s="86">
        <v>437.16168239212118</v>
      </c>
      <c r="M767" s="86">
        <v>910440.03999187914</v>
      </c>
      <c r="N767" s="86" t="s">
        <v>815</v>
      </c>
      <c r="O767" s="25">
        <f t="shared" si="22"/>
        <v>-5.6262125458073076E-3</v>
      </c>
    </row>
    <row r="768" spans="1:15">
      <c r="A768" s="86">
        <v>449.74611970239749</v>
      </c>
      <c r="B768" s="86">
        <v>450.60170486677578</v>
      </c>
      <c r="C768" s="86">
        <v>444.57371848138331</v>
      </c>
      <c r="D768" s="86">
        <v>446.04182484298695</v>
      </c>
      <c r="E768" s="86">
        <v>5015375.2293240195</v>
      </c>
      <c r="F768" s="86" t="s">
        <v>816</v>
      </c>
      <c r="G768" s="25">
        <f t="shared" si="21"/>
        <v>8.3048150489350991E-3</v>
      </c>
      <c r="I768" s="86">
        <v>437.99096085839636</v>
      </c>
      <c r="J768" s="86">
        <v>438.76369761106196</v>
      </c>
      <c r="K768" s="86">
        <v>431.15535039155498</v>
      </c>
      <c r="L768" s="86">
        <v>431.55462912582863</v>
      </c>
      <c r="M768" s="86">
        <v>984451.94611996098</v>
      </c>
      <c r="N768" s="86" t="s">
        <v>816</v>
      </c>
      <c r="O768" s="25">
        <f t="shared" si="22"/>
        <v>1.4914291953269876E-2</v>
      </c>
    </row>
    <row r="769" spans="1:15">
      <c r="A769" s="86">
        <v>451.61285097013194</v>
      </c>
      <c r="B769" s="86">
        <v>453.37263409231912</v>
      </c>
      <c r="C769" s="86">
        <v>449.61000388079185</v>
      </c>
      <c r="D769" s="86">
        <v>452.65316474954648</v>
      </c>
      <c r="E769" s="86">
        <v>7907215.8350431286</v>
      </c>
      <c r="F769" s="86" t="s">
        <v>817</v>
      </c>
      <c r="G769" s="25">
        <f t="shared" si="21"/>
        <v>-2.2982580492729721E-3</v>
      </c>
      <c r="I769" s="86">
        <v>432.67603977908715</v>
      </c>
      <c r="J769" s="86">
        <v>436.96378639448733</v>
      </c>
      <c r="K769" s="86">
        <v>429.77356514712392</v>
      </c>
      <c r="L769" s="86">
        <v>436.03084811992773</v>
      </c>
      <c r="M769" s="86">
        <v>1081169.566631987</v>
      </c>
      <c r="N769" s="86" t="s">
        <v>817</v>
      </c>
      <c r="O769" s="25">
        <f t="shared" si="22"/>
        <v>-7.6939701750593503E-3</v>
      </c>
    </row>
    <row r="770" spans="1:15">
      <c r="A770" s="86">
        <v>451.9434179654599</v>
      </c>
      <c r="B770" s="86">
        <v>452.22537216735731</v>
      </c>
      <c r="C770" s="86">
        <v>447.88911099334916</v>
      </c>
      <c r="D770" s="86">
        <v>448.38496148634113</v>
      </c>
      <c r="E770" s="86">
        <v>4378888.4566767756</v>
      </c>
      <c r="F770" s="86" t="s">
        <v>818</v>
      </c>
      <c r="G770" s="25">
        <f t="shared" si="21"/>
        <v>7.9361637538488683E-3</v>
      </c>
      <c r="I770" s="86">
        <v>433.56185995897198</v>
      </c>
      <c r="J770" s="86">
        <v>446.24605104540865</v>
      </c>
      <c r="K770" s="86">
        <v>431.28134417671521</v>
      </c>
      <c r="L770" s="86">
        <v>439.24430217674416</v>
      </c>
      <c r="M770" s="86">
        <v>1898938.2023545834</v>
      </c>
      <c r="N770" s="86" t="s">
        <v>818</v>
      </c>
      <c r="O770" s="25">
        <f t="shared" si="22"/>
        <v>-1.2936860397760319E-2</v>
      </c>
    </row>
    <row r="771" spans="1:15">
      <c r="A771" s="86">
        <v>446.31405648619824</v>
      </c>
      <c r="B771" s="86">
        <v>448.91960498849068</v>
      </c>
      <c r="C771" s="86">
        <v>442.71670977233498</v>
      </c>
      <c r="D771" s="86">
        <v>444.85567268328072</v>
      </c>
      <c r="E771" s="86">
        <v>5984111.9892727183</v>
      </c>
      <c r="F771" s="86" t="s">
        <v>819</v>
      </c>
      <c r="G771" s="25">
        <f t="shared" si="21"/>
        <v>3.2783302371324208E-3</v>
      </c>
      <c r="I771" s="86">
        <v>434.73981232584021</v>
      </c>
      <c r="J771" s="86">
        <v>442.47660347143045</v>
      </c>
      <c r="K771" s="86">
        <v>433.87283938382524</v>
      </c>
      <c r="L771" s="86">
        <v>438.41502371046897</v>
      </c>
      <c r="M771" s="86">
        <v>1932299.0589607637</v>
      </c>
      <c r="N771" s="86" t="s">
        <v>819</v>
      </c>
      <c r="O771" s="25">
        <f t="shared" si="22"/>
        <v>-8.3829503686349005E-3</v>
      </c>
    </row>
    <row r="772" spans="1:15">
      <c r="A772" s="86">
        <v>442.47364580518206</v>
      </c>
      <c r="B772" s="86">
        <v>447.17936420926264</v>
      </c>
      <c r="C772" s="86">
        <v>441.30693876284801</v>
      </c>
      <c r="D772" s="86">
        <v>446.25572113408151</v>
      </c>
      <c r="E772" s="86">
        <v>10066747.155741753</v>
      </c>
      <c r="F772" s="86" t="s">
        <v>820</v>
      </c>
      <c r="G772" s="25">
        <f t="shared" si="21"/>
        <v>-8.4751301771279763E-3</v>
      </c>
      <c r="I772" s="86">
        <v>437.13341153531633</v>
      </c>
      <c r="J772" s="86">
        <v>438.53753075662326</v>
      </c>
      <c r="K772" s="86">
        <v>430.92324665718724</v>
      </c>
      <c r="L772" s="86">
        <v>431.41327484180442</v>
      </c>
      <c r="M772" s="86">
        <v>1472916.0947423531</v>
      </c>
      <c r="N772" s="86" t="s">
        <v>820</v>
      </c>
      <c r="O772" s="25">
        <f t="shared" si="22"/>
        <v>1.3259065093927491E-2</v>
      </c>
    </row>
    <row r="773" spans="1:15">
      <c r="A773" s="86">
        <v>446.20710834065096</v>
      </c>
      <c r="B773" s="86">
        <v>450.44614392779795</v>
      </c>
      <c r="C773" s="86">
        <v>445.49736155656439</v>
      </c>
      <c r="D773" s="86">
        <v>448.55996754269125</v>
      </c>
      <c r="E773" s="86">
        <v>5798150.6535410332</v>
      </c>
      <c r="F773" s="86" t="s">
        <v>821</v>
      </c>
      <c r="G773" s="25">
        <f t="shared" si="21"/>
        <v>-5.245361539795379E-3</v>
      </c>
      <c r="I773" s="86">
        <v>429.80183600392871</v>
      </c>
      <c r="J773" s="86">
        <v>431.64886531517811</v>
      </c>
      <c r="K773" s="86">
        <v>428.08438145303495</v>
      </c>
      <c r="L773" s="86">
        <v>428.62388363706054</v>
      </c>
      <c r="M773" s="86">
        <v>758778.55942201917</v>
      </c>
      <c r="N773" s="86" t="s">
        <v>821</v>
      </c>
      <c r="O773" s="25">
        <f t="shared" si="22"/>
        <v>2.7482191539882628E-3</v>
      </c>
    </row>
    <row r="774" spans="1:15">
      <c r="A774" s="86">
        <v>447.22797700269325</v>
      </c>
      <c r="B774" s="86">
        <v>452.33232031290464</v>
      </c>
      <c r="C774" s="86">
        <v>446.00293460824253</v>
      </c>
      <c r="D774" s="86">
        <v>452.20592704998512</v>
      </c>
      <c r="E774" s="86">
        <v>7360437.957776011</v>
      </c>
      <c r="F774" s="86" t="s">
        <v>822</v>
      </c>
      <c r="G774" s="25">
        <f t="shared" si="21"/>
        <v>-1.1008148610006208E-2</v>
      </c>
      <c r="I774" s="86">
        <v>429.76414152818899</v>
      </c>
      <c r="J774" s="86">
        <v>430.88555218144751</v>
      </c>
      <c r="K774" s="86">
        <v>425.69323238448186</v>
      </c>
      <c r="L774" s="86">
        <v>430.38610037789539</v>
      </c>
      <c r="M774" s="86">
        <v>900174.34475655295</v>
      </c>
      <c r="N774" s="86" t="s">
        <v>822</v>
      </c>
      <c r="O774" s="25">
        <f t="shared" si="22"/>
        <v>-1.4451183464342376E-3</v>
      </c>
    </row>
    <row r="775" spans="1:15">
      <c r="A775" s="86">
        <v>449.94057087611981</v>
      </c>
      <c r="B775" s="86">
        <v>452.59482939742975</v>
      </c>
      <c r="C775" s="86">
        <v>448.78358639247193</v>
      </c>
      <c r="D775" s="86">
        <v>451.17533582925671</v>
      </c>
      <c r="E775" s="86">
        <v>6954361.7254321957</v>
      </c>
      <c r="F775" s="86" t="s">
        <v>823</v>
      </c>
      <c r="G775" s="25">
        <f t="shared" si="21"/>
        <v>-2.736774054520108E-3</v>
      </c>
      <c r="I775" s="86">
        <v>428.12443183350848</v>
      </c>
      <c r="J775" s="86">
        <v>432.40275482997373</v>
      </c>
      <c r="K775" s="86">
        <v>427.47900817265401</v>
      </c>
      <c r="L775" s="86">
        <v>428.50137659090626</v>
      </c>
      <c r="M775" s="86">
        <v>1541137.2319124884</v>
      </c>
      <c r="N775" s="86" t="s">
        <v>823</v>
      </c>
      <c r="O775" s="25">
        <f t="shared" si="22"/>
        <v>-8.7968155527684555E-4</v>
      </c>
    </row>
    <row r="776" spans="1:15">
      <c r="A776" s="86">
        <v>450.7475432470676</v>
      </c>
      <c r="B776" s="86">
        <v>460.45065681581224</v>
      </c>
      <c r="C776" s="86">
        <v>450.00862878692271</v>
      </c>
      <c r="D776" s="86">
        <v>460.33398611157889</v>
      </c>
      <c r="E776" s="86">
        <v>9801991.7468928844</v>
      </c>
      <c r="F776" s="86" t="s">
        <v>824</v>
      </c>
      <c r="G776" s="25">
        <f t="shared" si="21"/>
        <v>-2.0824973071155495E-2</v>
      </c>
      <c r="I776" s="86">
        <v>426.96532670451018</v>
      </c>
      <c r="J776" s="86">
        <v>432.82691191823562</v>
      </c>
      <c r="K776" s="86">
        <v>425.59890195894309</v>
      </c>
      <c r="L776" s="86">
        <v>432.53468549506294</v>
      </c>
      <c r="M776" s="86">
        <v>2591487.4284060029</v>
      </c>
      <c r="N776" s="86" t="s">
        <v>824</v>
      </c>
      <c r="O776" s="25">
        <f t="shared" si="22"/>
        <v>-1.2876097518464413E-2</v>
      </c>
    </row>
    <row r="777" spans="1:15">
      <c r="A777" s="86">
        <v>456.54218822399326</v>
      </c>
      <c r="B777" s="86">
        <v>460.89789451537365</v>
      </c>
      <c r="C777" s="86">
        <v>454.92824348209786</v>
      </c>
      <c r="D777" s="86">
        <v>459.65340700355068</v>
      </c>
      <c r="E777" s="86">
        <v>7158324.4953182368</v>
      </c>
      <c r="F777" s="86" t="s">
        <v>825</v>
      </c>
      <c r="G777" s="25">
        <f t="shared" si="21"/>
        <v>-6.7686189902066429E-3</v>
      </c>
      <c r="I777" s="86">
        <v>424.43979682994478</v>
      </c>
      <c r="J777" s="86">
        <v>431.58280574644408</v>
      </c>
      <c r="K777" s="86">
        <v>424.16651188083137</v>
      </c>
      <c r="L777" s="86">
        <v>427.93595945480956</v>
      </c>
      <c r="M777" s="86">
        <v>1327678.8977113254</v>
      </c>
      <c r="N777" s="86" t="s">
        <v>825</v>
      </c>
      <c r="O777" s="25">
        <f t="shared" si="22"/>
        <v>-8.1698266939728148E-3</v>
      </c>
    </row>
    <row r="778" spans="1:15">
      <c r="A778" s="86">
        <v>462.85212881128314</v>
      </c>
      <c r="B778" s="86">
        <v>464.1841193512812</v>
      </c>
      <c r="C778" s="86">
        <v>457.61166967946616</v>
      </c>
      <c r="D778" s="86">
        <v>460.82983660457086</v>
      </c>
      <c r="E778" s="86">
        <v>5255716.2830979265</v>
      </c>
      <c r="F778" s="86" t="s">
        <v>826</v>
      </c>
      <c r="G778" s="25">
        <f t="shared" si="21"/>
        <v>4.3883708173340086E-3</v>
      </c>
      <c r="I778" s="86">
        <v>426.24913166545429</v>
      </c>
      <c r="J778" s="86">
        <v>427.59670917315151</v>
      </c>
      <c r="K778" s="86">
        <v>423.0686602749102</v>
      </c>
      <c r="L778" s="86">
        <v>425.47639491278881</v>
      </c>
      <c r="M778" s="86">
        <v>1000445.8016695617</v>
      </c>
      <c r="N778" s="86" t="s">
        <v>826</v>
      </c>
      <c r="O778" s="25">
        <f t="shared" si="22"/>
        <v>1.816168327796186E-3</v>
      </c>
    </row>
    <row r="779" spans="1:15">
      <c r="A779" s="86">
        <v>459.53673629931723</v>
      </c>
      <c r="B779" s="86">
        <v>461.22846151070161</v>
      </c>
      <c r="C779" s="86">
        <v>457.61166967946616</v>
      </c>
      <c r="D779" s="86">
        <v>458.81726695654464</v>
      </c>
      <c r="E779" s="86">
        <v>7131238.0041483715</v>
      </c>
      <c r="F779" s="86" t="s">
        <v>827</v>
      </c>
      <c r="G779" s="25">
        <f t="shared" si="21"/>
        <v>1.5680956114512146E-3</v>
      </c>
      <c r="I779" s="86">
        <v>425.6742909104226</v>
      </c>
      <c r="J779" s="86">
        <v>426.52241661456776</v>
      </c>
      <c r="K779" s="86">
        <v>417.31082910565851</v>
      </c>
      <c r="L779" s="86">
        <v>419.05891041809087</v>
      </c>
      <c r="M779" s="86">
        <v>1324072.0031377391</v>
      </c>
      <c r="N779" s="86" t="s">
        <v>827</v>
      </c>
      <c r="O779" s="25">
        <f t="shared" si="22"/>
        <v>1.5786278081360017E-2</v>
      </c>
    </row>
    <row r="780" spans="1:15">
      <c r="A780" s="86">
        <v>464.02855841230325</v>
      </c>
      <c r="B780" s="86">
        <v>465.32165871755689</v>
      </c>
      <c r="C780" s="86">
        <v>459.62423932749232</v>
      </c>
      <c r="D780" s="86">
        <v>465.10776242646227</v>
      </c>
      <c r="E780" s="86">
        <v>5404123.7184842881</v>
      </c>
      <c r="F780" s="86" t="s">
        <v>828</v>
      </c>
      <c r="G780" s="25">
        <f t="shared" si="21"/>
        <v>-2.3203311175217234E-3</v>
      </c>
      <c r="I780" s="86">
        <v>421.77291267135519</v>
      </c>
      <c r="J780" s="86">
        <v>426.00411757314572</v>
      </c>
      <c r="K780" s="86">
        <v>420.4630296393978</v>
      </c>
      <c r="L780" s="86">
        <v>422.82835799206907</v>
      </c>
      <c r="M780" s="86">
        <v>894520.46588392346</v>
      </c>
      <c r="N780" s="86" t="s">
        <v>828</v>
      </c>
      <c r="O780" s="25">
        <f t="shared" si="22"/>
        <v>-2.4961554748267334E-3</v>
      </c>
    </row>
    <row r="781" spans="1:15">
      <c r="A781" s="86">
        <v>463.45492744982243</v>
      </c>
      <c r="B781" s="86">
        <v>464.80636310719262</v>
      </c>
      <c r="C781" s="86">
        <v>462.7646257831081</v>
      </c>
      <c r="D781" s="86">
        <v>463.91188770806986</v>
      </c>
      <c r="E781" s="86">
        <v>4871945.9073708141</v>
      </c>
      <c r="F781" s="86" t="s">
        <v>829</v>
      </c>
      <c r="G781" s="25">
        <f t="shared" si="21"/>
        <v>-9.850151943830987E-4</v>
      </c>
      <c r="I781" s="86">
        <v>426.30567337906399</v>
      </c>
      <c r="J781" s="86">
        <v>430.65938532700881</v>
      </c>
      <c r="K781" s="86">
        <v>426.20201357077957</v>
      </c>
      <c r="L781" s="86">
        <v>429.71702343351427</v>
      </c>
      <c r="M781" s="86">
        <v>797124.76192602469</v>
      </c>
      <c r="N781" s="86" t="s">
        <v>829</v>
      </c>
      <c r="O781" s="25">
        <f t="shared" si="22"/>
        <v>-7.9385964912280782E-3</v>
      </c>
    </row>
    <row r="782" spans="1:15">
      <c r="A782" s="86">
        <v>463.27019883478619</v>
      </c>
      <c r="B782" s="86">
        <v>465.05914963303167</v>
      </c>
      <c r="C782" s="86">
        <v>459.31311744953661</v>
      </c>
      <c r="D782" s="86">
        <v>459.73118747303965</v>
      </c>
      <c r="E782" s="86">
        <v>5747622.8021945069</v>
      </c>
      <c r="F782" s="86" t="s">
        <v>830</v>
      </c>
      <c r="G782" s="25">
        <f t="shared" si="21"/>
        <v>7.6980014803849084E-3</v>
      </c>
      <c r="I782" s="86">
        <v>429.13275905954765</v>
      </c>
      <c r="J782" s="86">
        <v>429.31482337737077</v>
      </c>
      <c r="K782" s="86">
        <v>423.9214977885228</v>
      </c>
      <c r="L782" s="86">
        <v>426.33394423586884</v>
      </c>
      <c r="M782" s="86">
        <v>946685.13886078587</v>
      </c>
      <c r="N782" s="86" t="s">
        <v>830</v>
      </c>
      <c r="O782" s="25">
        <f t="shared" si="22"/>
        <v>6.5648416259587172E-3</v>
      </c>
    </row>
    <row r="783" spans="1:15">
      <c r="A783" s="86">
        <v>458.39919693304159</v>
      </c>
      <c r="B783" s="86">
        <v>468.12175561915853</v>
      </c>
      <c r="C783" s="86">
        <v>458.1950232006331</v>
      </c>
      <c r="D783" s="86">
        <v>467.84952397594725</v>
      </c>
      <c r="E783" s="86">
        <v>7067265.1323889922</v>
      </c>
      <c r="F783" s="86" t="s">
        <v>831</v>
      </c>
      <c r="G783" s="25">
        <f t="shared" si="21"/>
        <v>-2.0199501246882745E-2</v>
      </c>
      <c r="I783" s="86">
        <v>427.86999412226493</v>
      </c>
      <c r="J783" s="86">
        <v>429.69817619564435</v>
      </c>
      <c r="K783" s="86">
        <v>421.37240886661999</v>
      </c>
      <c r="L783" s="86">
        <v>424.30786616485551</v>
      </c>
      <c r="M783" s="86">
        <v>1483874.7297118809</v>
      </c>
      <c r="N783" s="86" t="s">
        <v>831</v>
      </c>
      <c r="O783" s="25">
        <f t="shared" si="22"/>
        <v>8.3951494691956174E-3</v>
      </c>
    </row>
    <row r="784" spans="1:15">
      <c r="A784" s="86">
        <v>464.11606144047835</v>
      </c>
      <c r="B784" s="86">
        <v>465.51805440301644</v>
      </c>
      <c r="C784" s="86">
        <v>462.58961972675803</v>
      </c>
      <c r="D784" s="86">
        <v>462.63823252018858</v>
      </c>
      <c r="E784" s="86">
        <v>6402442.197534428</v>
      </c>
      <c r="F784" s="86" t="s">
        <v>832</v>
      </c>
      <c r="G784" s="25">
        <f t="shared" si="21"/>
        <v>3.194351042367094E-3</v>
      </c>
      <c r="I784" s="86">
        <v>422.08389209620839</v>
      </c>
      <c r="J784" s="86">
        <v>427.9707326086795</v>
      </c>
      <c r="K784" s="86">
        <v>421.79175990922505</v>
      </c>
      <c r="L784" s="86">
        <v>426.81454880155104</v>
      </c>
      <c r="M784" s="86">
        <v>805175.80903688062</v>
      </c>
      <c r="N784" s="86" t="s">
        <v>832</v>
      </c>
      <c r="O784" s="25">
        <f t="shared" si="22"/>
        <v>-1.1083635079042753E-2</v>
      </c>
    </row>
    <row r="785" spans="1:15">
      <c r="A785" s="86">
        <v>463.69799141697536</v>
      </c>
      <c r="B785" s="86">
        <v>463.75632676909203</v>
      </c>
      <c r="C785" s="86">
        <v>461.53958338865732</v>
      </c>
      <c r="D785" s="86">
        <v>463.1146378958083</v>
      </c>
      <c r="E785" s="86">
        <v>4955302.5654445011</v>
      </c>
      <c r="F785" s="86" t="s">
        <v>833</v>
      </c>
      <c r="G785" s="25">
        <f t="shared" si="21"/>
        <v>1.259630928138078E-3</v>
      </c>
      <c r="I785" s="86">
        <v>427.11610460746931</v>
      </c>
      <c r="J785" s="86">
        <v>429.42489124653093</v>
      </c>
      <c r="K785" s="86">
        <v>426.47529851989299</v>
      </c>
      <c r="L785" s="86">
        <v>427.48362574593216</v>
      </c>
      <c r="M785" s="86">
        <v>889218.8932773812</v>
      </c>
      <c r="N785" s="86" t="s">
        <v>833</v>
      </c>
      <c r="O785" s="25">
        <f t="shared" si="22"/>
        <v>-8.597314992394578E-4</v>
      </c>
    </row>
    <row r="786" spans="1:15">
      <c r="A786" s="86">
        <v>466.75087484441605</v>
      </c>
      <c r="B786" s="86">
        <v>468.58843843609213</v>
      </c>
      <c r="C786" s="86">
        <v>465.54527756733751</v>
      </c>
      <c r="D786" s="86">
        <v>468.08286538441405</v>
      </c>
      <c r="E786" s="86">
        <v>5897583.3266891455</v>
      </c>
      <c r="F786" s="86" t="s">
        <v>834</v>
      </c>
      <c r="G786" s="25">
        <f t="shared" si="21"/>
        <v>-2.8456297773346018E-3</v>
      </c>
      <c r="I786" s="86">
        <v>426.69204175539676</v>
      </c>
      <c r="J786" s="86">
        <v>429.11391182167773</v>
      </c>
      <c r="K786" s="86">
        <v>425.21253358261032</v>
      </c>
      <c r="L786" s="86">
        <v>427.96423031161436</v>
      </c>
      <c r="M786" s="86">
        <v>761102.50738205272</v>
      </c>
      <c r="N786" s="86" t="s">
        <v>834</v>
      </c>
      <c r="O786" s="25">
        <f t="shared" si="22"/>
        <v>-2.9726516052317464E-3</v>
      </c>
    </row>
    <row r="787" spans="1:15">
      <c r="A787" s="86">
        <v>467.36339604164141</v>
      </c>
      <c r="B787" s="86">
        <v>468.78269515864076</v>
      </c>
      <c r="C787" s="86">
        <v>467.17225053787234</v>
      </c>
      <c r="D787" s="86">
        <v>467.52867953930541</v>
      </c>
      <c r="E787" s="86">
        <v>4181016.6759955171</v>
      </c>
      <c r="F787" s="86" t="s">
        <v>835</v>
      </c>
      <c r="G787" s="25">
        <f t="shared" si="21"/>
        <v>-3.5352590097115222E-4</v>
      </c>
      <c r="I787" s="86">
        <v>428.6521544938654</v>
      </c>
      <c r="J787" s="86">
        <v>430.76304513529323</v>
      </c>
      <c r="K787" s="86">
        <v>427.78518155185043</v>
      </c>
      <c r="L787" s="86">
        <v>430.47091294830989</v>
      </c>
      <c r="M787" s="86">
        <v>1188015.9922940221</v>
      </c>
      <c r="N787" s="86" t="s">
        <v>835</v>
      </c>
      <c r="O787" s="25">
        <f t="shared" si="22"/>
        <v>-4.2250437828371679E-3</v>
      </c>
    </row>
    <row r="788" spans="1:15">
      <c r="A788" s="86">
        <v>467.42173139375808</v>
      </c>
      <c r="B788" s="86">
        <v>467.52867953930541</v>
      </c>
      <c r="C788" s="86">
        <v>464.20356446865338</v>
      </c>
      <c r="D788" s="86">
        <v>466.20641155799348</v>
      </c>
      <c r="E788" s="86">
        <v>5092722.1525237542</v>
      </c>
      <c r="F788" s="86" t="s">
        <v>836</v>
      </c>
      <c r="G788" s="25">
        <f t="shared" si="21"/>
        <v>2.6068278033826164E-3</v>
      </c>
      <c r="I788" s="86">
        <v>430.45206571043997</v>
      </c>
      <c r="J788" s="86">
        <v>430.76304513529323</v>
      </c>
      <c r="K788" s="86">
        <v>422.04619762046866</v>
      </c>
      <c r="L788" s="86">
        <v>422.06504485833852</v>
      </c>
      <c r="M788" s="86">
        <v>1355842.1757292661</v>
      </c>
      <c r="N788" s="86" t="s">
        <v>836</v>
      </c>
      <c r="O788" s="25">
        <f t="shared" si="22"/>
        <v>1.9871394123425867E-2</v>
      </c>
    </row>
    <row r="789" spans="1:15">
      <c r="A789" s="86">
        <v>463.37714698033346</v>
      </c>
      <c r="B789" s="86">
        <v>466.07029573638783</v>
      </c>
      <c r="C789" s="86">
        <v>463.21186348266946</v>
      </c>
      <c r="D789" s="86">
        <v>465.76889641711824</v>
      </c>
      <c r="E789" s="86">
        <v>8303886.1071914462</v>
      </c>
      <c r="F789" s="86" t="s">
        <v>837</v>
      </c>
      <c r="G789" s="25">
        <f t="shared" si="21"/>
        <v>-5.1350561516303461E-3</v>
      </c>
      <c r="I789" s="86">
        <v>420.28398087963382</v>
      </c>
      <c r="J789" s="86">
        <v>422.76239265952449</v>
      </c>
      <c r="K789" s="86">
        <v>420.1567620240121</v>
      </c>
      <c r="L789" s="86">
        <v>420.76458544531602</v>
      </c>
      <c r="M789" s="86">
        <v>813610.99731738586</v>
      </c>
      <c r="N789" s="86" t="s">
        <v>837</v>
      </c>
      <c r="O789" s="25">
        <f t="shared" si="22"/>
        <v>-1.142217245240662E-3</v>
      </c>
    </row>
    <row r="790" spans="1:15">
      <c r="A790" s="86">
        <v>464.67996984427316</v>
      </c>
      <c r="B790" s="86">
        <v>465.50638733259308</v>
      </c>
      <c r="C790" s="86">
        <v>464.3007900555146</v>
      </c>
      <c r="D790" s="86">
        <v>464.47579611186472</v>
      </c>
      <c r="E790" s="86">
        <v>6254811.3067022068</v>
      </c>
      <c r="F790" s="86" t="s">
        <v>838</v>
      </c>
      <c r="G790" s="25">
        <f t="shared" si="21"/>
        <v>4.3957884160494842E-4</v>
      </c>
      <c r="I790" s="86">
        <v>420.58553668555209</v>
      </c>
      <c r="J790" s="86">
        <v>422.69642732697986</v>
      </c>
      <c r="K790" s="86">
        <v>419.17482093099073</v>
      </c>
      <c r="L790" s="86">
        <v>422.04619762046866</v>
      </c>
      <c r="M790" s="86">
        <v>822533.25962239131</v>
      </c>
      <c r="N790" s="86" t="s">
        <v>838</v>
      </c>
      <c r="O790" s="25">
        <f t="shared" si="22"/>
        <v>-3.4609029607467479E-3</v>
      </c>
    </row>
    <row r="791" spans="1:15">
      <c r="A791" s="86">
        <v>465.88556712135164</v>
      </c>
      <c r="B791" s="86">
        <v>466.99393881156897</v>
      </c>
      <c r="C791" s="86">
        <v>465.53555500865144</v>
      </c>
      <c r="D791" s="86">
        <v>466.55642367069373</v>
      </c>
      <c r="E791" s="86">
        <v>6049336.5891412199</v>
      </c>
      <c r="F791" s="86" t="s">
        <v>839</v>
      </c>
      <c r="G791" s="25">
        <f t="shared" si="21"/>
        <v>-1.4378894283868515E-3</v>
      </c>
      <c r="I791" s="86">
        <v>420.1803210713494</v>
      </c>
      <c r="J791" s="86">
        <v>420.52899497194238</v>
      </c>
      <c r="K791" s="86">
        <v>418.09770128672648</v>
      </c>
      <c r="L791" s="86">
        <v>418.87986165832694</v>
      </c>
      <c r="M791" s="86">
        <v>1069965.8029050308</v>
      </c>
      <c r="N791" s="86" t="s">
        <v>839</v>
      </c>
      <c r="O791" s="25">
        <f t="shared" si="22"/>
        <v>3.104611923509415E-3</v>
      </c>
    </row>
    <row r="792" spans="1:15">
      <c r="A792" s="86">
        <v>466.49526878835638</v>
      </c>
      <c r="B792" s="86">
        <v>468.32209663018881</v>
      </c>
      <c r="C792" s="86">
        <v>466.35958926694701</v>
      </c>
      <c r="D792" s="86">
        <v>467.72607587542649</v>
      </c>
      <c r="E792" s="86">
        <v>5205319.0685234424</v>
      </c>
      <c r="F792" s="86" t="s">
        <v>840</v>
      </c>
      <c r="G792" s="25">
        <f t="shared" si="21"/>
        <v>-2.6314698934979397E-3</v>
      </c>
      <c r="I792" s="86">
        <v>417.61709672104428</v>
      </c>
      <c r="J792" s="86">
        <v>418.30502090329526</v>
      </c>
      <c r="K792" s="86">
        <v>414.00794490514949</v>
      </c>
      <c r="L792" s="86">
        <v>415.92084531275407</v>
      </c>
      <c r="M792" s="86">
        <v>968039.99217024469</v>
      </c>
      <c r="N792" s="86" t="s">
        <v>840</v>
      </c>
      <c r="O792" s="25">
        <f t="shared" si="22"/>
        <v>4.0783034257749762E-3</v>
      </c>
    </row>
    <row r="793" spans="1:15">
      <c r="A793" s="86">
        <v>464.94464568653569</v>
      </c>
      <c r="B793" s="86">
        <v>465.20631333496794</v>
      </c>
      <c r="C793" s="86">
        <v>460.27339359230103</v>
      </c>
      <c r="D793" s="86">
        <v>460.86456864987014</v>
      </c>
      <c r="E793" s="86">
        <v>6376126.8540313253</v>
      </c>
      <c r="F793" s="86" t="s">
        <v>841</v>
      </c>
      <c r="G793" s="25">
        <f t="shared" si="21"/>
        <v>8.8530933254824529E-3</v>
      </c>
      <c r="I793" s="86">
        <v>415.02560151393425</v>
      </c>
      <c r="J793" s="86">
        <v>415.5420158315693</v>
      </c>
      <c r="K793" s="86">
        <v>411.39750822398025</v>
      </c>
      <c r="L793" s="86">
        <v>411.84041831392261</v>
      </c>
      <c r="M793" s="86">
        <v>896677.81118198193</v>
      </c>
      <c r="N793" s="86" t="s">
        <v>841</v>
      </c>
      <c r="O793" s="25">
        <f t="shared" si="22"/>
        <v>7.7340228359610297E-3</v>
      </c>
    </row>
    <row r="794" spans="1:15">
      <c r="A794" s="86">
        <v>460.92271701618841</v>
      </c>
      <c r="B794" s="86">
        <v>461.05839653759773</v>
      </c>
      <c r="C794" s="86">
        <v>456.74572603565906</v>
      </c>
      <c r="D794" s="86">
        <v>457.6276429248195</v>
      </c>
      <c r="E794" s="86">
        <v>4695142.740651668</v>
      </c>
      <c r="F794" s="86" t="s">
        <v>842</v>
      </c>
      <c r="G794" s="25">
        <f t="shared" si="21"/>
        <v>7.2003388394747958E-3</v>
      </c>
      <c r="I794" s="86">
        <v>411.9911962168818</v>
      </c>
      <c r="J794" s="86">
        <v>412.08543240623123</v>
      </c>
      <c r="K794" s="86">
        <v>408.96621453876429</v>
      </c>
      <c r="L794" s="86">
        <v>410.16301414350238</v>
      </c>
      <c r="M794" s="86">
        <v>953833.13587393006</v>
      </c>
      <c r="N794" s="86" t="s">
        <v>842</v>
      </c>
      <c r="O794" s="25">
        <f t="shared" si="22"/>
        <v>4.4572085008616202E-3</v>
      </c>
    </row>
    <row r="795" spans="1:15">
      <c r="A795" s="86">
        <v>458.35449750379792</v>
      </c>
      <c r="B795" s="86">
        <v>460.6116232563856</v>
      </c>
      <c r="C795" s="86">
        <v>457.91838475641089</v>
      </c>
      <c r="D795" s="86">
        <v>459.32363694243583</v>
      </c>
      <c r="E795" s="86">
        <v>4064538.9537921203</v>
      </c>
      <c r="F795" s="86" t="s">
        <v>843</v>
      </c>
      <c r="G795" s="25">
        <f t="shared" si="21"/>
        <v>-2.1099272075113529E-3</v>
      </c>
      <c r="I795" s="86">
        <v>408.23117226183854</v>
      </c>
      <c r="J795" s="86">
        <v>410.95459813403778</v>
      </c>
      <c r="K795" s="86">
        <v>406.79878218372681</v>
      </c>
      <c r="L795" s="86">
        <v>410.70016042279423</v>
      </c>
      <c r="M795" s="86">
        <v>1024475.8480416894</v>
      </c>
      <c r="N795" s="86" t="s">
        <v>843</v>
      </c>
      <c r="O795" s="25">
        <f t="shared" si="22"/>
        <v>-6.0116561883345465E-3</v>
      </c>
    </row>
    <row r="796" spans="1:15">
      <c r="A796" s="86">
        <v>455.50522755420246</v>
      </c>
      <c r="B796" s="86">
        <v>457.22196115580573</v>
      </c>
      <c r="C796" s="86">
        <v>454.25513459230348</v>
      </c>
      <c r="D796" s="86">
        <v>455.89288332965771</v>
      </c>
      <c r="E796" s="86">
        <v>7023846.8569261152</v>
      </c>
      <c r="F796" s="86" t="s">
        <v>844</v>
      </c>
      <c r="G796" s="25">
        <f t="shared" si="21"/>
        <v>-8.50322059480213E-4</v>
      </c>
      <c r="I796" s="86">
        <v>410.70016042279423</v>
      </c>
      <c r="J796" s="86">
        <v>412.9524053482462</v>
      </c>
      <c r="K796" s="86">
        <v>408.18405416716377</v>
      </c>
      <c r="L796" s="86">
        <v>408.18405416716377</v>
      </c>
      <c r="M796" s="86">
        <v>5466409.4925330281</v>
      </c>
      <c r="N796" s="86" t="s">
        <v>844</v>
      </c>
      <c r="O796" s="25">
        <f t="shared" si="22"/>
        <v>6.1641463696180399E-3</v>
      </c>
    </row>
    <row r="797" spans="1:15">
      <c r="A797" s="86">
        <v>458.66462212416207</v>
      </c>
      <c r="B797" s="86">
        <v>460.65620367056295</v>
      </c>
      <c r="C797" s="86">
        <v>455.93164890720317</v>
      </c>
      <c r="D797" s="86">
        <v>460.49629566318777</v>
      </c>
      <c r="E797" s="86">
        <v>5317067.6938319039</v>
      </c>
      <c r="F797" s="86" t="s">
        <v>845</v>
      </c>
      <c r="G797" s="25">
        <f t="shared" si="21"/>
        <v>-3.9776075427225832E-3</v>
      </c>
      <c r="I797" s="86">
        <v>410.65304232811951</v>
      </c>
      <c r="J797" s="86">
        <v>412.3869882121495</v>
      </c>
      <c r="K797" s="86">
        <v>408.32540845118803</v>
      </c>
      <c r="L797" s="86">
        <v>411.20903584528133</v>
      </c>
      <c r="M797" s="86">
        <v>1224156.0359811739</v>
      </c>
      <c r="N797" s="86" t="s">
        <v>845</v>
      </c>
      <c r="O797" s="25">
        <f t="shared" si="22"/>
        <v>-1.3520946007884449E-3</v>
      </c>
    </row>
    <row r="798" spans="1:15">
      <c r="A798" s="86">
        <v>459.67252714034549</v>
      </c>
      <c r="B798" s="86">
        <v>460.79672888916548</v>
      </c>
      <c r="C798" s="86">
        <v>458.30604053186602</v>
      </c>
      <c r="D798" s="86">
        <v>460.6416665789834</v>
      </c>
      <c r="E798" s="86">
        <v>3657395.2711920524</v>
      </c>
      <c r="F798" s="86" t="s">
        <v>846</v>
      </c>
      <c r="G798" s="25">
        <f t="shared" ref="G798:G861" si="23">A798/D798-1</f>
        <v>-2.1038900927815574E-3</v>
      </c>
      <c r="I798" s="86">
        <v>409.55047891273091</v>
      </c>
      <c r="J798" s="86">
        <v>412.55661335297856</v>
      </c>
      <c r="K798" s="86">
        <v>408.74004768432559</v>
      </c>
      <c r="L798" s="86">
        <v>410.59650061450986</v>
      </c>
      <c r="M798" s="86">
        <v>1047487.1774998297</v>
      </c>
      <c r="N798" s="86" t="s">
        <v>846</v>
      </c>
      <c r="O798" s="25">
        <f t="shared" ref="O798:O861" si="24">I798/L798-1</f>
        <v>-2.547566041633198E-3</v>
      </c>
    </row>
    <row r="799" spans="1:15">
      <c r="A799" s="86">
        <v>460.37030753616477</v>
      </c>
      <c r="B799" s="86">
        <v>460.87426004425652</v>
      </c>
      <c r="C799" s="86">
        <v>455.07880620120181</v>
      </c>
      <c r="D799" s="86">
        <v>457.35628388200092</v>
      </c>
      <c r="E799" s="86">
        <v>4964235.0813436629</v>
      </c>
      <c r="F799" s="86" t="s">
        <v>847</v>
      </c>
      <c r="G799" s="25">
        <f t="shared" si="23"/>
        <v>6.5901000169519275E-3</v>
      </c>
      <c r="I799" s="86">
        <v>409.84261109971425</v>
      </c>
      <c r="J799" s="86">
        <v>410.65775413758701</v>
      </c>
      <c r="K799" s="86">
        <v>407.43016465236821</v>
      </c>
      <c r="L799" s="86">
        <v>407.96731093166011</v>
      </c>
      <c r="M799" s="86">
        <v>875551.10801471816</v>
      </c>
      <c r="N799" s="86" t="s">
        <v>847</v>
      </c>
      <c r="O799" s="25">
        <f t="shared" si="24"/>
        <v>4.5966922295110901E-3</v>
      </c>
    </row>
    <row r="800" spans="1:15">
      <c r="A800" s="86">
        <v>455.49553615981614</v>
      </c>
      <c r="B800" s="86">
        <v>455.93649460439633</v>
      </c>
      <c r="C800" s="86">
        <v>452.96608222497116</v>
      </c>
      <c r="D800" s="86">
        <v>454.72022460890577</v>
      </c>
      <c r="E800" s="86">
        <v>5493395.2615554649</v>
      </c>
      <c r="F800" s="86" t="s">
        <v>848</v>
      </c>
      <c r="G800" s="25">
        <f t="shared" si="23"/>
        <v>1.7050298380223428E-3</v>
      </c>
      <c r="I800" s="86">
        <v>409.69183319675511</v>
      </c>
      <c r="J800" s="86">
        <v>410.87920918255821</v>
      </c>
      <c r="K800" s="86">
        <v>407.66575512574184</v>
      </c>
      <c r="L800" s="86">
        <v>409.27719396361749</v>
      </c>
      <c r="M800" s="86">
        <v>1009161.1371014136</v>
      </c>
      <c r="N800" s="86" t="s">
        <v>848</v>
      </c>
      <c r="O800" s="25">
        <f t="shared" si="24"/>
        <v>1.0131012410490303E-3</v>
      </c>
    </row>
    <row r="801" spans="1:15">
      <c r="A801" s="86">
        <v>455.87350054088489</v>
      </c>
      <c r="B801" s="86">
        <v>461.60053313957172</v>
      </c>
      <c r="C801" s="86">
        <v>455.32109106086131</v>
      </c>
      <c r="D801" s="86">
        <v>459.14919184348099</v>
      </c>
      <c r="E801" s="86">
        <v>6485779.8056740295</v>
      </c>
      <c r="F801" s="86" t="s">
        <v>849</v>
      </c>
      <c r="G801" s="25">
        <f t="shared" si="23"/>
        <v>-7.1342634611730738E-3</v>
      </c>
      <c r="I801" s="86">
        <v>407.94846369379013</v>
      </c>
      <c r="J801" s="86">
        <v>408.02385264526976</v>
      </c>
      <c r="K801" s="86">
        <v>402.9256748014642</v>
      </c>
      <c r="L801" s="86">
        <v>403.80207136241415</v>
      </c>
      <c r="M801" s="86">
        <v>809845.98938944109</v>
      </c>
      <c r="N801" s="86" t="s">
        <v>849</v>
      </c>
      <c r="O801" s="25">
        <f t="shared" si="24"/>
        <v>1.0268378063010397E-2</v>
      </c>
    </row>
    <row r="802" spans="1:15">
      <c r="A802" s="86">
        <v>458.65493072977569</v>
      </c>
      <c r="B802" s="86">
        <v>459.55623040770894</v>
      </c>
      <c r="C802" s="86">
        <v>456.25146492195364</v>
      </c>
      <c r="D802" s="86">
        <v>457.07523344479591</v>
      </c>
      <c r="E802" s="86">
        <v>7377475.0205695992</v>
      </c>
      <c r="F802" s="86" t="s">
        <v>850</v>
      </c>
      <c r="G802" s="25">
        <f t="shared" si="23"/>
        <v>3.4560990607044317E-3</v>
      </c>
      <c r="I802" s="86">
        <v>405.20619058372102</v>
      </c>
      <c r="J802" s="86">
        <v>410.47399356835552</v>
      </c>
      <c r="K802" s="86">
        <v>404.72558601803883</v>
      </c>
      <c r="L802" s="86">
        <v>408.98506177663415</v>
      </c>
      <c r="M802" s="86">
        <v>1152424.5701115907</v>
      </c>
      <c r="N802" s="86" t="s">
        <v>850</v>
      </c>
      <c r="O802" s="25">
        <f t="shared" si="24"/>
        <v>-9.239631336405485E-3</v>
      </c>
    </row>
    <row r="803" spans="1:15">
      <c r="A803" s="86">
        <v>454.1581237344958</v>
      </c>
      <c r="B803" s="86">
        <v>456.13516818931714</v>
      </c>
      <c r="C803" s="86">
        <v>452.89814555032268</v>
      </c>
      <c r="D803" s="86">
        <v>454.76868158083767</v>
      </c>
      <c r="E803" s="86">
        <v>5494616.9639780438</v>
      </c>
      <c r="F803" s="86" t="s">
        <v>851</v>
      </c>
      <c r="G803" s="25">
        <f t="shared" si="23"/>
        <v>-1.3425679275439473E-3</v>
      </c>
      <c r="I803" s="86">
        <v>408.49503359201702</v>
      </c>
      <c r="J803" s="86">
        <v>408.80601301687022</v>
      </c>
      <c r="K803" s="86">
        <v>406.07787533520349</v>
      </c>
      <c r="L803" s="86">
        <v>407.08149075177522</v>
      </c>
      <c r="M803" s="86">
        <v>822818.71259099816</v>
      </c>
      <c r="N803" s="86" t="s">
        <v>851</v>
      </c>
      <c r="O803" s="25">
        <f t="shared" si="24"/>
        <v>3.4723829806935225E-3</v>
      </c>
    </row>
    <row r="804" spans="1:15">
      <c r="A804" s="86">
        <v>451.76434932106014</v>
      </c>
      <c r="B804" s="86">
        <v>454.8946697078606</v>
      </c>
      <c r="C804" s="86">
        <v>449.73884789430696</v>
      </c>
      <c r="D804" s="86">
        <v>454.47793974924633</v>
      </c>
      <c r="E804" s="86">
        <v>4763507.5159961935</v>
      </c>
      <c r="F804" s="86" t="s">
        <v>852</v>
      </c>
      <c r="G804" s="25">
        <f t="shared" si="23"/>
        <v>-5.9707857980596524E-3</v>
      </c>
      <c r="I804" s="86">
        <v>407.08149075177522</v>
      </c>
      <c r="J804" s="86">
        <v>410.87920918255821</v>
      </c>
      <c r="K804" s="86">
        <v>404.98944734821725</v>
      </c>
      <c r="L804" s="86">
        <v>408.74004768432559</v>
      </c>
      <c r="M804" s="86">
        <v>1101666.9998721732</v>
      </c>
      <c r="N804" s="86" t="s">
        <v>852</v>
      </c>
      <c r="O804" s="25">
        <f t="shared" si="24"/>
        <v>-4.0577304375892798E-3</v>
      </c>
    </row>
    <row r="805" spans="1:15">
      <c r="A805" s="86">
        <v>456.33868747143111</v>
      </c>
      <c r="B805" s="86">
        <v>458.01529870027468</v>
      </c>
      <c r="C805" s="86">
        <v>456.07701982299886</v>
      </c>
      <c r="D805" s="86">
        <v>456.08671121738524</v>
      </c>
      <c r="E805" s="86">
        <v>4096667.4574507498</v>
      </c>
      <c r="F805" s="86" t="s">
        <v>853</v>
      </c>
      <c r="G805" s="25">
        <f t="shared" si="23"/>
        <v>5.5247444805672785E-4</v>
      </c>
      <c r="I805" s="86">
        <v>407.04379627603538</v>
      </c>
      <c r="J805" s="86">
        <v>408.8719783494148</v>
      </c>
      <c r="K805" s="86">
        <v>402.34141042749758</v>
      </c>
      <c r="L805" s="86">
        <v>403.86803669495879</v>
      </c>
      <c r="M805" s="86">
        <v>1349659.8374575058</v>
      </c>
      <c r="N805" s="86" t="s">
        <v>853</v>
      </c>
      <c r="O805" s="25">
        <f t="shared" si="24"/>
        <v>7.8633595445316562E-3</v>
      </c>
    </row>
    <row r="806" spans="1:15">
      <c r="A806" s="86">
        <v>456.88140555706832</v>
      </c>
      <c r="B806" s="86">
        <v>457.21091296620517</v>
      </c>
      <c r="C806" s="86">
        <v>453.00484780251668</v>
      </c>
      <c r="D806" s="86">
        <v>453.39250357797187</v>
      </c>
      <c r="E806" s="86">
        <v>4993523.9523444073</v>
      </c>
      <c r="F806" s="86" t="s">
        <v>854</v>
      </c>
      <c r="G806" s="25">
        <f t="shared" si="23"/>
        <v>7.6951029220015954E-3</v>
      </c>
      <c r="I806" s="86">
        <v>401.87965309968524</v>
      </c>
      <c r="J806" s="86">
        <v>404.18843973874692</v>
      </c>
      <c r="K806" s="86">
        <v>399.56153707787803</v>
      </c>
      <c r="L806" s="86">
        <v>403.2366542263174</v>
      </c>
      <c r="M806" s="86">
        <v>1123820.9092610409</v>
      </c>
      <c r="N806" s="86" t="s">
        <v>854</v>
      </c>
      <c r="O806" s="25">
        <f t="shared" si="24"/>
        <v>-3.3652722598738194E-3</v>
      </c>
    </row>
    <row r="807" spans="1:15">
      <c r="A807" s="86">
        <v>452.52027808319775</v>
      </c>
      <c r="B807" s="86">
        <v>454.03213560747287</v>
      </c>
      <c r="C807" s="86">
        <v>450.13619506414852</v>
      </c>
      <c r="D807" s="86">
        <v>452.55904366074327</v>
      </c>
      <c r="E807" s="86">
        <v>7566425.1269210316</v>
      </c>
      <c r="F807" s="86" t="s">
        <v>855</v>
      </c>
      <c r="G807" s="25">
        <f t="shared" si="23"/>
        <v>-8.5658607619332194E-5</v>
      </c>
      <c r="I807" s="86">
        <v>403.55705727010559</v>
      </c>
      <c r="J807" s="86">
        <v>405.92238562277691</v>
      </c>
      <c r="K807" s="86">
        <v>402.91625118252927</v>
      </c>
      <c r="L807" s="86">
        <v>404.58423173401462</v>
      </c>
      <c r="M807" s="86">
        <v>1595267.1796025846</v>
      </c>
      <c r="N807" s="86" t="s">
        <v>855</v>
      </c>
      <c r="O807" s="25">
        <f t="shared" si="24"/>
        <v>-2.5388395872638636E-3</v>
      </c>
    </row>
    <row r="808" spans="1:15">
      <c r="A808" s="86">
        <v>450.85335824874051</v>
      </c>
      <c r="B808" s="86">
        <v>451.45422470069605</v>
      </c>
      <c r="C808" s="86">
        <v>449.78730486623886</v>
      </c>
      <c r="D808" s="86">
        <v>450.15557785292128</v>
      </c>
      <c r="E808" s="86">
        <v>2889782.3041193672</v>
      </c>
      <c r="F808" s="86" t="s">
        <v>856</v>
      </c>
      <c r="G808" s="25">
        <f t="shared" si="23"/>
        <v>1.550087192404348E-3</v>
      </c>
      <c r="I808" s="86">
        <v>404.58423173681916</v>
      </c>
      <c r="J808" s="86">
        <v>406.96039698980542</v>
      </c>
      <c r="K808" s="86">
        <v>403.05010835163318</v>
      </c>
      <c r="L808" s="86">
        <v>404.02293285816091</v>
      </c>
      <c r="M808" s="86">
        <v>1100514.2242163168</v>
      </c>
      <c r="N808" s="86" t="s">
        <v>856</v>
      </c>
      <c r="O808" s="25">
        <f t="shared" si="24"/>
        <v>1.3892747985553289E-3</v>
      </c>
    </row>
    <row r="809" spans="1:15">
      <c r="A809" s="86">
        <v>451.55113864455984</v>
      </c>
      <c r="B809" s="86">
        <v>451.73527513790106</v>
      </c>
      <c r="C809" s="86">
        <v>449.59347697851132</v>
      </c>
      <c r="D809" s="86">
        <v>451.33792796805949</v>
      </c>
      <c r="E809" s="86">
        <v>3701162.9668495688</v>
      </c>
      <c r="F809" s="86" t="s">
        <v>857</v>
      </c>
      <c r="G809" s="25">
        <f t="shared" si="23"/>
        <v>4.7239698524825791E-4</v>
      </c>
      <c r="I809" s="86">
        <v>402.66646056807031</v>
      </c>
      <c r="J809" s="86">
        <v>403.41485907294793</v>
      </c>
      <c r="K809" s="86">
        <v>398.98995291285922</v>
      </c>
      <c r="L809" s="86">
        <v>401.02933883865063</v>
      </c>
      <c r="M809" s="86">
        <v>948148.33992228971</v>
      </c>
      <c r="N809" s="86" t="s">
        <v>857</v>
      </c>
      <c r="O809" s="25">
        <f t="shared" si="24"/>
        <v>4.082299150881763E-3</v>
      </c>
    </row>
    <row r="810" spans="1:15">
      <c r="A810" s="86">
        <v>450.71767872733125</v>
      </c>
      <c r="B810" s="86">
        <v>453.15991011269875</v>
      </c>
      <c r="C810" s="86">
        <v>450.59169060030831</v>
      </c>
      <c r="D810" s="86">
        <v>452.77225433724362</v>
      </c>
      <c r="E810" s="86">
        <v>3560688.8569615851</v>
      </c>
      <c r="F810" s="86" t="s">
        <v>858</v>
      </c>
      <c r="G810" s="25">
        <f t="shared" si="23"/>
        <v>-4.5377683597680463E-3</v>
      </c>
      <c r="I810" s="86">
        <v>401.49708790419913</v>
      </c>
      <c r="J810" s="86">
        <v>404.55616679288619</v>
      </c>
      <c r="K810" s="86">
        <v>399.26124737087736</v>
      </c>
      <c r="L810" s="86">
        <v>403.66744356834408</v>
      </c>
      <c r="M810" s="86">
        <v>1048256.5035700182</v>
      </c>
      <c r="N810" s="86" t="s">
        <v>858</v>
      </c>
      <c r="O810" s="25">
        <f t="shared" si="24"/>
        <v>-5.3765932792583238E-3</v>
      </c>
    </row>
    <row r="811" spans="1:15">
      <c r="A811" s="86">
        <v>452.37490716740206</v>
      </c>
      <c r="B811" s="86">
        <v>454.40040859415529</v>
      </c>
      <c r="C811" s="86">
        <v>451.70687935234895</v>
      </c>
      <c r="D811" s="86">
        <v>453.64447983201768</v>
      </c>
      <c r="E811" s="86">
        <v>4179605.9870321793</v>
      </c>
      <c r="F811" s="86" t="s">
        <v>859</v>
      </c>
      <c r="G811" s="25">
        <f t="shared" si="23"/>
        <v>-2.7986071054710848E-3</v>
      </c>
      <c r="I811" s="86">
        <v>403.31195427852725</v>
      </c>
      <c r="J811" s="86">
        <v>403.60195869916731</v>
      </c>
      <c r="K811" s="86">
        <v>400.58029973572405</v>
      </c>
      <c r="L811" s="86">
        <v>401.20708348355907</v>
      </c>
      <c r="M811" s="86">
        <v>900300.03481930494</v>
      </c>
      <c r="N811" s="86" t="s">
        <v>859</v>
      </c>
      <c r="O811" s="25">
        <f t="shared" si="24"/>
        <v>5.2463450462842953E-3</v>
      </c>
    </row>
    <row r="812" spans="1:15">
      <c r="A812" s="86">
        <v>452.17138788528808</v>
      </c>
      <c r="B812" s="86">
        <v>452.90793385865288</v>
      </c>
      <c r="C812" s="86">
        <v>448.04769957388379</v>
      </c>
      <c r="D812" s="86">
        <v>448.92477076585112</v>
      </c>
      <c r="E812" s="86">
        <v>4466370.7072778028</v>
      </c>
      <c r="F812" s="86" t="s">
        <v>860</v>
      </c>
      <c r="G812" s="25">
        <f t="shared" si="23"/>
        <v>7.2319848020379052E-3</v>
      </c>
      <c r="I812" s="86">
        <v>401.225793446181</v>
      </c>
      <c r="J812" s="86">
        <v>401.7777373435282</v>
      </c>
      <c r="K812" s="86">
        <v>396.49451164815804</v>
      </c>
      <c r="L812" s="86">
        <v>397.67090054801247</v>
      </c>
      <c r="M812" s="86">
        <v>1322266.6714999296</v>
      </c>
      <c r="N812" s="86" t="s">
        <v>860</v>
      </c>
      <c r="O812" s="25">
        <f t="shared" si="24"/>
        <v>8.9392834458585924E-3</v>
      </c>
    </row>
    <row r="813" spans="1:15">
      <c r="A813" s="86">
        <v>442.86764927436423</v>
      </c>
      <c r="B813" s="86">
        <v>443.01302019015986</v>
      </c>
      <c r="C813" s="86">
        <v>439.60164936615445</v>
      </c>
      <c r="D813" s="86">
        <v>441.26856920061164</v>
      </c>
      <c r="E813" s="86">
        <v>4357554.5805208338</v>
      </c>
      <c r="F813" s="86" t="s">
        <v>861</v>
      </c>
      <c r="G813" s="25">
        <f t="shared" si="23"/>
        <v>3.6238250021962681E-3</v>
      </c>
      <c r="I813" s="86">
        <v>399.97222595051107</v>
      </c>
      <c r="J813" s="86">
        <v>400.59900969834604</v>
      </c>
      <c r="K813" s="86">
        <v>396.99734189362266</v>
      </c>
      <c r="L813" s="86">
        <v>398.71865845484109</v>
      </c>
      <c r="M813" s="86">
        <v>1036904.2628257776</v>
      </c>
      <c r="N813" s="86" t="s">
        <v>861</v>
      </c>
      <c r="O813" s="25">
        <f t="shared" si="24"/>
        <v>3.1439900518523967E-3</v>
      </c>
    </row>
    <row r="814" spans="1:15">
      <c r="A814" s="86">
        <v>442.42184513259076</v>
      </c>
      <c r="B814" s="86">
        <v>443.9240112624795</v>
      </c>
      <c r="C814" s="86">
        <v>440.4060351002239</v>
      </c>
      <c r="D814" s="86">
        <v>443.32314481052401</v>
      </c>
      <c r="E814" s="86">
        <v>5475769.3149486408</v>
      </c>
      <c r="F814" s="86" t="s">
        <v>862</v>
      </c>
      <c r="G814" s="25">
        <f t="shared" si="23"/>
        <v>-2.0330535152150997E-3</v>
      </c>
      <c r="I814" s="86">
        <v>396.90379208051297</v>
      </c>
      <c r="J814" s="86">
        <v>400.66449456752281</v>
      </c>
      <c r="K814" s="86">
        <v>396.4361365647776</v>
      </c>
      <c r="L814" s="86">
        <v>397.76445036112216</v>
      </c>
      <c r="M814" s="86">
        <v>1458180.3583085886</v>
      </c>
      <c r="N814" s="86" t="s">
        <v>862</v>
      </c>
      <c r="O814" s="25">
        <f t="shared" si="24"/>
        <v>-2.1637385639360351E-3</v>
      </c>
    </row>
    <row r="815" spans="1:15">
      <c r="A815" s="86">
        <v>444.86407651795827</v>
      </c>
      <c r="B815" s="86">
        <v>447.88779156650855</v>
      </c>
      <c r="C815" s="86">
        <v>444.2535186716164</v>
      </c>
      <c r="D815" s="86">
        <v>446.85081236716599</v>
      </c>
      <c r="E815" s="86">
        <v>5703919.1468353309</v>
      </c>
      <c r="F815" s="86" t="s">
        <v>863</v>
      </c>
      <c r="G815" s="25">
        <f t="shared" si="23"/>
        <v>-4.4460831092218989E-3</v>
      </c>
      <c r="I815" s="86">
        <v>396.71669245429359</v>
      </c>
      <c r="J815" s="86">
        <v>397.7363854171893</v>
      </c>
      <c r="K815" s="86">
        <v>395.28538031371522</v>
      </c>
      <c r="L815" s="86">
        <v>395.82796922975143</v>
      </c>
      <c r="M815" s="86">
        <v>861554.90129616519</v>
      </c>
      <c r="N815" s="86" t="s">
        <v>863</v>
      </c>
      <c r="O815" s="25">
        <f t="shared" si="24"/>
        <v>2.24522594063159E-3</v>
      </c>
    </row>
    <row r="816" spans="1:15">
      <c r="A816" s="86">
        <v>447.15124559314376</v>
      </c>
      <c r="B816" s="86">
        <v>447.29661650893945</v>
      </c>
      <c r="C816" s="86">
        <v>444.28259285477554</v>
      </c>
      <c r="D816" s="86">
        <v>444.73808839093533</v>
      </c>
      <c r="E816" s="86">
        <v>5877081.0194301177</v>
      </c>
      <c r="F816" s="86" t="s">
        <v>864</v>
      </c>
      <c r="G816" s="25">
        <f t="shared" si="23"/>
        <v>5.4260187404664428E-3</v>
      </c>
      <c r="I816" s="86">
        <v>395.82796922975143</v>
      </c>
      <c r="J816" s="86">
        <v>396.04313379990379</v>
      </c>
      <c r="K816" s="86">
        <v>391.58080771457116</v>
      </c>
      <c r="L816" s="86">
        <v>391.58080771457116</v>
      </c>
      <c r="M816" s="86">
        <v>1215160.097291698</v>
      </c>
      <c r="N816" s="86" t="s">
        <v>864</v>
      </c>
      <c r="O816" s="25">
        <f t="shared" si="24"/>
        <v>1.0846194275885068E-2</v>
      </c>
    </row>
    <row r="817" spans="1:15">
      <c r="A817" s="86">
        <v>444.14691333336623</v>
      </c>
      <c r="B817" s="86">
        <v>444.51518632004866</v>
      </c>
      <c r="C817" s="86">
        <v>440.37696091706476</v>
      </c>
      <c r="D817" s="86">
        <v>442.4848391961022</v>
      </c>
      <c r="E817" s="86">
        <v>5803095.793835775</v>
      </c>
      <c r="F817" s="86" t="s">
        <v>865</v>
      </c>
      <c r="G817" s="25">
        <f t="shared" si="23"/>
        <v>3.7562284400154411E-3</v>
      </c>
      <c r="I817" s="86">
        <v>391.21596344344334</v>
      </c>
      <c r="J817" s="86">
        <v>400.86094917505318</v>
      </c>
      <c r="K817" s="86">
        <v>387.22138642365928</v>
      </c>
      <c r="L817" s="86">
        <v>400.09384070755368</v>
      </c>
      <c r="M817" s="86">
        <v>2676431.8567521083</v>
      </c>
      <c r="N817" s="86" t="s">
        <v>865</v>
      </c>
      <c r="O817" s="25">
        <f t="shared" si="24"/>
        <v>-2.2189487467265345E-2</v>
      </c>
    </row>
    <row r="818" spans="1:15">
      <c r="A818" s="86">
        <v>439.9602309584505</v>
      </c>
      <c r="B818" s="86">
        <v>441.63684218729406</v>
      </c>
      <c r="C818" s="86">
        <v>437.07704112850269</v>
      </c>
      <c r="D818" s="86">
        <v>440.4544920721558</v>
      </c>
      <c r="E818" s="86">
        <v>8411835.9804423042</v>
      </c>
      <c r="F818" s="86" t="s">
        <v>866</v>
      </c>
      <c r="G818" s="25">
        <f t="shared" si="23"/>
        <v>-1.1221615912690996E-3</v>
      </c>
      <c r="I818" s="86">
        <v>399.00866287548115</v>
      </c>
      <c r="J818" s="86">
        <v>404.04164282078284</v>
      </c>
      <c r="K818" s="86">
        <v>395.9402290054831</v>
      </c>
      <c r="L818" s="86">
        <v>401.6467676051746</v>
      </c>
      <c r="M818" s="86">
        <v>1164655.4533704987</v>
      </c>
      <c r="N818" s="86" t="s">
        <v>866</v>
      </c>
      <c r="O818" s="25">
        <f t="shared" si="24"/>
        <v>-6.5682209903572542E-3</v>
      </c>
    </row>
    <row r="819" spans="1:15">
      <c r="A819" s="86">
        <v>446.24994591521045</v>
      </c>
      <c r="B819" s="86">
        <v>448.4595838353049</v>
      </c>
      <c r="C819" s="86">
        <v>445.5618569137776</v>
      </c>
      <c r="D819" s="86">
        <v>446.3953168310062</v>
      </c>
      <c r="E819" s="86">
        <v>4709573.068675111</v>
      </c>
      <c r="F819" s="86" t="s">
        <v>867</v>
      </c>
      <c r="G819" s="25">
        <f t="shared" si="23"/>
        <v>-3.2565510952886623E-4</v>
      </c>
      <c r="I819" s="86">
        <v>400.45868497868145</v>
      </c>
      <c r="J819" s="86">
        <v>402.77872034380198</v>
      </c>
      <c r="K819" s="86">
        <v>398.52220384731072</v>
      </c>
      <c r="L819" s="86">
        <v>399.22382744563345</v>
      </c>
      <c r="M819" s="86">
        <v>1076727.9661145424</v>
      </c>
      <c r="N819" s="86" t="s">
        <v>867</v>
      </c>
      <c r="O819" s="25">
        <f t="shared" si="24"/>
        <v>3.0931458699472447E-3</v>
      </c>
    </row>
    <row r="820" spans="1:15">
      <c r="A820" s="86">
        <v>446.45346519732448</v>
      </c>
      <c r="B820" s="86">
        <v>446.80235539523409</v>
      </c>
      <c r="C820" s="86">
        <v>444.03061660072967</v>
      </c>
      <c r="D820" s="86">
        <v>444.38919819302572</v>
      </c>
      <c r="E820" s="86">
        <v>4130049.6506730891</v>
      </c>
      <c r="F820" s="86" t="s">
        <v>868</v>
      </c>
      <c r="G820" s="25">
        <f t="shared" si="23"/>
        <v>4.6451781742051779E-3</v>
      </c>
      <c r="I820" s="86">
        <v>398.98995291285922</v>
      </c>
      <c r="J820" s="86">
        <v>400.07980823558722</v>
      </c>
      <c r="K820" s="86">
        <v>397.09089170673241</v>
      </c>
      <c r="L820" s="86">
        <v>399.95351598788909</v>
      </c>
      <c r="M820" s="86">
        <v>1110408.4182209016</v>
      </c>
      <c r="N820" s="86" t="s">
        <v>868</v>
      </c>
      <c r="O820" s="25">
        <f t="shared" si="24"/>
        <v>-2.4091876593455019E-3</v>
      </c>
    </row>
    <row r="821" spans="1:15">
      <c r="A821" s="86">
        <v>443.93370265686588</v>
      </c>
      <c r="B821" s="86">
        <v>444.18567891091175</v>
      </c>
      <c r="C821" s="86">
        <v>442.92579764068245</v>
      </c>
      <c r="D821" s="86">
        <v>443.68172640282006</v>
      </c>
      <c r="E821" s="86">
        <v>4317843.0607274687</v>
      </c>
      <c r="F821" s="86" t="s">
        <v>869</v>
      </c>
      <c r="G821" s="25">
        <f t="shared" si="23"/>
        <v>5.6792119001314312E-4</v>
      </c>
      <c r="I821" s="86">
        <v>399.45770197840773</v>
      </c>
      <c r="J821" s="86">
        <v>402.03181863593414</v>
      </c>
      <c r="K821" s="86">
        <v>398.26961935191457</v>
      </c>
      <c r="L821" s="86">
        <v>401.66547756779659</v>
      </c>
      <c r="M821" s="86">
        <v>1039257.0200647676</v>
      </c>
      <c r="N821" s="86" t="s">
        <v>869</v>
      </c>
      <c r="O821" s="25">
        <f t="shared" si="24"/>
        <v>-5.4965530091298787E-3</v>
      </c>
    </row>
    <row r="822" spans="1:15">
      <c r="A822" s="86">
        <v>443.63326943088811</v>
      </c>
      <c r="B822" s="86">
        <v>444.04030799511605</v>
      </c>
      <c r="C822" s="86">
        <v>441.22011222867974</v>
      </c>
      <c r="D822" s="86">
        <v>442.07295493468109</v>
      </c>
      <c r="E822" s="86">
        <v>6978784.1979743959</v>
      </c>
      <c r="F822" s="86" t="s">
        <v>870</v>
      </c>
      <c r="G822" s="25">
        <f t="shared" si="23"/>
        <v>3.5295407212538876E-3</v>
      </c>
      <c r="I822" s="86">
        <v>402.35774618480832</v>
      </c>
      <c r="J822" s="86">
        <v>402.53549082971676</v>
      </c>
      <c r="K822" s="86">
        <v>399.02737283810313</v>
      </c>
      <c r="L822" s="86">
        <v>399.02737283810313</v>
      </c>
      <c r="M822" s="86">
        <v>1048502.3618912211</v>
      </c>
      <c r="N822" s="86" t="s">
        <v>870</v>
      </c>
      <c r="O822" s="25">
        <f t="shared" si="24"/>
        <v>8.3462277863739498E-3</v>
      </c>
    </row>
    <row r="823" spans="1:15">
      <c r="A823" s="86">
        <v>440.01837932476872</v>
      </c>
      <c r="B823" s="86">
        <v>440.27035557881464</v>
      </c>
      <c r="C823" s="86">
        <v>438.25454554644773</v>
      </c>
      <c r="D823" s="86">
        <v>439.58226657738169</v>
      </c>
      <c r="E823" s="86">
        <v>4523189.1565170493</v>
      </c>
      <c r="F823" s="86" t="s">
        <v>871</v>
      </c>
      <c r="G823" s="25">
        <f t="shared" si="23"/>
        <v>9.9210723576881321E-4</v>
      </c>
      <c r="I823" s="86">
        <v>399.41092707185283</v>
      </c>
      <c r="J823" s="86">
        <v>401.34740820322355</v>
      </c>
      <c r="K823" s="86">
        <v>393.24599438792382</v>
      </c>
      <c r="L823" s="86">
        <v>394.76150136030094</v>
      </c>
      <c r="M823" s="86">
        <v>1139332.0462865948</v>
      </c>
      <c r="N823" s="86" t="s">
        <v>871</v>
      </c>
      <c r="O823" s="25">
        <f t="shared" si="24"/>
        <v>1.1777809374851733E-2</v>
      </c>
    </row>
    <row r="824" spans="1:15">
      <c r="A824" s="86">
        <v>438.6518927162893</v>
      </c>
      <c r="B824" s="86">
        <v>440.13467605740527</v>
      </c>
      <c r="C824" s="86">
        <v>436.6360826839225</v>
      </c>
      <c r="D824" s="86">
        <v>439.72763749317738</v>
      </c>
      <c r="E824" s="86">
        <v>7328003.2953580189</v>
      </c>
      <c r="F824" s="86" t="s">
        <v>872</v>
      </c>
      <c r="G824" s="25">
        <f t="shared" si="23"/>
        <v>-2.4463888215459084E-3</v>
      </c>
      <c r="I824" s="86">
        <v>394.49956188359374</v>
      </c>
      <c r="J824" s="86">
        <v>396.99734189362266</v>
      </c>
      <c r="K824" s="86">
        <v>392.75018037844239</v>
      </c>
      <c r="L824" s="86">
        <v>396.65120758511677</v>
      </c>
      <c r="M824" s="86">
        <v>1474744.795462332</v>
      </c>
      <c r="N824" s="86" t="s">
        <v>872</v>
      </c>
      <c r="O824" s="25">
        <f t="shared" si="24"/>
        <v>-5.4245283018867774E-3</v>
      </c>
    </row>
    <row r="825" spans="1:15">
      <c r="A825" s="86">
        <v>440.26066418442821</v>
      </c>
      <c r="B825" s="86">
        <v>441.8112872862489</v>
      </c>
      <c r="C825" s="86">
        <v>435.81231416108022</v>
      </c>
      <c r="D825" s="86">
        <v>436.12243878144437</v>
      </c>
      <c r="E825" s="86">
        <v>6452613.2676935131</v>
      </c>
      <c r="F825" s="86" t="s">
        <v>873</v>
      </c>
      <c r="G825" s="25">
        <f t="shared" si="23"/>
        <v>9.488678029377029E-3</v>
      </c>
      <c r="I825" s="86">
        <v>398.49413890337786</v>
      </c>
      <c r="J825" s="86">
        <v>401.23047093683647</v>
      </c>
      <c r="K825" s="86">
        <v>397.00669687493365</v>
      </c>
      <c r="L825" s="86">
        <v>400.52416984785822</v>
      </c>
      <c r="M825" s="86">
        <v>1041028.2689266514</v>
      </c>
      <c r="N825" s="86" t="s">
        <v>873</v>
      </c>
      <c r="O825" s="25">
        <f t="shared" si="24"/>
        <v>-5.0684355584620366E-3</v>
      </c>
    </row>
    <row r="826" spans="1:15">
      <c r="A826" s="86">
        <v>435.78323997792114</v>
      </c>
      <c r="B826" s="86">
        <v>435.78323997792114</v>
      </c>
      <c r="C826" s="86">
        <v>430.92804521823291</v>
      </c>
      <c r="D826" s="86">
        <v>431.60624899739173</v>
      </c>
      <c r="E826" s="86">
        <v>6333825.4076495552</v>
      </c>
      <c r="F826" s="86" t="s">
        <v>874</v>
      </c>
      <c r="G826" s="25">
        <f t="shared" si="23"/>
        <v>9.6777815201527506E-3</v>
      </c>
      <c r="I826" s="86">
        <v>402.04903180154628</v>
      </c>
      <c r="J826" s="86">
        <v>403.92002806374023</v>
      </c>
      <c r="K826" s="86">
        <v>399.1770525390786</v>
      </c>
      <c r="L826" s="86">
        <v>402.47936094185093</v>
      </c>
      <c r="M826" s="86">
        <v>1256224.8506279264</v>
      </c>
      <c r="N826" s="86" t="s">
        <v>874</v>
      </c>
      <c r="O826" s="25">
        <f t="shared" si="24"/>
        <v>-1.0691955465682579E-3</v>
      </c>
    </row>
    <row r="827" spans="1:15">
      <c r="A827" s="86">
        <v>430.1234656562757</v>
      </c>
      <c r="B827" s="86">
        <v>435.59425778738671</v>
      </c>
      <c r="C827" s="86">
        <v>430.0556258955711</v>
      </c>
      <c r="D827" s="86">
        <v>435.1823735259656</v>
      </c>
      <c r="E827" s="86">
        <v>7334386.2777786851</v>
      </c>
      <c r="F827" s="86" t="s">
        <v>875</v>
      </c>
      <c r="G827" s="25">
        <f t="shared" si="23"/>
        <v>-1.1624799572421241E-2</v>
      </c>
      <c r="I827" s="86">
        <v>401.71225247435143</v>
      </c>
      <c r="J827" s="86">
        <v>405.7442494193794</v>
      </c>
      <c r="K827" s="86">
        <v>401.3823958333266</v>
      </c>
      <c r="L827" s="86">
        <v>404.46261697977656</v>
      </c>
      <c r="M827" s="86">
        <v>1197289.4041879112</v>
      </c>
      <c r="N827" s="86" t="s">
        <v>875</v>
      </c>
      <c r="O827" s="25">
        <f t="shared" si="24"/>
        <v>-6.8000462588181376E-3</v>
      </c>
    </row>
    <row r="828" spans="1:15">
      <c r="A828" s="86">
        <v>437.24664053026436</v>
      </c>
      <c r="B828" s="86">
        <v>437.8668897709926</v>
      </c>
      <c r="C828" s="86">
        <v>436.53916874005864</v>
      </c>
      <c r="D828" s="86">
        <v>436.92682451551383</v>
      </c>
      <c r="E828" s="86">
        <v>3518537.0278528505</v>
      </c>
      <c r="F828" s="86" t="s">
        <v>876</v>
      </c>
      <c r="G828" s="25">
        <f t="shared" si="23"/>
        <v>7.3196699494282313E-4</v>
      </c>
      <c r="I828" s="86">
        <v>403.83583323194154</v>
      </c>
      <c r="J828" s="86">
        <v>403.99486791422805</v>
      </c>
      <c r="K828" s="86">
        <v>400.18271303000785</v>
      </c>
      <c r="L828" s="86">
        <v>403.45227899819179</v>
      </c>
      <c r="M828" s="86">
        <v>1086453.2661419532</v>
      </c>
      <c r="N828" s="86" t="s">
        <v>876</v>
      </c>
      <c r="O828" s="25">
        <f t="shared" si="24"/>
        <v>9.5068054814850811E-4</v>
      </c>
    </row>
    <row r="829" spans="1:15">
      <c r="A829" s="86">
        <v>437.55676515062845</v>
      </c>
      <c r="B829" s="86">
        <v>437.67286805537731</v>
      </c>
      <c r="C829" s="86">
        <v>433.89458103990358</v>
      </c>
      <c r="D829" s="86">
        <v>434.39737058066891</v>
      </c>
      <c r="E829" s="86">
        <v>4687923.9651885284</v>
      </c>
      <c r="F829" s="86" t="s">
        <v>877</v>
      </c>
      <c r="G829" s="25">
        <f t="shared" si="23"/>
        <v>7.2730517814514339E-3</v>
      </c>
      <c r="I829" s="86">
        <v>400.40255509081567</v>
      </c>
      <c r="J829" s="86">
        <v>404.16325757782545</v>
      </c>
      <c r="K829" s="86">
        <v>398.11993965093905</v>
      </c>
      <c r="L829" s="86">
        <v>403.19969450279558</v>
      </c>
      <c r="M829" s="86">
        <v>2034552.4344000022</v>
      </c>
      <c r="N829" s="86" t="s">
        <v>877</v>
      </c>
      <c r="O829" s="25">
        <f t="shared" si="24"/>
        <v>-6.9373549883989805E-3</v>
      </c>
    </row>
    <row r="830" spans="1:15">
      <c r="A830" s="86">
        <v>434.39737058066891</v>
      </c>
      <c r="B830" s="86">
        <v>435.63786906212539</v>
      </c>
      <c r="C830" s="86">
        <v>433.36039138132634</v>
      </c>
      <c r="D830" s="86">
        <v>434.27138245364597</v>
      </c>
      <c r="E830" s="86">
        <v>6607947.9842453236</v>
      </c>
      <c r="F830" s="86" t="s">
        <v>878</v>
      </c>
      <c r="G830" s="25">
        <f t="shared" si="23"/>
        <v>2.9011381388088786E-4</v>
      </c>
      <c r="I830" s="86">
        <v>402.18000153989993</v>
      </c>
      <c r="J830" s="86">
        <v>405.46603227519114</v>
      </c>
      <c r="K830" s="86">
        <v>399.18640752038954</v>
      </c>
      <c r="L830" s="86">
        <v>404.10712768995967</v>
      </c>
      <c r="M830" s="86">
        <v>1347457.5288802285</v>
      </c>
      <c r="N830" s="86" t="s">
        <v>878</v>
      </c>
      <c r="O830" s="25">
        <f t="shared" si="24"/>
        <v>-4.7688496886356679E-3</v>
      </c>
    </row>
    <row r="831" spans="1:15">
      <c r="A831" s="86">
        <v>434.6590382291011</v>
      </c>
      <c r="B831" s="86">
        <v>434.91101448314697</v>
      </c>
      <c r="C831" s="86">
        <v>432.34279497075653</v>
      </c>
      <c r="D831" s="86">
        <v>434.31014803119149</v>
      </c>
      <c r="E831" s="86">
        <v>4299747.625436292</v>
      </c>
      <c r="F831" s="86" t="s">
        <v>879</v>
      </c>
      <c r="G831" s="25">
        <f t="shared" si="23"/>
        <v>8.033203909492137E-4</v>
      </c>
      <c r="I831" s="86">
        <v>403.23711442803949</v>
      </c>
      <c r="J831" s="86">
        <v>405.95258485317464</v>
      </c>
      <c r="K831" s="86">
        <v>398.2883293145365</v>
      </c>
      <c r="L831" s="86">
        <v>402.26419637169863</v>
      </c>
      <c r="M831" s="86">
        <v>1938924.2369442806</v>
      </c>
      <c r="N831" s="86" t="s">
        <v>879</v>
      </c>
      <c r="O831" s="25">
        <f t="shared" si="24"/>
        <v>2.4186046511627257E-3</v>
      </c>
    </row>
    <row r="832" spans="1:15">
      <c r="A832" s="86">
        <v>432.22649823811997</v>
      </c>
      <c r="B832" s="86">
        <v>435.32735678598578</v>
      </c>
      <c r="C832" s="86">
        <v>431.99390477284686</v>
      </c>
      <c r="D832" s="86">
        <v>434.48459313014632</v>
      </c>
      <c r="E832" s="86">
        <v>4713670.518269754</v>
      </c>
      <c r="F832" s="86" t="s">
        <v>880</v>
      </c>
      <c r="G832" s="25">
        <f t="shared" si="23"/>
        <v>-5.1971805852962794E-3</v>
      </c>
      <c r="I832" s="86">
        <v>403.80776828800862</v>
      </c>
      <c r="J832" s="86">
        <v>414.61277170217869</v>
      </c>
      <c r="K832" s="86">
        <v>403.70954098424346</v>
      </c>
      <c r="L832" s="86">
        <v>411.17013857974177</v>
      </c>
      <c r="M832" s="86">
        <v>1890834.3493169835</v>
      </c>
      <c r="N832" s="86" t="s">
        <v>880</v>
      </c>
      <c r="O832" s="25">
        <f t="shared" si="24"/>
        <v>-1.7905897342555432E-2</v>
      </c>
    </row>
    <row r="833" spans="1:15">
      <c r="A833" s="86">
        <v>431.86791664582398</v>
      </c>
      <c r="B833" s="86">
        <v>432.06174453355152</v>
      </c>
      <c r="C833" s="86">
        <v>430.08470007873018</v>
      </c>
      <c r="D833" s="86">
        <v>431.10229648929999</v>
      </c>
      <c r="E833" s="86">
        <v>3355127.1059301812</v>
      </c>
      <c r="F833" s="86" t="s">
        <v>881</v>
      </c>
      <c r="G833" s="25">
        <f t="shared" si="23"/>
        <v>1.7759593552593156E-3</v>
      </c>
      <c r="I833" s="86">
        <v>411.31046329940636</v>
      </c>
      <c r="J833" s="86">
        <v>429.39364217351084</v>
      </c>
      <c r="K833" s="86">
        <v>405.90328410166586</v>
      </c>
      <c r="L833" s="86">
        <v>429.01008793976109</v>
      </c>
      <c r="M833" s="86">
        <v>3862597.7753294199</v>
      </c>
      <c r="N833" s="86" t="s">
        <v>881</v>
      </c>
      <c r="O833" s="25">
        <f t="shared" si="24"/>
        <v>-4.1256896138162635E-2</v>
      </c>
    </row>
    <row r="834" spans="1:15">
      <c r="A834" s="86">
        <v>430.58865258682192</v>
      </c>
      <c r="B834" s="86">
        <v>432.15865847741532</v>
      </c>
      <c r="C834" s="86">
        <v>429.98778613486644</v>
      </c>
      <c r="D834" s="86">
        <v>431.04414812298171</v>
      </c>
      <c r="E834" s="86">
        <v>6057345.0691994019</v>
      </c>
      <c r="F834" s="86" t="s">
        <v>882</v>
      </c>
      <c r="G834" s="25">
        <f t="shared" si="23"/>
        <v>-1.0567259482427982E-3</v>
      </c>
      <c r="I834" s="86">
        <v>429.16912262204755</v>
      </c>
      <c r="J834" s="86">
        <v>431.10092626276281</v>
      </c>
      <c r="K834" s="86">
        <v>426.06326882680565</v>
      </c>
      <c r="L834" s="86">
        <v>428.07458980866409</v>
      </c>
      <c r="M834" s="86">
        <v>1300687.7935428689</v>
      </c>
      <c r="N834" s="86" t="s">
        <v>882</v>
      </c>
      <c r="O834" s="25">
        <f t="shared" si="24"/>
        <v>2.5568740575625526E-3</v>
      </c>
    </row>
    <row r="835" spans="1:15">
      <c r="A835" s="86">
        <v>429.60982175379763</v>
      </c>
      <c r="B835" s="86">
        <v>429.91994637416178</v>
      </c>
      <c r="C835" s="86">
        <v>424.78350734938084</v>
      </c>
      <c r="D835" s="86">
        <v>425.45221356204104</v>
      </c>
      <c r="E835" s="86">
        <v>4990821.5548404111</v>
      </c>
      <c r="F835" s="86" t="s">
        <v>883</v>
      </c>
      <c r="G835" s="25">
        <f t="shared" si="23"/>
        <v>9.7722095671981535E-3</v>
      </c>
      <c r="I835" s="86">
        <v>428.2336244909506</v>
      </c>
      <c r="J835" s="86">
        <v>431.12431371604026</v>
      </c>
      <c r="K835" s="86">
        <v>426.54972785497603</v>
      </c>
      <c r="L835" s="86">
        <v>430.85301925802213</v>
      </c>
      <c r="M835" s="86">
        <v>926324.67259324866</v>
      </c>
      <c r="N835" s="86" t="s">
        <v>883</v>
      </c>
      <c r="O835" s="25">
        <f t="shared" si="24"/>
        <v>-6.0795553239534339E-3</v>
      </c>
    </row>
    <row r="836" spans="1:15">
      <c r="A836" s="86">
        <v>424.41523436269847</v>
      </c>
      <c r="B836" s="86">
        <v>424.86103850447188</v>
      </c>
      <c r="C836" s="86">
        <v>420.76157867903356</v>
      </c>
      <c r="D836" s="86">
        <v>422.13775668189936</v>
      </c>
      <c r="E836" s="86">
        <v>4469207.2444059001</v>
      </c>
      <c r="F836" s="86" t="s">
        <v>884</v>
      </c>
      <c r="G836" s="25">
        <f t="shared" si="23"/>
        <v>5.395105376739151E-3</v>
      </c>
      <c r="I836" s="86">
        <v>429.92687610823612</v>
      </c>
      <c r="J836" s="86">
        <v>430.31043034198592</v>
      </c>
      <c r="K836" s="86">
        <v>424.28582237772139</v>
      </c>
      <c r="L836" s="86">
        <v>426.68069759332968</v>
      </c>
      <c r="M836" s="86">
        <v>834282.79977942212</v>
      </c>
      <c r="N836" s="86" t="s">
        <v>884</v>
      </c>
      <c r="O836" s="25">
        <f t="shared" si="24"/>
        <v>7.607980705985451E-3</v>
      </c>
    </row>
    <row r="837" spans="1:15">
      <c r="A837" s="86">
        <v>420.67435612955614</v>
      </c>
      <c r="B837" s="86">
        <v>421.07170329939771</v>
      </c>
      <c r="C837" s="86">
        <v>418.48410099823445</v>
      </c>
      <c r="D837" s="86">
        <v>420.21886059339636</v>
      </c>
      <c r="E837" s="86">
        <v>6237091.1336510051</v>
      </c>
      <c r="F837" s="86" t="s">
        <v>885</v>
      </c>
      <c r="G837" s="25">
        <f t="shared" si="23"/>
        <v>1.0839483394833316E-3</v>
      </c>
      <c r="I837" s="86">
        <v>427.02683190183552</v>
      </c>
      <c r="J837" s="86">
        <v>432.93918009036838</v>
      </c>
      <c r="K837" s="86">
        <v>425.72648949961069</v>
      </c>
      <c r="L837" s="86">
        <v>428.14942965915191</v>
      </c>
      <c r="M837" s="86">
        <v>984320.51266657945</v>
      </c>
      <c r="N837" s="86" t="s">
        <v>885</v>
      </c>
      <c r="O837" s="25">
        <f t="shared" si="24"/>
        <v>-2.6219765333100886E-3</v>
      </c>
    </row>
    <row r="838" spans="1:15">
      <c r="A838" s="86">
        <v>423.02936496544623</v>
      </c>
      <c r="B838" s="86">
        <v>424.46369133463037</v>
      </c>
      <c r="C838" s="86">
        <v>421.32367955344353</v>
      </c>
      <c r="D838" s="86">
        <v>423.31041540265124</v>
      </c>
      <c r="E838" s="86">
        <v>5913327.6095486367</v>
      </c>
      <c r="F838" s="86" t="s">
        <v>886</v>
      </c>
      <c r="G838" s="25">
        <f t="shared" si="23"/>
        <v>-6.6393461388769559E-4</v>
      </c>
      <c r="I838" s="86">
        <v>428.30846434143837</v>
      </c>
      <c r="J838" s="86">
        <v>436.19471358658586</v>
      </c>
      <c r="K838" s="86">
        <v>426.92392710741484</v>
      </c>
      <c r="L838" s="86">
        <v>436.19471358658586</v>
      </c>
      <c r="M838" s="86">
        <v>871108.10049873369</v>
      </c>
      <c r="N838" s="86" t="s">
        <v>886</v>
      </c>
      <c r="O838" s="25">
        <f t="shared" si="24"/>
        <v>-1.8079653419692421E-2</v>
      </c>
    </row>
    <row r="839" spans="1:15">
      <c r="A839" s="86">
        <v>424.47338272901675</v>
      </c>
      <c r="B839" s="86">
        <v>426.22752511295135</v>
      </c>
      <c r="C839" s="86">
        <v>423.25226703633297</v>
      </c>
      <c r="D839" s="86">
        <v>425.55881890029121</v>
      </c>
      <c r="E839" s="86">
        <v>5347702.0884467047</v>
      </c>
      <c r="F839" s="86" t="s">
        <v>887</v>
      </c>
      <c r="G839" s="25">
        <f t="shared" si="23"/>
        <v>-2.5506137414315067E-3</v>
      </c>
      <c r="I839" s="86">
        <v>433.3040243614962</v>
      </c>
      <c r="J839" s="86">
        <v>433.49112398771558</v>
      </c>
      <c r="K839" s="86">
        <v>427.0829617897013</v>
      </c>
      <c r="L839" s="86">
        <v>427.86878021982278</v>
      </c>
      <c r="M839" s="86">
        <v>1033112.699933139</v>
      </c>
      <c r="N839" s="86" t="s">
        <v>887</v>
      </c>
      <c r="O839" s="25">
        <f t="shared" si="24"/>
        <v>1.2703063165489636E-2</v>
      </c>
    </row>
    <row r="840" spans="1:15">
      <c r="A840" s="86">
        <v>424.27955484128915</v>
      </c>
      <c r="B840" s="86">
        <v>425.79625806275749</v>
      </c>
      <c r="C840" s="86">
        <v>420.60651636885149</v>
      </c>
      <c r="D840" s="86">
        <v>425.39406519572276</v>
      </c>
      <c r="E840" s="86">
        <v>4949325.9780465066</v>
      </c>
      <c r="F840" s="86" t="s">
        <v>888</v>
      </c>
      <c r="G840" s="25">
        <f t="shared" si="23"/>
        <v>-2.6199480566820865E-3</v>
      </c>
      <c r="I840" s="86">
        <v>423.90226814397164</v>
      </c>
      <c r="J840" s="86">
        <v>428.27104441619451</v>
      </c>
      <c r="K840" s="86">
        <v>420.37544018973603</v>
      </c>
      <c r="L840" s="86">
        <v>427.11102673363422</v>
      </c>
      <c r="M840" s="86">
        <v>838894.24672581139</v>
      </c>
      <c r="N840" s="86" t="s">
        <v>888</v>
      </c>
      <c r="O840" s="25">
        <f t="shared" si="24"/>
        <v>-7.5127036972139072E-3</v>
      </c>
    </row>
    <row r="841" spans="1:15">
      <c r="A841" s="86">
        <v>424.42492575708485</v>
      </c>
      <c r="B841" s="86">
        <v>425.19539161080201</v>
      </c>
      <c r="C841" s="86">
        <v>422.04084273803562</v>
      </c>
      <c r="D841" s="86">
        <v>422.32189317524058</v>
      </c>
      <c r="E841" s="86">
        <v>4415093.2563571753</v>
      </c>
      <c r="F841" s="86" t="s">
        <v>889</v>
      </c>
      <c r="G841" s="25">
        <f t="shared" si="23"/>
        <v>4.9796911214632367E-3</v>
      </c>
      <c r="I841" s="86">
        <v>426.02584890156174</v>
      </c>
      <c r="J841" s="86">
        <v>430.00639344937935</v>
      </c>
      <c r="K841" s="86">
        <v>425.44584006028163</v>
      </c>
      <c r="L841" s="86">
        <v>426.77424740643932</v>
      </c>
      <c r="M841" s="86">
        <v>712011.04294985894</v>
      </c>
      <c r="N841" s="86" t="s">
        <v>889</v>
      </c>
      <c r="O841" s="25">
        <f t="shared" si="24"/>
        <v>-1.7536168347216385E-3</v>
      </c>
    </row>
    <row r="842" spans="1:15">
      <c r="A842" s="86">
        <v>421.64349556819406</v>
      </c>
      <c r="B842" s="86">
        <v>422.96152520474158</v>
      </c>
      <c r="C842" s="86">
        <v>419.79563740054311</v>
      </c>
      <c r="D842" s="86">
        <v>420.23824338216906</v>
      </c>
      <c r="E842" s="86">
        <v>8192388.7146299593</v>
      </c>
      <c r="F842" s="86" t="s">
        <v>890</v>
      </c>
      <c r="G842" s="25">
        <f t="shared" si="23"/>
        <v>3.3439417001062122E-3</v>
      </c>
      <c r="I842" s="86">
        <v>426.85844223823807</v>
      </c>
      <c r="J842" s="86">
        <v>429.02879790238308</v>
      </c>
      <c r="K842" s="86">
        <v>424.03323788232518</v>
      </c>
      <c r="L842" s="86">
        <v>428.97266801451724</v>
      </c>
      <c r="M842" s="86">
        <v>783587.88289659633</v>
      </c>
      <c r="N842" s="86" t="s">
        <v>890</v>
      </c>
      <c r="O842" s="25">
        <f t="shared" si="24"/>
        <v>-4.9285792170974396E-3</v>
      </c>
    </row>
    <row r="843" spans="1:15">
      <c r="A843" s="86">
        <v>422.67078337315024</v>
      </c>
      <c r="B843" s="86">
        <v>422.8064628945595</v>
      </c>
      <c r="C843" s="86">
        <v>417.08854020659589</v>
      </c>
      <c r="D843" s="86">
        <v>417.16607136168687</v>
      </c>
      <c r="E843" s="86">
        <v>7452345.5676830057</v>
      </c>
      <c r="F843" s="86" t="s">
        <v>891</v>
      </c>
      <c r="G843" s="25">
        <f t="shared" si="23"/>
        <v>1.3195493088628218E-2</v>
      </c>
      <c r="I843" s="86">
        <v>429.01944292107208</v>
      </c>
      <c r="J843" s="86">
        <v>429.10363775287078</v>
      </c>
      <c r="K843" s="86">
        <v>424.27656094622353</v>
      </c>
      <c r="L843" s="86">
        <v>425.09970575177579</v>
      </c>
      <c r="M843" s="86">
        <v>765598.53642909869</v>
      </c>
      <c r="N843" s="86" t="s">
        <v>891</v>
      </c>
      <c r="O843" s="25">
        <f t="shared" si="24"/>
        <v>9.2207477828392115E-3</v>
      </c>
    </row>
    <row r="844" spans="1:15">
      <c r="A844" s="86">
        <v>416.71057582552709</v>
      </c>
      <c r="B844" s="86">
        <v>418.95897932316706</v>
      </c>
      <c r="C844" s="86">
        <v>415.41192897775227</v>
      </c>
      <c r="D844" s="86">
        <v>416.33261144445828</v>
      </c>
      <c r="E844" s="86">
        <v>5906898.1941811666</v>
      </c>
      <c r="F844" s="86" t="s">
        <v>892</v>
      </c>
      <c r="G844" s="25">
        <f t="shared" si="23"/>
        <v>9.0784236132135376E-4</v>
      </c>
      <c r="I844" s="86">
        <v>427.05489684576844</v>
      </c>
      <c r="J844" s="86">
        <v>430.43204509902853</v>
      </c>
      <c r="K844" s="86">
        <v>424.03323788232518</v>
      </c>
      <c r="L844" s="86">
        <v>430.36656022985176</v>
      </c>
      <c r="M844" s="86">
        <v>753955.54149630503</v>
      </c>
      <c r="N844" s="86" t="s">
        <v>892</v>
      </c>
      <c r="O844" s="25">
        <f t="shared" si="24"/>
        <v>-7.6949830449526413E-3</v>
      </c>
    </row>
    <row r="845" spans="1:15">
      <c r="A845" s="86">
        <v>416.17754913427626</v>
      </c>
      <c r="B845" s="86">
        <v>419.42416625371322</v>
      </c>
      <c r="C845" s="86">
        <v>415.96433845777591</v>
      </c>
      <c r="D845" s="86">
        <v>417.04977462905038</v>
      </c>
      <c r="E845" s="86">
        <v>4070888.9172283928</v>
      </c>
      <c r="F845" s="86" t="s">
        <v>893</v>
      </c>
      <c r="G845" s="25">
        <f t="shared" si="23"/>
        <v>-2.0914182139288862E-3</v>
      </c>
      <c r="I845" s="86">
        <v>428.33652928537128</v>
      </c>
      <c r="J845" s="86">
        <v>434.02435792244086</v>
      </c>
      <c r="K845" s="86">
        <v>428.24297947226154</v>
      </c>
      <c r="L845" s="86">
        <v>432.49014098744186</v>
      </c>
      <c r="M845" s="86">
        <v>1162812.5849106992</v>
      </c>
      <c r="N845" s="86" t="s">
        <v>893</v>
      </c>
      <c r="O845" s="25">
        <f t="shared" si="24"/>
        <v>-9.603945404598635E-3</v>
      </c>
    </row>
    <row r="846" spans="1:15">
      <c r="A846" s="86">
        <v>417.49557877082384</v>
      </c>
      <c r="B846" s="86">
        <v>419.63737693021358</v>
      </c>
      <c r="C846" s="86">
        <v>416.97224347395934</v>
      </c>
      <c r="D846" s="86">
        <v>418.97836211193982</v>
      </c>
      <c r="E846" s="86">
        <v>4958057.435732197</v>
      </c>
      <c r="F846" s="86" t="s">
        <v>894</v>
      </c>
      <c r="G846" s="25">
        <f t="shared" si="23"/>
        <v>-3.5390451517394172E-3</v>
      </c>
      <c r="I846" s="86">
        <v>429.50590194924251</v>
      </c>
      <c r="J846" s="86">
        <v>434.16468264210545</v>
      </c>
      <c r="K846" s="86">
        <v>428.27572190684998</v>
      </c>
      <c r="L846" s="86">
        <v>429.19718756598053</v>
      </c>
      <c r="M846" s="86">
        <v>1255269.2100229028</v>
      </c>
      <c r="N846" s="86" t="s">
        <v>894</v>
      </c>
      <c r="O846" s="25">
        <f t="shared" si="24"/>
        <v>7.1928333224358099E-4</v>
      </c>
    </row>
    <row r="847" spans="1:15">
      <c r="A847" s="86">
        <v>420.61620776323787</v>
      </c>
      <c r="B847" s="86">
        <v>421.83732345592159</v>
      </c>
      <c r="C847" s="86">
        <v>419.01712768948533</v>
      </c>
      <c r="D847" s="86">
        <v>420.51929381937407</v>
      </c>
      <c r="E847" s="86">
        <v>9365051.7543234807</v>
      </c>
      <c r="F847" s="86" t="s">
        <v>895</v>
      </c>
      <c r="G847" s="25">
        <f t="shared" si="23"/>
        <v>2.3046253831449093E-4</v>
      </c>
      <c r="I847" s="86">
        <v>426.69940755595155</v>
      </c>
      <c r="J847" s="86">
        <v>432.24691147335665</v>
      </c>
      <c r="K847" s="86">
        <v>424.99680095735511</v>
      </c>
      <c r="L847" s="86">
        <v>424.99680095735511</v>
      </c>
      <c r="M847" s="86">
        <v>1289877.5100544973</v>
      </c>
      <c r="N847" s="86" t="s">
        <v>895</v>
      </c>
      <c r="O847" s="25">
        <f t="shared" si="24"/>
        <v>4.0061633281971432E-3</v>
      </c>
    </row>
    <row r="848" spans="1:15">
      <c r="A848" s="86">
        <v>423.32010679703762</v>
      </c>
      <c r="B848" s="86">
        <v>424.81258153253998</v>
      </c>
      <c r="C848" s="86">
        <v>421.51750744117112</v>
      </c>
      <c r="D848" s="86">
        <v>424.35708599638019</v>
      </c>
      <c r="E848" s="86">
        <v>4516259.297167358</v>
      </c>
      <c r="F848" s="86" t="s">
        <v>896</v>
      </c>
      <c r="G848" s="25">
        <f t="shared" si="23"/>
        <v>-2.4436476579806632E-3</v>
      </c>
      <c r="I848" s="86">
        <v>424.00517293839232</v>
      </c>
      <c r="J848" s="86">
        <v>424.24840245247748</v>
      </c>
      <c r="K848" s="86">
        <v>422.04811084813747</v>
      </c>
      <c r="L848" s="86">
        <v>422.84515525583203</v>
      </c>
      <c r="M848" s="86">
        <v>889939.77895365714</v>
      </c>
      <c r="N848" s="86" t="s">
        <v>896</v>
      </c>
      <c r="O848" s="25">
        <f t="shared" si="24"/>
        <v>2.7433628318584979E-3</v>
      </c>
    </row>
    <row r="849" spans="1:15">
      <c r="A849" s="86">
        <v>424.45399994024399</v>
      </c>
      <c r="B849" s="86">
        <v>425.29715125185891</v>
      </c>
      <c r="C849" s="86">
        <v>424.15356671426622</v>
      </c>
      <c r="D849" s="86">
        <v>424.72535898306256</v>
      </c>
      <c r="E849" s="86">
        <v>4853434.7199932663</v>
      </c>
      <c r="F849" s="86" t="s">
        <v>897</v>
      </c>
      <c r="G849" s="25">
        <f t="shared" si="23"/>
        <v>-6.3890473474037535E-4</v>
      </c>
      <c r="I849" s="86">
        <v>422.12482169488737</v>
      </c>
      <c r="J849" s="86">
        <v>422.68144308289004</v>
      </c>
      <c r="K849" s="86">
        <v>419.53349187174877</v>
      </c>
      <c r="L849" s="86">
        <v>420.01059591860826</v>
      </c>
      <c r="M849" s="86">
        <v>793004.25659866934</v>
      </c>
      <c r="N849" s="86" t="s">
        <v>897</v>
      </c>
      <c r="O849" s="25">
        <f t="shared" si="24"/>
        <v>5.0337439027106079E-3</v>
      </c>
    </row>
    <row r="850" spans="1:15">
      <c r="A850" s="86">
        <v>424.38616017953927</v>
      </c>
      <c r="B850" s="86">
        <v>424.50245691217583</v>
      </c>
      <c r="C850" s="86">
        <v>422.95183381035525</v>
      </c>
      <c r="D850" s="86">
        <v>423.4121750437082</v>
      </c>
      <c r="E850" s="86">
        <v>4407011.8599267425</v>
      </c>
      <c r="F850" s="86" t="s">
        <v>898</v>
      </c>
      <c r="G850" s="25">
        <f t="shared" si="23"/>
        <v>2.3003238764462974E-3</v>
      </c>
      <c r="I850" s="86">
        <v>420.01059591860826</v>
      </c>
      <c r="J850" s="86">
        <v>421.9269638401604</v>
      </c>
      <c r="K850" s="86">
        <v>419.48671696519392</v>
      </c>
      <c r="L850" s="86">
        <v>419.61768670354752</v>
      </c>
      <c r="M850" s="86">
        <v>748216.35312005004</v>
      </c>
      <c r="N850" s="86" t="s">
        <v>898</v>
      </c>
      <c r="O850" s="25">
        <f t="shared" si="24"/>
        <v>9.3635046260165389E-4</v>
      </c>
    </row>
    <row r="851" spans="1:15">
      <c r="A851" s="86">
        <v>423.61084862862901</v>
      </c>
      <c r="B851" s="86">
        <v>424.40554296831209</v>
      </c>
      <c r="C851" s="86">
        <v>422.13775668189936</v>
      </c>
      <c r="D851" s="86">
        <v>422.22071501784677</v>
      </c>
      <c r="E851" s="86">
        <v>3957982.5637796163</v>
      </c>
      <c r="F851" s="86" t="s">
        <v>899</v>
      </c>
      <c r="G851" s="25">
        <f t="shared" si="23"/>
        <v>3.2924334627293383E-3</v>
      </c>
      <c r="I851" s="86">
        <v>421.14254865723558</v>
      </c>
      <c r="J851" s="86">
        <v>422.32127630241774</v>
      </c>
      <c r="K851" s="86">
        <v>418.93477306784666</v>
      </c>
      <c r="L851" s="86">
        <v>419.24348745110865</v>
      </c>
      <c r="M851" s="86">
        <v>552630.7138569894</v>
      </c>
      <c r="N851" s="86" t="s">
        <v>899</v>
      </c>
      <c r="O851" s="25">
        <f t="shared" si="24"/>
        <v>4.529733348209497E-3</v>
      </c>
    </row>
    <row r="852" spans="1:15">
      <c r="A852" s="86">
        <v>421.85670624469441</v>
      </c>
      <c r="B852" s="86">
        <v>423.35693409570587</v>
      </c>
      <c r="C852" s="86">
        <v>420.1025638607598</v>
      </c>
      <c r="D852" s="86">
        <v>422.02145994926281</v>
      </c>
      <c r="E852" s="86">
        <v>4166406.6480206759</v>
      </c>
      <c r="F852" s="86" t="s">
        <v>900</v>
      </c>
      <c r="G852" s="25">
        <f t="shared" si="23"/>
        <v>-3.9039176962285538E-4</v>
      </c>
      <c r="I852" s="86">
        <v>419.30897232028553</v>
      </c>
      <c r="J852" s="86">
        <v>422.60192574174687</v>
      </c>
      <c r="K852" s="86">
        <v>419.20606752586485</v>
      </c>
      <c r="L852" s="86">
        <v>420.97415899363807</v>
      </c>
      <c r="M852" s="86">
        <v>666783.80134074215</v>
      </c>
      <c r="N852" s="86" t="s">
        <v>900</v>
      </c>
      <c r="O852" s="25">
        <f t="shared" si="24"/>
        <v>-3.955555555555379E-3</v>
      </c>
    </row>
    <row r="853" spans="1:15">
      <c r="A853" s="86">
        <v>420.87787541167006</v>
      </c>
      <c r="B853" s="86">
        <v>421.22676560957973</v>
      </c>
      <c r="C853" s="86">
        <v>417.55876666222304</v>
      </c>
      <c r="D853" s="86">
        <v>419.76336505723651</v>
      </c>
      <c r="E853" s="86">
        <v>4768773.012163775</v>
      </c>
      <c r="F853" s="86" t="s">
        <v>901</v>
      </c>
      <c r="G853" s="25">
        <f t="shared" si="23"/>
        <v>2.6550920047097026E-3</v>
      </c>
      <c r="I853" s="86">
        <v>419.1218726940661</v>
      </c>
      <c r="J853" s="86">
        <v>419.19671254455386</v>
      </c>
      <c r="K853" s="86">
        <v>415.5623023052421</v>
      </c>
      <c r="L853" s="86">
        <v>415.58568975851955</v>
      </c>
      <c r="M853" s="86">
        <v>681176.13367411844</v>
      </c>
      <c r="N853" s="86" t="s">
        <v>901</v>
      </c>
      <c r="O853" s="25">
        <f t="shared" si="24"/>
        <v>8.5089141004861535E-3</v>
      </c>
    </row>
    <row r="854" spans="1:15">
      <c r="A854" s="86">
        <v>416.81718116377726</v>
      </c>
      <c r="B854" s="86">
        <v>423.80952221354977</v>
      </c>
      <c r="C854" s="86">
        <v>416.63304467043605</v>
      </c>
      <c r="D854" s="86">
        <v>422.0699169211947</v>
      </c>
      <c r="E854" s="86">
        <v>5967391.0372775085</v>
      </c>
      <c r="F854" s="86" t="s">
        <v>902</v>
      </c>
      <c r="G854" s="25">
        <f t="shared" si="23"/>
        <v>-1.2445179215172963E-2</v>
      </c>
      <c r="I854" s="86">
        <v>414.0514728235205</v>
      </c>
      <c r="J854" s="86">
        <v>419.61759315373433</v>
      </c>
      <c r="K854" s="86">
        <v>414.02340787958758</v>
      </c>
      <c r="L854" s="86">
        <v>419.14058265668803</v>
      </c>
      <c r="M854" s="86">
        <v>1396971.2568720574</v>
      </c>
      <c r="N854" s="86" t="s">
        <v>902</v>
      </c>
      <c r="O854" s="25">
        <f t="shared" si="24"/>
        <v>-1.2141773055977079E-2</v>
      </c>
    </row>
    <row r="855" spans="1:15">
      <c r="A855" s="86">
        <v>422.92169359173687</v>
      </c>
      <c r="B855" s="86">
        <v>422.9506482707751</v>
      </c>
      <c r="C855" s="86">
        <v>420.75974422355068</v>
      </c>
      <c r="D855" s="86">
        <v>420.84660826066533</v>
      </c>
      <c r="E855" s="86">
        <v>4208136.4410642581</v>
      </c>
      <c r="F855" s="86" t="s">
        <v>903</v>
      </c>
      <c r="G855" s="25">
        <f t="shared" si="23"/>
        <v>4.9307402990550475E-3</v>
      </c>
      <c r="I855" s="86">
        <v>418.9067081239138</v>
      </c>
      <c r="J855" s="86">
        <v>419.65510662879132</v>
      </c>
      <c r="K855" s="86">
        <v>417.37249118891475</v>
      </c>
      <c r="L855" s="86">
        <v>418.80380332949312</v>
      </c>
      <c r="M855" s="86">
        <v>742952.84714786161</v>
      </c>
      <c r="N855" s="86" t="s">
        <v>903</v>
      </c>
      <c r="O855" s="25">
        <f t="shared" si="24"/>
        <v>2.4571122230176989E-4</v>
      </c>
    </row>
    <row r="856" spans="1:15">
      <c r="A856" s="86">
        <v>420.36403027669525</v>
      </c>
      <c r="B856" s="86">
        <v>421.19406440912377</v>
      </c>
      <c r="C856" s="86">
        <v>419.3120102716403</v>
      </c>
      <c r="D856" s="86">
        <v>419.49538990554896</v>
      </c>
      <c r="E856" s="86">
        <v>4435008.581188201</v>
      </c>
      <c r="F856" s="86" t="s">
        <v>904</v>
      </c>
      <c r="G856" s="25">
        <f t="shared" si="23"/>
        <v>2.0706791827720394E-3</v>
      </c>
      <c r="I856" s="86">
        <v>418.08346976854847</v>
      </c>
      <c r="J856" s="86">
        <v>418.41089411443238</v>
      </c>
      <c r="K856" s="86">
        <v>413.74275844025846</v>
      </c>
      <c r="L856" s="86">
        <v>414.15437761794112</v>
      </c>
      <c r="M856" s="86">
        <v>1279943.7649286755</v>
      </c>
      <c r="N856" s="86" t="s">
        <v>904</v>
      </c>
      <c r="O856" s="25">
        <f t="shared" si="24"/>
        <v>9.4870231076777944E-3</v>
      </c>
    </row>
    <row r="857" spans="1:15">
      <c r="A857" s="86">
        <v>417.99939815524158</v>
      </c>
      <c r="B857" s="86">
        <v>419.11897907805229</v>
      </c>
      <c r="C857" s="86">
        <v>417.17901558249241</v>
      </c>
      <c r="D857" s="86">
        <v>418.09591375203564</v>
      </c>
      <c r="E857" s="86">
        <v>5518321.5738347238</v>
      </c>
      <c r="F857" s="86" t="s">
        <v>905</v>
      </c>
      <c r="G857" s="25">
        <f t="shared" si="23"/>
        <v>-2.3084558738672989E-4</v>
      </c>
      <c r="I857" s="86">
        <v>413.31242929995386</v>
      </c>
      <c r="J857" s="86">
        <v>415.87101668850414</v>
      </c>
      <c r="K857" s="86">
        <v>410.41238509355327</v>
      </c>
      <c r="L857" s="86">
        <v>412.55467581376536</v>
      </c>
      <c r="M857" s="86">
        <v>4247436.5986607308</v>
      </c>
      <c r="N857" s="86" t="s">
        <v>905</v>
      </c>
      <c r="O857" s="25">
        <f t="shared" si="24"/>
        <v>1.836734693877462E-3</v>
      </c>
    </row>
    <row r="858" spans="1:15">
      <c r="A858" s="86">
        <v>418.63640109408215</v>
      </c>
      <c r="B858" s="86">
        <v>420.19435585753126</v>
      </c>
      <c r="C858" s="86">
        <v>416.21385961455212</v>
      </c>
      <c r="D858" s="86">
        <v>419.09002439901411</v>
      </c>
      <c r="E858" s="86">
        <v>8650563.5123595856</v>
      </c>
      <c r="F858" s="86" t="s">
        <v>906</v>
      </c>
      <c r="G858" s="25">
        <f t="shared" si="23"/>
        <v>-1.08240062641074E-3</v>
      </c>
      <c r="I858" s="86">
        <v>416.54925283354942</v>
      </c>
      <c r="J858" s="86">
        <v>421.78804236769247</v>
      </c>
      <c r="K858" s="86">
        <v>412.96629499144802</v>
      </c>
      <c r="L858" s="86">
        <v>421.45126304049757</v>
      </c>
      <c r="M858" s="86">
        <v>2021599.9766694973</v>
      </c>
      <c r="N858" s="86" t="s">
        <v>906</v>
      </c>
      <c r="O858" s="25">
        <f t="shared" si="24"/>
        <v>-1.1631262347117755E-2</v>
      </c>
    </row>
    <row r="859" spans="1:15">
      <c r="A859" s="86">
        <v>417.41065301479807</v>
      </c>
      <c r="B859" s="86">
        <v>417.53612329063031</v>
      </c>
      <c r="C859" s="86">
        <v>411.64867188619473</v>
      </c>
      <c r="D859" s="86">
        <v>412.00577959433264</v>
      </c>
      <c r="E859" s="86">
        <v>8971727.1483898517</v>
      </c>
      <c r="F859" s="86" t="s">
        <v>907</v>
      </c>
      <c r="G859" s="25">
        <f t="shared" si="23"/>
        <v>1.311844077961033E-2</v>
      </c>
      <c r="I859" s="86">
        <v>422.32127630241774</v>
      </c>
      <c r="J859" s="86">
        <v>424.89389616293442</v>
      </c>
      <c r="K859" s="86">
        <v>421.44190805918657</v>
      </c>
      <c r="L859" s="86">
        <v>423.73387848037419</v>
      </c>
      <c r="M859" s="86">
        <v>1389917.2609519782</v>
      </c>
      <c r="N859" s="86" t="s">
        <v>907</v>
      </c>
      <c r="O859" s="25">
        <f t="shared" si="24"/>
        <v>-3.3337012915333197E-3</v>
      </c>
    </row>
    <row r="860" spans="1:15">
      <c r="A860" s="86">
        <v>411.80309684106521</v>
      </c>
      <c r="B860" s="86">
        <v>411.80309684106521</v>
      </c>
      <c r="C860" s="86">
        <v>408.52533065834336</v>
      </c>
      <c r="D860" s="86">
        <v>409.4384647196116</v>
      </c>
      <c r="E860" s="86">
        <v>6198539.0949480003</v>
      </c>
      <c r="F860" s="86" t="s">
        <v>908</v>
      </c>
      <c r="G860" s="25">
        <f t="shared" si="23"/>
        <v>5.7753052661355664E-3</v>
      </c>
      <c r="I860" s="86">
        <v>422.49902094732619</v>
      </c>
      <c r="J860" s="86">
        <v>424.48227698525176</v>
      </c>
      <c r="K860" s="86">
        <v>421.32029330214397</v>
      </c>
      <c r="L860" s="86">
        <v>422.54579585388103</v>
      </c>
      <c r="M860" s="86">
        <v>1077759.5021143723</v>
      </c>
      <c r="N860" s="86" t="s">
        <v>908</v>
      </c>
      <c r="O860" s="25">
        <f t="shared" si="24"/>
        <v>-1.1069783917816434E-4</v>
      </c>
    </row>
    <row r="861" spans="1:15">
      <c r="A861" s="86">
        <v>409.76661774871127</v>
      </c>
      <c r="B861" s="86">
        <v>409.91139114390228</v>
      </c>
      <c r="C861" s="86">
        <v>407.50815278373113</v>
      </c>
      <c r="D861" s="86">
        <v>407.69153241763979</v>
      </c>
      <c r="E861" s="86">
        <v>5436516.1427721158</v>
      </c>
      <c r="F861" s="86" t="s">
        <v>909</v>
      </c>
      <c r="G861" s="25">
        <f t="shared" si="23"/>
        <v>5.0898416230675814E-3</v>
      </c>
      <c r="I861" s="86">
        <v>422.15288663882029</v>
      </c>
      <c r="J861" s="86">
        <v>424.02388290101425</v>
      </c>
      <c r="K861" s="86">
        <v>420.51576490940056</v>
      </c>
      <c r="L861" s="86">
        <v>422.73289548010041</v>
      </c>
      <c r="M861" s="86">
        <v>1092018.2157949209</v>
      </c>
      <c r="N861" s="86" t="s">
        <v>909</v>
      </c>
      <c r="O861" s="25">
        <f t="shared" si="24"/>
        <v>-1.3720456758431476E-3</v>
      </c>
    </row>
    <row r="862" spans="1:15">
      <c r="A862" s="86">
        <v>408.18376196128929</v>
      </c>
      <c r="B862" s="86">
        <v>408.61808214686238</v>
      </c>
      <c r="C862" s="86">
        <v>405.51027993009478</v>
      </c>
      <c r="D862" s="86">
        <v>405.72261424304168</v>
      </c>
      <c r="E862" s="86">
        <v>5310310.6339775613</v>
      </c>
      <c r="F862" s="86" t="s">
        <v>910</v>
      </c>
      <c r="G862" s="25">
        <f t="shared" ref="G862:G925" si="25">A862/D862-1</f>
        <v>6.0660846397220247E-3</v>
      </c>
      <c r="I862" s="86">
        <v>419.1218726940661</v>
      </c>
      <c r="J862" s="86">
        <v>421.46997300311949</v>
      </c>
      <c r="K862" s="86">
        <v>418.59752599158622</v>
      </c>
      <c r="L862" s="86">
        <v>419.63639666616945</v>
      </c>
      <c r="M862" s="86">
        <v>813658.49347816245</v>
      </c>
      <c r="N862" s="86" t="s">
        <v>910</v>
      </c>
      <c r="O862" s="25">
        <f t="shared" ref="O862:O925" si="26">I862/L862-1</f>
        <v>-1.2261185545177078E-3</v>
      </c>
    </row>
    <row r="863" spans="1:15">
      <c r="A863" s="86">
        <v>406.45613277867625</v>
      </c>
      <c r="B863" s="86">
        <v>406.97731700136399</v>
      </c>
      <c r="C863" s="86">
        <v>404.67059423798673</v>
      </c>
      <c r="D863" s="86">
        <v>405.18212690099512</v>
      </c>
      <c r="E863" s="86">
        <v>3365519.2610290111</v>
      </c>
      <c r="F863" s="86" t="s">
        <v>911</v>
      </c>
      <c r="G863" s="25">
        <f t="shared" si="25"/>
        <v>3.1442795550367109E-3</v>
      </c>
      <c r="I863" s="86">
        <v>418.27056939476785</v>
      </c>
      <c r="J863" s="86">
        <v>422.2745013958629</v>
      </c>
      <c r="K863" s="86">
        <v>417.50346092726835</v>
      </c>
      <c r="L863" s="86">
        <v>421.36706820869887</v>
      </c>
      <c r="M863" s="86">
        <v>920569.44997865427</v>
      </c>
      <c r="N863" s="86" t="s">
        <v>911</v>
      </c>
      <c r="O863" s="25">
        <f t="shared" si="26"/>
        <v>-7.3486967719018637E-3</v>
      </c>
    </row>
    <row r="864" spans="1:15">
      <c r="A864" s="86">
        <v>403.30007276351165</v>
      </c>
      <c r="B864" s="86">
        <v>406.97731700136399</v>
      </c>
      <c r="C864" s="86">
        <v>402.91401037633551</v>
      </c>
      <c r="D864" s="86">
        <v>406.91940764328757</v>
      </c>
      <c r="E864" s="86">
        <v>4353494.2947792392</v>
      </c>
      <c r="F864" s="86" t="s">
        <v>912</v>
      </c>
      <c r="G864" s="25">
        <f t="shared" si="25"/>
        <v>-8.8944759374777194E-3</v>
      </c>
      <c r="I864" s="86">
        <v>420.42221509629093</v>
      </c>
      <c r="J864" s="86">
        <v>421.38577817132074</v>
      </c>
      <c r="K864" s="86">
        <v>416.76441740370171</v>
      </c>
      <c r="L864" s="86">
        <v>416.76441740370171</v>
      </c>
      <c r="M864" s="86">
        <v>923814.77981853322</v>
      </c>
      <c r="N864" s="86" t="s">
        <v>912</v>
      </c>
      <c r="O864" s="25">
        <f t="shared" si="26"/>
        <v>8.7766554433221788E-3</v>
      </c>
    </row>
    <row r="865" spans="1:15">
      <c r="A865" s="86">
        <v>404.9890957074071</v>
      </c>
      <c r="B865" s="86">
        <v>405.81912983983568</v>
      </c>
      <c r="C865" s="86">
        <v>403.43519459902325</v>
      </c>
      <c r="D865" s="86">
        <v>403.76334762812292</v>
      </c>
      <c r="E865" s="86">
        <v>3542725.8532080986</v>
      </c>
      <c r="F865" s="86" t="s">
        <v>913</v>
      </c>
      <c r="G865" s="25">
        <f t="shared" si="25"/>
        <v>3.0358081942918336E-3</v>
      </c>
      <c r="I865" s="86">
        <v>417.45668602071351</v>
      </c>
      <c r="J865" s="86">
        <v>421.57633914062524</v>
      </c>
      <c r="K865" s="86">
        <v>417.13861665614047</v>
      </c>
      <c r="L865" s="86">
        <v>421.24545345165626</v>
      </c>
      <c r="M865" s="86">
        <v>1128568.7965640186</v>
      </c>
      <c r="N865" s="86" t="s">
        <v>913</v>
      </c>
      <c r="O865" s="25">
        <f t="shared" si="26"/>
        <v>-8.9942037353705206E-3</v>
      </c>
    </row>
    <row r="866" spans="1:15">
      <c r="A866" s="86">
        <v>405.11456598323929</v>
      </c>
      <c r="B866" s="86">
        <v>405.24003625907153</v>
      </c>
      <c r="C866" s="86">
        <v>402.95261661505316</v>
      </c>
      <c r="D866" s="86">
        <v>404.0625459781844</v>
      </c>
      <c r="E866" s="86">
        <v>6015689.891438826</v>
      </c>
      <c r="F866" s="86" t="s">
        <v>914</v>
      </c>
      <c r="G866" s="25">
        <f t="shared" si="25"/>
        <v>2.6036068314820859E-3</v>
      </c>
      <c r="I866" s="86">
        <v>421.61965270409502</v>
      </c>
      <c r="J866" s="86">
        <v>421.87223719949117</v>
      </c>
      <c r="K866" s="86">
        <v>417.3350712636709</v>
      </c>
      <c r="L866" s="86">
        <v>418.51379890885306</v>
      </c>
      <c r="M866" s="86">
        <v>1353049.2022637618</v>
      </c>
      <c r="N866" s="86" t="s">
        <v>914</v>
      </c>
      <c r="O866" s="25">
        <f t="shared" si="26"/>
        <v>7.4211502782930427E-3</v>
      </c>
    </row>
    <row r="867" spans="1:15">
      <c r="A867" s="86">
        <v>407.16069663527264</v>
      </c>
      <c r="B867" s="86">
        <v>407.65292617892214</v>
      </c>
      <c r="C867" s="86">
        <v>403.67648359100832</v>
      </c>
      <c r="D867" s="86">
        <v>404.23627405241365</v>
      </c>
      <c r="E867" s="86">
        <v>5153182.6618803209</v>
      </c>
      <c r="F867" s="86" t="s">
        <v>915</v>
      </c>
      <c r="G867" s="25">
        <f t="shared" si="25"/>
        <v>7.2344387937828269E-3</v>
      </c>
      <c r="I867" s="86">
        <v>420.42221509629093</v>
      </c>
      <c r="J867" s="86">
        <v>421.5915877601621</v>
      </c>
      <c r="K867" s="86">
        <v>419.24348745110865</v>
      </c>
      <c r="L867" s="86">
        <v>419.47736198388293</v>
      </c>
      <c r="M867" s="86">
        <v>916012.51944261871</v>
      </c>
      <c r="N867" s="86" t="s">
        <v>915</v>
      </c>
      <c r="O867" s="25">
        <f t="shared" si="26"/>
        <v>2.252453166815549E-3</v>
      </c>
    </row>
    <row r="868" spans="1:15">
      <c r="A868" s="86">
        <v>404.78641295413956</v>
      </c>
      <c r="B868" s="86">
        <v>405.0759597445217</v>
      </c>
      <c r="C868" s="86">
        <v>402.0550215648687</v>
      </c>
      <c r="D868" s="86">
        <v>403.95637882171104</v>
      </c>
      <c r="E868" s="86">
        <v>4564744.0893954635</v>
      </c>
      <c r="F868" s="86" t="s">
        <v>916</v>
      </c>
      <c r="G868" s="25">
        <f t="shared" si="25"/>
        <v>2.0547617909874027E-3</v>
      </c>
      <c r="I868" s="86">
        <v>418.88799816129182</v>
      </c>
      <c r="J868" s="86">
        <v>418.97219299309057</v>
      </c>
      <c r="K868" s="86">
        <v>413.96727799172174</v>
      </c>
      <c r="L868" s="86">
        <v>414.42567207595926</v>
      </c>
      <c r="M868" s="86">
        <v>1619130.9738094893</v>
      </c>
      <c r="N868" s="86" t="s">
        <v>916</v>
      </c>
      <c r="O868" s="25">
        <f t="shared" si="26"/>
        <v>1.0767494356659135E-2</v>
      </c>
    </row>
    <row r="869" spans="1:15">
      <c r="A869" s="86">
        <v>403.22286028607641</v>
      </c>
      <c r="B869" s="86">
        <v>406.44648121899684</v>
      </c>
      <c r="C869" s="86">
        <v>402.82232055938124</v>
      </c>
      <c r="D869" s="86">
        <v>405.42283679939942</v>
      </c>
      <c r="E869" s="86">
        <v>4240369.5733593339</v>
      </c>
      <c r="F869" s="86" t="s">
        <v>917</v>
      </c>
      <c r="G869" s="25">
        <f t="shared" si="25"/>
        <v>-5.4263754126202546E-3</v>
      </c>
      <c r="I869" s="86">
        <v>413.35920421406189</v>
      </c>
      <c r="J869" s="86">
        <v>417.56701346574101</v>
      </c>
      <c r="K869" s="86">
        <v>412.3374403781134</v>
      </c>
      <c r="L869" s="86">
        <v>417.56701346574101</v>
      </c>
      <c r="M869" s="86">
        <v>1370378.5069865147</v>
      </c>
      <c r="N869" s="86" t="s">
        <v>917</v>
      </c>
      <c r="O869" s="25">
        <f t="shared" si="26"/>
        <v>-1.0076967566846284E-2</v>
      </c>
    </row>
    <row r="870" spans="1:15">
      <c r="A870" s="86">
        <v>403.48345239742031</v>
      </c>
      <c r="B870" s="86">
        <v>404.64163955894855</v>
      </c>
      <c r="C870" s="86">
        <v>402.19014340038035</v>
      </c>
      <c r="D870" s="86">
        <v>402.71132762306809</v>
      </c>
      <c r="E870" s="86">
        <v>3504554.8205214096</v>
      </c>
      <c r="F870" s="86" t="s">
        <v>918</v>
      </c>
      <c r="G870" s="25">
        <f t="shared" si="25"/>
        <v>1.9173157579388533E-3</v>
      </c>
      <c r="I870" s="86">
        <v>416.38734067332763</v>
      </c>
      <c r="J870" s="86">
        <v>418.81170759316922</v>
      </c>
      <c r="K870" s="86">
        <v>414.2787916664156</v>
      </c>
      <c r="L870" s="86">
        <v>416.00650142538319</v>
      </c>
      <c r="M870" s="86">
        <v>1211087.0990567137</v>
      </c>
      <c r="N870" s="86" t="s">
        <v>918</v>
      </c>
      <c r="O870" s="25">
        <f t="shared" si="26"/>
        <v>9.1546465413294698E-4</v>
      </c>
    </row>
    <row r="871" spans="1:15">
      <c r="A871" s="86">
        <v>403.08773845056476</v>
      </c>
      <c r="B871" s="86">
        <v>403.94412134091817</v>
      </c>
      <c r="C871" s="86">
        <v>402.69202450370932</v>
      </c>
      <c r="D871" s="86">
        <v>403.23251184575582</v>
      </c>
      <c r="E871" s="86">
        <v>3763694.2843054482</v>
      </c>
      <c r="F871" s="86" t="s">
        <v>919</v>
      </c>
      <c r="G871" s="25">
        <f t="shared" si="25"/>
        <v>-3.5903204959442103E-4</v>
      </c>
      <c r="I871" s="86">
        <v>413.80506479702132</v>
      </c>
      <c r="J871" s="86">
        <v>420.6229233238202</v>
      </c>
      <c r="K871" s="86">
        <v>413.74933222415137</v>
      </c>
      <c r="L871" s="86">
        <v>419.72200628337794</v>
      </c>
      <c r="M871" s="86">
        <v>1611629.1671952503</v>
      </c>
      <c r="N871" s="86" t="s">
        <v>919</v>
      </c>
      <c r="O871" s="25">
        <f t="shared" si="26"/>
        <v>-1.4097286770238471E-2</v>
      </c>
    </row>
    <row r="872" spans="1:15">
      <c r="A872" s="86">
        <v>403.79230230716115</v>
      </c>
      <c r="B872" s="86">
        <v>403.90812102331398</v>
      </c>
      <c r="C872" s="86">
        <v>403.28076964415283</v>
      </c>
      <c r="D872" s="86">
        <v>403.61857423293191</v>
      </c>
      <c r="E872" s="86">
        <v>1400055.5815696488</v>
      </c>
      <c r="F872" s="86" t="s">
        <v>920</v>
      </c>
      <c r="G872" s="25">
        <f t="shared" si="25"/>
        <v>4.304263612233683E-4</v>
      </c>
      <c r="I872" s="86">
        <v>419.86133771555274</v>
      </c>
      <c r="J872" s="86">
        <v>420.40008591996195</v>
      </c>
      <c r="K872" s="86">
        <v>417.75278870864071</v>
      </c>
      <c r="L872" s="86">
        <v>419.56409732691316</v>
      </c>
      <c r="M872" s="86">
        <v>351655.03745435906</v>
      </c>
      <c r="N872" s="86" t="s">
        <v>920</v>
      </c>
      <c r="O872" s="25">
        <f t="shared" si="26"/>
        <v>7.0845048595269411E-4</v>
      </c>
    </row>
    <row r="873" spans="1:15">
      <c r="A873" s="86">
        <v>403.5703164345349</v>
      </c>
      <c r="B873" s="86">
        <v>404.69954891702497</v>
      </c>
      <c r="C873" s="86">
        <v>402.52794798915943</v>
      </c>
      <c r="D873" s="86">
        <v>403.50275551677908</v>
      </c>
      <c r="E873" s="86">
        <v>3827426.9887006492</v>
      </c>
      <c r="F873" s="86" t="s">
        <v>921</v>
      </c>
      <c r="G873" s="25">
        <f t="shared" si="25"/>
        <v>1.6743607529834392E-4</v>
      </c>
      <c r="I873" s="86">
        <v>418.36584701020985</v>
      </c>
      <c r="J873" s="86">
        <v>419.57338608905815</v>
      </c>
      <c r="K873" s="86">
        <v>415.67210598816365</v>
      </c>
      <c r="L873" s="86">
        <v>415.67210598816365</v>
      </c>
      <c r="M873" s="86">
        <v>897606.14706877724</v>
      </c>
      <c r="N873" s="86" t="s">
        <v>921</v>
      </c>
      <c r="O873" s="25">
        <f t="shared" si="26"/>
        <v>6.4804469273742615E-3</v>
      </c>
    </row>
    <row r="874" spans="1:15">
      <c r="A874" s="86">
        <v>401.83303569224245</v>
      </c>
      <c r="B874" s="86">
        <v>402.31561367621254</v>
      </c>
      <c r="C874" s="86">
        <v>400.82927348558462</v>
      </c>
      <c r="D874" s="86">
        <v>401.89094505031886</v>
      </c>
      <c r="E874" s="86">
        <v>5437656.8910413822</v>
      </c>
      <c r="F874" s="86" t="s">
        <v>922</v>
      </c>
      <c r="G874" s="25">
        <f t="shared" si="25"/>
        <v>-1.4409221902011993E-4</v>
      </c>
      <c r="I874" s="86">
        <v>416.2758755275878</v>
      </c>
      <c r="J874" s="86">
        <v>416.66600353767723</v>
      </c>
      <c r="K874" s="86">
        <v>412.56501505066552</v>
      </c>
      <c r="L874" s="86">
        <v>413.34991545191696</v>
      </c>
      <c r="M874" s="86">
        <v>1268066.704276301</v>
      </c>
      <c r="N874" s="86" t="s">
        <v>922</v>
      </c>
      <c r="O874" s="25">
        <f t="shared" si="26"/>
        <v>7.0786516853931225E-3</v>
      </c>
    </row>
    <row r="875" spans="1:15">
      <c r="A875" s="86">
        <v>402.88505569729733</v>
      </c>
      <c r="B875" s="86">
        <v>403.62822579261132</v>
      </c>
      <c r="C875" s="86">
        <v>399.55517109230669</v>
      </c>
      <c r="D875" s="86">
        <v>399.5649191675829</v>
      </c>
      <c r="E875" s="86">
        <v>3651650.2172405329</v>
      </c>
      <c r="F875" s="86" t="s">
        <v>923</v>
      </c>
      <c r="G875" s="25">
        <f t="shared" si="25"/>
        <v>8.3093794536099885E-3</v>
      </c>
      <c r="I875" s="86">
        <v>412.2445527566635</v>
      </c>
      <c r="J875" s="86">
        <v>413.89795241847116</v>
      </c>
      <c r="K875" s="86">
        <v>409.4114803024425</v>
      </c>
      <c r="L875" s="86">
        <v>412.44890552385317</v>
      </c>
      <c r="M875" s="86">
        <v>1057313.1109079393</v>
      </c>
      <c r="N875" s="86" t="s">
        <v>923</v>
      </c>
      <c r="O875" s="25">
        <f t="shared" si="26"/>
        <v>-4.9546201833206016E-4</v>
      </c>
    </row>
    <row r="876" spans="1:15">
      <c r="A876" s="86">
        <v>399.87376907732374</v>
      </c>
      <c r="B876" s="86">
        <v>400.33704394193512</v>
      </c>
      <c r="C876" s="86">
        <v>398.48394448348978</v>
      </c>
      <c r="D876" s="86">
        <v>399.51666136918584</v>
      </c>
      <c r="E876" s="86">
        <v>4869823.2784392694</v>
      </c>
      <c r="F876" s="86" t="s">
        <v>924</v>
      </c>
      <c r="G876" s="25">
        <f t="shared" si="25"/>
        <v>8.9384935014735767E-4</v>
      </c>
      <c r="I876" s="86">
        <v>413.05267506327738</v>
      </c>
      <c r="J876" s="86">
        <v>415.42130941024902</v>
      </c>
      <c r="K876" s="86">
        <v>412.62539200460799</v>
      </c>
      <c r="L876" s="86">
        <v>414.87327244369476</v>
      </c>
      <c r="M876" s="86">
        <v>967431.38210830733</v>
      </c>
      <c r="N876" s="86" t="s">
        <v>924</v>
      </c>
      <c r="O876" s="25">
        <f t="shared" si="26"/>
        <v>-4.3883216908471301E-3</v>
      </c>
    </row>
    <row r="877" spans="1:15">
      <c r="A877" s="86">
        <v>399.28502393688018</v>
      </c>
      <c r="B877" s="86">
        <v>399.52631292886525</v>
      </c>
      <c r="C877" s="86">
        <v>397.40296979939671</v>
      </c>
      <c r="D877" s="86">
        <v>398.35847420765759</v>
      </c>
      <c r="E877" s="86">
        <v>3936036.3777341214</v>
      </c>
      <c r="F877" s="86" t="s">
        <v>925</v>
      </c>
      <c r="G877" s="25">
        <f t="shared" si="25"/>
        <v>2.3259194650384618E-3</v>
      </c>
      <c r="I877" s="86">
        <v>413.89795241847116</v>
      </c>
      <c r="J877" s="86">
        <v>415.83001494462843</v>
      </c>
      <c r="K877" s="86">
        <v>412.00304494089386</v>
      </c>
      <c r="L877" s="86">
        <v>414.09301642351591</v>
      </c>
      <c r="M877" s="86">
        <v>982885.54034374817</v>
      </c>
      <c r="N877" s="86" t="s">
        <v>925</v>
      </c>
      <c r="O877" s="25">
        <f t="shared" si="26"/>
        <v>-4.7106325706602892E-4</v>
      </c>
    </row>
    <row r="878" spans="1:15">
      <c r="A878" s="86">
        <v>398.72523347547485</v>
      </c>
      <c r="B878" s="86">
        <v>400.26948302417929</v>
      </c>
      <c r="C878" s="86">
        <v>398.00136649951969</v>
      </c>
      <c r="D878" s="86">
        <v>399.13059898200976</v>
      </c>
      <c r="E878" s="86">
        <v>4574190.2310584076</v>
      </c>
      <c r="F878" s="86" t="s">
        <v>926</v>
      </c>
      <c r="G878" s="25">
        <f t="shared" si="25"/>
        <v>-1.0156212216472227E-3</v>
      </c>
      <c r="I878" s="86">
        <v>413.47995812194671</v>
      </c>
      <c r="J878" s="86">
        <v>416.14583285755799</v>
      </c>
      <c r="K878" s="86">
        <v>411.92873484373393</v>
      </c>
      <c r="L878" s="86">
        <v>411.92873484373393</v>
      </c>
      <c r="M878" s="86">
        <v>1182570.9204889426</v>
      </c>
      <c r="N878" s="86" t="s">
        <v>926</v>
      </c>
      <c r="O878" s="25">
        <f t="shared" si="26"/>
        <v>3.7657564209527816E-3</v>
      </c>
    </row>
    <row r="879" spans="1:15">
      <c r="A879" s="86">
        <v>397.85659310432868</v>
      </c>
      <c r="B879" s="86">
        <v>399.10164430297152</v>
      </c>
      <c r="C879" s="86">
        <v>395.60353301276893</v>
      </c>
      <c r="D879" s="86">
        <v>395.75255309421891</v>
      </c>
      <c r="E879" s="86">
        <v>7224858.1904139528</v>
      </c>
      <c r="F879" s="86" t="s">
        <v>927</v>
      </c>
      <c r="G879" s="25">
        <f t="shared" si="25"/>
        <v>5.3165544824895772E-3</v>
      </c>
      <c r="I879" s="86">
        <v>412.62539200460799</v>
      </c>
      <c r="J879" s="86">
        <v>414.95687130299967</v>
      </c>
      <c r="K879" s="86">
        <v>410.43324413839105</v>
      </c>
      <c r="L879" s="86">
        <v>411.49216302291956</v>
      </c>
      <c r="M879" s="86">
        <v>1439170.2351012086</v>
      </c>
      <c r="N879" s="86" t="s">
        <v>927</v>
      </c>
      <c r="O879" s="25">
        <f t="shared" si="26"/>
        <v>2.753950338600486E-3</v>
      </c>
    </row>
    <row r="880" spans="1:15">
      <c r="A880" s="86">
        <v>390.35733123343289</v>
      </c>
      <c r="B880" s="86">
        <v>391.36109344009077</v>
      </c>
      <c r="C880" s="86">
        <v>388.78412700569032</v>
      </c>
      <c r="D880" s="86">
        <v>389.52729710100431</v>
      </c>
      <c r="E880" s="86">
        <v>2976659.8305672645</v>
      </c>
      <c r="F880" s="86" t="s">
        <v>928</v>
      </c>
      <c r="G880" s="25">
        <f t="shared" si="25"/>
        <v>2.1308753933446667E-3</v>
      </c>
      <c r="I880" s="86">
        <v>413.37778173835187</v>
      </c>
      <c r="J880" s="86">
        <v>416.66600353767723</v>
      </c>
      <c r="K880" s="86">
        <v>411.76153712512416</v>
      </c>
      <c r="L880" s="86">
        <v>413.34991545191696</v>
      </c>
      <c r="M880" s="86">
        <v>1080818.9340296818</v>
      </c>
      <c r="N880" s="86" t="s">
        <v>928</v>
      </c>
      <c r="O880" s="25">
        <f t="shared" si="26"/>
        <v>6.7415730336861657E-5</v>
      </c>
    </row>
    <row r="881" spans="1:15">
      <c r="A881" s="86">
        <v>390.75304518028844</v>
      </c>
      <c r="B881" s="86">
        <v>390.99336901630551</v>
      </c>
      <c r="C881" s="86">
        <v>385.23235304367017</v>
      </c>
      <c r="D881" s="86">
        <v>386.63182919718355</v>
      </c>
      <c r="E881" s="86">
        <v>4138646.1180202705</v>
      </c>
      <c r="F881" s="86" t="s">
        <v>929</v>
      </c>
      <c r="G881" s="25">
        <f t="shared" si="25"/>
        <v>1.065927756559093E-2</v>
      </c>
      <c r="I881" s="86">
        <v>413.22916154403208</v>
      </c>
      <c r="J881" s="86">
        <v>414.12088270995082</v>
      </c>
      <c r="K881" s="86">
        <v>409.60654430748724</v>
      </c>
      <c r="L881" s="86">
        <v>412.43032799956325</v>
      </c>
      <c r="M881" s="86">
        <v>1642435.2095433616</v>
      </c>
      <c r="N881" s="86" t="s">
        <v>929</v>
      </c>
      <c r="O881" s="25">
        <f t="shared" si="26"/>
        <v>1.9368933132135613E-3</v>
      </c>
    </row>
    <row r="882" spans="1:15">
      <c r="A882" s="86">
        <v>384.74977505970008</v>
      </c>
      <c r="B882" s="86">
        <v>388.84203636376674</v>
      </c>
      <c r="C882" s="86">
        <v>384.33475799348577</v>
      </c>
      <c r="D882" s="86">
        <v>388.77447544601091</v>
      </c>
      <c r="E882" s="86">
        <v>4295279.8694776921</v>
      </c>
      <c r="F882" s="86" t="s">
        <v>930</v>
      </c>
      <c r="G882" s="25">
        <f t="shared" si="25"/>
        <v>-1.0352275266254596E-2</v>
      </c>
      <c r="I882" s="86">
        <v>410.99056986709024</v>
      </c>
      <c r="J882" s="86">
        <v>413.91652994276114</v>
      </c>
      <c r="K882" s="86">
        <v>408.4040211601972</v>
      </c>
      <c r="L882" s="86">
        <v>413.73075469986139</v>
      </c>
      <c r="M882" s="86">
        <v>1911581.9441649667</v>
      </c>
      <c r="N882" s="86" t="s">
        <v>930</v>
      </c>
      <c r="O882" s="25">
        <f t="shared" si="26"/>
        <v>-6.6231112907209067E-3</v>
      </c>
    </row>
    <row r="883" spans="1:15">
      <c r="A883" s="86">
        <v>387.67419764255902</v>
      </c>
      <c r="B883" s="86">
        <v>388.47778650146603</v>
      </c>
      <c r="C883" s="86">
        <v>385.63771855020514</v>
      </c>
      <c r="D883" s="86">
        <v>387.98304755229992</v>
      </c>
      <c r="E883" s="86">
        <v>3866585.4265650045</v>
      </c>
      <c r="F883" s="86" t="s">
        <v>931</v>
      </c>
      <c r="G883" s="25">
        <f t="shared" si="25"/>
        <v>-7.9603970248021128E-4</v>
      </c>
      <c r="I883" s="86">
        <v>413.0340975389874</v>
      </c>
      <c r="J883" s="86">
        <v>419.63961496315193</v>
      </c>
      <c r="K883" s="86">
        <v>412.44890552385317</v>
      </c>
      <c r="L883" s="86">
        <v>418.13362795658514</v>
      </c>
      <c r="M883" s="86">
        <v>1492564.8631752704</v>
      </c>
      <c r="N883" s="86" t="s">
        <v>931</v>
      </c>
      <c r="O883" s="25">
        <f t="shared" si="26"/>
        <v>-1.2195934688437049E-2</v>
      </c>
    </row>
    <row r="884" spans="1:15">
      <c r="A884" s="86">
        <v>387.35569617313871</v>
      </c>
      <c r="B884" s="86">
        <v>388.03130535069693</v>
      </c>
      <c r="C884" s="86">
        <v>385.31921708078482</v>
      </c>
      <c r="D884" s="86">
        <v>386.31332772776329</v>
      </c>
      <c r="E884" s="86">
        <v>3479829.2831029049</v>
      </c>
      <c r="F884" s="86" t="s">
        <v>932</v>
      </c>
      <c r="G884" s="25">
        <f t="shared" si="25"/>
        <v>2.6982461400089086E-3</v>
      </c>
      <c r="I884" s="86">
        <v>418.13362795658514</v>
      </c>
      <c r="J884" s="86">
        <v>420.92954536222624</v>
      </c>
      <c r="K884" s="86">
        <v>417.70634489791581</v>
      </c>
      <c r="L884" s="86">
        <v>420.92954536222624</v>
      </c>
      <c r="M884" s="86">
        <v>1313568.99978164</v>
      </c>
      <c r="N884" s="86" t="s">
        <v>932</v>
      </c>
      <c r="O884" s="25">
        <f t="shared" si="26"/>
        <v>-6.6422455644806755E-3</v>
      </c>
    </row>
    <row r="885" spans="1:15">
      <c r="A885" s="86">
        <v>386.26506992936623</v>
      </c>
      <c r="B885" s="86">
        <v>386.76984650059904</v>
      </c>
      <c r="C885" s="86">
        <v>384.57604698547084</v>
      </c>
      <c r="D885" s="86">
        <v>386.17820589225164</v>
      </c>
      <c r="E885" s="86">
        <v>4151769.3855757006</v>
      </c>
      <c r="F885" s="86" t="s">
        <v>933</v>
      </c>
      <c r="G885" s="25">
        <f t="shared" si="25"/>
        <v>2.2493252024391452E-4</v>
      </c>
      <c r="I885" s="86">
        <v>419.07179293322889</v>
      </c>
      <c r="J885" s="86">
        <v>422.490057402584</v>
      </c>
      <c r="K885" s="86">
        <v>418.5887773016895</v>
      </c>
      <c r="L885" s="86">
        <v>422.490057402584</v>
      </c>
      <c r="M885" s="86">
        <v>1551331.5741190535</v>
      </c>
      <c r="N885" s="86" t="s">
        <v>933</v>
      </c>
      <c r="O885" s="25">
        <f t="shared" si="26"/>
        <v>-8.0907571893411578E-3</v>
      </c>
    </row>
    <row r="886" spans="1:15">
      <c r="A886" s="86">
        <v>385.52189983405231</v>
      </c>
      <c r="B886" s="86">
        <v>386.88276974884803</v>
      </c>
      <c r="C886" s="86">
        <v>383.97765028534786</v>
      </c>
      <c r="D886" s="86">
        <v>384.0548627627831</v>
      </c>
      <c r="E886" s="86">
        <v>6197376.5885373577</v>
      </c>
      <c r="F886" s="86" t="s">
        <v>934</v>
      </c>
      <c r="G886" s="25">
        <f t="shared" si="25"/>
        <v>3.8198632891033313E-3</v>
      </c>
      <c r="I886" s="86">
        <v>421.09674308083601</v>
      </c>
      <c r="J886" s="86">
        <v>425.20237594892018</v>
      </c>
      <c r="K886" s="86">
        <v>419.04392664679392</v>
      </c>
      <c r="L886" s="86">
        <v>422.74085398049868</v>
      </c>
      <c r="M886" s="86">
        <v>1470190.5148222807</v>
      </c>
      <c r="N886" s="86" t="s">
        <v>934</v>
      </c>
      <c r="O886" s="25">
        <f t="shared" si="26"/>
        <v>-3.8891696512930451E-3</v>
      </c>
    </row>
    <row r="887" spans="1:15">
      <c r="A887" s="86">
        <v>381.98942899139092</v>
      </c>
      <c r="B887" s="86">
        <v>382.11451320483604</v>
      </c>
      <c r="C887" s="86">
        <v>378.26392695514164</v>
      </c>
      <c r="D887" s="86">
        <v>378.27357851482105</v>
      </c>
      <c r="E887" s="86">
        <v>4923726.4834425263</v>
      </c>
      <c r="F887" s="86" t="s">
        <v>935</v>
      </c>
      <c r="G887" s="25">
        <f t="shared" si="25"/>
        <v>9.8231827111983083E-3</v>
      </c>
      <c r="I887" s="86">
        <v>425.46246128897985</v>
      </c>
      <c r="J887" s="86">
        <v>425.63337451244757</v>
      </c>
      <c r="K887" s="86">
        <v>418.6909536852844</v>
      </c>
      <c r="L887" s="86">
        <v>418.6909536852844</v>
      </c>
      <c r="M887" s="86">
        <v>1337356.8841682859</v>
      </c>
      <c r="N887" s="86" t="s">
        <v>935</v>
      </c>
      <c r="O887" s="25">
        <f t="shared" si="26"/>
        <v>1.6173044925124724E-2</v>
      </c>
    </row>
    <row r="888" spans="1:15">
      <c r="A888" s="86">
        <v>374.86657794799191</v>
      </c>
      <c r="B888" s="86">
        <v>375.5228840061913</v>
      </c>
      <c r="C888" s="86">
        <v>371.21828838917781</v>
      </c>
      <c r="D888" s="86">
        <v>371.67191169410972</v>
      </c>
      <c r="E888" s="86">
        <v>5749494.5732372543</v>
      </c>
      <c r="F888" s="86" t="s">
        <v>936</v>
      </c>
      <c r="G888" s="25">
        <f t="shared" si="25"/>
        <v>8.5953932846867254E-3</v>
      </c>
      <c r="I888" s="86">
        <v>420.20502191491727</v>
      </c>
      <c r="J888" s="86">
        <v>424.21776716155159</v>
      </c>
      <c r="K888" s="86">
        <v>419.35045579757843</v>
      </c>
      <c r="L888" s="86">
        <v>423.87408296218706</v>
      </c>
      <c r="M888" s="86">
        <v>1364048.2770718932</v>
      </c>
      <c r="N888" s="86" t="s">
        <v>936</v>
      </c>
      <c r="O888" s="25">
        <f t="shared" si="26"/>
        <v>-8.6560164793021421E-3</v>
      </c>
    </row>
    <row r="889" spans="1:15">
      <c r="A889" s="86">
        <v>370.78396820360473</v>
      </c>
      <c r="B889" s="86">
        <v>371.08316655366622</v>
      </c>
      <c r="C889" s="86">
        <v>367.29975515934041</v>
      </c>
      <c r="D889" s="86">
        <v>369.02738434195351</v>
      </c>
      <c r="E889" s="86">
        <v>4686454.9878429901</v>
      </c>
      <c r="F889" s="86" t="s">
        <v>937</v>
      </c>
      <c r="G889" s="25">
        <f t="shared" si="25"/>
        <v>4.7600366156661522E-3</v>
      </c>
      <c r="I889" s="86">
        <v>422.30428215968431</v>
      </c>
      <c r="J889" s="86">
        <v>422.75943150478867</v>
      </c>
      <c r="K889" s="86">
        <v>413.73075469986139</v>
      </c>
      <c r="L889" s="86">
        <v>415.48633074526396</v>
      </c>
      <c r="M889" s="86">
        <v>1527441.4156096375</v>
      </c>
      <c r="N889" s="86" t="s">
        <v>937</v>
      </c>
      <c r="O889" s="25">
        <f t="shared" si="26"/>
        <v>1.6409568522244511E-2</v>
      </c>
    </row>
    <row r="890" spans="1:15">
      <c r="A890" s="86">
        <v>368.55445791766277</v>
      </c>
      <c r="B890" s="86">
        <v>369.46170452752659</v>
      </c>
      <c r="C890" s="86">
        <v>365.51421661865095</v>
      </c>
      <c r="D890" s="86">
        <v>366.67240378017931</v>
      </c>
      <c r="E890" s="86">
        <v>6004999.3913095882</v>
      </c>
      <c r="F890" s="86" t="s">
        <v>938</v>
      </c>
      <c r="G890" s="25">
        <f t="shared" si="25"/>
        <v>5.1327946092494248E-3</v>
      </c>
      <c r="I890" s="86">
        <v>414.13017147209581</v>
      </c>
      <c r="J890" s="86">
        <v>415.07762521088449</v>
      </c>
      <c r="K890" s="86">
        <v>411.3063877800198</v>
      </c>
      <c r="L890" s="86">
        <v>412.81116724750768</v>
      </c>
      <c r="M890" s="86">
        <v>1021451.4971858377</v>
      </c>
      <c r="N890" s="86" t="s">
        <v>938</v>
      </c>
      <c r="O890" s="25">
        <f t="shared" si="26"/>
        <v>3.1951757346653231E-3</v>
      </c>
    </row>
    <row r="891" spans="1:15">
      <c r="A891" s="86">
        <v>364.17264982321399</v>
      </c>
      <c r="B891" s="86">
        <v>367.61825662876066</v>
      </c>
      <c r="C891" s="86">
        <v>362.84556036729617</v>
      </c>
      <c r="D891" s="86">
        <v>367.27080048030217</v>
      </c>
      <c r="E891" s="86">
        <v>5842322.057059586</v>
      </c>
      <c r="F891" s="86" t="s">
        <v>939</v>
      </c>
      <c r="G891" s="25">
        <f t="shared" si="25"/>
        <v>-8.4356029747982841E-3</v>
      </c>
      <c r="I891" s="86">
        <v>411.85442474657401</v>
      </c>
      <c r="J891" s="86">
        <v>415.81951864340459</v>
      </c>
      <c r="K891" s="86">
        <v>408.9238202898307</v>
      </c>
      <c r="L891" s="86">
        <v>411.88229103300904</v>
      </c>
      <c r="M891" s="86">
        <v>1387320.4845658343</v>
      </c>
      <c r="N891" s="86" t="s">
        <v>939</v>
      </c>
      <c r="O891" s="25">
        <f t="shared" si="26"/>
        <v>-6.7655946957900781E-5</v>
      </c>
    </row>
    <row r="892" spans="1:15">
      <c r="A892" s="86">
        <v>365.79411184935361</v>
      </c>
      <c r="B892" s="86">
        <v>370.0379991559837</v>
      </c>
      <c r="C892" s="86">
        <v>364.97372927660439</v>
      </c>
      <c r="D892" s="86">
        <v>369.2976280129767</v>
      </c>
      <c r="E892" s="86">
        <v>7210649.0879936805</v>
      </c>
      <c r="F892" s="86" t="s">
        <v>940</v>
      </c>
      <c r="G892" s="25">
        <f t="shared" si="25"/>
        <v>-9.4869717481640414E-3</v>
      </c>
      <c r="I892" s="86">
        <v>414.25092537998069</v>
      </c>
      <c r="J892" s="86">
        <v>419.0067715982139</v>
      </c>
      <c r="K892" s="86">
        <v>412.12379884877868</v>
      </c>
      <c r="L892" s="86">
        <v>416.14583285755799</v>
      </c>
      <c r="M892" s="86">
        <v>1541788.860179733</v>
      </c>
      <c r="N892" s="86" t="s">
        <v>940</v>
      </c>
      <c r="O892" s="25">
        <f t="shared" si="26"/>
        <v>-4.553469788620701E-3</v>
      </c>
    </row>
    <row r="893" spans="1:15">
      <c r="A893" s="86">
        <v>370.33999645835218</v>
      </c>
      <c r="B893" s="86">
        <v>374.17166565107499</v>
      </c>
      <c r="C893" s="86">
        <v>369.77055443726744</v>
      </c>
      <c r="D893" s="86">
        <v>374.09445317363981</v>
      </c>
      <c r="E893" s="86">
        <v>5668735.6051646192</v>
      </c>
      <c r="F893" s="86" t="s">
        <v>941</v>
      </c>
      <c r="G893" s="25">
        <f t="shared" si="25"/>
        <v>-1.0036119711042457E-2</v>
      </c>
      <c r="I893" s="86">
        <v>415.84859246891841</v>
      </c>
      <c r="J893" s="86">
        <v>417.41839327142117</v>
      </c>
      <c r="K893" s="86">
        <v>412.12379884877868</v>
      </c>
      <c r="L893" s="86">
        <v>412.73685715034776</v>
      </c>
      <c r="M893" s="86">
        <v>1322962.070530802</v>
      </c>
      <c r="N893" s="86" t="s">
        <v>941</v>
      </c>
      <c r="O893" s="25">
        <f t="shared" si="26"/>
        <v>7.5392717288564892E-3</v>
      </c>
    </row>
    <row r="894" spans="1:15">
      <c r="A894" s="86">
        <v>375.63870272234414</v>
      </c>
      <c r="B894" s="86">
        <v>376.66176804836078</v>
      </c>
      <c r="C894" s="86">
        <v>373.08103940730251</v>
      </c>
      <c r="D894" s="86">
        <v>374.75075923183908</v>
      </c>
      <c r="E894" s="86">
        <v>4612221.3899791101</v>
      </c>
      <c r="F894" s="86" t="s">
        <v>942</v>
      </c>
      <c r="G894" s="25">
        <f t="shared" si="25"/>
        <v>2.3694241269187621E-3</v>
      </c>
      <c r="I894" s="86">
        <v>409.54152297247231</v>
      </c>
      <c r="J894" s="86">
        <v>418.56091101525459</v>
      </c>
      <c r="K894" s="86">
        <v>409.02135229235301</v>
      </c>
      <c r="L894" s="86">
        <v>417.18617421779652</v>
      </c>
      <c r="M894" s="86">
        <v>1471817.2116591844</v>
      </c>
      <c r="N894" s="86" t="s">
        <v>942</v>
      </c>
      <c r="O894" s="25">
        <f t="shared" si="26"/>
        <v>-1.832431589962813E-2</v>
      </c>
    </row>
    <row r="895" spans="1:15">
      <c r="A895" s="86">
        <v>372.84940197499685</v>
      </c>
      <c r="B895" s="86">
        <v>376.35291813861994</v>
      </c>
      <c r="C895" s="86">
        <v>370.47511829386383</v>
      </c>
      <c r="D895" s="86">
        <v>372.04832252160645</v>
      </c>
      <c r="E895" s="86">
        <v>5737032.3387388559</v>
      </c>
      <c r="F895" s="86" t="s">
        <v>943</v>
      </c>
      <c r="G895" s="25">
        <f t="shared" si="25"/>
        <v>2.1531596970010281E-3</v>
      </c>
      <c r="I895" s="86">
        <v>414.42741186073545</v>
      </c>
      <c r="J895" s="86">
        <v>419.90778152627769</v>
      </c>
      <c r="K895" s="86">
        <v>411.94731236802392</v>
      </c>
      <c r="L895" s="86">
        <v>412.61610324246294</v>
      </c>
      <c r="M895" s="86">
        <v>1617400.6574286323</v>
      </c>
      <c r="N895" s="86" t="s">
        <v>943</v>
      </c>
      <c r="O895" s="25">
        <f t="shared" si="26"/>
        <v>4.389815627743765E-3</v>
      </c>
    </row>
    <row r="896" spans="1:15">
      <c r="A896" s="86">
        <v>373.50570803319624</v>
      </c>
      <c r="B896" s="86">
        <v>378.16741135834758</v>
      </c>
      <c r="C896" s="86">
        <v>373.36093463800512</v>
      </c>
      <c r="D896" s="86">
        <v>377.74274273245391</v>
      </c>
      <c r="E896" s="86">
        <v>7822169.9401721954</v>
      </c>
      <c r="F896" s="86" t="s">
        <v>944</v>
      </c>
      <c r="G896" s="25">
        <f t="shared" si="25"/>
        <v>-1.1216720322959728E-2</v>
      </c>
      <c r="I896" s="86">
        <v>412.57894819388304</v>
      </c>
      <c r="J896" s="86">
        <v>420.409374682107</v>
      </c>
      <c r="K896" s="86">
        <v>412.43032799956325</v>
      </c>
      <c r="L896" s="86">
        <v>419.26685693827358</v>
      </c>
      <c r="M896" s="86">
        <v>1846382.7291837919</v>
      </c>
      <c r="N896" s="86" t="s">
        <v>944</v>
      </c>
      <c r="O896" s="25">
        <f t="shared" si="26"/>
        <v>-1.5951436737044911E-2</v>
      </c>
    </row>
    <row r="897" spans="1:15">
      <c r="A897" s="86">
        <v>378.21566915674464</v>
      </c>
      <c r="B897" s="86">
        <v>383.74601285304226</v>
      </c>
      <c r="C897" s="86">
        <v>377.50627952030851</v>
      </c>
      <c r="D897" s="86">
        <v>382.17280862529964</v>
      </c>
      <c r="E897" s="86">
        <v>6951107.6166451778</v>
      </c>
      <c r="F897" s="86" t="s">
        <v>945</v>
      </c>
      <c r="G897" s="25">
        <f t="shared" si="25"/>
        <v>-1.0354319771699871E-2</v>
      </c>
      <c r="I897" s="86">
        <v>417.23261802852147</v>
      </c>
      <c r="J897" s="86">
        <v>417.68776737362583</v>
      </c>
      <c r="K897" s="86">
        <v>410.74116660349739</v>
      </c>
      <c r="L897" s="86">
        <v>412.1052213244887</v>
      </c>
      <c r="M897" s="86">
        <v>2166489.9677575268</v>
      </c>
      <c r="N897" s="86" t="s">
        <v>945</v>
      </c>
      <c r="O897" s="25">
        <f t="shared" si="26"/>
        <v>1.2441960059505153E-2</v>
      </c>
    </row>
    <row r="898" spans="1:15">
      <c r="A898" s="86">
        <v>381.44894164934448</v>
      </c>
      <c r="B898" s="86">
        <v>385.87900754219015</v>
      </c>
      <c r="C898" s="86">
        <v>380.48378568140424</v>
      </c>
      <c r="D898" s="86">
        <v>384.99106405168516</v>
      </c>
      <c r="E898" s="86">
        <v>7593861.7627174594</v>
      </c>
      <c r="F898" s="86" t="s">
        <v>946</v>
      </c>
      <c r="G898" s="25">
        <f t="shared" si="25"/>
        <v>-9.2005314748425659E-3</v>
      </c>
      <c r="I898" s="86">
        <v>414.34381300143053</v>
      </c>
      <c r="J898" s="86">
        <v>416.03436771181811</v>
      </c>
      <c r="K898" s="86">
        <v>408.95335855345172</v>
      </c>
      <c r="L898" s="86">
        <v>411.78011464941414</v>
      </c>
      <c r="M898" s="86">
        <v>2179108.4413679484</v>
      </c>
      <c r="N898" s="86" t="s">
        <v>946</v>
      </c>
      <c r="O898" s="25">
        <f t="shared" si="26"/>
        <v>6.225891588279131E-3</v>
      </c>
    </row>
    <row r="899" spans="1:15">
      <c r="A899" s="86">
        <v>386.62217763750414</v>
      </c>
      <c r="B899" s="86">
        <v>388.47527709594942</v>
      </c>
      <c r="C899" s="86">
        <v>383.46370473241973</v>
      </c>
      <c r="D899" s="86">
        <v>383.77496753208044</v>
      </c>
      <c r="E899" s="86">
        <v>4366764.6888144482</v>
      </c>
      <c r="F899" s="86" t="s">
        <v>947</v>
      </c>
      <c r="G899" s="25">
        <f t="shared" si="25"/>
        <v>7.4189573221334904E-3</v>
      </c>
      <c r="I899" s="86">
        <v>409.75516450180697</v>
      </c>
      <c r="J899" s="86">
        <v>420.58586116286176</v>
      </c>
      <c r="K899" s="86">
        <v>404.18190721481488</v>
      </c>
      <c r="L899" s="86">
        <v>405.510200201548</v>
      </c>
      <c r="M899" s="86">
        <v>3341615.3321087956</v>
      </c>
      <c r="N899" s="86" t="s">
        <v>947</v>
      </c>
      <c r="O899" s="25">
        <f t="shared" si="26"/>
        <v>1.046820597397824E-2</v>
      </c>
    </row>
    <row r="900" spans="1:15">
      <c r="A900" s="86">
        <v>386.61252607782478</v>
      </c>
      <c r="B900" s="86">
        <v>387.60663672480325</v>
      </c>
      <c r="C900" s="86">
        <v>384.46022826931801</v>
      </c>
      <c r="D900" s="86">
        <v>384.68221414194426</v>
      </c>
      <c r="E900" s="86">
        <v>5336900.1188405808</v>
      </c>
      <c r="F900" s="86" t="s">
        <v>948</v>
      </c>
      <c r="G900" s="25">
        <f t="shared" si="25"/>
        <v>5.0179391323983413E-3</v>
      </c>
      <c r="I900" s="86">
        <v>409.08637362736795</v>
      </c>
      <c r="J900" s="86">
        <v>411.95613669206165</v>
      </c>
      <c r="K900" s="86">
        <v>403.49453881608582</v>
      </c>
      <c r="L900" s="86">
        <v>408.16678617501424</v>
      </c>
      <c r="M900" s="86">
        <v>2079197.3891185522</v>
      </c>
      <c r="N900" s="86" t="s">
        <v>948</v>
      </c>
      <c r="O900" s="25">
        <f t="shared" si="26"/>
        <v>2.252969823858697E-3</v>
      </c>
    </row>
    <row r="901" spans="1:15">
      <c r="A901" s="86">
        <v>382.60712881087272</v>
      </c>
      <c r="B901" s="86">
        <v>386.98893690532145</v>
      </c>
      <c r="C901" s="86">
        <v>381.19800109767993</v>
      </c>
      <c r="D901" s="86">
        <v>385.87900754219015</v>
      </c>
      <c r="E901" s="86">
        <v>3908403.5381870409</v>
      </c>
      <c r="F901" s="86" t="s">
        <v>949</v>
      </c>
      <c r="G901" s="25">
        <f t="shared" si="25"/>
        <v>-8.4790275380806079E-3</v>
      </c>
      <c r="I901" s="86">
        <v>409.6901431667921</v>
      </c>
      <c r="J901" s="86">
        <v>411.60362816865938</v>
      </c>
      <c r="K901" s="86">
        <v>403.7546241561455</v>
      </c>
      <c r="L901" s="86">
        <v>407.34008634411038</v>
      </c>
      <c r="M901" s="86">
        <v>1637362.4130539575</v>
      </c>
      <c r="N901" s="86" t="s">
        <v>949</v>
      </c>
      <c r="O901" s="25">
        <f t="shared" si="26"/>
        <v>5.7692746220328051E-3</v>
      </c>
    </row>
    <row r="902" spans="1:15">
      <c r="A902" s="86">
        <v>384.63395634354725</v>
      </c>
      <c r="B902" s="86">
        <v>387.79966791839126</v>
      </c>
      <c r="C902" s="86">
        <v>382.39479449792589</v>
      </c>
      <c r="D902" s="86">
        <v>387.49081800865042</v>
      </c>
      <c r="E902" s="86">
        <v>4012749.3676128555</v>
      </c>
      <c r="F902" s="86" t="s">
        <v>950</v>
      </c>
      <c r="G902" s="25">
        <f t="shared" si="25"/>
        <v>-7.3727209325497034E-3</v>
      </c>
      <c r="I902" s="86">
        <v>403.26231976246117</v>
      </c>
      <c r="J902" s="86">
        <v>407.86025702422967</v>
      </c>
      <c r="K902" s="86">
        <v>399.51876284278853</v>
      </c>
      <c r="L902" s="86">
        <v>406.89422576115106</v>
      </c>
      <c r="M902" s="86">
        <v>1208029.6410707401</v>
      </c>
      <c r="N902" s="86" t="s">
        <v>950</v>
      </c>
      <c r="O902" s="25">
        <f t="shared" si="26"/>
        <v>-8.9259216984363121E-3</v>
      </c>
    </row>
    <row r="903" spans="1:15">
      <c r="A903" s="86">
        <v>386.95998222628327</v>
      </c>
      <c r="B903" s="86">
        <v>387.11440718115364</v>
      </c>
      <c r="C903" s="86">
        <v>384.12242368053893</v>
      </c>
      <c r="D903" s="86">
        <v>386.32297928744265</v>
      </c>
      <c r="E903" s="86">
        <v>4332754.6416403605</v>
      </c>
      <c r="F903" s="86" t="s">
        <v>951</v>
      </c>
      <c r="G903" s="25">
        <f t="shared" si="25"/>
        <v>1.6488870012743018E-3</v>
      </c>
      <c r="I903" s="86">
        <v>405.59379906085286</v>
      </c>
      <c r="J903" s="86">
        <v>407.59088292202506</v>
      </c>
      <c r="K903" s="86">
        <v>402.48206374228226</v>
      </c>
      <c r="L903" s="86">
        <v>403.80106796687045</v>
      </c>
      <c r="M903" s="86">
        <v>1528227.3115003984</v>
      </c>
      <c r="N903" s="86" t="s">
        <v>951</v>
      </c>
      <c r="O903" s="25">
        <f t="shared" si="26"/>
        <v>4.4396393080601282E-3</v>
      </c>
    </row>
    <row r="904" spans="1:15">
      <c r="A904" s="86">
        <v>385.32886864046424</v>
      </c>
      <c r="B904" s="86">
        <v>387.68384920223843</v>
      </c>
      <c r="C904" s="86">
        <v>383.54091720985491</v>
      </c>
      <c r="D904" s="86">
        <v>383.91008936759204</v>
      </c>
      <c r="E904" s="86">
        <v>3408402.4854764841</v>
      </c>
      <c r="F904" s="86" t="s">
        <v>952</v>
      </c>
      <c r="G904" s="25">
        <f t="shared" si="25"/>
        <v>3.6956029866506146E-3</v>
      </c>
      <c r="I904" s="86">
        <v>404.15404092837991</v>
      </c>
      <c r="J904" s="86">
        <v>411.13919006141003</v>
      </c>
      <c r="K904" s="86">
        <v>401.76682905711823</v>
      </c>
      <c r="L904" s="86">
        <v>410.11742622546149</v>
      </c>
      <c r="M904" s="86">
        <v>2827250.7778846826</v>
      </c>
      <c r="N904" s="86" t="s">
        <v>952</v>
      </c>
      <c r="O904" s="25">
        <f t="shared" si="26"/>
        <v>-1.4540677658996137E-2</v>
      </c>
    </row>
    <row r="905" spans="1:15">
      <c r="A905" s="86">
        <v>383.35029890618671</v>
      </c>
      <c r="B905" s="86">
        <v>383.83287689015685</v>
      </c>
      <c r="C905" s="86">
        <v>378.64033778263831</v>
      </c>
      <c r="D905" s="86">
        <v>379.11326420692905</v>
      </c>
      <c r="E905" s="86">
        <v>3066345.8532157396</v>
      </c>
      <c r="F905" s="86" t="s">
        <v>953</v>
      </c>
      <c r="G905" s="25">
        <f t="shared" si="25"/>
        <v>1.1176171079429587E-2</v>
      </c>
      <c r="I905" s="86">
        <v>405.48233391511303</v>
      </c>
      <c r="J905" s="86">
        <v>405.54735525012796</v>
      </c>
      <c r="K905" s="86">
        <v>393.27690045660023</v>
      </c>
      <c r="L905" s="86">
        <v>398.2278106798783</v>
      </c>
      <c r="M905" s="86">
        <v>5752916.1761171762</v>
      </c>
      <c r="N905" s="86" t="s">
        <v>953</v>
      </c>
      <c r="O905" s="25">
        <f t="shared" si="26"/>
        <v>1.821701810039178E-2</v>
      </c>
    </row>
    <row r="906" spans="1:15">
      <c r="A906" s="86">
        <v>380.81193871050385</v>
      </c>
      <c r="B906" s="86">
        <v>382.28380156161273</v>
      </c>
      <c r="C906" s="86">
        <v>372.94630363417804</v>
      </c>
      <c r="D906" s="86">
        <v>374.1813172107544</v>
      </c>
      <c r="E906" s="86">
        <v>5074018.2547399299</v>
      </c>
      <c r="F906" s="86" t="s">
        <v>954</v>
      </c>
      <c r="G906" s="25">
        <f t="shared" si="25"/>
        <v>1.7720343573473629E-2</v>
      </c>
      <c r="I906" s="86">
        <v>372.22856543605997</v>
      </c>
      <c r="J906" s="86">
        <v>373.79372185749025</v>
      </c>
      <c r="K906" s="86">
        <v>365.76358698314903</v>
      </c>
      <c r="L906" s="86">
        <v>367.27765521278189</v>
      </c>
      <c r="M906" s="86">
        <v>1222546.1070858347</v>
      </c>
      <c r="N906" s="86" t="s">
        <v>954</v>
      </c>
      <c r="O906" s="25">
        <f t="shared" si="26"/>
        <v>1.3480020232675916E-2</v>
      </c>
    </row>
    <row r="907" spans="1:15">
      <c r="A907" s="86">
        <v>376.32396345958176</v>
      </c>
      <c r="B907" s="86">
        <v>377.17223903980442</v>
      </c>
      <c r="C907" s="86">
        <v>373.46710179447859</v>
      </c>
      <c r="D907" s="86">
        <v>376.30466034022288</v>
      </c>
      <c r="E907" s="86">
        <v>3449277.7443055757</v>
      </c>
      <c r="F907" s="86" t="s">
        <v>955</v>
      </c>
      <c r="G907" s="25">
        <f t="shared" si="25"/>
        <v>5.1296519531396356E-5</v>
      </c>
      <c r="I907" s="86">
        <v>369.0889638310544</v>
      </c>
      <c r="J907" s="86">
        <v>372.87868589858755</v>
      </c>
      <c r="K907" s="86">
        <v>366.55313176547293</v>
      </c>
      <c r="L907" s="86">
        <v>372.44220696539463</v>
      </c>
      <c r="M907" s="86">
        <v>1251828.8032895261</v>
      </c>
      <c r="N907" s="86" t="s">
        <v>955</v>
      </c>
      <c r="O907" s="25">
        <f t="shared" si="26"/>
        <v>-9.0033918595370244E-3</v>
      </c>
    </row>
    <row r="908" spans="1:15">
      <c r="A908" s="86">
        <v>376.64246492900202</v>
      </c>
      <c r="B908" s="86">
        <v>377.23121006944558</v>
      </c>
      <c r="C908" s="86">
        <v>372.93626601211145</v>
      </c>
      <c r="D908" s="86">
        <v>374.21992344947199</v>
      </c>
      <c r="E908" s="86">
        <v>4490196.5526345922</v>
      </c>
      <c r="F908" s="86" t="s">
        <v>956</v>
      </c>
      <c r="G908" s="25">
        <f t="shared" si="25"/>
        <v>6.4735769736672388E-3</v>
      </c>
      <c r="I908" s="86">
        <v>372.78589116475916</v>
      </c>
      <c r="J908" s="86">
        <v>373.40823822847329</v>
      </c>
      <c r="K908" s="86">
        <v>368.86138915850222</v>
      </c>
      <c r="L908" s="86">
        <v>372.16354410104503</v>
      </c>
      <c r="M908" s="86">
        <v>1338670.2992185985</v>
      </c>
      <c r="N908" s="86" t="s">
        <v>956</v>
      </c>
      <c r="O908" s="25">
        <f t="shared" si="26"/>
        <v>1.6722408026756952E-3</v>
      </c>
    </row>
    <row r="909" spans="1:15">
      <c r="A909" s="86">
        <v>373.89177042037227</v>
      </c>
      <c r="B909" s="86">
        <v>378.27357851482105</v>
      </c>
      <c r="C909" s="86">
        <v>372.57915830397354</v>
      </c>
      <c r="D909" s="86">
        <v>376.97061795810168</v>
      </c>
      <c r="E909" s="86">
        <v>7135285.1028802367</v>
      </c>
      <c r="F909" s="86" t="s">
        <v>957</v>
      </c>
      <c r="G909" s="25">
        <f t="shared" si="25"/>
        <v>-8.167340877669127E-3</v>
      </c>
      <c r="I909" s="86">
        <v>375.10808170100586</v>
      </c>
      <c r="J909" s="86">
        <v>378.51705740821609</v>
      </c>
      <c r="K909" s="86">
        <v>373.9562751950275</v>
      </c>
      <c r="L909" s="86">
        <v>378.4148810246212</v>
      </c>
      <c r="M909" s="86">
        <v>968031.03143865499</v>
      </c>
      <c r="N909" s="86" t="s">
        <v>957</v>
      </c>
      <c r="O909" s="25">
        <f t="shared" si="26"/>
        <v>-8.738555192812747E-3</v>
      </c>
    </row>
    <row r="910" spans="1:15">
      <c r="A910" s="86">
        <v>378.9877939310968</v>
      </c>
      <c r="B910" s="86">
        <v>380.03971742055489</v>
      </c>
      <c r="C910" s="86">
        <v>376.38187281765818</v>
      </c>
      <c r="D910" s="86">
        <v>378.24462383578282</v>
      </c>
      <c r="E910" s="86">
        <v>6098654.720606165</v>
      </c>
      <c r="F910" s="86" t="s">
        <v>958</v>
      </c>
      <c r="G910" s="25">
        <f t="shared" si="25"/>
        <v>1.9647869354426639E-3</v>
      </c>
      <c r="I910" s="86">
        <v>378.81429779685567</v>
      </c>
      <c r="J910" s="86">
        <v>381.75874250919503</v>
      </c>
      <c r="K910" s="86">
        <v>377.02156670287314</v>
      </c>
      <c r="L910" s="86">
        <v>379.87321668138412</v>
      </c>
      <c r="M910" s="86">
        <v>789402.27831728419</v>
      </c>
      <c r="N910" s="86" t="s">
        <v>958</v>
      </c>
      <c r="O910" s="25">
        <f t="shared" si="26"/>
        <v>-2.78755868544589E-3</v>
      </c>
    </row>
    <row r="911" spans="1:15">
      <c r="A911" s="86">
        <v>379.01674861013498</v>
      </c>
      <c r="B911" s="86">
        <v>382.91597872061362</v>
      </c>
      <c r="C911" s="86">
        <v>377.66553025501867</v>
      </c>
      <c r="D911" s="86">
        <v>382.80016000446079</v>
      </c>
      <c r="E911" s="86">
        <v>5974770.0802250132</v>
      </c>
      <c r="F911" s="86" t="s">
        <v>959</v>
      </c>
      <c r="G911" s="25">
        <f t="shared" si="25"/>
        <v>-9.8835157077303837E-3</v>
      </c>
      <c r="I911" s="86">
        <v>379.87321668138412</v>
      </c>
      <c r="J911" s="86">
        <v>382.18323893922098</v>
      </c>
      <c r="K911" s="86">
        <v>378.60065626752095</v>
      </c>
      <c r="L911" s="86">
        <v>381.73096911038152</v>
      </c>
      <c r="M911" s="86">
        <v>822567.08490739134</v>
      </c>
      <c r="N911" s="86" t="s">
        <v>959</v>
      </c>
      <c r="O911" s="25">
        <f t="shared" si="26"/>
        <v>-4.8666536889235834E-3</v>
      </c>
    </row>
    <row r="912" spans="1:15">
      <c r="A912" s="86">
        <v>379.92399521999886</v>
      </c>
      <c r="B912" s="86">
        <v>381.49719944774142</v>
      </c>
      <c r="C912" s="86">
        <v>376.72932896611661</v>
      </c>
      <c r="D912" s="86">
        <v>377.25051318880435</v>
      </c>
      <c r="E912" s="86">
        <v>4212557.4881713968</v>
      </c>
      <c r="F912" s="86" t="s">
        <v>960</v>
      </c>
      <c r="G912" s="25">
        <f t="shared" si="25"/>
        <v>7.0867551871467427E-3</v>
      </c>
      <c r="I912" s="86">
        <v>381.73096911038152</v>
      </c>
      <c r="J912" s="86">
        <v>383.49583391792908</v>
      </c>
      <c r="K912" s="86">
        <v>379.73852963028185</v>
      </c>
      <c r="L912" s="86">
        <v>380.74636032301288</v>
      </c>
      <c r="M912" s="86">
        <v>882581.54014897149</v>
      </c>
      <c r="N912" s="86" t="s">
        <v>960</v>
      </c>
      <c r="O912" s="25">
        <f t="shared" si="26"/>
        <v>2.5859965845329569E-3</v>
      </c>
    </row>
    <row r="913" spans="1:15">
      <c r="A913" s="86">
        <v>377.72102671738435</v>
      </c>
      <c r="B913" s="86">
        <v>379.20172006381364</v>
      </c>
      <c r="C913" s="86">
        <v>374.45196348500781</v>
      </c>
      <c r="D913" s="86">
        <v>378.67290101151741</v>
      </c>
      <c r="E913" s="86">
        <v>5031463.7652459061</v>
      </c>
      <c r="F913" s="86" t="s">
        <v>961</v>
      </c>
      <c r="G913" s="25">
        <f t="shared" si="25"/>
        <v>-2.5137111517364863E-3</v>
      </c>
      <c r="I913" s="86">
        <v>379.65028638990447</v>
      </c>
      <c r="J913" s="86">
        <v>380.83924794446278</v>
      </c>
      <c r="K913" s="86">
        <v>376.86365774640842</v>
      </c>
      <c r="L913" s="86">
        <v>380.07756944857385</v>
      </c>
      <c r="M913" s="86">
        <v>1418443.0384096766</v>
      </c>
      <c r="N913" s="86" t="s">
        <v>961</v>
      </c>
      <c r="O913" s="25">
        <f t="shared" si="26"/>
        <v>-1.124199618749655E-3</v>
      </c>
    </row>
    <row r="914" spans="1:15">
      <c r="A914" s="86">
        <v>377.63449269064489</v>
      </c>
      <c r="B914" s="86">
        <v>381.09585376022005</v>
      </c>
      <c r="C914" s="86">
        <v>376.86530134185045</v>
      </c>
      <c r="D914" s="86">
        <v>380.48050068118448</v>
      </c>
      <c r="E914" s="86">
        <v>5964429.0165123409</v>
      </c>
      <c r="F914" s="86" t="s">
        <v>962</v>
      </c>
      <c r="G914" s="25">
        <f t="shared" si="25"/>
        <v>-7.4800363893663402E-3</v>
      </c>
      <c r="I914" s="86">
        <v>379.67815267633944</v>
      </c>
      <c r="J914" s="86">
        <v>382.01892073687611</v>
      </c>
      <c r="K914" s="86">
        <v>378.74667560844017</v>
      </c>
      <c r="L914" s="86">
        <v>381.42443995959695</v>
      </c>
      <c r="M914" s="86">
        <v>1192802.6390448206</v>
      </c>
      <c r="N914" s="86" t="s">
        <v>962</v>
      </c>
      <c r="O914" s="25">
        <f t="shared" si="26"/>
        <v>-4.5783308574628423E-3</v>
      </c>
    </row>
    <row r="915" spans="1:15">
      <c r="A915" s="86">
        <v>383.25920442870449</v>
      </c>
      <c r="B915" s="86">
        <v>383.2872799129355</v>
      </c>
      <c r="C915" s="86">
        <v>380.14397946608688</v>
      </c>
      <c r="D915" s="86">
        <v>380.51896024862418</v>
      </c>
      <c r="E915" s="86">
        <v>3357188.0443626824</v>
      </c>
      <c r="F915" s="86" t="s">
        <v>963</v>
      </c>
      <c r="G915" s="25">
        <f t="shared" si="25"/>
        <v>7.2013341419041588E-3</v>
      </c>
      <c r="I915" s="86">
        <v>383.53298896650898</v>
      </c>
      <c r="J915" s="86">
        <v>384.50830899173258</v>
      </c>
      <c r="K915" s="86">
        <v>382.24185102835582</v>
      </c>
      <c r="L915" s="86">
        <v>383.83951811729355</v>
      </c>
      <c r="M915" s="86">
        <v>805678.93581374036</v>
      </c>
      <c r="N915" s="86" t="s">
        <v>963</v>
      </c>
      <c r="O915" s="25">
        <f t="shared" si="26"/>
        <v>-7.9858674346011682E-4</v>
      </c>
    </row>
    <row r="916" spans="1:15">
      <c r="A916" s="86">
        <v>381.67274727181587</v>
      </c>
      <c r="B916" s="86">
        <v>384.90911987186865</v>
      </c>
      <c r="C916" s="86">
        <v>381.28334415148868</v>
      </c>
      <c r="D916" s="86">
        <v>383.43707992811323</v>
      </c>
      <c r="E916" s="86">
        <v>7495173.2218981115</v>
      </c>
      <c r="F916" s="86" t="s">
        <v>964</v>
      </c>
      <c r="G916" s="25">
        <f t="shared" si="25"/>
        <v>-4.6013616018256709E-3</v>
      </c>
      <c r="I916" s="86">
        <v>384.22964612738298</v>
      </c>
      <c r="J916" s="86">
        <v>387.80581955320298</v>
      </c>
      <c r="K916" s="86">
        <v>383.83487373622108</v>
      </c>
      <c r="L916" s="86">
        <v>386.35677265858499</v>
      </c>
      <c r="M916" s="86">
        <v>1564655.2008917332</v>
      </c>
      <c r="N916" s="86" t="s">
        <v>964</v>
      </c>
      <c r="O916" s="25">
        <f t="shared" si="26"/>
        <v>-5.5056017694860016E-3</v>
      </c>
    </row>
    <row r="917" spans="1:15">
      <c r="A917" s="86">
        <v>382.59577689036928</v>
      </c>
      <c r="B917" s="86">
        <v>386.56672722852073</v>
      </c>
      <c r="C917" s="86">
        <v>382.37463437759084</v>
      </c>
      <c r="D917" s="86">
        <v>386.32635493202247</v>
      </c>
      <c r="E917" s="86">
        <v>4818711.5024227751</v>
      </c>
      <c r="F917" s="86" t="s">
        <v>965</v>
      </c>
      <c r="G917" s="25">
        <f t="shared" si="25"/>
        <v>-9.656545545047357E-3</v>
      </c>
      <c r="I917" s="86">
        <v>387.84297460178294</v>
      </c>
      <c r="J917" s="86">
        <v>396.26788186728606</v>
      </c>
      <c r="K917" s="86">
        <v>387.51786792670839</v>
      </c>
      <c r="L917" s="86">
        <v>395.45047079852719</v>
      </c>
      <c r="M917" s="86">
        <v>1797611.9680286585</v>
      </c>
      <c r="N917" s="86" t="s">
        <v>965</v>
      </c>
      <c r="O917" s="25">
        <f t="shared" si="26"/>
        <v>-1.9237544922838357E-2</v>
      </c>
    </row>
    <row r="918" spans="1:15">
      <c r="A918" s="86">
        <v>388.97045019350344</v>
      </c>
      <c r="B918" s="86">
        <v>394.05672798740682</v>
      </c>
      <c r="C918" s="86">
        <v>388.75892257258494</v>
      </c>
      <c r="D918" s="86">
        <v>393.69136209672945</v>
      </c>
      <c r="E918" s="86">
        <v>4170005.298456707</v>
      </c>
      <c r="F918" s="86" t="s">
        <v>966</v>
      </c>
      <c r="G918" s="25">
        <f t="shared" si="25"/>
        <v>-1.1991403311678694E-2</v>
      </c>
      <c r="I918" s="86">
        <v>396.58369978021557</v>
      </c>
      <c r="J918" s="86">
        <v>400.20631701676047</v>
      </c>
      <c r="K918" s="86">
        <v>396.32361444015595</v>
      </c>
      <c r="L918" s="86">
        <v>396.58369978021557</v>
      </c>
      <c r="M918" s="86">
        <v>1124221.9185939473</v>
      </c>
      <c r="N918" s="86" t="s">
        <v>966</v>
      </c>
      <c r="O918" s="25">
        <f t="shared" si="26"/>
        <v>0</v>
      </c>
    </row>
    <row r="919" spans="1:15">
      <c r="A919" s="86">
        <v>392.64333888399705</v>
      </c>
      <c r="B919" s="86">
        <v>393.061586679904</v>
      </c>
      <c r="C919" s="86">
        <v>390.08577764925536</v>
      </c>
      <c r="D919" s="86">
        <v>392.49911550609806</v>
      </c>
      <c r="E919" s="86">
        <v>3775157.3838565219</v>
      </c>
      <c r="F919" s="86" t="s">
        <v>967</v>
      </c>
      <c r="G919" s="25">
        <f t="shared" si="25"/>
        <v>3.6744892459950051E-4</v>
      </c>
      <c r="I919" s="86">
        <v>395.06034278843771</v>
      </c>
      <c r="J919" s="86">
        <v>400.41531416502266</v>
      </c>
      <c r="K919" s="86">
        <v>394.82812373481306</v>
      </c>
      <c r="L919" s="86">
        <v>399.64899128806127</v>
      </c>
      <c r="M919" s="86">
        <v>928473.55389055074</v>
      </c>
      <c r="N919" s="86" t="s">
        <v>967</v>
      </c>
      <c r="O919" s="25">
        <f t="shared" si="26"/>
        <v>-1.1481696687972165E-2</v>
      </c>
    </row>
    <row r="920" spans="1:15">
      <c r="A920" s="86">
        <v>393.43176001651136</v>
      </c>
      <c r="B920" s="86">
        <v>394.53747258040335</v>
      </c>
      <c r="C920" s="86">
        <v>392.44142615493848</v>
      </c>
      <c r="D920" s="86">
        <v>392.84525161305555</v>
      </c>
      <c r="E920" s="86">
        <v>3135314.5141059067</v>
      </c>
      <c r="F920" s="86" t="s">
        <v>968</v>
      </c>
      <c r="G920" s="25">
        <f t="shared" si="25"/>
        <v>1.4929756718391474E-3</v>
      </c>
      <c r="I920" s="86">
        <v>399.28672956440676</v>
      </c>
      <c r="J920" s="86">
        <v>400.76364274545966</v>
      </c>
      <c r="K920" s="86">
        <v>396.25859310514107</v>
      </c>
      <c r="L920" s="86">
        <v>397.24320189250966</v>
      </c>
      <c r="M920" s="86">
        <v>1024040.6473464951</v>
      </c>
      <c r="N920" s="86" t="s">
        <v>968</v>
      </c>
      <c r="O920" s="25">
        <f t="shared" si="26"/>
        <v>5.144273488284945E-3</v>
      </c>
    </row>
    <row r="921" spans="1:15">
      <c r="A921" s="86">
        <v>392.99908988281447</v>
      </c>
      <c r="B921" s="86">
        <v>396.7777423837673</v>
      </c>
      <c r="C921" s="86">
        <v>392.74910269445627</v>
      </c>
      <c r="D921" s="86">
        <v>396.46045095238952</v>
      </c>
      <c r="E921" s="86">
        <v>4164404.6114407238</v>
      </c>
      <c r="F921" s="86" t="s">
        <v>969</v>
      </c>
      <c r="G921" s="25">
        <f t="shared" si="25"/>
        <v>-8.7306591647667853E-3</v>
      </c>
      <c r="I921" s="86">
        <v>393.88995875816937</v>
      </c>
      <c r="J921" s="86">
        <v>398.37643087419804</v>
      </c>
      <c r="K921" s="86">
        <v>393.57414084523981</v>
      </c>
      <c r="L921" s="86">
        <v>393.75991608813956</v>
      </c>
      <c r="M921" s="86">
        <v>1810341.3283195572</v>
      </c>
      <c r="N921" s="86" t="s">
        <v>969</v>
      </c>
      <c r="O921" s="25">
        <f t="shared" si="26"/>
        <v>3.3025878134518294E-4</v>
      </c>
    </row>
    <row r="922" spans="1:15">
      <c r="A922" s="86">
        <v>397.96037408253875</v>
      </c>
      <c r="B922" s="86">
        <v>398.54688248599456</v>
      </c>
      <c r="C922" s="86">
        <v>395.57588090127592</v>
      </c>
      <c r="D922" s="86">
        <v>396.7777423837673</v>
      </c>
      <c r="E922" s="86">
        <v>3807532.1629528143</v>
      </c>
      <c r="F922" s="86" t="s">
        <v>970</v>
      </c>
      <c r="G922" s="25">
        <f t="shared" si="25"/>
        <v>2.9805898175296885E-3</v>
      </c>
      <c r="I922" s="86">
        <v>395.59909099284698</v>
      </c>
      <c r="J922" s="86">
        <v>396.30968129693844</v>
      </c>
      <c r="K922" s="86">
        <v>390.80608972603375</v>
      </c>
      <c r="L922" s="86">
        <v>390.80608972603375</v>
      </c>
      <c r="M922" s="86">
        <v>1068397.4726768073</v>
      </c>
      <c r="N922" s="86" t="s">
        <v>970</v>
      </c>
      <c r="O922" s="25">
        <f t="shared" si="26"/>
        <v>1.2264397594656806E-2</v>
      </c>
    </row>
    <row r="923" spans="1:15">
      <c r="A923" s="86">
        <v>394.54708747226334</v>
      </c>
      <c r="B923" s="86">
        <v>395.55665111755604</v>
      </c>
      <c r="C923" s="86">
        <v>393.23946217931274</v>
      </c>
      <c r="D923" s="86">
        <v>394.2394109327455</v>
      </c>
      <c r="E923" s="86">
        <v>2631072.7534466395</v>
      </c>
      <c r="F923" s="86" t="s">
        <v>971</v>
      </c>
      <c r="G923" s="25">
        <f t="shared" si="25"/>
        <v>7.8043070019284677E-4</v>
      </c>
      <c r="I923" s="86">
        <v>391.04759754180338</v>
      </c>
      <c r="J923" s="86">
        <v>392.21798157207172</v>
      </c>
      <c r="K923" s="86">
        <v>388.80909875248301</v>
      </c>
      <c r="L923" s="86">
        <v>389.9608123708399</v>
      </c>
      <c r="M923" s="86">
        <v>1045960.6832804421</v>
      </c>
      <c r="N923" s="86" t="s">
        <v>971</v>
      </c>
      <c r="O923" s="25">
        <f t="shared" si="26"/>
        <v>2.7869086751464156E-3</v>
      </c>
    </row>
    <row r="924" spans="1:15">
      <c r="A924" s="86">
        <v>394.08557266298664</v>
      </c>
      <c r="B924" s="86">
        <v>396.27776800705084</v>
      </c>
      <c r="C924" s="86">
        <v>393.5279089351107</v>
      </c>
      <c r="D924" s="86">
        <v>394.88360868736089</v>
      </c>
      <c r="E924" s="86">
        <v>7899512.6629064428</v>
      </c>
      <c r="F924" s="86" t="s">
        <v>972</v>
      </c>
      <c r="G924" s="25">
        <f t="shared" si="25"/>
        <v>-2.020939858777715E-3</v>
      </c>
      <c r="I924" s="86">
        <v>388.11234870398749</v>
      </c>
      <c r="J924" s="86">
        <v>390.2325086635808</v>
      </c>
      <c r="K924" s="86">
        <v>386.35677265858499</v>
      </c>
      <c r="L924" s="86">
        <v>389.70072703078029</v>
      </c>
      <c r="M924" s="86">
        <v>1407872.2003940868</v>
      </c>
      <c r="N924" s="86" t="s">
        <v>972</v>
      </c>
      <c r="O924" s="25">
        <f t="shared" si="26"/>
        <v>-4.0758926443248411E-3</v>
      </c>
    </row>
    <row r="925" spans="1:15">
      <c r="A925" s="86">
        <v>396.21046376403137</v>
      </c>
      <c r="B925" s="86">
        <v>396.49891051982928</v>
      </c>
      <c r="C925" s="86">
        <v>394.48939812110376</v>
      </c>
      <c r="D925" s="86">
        <v>396.01816592683275</v>
      </c>
      <c r="E925" s="86">
        <v>3480603.889001057</v>
      </c>
      <c r="F925" s="86" t="s">
        <v>973</v>
      </c>
      <c r="G925" s="25">
        <f t="shared" si="25"/>
        <v>4.8557832378359755E-4</v>
      </c>
      <c r="I925" s="86">
        <v>390.74106839101887</v>
      </c>
      <c r="J925" s="86">
        <v>392.65919777395862</v>
      </c>
      <c r="K925" s="86">
        <v>386.89087648192174</v>
      </c>
      <c r="L925" s="86">
        <v>392.19011528563681</v>
      </c>
      <c r="M925" s="86">
        <v>1742406.5496967067</v>
      </c>
      <c r="N925" s="86" t="s">
        <v>973</v>
      </c>
      <c r="O925" s="25">
        <f t="shared" si="26"/>
        <v>-3.6947562881909368E-3</v>
      </c>
    </row>
    <row r="926" spans="1:15">
      <c r="A926" s="86">
        <v>393.62405785370993</v>
      </c>
      <c r="B926" s="86">
        <v>395.01821717339993</v>
      </c>
      <c r="C926" s="86">
        <v>392.75871758631621</v>
      </c>
      <c r="D926" s="86">
        <v>393.07600901769388</v>
      </c>
      <c r="E926" s="86">
        <v>4290451.7909259759</v>
      </c>
      <c r="F926" s="86" t="s">
        <v>974</v>
      </c>
      <c r="G926" s="25">
        <f t="shared" ref="G926:G989" si="27">A926/D926-1</f>
        <v>1.3942566410645174E-3</v>
      </c>
      <c r="I926" s="86">
        <v>392.99823759225063</v>
      </c>
      <c r="J926" s="86">
        <v>396.10997291082123</v>
      </c>
      <c r="K926" s="86">
        <v>392.21798157207172</v>
      </c>
      <c r="L926" s="86">
        <v>396.00779652722639</v>
      </c>
      <c r="M926" s="86">
        <v>1251535.9763274894</v>
      </c>
      <c r="N926" s="86" t="s">
        <v>974</v>
      </c>
      <c r="O926" s="25">
        <f t="shared" ref="O926:O989" si="28">I926/L926-1</f>
        <v>-7.5997466751108744E-3</v>
      </c>
    </row>
    <row r="927" spans="1:15">
      <c r="A927" s="86">
        <v>393.08562390955382</v>
      </c>
      <c r="B927" s="86">
        <v>393.66251742114969</v>
      </c>
      <c r="C927" s="86">
        <v>391.18668276721752</v>
      </c>
      <c r="D927" s="86">
        <v>391.48955186080531</v>
      </c>
      <c r="E927" s="86">
        <v>2335709.0570711279</v>
      </c>
      <c r="F927" s="86" t="s">
        <v>975</v>
      </c>
      <c r="G927" s="25">
        <f t="shared" si="27"/>
        <v>4.0769211877103029E-3</v>
      </c>
      <c r="I927" s="86">
        <v>395.64553480357188</v>
      </c>
      <c r="J927" s="86">
        <v>397.35002265717696</v>
      </c>
      <c r="K927" s="86">
        <v>391.98576251844707</v>
      </c>
      <c r="L927" s="86">
        <v>393.84351494744442</v>
      </c>
      <c r="M927" s="86">
        <v>1287338.3787153554</v>
      </c>
      <c r="N927" s="86" t="s">
        <v>975</v>
      </c>
      <c r="O927" s="25">
        <f t="shared" si="28"/>
        <v>4.5754716981132315E-3</v>
      </c>
    </row>
    <row r="928" spans="1:15">
      <c r="A928" s="86">
        <v>394.25864071646544</v>
      </c>
      <c r="B928" s="86">
        <v>396.25853822333102</v>
      </c>
      <c r="C928" s="86">
        <v>392.12413472356076</v>
      </c>
      <c r="D928" s="86">
        <v>396.22969354775125</v>
      </c>
      <c r="E928" s="86">
        <v>3894030.2756841602</v>
      </c>
      <c r="F928" s="86" t="s">
        <v>976</v>
      </c>
      <c r="G928" s="25">
        <f t="shared" si="27"/>
        <v>-4.9745207473913533E-3</v>
      </c>
      <c r="I928" s="86">
        <v>393.78778237457453</v>
      </c>
      <c r="J928" s="86">
        <v>409.95022850685172</v>
      </c>
      <c r="K928" s="86">
        <v>393.52769703451492</v>
      </c>
      <c r="L928" s="86">
        <v>408.92846467090317</v>
      </c>
      <c r="M928" s="86">
        <v>2743061.9497293569</v>
      </c>
      <c r="N928" s="86" t="s">
        <v>976</v>
      </c>
      <c r="O928" s="25">
        <f t="shared" si="28"/>
        <v>-3.7025258949663797E-2</v>
      </c>
    </row>
    <row r="929" spans="1:15">
      <c r="A929" s="86">
        <v>396.99888489654569</v>
      </c>
      <c r="B929" s="86">
        <v>398.50842291855486</v>
      </c>
      <c r="C929" s="86">
        <v>396.87389130236659</v>
      </c>
      <c r="D929" s="86">
        <v>398.24882083833671</v>
      </c>
      <c r="E929" s="86">
        <v>4603990.4187043309</v>
      </c>
      <c r="F929" s="86" t="s">
        <v>977</v>
      </c>
      <c r="G929" s="25">
        <f t="shared" si="27"/>
        <v>-3.1385803959440572E-3</v>
      </c>
      <c r="I929" s="86">
        <v>413.52640193267166</v>
      </c>
      <c r="J929" s="86">
        <v>416.44307324619757</v>
      </c>
      <c r="K929" s="86">
        <v>413.39635926264185</v>
      </c>
      <c r="L929" s="86">
        <v>416.136544095413</v>
      </c>
      <c r="M929" s="86">
        <v>919508.95788731042</v>
      </c>
      <c r="N929" s="86" t="s">
        <v>977</v>
      </c>
      <c r="O929" s="25">
        <f t="shared" si="28"/>
        <v>-6.2723214285714812E-3</v>
      </c>
    </row>
    <row r="930" spans="1:15">
      <c r="A930" s="86">
        <v>398.73918032319318</v>
      </c>
      <c r="B930" s="86">
        <v>400.82561185679816</v>
      </c>
      <c r="C930" s="86">
        <v>397.29694654420354</v>
      </c>
      <c r="D930" s="86">
        <v>400.42178639868109</v>
      </c>
      <c r="E930" s="86">
        <v>3731681.0758449822</v>
      </c>
      <c r="F930" s="86" t="s">
        <v>978</v>
      </c>
      <c r="G930" s="25">
        <f t="shared" si="27"/>
        <v>-4.2020842337799902E-3</v>
      </c>
      <c r="I930" s="86">
        <v>416.30374181402277</v>
      </c>
      <c r="J930" s="86">
        <v>419.74987256981291</v>
      </c>
      <c r="K930" s="86">
        <v>415.93219132822327</v>
      </c>
      <c r="L930" s="86">
        <v>418.29153691304998</v>
      </c>
      <c r="M930" s="86">
        <v>719951.68953800714</v>
      </c>
      <c r="N930" s="86" t="s">
        <v>978</v>
      </c>
      <c r="O930" s="25">
        <f t="shared" si="28"/>
        <v>-4.7521762302362713E-3</v>
      </c>
    </row>
    <row r="931" spans="1:15">
      <c r="A931" s="86">
        <v>397.89306983951928</v>
      </c>
      <c r="B931" s="86">
        <v>400.09488007544343</v>
      </c>
      <c r="C931" s="86">
        <v>397.72961667790048</v>
      </c>
      <c r="D931" s="86">
        <v>399.00070538178335</v>
      </c>
      <c r="E931" s="86">
        <v>4941429.4712974122</v>
      </c>
      <c r="F931" s="86" t="s">
        <v>979</v>
      </c>
      <c r="G931" s="25">
        <f t="shared" si="27"/>
        <v>-2.7760240203190678E-3</v>
      </c>
      <c r="I931" s="86">
        <v>416.46165077048755</v>
      </c>
      <c r="J931" s="86">
        <v>421.35682842089562</v>
      </c>
      <c r="K931" s="86">
        <v>416.26658676544281</v>
      </c>
      <c r="L931" s="86">
        <v>418.75597502029927</v>
      </c>
      <c r="M931" s="86">
        <v>889783.79153142357</v>
      </c>
      <c r="N931" s="86" t="s">
        <v>979</v>
      </c>
      <c r="O931" s="25">
        <f t="shared" si="28"/>
        <v>-5.4789051062507088E-3</v>
      </c>
    </row>
    <row r="932" spans="1:15">
      <c r="A932" s="86">
        <v>398.40265910809563</v>
      </c>
      <c r="B932" s="86">
        <v>399.04608767136216</v>
      </c>
      <c r="C932" s="86">
        <v>396.51814030354916</v>
      </c>
      <c r="D932" s="86">
        <v>397.12387849072479</v>
      </c>
      <c r="E932" s="86">
        <v>3124856.77818284</v>
      </c>
      <c r="F932" s="86" t="s">
        <v>980</v>
      </c>
      <c r="G932" s="25">
        <f t="shared" si="27"/>
        <v>3.2201050771132333E-3</v>
      </c>
      <c r="I932" s="86">
        <v>417.4462595400106</v>
      </c>
      <c r="J932" s="86">
        <v>420.68499513600858</v>
      </c>
      <c r="K932" s="86">
        <v>413.82459651599578</v>
      </c>
      <c r="L932" s="86">
        <v>414.70579095878156</v>
      </c>
      <c r="M932" s="86">
        <v>949470.19565283973</v>
      </c>
      <c r="N932" s="86" t="s">
        <v>980</v>
      </c>
      <c r="O932" s="25">
        <f t="shared" si="28"/>
        <v>6.6082235671056644E-3</v>
      </c>
    </row>
    <row r="933" spans="1:15">
      <c r="A933" s="86">
        <v>396.74889770818749</v>
      </c>
      <c r="B933" s="86">
        <v>397.07580403142515</v>
      </c>
      <c r="C933" s="86">
        <v>390.91265834920944</v>
      </c>
      <c r="D933" s="86">
        <v>391.114571078268</v>
      </c>
      <c r="E933" s="86">
        <v>3622156.1830702061</v>
      </c>
      <c r="F933" s="86" t="s">
        <v>981</v>
      </c>
      <c r="G933" s="25">
        <f t="shared" si="27"/>
        <v>1.4405821328482116E-2</v>
      </c>
      <c r="I933" s="86">
        <v>413.74616559700439</v>
      </c>
      <c r="J933" s="86">
        <v>418.23056872992464</v>
      </c>
      <c r="K933" s="86">
        <v>410.13834332339985</v>
      </c>
      <c r="L933" s="86">
        <v>417.36321503754914</v>
      </c>
      <c r="M933" s="86">
        <v>1142007.0828166269</v>
      </c>
      <c r="N933" s="86" t="s">
        <v>981</v>
      </c>
      <c r="O933" s="25">
        <f t="shared" si="28"/>
        <v>-8.6664308454191818E-3</v>
      </c>
    </row>
    <row r="934" spans="1:15">
      <c r="A934" s="86">
        <v>391.19149021314746</v>
      </c>
      <c r="B934" s="86">
        <v>391.74915394102345</v>
      </c>
      <c r="C934" s="86">
        <v>389.49926924579967</v>
      </c>
      <c r="D934" s="86">
        <v>390.71074562015093</v>
      </c>
      <c r="E934" s="86">
        <v>3366351.9539815928</v>
      </c>
      <c r="F934" s="86" t="s">
        <v>982</v>
      </c>
      <c r="G934" s="25">
        <f t="shared" si="27"/>
        <v>1.2304360665420511E-3</v>
      </c>
      <c r="I934" s="86">
        <v>417.36321503754914</v>
      </c>
      <c r="J934" s="86">
        <v>418.2951588985058</v>
      </c>
      <c r="K934" s="86">
        <v>415.47173808648466</v>
      </c>
      <c r="L934" s="86">
        <v>415.96991282958419</v>
      </c>
      <c r="M934" s="86">
        <v>694701.85611330066</v>
      </c>
      <c r="N934" s="86" t="s">
        <v>982</v>
      </c>
      <c r="O934" s="25">
        <f t="shared" si="28"/>
        <v>3.3495264080212195E-3</v>
      </c>
    </row>
    <row r="935" spans="1:15">
      <c r="A935" s="86">
        <v>388.63392897840583</v>
      </c>
      <c r="B935" s="86">
        <v>390.17231167599482</v>
      </c>
      <c r="C935" s="86">
        <v>384.31684253329684</v>
      </c>
      <c r="D935" s="86">
        <v>387.55706109009355</v>
      </c>
      <c r="E935" s="86">
        <v>4594783.8669001553</v>
      </c>
      <c r="F935" s="86" t="s">
        <v>983</v>
      </c>
      <c r="G935" s="25">
        <f t="shared" si="27"/>
        <v>2.7786047434752437E-3</v>
      </c>
      <c r="I935" s="86">
        <v>416.22827350390878</v>
      </c>
      <c r="J935" s="86">
        <v>420.07600211795767</v>
      </c>
      <c r="K935" s="86">
        <v>414.3551586150553</v>
      </c>
      <c r="L935" s="86">
        <v>420.07600211795767</v>
      </c>
      <c r="M935" s="86">
        <v>851079.21542161482</v>
      </c>
      <c r="N935" s="86" t="s">
        <v>983</v>
      </c>
      <c r="O935" s="25">
        <f t="shared" si="28"/>
        <v>-9.1596011070598227E-3</v>
      </c>
    </row>
    <row r="936" spans="1:15">
      <c r="A936" s="86">
        <v>386.07636774366426</v>
      </c>
      <c r="B936" s="86">
        <v>393.32503471686613</v>
      </c>
      <c r="C936" s="86">
        <v>385.94175925762516</v>
      </c>
      <c r="D936" s="86">
        <v>392.86448139677543</v>
      </c>
      <c r="E936" s="86">
        <v>3597326.9906593286</v>
      </c>
      <c r="F936" s="86" t="s">
        <v>984</v>
      </c>
      <c r="G936" s="25">
        <f t="shared" si="27"/>
        <v>-1.7278511992168344E-2</v>
      </c>
      <c r="I936" s="86">
        <v>417.57543987717293</v>
      </c>
      <c r="J936" s="86">
        <v>422.29974935053747</v>
      </c>
      <c r="K936" s="86">
        <v>417.47394104083111</v>
      </c>
      <c r="L936" s="86">
        <v>418.23056872992464</v>
      </c>
      <c r="M936" s="86">
        <v>756234.28569670196</v>
      </c>
      <c r="N936" s="86" t="s">
        <v>984</v>
      </c>
      <c r="O936" s="25">
        <f t="shared" si="28"/>
        <v>-1.5664298636544061E-3</v>
      </c>
    </row>
    <row r="937" spans="1:15">
      <c r="A937" s="86">
        <v>391.2780242398868</v>
      </c>
      <c r="B937" s="86">
        <v>391.97029645380189</v>
      </c>
      <c r="C937" s="86">
        <v>387.93204187263092</v>
      </c>
      <c r="D937" s="86">
        <v>388.01857589937026</v>
      </c>
      <c r="E937" s="86">
        <v>3380135.7803553771</v>
      </c>
      <c r="F937" s="86" t="s">
        <v>985</v>
      </c>
      <c r="G937" s="25">
        <f t="shared" si="27"/>
        <v>8.4002378828427204E-3</v>
      </c>
      <c r="I937" s="86">
        <v>419.43932759908625</v>
      </c>
      <c r="J937" s="86">
        <v>419.73459694117156</v>
      </c>
      <c r="K937" s="86">
        <v>417.14637661445522</v>
      </c>
      <c r="L937" s="86">
        <v>419.4485547660264</v>
      </c>
      <c r="M937" s="86">
        <v>1130694.8348994853</v>
      </c>
      <c r="N937" s="86" t="s">
        <v>985</v>
      </c>
      <c r="O937" s="25">
        <f t="shared" si="28"/>
        <v>-2.1998328126993094E-5</v>
      </c>
    </row>
    <row r="938" spans="1:15">
      <c r="A938" s="86">
        <v>387.10516117267684</v>
      </c>
      <c r="B938" s="86">
        <v>389.78771600159752</v>
      </c>
      <c r="C938" s="86">
        <v>386.57634212038062</v>
      </c>
      <c r="D938" s="86">
        <v>389.73964154229793</v>
      </c>
      <c r="E938" s="86">
        <v>2754114.1788973161</v>
      </c>
      <c r="F938" s="86" t="s">
        <v>986</v>
      </c>
      <c r="G938" s="25">
        <f t="shared" si="27"/>
        <v>-6.7595904773652959E-3</v>
      </c>
      <c r="I938" s="86">
        <v>417.93529938783934</v>
      </c>
      <c r="J938" s="86">
        <v>418.81188024715505</v>
      </c>
      <c r="K938" s="86">
        <v>415.64696198667838</v>
      </c>
      <c r="L938" s="86">
        <v>416.82803935501954</v>
      </c>
      <c r="M938" s="86">
        <v>728168.24964475585</v>
      </c>
      <c r="N938" s="86" t="s">
        <v>986</v>
      </c>
      <c r="O938" s="25">
        <f t="shared" si="28"/>
        <v>2.6563952716163186E-3</v>
      </c>
    </row>
    <row r="939" spans="1:15">
      <c r="A939" s="86">
        <v>388.19164395284901</v>
      </c>
      <c r="B939" s="86">
        <v>388.81661192374452</v>
      </c>
      <c r="C939" s="86">
        <v>384.58605950537498</v>
      </c>
      <c r="D939" s="86">
        <v>386.65326125526008</v>
      </c>
      <c r="E939" s="86">
        <v>3424306.8439707565</v>
      </c>
      <c r="F939" s="86" t="s">
        <v>987</v>
      </c>
      <c r="G939" s="25">
        <f t="shared" si="27"/>
        <v>3.9787138807381162E-3</v>
      </c>
      <c r="I939" s="86">
        <v>416.5973601815154</v>
      </c>
      <c r="J939" s="86">
        <v>418.0183438903008</v>
      </c>
      <c r="K939" s="86">
        <v>414.29979561341429</v>
      </c>
      <c r="L939" s="86">
        <v>415.07487763638812</v>
      </c>
      <c r="M939" s="86">
        <v>621536.38675766345</v>
      </c>
      <c r="N939" s="86" t="s">
        <v>987</v>
      </c>
      <c r="O939" s="25">
        <f t="shared" si="28"/>
        <v>3.66797083407433E-3</v>
      </c>
    </row>
    <row r="940" spans="1:15">
      <c r="A940" s="86">
        <v>385.64369760996732</v>
      </c>
      <c r="B940" s="86">
        <v>386.53788255294091</v>
      </c>
      <c r="C940" s="86">
        <v>382.52847264734976</v>
      </c>
      <c r="D940" s="86">
        <v>382.83614918686754</v>
      </c>
      <c r="E940" s="86">
        <v>4324195.2801639643</v>
      </c>
      <c r="F940" s="86" t="s">
        <v>988</v>
      </c>
      <c r="G940" s="25">
        <f t="shared" si="27"/>
        <v>7.3335509958056821E-3</v>
      </c>
      <c r="I940" s="86">
        <v>415.27787530907182</v>
      </c>
      <c r="J940" s="86">
        <v>420.17288737082941</v>
      </c>
      <c r="K940" s="86">
        <v>410.95956118107449</v>
      </c>
      <c r="L940" s="86">
        <v>410.9964698488352</v>
      </c>
      <c r="M940" s="86">
        <v>1165811.7892259019</v>
      </c>
      <c r="N940" s="86" t="s">
        <v>988</v>
      </c>
      <c r="O940" s="25">
        <f t="shared" si="28"/>
        <v>1.0417134390013905E-2</v>
      </c>
    </row>
    <row r="941" spans="1:15">
      <c r="A941" s="86">
        <v>385.28794661114995</v>
      </c>
      <c r="B941" s="86">
        <v>389.96078405507626</v>
      </c>
      <c r="C941" s="86">
        <v>384.95142539605234</v>
      </c>
      <c r="D941" s="86">
        <v>389.720411758578</v>
      </c>
      <c r="E941" s="86">
        <v>7386982.7175061591</v>
      </c>
      <c r="F941" s="86" t="s">
        <v>989</v>
      </c>
      <c r="G941" s="25">
        <f t="shared" si="27"/>
        <v>-1.1373448794808949E-2</v>
      </c>
      <c r="I941" s="86">
        <v>412.15909288329601</v>
      </c>
      <c r="J941" s="86">
        <v>415.42550998011444</v>
      </c>
      <c r="K941" s="86">
        <v>411.93302729326194</v>
      </c>
      <c r="L941" s="86">
        <v>412.1221842155353</v>
      </c>
      <c r="M941" s="86">
        <v>689028.39205445454</v>
      </c>
      <c r="N941" s="86" t="s">
        <v>989</v>
      </c>
      <c r="O941" s="25">
        <f t="shared" si="28"/>
        <v>8.9557585527533234E-5</v>
      </c>
    </row>
    <row r="942" spans="1:15">
      <c r="A942" s="86">
        <v>388.43201624934733</v>
      </c>
      <c r="B942" s="86">
        <v>392.39335169563884</v>
      </c>
      <c r="C942" s="86">
        <v>388.31663754702811</v>
      </c>
      <c r="D942" s="86">
        <v>390.93188813292932</v>
      </c>
      <c r="E942" s="86">
        <v>3487977.8668921106</v>
      </c>
      <c r="F942" s="86" t="s">
        <v>990</v>
      </c>
      <c r="G942" s="25">
        <f t="shared" si="27"/>
        <v>-6.3946481713764713E-3</v>
      </c>
      <c r="I942" s="86">
        <v>410.72888200757041</v>
      </c>
      <c r="J942" s="86">
        <v>412.48204372620177</v>
      </c>
      <c r="K942" s="86">
        <v>408.11759376350369</v>
      </c>
      <c r="L942" s="86">
        <v>408.63431511215293</v>
      </c>
      <c r="M942" s="86">
        <v>890809.72017754579</v>
      </c>
      <c r="N942" s="86" t="s">
        <v>990</v>
      </c>
      <c r="O942" s="25">
        <f t="shared" si="28"/>
        <v>5.1257733821072904E-3</v>
      </c>
    </row>
    <row r="943" spans="1:15">
      <c r="A943" s="86">
        <v>391.3260986991865</v>
      </c>
      <c r="B943" s="86">
        <v>395.85711648817886</v>
      </c>
      <c r="C943" s="86">
        <v>390.75882007945057</v>
      </c>
      <c r="D943" s="86">
        <v>394.29710028390508</v>
      </c>
      <c r="E943" s="86">
        <v>4873813.5262123393</v>
      </c>
      <c r="F943" s="86" t="s">
        <v>991</v>
      </c>
      <c r="G943" s="25">
        <f t="shared" si="27"/>
        <v>-7.5349313565313825E-3</v>
      </c>
      <c r="I943" s="86">
        <v>409.2986711318448</v>
      </c>
      <c r="J943" s="86">
        <v>415.2225123074308</v>
      </c>
      <c r="K943" s="86">
        <v>409.02185612363979</v>
      </c>
      <c r="L943" s="86">
        <v>413.37707891939777</v>
      </c>
      <c r="M943" s="86">
        <v>786020.242944711</v>
      </c>
      <c r="N943" s="86" t="s">
        <v>991</v>
      </c>
      <c r="O943" s="25">
        <f t="shared" si="28"/>
        <v>-9.8660714285714324E-3</v>
      </c>
    </row>
    <row r="944" spans="1:15">
      <c r="A944" s="86">
        <v>395.86432765707389</v>
      </c>
      <c r="B944" s="86">
        <v>395.88355744079371</v>
      </c>
      <c r="C944" s="86">
        <v>392.58564953283741</v>
      </c>
      <c r="D944" s="86">
        <v>392.82602182933573</v>
      </c>
      <c r="E944" s="86">
        <v>2883976.2738838922</v>
      </c>
      <c r="F944" s="86" t="s">
        <v>992</v>
      </c>
      <c r="G944" s="25">
        <f t="shared" si="27"/>
        <v>7.7344820834148731E-3</v>
      </c>
      <c r="I944" s="86">
        <v>415.29632964295212</v>
      </c>
      <c r="J944" s="86">
        <v>420.39895296086348</v>
      </c>
      <c r="K944" s="86">
        <v>414.9087886314652</v>
      </c>
      <c r="L944" s="86">
        <v>419.45778193296655</v>
      </c>
      <c r="M944" s="86">
        <v>815317.42611620808</v>
      </c>
      <c r="N944" s="86" t="s">
        <v>992</v>
      </c>
      <c r="O944" s="25">
        <f t="shared" si="28"/>
        <v>-9.9210277392814961E-3</v>
      </c>
    </row>
    <row r="945" spans="1:15">
      <c r="A945" s="86">
        <v>393.64328763742986</v>
      </c>
      <c r="B945" s="86">
        <v>394.60477682342292</v>
      </c>
      <c r="C945" s="86">
        <v>391.65300502242411</v>
      </c>
      <c r="D945" s="86">
        <v>392.23951342587992</v>
      </c>
      <c r="E945" s="86">
        <v>3035772.0528964801</v>
      </c>
      <c r="F945" s="86" t="s">
        <v>993</v>
      </c>
      <c r="G945" s="25">
        <f t="shared" si="27"/>
        <v>3.5788699595540319E-3</v>
      </c>
      <c r="I945" s="86">
        <v>418.95951491819767</v>
      </c>
      <c r="J945" s="86">
        <v>418.99642358595833</v>
      </c>
      <c r="K945" s="86">
        <v>415.70232498831939</v>
      </c>
      <c r="L945" s="86">
        <v>416.3113180063703</v>
      </c>
      <c r="M945" s="86">
        <v>748556.95629978401</v>
      </c>
      <c r="N945" s="86" t="s">
        <v>993</v>
      </c>
      <c r="O945" s="25">
        <f t="shared" si="28"/>
        <v>6.3610975663814795E-3</v>
      </c>
    </row>
    <row r="946" spans="1:15">
      <c r="A946" s="86">
        <v>394.00865352810723</v>
      </c>
      <c r="B946" s="86">
        <v>399.06608664643085</v>
      </c>
      <c r="C946" s="86">
        <v>392.88371118049531</v>
      </c>
      <c r="D946" s="86">
        <v>395.94124679195329</v>
      </c>
      <c r="E946" s="86">
        <v>4772103.5939274607</v>
      </c>
      <c r="F946" s="86" t="s">
        <v>994</v>
      </c>
      <c r="G946" s="25">
        <f t="shared" si="27"/>
        <v>-4.8810101991256793E-3</v>
      </c>
      <c r="I946" s="86">
        <v>415.26864814213167</v>
      </c>
      <c r="J946" s="86">
        <v>418.88569758267641</v>
      </c>
      <c r="K946" s="86">
        <v>414.53970195385858</v>
      </c>
      <c r="L946" s="86">
        <v>417.06794569546383</v>
      </c>
      <c r="M946" s="86">
        <v>746617.03258147743</v>
      </c>
      <c r="N946" s="86" t="s">
        <v>994</v>
      </c>
      <c r="O946" s="25">
        <f t="shared" si="28"/>
        <v>-4.3141592920352689E-3</v>
      </c>
    </row>
    <row r="947" spans="1:15">
      <c r="A947" s="86">
        <v>393.77789612346885</v>
      </c>
      <c r="B947" s="86">
        <v>396.83543173492689</v>
      </c>
      <c r="C947" s="86">
        <v>393.1048536932737</v>
      </c>
      <c r="D947" s="86">
        <v>396.76812749190736</v>
      </c>
      <c r="E947" s="86">
        <v>3271939.0356436293</v>
      </c>
      <c r="F947" s="86" t="s">
        <v>995</v>
      </c>
      <c r="G947" s="25">
        <f t="shared" si="27"/>
        <v>-7.5364707022731459E-3</v>
      </c>
      <c r="I947" s="86">
        <v>417.81534621761722</v>
      </c>
      <c r="J947" s="86">
        <v>418.95951491819767</v>
      </c>
      <c r="K947" s="86">
        <v>415.21328514049065</v>
      </c>
      <c r="L947" s="86">
        <v>415.29632964295212</v>
      </c>
      <c r="M947" s="86">
        <v>1313306.6821681601</v>
      </c>
      <c r="N947" s="86" t="s">
        <v>995</v>
      </c>
      <c r="O947" s="25">
        <f t="shared" si="28"/>
        <v>6.0655883398508248E-3</v>
      </c>
    </row>
    <row r="948" spans="1:15">
      <c r="A948" s="86">
        <v>396.41237649308994</v>
      </c>
      <c r="B948" s="86">
        <v>396.84504662678683</v>
      </c>
      <c r="C948" s="86">
        <v>393.36926321942178</v>
      </c>
      <c r="D948" s="86">
        <v>395.90278722451359</v>
      </c>
      <c r="E948" s="86">
        <v>3931490.9154133508</v>
      </c>
      <c r="F948" s="86" t="s">
        <v>996</v>
      </c>
      <c r="G948" s="25">
        <f t="shared" si="27"/>
        <v>1.2871575675150737E-3</v>
      </c>
      <c r="I948" s="86">
        <v>414.73347245960207</v>
      </c>
      <c r="J948" s="86">
        <v>415.69309782137924</v>
      </c>
      <c r="K948" s="86">
        <v>412.98031074097065</v>
      </c>
      <c r="L948" s="86">
        <v>414.29979561341429</v>
      </c>
      <c r="M948" s="86">
        <v>857941.56010559062</v>
      </c>
      <c r="N948" s="86" t="s">
        <v>996</v>
      </c>
      <c r="O948" s="25">
        <f t="shared" si="28"/>
        <v>1.0467706013363998E-3</v>
      </c>
    </row>
    <row r="949" spans="1:15">
      <c r="A949" s="86">
        <v>398.13344213601755</v>
      </c>
      <c r="B949" s="86">
        <v>398.28728040577647</v>
      </c>
      <c r="C949" s="86">
        <v>395.78740852219443</v>
      </c>
      <c r="D949" s="86">
        <v>396.41237649308994</v>
      </c>
      <c r="E949" s="86">
        <v>2702034.5499951141</v>
      </c>
      <c r="F949" s="86" t="s">
        <v>997</v>
      </c>
      <c r="G949" s="25">
        <f t="shared" si="27"/>
        <v>4.341604210628347E-3</v>
      </c>
      <c r="I949" s="86">
        <v>415.01951463474717</v>
      </c>
      <c r="J949" s="86">
        <v>415.65618915361858</v>
      </c>
      <c r="K949" s="86">
        <v>411.78631533891331</v>
      </c>
      <c r="L949" s="86">
        <v>412.74963156746657</v>
      </c>
      <c r="M949" s="86">
        <v>809352.43162148236</v>
      </c>
      <c r="N949" s="86" t="s">
        <v>997</v>
      </c>
      <c r="O949" s="25">
        <f t="shared" si="28"/>
        <v>5.4994187606187683E-3</v>
      </c>
    </row>
    <row r="950" spans="1:15">
      <c r="A950" s="86">
        <v>394.5759321478431</v>
      </c>
      <c r="B950" s="86">
        <v>400.10305273352435</v>
      </c>
      <c r="C950" s="86">
        <v>394.2394109327455</v>
      </c>
      <c r="D950" s="86">
        <v>398.20074637903701</v>
      </c>
      <c r="E950" s="86">
        <v>5946261.3654825911</v>
      </c>
      <c r="F950" s="86" t="s">
        <v>998</v>
      </c>
      <c r="G950" s="25">
        <f t="shared" si="27"/>
        <v>-9.1029820113485149E-3</v>
      </c>
      <c r="I950" s="86">
        <v>411.27328485704015</v>
      </c>
      <c r="J950" s="86">
        <v>415.4901001486956</v>
      </c>
      <c r="K950" s="86">
        <v>410.89497101249339</v>
      </c>
      <c r="L950" s="86">
        <v>413.91225460192737</v>
      </c>
      <c r="M950" s="86">
        <v>917888.45427006332</v>
      </c>
      <c r="N950" s="86" t="s">
        <v>998</v>
      </c>
      <c r="O950" s="25">
        <f t="shared" si="28"/>
        <v>-6.3756743501716118E-3</v>
      </c>
    </row>
    <row r="951" spans="1:15">
      <c r="A951" s="86">
        <v>396.51814030354916</v>
      </c>
      <c r="B951" s="86">
        <v>398.23920594647677</v>
      </c>
      <c r="C951" s="86">
        <v>395.2585894698982</v>
      </c>
      <c r="D951" s="86">
        <v>395.82586808963413</v>
      </c>
      <c r="E951" s="86">
        <v>3149488.3604668765</v>
      </c>
      <c r="F951" s="86" t="s">
        <v>999</v>
      </c>
      <c r="G951" s="25">
        <f t="shared" si="27"/>
        <v>1.748931208705784E-3</v>
      </c>
      <c r="I951" s="86">
        <v>413.30326158387646</v>
      </c>
      <c r="J951" s="86">
        <v>415.40705564623408</v>
      </c>
      <c r="K951" s="86">
        <v>411.51319119748445</v>
      </c>
      <c r="L951" s="86">
        <v>412.74963156746657</v>
      </c>
      <c r="M951" s="86">
        <v>1344703.1012292437</v>
      </c>
      <c r="N951" s="86" t="s">
        <v>999</v>
      </c>
      <c r="O951" s="25">
        <f t="shared" si="28"/>
        <v>1.341321648931304E-3</v>
      </c>
    </row>
    <row r="952" spans="1:15">
      <c r="A952" s="86">
        <v>397.64308265116108</v>
      </c>
      <c r="B952" s="86">
        <v>400.65254380331942</v>
      </c>
      <c r="C952" s="86">
        <v>396.97965511282581</v>
      </c>
      <c r="D952" s="86">
        <v>400.42178639868109</v>
      </c>
      <c r="E952" s="86">
        <v>5178496.100148336</v>
      </c>
      <c r="F952" s="86" t="s">
        <v>1000</v>
      </c>
      <c r="G952" s="25">
        <f t="shared" si="27"/>
        <v>-6.9394419632137216E-3</v>
      </c>
      <c r="I952" s="86">
        <v>413.89380026804702</v>
      </c>
      <c r="J952" s="86">
        <v>418.11061555970247</v>
      </c>
      <c r="K952" s="86">
        <v>413.29403441693631</v>
      </c>
      <c r="L952" s="86">
        <v>416.40358967577191</v>
      </c>
      <c r="M952" s="86">
        <v>981856.08418588631</v>
      </c>
      <c r="N952" s="86" t="s">
        <v>1000</v>
      </c>
      <c r="O952" s="25">
        <f t="shared" si="28"/>
        <v>-6.0273001240914725E-3</v>
      </c>
    </row>
    <row r="953" spans="1:15">
      <c r="A953" s="86">
        <v>403.22933482178092</v>
      </c>
      <c r="B953" s="86">
        <v>403.90237725197608</v>
      </c>
      <c r="C953" s="86">
        <v>402.43129879740667</v>
      </c>
      <c r="D953" s="86">
        <v>403.1139561194617</v>
      </c>
      <c r="E953" s="86">
        <v>3262933.214126192</v>
      </c>
      <c r="F953" s="86" t="s">
        <v>1001</v>
      </c>
      <c r="G953" s="25">
        <f t="shared" si="27"/>
        <v>2.8621857558563946E-4</v>
      </c>
      <c r="I953" s="86">
        <v>416.40358967577191</v>
      </c>
      <c r="J953" s="86">
        <v>418.10138839276232</v>
      </c>
      <c r="K953" s="86">
        <v>412.36209055597959</v>
      </c>
      <c r="L953" s="86">
        <v>412.48204372620177</v>
      </c>
      <c r="M953" s="86">
        <v>1135789.5731116412</v>
      </c>
      <c r="N953" s="86" t="s">
        <v>1001</v>
      </c>
      <c r="O953" s="25">
        <f t="shared" si="28"/>
        <v>9.5071919110574221E-3</v>
      </c>
    </row>
    <row r="954" spans="1:15">
      <c r="A954" s="86">
        <v>404.47927076357195</v>
      </c>
      <c r="B954" s="86">
        <v>404.75810262750991</v>
      </c>
      <c r="C954" s="86">
        <v>402.9120433904032</v>
      </c>
      <c r="D954" s="86">
        <v>404.1331346566144</v>
      </c>
      <c r="E954" s="86">
        <v>3592902.6039246968</v>
      </c>
      <c r="F954" s="86" t="s">
        <v>1002</v>
      </c>
      <c r="G954" s="25">
        <f t="shared" si="27"/>
        <v>8.5649029311007929E-4</v>
      </c>
      <c r="I954" s="86">
        <v>411.87305070815086</v>
      </c>
      <c r="J954" s="86">
        <v>414.95492446616601</v>
      </c>
      <c r="K954" s="86">
        <v>410.26752366056212</v>
      </c>
      <c r="L954" s="86">
        <v>414.95492446616601</v>
      </c>
      <c r="M954" s="86">
        <v>1957749.3413895813</v>
      </c>
      <c r="N954" s="86" t="s">
        <v>1002</v>
      </c>
      <c r="O954" s="25">
        <f t="shared" si="28"/>
        <v>-7.4270085165996091E-3</v>
      </c>
    </row>
    <row r="955" spans="1:15">
      <c r="A955" s="86">
        <v>403.70046452291751</v>
      </c>
      <c r="B955" s="86">
        <v>404.42158141241237</v>
      </c>
      <c r="C955" s="86">
        <v>402.05631801486936</v>
      </c>
      <c r="D955" s="86">
        <v>402.79666468808404</v>
      </c>
      <c r="E955" s="86">
        <v>2810982.2131888564</v>
      </c>
      <c r="F955" s="86" t="s">
        <v>1003</v>
      </c>
      <c r="G955" s="25">
        <f t="shared" si="27"/>
        <v>2.2438116153056242E-3</v>
      </c>
      <c r="I955" s="86">
        <v>414.29979561341429</v>
      </c>
      <c r="J955" s="86">
        <v>415.82227815854151</v>
      </c>
      <c r="K955" s="86">
        <v>411.98377671143288</v>
      </c>
      <c r="L955" s="86">
        <v>413.37707891939777</v>
      </c>
      <c r="M955" s="86">
        <v>1260598.1961123853</v>
      </c>
      <c r="N955" s="86" t="s">
        <v>1003</v>
      </c>
      <c r="O955" s="25">
        <f t="shared" si="28"/>
        <v>2.2321428571427937E-3</v>
      </c>
    </row>
    <row r="956" spans="1:15">
      <c r="A956" s="86">
        <v>399.80643331964552</v>
      </c>
      <c r="B956" s="86">
        <v>405.89265986698172</v>
      </c>
      <c r="C956" s="86">
        <v>398.94109305225174</v>
      </c>
      <c r="D956" s="86">
        <v>405.54652376002429</v>
      </c>
      <c r="E956" s="86">
        <v>4315641.8818316627</v>
      </c>
      <c r="F956" s="86" t="s">
        <v>1004</v>
      </c>
      <c r="G956" s="25">
        <f t="shared" si="27"/>
        <v>-1.4153962872519577E-2</v>
      </c>
      <c r="I956" s="86">
        <v>413.96761760356833</v>
      </c>
      <c r="J956" s="86">
        <v>417.45548670695081</v>
      </c>
      <c r="K956" s="86">
        <v>410.90419817943354</v>
      </c>
      <c r="L956" s="86">
        <v>416.60658734845561</v>
      </c>
      <c r="M956" s="86">
        <v>1738104.4587140621</v>
      </c>
      <c r="N956" s="86" t="s">
        <v>1004</v>
      </c>
      <c r="O956" s="25">
        <f t="shared" si="28"/>
        <v>-6.3344407530455671E-3</v>
      </c>
    </row>
    <row r="957" spans="1:15">
      <c r="A957" s="86">
        <v>402.53706260786589</v>
      </c>
      <c r="B957" s="86">
        <v>403.71969430663739</v>
      </c>
      <c r="C957" s="86">
        <v>400.53716510100026</v>
      </c>
      <c r="D957" s="86">
        <v>401.53711385443307</v>
      </c>
      <c r="E957" s="86">
        <v>6384717.6748633096</v>
      </c>
      <c r="F957" s="86" t="s">
        <v>1005</v>
      </c>
      <c r="G957" s="25">
        <f t="shared" si="27"/>
        <v>2.4903021885924748E-3</v>
      </c>
      <c r="I957" s="86">
        <v>417.81534621761722</v>
      </c>
      <c r="J957" s="86">
        <v>421.72766500024721</v>
      </c>
      <c r="K957" s="86">
        <v>416.94799252524172</v>
      </c>
      <c r="L957" s="86">
        <v>419.21787559252232</v>
      </c>
      <c r="M957" s="86">
        <v>1433042.2420820927</v>
      </c>
      <c r="N957" s="86" t="s">
        <v>1005</v>
      </c>
      <c r="O957" s="25">
        <f t="shared" si="28"/>
        <v>-3.3455858076728573E-3</v>
      </c>
    </row>
    <row r="958" spans="1:15">
      <c r="A958" s="86">
        <v>402.44091368926655</v>
      </c>
      <c r="B958" s="86">
        <v>403.48893690199901</v>
      </c>
      <c r="C958" s="86">
        <v>401.00579493025333</v>
      </c>
      <c r="D958" s="86">
        <v>401.01790969399678</v>
      </c>
      <c r="E958" s="86">
        <v>4107490.8148040203</v>
      </c>
      <c r="F958" s="86" t="s">
        <v>1006</v>
      </c>
      <c r="G958" s="25">
        <f t="shared" si="27"/>
        <v>3.548479907931279E-3</v>
      </c>
      <c r="I958" s="86">
        <v>419.05178658759934</v>
      </c>
      <c r="J958" s="86">
        <v>419.61464377094939</v>
      </c>
      <c r="K958" s="86">
        <v>412.84190323686823</v>
      </c>
      <c r="L958" s="86">
        <v>417.46471387389096</v>
      </c>
      <c r="M958" s="86">
        <v>1308973.8246118531</v>
      </c>
      <c r="N958" s="86" t="s">
        <v>1006</v>
      </c>
      <c r="O958" s="25">
        <f t="shared" si="28"/>
        <v>3.8016930795923276E-3</v>
      </c>
    </row>
    <row r="959" spans="1:15">
      <c r="A959" s="86">
        <v>401.25828199049505</v>
      </c>
      <c r="B959" s="86">
        <v>401.99862866370978</v>
      </c>
      <c r="C959" s="86">
        <v>399.99392371091415</v>
      </c>
      <c r="D959" s="86">
        <v>400.53716510100026</v>
      </c>
      <c r="E959" s="86">
        <v>3610156.0481044832</v>
      </c>
      <c r="F959" s="86" t="s">
        <v>1007</v>
      </c>
      <c r="G959" s="25">
        <f t="shared" si="27"/>
        <v>1.8003744778913866E-3</v>
      </c>
      <c r="I959" s="86">
        <v>421.49698582674313</v>
      </c>
      <c r="J959" s="86">
        <v>422.55349644139199</v>
      </c>
      <c r="K959" s="86">
        <v>418.9469659711591</v>
      </c>
      <c r="L959" s="86">
        <v>420.75881247152989</v>
      </c>
      <c r="M959" s="86">
        <v>967178.77305905672</v>
      </c>
      <c r="N959" s="86" t="s">
        <v>1007</v>
      </c>
      <c r="O959" s="25">
        <f t="shared" si="28"/>
        <v>1.7543859649122862E-3</v>
      </c>
    </row>
    <row r="960" spans="1:15">
      <c r="A960" s="86">
        <v>399.56606102314726</v>
      </c>
      <c r="B960" s="86">
        <v>401.22943731491529</v>
      </c>
      <c r="C960" s="86">
        <v>399.47952699640786</v>
      </c>
      <c r="D960" s="86">
        <v>401.0467543695766</v>
      </c>
      <c r="E960" s="86">
        <v>3303950.8361385143</v>
      </c>
      <c r="F960" s="86" t="s">
        <v>1008</v>
      </c>
      <c r="G960" s="25">
        <f t="shared" si="27"/>
        <v>-3.6920716357795591E-3</v>
      </c>
      <c r="I960" s="86">
        <v>419.61464377094939</v>
      </c>
      <c r="J960" s="86">
        <v>421.62155258043532</v>
      </c>
      <c r="K960" s="86">
        <v>418.31361323238616</v>
      </c>
      <c r="L960" s="86">
        <v>419.66077960565025</v>
      </c>
      <c r="M960" s="86">
        <v>1012677.0286690812</v>
      </c>
      <c r="N960" s="86" t="s">
        <v>1008</v>
      </c>
      <c r="O960" s="25">
        <f t="shared" si="28"/>
        <v>-1.09936017238077E-4</v>
      </c>
    </row>
    <row r="961" spans="1:15">
      <c r="A961" s="86">
        <v>399.51798656384756</v>
      </c>
      <c r="B961" s="86">
        <v>402.05631801486936</v>
      </c>
      <c r="C961" s="86">
        <v>398.8449441336524</v>
      </c>
      <c r="D961" s="86">
        <v>401.22943731491529</v>
      </c>
      <c r="E961" s="86">
        <v>4248614.6069139149</v>
      </c>
      <c r="F961" s="86" t="s">
        <v>1009</v>
      </c>
      <c r="G961" s="25">
        <f t="shared" si="27"/>
        <v>-4.2655164150492419E-3</v>
      </c>
      <c r="I961" s="86">
        <v>420.76803963847004</v>
      </c>
      <c r="J961" s="86">
        <v>422.7887891983662</v>
      </c>
      <c r="K961" s="86">
        <v>417.06803796713319</v>
      </c>
      <c r="L961" s="86">
        <v>417.64925721269424</v>
      </c>
      <c r="M961" s="86">
        <v>1467437.4147345473</v>
      </c>
      <c r="N961" s="86" t="s">
        <v>1009</v>
      </c>
      <c r="O961" s="25">
        <f t="shared" si="28"/>
        <v>7.4674679097717078E-3</v>
      </c>
    </row>
    <row r="962" spans="1:15">
      <c r="A962" s="86">
        <v>402.14285204160871</v>
      </c>
      <c r="B962" s="86">
        <v>403.21971992992098</v>
      </c>
      <c r="C962" s="86">
        <v>401.41212026025397</v>
      </c>
      <c r="D962" s="86">
        <v>401.96978398812996</v>
      </c>
      <c r="E962" s="86">
        <v>3634898.9160915297</v>
      </c>
      <c r="F962" s="86" t="s">
        <v>1010</v>
      </c>
      <c r="G962" s="25">
        <f t="shared" si="27"/>
        <v>4.3054990791002723E-4</v>
      </c>
      <c r="I962" s="86">
        <v>416.61581451539575</v>
      </c>
      <c r="J962" s="86">
        <v>423.7882759213249</v>
      </c>
      <c r="K962" s="86">
        <v>413.47857775573959</v>
      </c>
      <c r="L962" s="86">
        <v>421.68152916554641</v>
      </c>
      <c r="M962" s="86">
        <v>2320864.0462309397</v>
      </c>
      <c r="N962" s="86" t="s">
        <v>1010</v>
      </c>
      <c r="O962" s="25">
        <f t="shared" si="28"/>
        <v>-1.2013129102844577E-2</v>
      </c>
    </row>
    <row r="963" spans="1:15">
      <c r="A963" s="86">
        <v>401.27751177421499</v>
      </c>
      <c r="B963" s="86">
        <v>401.83517550209092</v>
      </c>
      <c r="C963" s="86">
        <v>397.61423797558132</v>
      </c>
      <c r="D963" s="86">
        <v>397.96998897439875</v>
      </c>
      <c r="E963" s="86">
        <v>3741367.0922200712</v>
      </c>
      <c r="F963" s="86" t="s">
        <v>1011</v>
      </c>
      <c r="G963" s="25">
        <f t="shared" si="27"/>
        <v>8.3109854799352512E-3</v>
      </c>
      <c r="I963" s="86">
        <v>420.48199746332494</v>
      </c>
      <c r="J963" s="86">
        <v>442.44265478091796</v>
      </c>
      <c r="K963" s="86">
        <v>419.17552289626695</v>
      </c>
      <c r="L963" s="86">
        <v>437.70911814061321</v>
      </c>
      <c r="M963" s="86">
        <v>3384151.4088224764</v>
      </c>
      <c r="N963" s="86" t="s">
        <v>1011</v>
      </c>
      <c r="O963" s="25">
        <f t="shared" si="28"/>
        <v>-3.9357463583278851E-2</v>
      </c>
    </row>
    <row r="964" spans="1:15">
      <c r="A964" s="86">
        <v>398.25843573019665</v>
      </c>
      <c r="B964" s="86">
        <v>399.25790373903646</v>
      </c>
      <c r="C964" s="86">
        <v>396.73928281632755</v>
      </c>
      <c r="D964" s="86">
        <v>396.75851260004742</v>
      </c>
      <c r="E964" s="86">
        <v>3087155.8861415433</v>
      </c>
      <c r="F964" s="86" t="s">
        <v>1012</v>
      </c>
      <c r="G964" s="25">
        <f t="shared" si="27"/>
        <v>3.7804434751000926E-3</v>
      </c>
      <c r="I964" s="86">
        <v>433.64916468694059</v>
      </c>
      <c r="J964" s="86">
        <v>437.35839352521754</v>
      </c>
      <c r="K964" s="86">
        <v>429.63534706796872</v>
      </c>
      <c r="L964" s="86">
        <v>430.25356725295984</v>
      </c>
      <c r="M964" s="86">
        <v>2048582.2054132815</v>
      </c>
      <c r="N964" s="86" t="s">
        <v>1012</v>
      </c>
      <c r="O964" s="25">
        <f t="shared" si="28"/>
        <v>7.892084325205273E-3</v>
      </c>
    </row>
    <row r="965" spans="1:15">
      <c r="A965" s="86">
        <v>396.87389130236659</v>
      </c>
      <c r="B965" s="86">
        <v>398.73918032319318</v>
      </c>
      <c r="C965" s="86">
        <v>396.21046376403137</v>
      </c>
      <c r="D965" s="86">
        <v>397.99883364997851</v>
      </c>
      <c r="E965" s="86">
        <v>3828378.991281203</v>
      </c>
      <c r="F965" s="86" t="s">
        <v>1013</v>
      </c>
      <c r="G965" s="25">
        <f t="shared" si="27"/>
        <v>-2.8264965937092601E-3</v>
      </c>
      <c r="I965" s="86">
        <v>428.42658819880711</v>
      </c>
      <c r="J965" s="86">
        <v>430.46579209258357</v>
      </c>
      <c r="K965" s="86">
        <v>426.62729064547494</v>
      </c>
      <c r="L965" s="86">
        <v>429.98597941169504</v>
      </c>
      <c r="M965" s="86">
        <v>1011363.5160732222</v>
      </c>
      <c r="N965" s="86" t="s">
        <v>1013</v>
      </c>
      <c r="O965" s="25">
        <f t="shared" si="28"/>
        <v>-3.6266094420601691E-3</v>
      </c>
    </row>
    <row r="966" spans="1:15">
      <c r="A966" s="86">
        <v>397.19118273374431</v>
      </c>
      <c r="B966" s="86">
        <v>397.87384005579941</v>
      </c>
      <c r="C966" s="86">
        <v>395.29704903733796</v>
      </c>
      <c r="D966" s="86">
        <v>395.69125960359514</v>
      </c>
      <c r="E966" s="86">
        <v>3404538.5509135979</v>
      </c>
      <c r="F966" s="86" t="s">
        <v>1014</v>
      </c>
      <c r="G966" s="25">
        <f t="shared" si="27"/>
        <v>3.7906400349903002E-3</v>
      </c>
      <c r="I966" s="86">
        <v>430.3366117554213</v>
      </c>
      <c r="J966" s="86">
        <v>431.31469145107877</v>
      </c>
      <c r="K966" s="86">
        <v>424.75417575662135</v>
      </c>
      <c r="L966" s="86">
        <v>425.37239594161247</v>
      </c>
      <c r="M966" s="86">
        <v>890700.26079455751</v>
      </c>
      <c r="N966" s="86" t="s">
        <v>1014</v>
      </c>
      <c r="O966" s="25">
        <f t="shared" si="28"/>
        <v>1.1670281995661558E-2</v>
      </c>
    </row>
    <row r="967" spans="1:15">
      <c r="A967" s="86">
        <v>393.97980885252741</v>
      </c>
      <c r="B967" s="86">
        <v>395.29704903733796</v>
      </c>
      <c r="C967" s="86">
        <v>393.04716434211412</v>
      </c>
      <c r="D967" s="86">
        <v>394.39324920250442</v>
      </c>
      <c r="E967" s="86">
        <v>4416439.6873731762</v>
      </c>
      <c r="F967" s="86" t="s">
        <v>1015</v>
      </c>
      <c r="G967" s="25">
        <f t="shared" si="27"/>
        <v>-1.0482946927032888E-3</v>
      </c>
      <c r="I967" s="86">
        <v>426.25820396786827</v>
      </c>
      <c r="J967" s="86">
        <v>431.11169377839519</v>
      </c>
      <c r="K967" s="86">
        <v>425.48312194489444</v>
      </c>
      <c r="L967" s="86">
        <v>431.09323944451484</v>
      </c>
      <c r="M967" s="86">
        <v>1156643.2112053025</v>
      </c>
      <c r="N967" s="86" t="s">
        <v>1015</v>
      </c>
      <c r="O967" s="25">
        <f t="shared" si="28"/>
        <v>-1.1215753424657637E-2</v>
      </c>
    </row>
    <row r="968" spans="1:15">
      <c r="A968" s="86">
        <v>390.90304345734955</v>
      </c>
      <c r="B968" s="86">
        <v>391.3260986991865</v>
      </c>
      <c r="C968" s="86">
        <v>388.22048862842882</v>
      </c>
      <c r="D968" s="86">
        <v>389.18197781442188</v>
      </c>
      <c r="E968" s="86">
        <v>3309315.4310555882</v>
      </c>
      <c r="F968" s="86" t="s">
        <v>1016</v>
      </c>
      <c r="G968" s="25">
        <f t="shared" si="27"/>
        <v>4.4222644958866741E-3</v>
      </c>
      <c r="I968" s="86">
        <v>430.25356725295984</v>
      </c>
      <c r="J968" s="86">
        <v>431.00096777511322</v>
      </c>
      <c r="K968" s="86">
        <v>424.25590874185247</v>
      </c>
      <c r="L968" s="86">
        <v>425.62152944899691</v>
      </c>
      <c r="M968" s="86">
        <v>768657.38378773408</v>
      </c>
      <c r="N968" s="86" t="s">
        <v>1016</v>
      </c>
      <c r="O968" s="25">
        <f t="shared" si="28"/>
        <v>1.0882996943222034E-2</v>
      </c>
    </row>
    <row r="969" spans="1:15">
      <c r="A969" s="86">
        <v>388.41278646562745</v>
      </c>
      <c r="B969" s="86">
        <v>388.54739495166649</v>
      </c>
      <c r="C969" s="86">
        <v>386.57634212038062</v>
      </c>
      <c r="D969" s="86">
        <v>387.12439095639667</v>
      </c>
      <c r="E969" s="86">
        <v>3496947.2865440776</v>
      </c>
      <c r="F969" s="86" t="s">
        <v>1017</v>
      </c>
      <c r="G969" s="25">
        <f t="shared" si="27"/>
        <v>3.3281176266051204E-3</v>
      </c>
      <c r="I969" s="86">
        <v>424.80031159132221</v>
      </c>
      <c r="J969" s="86">
        <v>426.83951548509867</v>
      </c>
      <c r="K969" s="86">
        <v>422.65038169426373</v>
      </c>
      <c r="L969" s="86">
        <v>423.06560420657115</v>
      </c>
      <c r="M969" s="86">
        <v>778542.32470095961</v>
      </c>
      <c r="N969" s="86" t="s">
        <v>1017</v>
      </c>
      <c r="O969" s="25">
        <f t="shared" si="28"/>
        <v>4.1003271537622954E-3</v>
      </c>
    </row>
    <row r="970" spans="1:15">
      <c r="A970" s="86">
        <v>387.37437814475487</v>
      </c>
      <c r="B970" s="86">
        <v>391.01746067048271</v>
      </c>
      <c r="C970" s="86">
        <v>387.20131009127613</v>
      </c>
      <c r="D970" s="86">
        <v>387.50898663079391</v>
      </c>
      <c r="E970" s="86">
        <v>3820374.7410908579</v>
      </c>
      <c r="F970" s="86" t="s">
        <v>1018</v>
      </c>
      <c r="G970" s="25">
        <f t="shared" si="27"/>
        <v>-3.4736868223206319E-4</v>
      </c>
      <c r="I970" s="86">
        <v>423.25937471231464</v>
      </c>
      <c r="J970" s="86">
        <v>426.19361379928711</v>
      </c>
      <c r="K970" s="86">
        <v>422.69651752896459</v>
      </c>
      <c r="L970" s="86">
        <v>424.44967924759595</v>
      </c>
      <c r="M970" s="86">
        <v>695952.5108456614</v>
      </c>
      <c r="N970" s="86" t="s">
        <v>1018</v>
      </c>
      <c r="O970" s="25">
        <f t="shared" si="28"/>
        <v>-2.8043478260869614E-3</v>
      </c>
    </row>
    <row r="971" spans="1:15">
      <c r="A971" s="86">
        <v>388.27817797958841</v>
      </c>
      <c r="B971" s="86">
        <v>388.77815235630482</v>
      </c>
      <c r="C971" s="86">
        <v>386.09559752738409</v>
      </c>
      <c r="D971" s="86">
        <v>388.23010352028871</v>
      </c>
      <c r="E971" s="86">
        <v>6282203.7813781798</v>
      </c>
      <c r="F971" s="86" t="s">
        <v>1019</v>
      </c>
      <c r="G971" s="25">
        <f t="shared" si="27"/>
        <v>1.2382980831149304E-4</v>
      </c>
      <c r="I971" s="86">
        <v>425.96293462578302</v>
      </c>
      <c r="J971" s="86">
        <v>427.2178293296455</v>
      </c>
      <c r="K971" s="86">
        <v>423.84068622954504</v>
      </c>
      <c r="L971" s="86">
        <v>427.2178293296455</v>
      </c>
      <c r="M971" s="86">
        <v>732584.55643363798</v>
      </c>
      <c r="N971" s="86" t="s">
        <v>1019</v>
      </c>
      <c r="O971" s="25">
        <f t="shared" si="28"/>
        <v>-2.93736501079922E-3</v>
      </c>
    </row>
    <row r="972" spans="1:15">
      <c r="A972" s="86">
        <v>391.47032207708543</v>
      </c>
      <c r="B972" s="86">
        <v>392.13374961542064</v>
      </c>
      <c r="C972" s="86">
        <v>390.37422440505333</v>
      </c>
      <c r="D972" s="86">
        <v>390.37422440505333</v>
      </c>
      <c r="E972" s="86">
        <v>4403714.6352579379</v>
      </c>
      <c r="F972" s="86" t="s">
        <v>1020</v>
      </c>
      <c r="G972" s="25">
        <f t="shared" si="27"/>
        <v>2.8078126154527094E-3</v>
      </c>
      <c r="I972" s="86">
        <v>426.9963773230815</v>
      </c>
      <c r="J972" s="86">
        <v>427.54068790088184</v>
      </c>
      <c r="K972" s="86">
        <v>423.46698596846835</v>
      </c>
      <c r="L972" s="86">
        <v>425.89834445720186</v>
      </c>
      <c r="M972" s="86">
        <v>677899.29894647154</v>
      </c>
      <c r="N972" s="86" t="s">
        <v>1020</v>
      </c>
      <c r="O972" s="25">
        <f t="shared" si="28"/>
        <v>2.5781571592606856E-3</v>
      </c>
    </row>
    <row r="973" spans="1:15">
      <c r="A973" s="86">
        <v>392.34527723633914</v>
      </c>
      <c r="B973" s="86">
        <v>392.34527723633914</v>
      </c>
      <c r="C973" s="86">
        <v>391.01842215966872</v>
      </c>
      <c r="D973" s="86">
        <v>391.24917956430704</v>
      </c>
      <c r="E973" s="86">
        <v>2467026.1866232306</v>
      </c>
      <c r="F973" s="86" t="s">
        <v>1021</v>
      </c>
      <c r="G973" s="25">
        <f t="shared" si="27"/>
        <v>2.8015334709525774E-3</v>
      </c>
      <c r="I973" s="86">
        <v>426.83028831815852</v>
      </c>
      <c r="J973" s="86">
        <v>427.52232583867089</v>
      </c>
      <c r="K973" s="86">
        <v>422.1890233472555</v>
      </c>
      <c r="L973" s="86">
        <v>424.44967924759595</v>
      </c>
      <c r="M973" s="86">
        <v>417729.51817115612</v>
      </c>
      <c r="N973" s="86" t="s">
        <v>1021</v>
      </c>
      <c r="O973" s="25">
        <f t="shared" si="28"/>
        <v>5.6086956521739229E-3</v>
      </c>
    </row>
    <row r="974" spans="1:15">
      <c r="A974" s="86">
        <v>391.59531567126453</v>
      </c>
      <c r="B974" s="86">
        <v>392.49911550609806</v>
      </c>
      <c r="C974" s="86">
        <v>389.68195219113835</v>
      </c>
      <c r="D974" s="86">
        <v>389.78771600159752</v>
      </c>
      <c r="E974" s="86">
        <v>5380915.4334442997</v>
      </c>
      <c r="F974" s="86" t="s">
        <v>1022</v>
      </c>
      <c r="G974" s="25">
        <f t="shared" si="27"/>
        <v>4.6373951652689538E-3</v>
      </c>
      <c r="I974" s="86">
        <v>424.80031159132221</v>
      </c>
      <c r="J974" s="86">
        <v>426.91333282062004</v>
      </c>
      <c r="K974" s="86">
        <v>421.48775865980292</v>
      </c>
      <c r="L974" s="86">
        <v>423.74841456014337</v>
      </c>
      <c r="M974" s="86">
        <v>1065076.6441887009</v>
      </c>
      <c r="N974" s="86" t="s">
        <v>1022</v>
      </c>
      <c r="O974" s="25">
        <f t="shared" si="28"/>
        <v>2.4823621635745585E-3</v>
      </c>
    </row>
    <row r="975" spans="1:15">
      <c r="A975" s="86">
        <v>387.0090122540775</v>
      </c>
      <c r="B975" s="86">
        <v>387.16285052383643</v>
      </c>
      <c r="C975" s="86">
        <v>384.77835734257354</v>
      </c>
      <c r="D975" s="86">
        <v>385.17256790883073</v>
      </c>
      <c r="E975" s="86">
        <v>4071651.6181682218</v>
      </c>
      <c r="F975" s="86" t="s">
        <v>1023</v>
      </c>
      <c r="G975" s="25">
        <f t="shared" si="27"/>
        <v>4.7678482276585221E-3</v>
      </c>
      <c r="I975" s="86">
        <v>422.08752451091368</v>
      </c>
      <c r="J975" s="86">
        <v>422.17056901337514</v>
      </c>
      <c r="K975" s="86">
        <v>414.09679794073065</v>
      </c>
      <c r="L975" s="86">
        <v>415.14869497190949</v>
      </c>
      <c r="M975" s="86">
        <v>741574.31467014772</v>
      </c>
      <c r="N975" s="86" t="s">
        <v>1023</v>
      </c>
      <c r="O975" s="25">
        <f t="shared" si="28"/>
        <v>1.6714082503556327E-2</v>
      </c>
    </row>
    <row r="976" spans="1:15">
      <c r="A976" s="86">
        <v>385.53197258297718</v>
      </c>
      <c r="B976" s="86">
        <v>386.42744493266071</v>
      </c>
      <c r="C976" s="86">
        <v>383.76975961675515</v>
      </c>
      <c r="D976" s="86">
        <v>384.38270325718025</v>
      </c>
      <c r="E976" s="86">
        <v>4511393.7034772318</v>
      </c>
      <c r="F976" s="86" t="s">
        <v>1024</v>
      </c>
      <c r="G976" s="25">
        <f t="shared" si="27"/>
        <v>2.9899090569327491E-3</v>
      </c>
      <c r="I976" s="86">
        <v>414.9087886314652</v>
      </c>
      <c r="J976" s="86">
        <v>418.69192707693287</v>
      </c>
      <c r="K976" s="86">
        <v>412.87881190462883</v>
      </c>
      <c r="L976" s="86">
        <v>418.52583807200989</v>
      </c>
      <c r="M976" s="86">
        <v>920103.65208024124</v>
      </c>
      <c r="N976" s="86" t="s">
        <v>1024</v>
      </c>
      <c r="O976" s="25">
        <f t="shared" si="28"/>
        <v>-8.6423563649189461E-3</v>
      </c>
    </row>
    <row r="977" spans="1:15">
      <c r="A977" s="86">
        <v>385.35958218410764</v>
      </c>
      <c r="B977" s="86">
        <v>385.89590786947957</v>
      </c>
      <c r="C977" s="86">
        <v>381.5478389202143</v>
      </c>
      <c r="D977" s="86">
        <v>381.94050593986162</v>
      </c>
      <c r="E977" s="86">
        <v>4492274.4252482038</v>
      </c>
      <c r="F977" s="86" t="s">
        <v>1025</v>
      </c>
      <c r="G977" s="25">
        <f t="shared" si="27"/>
        <v>8.9518555667000843E-3</v>
      </c>
      <c r="I977" s="86">
        <v>418.12906989358282</v>
      </c>
      <c r="J977" s="86">
        <v>420.41740729474378</v>
      </c>
      <c r="K977" s="86">
        <v>417.45548670695081</v>
      </c>
      <c r="L977" s="86">
        <v>417.79689188373692</v>
      </c>
      <c r="M977" s="86">
        <v>727380.35883849394</v>
      </c>
      <c r="N977" s="86" t="s">
        <v>1025</v>
      </c>
      <c r="O977" s="25">
        <f t="shared" si="28"/>
        <v>7.9507056251237884E-4</v>
      </c>
    </row>
    <row r="978" spans="1:15">
      <c r="A978" s="86">
        <v>381.13601741180372</v>
      </c>
      <c r="B978" s="86">
        <v>383.91341828247977</v>
      </c>
      <c r="C978" s="86">
        <v>380.915740791026</v>
      </c>
      <c r="D978" s="86">
        <v>382.17035980502106</v>
      </c>
      <c r="E978" s="86">
        <v>3394191.3461363041</v>
      </c>
      <c r="F978" s="86" t="s">
        <v>1026</v>
      </c>
      <c r="G978" s="25">
        <f t="shared" si="27"/>
        <v>-2.7064955894147147E-3</v>
      </c>
      <c r="I978" s="86">
        <v>417.80611905067707</v>
      </c>
      <c r="J978" s="86">
        <v>420.90644714257257</v>
      </c>
      <c r="K978" s="86">
        <v>412.15909288329601</v>
      </c>
      <c r="L978" s="86">
        <v>420.70344946988888</v>
      </c>
      <c r="M978" s="86">
        <v>1080695.7395117364</v>
      </c>
      <c r="N978" s="86" t="s">
        <v>1026</v>
      </c>
      <c r="O978" s="25">
        <f t="shared" si="28"/>
        <v>-6.8868710795279009E-3</v>
      </c>
    </row>
    <row r="979" spans="1:15">
      <c r="A979" s="86">
        <v>382.7162627347746</v>
      </c>
      <c r="B979" s="86">
        <v>384.31566254650869</v>
      </c>
      <c r="C979" s="86">
        <v>382.06501011682298</v>
      </c>
      <c r="D979" s="86">
        <v>382.44809989208863</v>
      </c>
      <c r="E979" s="86">
        <v>4401377.7157866871</v>
      </c>
      <c r="F979" s="86" t="s">
        <v>1027</v>
      </c>
      <c r="G979" s="25">
        <f t="shared" si="27"/>
        <v>7.0117446723272359E-4</v>
      </c>
      <c r="I979" s="86">
        <v>423.8591405634254</v>
      </c>
      <c r="J979" s="86">
        <v>429.45080372916544</v>
      </c>
      <c r="K979" s="86">
        <v>422.72419902978504</v>
      </c>
      <c r="L979" s="86">
        <v>427.69764201053403</v>
      </c>
      <c r="M979" s="86">
        <v>1461126.7019905816</v>
      </c>
      <c r="N979" s="86" t="s">
        <v>1027</v>
      </c>
      <c r="O979" s="25">
        <f t="shared" si="28"/>
        <v>-8.9748015188123587E-3</v>
      </c>
    </row>
    <row r="980" spans="1:15">
      <c r="A980" s="86">
        <v>385.60859053803034</v>
      </c>
      <c r="B980" s="86">
        <v>385.69478573746511</v>
      </c>
      <c r="C980" s="86">
        <v>383.04188904375042</v>
      </c>
      <c r="D980" s="86">
        <v>383.35793810834457</v>
      </c>
      <c r="E980" s="86">
        <v>3279670.931255545</v>
      </c>
      <c r="F980" s="86" t="s">
        <v>1028</v>
      </c>
      <c r="G980" s="25">
        <f t="shared" si="27"/>
        <v>5.8708903767363818E-3</v>
      </c>
      <c r="I980" s="86">
        <v>427.61459750807256</v>
      </c>
      <c r="J980" s="86">
        <v>430.03211524639585</v>
      </c>
      <c r="K980" s="86">
        <v>425.8337542886207</v>
      </c>
      <c r="L980" s="86">
        <v>429.54307539856705</v>
      </c>
      <c r="M980" s="86">
        <v>746362.34985868307</v>
      </c>
      <c r="N980" s="86" t="s">
        <v>1028</v>
      </c>
      <c r="O980" s="25">
        <f t="shared" si="28"/>
        <v>-4.4896030245745733E-3</v>
      </c>
    </row>
    <row r="981" spans="1:15">
      <c r="A981" s="86">
        <v>384.21031285831066</v>
      </c>
      <c r="B981" s="86">
        <v>386.02041204644092</v>
      </c>
      <c r="C981" s="86">
        <v>383.73145063922863</v>
      </c>
      <c r="D981" s="86">
        <v>385.30211871781779</v>
      </c>
      <c r="E981" s="86">
        <v>3574663.9258392104</v>
      </c>
      <c r="F981" s="86" t="s">
        <v>1029</v>
      </c>
      <c r="G981" s="25">
        <f t="shared" si="27"/>
        <v>-2.8336357535234669E-3</v>
      </c>
      <c r="I981" s="86">
        <v>430.0228880794557</v>
      </c>
      <c r="J981" s="86">
        <v>431.06555794369433</v>
      </c>
      <c r="K981" s="86">
        <v>422.61347302650307</v>
      </c>
      <c r="L981" s="86">
        <v>425.42775894325342</v>
      </c>
      <c r="M981" s="86">
        <v>983047.13232355053</v>
      </c>
      <c r="N981" s="86" t="s">
        <v>1029</v>
      </c>
      <c r="O981" s="25">
        <f t="shared" si="28"/>
        <v>1.0801197241140148E-2</v>
      </c>
    </row>
    <row r="982" spans="1:15">
      <c r="A982" s="86">
        <v>386.32688386665342</v>
      </c>
      <c r="B982" s="86">
        <v>387.22714483852775</v>
      </c>
      <c r="C982" s="86">
        <v>384.29650805774543</v>
      </c>
      <c r="D982" s="86">
        <v>386.43223355485151</v>
      </c>
      <c r="E982" s="86">
        <v>4434345.4450643528</v>
      </c>
      <c r="F982" s="86" t="s">
        <v>1030</v>
      </c>
      <c r="G982" s="25">
        <f t="shared" si="27"/>
        <v>-2.7262137847294809E-4</v>
      </c>
      <c r="I982" s="86">
        <v>422.95487820328918</v>
      </c>
      <c r="J982" s="86">
        <v>426.19361379928711</v>
      </c>
      <c r="K982" s="86">
        <v>422.12443317867434</v>
      </c>
      <c r="L982" s="86">
        <v>423.96986656670737</v>
      </c>
      <c r="M982" s="86">
        <v>840182.04615481489</v>
      </c>
      <c r="N982" s="86" t="s">
        <v>1030</v>
      </c>
      <c r="O982" s="25">
        <f t="shared" si="28"/>
        <v>-2.3940106207016587E-3</v>
      </c>
    </row>
    <row r="983" spans="1:15">
      <c r="A983" s="86">
        <v>388.11782856602036</v>
      </c>
      <c r="B983" s="86">
        <v>391.47944134397653</v>
      </c>
      <c r="C983" s="86">
        <v>387.77304776828129</v>
      </c>
      <c r="D983" s="86">
        <v>391.41240063330503</v>
      </c>
      <c r="E983" s="86">
        <v>5368856.421640899</v>
      </c>
      <c r="F983" s="86" t="s">
        <v>1031</v>
      </c>
      <c r="G983" s="25">
        <f t="shared" si="27"/>
        <v>-8.4171376838190204E-3</v>
      </c>
      <c r="I983" s="86">
        <v>423.68382439156227</v>
      </c>
      <c r="J983" s="86">
        <v>426.08288779600514</v>
      </c>
      <c r="K983" s="86">
        <v>421.31244248793979</v>
      </c>
      <c r="L983" s="86">
        <v>422.35511235217848</v>
      </c>
      <c r="M983" s="86">
        <v>1780402.3820670145</v>
      </c>
      <c r="N983" s="86" t="s">
        <v>1031</v>
      </c>
      <c r="O983" s="25">
        <f t="shared" si="28"/>
        <v>3.1459594083849129E-3</v>
      </c>
    </row>
    <row r="984" spans="1:15">
      <c r="A984" s="86">
        <v>389.55441522326663</v>
      </c>
      <c r="B984" s="86">
        <v>390.68453006030029</v>
      </c>
      <c r="C984" s="86">
        <v>383.94215001562469</v>
      </c>
      <c r="D984" s="86">
        <v>384.04749970382278</v>
      </c>
      <c r="E984" s="86">
        <v>5518272.0513331983</v>
      </c>
      <c r="F984" s="86" t="s">
        <v>1032</v>
      </c>
      <c r="G984" s="25">
        <f t="shared" si="27"/>
        <v>1.4339152119700715E-2</v>
      </c>
      <c r="I984" s="86">
        <v>420.71267663682903</v>
      </c>
      <c r="J984" s="86">
        <v>423.07104823506586</v>
      </c>
      <c r="K984" s="86">
        <v>418.83956174797555</v>
      </c>
      <c r="L984" s="86">
        <v>418.91337908349686</v>
      </c>
      <c r="M984" s="86">
        <v>967303.40502978594</v>
      </c>
      <c r="N984" s="86" t="s">
        <v>1032</v>
      </c>
      <c r="O984" s="25">
        <f t="shared" si="28"/>
        <v>4.295154185022021E-3</v>
      </c>
    </row>
    <row r="985" spans="1:15">
      <c r="A985" s="86">
        <v>384.6221343667213</v>
      </c>
      <c r="B985" s="86">
        <v>386.3805164351906</v>
      </c>
      <c r="C985" s="86">
        <v>381.61487963088581</v>
      </c>
      <c r="D985" s="86">
        <v>384.6317116111029</v>
      </c>
      <c r="E985" s="86">
        <v>5389105.4611633467</v>
      </c>
      <c r="F985" s="86" t="s">
        <v>1033</v>
      </c>
      <c r="G985" s="25">
        <f t="shared" si="27"/>
        <v>-2.4899778391818117E-5</v>
      </c>
      <c r="I985" s="86">
        <v>417.57543987717293</v>
      </c>
      <c r="J985" s="86">
        <v>418.37820340096732</v>
      </c>
      <c r="K985" s="86">
        <v>413.90302743498717</v>
      </c>
      <c r="L985" s="86">
        <v>416.52354284599409</v>
      </c>
      <c r="M985" s="86">
        <v>1025115.2993478542</v>
      </c>
      <c r="N985" s="86" t="s">
        <v>1033</v>
      </c>
      <c r="O985" s="25">
        <f t="shared" si="28"/>
        <v>2.5254203495714833E-3</v>
      </c>
    </row>
    <row r="986" spans="1:15">
      <c r="A986" s="86">
        <v>384.32523979089041</v>
      </c>
      <c r="B986" s="86">
        <v>384.86156547626229</v>
      </c>
      <c r="C986" s="86">
        <v>382.51514060276008</v>
      </c>
      <c r="D986" s="86">
        <v>383.10797202998373</v>
      </c>
      <c r="E986" s="86">
        <v>4085815.130186046</v>
      </c>
      <c r="F986" s="86" t="s">
        <v>1034</v>
      </c>
      <c r="G986" s="25">
        <f t="shared" si="27"/>
        <v>3.1773490759190448E-3</v>
      </c>
      <c r="I986" s="86">
        <v>417.40935087224995</v>
      </c>
      <c r="J986" s="86">
        <v>421.65375539305649</v>
      </c>
      <c r="K986" s="86">
        <v>411.43014669502293</v>
      </c>
      <c r="L986" s="86">
        <v>420.76803963847004</v>
      </c>
      <c r="M986" s="86">
        <v>1610996.1049142976</v>
      </c>
      <c r="N986" s="86" t="s">
        <v>1034</v>
      </c>
      <c r="O986" s="25">
        <f t="shared" si="28"/>
        <v>-7.9822810903269481E-3</v>
      </c>
    </row>
    <row r="987" spans="1:15">
      <c r="A987" s="86">
        <v>381.80642451851867</v>
      </c>
      <c r="B987" s="86">
        <v>381.83036762947279</v>
      </c>
      <c r="C987" s="86">
        <v>378.58847040628712</v>
      </c>
      <c r="D987" s="86">
        <v>379.23972302423874</v>
      </c>
      <c r="E987" s="86">
        <v>3964861.7584395208</v>
      </c>
      <c r="F987" s="86" t="s">
        <v>1035</v>
      </c>
      <c r="G987" s="25">
        <f t="shared" si="27"/>
        <v>6.7680185867973197E-3</v>
      </c>
      <c r="I987" s="86">
        <v>424.32972607737378</v>
      </c>
      <c r="J987" s="86">
        <v>427.09787615942332</v>
      </c>
      <c r="K987" s="86">
        <v>422.7703348644859</v>
      </c>
      <c r="L987" s="86">
        <v>427.02405882390201</v>
      </c>
      <c r="M987" s="86">
        <v>1034618.7580550216</v>
      </c>
      <c r="N987" s="86" t="s">
        <v>1035</v>
      </c>
      <c r="O987" s="25">
        <f t="shared" si="28"/>
        <v>-6.3095572505889042E-3</v>
      </c>
    </row>
    <row r="988" spans="1:15">
      <c r="A988" s="86">
        <v>378.32988480798281</v>
      </c>
      <c r="B988" s="86">
        <v>380.14956124049468</v>
      </c>
      <c r="C988" s="86">
        <v>377.42004659172687</v>
      </c>
      <c r="D988" s="86">
        <v>378.34903929674613</v>
      </c>
      <c r="E988" s="86">
        <v>3198068.1268520039</v>
      </c>
      <c r="F988" s="86" t="s">
        <v>1036</v>
      </c>
      <c r="G988" s="25">
        <f t="shared" si="27"/>
        <v>-5.0626502974382426E-5</v>
      </c>
      <c r="I988" s="86">
        <v>426.93178715450034</v>
      </c>
      <c r="J988" s="86">
        <v>429.42312222834494</v>
      </c>
      <c r="K988" s="86">
        <v>424.80953875826236</v>
      </c>
      <c r="L988" s="86">
        <v>429.42312222834494</v>
      </c>
      <c r="M988" s="86">
        <v>772988.07383150666</v>
      </c>
      <c r="N988" s="86" t="s">
        <v>1036</v>
      </c>
      <c r="O988" s="25">
        <f t="shared" si="28"/>
        <v>-5.8015857667762516E-3</v>
      </c>
    </row>
    <row r="989" spans="1:15">
      <c r="A989" s="86">
        <v>377.6977866787945</v>
      </c>
      <c r="B989" s="86">
        <v>378.04256747653358</v>
      </c>
      <c r="C989" s="86">
        <v>374.74799540924892</v>
      </c>
      <c r="D989" s="86">
        <v>375.38967078281888</v>
      </c>
      <c r="E989" s="86">
        <v>3613096.6926490003</v>
      </c>
      <c r="F989" s="86" t="s">
        <v>1037</v>
      </c>
      <c r="G989" s="25">
        <f t="shared" si="27"/>
        <v>6.1485865904684633E-3</v>
      </c>
      <c r="I989" s="86">
        <v>428.29740786164479</v>
      </c>
      <c r="J989" s="86">
        <v>430.37352042318196</v>
      </c>
      <c r="K989" s="86">
        <v>425.79684562086004</v>
      </c>
      <c r="L989" s="86">
        <v>426.46120164055196</v>
      </c>
      <c r="M989" s="86">
        <v>935836.54181133374</v>
      </c>
      <c r="N989" s="86" t="s">
        <v>1037</v>
      </c>
      <c r="O989" s="25">
        <f t="shared" si="28"/>
        <v>4.3056817690076965E-3</v>
      </c>
    </row>
    <row r="990" spans="1:15">
      <c r="A990" s="86">
        <v>375.44713424910873</v>
      </c>
      <c r="B990" s="86">
        <v>378.0712992096785</v>
      </c>
      <c r="C990" s="86">
        <v>374.98742651878996</v>
      </c>
      <c r="D990" s="86">
        <v>377.02737957207961</v>
      </c>
      <c r="E990" s="86">
        <v>4116938.9052639157</v>
      </c>
      <c r="F990" s="86" t="s">
        <v>1038</v>
      </c>
      <c r="G990" s="25">
        <f t="shared" ref="G990:G1053" si="29">A990/D990-1</f>
        <v>-4.1913277618310651E-3</v>
      </c>
      <c r="I990" s="86">
        <v>426.06443346212484</v>
      </c>
      <c r="J990" s="86">
        <v>427.90986685015787</v>
      </c>
      <c r="K990" s="86">
        <v>419.84532294445353</v>
      </c>
      <c r="L990" s="86">
        <v>422.71497186284489</v>
      </c>
      <c r="M990" s="86">
        <v>968137.89735553786</v>
      </c>
      <c r="N990" s="86" t="s">
        <v>1038</v>
      </c>
      <c r="O990" s="25">
        <f t="shared" ref="O990:O1053" si="30">I990/L990-1</f>
        <v>7.9236881166506734E-3</v>
      </c>
    </row>
    <row r="991" spans="1:15">
      <c r="A991" s="86">
        <v>376.68259877434048</v>
      </c>
      <c r="B991" s="86">
        <v>377.1423065046593</v>
      </c>
      <c r="C991" s="86">
        <v>374.86292234182861</v>
      </c>
      <c r="D991" s="86">
        <v>375.47586598225365</v>
      </c>
      <c r="E991" s="86">
        <v>3022438.276242333</v>
      </c>
      <c r="F991" s="86" t="s">
        <v>1039</v>
      </c>
      <c r="G991" s="25">
        <f t="shared" si="29"/>
        <v>3.2138757811503993E-3</v>
      </c>
      <c r="I991" s="86">
        <v>423.18555737679333</v>
      </c>
      <c r="J991" s="86">
        <v>423.84068622954504</v>
      </c>
      <c r="K991" s="86">
        <v>419.27729854761697</v>
      </c>
      <c r="L991" s="86">
        <v>421.23862515241848</v>
      </c>
      <c r="M991" s="86">
        <v>885282.56321477308</v>
      </c>
      <c r="N991" s="86" t="s">
        <v>1039</v>
      </c>
      <c r="O991" s="25">
        <f t="shared" si="30"/>
        <v>4.6219223692280931E-3</v>
      </c>
    </row>
    <row r="992" spans="1:15">
      <c r="A992" s="86">
        <v>375.9068419794275</v>
      </c>
      <c r="B992" s="86">
        <v>378.0808764540601</v>
      </c>
      <c r="C992" s="86">
        <v>375.226857628331</v>
      </c>
      <c r="D992" s="86">
        <v>376.90287539511826</v>
      </c>
      <c r="E992" s="86">
        <v>4188864.6046143938</v>
      </c>
      <c r="F992" s="86" t="s">
        <v>1040</v>
      </c>
      <c r="G992" s="25">
        <f t="shared" si="29"/>
        <v>-2.64267927021411E-3</v>
      </c>
      <c r="I992" s="86">
        <v>419.55005360236822</v>
      </c>
      <c r="J992" s="86">
        <v>421.6261661639054</v>
      </c>
      <c r="K992" s="86">
        <v>417.51084970859176</v>
      </c>
      <c r="L992" s="86">
        <v>420.88799280869216</v>
      </c>
      <c r="M992" s="86">
        <v>947186.7211978276</v>
      </c>
      <c r="N992" s="86" t="s">
        <v>1040</v>
      </c>
      <c r="O992" s="25">
        <f t="shared" si="30"/>
        <v>-3.1788485991143256E-3</v>
      </c>
    </row>
    <row r="993" spans="1:15">
      <c r="A993" s="86">
        <v>376.63471255243223</v>
      </c>
      <c r="B993" s="86">
        <v>377.30511965914712</v>
      </c>
      <c r="C993" s="86">
        <v>373.07197764246166</v>
      </c>
      <c r="D993" s="86">
        <v>373.58914883907028</v>
      </c>
      <c r="E993" s="86">
        <v>7694177.6844761139</v>
      </c>
      <c r="F993" s="86" t="s">
        <v>1041</v>
      </c>
      <c r="G993" s="25">
        <f t="shared" si="29"/>
        <v>8.152173913043459E-3</v>
      </c>
      <c r="I993" s="86">
        <v>419.36551026356494</v>
      </c>
      <c r="J993" s="86">
        <v>421.08637689790578</v>
      </c>
      <c r="K993" s="86">
        <v>415.73462007260997</v>
      </c>
      <c r="L993" s="86">
        <v>417.1786716987458</v>
      </c>
      <c r="M993" s="86">
        <v>969591.2145098669</v>
      </c>
      <c r="N993" s="86" t="s">
        <v>1041</v>
      </c>
      <c r="O993" s="25">
        <f t="shared" si="30"/>
        <v>5.2419711580995454E-3</v>
      </c>
    </row>
    <row r="994" spans="1:15">
      <c r="A994" s="86">
        <v>371.18526049927829</v>
      </c>
      <c r="B994" s="86">
        <v>372.14298493744241</v>
      </c>
      <c r="C994" s="86">
        <v>366.77972808372323</v>
      </c>
      <c r="D994" s="86">
        <v>367.95772914266507</v>
      </c>
      <c r="E994" s="86">
        <v>3720856.2901777332</v>
      </c>
      <c r="F994" s="86" t="s">
        <v>1042</v>
      </c>
      <c r="G994" s="25">
        <f t="shared" si="29"/>
        <v>8.7714731910464305E-3</v>
      </c>
      <c r="I994" s="86">
        <v>414.91801579840535</v>
      </c>
      <c r="J994" s="86">
        <v>415.94223132876368</v>
      </c>
      <c r="K994" s="86">
        <v>409.15112873247153</v>
      </c>
      <c r="L994" s="86">
        <v>411.16255885375818</v>
      </c>
      <c r="M994" s="86">
        <v>952269.53809104406</v>
      </c>
      <c r="N994" s="86" t="s">
        <v>1042</v>
      </c>
      <c r="O994" s="25">
        <f t="shared" si="30"/>
        <v>9.1337522441650165E-3</v>
      </c>
    </row>
    <row r="995" spans="1:15">
      <c r="A995" s="86">
        <v>367.66083456683418</v>
      </c>
      <c r="B995" s="86">
        <v>368.87714460330272</v>
      </c>
      <c r="C995" s="86">
        <v>366.25297964273295</v>
      </c>
      <c r="D995" s="86">
        <v>368.06307883086316</v>
      </c>
      <c r="E995" s="86">
        <v>4390979.1088355165</v>
      </c>
      <c r="F995" s="86" t="s">
        <v>1043</v>
      </c>
      <c r="G995" s="25">
        <f t="shared" si="29"/>
        <v>-1.0928677369832496E-3</v>
      </c>
      <c r="I995" s="86">
        <v>409.69543931027187</v>
      </c>
      <c r="J995" s="86">
        <v>411.46705536278358</v>
      </c>
      <c r="K995" s="86">
        <v>408.7634954493152</v>
      </c>
      <c r="L995" s="86">
        <v>410.25829649362197</v>
      </c>
      <c r="M995" s="86">
        <v>1813834.095397919</v>
      </c>
      <c r="N995" s="86" t="s">
        <v>1043</v>
      </c>
      <c r="O995" s="25">
        <f t="shared" si="30"/>
        <v>-1.371958076559876E-3</v>
      </c>
    </row>
    <row r="996" spans="1:15">
      <c r="A996" s="86">
        <v>369.67205588697891</v>
      </c>
      <c r="B996" s="86">
        <v>371.84609036161152</v>
      </c>
      <c r="C996" s="86">
        <v>368.49405482803701</v>
      </c>
      <c r="D996" s="86">
        <v>371.36722814252943</v>
      </c>
      <c r="E996" s="86">
        <v>4143625.0782188335</v>
      </c>
      <c r="F996" s="86" t="s">
        <v>1044</v>
      </c>
      <c r="G996" s="25">
        <f t="shared" si="29"/>
        <v>-4.5646791829997424E-3</v>
      </c>
      <c r="I996" s="86">
        <v>410.58124734604098</v>
      </c>
      <c r="J996" s="86">
        <v>411.57110770975669</v>
      </c>
      <c r="K996" s="86">
        <v>407.16256294172655</v>
      </c>
      <c r="L996" s="86">
        <v>410.68206645716015</v>
      </c>
      <c r="M996" s="86">
        <v>1269241.2041672973</v>
      </c>
      <c r="N996" s="86" t="s">
        <v>1044</v>
      </c>
      <c r="O996" s="25">
        <f t="shared" si="30"/>
        <v>-2.4549187645062087E-4</v>
      </c>
    </row>
    <row r="997" spans="1:15">
      <c r="A997" s="86">
        <v>369.55712895439922</v>
      </c>
      <c r="B997" s="86">
        <v>370.22753606111411</v>
      </c>
      <c r="C997" s="86">
        <v>365.40539351495767</v>
      </c>
      <c r="D997" s="86">
        <v>365.5059545809649</v>
      </c>
      <c r="E997" s="86">
        <v>3177105.9385648556</v>
      </c>
      <c r="F997" s="86" t="s">
        <v>1045</v>
      </c>
      <c r="G997" s="25">
        <f t="shared" si="29"/>
        <v>1.1083743842364546E-2</v>
      </c>
      <c r="I997" s="86">
        <v>411.02118528547015</v>
      </c>
      <c r="J997" s="86">
        <v>414.06408936652213</v>
      </c>
      <c r="K997" s="86">
        <v>405.20117296177136</v>
      </c>
      <c r="L997" s="86">
        <v>405.8977413658676</v>
      </c>
      <c r="M997" s="86">
        <v>1238938.0209108205</v>
      </c>
      <c r="N997" s="86" t="s">
        <v>1045</v>
      </c>
      <c r="O997" s="25">
        <f t="shared" si="30"/>
        <v>1.2622499209682392E-2</v>
      </c>
    </row>
    <row r="998" spans="1:15">
      <c r="A998" s="86">
        <v>364.81639298548674</v>
      </c>
      <c r="B998" s="86">
        <v>366.11889822138994</v>
      </c>
      <c r="C998" s="86">
        <v>362.90094410915844</v>
      </c>
      <c r="D998" s="86">
        <v>364.88343369615819</v>
      </c>
      <c r="E998" s="86">
        <v>3462240.1474438361</v>
      </c>
      <c r="F998" s="86" t="s">
        <v>1046</v>
      </c>
      <c r="G998" s="25">
        <f t="shared" si="29"/>
        <v>-1.8373185647901913E-4</v>
      </c>
      <c r="I998" s="86">
        <v>405.87024524465323</v>
      </c>
      <c r="J998" s="86">
        <v>413.8166242755932</v>
      </c>
      <c r="K998" s="86">
        <v>403.00148326462534</v>
      </c>
      <c r="L998" s="86">
        <v>413.8166242755932</v>
      </c>
      <c r="M998" s="86">
        <v>1314742.8947602303</v>
      </c>
      <c r="N998" s="86" t="s">
        <v>1046</v>
      </c>
      <c r="O998" s="25">
        <f t="shared" si="30"/>
        <v>-1.9202657807309009E-2</v>
      </c>
    </row>
    <row r="999" spans="1:15">
      <c r="A999" s="86">
        <v>361.66547958392664</v>
      </c>
      <c r="B999" s="86">
        <v>363.2169931737526</v>
      </c>
      <c r="C999" s="86">
        <v>360.65029167947267</v>
      </c>
      <c r="D999" s="86">
        <v>362.89136686477678</v>
      </c>
      <c r="E999" s="86">
        <v>3771013.7238671998</v>
      </c>
      <c r="F999" s="86" t="s">
        <v>1047</v>
      </c>
      <c r="G999" s="25">
        <f t="shared" si="29"/>
        <v>-3.378110897046871E-3</v>
      </c>
      <c r="I999" s="86">
        <v>414.93479987164244</v>
      </c>
      <c r="J999" s="86">
        <v>418.62212138022085</v>
      </c>
      <c r="K999" s="86">
        <v>413.52333231597373</v>
      </c>
      <c r="L999" s="86">
        <v>415.41139930602407</v>
      </c>
      <c r="M999" s="86">
        <v>936960.15518646769</v>
      </c>
      <c r="N999" s="86" t="s">
        <v>1047</v>
      </c>
      <c r="O999" s="25">
        <f t="shared" si="30"/>
        <v>-1.1472950313299313E-3</v>
      </c>
    </row>
    <row r="1000" spans="1:15">
      <c r="A1000" s="86">
        <v>364.3949942326945</v>
      </c>
      <c r="B1000" s="86">
        <v>367.87153394323036</v>
      </c>
      <c r="C1000" s="86">
        <v>364.01190445742878</v>
      </c>
      <c r="D1000" s="86">
        <v>366.99042746011929</v>
      </c>
      <c r="E1000" s="86">
        <v>3014712.6719816932</v>
      </c>
      <c r="F1000" s="86" t="s">
        <v>1048</v>
      </c>
      <c r="G1000" s="25">
        <f t="shared" si="29"/>
        <v>-7.0722096088101649E-3</v>
      </c>
      <c r="I1000" s="86">
        <v>414.85231150799945</v>
      </c>
      <c r="J1000" s="86">
        <v>418.30765740726628</v>
      </c>
      <c r="K1000" s="86">
        <v>412.44181821487695</v>
      </c>
      <c r="L1000" s="86">
        <v>414.37571207361782</v>
      </c>
      <c r="M1000" s="86">
        <v>1120836.9995090021</v>
      </c>
      <c r="N1000" s="86" t="s">
        <v>1048</v>
      </c>
      <c r="O1000" s="25">
        <f t="shared" si="30"/>
        <v>1.1501625710557128E-3</v>
      </c>
    </row>
    <row r="1001" spans="1:15">
      <c r="A1001" s="86">
        <v>368.51320931680027</v>
      </c>
      <c r="B1001" s="86">
        <v>369.90190975213835</v>
      </c>
      <c r="C1001" s="86">
        <v>367.25859030280532</v>
      </c>
      <c r="D1001" s="86">
        <v>368.39828238422064</v>
      </c>
      <c r="E1001" s="86">
        <v>2906902.9556525131</v>
      </c>
      <c r="F1001" s="86" t="s">
        <v>1049</v>
      </c>
      <c r="G1001" s="25">
        <f t="shared" si="29"/>
        <v>3.1196381219755764E-4</v>
      </c>
      <c r="I1001" s="86">
        <v>416.76787461926415</v>
      </c>
      <c r="J1001" s="86">
        <v>419.1921159729938</v>
      </c>
      <c r="K1001" s="86">
        <v>413.89938760044834</v>
      </c>
      <c r="L1001" s="86">
        <v>416.10796771012031</v>
      </c>
      <c r="M1001" s="86">
        <v>685284.65717496211</v>
      </c>
      <c r="N1001" s="86" t="s">
        <v>1049</v>
      </c>
      <c r="O1001" s="25">
        <f t="shared" si="30"/>
        <v>1.5859030837004351E-3</v>
      </c>
    </row>
    <row r="1002" spans="1:15">
      <c r="A1002" s="86">
        <v>368.31208718478581</v>
      </c>
      <c r="B1002" s="86">
        <v>370.19880432796924</v>
      </c>
      <c r="C1002" s="86">
        <v>367.22985856966034</v>
      </c>
      <c r="D1002" s="86">
        <v>369.70078762012383</v>
      </c>
      <c r="E1002" s="86">
        <v>3810117.873774651</v>
      </c>
      <c r="F1002" s="86" t="s">
        <v>1050</v>
      </c>
      <c r="G1002" s="25">
        <f t="shared" si="29"/>
        <v>-3.7562820579244427E-3</v>
      </c>
      <c r="I1002" s="86">
        <v>416.55707102328762</v>
      </c>
      <c r="J1002" s="86">
        <v>420.02158229629254</v>
      </c>
      <c r="K1002" s="86">
        <v>415.06311510397597</v>
      </c>
      <c r="L1002" s="86">
        <v>418.88507595276712</v>
      </c>
      <c r="M1002" s="86">
        <v>877493.94948949327</v>
      </c>
      <c r="N1002" s="86" t="s">
        <v>1050</v>
      </c>
      <c r="O1002" s="25">
        <f t="shared" si="30"/>
        <v>-5.5576220379405239E-3</v>
      </c>
    </row>
    <row r="1003" spans="1:15">
      <c r="A1003" s="86">
        <v>368.89629909206599</v>
      </c>
      <c r="B1003" s="86">
        <v>369.26981162294999</v>
      </c>
      <c r="C1003" s="86">
        <v>364.89301094053985</v>
      </c>
      <c r="D1003" s="86">
        <v>365.1420192944625</v>
      </c>
      <c r="E1003" s="86">
        <v>3488080.5656412034</v>
      </c>
      <c r="F1003" s="86" t="s">
        <v>1051</v>
      </c>
      <c r="G1003" s="25">
        <f t="shared" si="29"/>
        <v>1.0281697529245237E-2</v>
      </c>
      <c r="I1003" s="86">
        <v>417.71190811428926</v>
      </c>
      <c r="J1003" s="86">
        <v>418.61928011436203</v>
      </c>
      <c r="K1003" s="86">
        <v>411.89189579059041</v>
      </c>
      <c r="L1003" s="86">
        <v>417.40028540719362</v>
      </c>
      <c r="M1003" s="86">
        <v>1589169.2380682023</v>
      </c>
      <c r="N1003" s="86" t="s">
        <v>1051</v>
      </c>
      <c r="O1003" s="25">
        <f t="shared" si="30"/>
        <v>7.465800048307436E-4</v>
      </c>
    </row>
    <row r="1004" spans="1:15">
      <c r="A1004" s="86">
        <v>365.3239869377137</v>
      </c>
      <c r="B1004" s="86">
        <v>365.93693057813874</v>
      </c>
      <c r="C1004" s="86">
        <v>361.33027603056917</v>
      </c>
      <c r="D1004" s="86">
        <v>362.83390339848694</v>
      </c>
      <c r="E1004" s="86">
        <v>3364897.9514164426</v>
      </c>
      <c r="F1004" s="86" t="s">
        <v>1052</v>
      </c>
      <c r="G1004" s="25">
        <f t="shared" si="29"/>
        <v>6.8628744885839144E-3</v>
      </c>
      <c r="I1004" s="86">
        <v>419.13254104369605</v>
      </c>
      <c r="J1004" s="86">
        <v>420.14989752862613</v>
      </c>
      <c r="K1004" s="86">
        <v>412.38682597244832</v>
      </c>
      <c r="L1004" s="86">
        <v>412.44181821487695</v>
      </c>
      <c r="M1004" s="86">
        <v>1202288.1242892204</v>
      </c>
      <c r="N1004" s="86" t="s">
        <v>1052</v>
      </c>
      <c r="O1004" s="25">
        <f t="shared" si="30"/>
        <v>1.6222222222222138E-2</v>
      </c>
    </row>
    <row r="1005" spans="1:15">
      <c r="A1005" s="86">
        <v>361.01422696597501</v>
      </c>
      <c r="B1005" s="86">
        <v>363.24572490689746</v>
      </c>
      <c r="C1005" s="86">
        <v>360.97591798844849</v>
      </c>
      <c r="D1005" s="86">
        <v>362.39335015693138</v>
      </c>
      <c r="E1005" s="86">
        <v>2378153.7874985645</v>
      </c>
      <c r="F1005" s="86" t="s">
        <v>1053</v>
      </c>
      <c r="G1005" s="25">
        <f t="shared" si="29"/>
        <v>-3.8055973995084758E-3</v>
      </c>
      <c r="I1005" s="86">
        <v>410.36127837632637</v>
      </c>
      <c r="J1005" s="86">
        <v>414.67816940697537</v>
      </c>
      <c r="K1005" s="86">
        <v>410.2971207601596</v>
      </c>
      <c r="L1005" s="86">
        <v>414.35738132614159</v>
      </c>
      <c r="M1005" s="86">
        <v>621581.85391966335</v>
      </c>
      <c r="N1005" s="86" t="s">
        <v>1053</v>
      </c>
      <c r="O1005" s="25">
        <f t="shared" si="30"/>
        <v>-9.6440974142316671E-3</v>
      </c>
    </row>
    <row r="1006" spans="1:15">
      <c r="A1006" s="86">
        <v>363.418115305767</v>
      </c>
      <c r="B1006" s="86">
        <v>363.7820505922694</v>
      </c>
      <c r="C1006" s="86">
        <v>360.97591798844849</v>
      </c>
      <c r="D1006" s="86">
        <v>362.72855371028885</v>
      </c>
      <c r="E1006" s="86">
        <v>4053943.7496681684</v>
      </c>
      <c r="F1006" s="86" t="s">
        <v>1054</v>
      </c>
      <c r="G1006" s="25">
        <f t="shared" si="29"/>
        <v>1.9010402914927393E-3</v>
      </c>
      <c r="I1006" s="86">
        <v>414.20156997259375</v>
      </c>
      <c r="J1006" s="86">
        <v>415.51221841714329</v>
      </c>
      <c r="K1006" s="86">
        <v>411.91022653806669</v>
      </c>
      <c r="L1006" s="86">
        <v>413.16588274018756</v>
      </c>
      <c r="M1006" s="86">
        <v>729168.30136588751</v>
      </c>
      <c r="N1006" s="86" t="s">
        <v>1054</v>
      </c>
      <c r="O1006" s="25">
        <f t="shared" si="30"/>
        <v>2.5067104416689467E-3</v>
      </c>
    </row>
    <row r="1007" spans="1:15">
      <c r="A1007" s="86">
        <v>362.16349629177199</v>
      </c>
      <c r="B1007" s="86">
        <v>363.94486374675733</v>
      </c>
      <c r="C1007" s="86">
        <v>359.946364217422</v>
      </c>
      <c r="D1007" s="86">
        <v>363.79162783665106</v>
      </c>
      <c r="E1007" s="86">
        <v>2642738.2440524125</v>
      </c>
      <c r="F1007" s="86" t="s">
        <v>1055</v>
      </c>
      <c r="G1007" s="25">
        <f t="shared" si="29"/>
        <v>-4.4754508358563205E-3</v>
      </c>
      <c r="I1007" s="86">
        <v>413.16588274018756</v>
      </c>
      <c r="J1007" s="86">
        <v>415.98881785152491</v>
      </c>
      <c r="K1007" s="86">
        <v>410.42543599249314</v>
      </c>
      <c r="L1007" s="86">
        <v>415.00812286154729</v>
      </c>
      <c r="M1007" s="86">
        <v>760041.01949886349</v>
      </c>
      <c r="N1007" s="86" t="s">
        <v>1055</v>
      </c>
      <c r="O1007" s="25">
        <f t="shared" si="30"/>
        <v>-4.439045936395658E-3</v>
      </c>
    </row>
    <row r="1008" spans="1:15">
      <c r="A1008" s="86">
        <v>362.65193575523574</v>
      </c>
      <c r="B1008" s="86">
        <v>362.86263513163186</v>
      </c>
      <c r="C1008" s="86">
        <v>360.7460641232891</v>
      </c>
      <c r="D1008" s="86">
        <v>362.46996811198454</v>
      </c>
      <c r="E1008" s="86">
        <v>2794772.581068092</v>
      </c>
      <c r="F1008" s="86" t="s">
        <v>1056</v>
      </c>
      <c r="G1008" s="25">
        <f t="shared" si="29"/>
        <v>5.0202129627185954E-4</v>
      </c>
      <c r="I1008" s="86">
        <v>413.07422900280642</v>
      </c>
      <c r="J1008" s="86">
        <v>414.4760729160501</v>
      </c>
      <c r="K1008" s="86">
        <v>411.10367364911315</v>
      </c>
      <c r="L1008" s="86">
        <v>412.9734098916872</v>
      </c>
      <c r="M1008" s="86">
        <v>704201.507153388</v>
      </c>
      <c r="N1008" s="86" t="s">
        <v>1056</v>
      </c>
      <c r="O1008" s="25">
        <f t="shared" si="30"/>
        <v>2.4412978827292875E-4</v>
      </c>
    </row>
    <row r="1009" spans="1:15">
      <c r="A1009" s="86">
        <v>363.15952970746275</v>
      </c>
      <c r="B1009" s="86">
        <v>364.73019778605192</v>
      </c>
      <c r="C1009" s="86">
        <v>359.75960795198</v>
      </c>
      <c r="D1009" s="86">
        <v>364.20344934506164</v>
      </c>
      <c r="E1009" s="86">
        <v>3668014.3682392994</v>
      </c>
      <c r="F1009" s="86" t="s">
        <v>1057</v>
      </c>
      <c r="G1009" s="25">
        <f t="shared" si="29"/>
        <v>-2.8663090354474896E-3</v>
      </c>
      <c r="I1009" s="86">
        <v>415.32891094238107</v>
      </c>
      <c r="J1009" s="86">
        <v>415.45722617471461</v>
      </c>
      <c r="K1009" s="86">
        <v>411.25948500266094</v>
      </c>
      <c r="L1009" s="86">
        <v>415.01728823528538</v>
      </c>
      <c r="M1009" s="86">
        <v>928579.70042327186</v>
      </c>
      <c r="N1009" s="86" t="s">
        <v>1057</v>
      </c>
      <c r="O1009" s="25">
        <f t="shared" si="30"/>
        <v>7.5086680947866746E-4</v>
      </c>
    </row>
    <row r="1010" spans="1:15">
      <c r="A1010" s="86">
        <v>361.57928438449193</v>
      </c>
      <c r="B1010" s="86">
        <v>362.57531780018257</v>
      </c>
      <c r="C1010" s="86">
        <v>361.37816225247741</v>
      </c>
      <c r="D1010" s="86">
        <v>361.74209753897975</v>
      </c>
      <c r="E1010" s="86">
        <v>2371296.9091123473</v>
      </c>
      <c r="F1010" s="86" t="s">
        <v>1058</v>
      </c>
      <c r="G1010" s="25">
        <f t="shared" si="29"/>
        <v>-4.5008074978136747E-4</v>
      </c>
      <c r="I1010" s="86">
        <v>414.31155445745105</v>
      </c>
      <c r="J1010" s="86">
        <v>416.02538769273991</v>
      </c>
      <c r="K1010" s="86">
        <v>412.53356360599543</v>
      </c>
      <c r="L1010" s="86">
        <v>415.09977659892837</v>
      </c>
      <c r="M1010" s="86">
        <v>680732.74241489801</v>
      </c>
      <c r="N1010" s="86" t="s">
        <v>1058</v>
      </c>
      <c r="O1010" s="25">
        <f t="shared" si="30"/>
        <v>-1.8988739236034391E-3</v>
      </c>
    </row>
    <row r="1011" spans="1:15">
      <c r="A1011" s="86">
        <v>363.14995246308109</v>
      </c>
      <c r="B1011" s="86">
        <v>363.57135121587334</v>
      </c>
      <c r="C1011" s="86">
        <v>361.90491069346768</v>
      </c>
      <c r="D1011" s="86">
        <v>363.37022908385887</v>
      </c>
      <c r="E1011" s="86">
        <v>3088172.2154541984</v>
      </c>
      <c r="F1011" s="86" t="s">
        <v>1059</v>
      </c>
      <c r="G1011" s="25">
        <f t="shared" si="29"/>
        <v>-6.0620436994285321E-4</v>
      </c>
      <c r="I1011" s="86">
        <v>413.32169409373535</v>
      </c>
      <c r="J1011" s="86">
        <v>420.04907841750691</v>
      </c>
      <c r="K1011" s="86">
        <v>412.50139314417464</v>
      </c>
      <c r="L1011" s="86">
        <v>418.39014577090927</v>
      </c>
      <c r="M1011" s="86">
        <v>881925.84732155956</v>
      </c>
      <c r="N1011" s="86" t="s">
        <v>1059</v>
      </c>
      <c r="O1011" s="25">
        <f t="shared" si="30"/>
        <v>-1.2114175556967255E-2</v>
      </c>
    </row>
    <row r="1012" spans="1:15">
      <c r="A1012" s="86">
        <v>362.94883033106663</v>
      </c>
      <c r="B1012" s="86">
        <v>364.02148170181044</v>
      </c>
      <c r="C1012" s="86">
        <v>359.55848581996554</v>
      </c>
      <c r="D1012" s="86">
        <v>359.85538039579643</v>
      </c>
      <c r="E1012" s="86">
        <v>3277972.1127487114</v>
      </c>
      <c r="F1012" s="86" t="s">
        <v>1060</v>
      </c>
      <c r="G1012" s="25">
        <f t="shared" si="29"/>
        <v>8.5963698302018443E-3</v>
      </c>
      <c r="I1012" s="86">
        <v>417.51943526578901</v>
      </c>
      <c r="J1012" s="86">
        <v>418.94923356893389</v>
      </c>
      <c r="K1012" s="86">
        <v>414.34821595240345</v>
      </c>
      <c r="L1012" s="86">
        <v>414.90730375042813</v>
      </c>
      <c r="M1012" s="86">
        <v>1015380.3070032491</v>
      </c>
      <c r="N1012" s="86" t="s">
        <v>1060</v>
      </c>
      <c r="O1012" s="25">
        <f t="shared" si="30"/>
        <v>6.2956990434954729E-3</v>
      </c>
    </row>
    <row r="1013" spans="1:15">
      <c r="A1013" s="86">
        <v>356.40757241840549</v>
      </c>
      <c r="B1013" s="86">
        <v>358.29428956158887</v>
      </c>
      <c r="C1013" s="86">
        <v>355.23914860384525</v>
      </c>
      <c r="D1013" s="86">
        <v>358.0357039632845</v>
      </c>
      <c r="E1013" s="86">
        <v>4616655.7141169999</v>
      </c>
      <c r="F1013" s="86" t="s">
        <v>1061</v>
      </c>
      <c r="G1013" s="25">
        <f t="shared" si="29"/>
        <v>-4.5473999572008816E-3</v>
      </c>
      <c r="I1013" s="86">
        <v>414.21073534633189</v>
      </c>
      <c r="J1013" s="86">
        <v>416.14462920507276</v>
      </c>
      <c r="K1013" s="86">
        <v>408.96814156813383</v>
      </c>
      <c r="L1013" s="86">
        <v>415.79634500302461</v>
      </c>
      <c r="M1013" s="86">
        <v>1050570.3613552025</v>
      </c>
      <c r="N1013" s="86" t="s">
        <v>1061</v>
      </c>
      <c r="O1013" s="25">
        <f t="shared" si="30"/>
        <v>-3.8134285588325989E-3</v>
      </c>
    </row>
    <row r="1014" spans="1:15">
      <c r="A1014" s="86">
        <v>359.03173737897527</v>
      </c>
      <c r="B1014" s="86">
        <v>364.12683139000848</v>
      </c>
      <c r="C1014" s="86">
        <v>358.7635745362893</v>
      </c>
      <c r="D1014" s="86">
        <v>361.93364242661266</v>
      </c>
      <c r="E1014" s="86">
        <v>5756393.7812507898</v>
      </c>
      <c r="F1014" s="86" t="s">
        <v>1062</v>
      </c>
      <c r="G1014" s="25">
        <f t="shared" si="29"/>
        <v>-8.0177820115902021E-3</v>
      </c>
      <c r="I1014" s="86">
        <v>415.25558795247622</v>
      </c>
      <c r="J1014" s="86">
        <v>421.12582652425988</v>
      </c>
      <c r="K1014" s="86">
        <v>414.90730375042813</v>
      </c>
      <c r="L1014" s="86">
        <v>419.95742468012583</v>
      </c>
      <c r="M1014" s="86">
        <v>1218421.6726010777</v>
      </c>
      <c r="N1014" s="86" t="s">
        <v>1062</v>
      </c>
      <c r="O1014" s="25">
        <f t="shared" si="30"/>
        <v>-1.1195984286337834E-2</v>
      </c>
    </row>
    <row r="1015" spans="1:15">
      <c r="A1015" s="86">
        <v>361.55055265134695</v>
      </c>
      <c r="B1015" s="86">
        <v>364.99836062873788</v>
      </c>
      <c r="C1015" s="86">
        <v>358.8306152469608</v>
      </c>
      <c r="D1015" s="86">
        <v>364.9504744068297</v>
      </c>
      <c r="E1015" s="86">
        <v>4501910.8087759027</v>
      </c>
      <c r="F1015" s="86" t="s">
        <v>1063</v>
      </c>
      <c r="G1015" s="25">
        <f t="shared" si="29"/>
        <v>-9.3161181966094908E-3</v>
      </c>
      <c r="I1015" s="86">
        <v>420.5898354680553</v>
      </c>
      <c r="J1015" s="86">
        <v>429.42525575159175</v>
      </c>
      <c r="K1015" s="86">
        <v>419.08671417500551</v>
      </c>
      <c r="L1015" s="86">
        <v>429.28777514552013</v>
      </c>
      <c r="M1015" s="86">
        <v>1206162.4889375875</v>
      </c>
      <c r="N1015" s="86" t="s">
        <v>1063</v>
      </c>
      <c r="O1015" s="25">
        <f t="shared" si="30"/>
        <v>-2.0261326273538494E-2</v>
      </c>
    </row>
    <row r="1016" spans="1:15">
      <c r="A1016" s="86">
        <v>365.64961324668951</v>
      </c>
      <c r="B1016" s="86">
        <v>367.42140345729314</v>
      </c>
      <c r="C1016" s="86">
        <v>365.39102764838515</v>
      </c>
      <c r="D1016" s="86">
        <v>365.59214978039967</v>
      </c>
      <c r="E1016" s="86">
        <v>3204780.9136869349</v>
      </c>
      <c r="F1016" s="86" t="s">
        <v>1064</v>
      </c>
      <c r="G1016" s="25">
        <f t="shared" si="29"/>
        <v>1.5717915804369653E-4</v>
      </c>
      <c r="I1016" s="86">
        <v>430.25013938802152</v>
      </c>
      <c r="J1016" s="86">
        <v>431.7624260548094</v>
      </c>
      <c r="K1016" s="86">
        <v>425.77743700382467</v>
      </c>
      <c r="L1016" s="86">
        <v>426.22654031699199</v>
      </c>
      <c r="M1016" s="86">
        <v>1663350.6102006957</v>
      </c>
      <c r="N1016" s="86" t="s">
        <v>1064</v>
      </c>
      <c r="O1016" s="25">
        <f t="shared" si="30"/>
        <v>9.4400481678993398E-3</v>
      </c>
    </row>
    <row r="1017" spans="1:15">
      <c r="A1017" s="86">
        <v>365.89862160061222</v>
      </c>
      <c r="B1017" s="86">
        <v>365.96566231128367</v>
      </c>
      <c r="C1017" s="86">
        <v>362.01983762604738</v>
      </c>
      <c r="D1017" s="86">
        <v>362.05814660357396</v>
      </c>
      <c r="E1017" s="86">
        <v>3536410.7513976903</v>
      </c>
      <c r="F1017" s="86" t="s">
        <v>1065</v>
      </c>
      <c r="G1017" s="25">
        <f t="shared" si="29"/>
        <v>1.0607343138292258E-2</v>
      </c>
      <c r="I1017" s="86">
        <v>425.68578326644354</v>
      </c>
      <c r="J1017" s="86">
        <v>427.25306217566009</v>
      </c>
      <c r="K1017" s="86">
        <v>423.80229896326227</v>
      </c>
      <c r="L1017" s="86">
        <v>426.02490209475354</v>
      </c>
      <c r="M1017" s="86">
        <v>1135000.0880757312</v>
      </c>
      <c r="N1017" s="86" t="s">
        <v>1065</v>
      </c>
      <c r="O1017" s="25">
        <f t="shared" si="30"/>
        <v>-7.9600705649496284E-4</v>
      </c>
    </row>
    <row r="1018" spans="1:15">
      <c r="A1018" s="86">
        <v>362.79559442096036</v>
      </c>
      <c r="B1018" s="86">
        <v>363.10206624117285</v>
      </c>
      <c r="C1018" s="86">
        <v>357.87289080879663</v>
      </c>
      <c r="D1018" s="86">
        <v>358.08359018519275</v>
      </c>
      <c r="E1018" s="86">
        <v>4492291.1315150196</v>
      </c>
      <c r="F1018" s="86" t="s">
        <v>1066</v>
      </c>
      <c r="G1018" s="25">
        <f t="shared" si="29"/>
        <v>1.3158950493460608E-2</v>
      </c>
      <c r="I1018" s="86">
        <v>426.18987882203953</v>
      </c>
      <c r="J1018" s="86">
        <v>427.40887352920794</v>
      </c>
      <c r="K1018" s="86">
        <v>422.66120993286779</v>
      </c>
      <c r="L1018" s="86">
        <v>423.30278609453541</v>
      </c>
      <c r="M1018" s="86">
        <v>1627322.6194787209</v>
      </c>
      <c r="N1018" s="86" t="s">
        <v>1066</v>
      </c>
      <c r="O1018" s="25">
        <f t="shared" si="30"/>
        <v>6.8203962325430467E-3</v>
      </c>
    </row>
    <row r="1019" spans="1:15">
      <c r="A1019" s="86">
        <v>355.7371653116906</v>
      </c>
      <c r="B1019" s="86">
        <v>358.84019249134241</v>
      </c>
      <c r="C1019" s="86">
        <v>355.2966120701351</v>
      </c>
      <c r="D1019" s="86">
        <v>357.86331356441502</v>
      </c>
      <c r="E1019" s="86">
        <v>3933173.1027149409</v>
      </c>
      <c r="F1019" s="86" t="s">
        <v>1067</v>
      </c>
      <c r="G1019" s="25">
        <f t="shared" si="29"/>
        <v>-5.9412299951828729E-3</v>
      </c>
      <c r="I1019" s="86">
        <v>423.09198249855888</v>
      </c>
      <c r="J1019" s="86">
        <v>434.39288831764651</v>
      </c>
      <c r="K1019" s="86">
        <v>421.240577003461</v>
      </c>
      <c r="L1019" s="86">
        <v>434.39288831764651</v>
      </c>
      <c r="M1019" s="86">
        <v>1714994.9853811553</v>
      </c>
      <c r="N1019" s="86" t="s">
        <v>1067</v>
      </c>
      <c r="O1019" s="25">
        <f t="shared" si="30"/>
        <v>-2.601540246861489E-2</v>
      </c>
    </row>
    <row r="1020" spans="1:15">
      <c r="A1020" s="86">
        <v>357.32698787904309</v>
      </c>
      <c r="B1020" s="86">
        <v>361.73252029459815</v>
      </c>
      <c r="C1020" s="86">
        <v>357.25036992398992</v>
      </c>
      <c r="D1020" s="86">
        <v>361.23450358675279</v>
      </c>
      <c r="E1020" s="86">
        <v>3962964.5530142491</v>
      </c>
      <c r="F1020" s="86" t="s">
        <v>1068</v>
      </c>
      <c r="G1020" s="25">
        <f t="shared" si="29"/>
        <v>-1.0817116496102619E-2</v>
      </c>
      <c r="I1020" s="86">
        <v>435.88684423695815</v>
      </c>
      <c r="J1020" s="86">
        <v>440.78115381310806</v>
      </c>
      <c r="K1020" s="86">
        <v>435.86851348948198</v>
      </c>
      <c r="L1020" s="86">
        <v>440.57951559086968</v>
      </c>
      <c r="M1020" s="86">
        <v>915669.1521596479</v>
      </c>
      <c r="N1020" s="86" t="s">
        <v>1068</v>
      </c>
      <c r="O1020" s="25">
        <f t="shared" si="30"/>
        <v>-1.0651133763261988E-2</v>
      </c>
    </row>
    <row r="1021" spans="1:15">
      <c r="A1021" s="86">
        <v>363.06375726364627</v>
      </c>
      <c r="B1021" s="86">
        <v>363.42769255014872</v>
      </c>
      <c r="C1021" s="86">
        <v>361.28238980866104</v>
      </c>
      <c r="D1021" s="86">
        <v>362.4795453563662</v>
      </c>
      <c r="E1021" s="86">
        <v>2412356.7363789249</v>
      </c>
      <c r="F1021" s="86" t="s">
        <v>1069</v>
      </c>
      <c r="G1021" s="25">
        <f t="shared" si="29"/>
        <v>1.6117099978860683E-3</v>
      </c>
      <c r="I1021" s="86">
        <v>440.78115381310806</v>
      </c>
      <c r="J1021" s="86">
        <v>443.17331635875433</v>
      </c>
      <c r="K1021" s="86">
        <v>438.76477159072425</v>
      </c>
      <c r="L1021" s="86">
        <v>442.12846375260995</v>
      </c>
      <c r="M1021" s="86">
        <v>1042272.8273786234</v>
      </c>
      <c r="N1021" s="86" t="s">
        <v>1069</v>
      </c>
      <c r="O1021" s="25">
        <f t="shared" si="30"/>
        <v>-3.0473268517173802E-3</v>
      </c>
    </row>
    <row r="1022" spans="1:15">
      <c r="A1022" s="86">
        <v>362.58489504456423</v>
      </c>
      <c r="B1022" s="86">
        <v>363.07333450802798</v>
      </c>
      <c r="C1022" s="86">
        <v>360.88972278901372</v>
      </c>
      <c r="D1022" s="86">
        <v>362.671090243999</v>
      </c>
      <c r="E1022" s="86">
        <v>2884238.8164335033</v>
      </c>
      <c r="F1022" s="86" t="s">
        <v>1070</v>
      </c>
      <c r="G1022" s="25">
        <f t="shared" si="29"/>
        <v>-2.3766768775745906E-4</v>
      </c>
      <c r="I1022" s="86">
        <v>442.27510973241971</v>
      </c>
      <c r="J1022" s="86">
        <v>450.27959723285926</v>
      </c>
      <c r="K1022" s="86">
        <v>440.49702722722668</v>
      </c>
      <c r="L1022" s="86">
        <v>450.2398195108359</v>
      </c>
      <c r="M1022" s="86">
        <v>1508628.0598148042</v>
      </c>
      <c r="N1022" s="86" t="s">
        <v>1070</v>
      </c>
      <c r="O1022" s="25">
        <f t="shared" si="30"/>
        <v>-1.7689927530331384E-2</v>
      </c>
    </row>
    <row r="1023" spans="1:15">
      <c r="A1023" s="86">
        <v>362.37419566816811</v>
      </c>
      <c r="B1023" s="86">
        <v>364.00232721304718</v>
      </c>
      <c r="C1023" s="86">
        <v>361.00464972159341</v>
      </c>
      <c r="D1023" s="86">
        <v>361.80913824965126</v>
      </c>
      <c r="E1023" s="86">
        <v>3083531.005704429</v>
      </c>
      <c r="F1023" s="86" t="s">
        <v>1071</v>
      </c>
      <c r="G1023" s="25">
        <f t="shared" si="29"/>
        <v>1.5617555190852173E-3</v>
      </c>
      <c r="I1023" s="86">
        <v>449.65323559159697</v>
      </c>
      <c r="J1023" s="86">
        <v>454.4467260566276</v>
      </c>
      <c r="K1023" s="86">
        <v>448.24176803592826</v>
      </c>
      <c r="L1023" s="86">
        <v>454.4467260566276</v>
      </c>
      <c r="M1023" s="86">
        <v>916475.44770319713</v>
      </c>
      <c r="N1023" s="86" t="s">
        <v>1071</v>
      </c>
      <c r="O1023" s="25">
        <f t="shared" si="30"/>
        <v>-1.0547970070386881E-2</v>
      </c>
    </row>
    <row r="1024" spans="1:15">
      <c r="A1024" s="86">
        <v>364.43330321022103</v>
      </c>
      <c r="B1024" s="86">
        <v>365.20906000513401</v>
      </c>
      <c r="C1024" s="86">
        <v>362.6615129996174</v>
      </c>
      <c r="D1024" s="86">
        <v>362.71897646590725</v>
      </c>
      <c r="E1024" s="86">
        <v>2789227.1446269164</v>
      </c>
      <c r="F1024" s="86" t="s">
        <v>1072</v>
      </c>
      <c r="G1024" s="25">
        <f t="shared" si="29"/>
        <v>4.7263221820292856E-3</v>
      </c>
      <c r="I1024" s="86">
        <v>453.83264601617441</v>
      </c>
      <c r="J1024" s="86">
        <v>461.32075636020892</v>
      </c>
      <c r="K1024" s="86">
        <v>452.65947817769649</v>
      </c>
      <c r="L1024" s="86">
        <v>460.10176165304051</v>
      </c>
      <c r="M1024" s="86">
        <v>1049850.2597872154</v>
      </c>
      <c r="N1024" s="86" t="s">
        <v>1072</v>
      </c>
      <c r="O1024" s="25">
        <f t="shared" si="30"/>
        <v>-1.3625498007968084E-2</v>
      </c>
    </row>
    <row r="1025" spans="1:15">
      <c r="A1025" s="86">
        <v>364.45245769898435</v>
      </c>
      <c r="B1025" s="86">
        <v>365.76932880146006</v>
      </c>
      <c r="C1025" s="86">
        <v>363.20741592937094</v>
      </c>
      <c r="D1025" s="86">
        <v>365.6974994685977</v>
      </c>
      <c r="E1025" s="86">
        <v>3152543.5497788987</v>
      </c>
      <c r="F1025" s="86" t="s">
        <v>1073</v>
      </c>
      <c r="G1025" s="25">
        <f t="shared" si="29"/>
        <v>-3.4045673580556102E-3</v>
      </c>
      <c r="I1025" s="86">
        <v>459.56100460249212</v>
      </c>
      <c r="J1025" s="86">
        <v>465.69263963328666</v>
      </c>
      <c r="K1025" s="86">
        <v>456.43561215779715</v>
      </c>
      <c r="L1025" s="86">
        <v>457.35214953160801</v>
      </c>
      <c r="M1025" s="86">
        <v>2795072.0540161217</v>
      </c>
      <c r="N1025" s="86" t="s">
        <v>1073</v>
      </c>
      <c r="O1025" s="25">
        <f t="shared" si="30"/>
        <v>4.8296593186372139E-3</v>
      </c>
    </row>
    <row r="1026" spans="1:15">
      <c r="A1026" s="86">
        <v>364.20344934506164</v>
      </c>
      <c r="B1026" s="86">
        <v>364.24175832258823</v>
      </c>
      <c r="C1026" s="86">
        <v>361.71336580583488</v>
      </c>
      <c r="D1026" s="86">
        <v>362.82432615410528</v>
      </c>
      <c r="E1026" s="86">
        <v>2841113.6769318203</v>
      </c>
      <c r="F1026" s="86" t="s">
        <v>1074</v>
      </c>
      <c r="G1026" s="25">
        <f t="shared" si="29"/>
        <v>3.8010769718086479E-3</v>
      </c>
      <c r="I1026" s="86">
        <v>448.77335971273857</v>
      </c>
      <c r="J1026" s="86">
        <v>451.17193802000151</v>
      </c>
      <c r="K1026" s="86">
        <v>445.95958997513929</v>
      </c>
      <c r="L1026" s="86">
        <v>445.95958997513929</v>
      </c>
      <c r="M1026" s="86">
        <v>1405040.3581968723</v>
      </c>
      <c r="N1026" s="86" t="s">
        <v>1074</v>
      </c>
      <c r="O1026" s="25">
        <f t="shared" si="30"/>
        <v>6.3094724294552318E-3</v>
      </c>
    </row>
    <row r="1027" spans="1:15">
      <c r="A1027" s="86">
        <v>362.96798481982989</v>
      </c>
      <c r="B1027" s="86">
        <v>365.20906000513401</v>
      </c>
      <c r="C1027" s="86">
        <v>360.79395034519729</v>
      </c>
      <c r="D1027" s="86">
        <v>363.23614766251586</v>
      </c>
      <c r="E1027" s="86">
        <v>3113268.1606365857</v>
      </c>
      <c r="F1027" s="86" t="s">
        <v>1075</v>
      </c>
      <c r="G1027" s="25">
        <f t="shared" si="29"/>
        <v>-7.3826034223645198E-4</v>
      </c>
      <c r="I1027" s="86">
        <v>447.2610730459507</v>
      </c>
      <c r="J1027" s="86">
        <v>450.47811922802669</v>
      </c>
      <c r="K1027" s="86">
        <v>444.6214454093755</v>
      </c>
      <c r="L1027" s="86">
        <v>449.04832092488181</v>
      </c>
      <c r="M1027" s="86">
        <v>920002.85432335234</v>
      </c>
      <c r="N1027" s="86" t="s">
        <v>1075</v>
      </c>
      <c r="O1027" s="25">
        <f t="shared" si="30"/>
        <v>-3.9800791933706225E-3</v>
      </c>
    </row>
    <row r="1028" spans="1:15">
      <c r="A1028" s="86">
        <v>363.71500988159789</v>
      </c>
      <c r="B1028" s="86">
        <v>364.09809965686361</v>
      </c>
      <c r="C1028" s="86">
        <v>359.57266014165037</v>
      </c>
      <c r="D1028" s="86">
        <v>360.01819355028437</v>
      </c>
      <c r="E1028" s="86">
        <v>2799208.0949076917</v>
      </c>
      <c r="F1028" s="86" t="s">
        <v>1076</v>
      </c>
      <c r="G1028" s="25">
        <f t="shared" si="29"/>
        <v>1.0268415312175483E-2</v>
      </c>
      <c r="I1028" s="86">
        <v>451.06470314726562</v>
      </c>
      <c r="J1028" s="86">
        <v>452.32035934938648</v>
      </c>
      <c r="K1028" s="86">
        <v>445.41791638721708</v>
      </c>
      <c r="L1028" s="86">
        <v>446.18872431859199</v>
      </c>
      <c r="M1028" s="86">
        <v>992367.60659115098</v>
      </c>
      <c r="N1028" s="86" t="s">
        <v>1076</v>
      </c>
      <c r="O1028" s="25">
        <f t="shared" si="30"/>
        <v>1.0928063760732742E-2</v>
      </c>
    </row>
    <row r="1029" spans="1:15">
      <c r="A1029" s="86">
        <v>359.06046911212019</v>
      </c>
      <c r="B1029" s="86">
        <v>362.61362677770916</v>
      </c>
      <c r="C1029" s="86">
        <v>358.49541169360333</v>
      </c>
      <c r="D1029" s="86">
        <v>362.40292740131304</v>
      </c>
      <c r="E1029" s="86">
        <v>3784150.0702928132</v>
      </c>
      <c r="F1029" s="86" t="s">
        <v>1077</v>
      </c>
      <c r="G1029" s="25">
        <f t="shared" si="29"/>
        <v>-9.2230443974629095E-3</v>
      </c>
      <c r="I1029" s="86">
        <v>447.36189215706986</v>
      </c>
      <c r="J1029" s="86">
        <v>450.24898488457399</v>
      </c>
      <c r="K1029" s="86">
        <v>441.48688759094239</v>
      </c>
      <c r="L1029" s="86">
        <v>442.50424407587241</v>
      </c>
      <c r="M1029" s="86">
        <v>1206322.8751959119</v>
      </c>
      <c r="N1029" s="86" t="s">
        <v>1077</v>
      </c>
      <c r="O1029" s="25">
        <f t="shared" si="30"/>
        <v>1.0977630488815171E-2</v>
      </c>
    </row>
    <row r="1030" spans="1:15">
      <c r="A1030" s="86">
        <v>360.4970557693664</v>
      </c>
      <c r="B1030" s="86">
        <v>361.78998376088799</v>
      </c>
      <c r="C1030" s="86">
        <v>359.80749417388819</v>
      </c>
      <c r="D1030" s="86">
        <v>360.96634074406683</v>
      </c>
      <c r="E1030" s="86">
        <v>3204471.8477508421</v>
      </c>
      <c r="F1030" s="86" t="s">
        <v>1078</v>
      </c>
      <c r="G1030" s="25">
        <f t="shared" si="29"/>
        <v>-1.3000795967099688E-3</v>
      </c>
      <c r="I1030" s="86">
        <v>447.12359243987902</v>
      </c>
      <c r="J1030" s="86">
        <v>455.2899404405336</v>
      </c>
      <c r="K1030" s="86">
        <v>446.36286641961607</v>
      </c>
      <c r="L1030" s="86">
        <v>454.95082161222359</v>
      </c>
      <c r="M1030" s="86">
        <v>1335721.8537742556</v>
      </c>
      <c r="N1030" s="86" t="s">
        <v>1078</v>
      </c>
      <c r="O1030" s="25">
        <f t="shared" si="30"/>
        <v>-1.7204561021797904E-2</v>
      </c>
    </row>
    <row r="1031" spans="1:15">
      <c r="A1031" s="86">
        <v>360.44916954745821</v>
      </c>
      <c r="B1031" s="86">
        <v>360.47790128060308</v>
      </c>
      <c r="C1031" s="86">
        <v>357.19290645770008</v>
      </c>
      <c r="D1031" s="86">
        <v>357.75796387621693</v>
      </c>
      <c r="E1031" s="86">
        <v>2789024.5811417745</v>
      </c>
      <c r="F1031" s="86" t="s">
        <v>1079</v>
      </c>
      <c r="G1031" s="25">
        <f t="shared" si="29"/>
        <v>7.5224200240933126E-3</v>
      </c>
      <c r="I1031" s="86">
        <v>455.2899404405336</v>
      </c>
      <c r="J1031" s="86">
        <v>456.81597516792868</v>
      </c>
      <c r="K1031" s="86">
        <v>450.72558431895561</v>
      </c>
      <c r="L1031" s="86">
        <v>450.72558431895561</v>
      </c>
      <c r="M1031" s="86">
        <v>1117794.0248527657</v>
      </c>
      <c r="N1031" s="86" t="s">
        <v>1079</v>
      </c>
      <c r="O1031" s="25">
        <f t="shared" si="30"/>
        <v>1.0126685239034483E-2</v>
      </c>
    </row>
    <row r="1032" spans="1:15">
      <c r="A1032" s="86">
        <v>360.05650252781089</v>
      </c>
      <c r="B1032" s="86">
        <v>360.28156777077947</v>
      </c>
      <c r="C1032" s="86">
        <v>356.96305259254075</v>
      </c>
      <c r="D1032" s="86">
        <v>357.87289080879663</v>
      </c>
      <c r="E1032" s="86">
        <v>3212012.6389348325</v>
      </c>
      <c r="F1032" s="86" t="s">
        <v>1080</v>
      </c>
      <c r="G1032" s="25">
        <f t="shared" si="29"/>
        <v>6.1016404849199013E-3</v>
      </c>
      <c r="I1032" s="86">
        <v>449.25912452085834</v>
      </c>
      <c r="J1032" s="86">
        <v>455.49616134964106</v>
      </c>
      <c r="K1032" s="86">
        <v>448.19594116723772</v>
      </c>
      <c r="L1032" s="86">
        <v>450.45062310681243</v>
      </c>
      <c r="M1032" s="86">
        <v>1193077.3705968757</v>
      </c>
      <c r="N1032" s="86" t="s">
        <v>1080</v>
      </c>
      <c r="O1032" s="25">
        <f t="shared" si="30"/>
        <v>-2.6451258469489813E-3</v>
      </c>
    </row>
    <row r="1033" spans="1:15">
      <c r="A1033" s="86">
        <v>358.68695658123613</v>
      </c>
      <c r="B1033" s="86">
        <v>359.54890857558394</v>
      </c>
      <c r="C1033" s="86">
        <v>357.12586574702857</v>
      </c>
      <c r="D1033" s="86">
        <v>358.86892422448733</v>
      </c>
      <c r="E1033" s="86">
        <v>3370212.6325472249</v>
      </c>
      <c r="F1033" s="86" t="s">
        <v>1081</v>
      </c>
      <c r="G1033" s="25">
        <f t="shared" si="29"/>
        <v>-5.0705879213264193E-4</v>
      </c>
      <c r="I1033" s="86">
        <v>449.09414779357235</v>
      </c>
      <c r="J1033" s="86">
        <v>452.60906862213687</v>
      </c>
      <c r="K1033" s="86">
        <v>446.38119716709224</v>
      </c>
      <c r="L1033" s="86">
        <v>447.27023841968878</v>
      </c>
      <c r="M1033" s="86">
        <v>1424866.0636391365</v>
      </c>
      <c r="N1033" s="86" t="s">
        <v>1081</v>
      </c>
      <c r="O1033" s="25">
        <f t="shared" si="30"/>
        <v>4.0778688524589768E-3</v>
      </c>
    </row>
    <row r="1034" spans="1:15">
      <c r="A1034" s="86">
        <v>359.55848581996554</v>
      </c>
      <c r="B1034" s="86">
        <v>362.40292740131304</v>
      </c>
      <c r="C1034" s="86">
        <v>358.31344405035213</v>
      </c>
      <c r="D1034" s="86">
        <v>362.20180526929857</v>
      </c>
      <c r="E1034" s="86">
        <v>2833046.6383431316</v>
      </c>
      <c r="F1034" s="86" t="s">
        <v>1082</v>
      </c>
      <c r="G1034" s="25">
        <f t="shared" si="29"/>
        <v>-7.2979190354054424E-3</v>
      </c>
      <c r="I1034" s="86">
        <v>447.76516860154663</v>
      </c>
      <c r="J1034" s="86">
        <v>449.68073171281128</v>
      </c>
      <c r="K1034" s="86">
        <v>444.29149195480358</v>
      </c>
      <c r="L1034" s="86">
        <v>445.06138334880461</v>
      </c>
      <c r="M1034" s="86">
        <v>1179788.2234785676</v>
      </c>
      <c r="N1034" s="86" t="s">
        <v>1082</v>
      </c>
      <c r="O1034" s="25">
        <f t="shared" si="30"/>
        <v>6.0750839185321759E-3</v>
      </c>
    </row>
    <row r="1035" spans="1:15">
      <c r="A1035" s="86">
        <v>361.59843887325519</v>
      </c>
      <c r="B1035" s="86">
        <v>361.93364242661266</v>
      </c>
      <c r="C1035" s="86">
        <v>359.35736368795108</v>
      </c>
      <c r="D1035" s="86">
        <v>359.72129897445348</v>
      </c>
      <c r="E1035" s="86">
        <v>3680908.4737960831</v>
      </c>
      <c r="F1035" s="86" t="s">
        <v>1083</v>
      </c>
      <c r="G1035" s="25">
        <f t="shared" si="29"/>
        <v>5.2183173588924436E-3</v>
      </c>
      <c r="I1035" s="86">
        <v>446.00541684382983</v>
      </c>
      <c r="J1035" s="86">
        <v>447.17895129725719</v>
      </c>
      <c r="K1035" s="86">
        <v>433.2930434690735</v>
      </c>
      <c r="L1035" s="86">
        <v>433.52217781252619</v>
      </c>
      <c r="M1035" s="86">
        <v>1807745.1584008809</v>
      </c>
      <c r="N1035" s="86" t="s">
        <v>1083</v>
      </c>
      <c r="O1035" s="25">
        <f t="shared" si="30"/>
        <v>2.8794926004228394E-2</v>
      </c>
    </row>
    <row r="1036" spans="1:15">
      <c r="A1036" s="86">
        <v>360.17142946039058</v>
      </c>
      <c r="B1036" s="86">
        <v>360.43001505869489</v>
      </c>
      <c r="C1036" s="86">
        <v>355.93828744370506</v>
      </c>
      <c r="D1036" s="86">
        <v>356.06279162066636</v>
      </c>
      <c r="E1036" s="86">
        <v>4343466.4860113291</v>
      </c>
      <c r="F1036" s="86" t="s">
        <v>1084</v>
      </c>
      <c r="G1036" s="25">
        <f t="shared" si="29"/>
        <v>1.153908225294531E-2</v>
      </c>
      <c r="I1036" s="86">
        <v>433.27471272159733</v>
      </c>
      <c r="J1036" s="86">
        <v>435.67604064098168</v>
      </c>
      <c r="K1036" s="86">
        <v>431.71659918611886</v>
      </c>
      <c r="L1036" s="86">
        <v>434.61285728736112</v>
      </c>
      <c r="M1036" s="86">
        <v>1538032.207174279</v>
      </c>
      <c r="N1036" s="86" t="s">
        <v>1084</v>
      </c>
      <c r="O1036" s="25">
        <f t="shared" si="30"/>
        <v>-3.078934604272443E-3</v>
      </c>
    </row>
    <row r="1037" spans="1:15">
      <c r="A1037" s="86">
        <v>355.21041687070027</v>
      </c>
      <c r="B1037" s="86">
        <v>355.77547428921719</v>
      </c>
      <c r="C1037" s="86">
        <v>353.49800557526277</v>
      </c>
      <c r="D1037" s="86">
        <v>355.53604317967614</v>
      </c>
      <c r="E1037" s="86">
        <v>3463148.5507019465</v>
      </c>
      <c r="F1037" s="86" t="s">
        <v>1085</v>
      </c>
      <c r="G1037" s="25">
        <f t="shared" si="29"/>
        <v>-9.1587425585237803E-4</v>
      </c>
      <c r="I1037" s="86">
        <v>433.68715453981218</v>
      </c>
      <c r="J1037" s="86">
        <v>436.0884824591966</v>
      </c>
      <c r="K1037" s="86">
        <v>432.35817534778647</v>
      </c>
      <c r="L1037" s="86">
        <v>434.9336453681949</v>
      </c>
      <c r="M1037" s="86">
        <v>1036937.5293976277</v>
      </c>
      <c r="N1037" s="86" t="s">
        <v>1085</v>
      </c>
      <c r="O1037" s="25">
        <f t="shared" si="30"/>
        <v>-2.8659333249040353E-3</v>
      </c>
    </row>
    <row r="1038" spans="1:15">
      <c r="A1038" s="86">
        <v>353.10342310673917</v>
      </c>
      <c r="B1038" s="86">
        <v>353.34285421628022</v>
      </c>
      <c r="C1038" s="86">
        <v>350.80488445514527</v>
      </c>
      <c r="D1038" s="86">
        <v>351.86795858150742</v>
      </c>
      <c r="E1038" s="86">
        <v>3796571.1796703739</v>
      </c>
      <c r="F1038" s="86" t="s">
        <v>1086</v>
      </c>
      <c r="G1038" s="25">
        <f t="shared" si="29"/>
        <v>3.5111594991834583E-3</v>
      </c>
      <c r="I1038" s="86">
        <v>434.61285728736112</v>
      </c>
      <c r="J1038" s="86">
        <v>434.71367639848029</v>
      </c>
      <c r="K1038" s="86">
        <v>431.39581110528508</v>
      </c>
      <c r="L1038" s="86">
        <v>431.92740278209533</v>
      </c>
      <c r="M1038" s="86">
        <v>1250892.7980023888</v>
      </c>
      <c r="N1038" s="86" t="s">
        <v>1086</v>
      </c>
      <c r="O1038" s="25">
        <f t="shared" si="30"/>
        <v>6.2173746976192934E-3</v>
      </c>
    </row>
    <row r="1039" spans="1:15">
      <c r="A1039" s="86">
        <v>348.15198776143052</v>
      </c>
      <c r="B1039" s="86">
        <v>348.80324037938215</v>
      </c>
      <c r="C1039" s="86">
        <v>346.39169024408488</v>
      </c>
      <c r="D1039" s="86">
        <v>348.17114225019384</v>
      </c>
      <c r="E1039" s="86">
        <v>2520195.6886750325</v>
      </c>
      <c r="F1039" s="86" t="s">
        <v>1087</v>
      </c>
      <c r="G1039" s="25">
        <f t="shared" si="29"/>
        <v>-5.5014578863477048E-5</v>
      </c>
      <c r="I1039" s="86">
        <v>432.09237950938132</v>
      </c>
      <c r="J1039" s="86">
        <v>435.91434035817252</v>
      </c>
      <c r="K1039" s="86">
        <v>431.83574904471431</v>
      </c>
      <c r="L1039" s="86">
        <v>434.43871518633705</v>
      </c>
      <c r="M1039" s="86">
        <v>1174121.2423511052</v>
      </c>
      <c r="N1039" s="86" t="s">
        <v>1087</v>
      </c>
      <c r="O1039" s="25">
        <f t="shared" si="30"/>
        <v>-5.4008438818564652E-3</v>
      </c>
    </row>
    <row r="1040" spans="1:15">
      <c r="A1040" s="86">
        <v>348.76493140185562</v>
      </c>
      <c r="B1040" s="86">
        <v>350.93896587648823</v>
      </c>
      <c r="C1040" s="86">
        <v>348.03706082885083</v>
      </c>
      <c r="D1040" s="86">
        <v>350.26377014758253</v>
      </c>
      <c r="E1040" s="86">
        <v>4327753.1979293758</v>
      </c>
      <c r="F1040" s="86" t="s">
        <v>1088</v>
      </c>
      <c r="G1040" s="25">
        <f t="shared" si="29"/>
        <v>-4.279171508647317E-3</v>
      </c>
      <c r="I1040" s="86">
        <v>433.87962738831243</v>
      </c>
      <c r="J1040" s="86">
        <v>437.70158823710364</v>
      </c>
      <c r="K1040" s="86">
        <v>432.98142076197786</v>
      </c>
      <c r="L1040" s="86">
        <v>437.28914641888878</v>
      </c>
      <c r="M1040" s="86">
        <v>1388949.3613413051</v>
      </c>
      <c r="N1040" s="86" t="s">
        <v>1088</v>
      </c>
      <c r="O1040" s="25">
        <f t="shared" si="30"/>
        <v>-7.7969441009411167E-3</v>
      </c>
    </row>
    <row r="1041" spans="1:15">
      <c r="A1041" s="86">
        <v>348.1902967389571</v>
      </c>
      <c r="B1041" s="86">
        <v>348.25733744962861</v>
      </c>
      <c r="C1041" s="86">
        <v>342.59718602007854</v>
      </c>
      <c r="D1041" s="86">
        <v>344.76164325032948</v>
      </c>
      <c r="E1041" s="86">
        <v>3906072.4055146556</v>
      </c>
      <c r="F1041" s="86" t="s">
        <v>1089</v>
      </c>
      <c r="G1041" s="25">
        <f t="shared" si="29"/>
        <v>9.9449969442746422E-3</v>
      </c>
      <c r="I1041" s="86">
        <v>434.9336453681949</v>
      </c>
      <c r="J1041" s="86">
        <v>435.96933260060115</v>
      </c>
      <c r="K1041" s="86">
        <v>428.15896771593469</v>
      </c>
      <c r="L1041" s="86">
        <v>428.8478372060909</v>
      </c>
      <c r="M1041" s="86">
        <v>1228602.3812842413</v>
      </c>
      <c r="N1041" s="86" t="s">
        <v>1089</v>
      </c>
      <c r="O1041" s="25">
        <f t="shared" si="30"/>
        <v>1.4191066467194036E-2</v>
      </c>
    </row>
    <row r="1042" spans="1:15">
      <c r="A1042" s="86">
        <v>345.88467090987933</v>
      </c>
      <c r="B1042" s="86">
        <v>351.26980451885015</v>
      </c>
      <c r="C1042" s="86">
        <v>343.48110436814954</v>
      </c>
      <c r="D1042" s="86">
        <v>347.6396560038408</v>
      </c>
      <c r="E1042" s="86">
        <v>5019093.9799477961</v>
      </c>
      <c r="F1042" s="86" t="s">
        <v>1090</v>
      </c>
      <c r="G1042" s="25">
        <f t="shared" si="29"/>
        <v>-5.0482879719052631E-3</v>
      </c>
      <c r="I1042" s="86">
        <v>428.8478372060909</v>
      </c>
      <c r="J1042" s="86">
        <v>431.643276196214</v>
      </c>
      <c r="K1042" s="86">
        <v>427.56468488275578</v>
      </c>
      <c r="L1042" s="86">
        <v>429.51690948897283</v>
      </c>
      <c r="M1042" s="86">
        <v>1274908.1852947599</v>
      </c>
      <c r="N1042" s="86" t="s">
        <v>1090</v>
      </c>
      <c r="O1042" s="25">
        <f t="shared" si="30"/>
        <v>-1.5577321127542287E-3</v>
      </c>
    </row>
    <row r="1043" spans="1:15">
      <c r="A1043" s="86">
        <v>345.06440613770167</v>
      </c>
      <c r="B1043" s="86">
        <v>354.06728891047459</v>
      </c>
      <c r="C1043" s="86">
        <v>344.94995058809553</v>
      </c>
      <c r="D1043" s="86">
        <v>350.78718361801072</v>
      </c>
      <c r="E1043" s="86">
        <v>4293202.0482252194</v>
      </c>
      <c r="F1043" s="86" t="s">
        <v>1091</v>
      </c>
      <c r="G1043" s="25">
        <f t="shared" si="29"/>
        <v>-1.631410082114304E-2</v>
      </c>
      <c r="I1043" s="86">
        <v>429.76437457990176</v>
      </c>
      <c r="J1043" s="86">
        <v>436.97743205805568</v>
      </c>
      <c r="K1043" s="86">
        <v>429.2327829030915</v>
      </c>
      <c r="L1043" s="86">
        <v>435.75852900462468</v>
      </c>
      <c r="M1043" s="86">
        <v>1376786.1912202132</v>
      </c>
      <c r="N1043" s="86" t="s">
        <v>1091</v>
      </c>
      <c r="O1043" s="25">
        <f t="shared" si="30"/>
        <v>-1.3755678950025385E-2</v>
      </c>
    </row>
    <row r="1044" spans="1:15">
      <c r="A1044" s="86">
        <v>350.88256324268258</v>
      </c>
      <c r="B1044" s="86">
        <v>351.38807525344322</v>
      </c>
      <c r="C1044" s="86">
        <v>348.02117450252803</v>
      </c>
      <c r="D1044" s="86">
        <v>349.49002072247407</v>
      </c>
      <c r="E1044" s="86">
        <v>4317094.991899943</v>
      </c>
      <c r="F1044" s="86" t="s">
        <v>1092</v>
      </c>
      <c r="G1044" s="25">
        <f t="shared" si="29"/>
        <v>3.9844986627366463E-3</v>
      </c>
      <c r="I1044" s="86">
        <v>435.13528359043329</v>
      </c>
      <c r="J1044" s="86">
        <v>439.25053639884396</v>
      </c>
      <c r="K1044" s="86">
        <v>431.96406427704778</v>
      </c>
      <c r="L1044" s="86">
        <v>438.90225219679581</v>
      </c>
      <c r="M1044" s="86">
        <v>1166410.7002587337</v>
      </c>
      <c r="N1044" s="86" t="s">
        <v>1092</v>
      </c>
      <c r="O1044" s="25">
        <f t="shared" si="30"/>
        <v>-8.5827051182992831E-3</v>
      </c>
    </row>
    <row r="1045" spans="1:15">
      <c r="A1045" s="86">
        <v>346.35203107077126</v>
      </c>
      <c r="B1045" s="86">
        <v>346.78123938179442</v>
      </c>
      <c r="C1045" s="86">
        <v>343.19496549413407</v>
      </c>
      <c r="D1045" s="86">
        <v>343.8149330545009</v>
      </c>
      <c r="E1045" s="86">
        <v>3249911.0901994384</v>
      </c>
      <c r="F1045" s="86" t="s">
        <v>1093</v>
      </c>
      <c r="G1045" s="25">
        <f t="shared" si="29"/>
        <v>7.3792548617084286E-3</v>
      </c>
      <c r="I1045" s="86">
        <v>435.99682872181546</v>
      </c>
      <c r="J1045" s="86">
        <v>437.88947839873487</v>
      </c>
      <c r="K1045" s="86">
        <v>426.38235167053978</v>
      </c>
      <c r="L1045" s="86">
        <v>429.14112916571042</v>
      </c>
      <c r="M1045" s="86">
        <v>1653478.6723413812</v>
      </c>
      <c r="N1045" s="86" t="s">
        <v>1093</v>
      </c>
      <c r="O1045" s="25">
        <f t="shared" si="30"/>
        <v>1.5975396181282298E-2</v>
      </c>
    </row>
    <row r="1046" spans="1:15">
      <c r="A1046" s="86">
        <v>343.25219326893716</v>
      </c>
      <c r="B1046" s="86">
        <v>346.98153659360526</v>
      </c>
      <c r="C1046" s="86">
        <v>341.85974612835332</v>
      </c>
      <c r="D1046" s="86">
        <v>345.99912645948552</v>
      </c>
      <c r="E1046" s="86">
        <v>5441316.2327461895</v>
      </c>
      <c r="F1046" s="86" t="s">
        <v>1094</v>
      </c>
      <c r="G1046" s="25">
        <f t="shared" si="29"/>
        <v>-7.9391333112802664E-3</v>
      </c>
      <c r="I1046" s="86">
        <v>426.98726633725494</v>
      </c>
      <c r="J1046" s="86">
        <v>435.28192957024305</v>
      </c>
      <c r="K1046" s="86">
        <v>424.62259991282298</v>
      </c>
      <c r="L1046" s="86">
        <v>434.54869967119436</v>
      </c>
      <c r="M1046" s="86">
        <v>7119377.9833212979</v>
      </c>
      <c r="N1046" s="86" t="s">
        <v>1094</v>
      </c>
      <c r="O1046" s="25">
        <f t="shared" si="30"/>
        <v>-1.7400658061250351E-2</v>
      </c>
    </row>
    <row r="1047" spans="1:15">
      <c r="A1047" s="86">
        <v>347.04830233087552</v>
      </c>
      <c r="B1047" s="86">
        <v>347.4298208295628</v>
      </c>
      <c r="C1047" s="86">
        <v>338.58812962248533</v>
      </c>
      <c r="D1047" s="86">
        <v>339.11271755818029</v>
      </c>
      <c r="E1047" s="86">
        <v>5294466.2105512647</v>
      </c>
      <c r="F1047" s="86" t="s">
        <v>1095</v>
      </c>
      <c r="G1047" s="25">
        <f t="shared" si="29"/>
        <v>2.3401023794791032E-2</v>
      </c>
      <c r="I1047" s="86">
        <v>433.74214678224081</v>
      </c>
      <c r="J1047" s="86">
        <v>438.15069155027095</v>
      </c>
      <c r="K1047" s="86">
        <v>428.7011912262812</v>
      </c>
      <c r="L1047" s="86">
        <v>431.63411082247586</v>
      </c>
      <c r="M1047" s="86">
        <v>1781869.5087245428</v>
      </c>
      <c r="N1047" s="86" t="s">
        <v>1095</v>
      </c>
      <c r="O1047" s="25">
        <f t="shared" si="30"/>
        <v>4.8838493226313062E-3</v>
      </c>
    </row>
    <row r="1048" spans="1:15">
      <c r="A1048" s="86">
        <v>341.21106930096028</v>
      </c>
      <c r="B1048" s="86">
        <v>341.34460077550079</v>
      </c>
      <c r="C1048" s="86">
        <v>336.27517372419373</v>
      </c>
      <c r="D1048" s="86">
        <v>338.08261761172463</v>
      </c>
      <c r="E1048" s="86">
        <v>6930613.3492819387</v>
      </c>
      <c r="F1048" s="86" t="s">
        <v>1096</v>
      </c>
      <c r="G1048" s="25">
        <f t="shared" si="29"/>
        <v>9.2535123850365775E-3</v>
      </c>
      <c r="I1048" s="86">
        <v>433.80630439840758</v>
      </c>
      <c r="J1048" s="86">
        <v>435.4744024187433</v>
      </c>
      <c r="K1048" s="86">
        <v>425.79640932746253</v>
      </c>
      <c r="L1048" s="86">
        <v>435.3552525601479</v>
      </c>
      <c r="M1048" s="86">
        <v>2480539.3265602114</v>
      </c>
      <c r="N1048" s="86" t="s">
        <v>1096</v>
      </c>
      <c r="O1048" s="25">
        <f t="shared" si="30"/>
        <v>-3.5578947368420932E-3</v>
      </c>
    </row>
    <row r="1049" spans="1:15">
      <c r="A1049" s="86">
        <v>343.32849696867459</v>
      </c>
      <c r="B1049" s="86">
        <v>344.80688115108779</v>
      </c>
      <c r="C1049" s="86">
        <v>339.19855922038494</v>
      </c>
      <c r="D1049" s="86">
        <v>342.29839702221898</v>
      </c>
      <c r="E1049" s="86">
        <v>5031274.7785617299</v>
      </c>
      <c r="F1049" s="86" t="s">
        <v>1097</v>
      </c>
      <c r="G1049" s="25">
        <f t="shared" si="29"/>
        <v>3.0093624609897063E-3</v>
      </c>
      <c r="I1049" s="86">
        <v>438.90225219679581</v>
      </c>
      <c r="J1049" s="86">
        <v>441.10194189394184</v>
      </c>
      <c r="K1049" s="86">
        <v>435.23610270155251</v>
      </c>
      <c r="L1049" s="86">
        <v>440.20373526760721</v>
      </c>
      <c r="M1049" s="86">
        <v>1921823.4305888072</v>
      </c>
      <c r="N1049" s="86" t="s">
        <v>1097</v>
      </c>
      <c r="O1049" s="25">
        <f t="shared" si="30"/>
        <v>-2.9565470861354637E-3</v>
      </c>
    </row>
    <row r="1050" spans="1:15">
      <c r="A1050" s="86">
        <v>337.72017503797173</v>
      </c>
      <c r="B1050" s="86">
        <v>342.0980998104082</v>
      </c>
      <c r="C1050" s="86">
        <v>333.59977525214924</v>
      </c>
      <c r="D1050" s="86">
        <v>334.55357149886737</v>
      </c>
      <c r="E1050" s="86">
        <v>6792533.544026725</v>
      </c>
      <c r="F1050" s="86" t="s">
        <v>1098</v>
      </c>
      <c r="G1050" s="25">
        <f t="shared" si="29"/>
        <v>9.4651613638956356E-3</v>
      </c>
      <c r="I1050" s="86">
        <v>437.49078464112711</v>
      </c>
      <c r="J1050" s="86">
        <v>438.93378108245491</v>
      </c>
      <c r="K1050" s="86">
        <v>431.50121290327331</v>
      </c>
      <c r="L1050" s="86">
        <v>432.48649058011995</v>
      </c>
      <c r="M1050" s="86">
        <v>1856118.5267619079</v>
      </c>
      <c r="N1050" s="86" t="s">
        <v>1098</v>
      </c>
      <c r="O1050" s="25">
        <f t="shared" si="30"/>
        <v>1.1570983533600421E-2</v>
      </c>
    </row>
    <row r="1051" spans="1:15">
      <c r="A1051" s="86">
        <v>338.29245278600268</v>
      </c>
      <c r="B1051" s="86">
        <v>344.54935616447392</v>
      </c>
      <c r="C1051" s="86">
        <v>336.82360656605664</v>
      </c>
      <c r="D1051" s="86">
        <v>342.72760533324214</v>
      </c>
      <c r="E1051" s="86">
        <v>8765396.203608986</v>
      </c>
      <c r="F1051" s="86" t="s">
        <v>1099</v>
      </c>
      <c r="G1051" s="25">
        <f t="shared" si="29"/>
        <v>-1.2940750841844317E-2</v>
      </c>
      <c r="I1051" s="86">
        <v>435.8135212470533</v>
      </c>
      <c r="J1051" s="86">
        <v>442.04597538896701</v>
      </c>
      <c r="K1051" s="86">
        <v>434.8236608833376</v>
      </c>
      <c r="L1051" s="86">
        <v>436.00599409555355</v>
      </c>
      <c r="M1051" s="86">
        <v>1456631.2712912238</v>
      </c>
      <c r="N1051" s="86" t="s">
        <v>1099</v>
      </c>
      <c r="O1051" s="25">
        <f t="shared" si="30"/>
        <v>-4.4144541842716656E-4</v>
      </c>
    </row>
    <row r="1052" spans="1:15">
      <c r="A1052" s="86">
        <v>343.21404141906839</v>
      </c>
      <c r="B1052" s="86">
        <v>351.83635948940076</v>
      </c>
      <c r="C1052" s="86">
        <v>342.26978313481749</v>
      </c>
      <c r="D1052" s="86">
        <v>350.37705123192194</v>
      </c>
      <c r="E1052" s="86">
        <v>4623240.0422759689</v>
      </c>
      <c r="F1052" s="86" t="s">
        <v>1100</v>
      </c>
      <c r="G1052" s="25">
        <f t="shared" si="29"/>
        <v>-2.0443718524567944E-2</v>
      </c>
      <c r="I1052" s="86">
        <v>436.13430932788714</v>
      </c>
      <c r="J1052" s="86">
        <v>442.92585126782541</v>
      </c>
      <c r="K1052" s="86">
        <v>434.99780298436167</v>
      </c>
      <c r="L1052" s="86">
        <v>442.68755155063457</v>
      </c>
      <c r="M1052" s="86">
        <v>1129328.7426963414</v>
      </c>
      <c r="N1052" s="86" t="s">
        <v>1100</v>
      </c>
      <c r="O1052" s="25">
        <f t="shared" si="30"/>
        <v>-1.480331262939949E-2</v>
      </c>
    </row>
    <row r="1053" spans="1:15">
      <c r="A1053" s="86">
        <v>349.61401423454743</v>
      </c>
      <c r="B1053" s="86">
        <v>350.32812148446533</v>
      </c>
      <c r="C1053" s="86">
        <v>347.60150415397203</v>
      </c>
      <c r="D1053" s="86">
        <v>349.19434388599143</v>
      </c>
      <c r="E1053" s="86">
        <v>3047042.8144374215</v>
      </c>
      <c r="F1053" s="86" t="s">
        <v>1101</v>
      </c>
      <c r="G1053" s="25">
        <f t="shared" si="29"/>
        <v>1.201824588238587E-3</v>
      </c>
      <c r="I1053" s="86">
        <v>439.47967074229666</v>
      </c>
      <c r="J1053" s="86">
        <v>446.94055992632906</v>
      </c>
      <c r="K1053" s="86">
        <v>436.9225314693644</v>
      </c>
      <c r="L1053" s="86">
        <v>440.89113829796537</v>
      </c>
      <c r="M1053" s="86">
        <v>1367252.4828852562</v>
      </c>
      <c r="N1053" s="86" t="s">
        <v>1101</v>
      </c>
      <c r="O1053" s="25">
        <f t="shared" si="30"/>
        <v>-3.201396973224746E-3</v>
      </c>
    </row>
    <row r="1054" spans="1:15">
      <c r="A1054" s="86">
        <v>349.07035037391807</v>
      </c>
      <c r="B1054" s="86">
        <v>354.70728619202248</v>
      </c>
      <c r="C1054" s="86">
        <v>348.50284160712073</v>
      </c>
      <c r="D1054" s="86">
        <v>354.45929916787571</v>
      </c>
      <c r="E1054" s="86">
        <v>3717922.996868114</v>
      </c>
      <c r="F1054" s="86" t="s">
        <v>1102</v>
      </c>
      <c r="G1054" s="25">
        <f t="shared" ref="G1054:G1117" si="31">A1054/D1054-1</f>
        <v>-1.520329359847139E-2</v>
      </c>
      <c r="I1054" s="86">
        <v>438.70977934829557</v>
      </c>
      <c r="J1054" s="86">
        <v>444.60311466189921</v>
      </c>
      <c r="K1054" s="86">
        <v>438.10486468158041</v>
      </c>
      <c r="L1054" s="86">
        <v>441.31274548991831</v>
      </c>
      <c r="M1054" s="86">
        <v>1241515.1116738289</v>
      </c>
      <c r="N1054" s="86" t="s">
        <v>1102</v>
      </c>
      <c r="O1054" s="25">
        <f t="shared" ref="O1054:O1117" si="32">I1054/L1054-1</f>
        <v>-5.8982346832813226E-3</v>
      </c>
    </row>
    <row r="1055" spans="1:15">
      <c r="A1055" s="86">
        <v>354.55467879254758</v>
      </c>
      <c r="B1055" s="86">
        <v>357.13946662115382</v>
      </c>
      <c r="C1055" s="86">
        <v>354.14454640645874</v>
      </c>
      <c r="D1055" s="86">
        <v>355.06019080330816</v>
      </c>
      <c r="E1055" s="86">
        <v>2766130.6165524912</v>
      </c>
      <c r="F1055" s="86" t="s">
        <v>1103</v>
      </c>
      <c r="G1055" s="25">
        <f t="shared" si="31"/>
        <v>-1.4237360984257208E-3</v>
      </c>
      <c r="I1055" s="86">
        <v>440.09375078274991</v>
      </c>
      <c r="J1055" s="86">
        <v>441.58770670206161</v>
      </c>
      <c r="K1055" s="86">
        <v>437.02335058048362</v>
      </c>
      <c r="L1055" s="86">
        <v>437.02335058048362</v>
      </c>
      <c r="M1055" s="86">
        <v>988223.74938627949</v>
      </c>
      <c r="N1055" s="86" t="s">
        <v>1103</v>
      </c>
      <c r="O1055" s="25">
        <f t="shared" si="32"/>
        <v>7.0257120087244829E-3</v>
      </c>
    </row>
    <row r="1056" spans="1:15">
      <c r="A1056" s="86">
        <v>354.12547048152436</v>
      </c>
      <c r="B1056" s="86">
        <v>354.49745101774448</v>
      </c>
      <c r="C1056" s="86">
        <v>349.75708367155511</v>
      </c>
      <c r="D1056" s="86">
        <v>350.3198234571189</v>
      </c>
      <c r="E1056" s="86">
        <v>5151623.3335020151</v>
      </c>
      <c r="F1056" s="86" t="s">
        <v>1104</v>
      </c>
      <c r="G1056" s="25">
        <f t="shared" si="31"/>
        <v>1.0863350485991852E-2</v>
      </c>
      <c r="I1056" s="86">
        <v>438.00404557046119</v>
      </c>
      <c r="J1056" s="86">
        <v>439.51275774149121</v>
      </c>
      <c r="K1056" s="86">
        <v>436.62007413600685</v>
      </c>
      <c r="L1056" s="86">
        <v>438.92974831801013</v>
      </c>
      <c r="M1056" s="86">
        <v>1157115.9347167907</v>
      </c>
      <c r="N1056" s="86" t="s">
        <v>1104</v>
      </c>
      <c r="O1056" s="25">
        <f t="shared" si="32"/>
        <v>-2.1089997911881708E-3</v>
      </c>
    </row>
    <row r="1057" spans="1:15">
      <c r="A1057" s="86">
        <v>348.60299021302615</v>
      </c>
      <c r="B1057" s="86">
        <v>349.43279294767098</v>
      </c>
      <c r="C1057" s="86">
        <v>343.87216082930394</v>
      </c>
      <c r="D1057" s="86">
        <v>344.13922377838509</v>
      </c>
      <c r="E1057" s="86">
        <v>2863099.9643751904</v>
      </c>
      <c r="F1057" s="86" t="s">
        <v>1105</v>
      </c>
      <c r="G1057" s="25">
        <f t="shared" si="31"/>
        <v>1.2970815664754332E-2</v>
      </c>
      <c r="I1057" s="86">
        <v>438.38899126746179</v>
      </c>
      <c r="J1057" s="86">
        <v>439.17721340893911</v>
      </c>
      <c r="K1057" s="86">
        <v>433.49468169131194</v>
      </c>
      <c r="L1057" s="86">
        <v>433.50384706505002</v>
      </c>
      <c r="M1057" s="86">
        <v>911921.35081716941</v>
      </c>
      <c r="N1057" s="86" t="s">
        <v>1105</v>
      </c>
      <c r="O1057" s="25">
        <f t="shared" si="32"/>
        <v>1.1268975432364936E-2</v>
      </c>
    </row>
    <row r="1058" spans="1:15">
      <c r="A1058" s="86">
        <v>346.01820238441985</v>
      </c>
      <c r="B1058" s="86">
        <v>347.66826989124229</v>
      </c>
      <c r="C1058" s="86">
        <v>344.7496533762847</v>
      </c>
      <c r="D1058" s="86">
        <v>346.55232828258204</v>
      </c>
      <c r="E1058" s="86">
        <v>3947094.5843555895</v>
      </c>
      <c r="F1058" s="86" t="s">
        <v>1106</v>
      </c>
      <c r="G1058" s="25">
        <f t="shared" si="31"/>
        <v>-1.5412561237408973E-3</v>
      </c>
      <c r="I1058" s="86">
        <v>434.7411725196946</v>
      </c>
      <c r="J1058" s="86">
        <v>437.38538284313887</v>
      </c>
      <c r="K1058" s="86">
        <v>431.9548989033097</v>
      </c>
      <c r="L1058" s="86">
        <v>433.76964290345512</v>
      </c>
      <c r="M1058" s="86">
        <v>1044935.0210542122</v>
      </c>
      <c r="N1058" s="86" t="s">
        <v>1106</v>
      </c>
      <c r="O1058" s="25">
        <f t="shared" si="32"/>
        <v>2.2397363027446549E-3</v>
      </c>
    </row>
    <row r="1059" spans="1:15">
      <c r="A1059" s="86">
        <v>347.28675139255506</v>
      </c>
      <c r="B1059" s="86">
        <v>349.90969107103007</v>
      </c>
      <c r="C1059" s="86">
        <v>347.22952361775197</v>
      </c>
      <c r="D1059" s="86">
        <v>348.14516801460138</v>
      </c>
      <c r="E1059" s="86">
        <v>3168601.2713918635</v>
      </c>
      <c r="F1059" s="86" t="s">
        <v>1107</v>
      </c>
      <c r="G1059" s="25">
        <f t="shared" si="31"/>
        <v>-2.4656858716198826E-3</v>
      </c>
      <c r="I1059" s="86">
        <v>434.67701490352783</v>
      </c>
      <c r="J1059" s="86">
        <v>438.59062948970012</v>
      </c>
      <c r="K1059" s="86">
        <v>432.44066371142941</v>
      </c>
      <c r="L1059" s="86">
        <v>437.22498880272201</v>
      </c>
      <c r="M1059" s="86">
        <v>1260866.2047190105</v>
      </c>
      <c r="N1059" s="86" t="s">
        <v>1107</v>
      </c>
      <c r="O1059" s="25">
        <f t="shared" si="32"/>
        <v>-5.8276035552575767E-3</v>
      </c>
    </row>
    <row r="1060" spans="1:15">
      <c r="A1060" s="86">
        <v>348.60299021302615</v>
      </c>
      <c r="B1060" s="86">
        <v>351.73144190226174</v>
      </c>
      <c r="C1060" s="86">
        <v>347.74800725746792</v>
      </c>
      <c r="D1060" s="86">
        <v>350.51058270646251</v>
      </c>
      <c r="E1060" s="86">
        <v>3460013.6154395193</v>
      </c>
      <c r="F1060" s="86" t="s">
        <v>1108</v>
      </c>
      <c r="G1060" s="25">
        <f t="shared" si="31"/>
        <v>-5.4423249612234326E-3</v>
      </c>
      <c r="I1060" s="86">
        <v>436.72089324192655</v>
      </c>
      <c r="J1060" s="86">
        <v>440.91969471400165</v>
      </c>
      <c r="K1060" s="86">
        <v>434.62604652050078</v>
      </c>
      <c r="L1060" s="86">
        <v>437.66812828117986</v>
      </c>
      <c r="M1060" s="86">
        <v>1261774.607643384</v>
      </c>
      <c r="N1060" s="86" t="s">
        <v>1108</v>
      </c>
      <c r="O1060" s="25">
        <f t="shared" si="32"/>
        <v>-2.1642769442072884E-3</v>
      </c>
    </row>
    <row r="1061" spans="1:15">
      <c r="A1061" s="86">
        <v>347.40120694216125</v>
      </c>
      <c r="B1061" s="86">
        <v>348.16424393953577</v>
      </c>
      <c r="C1061" s="86">
        <v>345.01671632536579</v>
      </c>
      <c r="D1061" s="86">
        <v>346.52371439518049</v>
      </c>
      <c r="E1061" s="86">
        <v>4251439.4598977258</v>
      </c>
      <c r="F1061" s="86" t="s">
        <v>1109</v>
      </c>
      <c r="G1061" s="25">
        <f t="shared" si="31"/>
        <v>2.5322727147616408E-3</v>
      </c>
      <c r="I1061" s="86">
        <v>437.54972390127324</v>
      </c>
      <c r="J1061" s="86">
        <v>438.82484799257588</v>
      </c>
      <c r="K1061" s="86">
        <v>434.72623484196026</v>
      </c>
      <c r="L1061" s="86">
        <v>436.69356915425573</v>
      </c>
      <c r="M1061" s="86">
        <v>1108386.8696702172</v>
      </c>
      <c r="N1061" s="86" t="s">
        <v>1109</v>
      </c>
      <c r="O1061" s="25">
        <f t="shared" si="32"/>
        <v>1.9605389396404327E-3</v>
      </c>
    </row>
    <row r="1062" spans="1:15">
      <c r="A1062" s="86">
        <v>351.15916415423084</v>
      </c>
      <c r="B1062" s="86">
        <v>352.49447889963631</v>
      </c>
      <c r="C1062" s="86">
        <v>347.30582731748939</v>
      </c>
      <c r="D1062" s="86">
        <v>352.01758077627721</v>
      </c>
      <c r="E1062" s="86">
        <v>3006085.4295300944</v>
      </c>
      <c r="F1062" s="86" t="s">
        <v>1110</v>
      </c>
      <c r="G1062" s="25">
        <f t="shared" si="31"/>
        <v>-2.4385617904463253E-3</v>
      </c>
      <c r="I1062" s="86">
        <v>436.34746404375932</v>
      </c>
      <c r="J1062" s="86">
        <v>439.99978376241899</v>
      </c>
      <c r="K1062" s="86">
        <v>433.11411366938478</v>
      </c>
      <c r="L1062" s="86">
        <v>437.18540273232964</v>
      </c>
      <c r="M1062" s="86">
        <v>1007259.6139940509</v>
      </c>
      <c r="N1062" s="86" t="s">
        <v>1110</v>
      </c>
      <c r="O1062" s="25">
        <f t="shared" si="32"/>
        <v>-1.9166666666666776E-3</v>
      </c>
    </row>
    <row r="1063" spans="1:15">
      <c r="A1063" s="86">
        <v>349.40417906026937</v>
      </c>
      <c r="B1063" s="86">
        <v>351.56929654031967</v>
      </c>
      <c r="C1063" s="86">
        <v>347.98302265265932</v>
      </c>
      <c r="D1063" s="86">
        <v>350.21490586997987</v>
      </c>
      <c r="E1063" s="86">
        <v>4059571.4371101786</v>
      </c>
      <c r="F1063" s="86" t="s">
        <v>1111</v>
      </c>
      <c r="G1063" s="25">
        <f t="shared" si="31"/>
        <v>-2.314940900920659E-3</v>
      </c>
      <c r="I1063" s="86">
        <v>436.75732535882088</v>
      </c>
      <c r="J1063" s="86">
        <v>438.7064436126692</v>
      </c>
      <c r="K1063" s="86">
        <v>434.88107133876133</v>
      </c>
      <c r="L1063" s="86">
        <v>436.10154725472239</v>
      </c>
      <c r="M1063" s="86">
        <v>988740.78891571914</v>
      </c>
      <c r="N1063" s="86" t="s">
        <v>1111</v>
      </c>
      <c r="O1063" s="25">
        <f t="shared" si="32"/>
        <v>1.503727992314241E-3</v>
      </c>
    </row>
    <row r="1064" spans="1:15">
      <c r="A1064" s="86">
        <v>349.84292533375981</v>
      </c>
      <c r="B1064" s="86">
        <v>354.17792927509385</v>
      </c>
      <c r="C1064" s="86">
        <v>349.54724849727717</v>
      </c>
      <c r="D1064" s="86">
        <v>353.28612978441237</v>
      </c>
      <c r="E1064" s="86">
        <v>3259790.5587257855</v>
      </c>
      <c r="F1064" s="86" t="s">
        <v>1112</v>
      </c>
      <c r="G1064" s="25">
        <f t="shared" si="31"/>
        <v>-9.7462203023755967E-3</v>
      </c>
      <c r="I1064" s="86">
        <v>436.4476523652188</v>
      </c>
      <c r="J1064" s="86">
        <v>439.37132974599126</v>
      </c>
      <c r="K1064" s="86">
        <v>432.81354870500633</v>
      </c>
      <c r="L1064" s="86">
        <v>437.64991222273272</v>
      </c>
      <c r="M1064" s="86">
        <v>1514515.3426025775</v>
      </c>
      <c r="N1064" s="86" t="s">
        <v>1112</v>
      </c>
      <c r="O1064" s="25">
        <f t="shared" si="32"/>
        <v>-2.7470812261971567E-3</v>
      </c>
    </row>
    <row r="1065" spans="1:15">
      <c r="A1065" s="86">
        <v>356.92963144687582</v>
      </c>
      <c r="B1065" s="86">
        <v>357.14900458362098</v>
      </c>
      <c r="C1065" s="86">
        <v>354.16362233139307</v>
      </c>
      <c r="D1065" s="86">
        <v>355.93672955404219</v>
      </c>
      <c r="E1065" s="86">
        <v>3444474.6572490297</v>
      </c>
      <c r="F1065" s="86" t="s">
        <v>1113</v>
      </c>
      <c r="G1065" s="25">
        <f t="shared" si="31"/>
        <v>2.7895460355487067E-3</v>
      </c>
      <c r="I1065" s="86">
        <v>433.20519396162069</v>
      </c>
      <c r="J1065" s="86">
        <v>433.23251804929151</v>
      </c>
      <c r="K1065" s="86">
        <v>428.84244796352095</v>
      </c>
      <c r="L1065" s="86">
        <v>429.70771073976209</v>
      </c>
      <c r="M1065" s="86">
        <v>1300175.8897883848</v>
      </c>
      <c r="N1065" s="86" t="s">
        <v>1113</v>
      </c>
      <c r="O1065" s="25">
        <f t="shared" si="32"/>
        <v>8.1392144810190636E-3</v>
      </c>
    </row>
    <row r="1066" spans="1:15">
      <c r="A1066" s="86">
        <v>357.85481380619245</v>
      </c>
      <c r="B1066" s="86">
        <v>361.89890989227752</v>
      </c>
      <c r="C1066" s="86">
        <v>357.75943418152059</v>
      </c>
      <c r="D1066" s="86">
        <v>358.30309804215</v>
      </c>
      <c r="E1066" s="86">
        <v>3226581.15985366</v>
      </c>
      <c r="F1066" s="86" t="s">
        <v>1114</v>
      </c>
      <c r="G1066" s="25">
        <f t="shared" si="31"/>
        <v>-1.2511313421711412E-3</v>
      </c>
      <c r="I1066" s="86">
        <v>429.21587716168818</v>
      </c>
      <c r="J1066" s="86">
        <v>434.98125966022076</v>
      </c>
      <c r="K1066" s="86">
        <v>424.52524211153928</v>
      </c>
      <c r="L1066" s="86">
        <v>434.45299396525257</v>
      </c>
      <c r="M1066" s="86">
        <v>2129432.1223482979</v>
      </c>
      <c r="N1066" s="86" t="s">
        <v>1114</v>
      </c>
      <c r="O1066" s="25">
        <f t="shared" si="32"/>
        <v>-1.2054507337526221E-2</v>
      </c>
    </row>
    <row r="1067" spans="1:15">
      <c r="A1067" s="86">
        <v>362.90039595133163</v>
      </c>
      <c r="B1067" s="86">
        <v>362.94808576366751</v>
      </c>
      <c r="C1067" s="86">
        <v>358.94214152745116</v>
      </c>
      <c r="D1067" s="86">
        <v>359.72425444976005</v>
      </c>
      <c r="E1067" s="86">
        <v>2968790.2523657931</v>
      </c>
      <c r="F1067" s="86" t="s">
        <v>1115</v>
      </c>
      <c r="G1067" s="25">
        <f t="shared" si="31"/>
        <v>8.8293782314730063E-3</v>
      </c>
      <c r="I1067" s="86">
        <v>437.64991222273272</v>
      </c>
      <c r="J1067" s="86">
        <v>441.05622407206323</v>
      </c>
      <c r="K1067" s="86">
        <v>434.81731513419618</v>
      </c>
      <c r="L1067" s="86">
        <v>437.94136915788761</v>
      </c>
      <c r="M1067" s="86">
        <v>1017974.3358734271</v>
      </c>
      <c r="N1067" s="86" t="s">
        <v>1115</v>
      </c>
      <c r="O1067" s="25">
        <f t="shared" si="32"/>
        <v>-6.6551587879293272E-4</v>
      </c>
    </row>
    <row r="1068" spans="1:15">
      <c r="A1068" s="86">
        <v>361.68907471799952</v>
      </c>
      <c r="B1068" s="86">
        <v>363.79696442324672</v>
      </c>
      <c r="C1068" s="86">
        <v>358.10280083033916</v>
      </c>
      <c r="D1068" s="86">
        <v>360.49682940960179</v>
      </c>
      <c r="E1068" s="86">
        <v>4946587.9282224383</v>
      </c>
      <c r="F1068" s="86" t="s">
        <v>1116</v>
      </c>
      <c r="G1068" s="25">
        <f t="shared" si="31"/>
        <v>3.3072282781247964E-3</v>
      </c>
      <c r="I1068" s="86">
        <v>438.62447134965686</v>
      </c>
      <c r="J1068" s="86">
        <v>441.73941734412472</v>
      </c>
      <c r="K1068" s="86">
        <v>436.87900862924801</v>
      </c>
      <c r="L1068" s="86">
        <v>439.41686989210922</v>
      </c>
      <c r="M1068" s="86">
        <v>961436.30911059491</v>
      </c>
      <c r="N1068" s="86" t="s">
        <v>1116</v>
      </c>
      <c r="O1068" s="25">
        <f t="shared" si="32"/>
        <v>-1.803295678308614E-3</v>
      </c>
    </row>
    <row r="1069" spans="1:15">
      <c r="A1069" s="86">
        <v>361.82260619254009</v>
      </c>
      <c r="B1069" s="86">
        <v>361.90844785474468</v>
      </c>
      <c r="C1069" s="86">
        <v>357.86435176865962</v>
      </c>
      <c r="D1069" s="86">
        <v>358.2926062834361</v>
      </c>
      <c r="E1069" s="86">
        <v>3124986.0861328132</v>
      </c>
      <c r="F1069" s="86" t="s">
        <v>1117</v>
      </c>
      <c r="G1069" s="25">
        <f t="shared" si="31"/>
        <v>9.852282316737293E-3</v>
      </c>
      <c r="I1069" s="86">
        <v>438.97968448937689</v>
      </c>
      <c r="J1069" s="86">
        <v>445.83803049474034</v>
      </c>
      <c r="K1069" s="86">
        <v>437.27648302456555</v>
      </c>
      <c r="L1069" s="86">
        <v>441.91246989937292</v>
      </c>
      <c r="M1069" s="86">
        <v>1320867.5230027228</v>
      </c>
      <c r="N1069" s="86" t="s">
        <v>1117</v>
      </c>
      <c r="O1069" s="25">
        <f t="shared" si="32"/>
        <v>-6.636575362229169E-3</v>
      </c>
    </row>
    <row r="1070" spans="1:15">
      <c r="A1070" s="86">
        <v>357.69266844425033</v>
      </c>
      <c r="B1070" s="86">
        <v>358.04557305553607</v>
      </c>
      <c r="C1070" s="86">
        <v>355.00296302850506</v>
      </c>
      <c r="D1070" s="86">
        <v>355.76600002587963</v>
      </c>
      <c r="E1070" s="86">
        <v>3414466.1516604591</v>
      </c>
      <c r="F1070" s="86" t="s">
        <v>1118</v>
      </c>
      <c r="G1070" s="25">
        <f t="shared" si="31"/>
        <v>5.4155495978551738E-3</v>
      </c>
      <c r="I1070" s="86">
        <v>437.94136915788761</v>
      </c>
      <c r="J1070" s="86">
        <v>438.87949616791741</v>
      </c>
      <c r="K1070" s="86">
        <v>430.2450844639539</v>
      </c>
      <c r="L1070" s="86">
        <v>430.2450844639539</v>
      </c>
      <c r="M1070" s="86">
        <v>1576955.8537207253</v>
      </c>
      <c r="N1070" s="86" t="s">
        <v>1118</v>
      </c>
      <c r="O1070" s="25">
        <f t="shared" si="32"/>
        <v>1.7888140903509875E-2</v>
      </c>
    </row>
    <row r="1071" spans="1:15">
      <c r="A1071" s="86">
        <v>356.82471385973685</v>
      </c>
      <c r="B1071" s="86">
        <v>363.39636999962505</v>
      </c>
      <c r="C1071" s="86">
        <v>355.7169748987983</v>
      </c>
      <c r="D1071" s="86">
        <v>363.3677561122235</v>
      </c>
      <c r="E1071" s="86">
        <v>3488916.0147673138</v>
      </c>
      <c r="F1071" s="86" t="s">
        <v>1119</v>
      </c>
      <c r="G1071" s="25">
        <f t="shared" si="31"/>
        <v>-1.8006667191642345E-2</v>
      </c>
      <c r="I1071" s="86">
        <v>428.1593457717517</v>
      </c>
      <c r="J1071" s="86">
        <v>432.03089575382324</v>
      </c>
      <c r="K1071" s="86">
        <v>426.43337423388141</v>
      </c>
      <c r="L1071" s="86">
        <v>430.29062461007186</v>
      </c>
      <c r="M1071" s="86">
        <v>877299.55667075899</v>
      </c>
      <c r="N1071" s="86" t="s">
        <v>1119</v>
      </c>
      <c r="O1071" s="25">
        <f t="shared" si="32"/>
        <v>-4.9531147471584269E-3</v>
      </c>
    </row>
    <row r="1072" spans="1:15">
      <c r="A1072" s="86">
        <v>359.9054757366365</v>
      </c>
      <c r="B1072" s="86">
        <v>363.32960426235479</v>
      </c>
      <c r="C1072" s="86">
        <v>359.32366002613844</v>
      </c>
      <c r="D1072" s="86">
        <v>362.14689691642423</v>
      </c>
      <c r="E1072" s="86">
        <v>3063026.3120161286</v>
      </c>
      <c r="F1072" s="86" t="s">
        <v>1120</v>
      </c>
      <c r="G1072" s="25">
        <f t="shared" si="31"/>
        <v>-6.1892596591957005E-3</v>
      </c>
      <c r="I1072" s="86">
        <v>427.75859248591377</v>
      </c>
      <c r="J1072" s="86">
        <v>429.33428154159486</v>
      </c>
      <c r="K1072" s="86">
        <v>421.99320998738114</v>
      </c>
      <c r="L1072" s="86">
        <v>423.49603480927357</v>
      </c>
      <c r="M1072" s="86">
        <v>949742.23156809714</v>
      </c>
      <c r="N1072" s="86" t="s">
        <v>1120</v>
      </c>
      <c r="O1072" s="25">
        <f t="shared" si="32"/>
        <v>1.0065165494548056E-2</v>
      </c>
    </row>
    <row r="1073" spans="1:15">
      <c r="A1073" s="86">
        <v>363.89234404791847</v>
      </c>
      <c r="B1073" s="86">
        <v>365.06246128339234</v>
      </c>
      <c r="C1073" s="86">
        <v>357.3111499455631</v>
      </c>
      <c r="D1073" s="86">
        <v>358.42709155422335</v>
      </c>
      <c r="E1073" s="86">
        <v>4722846.2216113247</v>
      </c>
      <c r="F1073" s="86" t="s">
        <v>1121</v>
      </c>
      <c r="G1073" s="25">
        <f t="shared" si="31"/>
        <v>1.5247877804092536E-2</v>
      </c>
      <c r="I1073" s="86">
        <v>426.55633262839984</v>
      </c>
      <c r="J1073" s="86">
        <v>430.80067424659291</v>
      </c>
      <c r="K1073" s="86">
        <v>421.83463919859844</v>
      </c>
      <c r="L1073" s="86">
        <v>430.39992096075491</v>
      </c>
      <c r="M1073" s="86">
        <v>1465504.7400845452</v>
      </c>
      <c r="N1073" s="86" t="s">
        <v>1121</v>
      </c>
      <c r="O1073" s="25">
        <f t="shared" si="32"/>
        <v>-8.9302719288963939E-3</v>
      </c>
    </row>
    <row r="1074" spans="1:15">
      <c r="A1074" s="86">
        <v>359.25689428886818</v>
      </c>
      <c r="B1074" s="86">
        <v>360.46821552220024</v>
      </c>
      <c r="C1074" s="86">
        <v>357.69266844425033</v>
      </c>
      <c r="D1074" s="86">
        <v>359.17582160789709</v>
      </c>
      <c r="E1074" s="86">
        <v>3019615.5729379803</v>
      </c>
      <c r="F1074" s="86" t="s">
        <v>1122</v>
      </c>
      <c r="G1074" s="25">
        <f t="shared" si="31"/>
        <v>2.2571864834364241E-4</v>
      </c>
      <c r="I1074" s="86">
        <v>427.25765087861635</v>
      </c>
      <c r="J1074" s="86">
        <v>427.86788883659682</v>
      </c>
      <c r="K1074" s="86">
        <v>421.47405232163652</v>
      </c>
      <c r="L1074" s="86">
        <v>422.23001874719449</v>
      </c>
      <c r="M1074" s="86">
        <v>1529939.0963643847</v>
      </c>
      <c r="N1074" s="86" t="s">
        <v>1122</v>
      </c>
      <c r="O1074" s="25">
        <f t="shared" si="32"/>
        <v>1.1907329910695097E-2</v>
      </c>
    </row>
    <row r="1075" spans="1:15">
      <c r="A1075" s="86">
        <v>361.345708069181</v>
      </c>
      <c r="B1075" s="86">
        <v>365.49472174240503</v>
      </c>
      <c r="C1075" s="86">
        <v>360.33468404765972</v>
      </c>
      <c r="D1075" s="86">
        <v>360.75435439621572</v>
      </c>
      <c r="E1075" s="86">
        <v>6786049.9789872542</v>
      </c>
      <c r="F1075" s="86" t="s">
        <v>1123</v>
      </c>
      <c r="G1075" s="25">
        <f t="shared" si="31"/>
        <v>1.6392142347250171E-3</v>
      </c>
      <c r="I1075" s="86">
        <v>418.13140559657893</v>
      </c>
      <c r="J1075" s="86">
        <v>421.3374318832827</v>
      </c>
      <c r="K1075" s="86">
        <v>414.36068149801258</v>
      </c>
      <c r="L1075" s="86">
        <v>418.30445815182713</v>
      </c>
      <c r="M1075" s="86">
        <v>1430681.6194934831</v>
      </c>
      <c r="N1075" s="86" t="s">
        <v>1123</v>
      </c>
      <c r="O1075" s="25">
        <f t="shared" si="32"/>
        <v>-4.1370000217733072E-4</v>
      </c>
    </row>
    <row r="1076" spans="1:15">
      <c r="A1076" s="86">
        <v>365.24673471825832</v>
      </c>
      <c r="B1076" s="86">
        <v>366.64881520093405</v>
      </c>
      <c r="C1076" s="86">
        <v>361.87029600487597</v>
      </c>
      <c r="D1076" s="86">
        <v>363.6348190613046</v>
      </c>
      <c r="E1076" s="86">
        <v>5460208.1083034687</v>
      </c>
      <c r="F1076" s="86" t="s">
        <v>1124</v>
      </c>
      <c r="G1076" s="25">
        <f t="shared" si="31"/>
        <v>4.432786885245843E-3</v>
      </c>
      <c r="I1076" s="86">
        <v>416.40998807332039</v>
      </c>
      <c r="J1076" s="86">
        <v>419.36098954176362</v>
      </c>
      <c r="K1076" s="86">
        <v>413.43166251720641</v>
      </c>
      <c r="L1076" s="86">
        <v>417.48473552170401</v>
      </c>
      <c r="M1076" s="86">
        <v>2310844.5837532794</v>
      </c>
      <c r="N1076" s="86" t="s">
        <v>1124</v>
      </c>
      <c r="O1076" s="25">
        <f t="shared" si="32"/>
        <v>-2.5743395073848374E-3</v>
      </c>
    </row>
    <row r="1077" spans="1:15">
      <c r="A1077" s="86">
        <v>360.08669702351295</v>
      </c>
      <c r="B1077" s="86">
        <v>362.59518115238183</v>
      </c>
      <c r="C1077" s="86">
        <v>352.67570018651276</v>
      </c>
      <c r="D1077" s="86">
        <v>355.23187412771745</v>
      </c>
      <c r="E1077" s="86">
        <v>5181077.2132972674</v>
      </c>
      <c r="F1077" s="86" t="s">
        <v>1125</v>
      </c>
      <c r="G1077" s="25">
        <f t="shared" si="31"/>
        <v>1.3666630866716822E-2</v>
      </c>
      <c r="I1077" s="86">
        <v>421.018650860457</v>
      </c>
      <c r="J1077" s="86">
        <v>423.77838371520482</v>
      </c>
      <c r="K1077" s="86">
        <v>418.78718370067742</v>
      </c>
      <c r="L1077" s="86">
        <v>421.25545962027036</v>
      </c>
      <c r="M1077" s="86">
        <v>1364288.5518874007</v>
      </c>
      <c r="N1077" s="86" t="s">
        <v>1125</v>
      </c>
      <c r="O1077" s="25">
        <f t="shared" si="32"/>
        <v>-5.6215000756743017E-4</v>
      </c>
    </row>
    <row r="1078" spans="1:15">
      <c r="A1078" s="86">
        <v>356.18567037443563</v>
      </c>
      <c r="B1078" s="86">
        <v>356.28104999910749</v>
      </c>
      <c r="C1078" s="86">
        <v>351.31177155370574</v>
      </c>
      <c r="D1078" s="86">
        <v>351.57883450278683</v>
      </c>
      <c r="E1078" s="86">
        <v>4384255.0381052066</v>
      </c>
      <c r="F1078" s="86" t="s">
        <v>1126</v>
      </c>
      <c r="G1078" s="25">
        <f t="shared" si="31"/>
        <v>1.3103279889314035E-2</v>
      </c>
      <c r="I1078" s="86">
        <v>421.93856181203961</v>
      </c>
      <c r="J1078" s="86">
        <v>422.13893845495863</v>
      </c>
      <c r="K1078" s="86">
        <v>418.06764939201378</v>
      </c>
      <c r="L1078" s="86">
        <v>421.04597494812776</v>
      </c>
      <c r="M1078" s="86">
        <v>2263951.8927533654</v>
      </c>
      <c r="N1078" s="86" t="s">
        <v>1126</v>
      </c>
      <c r="O1078" s="25">
        <f t="shared" si="32"/>
        <v>2.1199273167777921E-3</v>
      </c>
    </row>
    <row r="1079" spans="1:15">
      <c r="A1079" s="86">
        <v>351.19731600409955</v>
      </c>
      <c r="B1079" s="86">
        <v>355.08880469070976</v>
      </c>
      <c r="C1079" s="86">
        <v>350.86348731774825</v>
      </c>
      <c r="D1079" s="86">
        <v>353.04768072273282</v>
      </c>
      <c r="E1079" s="86">
        <v>3439512.3814838594</v>
      </c>
      <c r="F1079" s="86" t="s">
        <v>1127</v>
      </c>
      <c r="G1079" s="25">
        <f t="shared" si="31"/>
        <v>-5.2411184654870269E-3</v>
      </c>
      <c r="I1079" s="86">
        <v>419.506718009341</v>
      </c>
      <c r="J1079" s="86">
        <v>425.07163278466243</v>
      </c>
      <c r="K1079" s="86">
        <v>418.87826399291328</v>
      </c>
      <c r="L1079" s="86">
        <v>420.79095012986727</v>
      </c>
      <c r="M1079" s="86">
        <v>1802797.245914808</v>
      </c>
      <c r="N1079" s="86" t="s">
        <v>1127</v>
      </c>
      <c r="O1079" s="25">
        <f t="shared" si="32"/>
        <v>-3.0519480519481945E-3</v>
      </c>
    </row>
    <row r="1080" spans="1:15">
      <c r="A1080" s="86">
        <v>355.64200651380628</v>
      </c>
      <c r="B1080" s="86">
        <v>357.74989621905343</v>
      </c>
      <c r="C1080" s="86">
        <v>353.62949643323094</v>
      </c>
      <c r="D1080" s="86">
        <v>353.7534899453043</v>
      </c>
      <c r="E1080" s="86">
        <v>5818351.6857974716</v>
      </c>
      <c r="F1080" s="86" t="s">
        <v>1128</v>
      </c>
      <c r="G1080" s="25">
        <f t="shared" si="31"/>
        <v>5.3385100703713384E-3</v>
      </c>
      <c r="I1080" s="86">
        <v>418.60502311620564</v>
      </c>
      <c r="J1080" s="86">
        <v>425.05350780650747</v>
      </c>
      <c r="K1080" s="86">
        <v>416.64679683313369</v>
      </c>
      <c r="L1080" s="86">
        <v>419.75263479837798</v>
      </c>
      <c r="M1080" s="86">
        <v>1743296.9976507404</v>
      </c>
      <c r="N1080" s="86" t="s">
        <v>1128</v>
      </c>
      <c r="O1080" s="25">
        <f t="shared" si="32"/>
        <v>-2.7340190079415683E-3</v>
      </c>
    </row>
    <row r="1081" spans="1:15">
      <c r="A1081" s="86">
        <v>354.630982492285</v>
      </c>
      <c r="B1081" s="86">
        <v>354.86943155396455</v>
      </c>
      <c r="C1081" s="86">
        <v>350.62503825606871</v>
      </c>
      <c r="D1081" s="86">
        <v>353.34335755921546</v>
      </c>
      <c r="E1081" s="86">
        <v>3628588.4033496552</v>
      </c>
      <c r="F1081" s="86" t="s">
        <v>1129</v>
      </c>
      <c r="G1081" s="25">
        <f t="shared" si="31"/>
        <v>3.6441181234141418E-3</v>
      </c>
      <c r="I1081" s="86">
        <v>418.79629172990099</v>
      </c>
      <c r="J1081" s="86">
        <v>422.39396327321913</v>
      </c>
      <c r="K1081" s="86">
        <v>412.43888733183502</v>
      </c>
      <c r="L1081" s="86">
        <v>414.73411069617981</v>
      </c>
      <c r="M1081" s="86">
        <v>2381421.8715747837</v>
      </c>
      <c r="N1081" s="86" t="s">
        <v>1129</v>
      </c>
      <c r="O1081" s="25">
        <f t="shared" si="32"/>
        <v>9.7946634457009019E-3</v>
      </c>
    </row>
    <row r="1082" spans="1:15">
      <c r="A1082" s="86">
        <v>350.88256324268258</v>
      </c>
      <c r="B1082" s="86">
        <v>351.14962619176367</v>
      </c>
      <c r="C1082" s="86">
        <v>344.94995058809553</v>
      </c>
      <c r="D1082" s="86">
        <v>346.97199863113804</v>
      </c>
      <c r="E1082" s="86">
        <v>3209996.9050356876</v>
      </c>
      <c r="F1082" s="86" t="s">
        <v>1130</v>
      </c>
      <c r="G1082" s="25">
        <f t="shared" si="31"/>
        <v>1.1270548133487379E-2</v>
      </c>
      <c r="I1082" s="86">
        <v>413.65025521857257</v>
      </c>
      <c r="J1082" s="86">
        <v>415.15308004046494</v>
      </c>
      <c r="K1082" s="86">
        <v>405.16166306247874</v>
      </c>
      <c r="L1082" s="86">
        <v>408.039709216841</v>
      </c>
      <c r="M1082" s="86">
        <v>2582907.8302766844</v>
      </c>
      <c r="N1082" s="86" t="s">
        <v>1130</v>
      </c>
      <c r="O1082" s="25">
        <f t="shared" si="32"/>
        <v>1.3749999999999929E-2</v>
      </c>
    </row>
    <row r="1083" spans="1:15">
      <c r="A1083" s="86">
        <v>350.75856973060922</v>
      </c>
      <c r="B1083" s="86">
        <v>351.57883450278683</v>
      </c>
      <c r="C1083" s="86">
        <v>348.53622447575589</v>
      </c>
      <c r="D1083" s="86">
        <v>349.63309015948175</v>
      </c>
      <c r="E1083" s="86">
        <v>2833288.5658738483</v>
      </c>
      <c r="F1083" s="86" t="s">
        <v>1131</v>
      </c>
      <c r="G1083" s="25">
        <f t="shared" si="31"/>
        <v>3.2190304716699369E-3</v>
      </c>
      <c r="I1083" s="86">
        <v>409.15999681134258</v>
      </c>
      <c r="J1083" s="86">
        <v>410.73568586702368</v>
      </c>
      <c r="K1083" s="86">
        <v>398.64933108731947</v>
      </c>
      <c r="L1083" s="86">
        <v>402.72972817948789</v>
      </c>
      <c r="M1083" s="86">
        <v>3145579.498778413</v>
      </c>
      <c r="N1083" s="86" t="s">
        <v>1131</v>
      </c>
      <c r="O1083" s="25">
        <f t="shared" si="32"/>
        <v>1.5966709636565213E-2</v>
      </c>
    </row>
    <row r="1084" spans="1:15">
      <c r="A1084" s="86">
        <v>351.13055026682929</v>
      </c>
      <c r="B1084" s="86">
        <v>352.90461128572514</v>
      </c>
      <c r="C1084" s="86">
        <v>346.84800511906468</v>
      </c>
      <c r="D1084" s="86">
        <v>347.66826989124229</v>
      </c>
      <c r="E1084" s="86">
        <v>3400393.9637626954</v>
      </c>
      <c r="F1084" s="86" t="s">
        <v>1132</v>
      </c>
      <c r="G1084" s="25">
        <f t="shared" si="31"/>
        <v>9.9585745247043889E-3</v>
      </c>
      <c r="I1084" s="86">
        <v>401.91911357858834</v>
      </c>
      <c r="J1084" s="86">
        <v>406.97525384147997</v>
      </c>
      <c r="K1084" s="86">
        <v>401.5365763511976</v>
      </c>
      <c r="L1084" s="86">
        <v>403.58588292650541</v>
      </c>
      <c r="M1084" s="86">
        <v>1910000.459258816</v>
      </c>
      <c r="N1084" s="86" t="s">
        <v>1132</v>
      </c>
      <c r="O1084" s="25">
        <f t="shared" si="32"/>
        <v>-4.1299000248247175E-3</v>
      </c>
    </row>
    <row r="1085" spans="1:15">
      <c r="A1085" s="86">
        <v>346.90523289386778</v>
      </c>
      <c r="B1085" s="86">
        <v>347.09599214321145</v>
      </c>
      <c r="C1085" s="86">
        <v>340.39080452878267</v>
      </c>
      <c r="D1085" s="86">
        <v>341.88826463613015</v>
      </c>
      <c r="E1085" s="86">
        <v>3423227.9810645427</v>
      </c>
      <c r="F1085" s="86" t="s">
        <v>1133</v>
      </c>
      <c r="G1085" s="25">
        <f t="shared" si="31"/>
        <v>1.4674292090947283E-2</v>
      </c>
      <c r="I1085" s="86">
        <v>403.74071942330636</v>
      </c>
      <c r="J1085" s="86">
        <v>403.80447562787157</v>
      </c>
      <c r="K1085" s="86">
        <v>398.58557488275437</v>
      </c>
      <c r="L1085" s="86">
        <v>401.97376175392986</v>
      </c>
      <c r="M1085" s="86">
        <v>1548048.3926732722</v>
      </c>
      <c r="N1085" s="86" t="s">
        <v>1133</v>
      </c>
      <c r="O1085" s="25">
        <f t="shared" si="32"/>
        <v>4.3957039923867569E-3</v>
      </c>
    </row>
    <row r="1086" spans="1:15">
      <c r="A1086" s="86">
        <v>340.63879155292938</v>
      </c>
      <c r="B1086" s="86">
        <v>342.75145023941013</v>
      </c>
      <c r="C1086" s="86">
        <v>339.40839439466293</v>
      </c>
      <c r="D1086" s="86">
        <v>341.2301452258946</v>
      </c>
      <c r="E1086" s="86">
        <v>3685144.5076388125</v>
      </c>
      <c r="F1086" s="86" t="s">
        <v>1134</v>
      </c>
      <c r="G1086" s="25">
        <f t="shared" si="31"/>
        <v>-1.7330053667261591E-3</v>
      </c>
      <c r="I1086" s="86">
        <v>400.12483182154108</v>
      </c>
      <c r="J1086" s="86">
        <v>406.14523913833426</v>
      </c>
      <c r="K1086" s="86">
        <v>399.86980700328053</v>
      </c>
      <c r="L1086" s="86">
        <v>403.2671019036797</v>
      </c>
      <c r="M1086" s="86">
        <v>1614046.2046305612</v>
      </c>
      <c r="N1086" s="86" t="s">
        <v>1134</v>
      </c>
      <c r="O1086" s="25">
        <f t="shared" si="32"/>
        <v>-7.792031800524013E-3</v>
      </c>
    </row>
    <row r="1087" spans="1:15">
      <c r="A1087" s="86">
        <v>343.10912383192948</v>
      </c>
      <c r="B1087" s="86">
        <v>350.67272806840458</v>
      </c>
      <c r="C1087" s="86">
        <v>342.96605439492168</v>
      </c>
      <c r="D1087" s="86">
        <v>349.72846978415362</v>
      </c>
      <c r="E1087" s="86">
        <v>4122267.21747811</v>
      </c>
      <c r="F1087" s="86" t="s">
        <v>1135</v>
      </c>
      <c r="G1087" s="25">
        <f t="shared" si="31"/>
        <v>-1.8927100662721186E-2</v>
      </c>
      <c r="I1087" s="86">
        <v>401.91000554936477</v>
      </c>
      <c r="J1087" s="86">
        <v>408.2511065751205</v>
      </c>
      <c r="K1087" s="86">
        <v>401.34530773750214</v>
      </c>
      <c r="L1087" s="86">
        <v>407.27463476205941</v>
      </c>
      <c r="M1087" s="86">
        <v>1806234.8721269534</v>
      </c>
      <c r="N1087" s="86" t="s">
        <v>1135</v>
      </c>
      <c r="O1087" s="25">
        <f t="shared" si="32"/>
        <v>-1.3172018964129228E-2</v>
      </c>
    </row>
    <row r="1088" spans="1:15">
      <c r="A1088" s="86">
        <v>348.77467353743543</v>
      </c>
      <c r="B1088" s="86">
        <v>350.72995584320768</v>
      </c>
      <c r="C1088" s="86">
        <v>348.01163654006086</v>
      </c>
      <c r="D1088" s="86">
        <v>349.27064758572885</v>
      </c>
      <c r="E1088" s="86">
        <v>5181403.2787447572</v>
      </c>
      <c r="F1088" s="86" t="s">
        <v>1136</v>
      </c>
      <c r="G1088" s="25">
        <f t="shared" si="31"/>
        <v>-1.4200278543924361E-3</v>
      </c>
      <c r="I1088" s="86">
        <v>407.27463476205941</v>
      </c>
      <c r="J1088" s="86">
        <v>413.04912528981561</v>
      </c>
      <c r="K1088" s="86">
        <v>406.82843241039569</v>
      </c>
      <c r="L1088" s="86">
        <v>410.13455593826671</v>
      </c>
      <c r="M1088" s="86">
        <v>1924839.0150739374</v>
      </c>
      <c r="N1088" s="86" t="s">
        <v>1136</v>
      </c>
      <c r="O1088" s="25">
        <f t="shared" si="32"/>
        <v>-6.9731290250943934E-3</v>
      </c>
    </row>
    <row r="1089" spans="1:15">
      <c r="A1089" s="86">
        <v>349.30879943559762</v>
      </c>
      <c r="B1089" s="86">
        <v>349.78541142008265</v>
      </c>
      <c r="C1089" s="86">
        <v>344.76872930121908</v>
      </c>
      <c r="D1089" s="86">
        <v>344.96969417040259</v>
      </c>
      <c r="E1089" s="86">
        <v>3161220.2400403321</v>
      </c>
      <c r="F1089" s="86" t="s">
        <v>1137</v>
      </c>
      <c r="G1089" s="25">
        <f t="shared" si="31"/>
        <v>1.2578221619234942E-2</v>
      </c>
      <c r="I1089" s="86">
        <v>409.70647856475796</v>
      </c>
      <c r="J1089" s="86">
        <v>413.24130470643337</v>
      </c>
      <c r="K1089" s="86">
        <v>405.07049168995059</v>
      </c>
      <c r="L1089" s="86">
        <v>406.67350483330245</v>
      </c>
      <c r="M1089" s="86">
        <v>2425082.249713453</v>
      </c>
      <c r="N1089" s="86" t="s">
        <v>1137</v>
      </c>
      <c r="O1089" s="25">
        <f t="shared" si="32"/>
        <v>7.4580067189249366E-3</v>
      </c>
    </row>
    <row r="1090" spans="1:15">
      <c r="A1090" s="86">
        <v>347.95440876525777</v>
      </c>
      <c r="B1090" s="86">
        <v>349.23249573586008</v>
      </c>
      <c r="C1090" s="86">
        <v>343.93892656657425</v>
      </c>
      <c r="D1090" s="86">
        <v>347.6396560038408</v>
      </c>
      <c r="E1090" s="86">
        <v>4973242.4680022663</v>
      </c>
      <c r="F1090" s="86" t="s">
        <v>1138</v>
      </c>
      <c r="G1090" s="25">
        <f t="shared" si="31"/>
        <v>9.0539947322199055E-4</v>
      </c>
      <c r="I1090" s="86">
        <v>420.55414137005391</v>
      </c>
      <c r="J1090" s="86">
        <v>424.32486546862026</v>
      </c>
      <c r="K1090" s="86">
        <v>418.23159391803841</v>
      </c>
      <c r="L1090" s="86">
        <v>421.69264502300268</v>
      </c>
      <c r="M1090" s="86">
        <v>1028420.0643251522</v>
      </c>
      <c r="N1090" s="86" t="s">
        <v>1138</v>
      </c>
      <c r="O1090" s="25">
        <f t="shared" si="32"/>
        <v>-2.6998423292079465E-3</v>
      </c>
    </row>
    <row r="1091" spans="1:15">
      <c r="A1091" s="86">
        <v>346.65724586972107</v>
      </c>
      <c r="B1091" s="86">
        <v>346.71447364452416</v>
      </c>
      <c r="C1091" s="86">
        <v>343.04235809465922</v>
      </c>
      <c r="D1091" s="86">
        <v>343.7577052796978</v>
      </c>
      <c r="E1091" s="86">
        <v>5987161.3247051556</v>
      </c>
      <c r="F1091" s="86" t="s">
        <v>1139</v>
      </c>
      <c r="G1091" s="25">
        <f t="shared" si="31"/>
        <v>8.4348381010515006E-3</v>
      </c>
      <c r="I1091" s="86">
        <v>421.70175305222631</v>
      </c>
      <c r="J1091" s="86">
        <v>424.02430050424181</v>
      </c>
      <c r="K1091" s="86">
        <v>419.91657932440262</v>
      </c>
      <c r="L1091" s="86">
        <v>422.03875013349915</v>
      </c>
      <c r="M1091" s="86">
        <v>1159818.4130371092</v>
      </c>
      <c r="N1091" s="86" t="s">
        <v>1139</v>
      </c>
      <c r="O1091" s="25">
        <f t="shared" si="32"/>
        <v>-7.9849796059305866E-4</v>
      </c>
    </row>
    <row r="1092" spans="1:15">
      <c r="A1092" s="86">
        <v>342.28885905975181</v>
      </c>
      <c r="B1092" s="86">
        <v>342.36516275948924</v>
      </c>
      <c r="C1092" s="86">
        <v>338.55951573508372</v>
      </c>
      <c r="D1092" s="86">
        <v>339.39885643219571</v>
      </c>
      <c r="E1092" s="86">
        <v>3665058.4566966761</v>
      </c>
      <c r="F1092" s="86" t="s">
        <v>1140</v>
      </c>
      <c r="G1092" s="25">
        <f t="shared" si="31"/>
        <v>8.5150629496404395E-3</v>
      </c>
      <c r="I1092" s="86">
        <v>421.05508297735139</v>
      </c>
      <c r="J1092" s="86">
        <v>423.95143627045309</v>
      </c>
      <c r="K1092" s="86">
        <v>416.14130121122446</v>
      </c>
      <c r="L1092" s="86">
        <v>420.95489465589191</v>
      </c>
      <c r="M1092" s="86">
        <v>1101822.3321031723</v>
      </c>
      <c r="N1092" s="86" t="s">
        <v>1140</v>
      </c>
      <c r="O1092" s="25">
        <f t="shared" si="32"/>
        <v>2.3800250984473692E-4</v>
      </c>
    </row>
    <row r="1093" spans="1:15">
      <c r="A1093" s="86">
        <v>339.86621659308764</v>
      </c>
      <c r="B1093" s="86">
        <v>345.01671632536579</v>
      </c>
      <c r="C1093" s="86">
        <v>339.76263432069408</v>
      </c>
      <c r="D1093" s="86">
        <v>342.1553275852113</v>
      </c>
      <c r="E1093" s="86">
        <v>3958205.9721771139</v>
      </c>
      <c r="F1093" s="86" t="s">
        <v>1141</v>
      </c>
      <c r="G1093" s="25">
        <f t="shared" si="31"/>
        <v>-6.6902684470214746E-3</v>
      </c>
      <c r="I1093" s="86">
        <v>418.04943333356664</v>
      </c>
      <c r="J1093" s="86">
        <v>428.79690781740305</v>
      </c>
      <c r="K1093" s="86">
        <v>414.68866163035403</v>
      </c>
      <c r="L1093" s="86">
        <v>426.06449905032599</v>
      </c>
      <c r="M1093" s="86">
        <v>2609740.199167972</v>
      </c>
      <c r="N1093" s="86" t="s">
        <v>1141</v>
      </c>
      <c r="O1093" s="25">
        <f t="shared" si="32"/>
        <v>-1.8811860022659666E-2</v>
      </c>
    </row>
    <row r="1094" spans="1:15">
      <c r="A1094" s="86">
        <v>340.11420361723435</v>
      </c>
      <c r="B1094" s="86">
        <v>341.14430356369002</v>
      </c>
      <c r="C1094" s="86">
        <v>332.62680770087201</v>
      </c>
      <c r="D1094" s="86">
        <v>335.34522238364349</v>
      </c>
      <c r="E1094" s="86">
        <v>3632617.5657763504</v>
      </c>
      <c r="F1094" s="86" t="s">
        <v>1142</v>
      </c>
      <c r="G1094" s="25">
        <f t="shared" si="31"/>
        <v>1.4221109815409916E-2</v>
      </c>
      <c r="I1094" s="86">
        <v>431.02837497718264</v>
      </c>
      <c r="J1094" s="86">
        <v>444.47182611120178</v>
      </c>
      <c r="K1094" s="86">
        <v>424.22012313254896</v>
      </c>
      <c r="L1094" s="86">
        <v>437.18540273232964</v>
      </c>
      <c r="M1094" s="86">
        <v>2162311.9026661254</v>
      </c>
      <c r="N1094" s="86" t="s">
        <v>1142</v>
      </c>
      <c r="O1094" s="25">
        <f t="shared" si="32"/>
        <v>-1.4083333333333337E-2</v>
      </c>
    </row>
    <row r="1095" spans="1:15">
      <c r="A1095" s="86">
        <v>332.55059938075925</v>
      </c>
      <c r="B1095" s="86">
        <v>334.59172334873614</v>
      </c>
      <c r="C1095" s="86">
        <v>331.97832163272835</v>
      </c>
      <c r="D1095" s="86">
        <v>334.52495761146588</v>
      </c>
      <c r="E1095" s="86">
        <v>3372353.3837205488</v>
      </c>
      <c r="F1095" s="86" t="s">
        <v>1143</v>
      </c>
      <c r="G1095" s="25">
        <f t="shared" si="31"/>
        <v>-5.9019758788811938E-3</v>
      </c>
      <c r="I1095" s="86">
        <v>434.51675016981767</v>
      </c>
      <c r="J1095" s="86">
        <v>435.48866796826701</v>
      </c>
      <c r="K1095" s="86">
        <v>427.9862932165035</v>
      </c>
      <c r="L1095" s="86">
        <v>433.25984213696222</v>
      </c>
      <c r="M1095" s="86">
        <v>1328603.5543954971</v>
      </c>
      <c r="N1095" s="86" t="s">
        <v>1143</v>
      </c>
      <c r="O1095" s="25">
        <f t="shared" si="32"/>
        <v>2.9010490025016544E-3</v>
      </c>
    </row>
    <row r="1096" spans="1:15">
      <c r="A1096" s="86">
        <v>336.22271493062419</v>
      </c>
      <c r="B1096" s="86">
        <v>338.18133552325997</v>
      </c>
      <c r="C1096" s="86">
        <v>333.06564935398706</v>
      </c>
      <c r="D1096" s="86">
        <v>335.8316584694698</v>
      </c>
      <c r="E1096" s="86">
        <v>3270181.6669253637</v>
      </c>
      <c r="F1096" s="86" t="s">
        <v>1144</v>
      </c>
      <c r="G1096" s="25">
        <f t="shared" si="31"/>
        <v>1.1644419199088318E-3</v>
      </c>
      <c r="I1096" s="86">
        <v>433.99759250407305</v>
      </c>
      <c r="J1096" s="86">
        <v>436.91216185562189</v>
      </c>
      <c r="K1096" s="86">
        <v>427.43981146308812</v>
      </c>
      <c r="L1096" s="86">
        <v>431.03748300640626</v>
      </c>
      <c r="M1096" s="86">
        <v>1527726.762663499</v>
      </c>
      <c r="N1096" s="86" t="s">
        <v>1144</v>
      </c>
      <c r="O1096" s="25">
        <f t="shared" si="32"/>
        <v>6.8674062334916908E-3</v>
      </c>
    </row>
    <row r="1097" spans="1:15">
      <c r="A1097" s="86">
        <v>333.8191483888944</v>
      </c>
      <c r="B1097" s="86">
        <v>338.63801316618867</v>
      </c>
      <c r="C1097" s="86">
        <v>331.14851889808352</v>
      </c>
      <c r="D1097" s="86">
        <v>336.86271221217208</v>
      </c>
      <c r="E1097" s="86">
        <v>5197476.9423314519</v>
      </c>
      <c r="F1097" s="86" t="s">
        <v>1145</v>
      </c>
      <c r="G1097" s="25">
        <f t="shared" si="31"/>
        <v>-9.0350273655717128E-3</v>
      </c>
      <c r="I1097" s="86">
        <v>434.9357195141028</v>
      </c>
      <c r="J1097" s="86">
        <v>441.05631515235547</v>
      </c>
      <c r="K1097" s="86">
        <v>431.72969322739908</v>
      </c>
      <c r="L1097" s="86">
        <v>440.27302463912667</v>
      </c>
      <c r="M1097" s="86">
        <v>1819635.1365534097</v>
      </c>
      <c r="N1097" s="86" t="s">
        <v>1145</v>
      </c>
      <c r="O1097" s="25">
        <f t="shared" si="32"/>
        <v>-1.2122716647013809E-2</v>
      </c>
    </row>
    <row r="1098" spans="1:15">
      <c r="A1098" s="86">
        <v>335.10677332196394</v>
      </c>
      <c r="B1098" s="86">
        <v>335.24984275897168</v>
      </c>
      <c r="C1098" s="86">
        <v>331.69552104557641</v>
      </c>
      <c r="D1098" s="86">
        <v>333.62838913955079</v>
      </c>
      <c r="E1098" s="86">
        <v>5583422.0551022384</v>
      </c>
      <c r="F1098" s="86" t="s">
        <v>1146</v>
      </c>
      <c r="G1098" s="25">
        <f t="shared" si="31"/>
        <v>4.4312301666713516E-3</v>
      </c>
      <c r="I1098" s="86">
        <v>443.09651369843965</v>
      </c>
      <c r="J1098" s="86">
        <v>446.1203794006716</v>
      </c>
      <c r="K1098" s="86">
        <v>438.31024434144302</v>
      </c>
      <c r="L1098" s="86">
        <v>444.47182611120178</v>
      </c>
      <c r="M1098" s="86">
        <v>999159.06905850035</v>
      </c>
      <c r="N1098" s="86" t="s">
        <v>1146</v>
      </c>
      <c r="O1098" s="25">
        <f t="shared" si="32"/>
        <v>-3.0942622950820287E-3</v>
      </c>
    </row>
    <row r="1099" spans="1:15">
      <c r="A1099" s="86">
        <v>336.03195568128058</v>
      </c>
      <c r="B1099" s="86">
        <v>336.80929962235587</v>
      </c>
      <c r="C1099" s="86">
        <v>332.3693780938828</v>
      </c>
      <c r="D1099" s="86">
        <v>332.7890484424388</v>
      </c>
      <c r="E1099" s="86">
        <v>4284536.6754808435</v>
      </c>
      <c r="F1099" s="86" t="s">
        <v>1147</v>
      </c>
      <c r="G1099" s="25">
        <f t="shared" si="31"/>
        <v>9.7446332865207541E-3</v>
      </c>
      <c r="I1099" s="86">
        <v>443.60656333496075</v>
      </c>
      <c r="J1099" s="86">
        <v>445.90178669930543</v>
      </c>
      <c r="K1099" s="86">
        <v>440.19105237611438</v>
      </c>
      <c r="L1099" s="86">
        <v>440.82861442176568</v>
      </c>
      <c r="M1099" s="86">
        <v>839077.23750007304</v>
      </c>
      <c r="N1099" s="86" t="s">
        <v>1147</v>
      </c>
      <c r="O1099" s="25">
        <f t="shared" si="32"/>
        <v>6.3016528925621262E-3</v>
      </c>
    </row>
    <row r="1100" spans="1:15">
      <c r="A1100" s="86">
        <v>330.17564672643101</v>
      </c>
      <c r="B1100" s="86">
        <v>335.92703809414155</v>
      </c>
      <c r="C1100" s="86">
        <v>329.91812173981702</v>
      </c>
      <c r="D1100" s="86">
        <v>334.22928077498324</v>
      </c>
      <c r="E1100" s="86">
        <v>4680920.0763391089</v>
      </c>
      <c r="F1100" s="86" t="s">
        <v>1148</v>
      </c>
      <c r="G1100" s="25">
        <f t="shared" si="31"/>
        <v>-1.2128303179042232E-2</v>
      </c>
      <c r="I1100" s="86">
        <v>440.11818814232572</v>
      </c>
      <c r="J1100" s="86">
        <v>445.38262903356082</v>
      </c>
      <c r="K1100" s="86">
        <v>439.82673120717078</v>
      </c>
      <c r="L1100" s="86">
        <v>442.78684070483757</v>
      </c>
      <c r="M1100" s="86">
        <v>889718.26956937811</v>
      </c>
      <c r="N1100" s="86" t="s">
        <v>1148</v>
      </c>
      <c r="O1100" s="25">
        <f t="shared" si="32"/>
        <v>-6.0269464157151065E-3</v>
      </c>
    </row>
    <row r="1101" spans="1:15">
      <c r="A1101" s="86">
        <v>334.27697058731917</v>
      </c>
      <c r="B1101" s="86">
        <v>335.77443069466671</v>
      </c>
      <c r="C1101" s="86">
        <v>332.7318206676357</v>
      </c>
      <c r="D1101" s="86">
        <v>335.50736774558555</v>
      </c>
      <c r="E1101" s="86">
        <v>4511671.1402529739</v>
      </c>
      <c r="F1101" s="86" t="s">
        <v>1149</v>
      </c>
      <c r="G1101" s="25">
        <f t="shared" si="31"/>
        <v>-3.6672731407776382E-3</v>
      </c>
      <c r="I1101" s="86">
        <v>442.19481880530424</v>
      </c>
      <c r="J1101" s="86">
        <v>445.60122173492698</v>
      </c>
      <c r="K1101" s="86">
        <v>440.37321296058622</v>
      </c>
      <c r="L1101" s="86">
        <v>441.73941734412472</v>
      </c>
      <c r="M1101" s="86">
        <v>866231.30057218415</v>
      </c>
      <c r="N1101" s="86" t="s">
        <v>1149</v>
      </c>
      <c r="O1101" s="25">
        <f t="shared" si="32"/>
        <v>1.0309278350515427E-3</v>
      </c>
    </row>
    <row r="1102" spans="1:15">
      <c r="A1102" s="86">
        <v>335.61228533272458</v>
      </c>
      <c r="B1102" s="86">
        <v>335.68658606034393</v>
      </c>
      <c r="C1102" s="86">
        <v>331.30112629755843</v>
      </c>
      <c r="D1102" s="86">
        <v>332.80812436737313</v>
      </c>
      <c r="E1102" s="86">
        <v>4793456.6902850391</v>
      </c>
      <c r="F1102" s="86" t="s">
        <v>1150</v>
      </c>
      <c r="G1102" s="25">
        <f t="shared" si="31"/>
        <v>8.4257587481730845E-3</v>
      </c>
      <c r="I1102" s="86">
        <v>440.18194434689082</v>
      </c>
      <c r="J1102" s="86">
        <v>440.99574675801858</v>
      </c>
      <c r="K1102" s="86">
        <v>435.69168593966083</v>
      </c>
      <c r="L1102" s="86">
        <v>436.73000127115012</v>
      </c>
      <c r="M1102" s="86">
        <v>726443.65071458579</v>
      </c>
      <c r="N1102" s="86" t="s">
        <v>1150</v>
      </c>
      <c r="O1102" s="25">
        <f t="shared" si="32"/>
        <v>7.9040667361836014E-3</v>
      </c>
    </row>
    <row r="1103" spans="1:15">
      <c r="A1103" s="86">
        <v>333.74284468915698</v>
      </c>
      <c r="B1103" s="86">
        <v>335.97472790647748</v>
      </c>
      <c r="C1103" s="86">
        <v>328.43019959493671</v>
      </c>
      <c r="D1103" s="86">
        <v>335.71720291986361</v>
      </c>
      <c r="E1103" s="86">
        <v>6775276.1894747065</v>
      </c>
      <c r="F1103" s="86" t="s">
        <v>1151</v>
      </c>
      <c r="G1103" s="25">
        <f t="shared" si="31"/>
        <v>-5.8810159668163386E-3</v>
      </c>
      <c r="I1103" s="86">
        <v>436.54784068667834</v>
      </c>
      <c r="J1103" s="86">
        <v>443.39707866281816</v>
      </c>
      <c r="K1103" s="86">
        <v>431.67504505205756</v>
      </c>
      <c r="L1103" s="86">
        <v>443.10562172766328</v>
      </c>
      <c r="M1103" s="86">
        <v>1669933.1575052419</v>
      </c>
      <c r="N1103" s="86" t="s">
        <v>1151</v>
      </c>
      <c r="O1103" s="25">
        <f t="shared" si="32"/>
        <v>-1.4799588900308303E-2</v>
      </c>
    </row>
    <row r="1104" spans="1:15">
      <c r="A1104" s="86">
        <v>338.50228796028063</v>
      </c>
      <c r="B1104" s="86">
        <v>339.50530009332948</v>
      </c>
      <c r="C1104" s="86">
        <v>335.45013997078246</v>
      </c>
      <c r="D1104" s="86">
        <v>335.92703809414155</v>
      </c>
      <c r="E1104" s="86">
        <v>4018099.2672037603</v>
      </c>
      <c r="F1104" s="86" t="s">
        <v>1152</v>
      </c>
      <c r="G1104" s="25">
        <f t="shared" si="31"/>
        <v>7.6660988074956915E-3</v>
      </c>
      <c r="I1104" s="86">
        <v>444.15304508837613</v>
      </c>
      <c r="J1104" s="86">
        <v>446.81258962166447</v>
      </c>
      <c r="K1104" s="86">
        <v>442.36787136055244</v>
      </c>
      <c r="L1104" s="86">
        <v>444.36252976051873</v>
      </c>
      <c r="M1104" s="86">
        <v>1085060.198797256</v>
      </c>
      <c r="N1104" s="86" t="s">
        <v>1152</v>
      </c>
      <c r="O1104" s="25">
        <f t="shared" si="32"/>
        <v>-4.7142740018046858E-4</v>
      </c>
    </row>
    <row r="1105" spans="1:15">
      <c r="A1105" s="86">
        <v>333.5139335899446</v>
      </c>
      <c r="B1105" s="86">
        <v>334.93985897878827</v>
      </c>
      <c r="C1105" s="86">
        <v>331.1656872305245</v>
      </c>
      <c r="D1105" s="86">
        <v>332.35030216894842</v>
      </c>
      <c r="E1105" s="86">
        <v>5313723.9923502607</v>
      </c>
      <c r="F1105" s="86" t="s">
        <v>1153</v>
      </c>
      <c r="G1105" s="25">
        <f t="shared" si="31"/>
        <v>3.5012196871861967E-3</v>
      </c>
      <c r="I1105" s="86">
        <v>442.78684070483757</v>
      </c>
      <c r="J1105" s="86">
        <v>447.61400511304817</v>
      </c>
      <c r="K1105" s="86">
        <v>438.83851003641126</v>
      </c>
      <c r="L1105" s="86">
        <v>439.80851514872359</v>
      </c>
      <c r="M1105" s="86">
        <v>1113885.3149178773</v>
      </c>
      <c r="N1105" s="86" t="s">
        <v>1153</v>
      </c>
      <c r="O1105" s="25">
        <f t="shared" si="32"/>
        <v>6.7718687872764249E-3</v>
      </c>
    </row>
    <row r="1106" spans="1:15">
      <c r="A1106" s="86">
        <v>333.00680014123066</v>
      </c>
      <c r="B1106" s="86">
        <v>336.35765674309073</v>
      </c>
      <c r="C1106" s="86">
        <v>331.5259683285106</v>
      </c>
      <c r="D1106" s="86">
        <v>336.15831399907074</v>
      </c>
      <c r="E1106" s="86">
        <v>5834587.5377499117</v>
      </c>
      <c r="F1106" s="86" t="s">
        <v>1154</v>
      </c>
      <c r="G1106" s="25">
        <f t="shared" si="31"/>
        <v>-9.3750882444300077E-3</v>
      </c>
      <c r="I1106" s="86">
        <v>438.81573996335231</v>
      </c>
      <c r="J1106" s="86">
        <v>444.45361005275464</v>
      </c>
      <c r="K1106" s="86">
        <v>437.12164652776448</v>
      </c>
      <c r="L1106" s="86">
        <v>438.80663193412863</v>
      </c>
      <c r="M1106" s="86">
        <v>1021015.6085044212</v>
      </c>
      <c r="N1106" s="86" t="s">
        <v>1154</v>
      </c>
      <c r="O1106" s="25">
        <f t="shared" si="32"/>
        <v>2.075636182508056E-5</v>
      </c>
    </row>
    <row r="1107" spans="1:15">
      <c r="A1107" s="86">
        <v>335.90201618533075</v>
      </c>
      <c r="B1107" s="86">
        <v>338.72129213647082</v>
      </c>
      <c r="C1107" s="86">
        <v>333.93706627999069</v>
      </c>
      <c r="D1107" s="86">
        <v>337.6002265141488</v>
      </c>
      <c r="E1107" s="86">
        <v>4775421.0702771358</v>
      </c>
      <c r="F1107" s="86" t="s">
        <v>1155</v>
      </c>
      <c r="G1107" s="25">
        <f t="shared" si="31"/>
        <v>-5.0302404899211783E-3</v>
      </c>
      <c r="I1107" s="86">
        <v>438.81573996335231</v>
      </c>
      <c r="J1107" s="86">
        <v>439.56259835968666</v>
      </c>
      <c r="K1107" s="86">
        <v>431.41546621918525</v>
      </c>
      <c r="L1107" s="86">
        <v>433.20519396162069</v>
      </c>
      <c r="M1107" s="86">
        <v>2844459.4724068991</v>
      </c>
      <c r="N1107" s="86" t="s">
        <v>1155</v>
      </c>
      <c r="O1107" s="25">
        <f t="shared" si="32"/>
        <v>1.2951243613733565E-2</v>
      </c>
    </row>
    <row r="1108" spans="1:15">
      <c r="A1108" s="86">
        <v>339.95531864707084</v>
      </c>
      <c r="B1108" s="86">
        <v>344.80599208489105</v>
      </c>
      <c r="C1108" s="86">
        <v>338.37006920653079</v>
      </c>
      <c r="D1108" s="86">
        <v>344.075068690151</v>
      </c>
      <c r="E1108" s="86">
        <v>5400838.2662373148</v>
      </c>
      <c r="F1108" s="86" t="s">
        <v>1156</v>
      </c>
      <c r="G1108" s="25">
        <f t="shared" si="31"/>
        <v>-1.1973404695561074E-2</v>
      </c>
      <c r="I1108" s="86">
        <v>436.08333119627525</v>
      </c>
      <c r="J1108" s="86">
        <v>441.83049763636063</v>
      </c>
      <c r="K1108" s="86">
        <v>432.74068447121761</v>
      </c>
      <c r="L1108" s="86">
        <v>438.09620565468862</v>
      </c>
      <c r="M1108" s="86">
        <v>1172210.7755591422</v>
      </c>
      <c r="N1108" s="86" t="s">
        <v>1156</v>
      </c>
      <c r="O1108" s="25">
        <f t="shared" si="32"/>
        <v>-4.5945945945944366E-3</v>
      </c>
    </row>
    <row r="1109" spans="1:15">
      <c r="A1109" s="86">
        <v>348.52705663993117</v>
      </c>
      <c r="B1109" s="86">
        <v>353.88083319361135</v>
      </c>
      <c r="C1109" s="86">
        <v>345.76473575851105</v>
      </c>
      <c r="D1109" s="86">
        <v>350.36860389421122</v>
      </c>
      <c r="E1109" s="86">
        <v>4958766.6451546038</v>
      </c>
      <c r="F1109" s="86" t="s">
        <v>1157</v>
      </c>
      <c r="G1109" s="25">
        <f t="shared" si="31"/>
        <v>-5.2560281766458328E-3</v>
      </c>
      <c r="I1109" s="86">
        <v>441.91246989937292</v>
      </c>
      <c r="J1109" s="86">
        <v>444.7177429002387</v>
      </c>
      <c r="K1109" s="86">
        <v>437.31291514145988</v>
      </c>
      <c r="L1109" s="86">
        <v>438.26925820993688</v>
      </c>
      <c r="M1109" s="86">
        <v>1176750.7258584781</v>
      </c>
      <c r="N1109" s="86" t="s">
        <v>1157</v>
      </c>
      <c r="O1109" s="25">
        <f t="shared" si="32"/>
        <v>8.3127247033396579E-3</v>
      </c>
    </row>
    <row r="1110" spans="1:15">
      <c r="A1110" s="86">
        <v>350.64388673119117</v>
      </c>
      <c r="B1110" s="86">
        <v>358.04804579479145</v>
      </c>
      <c r="C1110" s="86">
        <v>348.1862754727731</v>
      </c>
      <c r="D1110" s="86">
        <v>357.97210570183148</v>
      </c>
      <c r="E1110" s="86">
        <v>6491248.3088430529</v>
      </c>
      <c r="F1110" s="86" t="s">
        <v>1158</v>
      </c>
      <c r="G1110" s="25">
        <f t="shared" si="31"/>
        <v>-2.0471480469889669E-2</v>
      </c>
      <c r="I1110" s="86">
        <v>437.38577937524866</v>
      </c>
      <c r="J1110" s="86">
        <v>446.63042903719264</v>
      </c>
      <c r="K1110" s="86">
        <v>435.97403484559214</v>
      </c>
      <c r="L1110" s="86">
        <v>446.2934319559198</v>
      </c>
      <c r="M1110" s="86">
        <v>1900587.8851557428</v>
      </c>
      <c r="N1110" s="86" t="s">
        <v>1158</v>
      </c>
      <c r="O1110" s="25">
        <f t="shared" si="32"/>
        <v>-1.9959183673469272E-2</v>
      </c>
    </row>
    <row r="1111" spans="1:15">
      <c r="A1111" s="86">
        <v>348.07141608217114</v>
      </c>
      <c r="B1111" s="86">
        <v>348.07141608217114</v>
      </c>
      <c r="C1111" s="86">
        <v>343.23023515597095</v>
      </c>
      <c r="D1111" s="86">
        <v>343.89471096937098</v>
      </c>
      <c r="E1111" s="86">
        <v>3103726.5140581476</v>
      </c>
      <c r="F1111" s="86" t="s">
        <v>1159</v>
      </c>
      <c r="G1111" s="25">
        <f t="shared" si="31"/>
        <v>1.2145301976371981E-2</v>
      </c>
      <c r="I1111" s="86">
        <v>442.94167720163864</v>
      </c>
      <c r="J1111" s="86">
        <v>443.71585968564381</v>
      </c>
      <c r="K1111" s="86">
        <v>439.46241003822718</v>
      </c>
      <c r="L1111" s="86">
        <v>441.69387719800676</v>
      </c>
      <c r="M1111" s="86">
        <v>1239779.7287203853</v>
      </c>
      <c r="N1111" s="86" t="s">
        <v>1159</v>
      </c>
      <c r="O1111" s="25">
        <f t="shared" si="32"/>
        <v>2.8250335086090761E-3</v>
      </c>
    </row>
    <row r="1112" spans="1:15">
      <c r="A1112" s="86">
        <v>343.17328008625094</v>
      </c>
      <c r="B1112" s="86">
        <v>346.89453449152347</v>
      </c>
      <c r="C1112" s="86">
        <v>343.00269965243956</v>
      </c>
      <c r="D1112" s="86">
        <v>344.57817180601103</v>
      </c>
      <c r="E1112" s="86">
        <v>4499710.0567150675</v>
      </c>
      <c r="F1112" s="86" t="s">
        <v>1160</v>
      </c>
      <c r="G1112" s="25">
        <f t="shared" si="31"/>
        <v>-4.077134986225972E-3</v>
      </c>
      <c r="I1112" s="86">
        <v>440.44607719437488</v>
      </c>
      <c r="J1112" s="86">
        <v>446.62132100796907</v>
      </c>
      <c r="K1112" s="86">
        <v>440.10908011310204</v>
      </c>
      <c r="L1112" s="86">
        <v>442.32233121443448</v>
      </c>
      <c r="M1112" s="86">
        <v>940387.84787998511</v>
      </c>
      <c r="N1112" s="86" t="s">
        <v>1160</v>
      </c>
      <c r="O1112" s="25">
        <f t="shared" si="32"/>
        <v>-4.2418252203278994E-3</v>
      </c>
    </row>
    <row r="1113" spans="1:15">
      <c r="A1113" s="86">
        <v>345.69828817717104</v>
      </c>
      <c r="B1113" s="86">
        <v>346.61906180431106</v>
      </c>
      <c r="C1113" s="86">
        <v>343.24922017921102</v>
      </c>
      <c r="D1113" s="86">
        <v>344.70157445707099</v>
      </c>
      <c r="E1113" s="86">
        <v>3797220.5295018484</v>
      </c>
      <c r="F1113" s="86" t="s">
        <v>1161</v>
      </c>
      <c r="G1113" s="25">
        <f t="shared" si="31"/>
        <v>2.8915264505824378E-3</v>
      </c>
      <c r="I1113" s="86">
        <v>442.08552245462113</v>
      </c>
      <c r="J1113" s="86">
        <v>445.20957647831261</v>
      </c>
      <c r="K1113" s="86">
        <v>438.59714726198609</v>
      </c>
      <c r="L1113" s="86">
        <v>441.97622610393807</v>
      </c>
      <c r="M1113" s="86">
        <v>836945.05286130379</v>
      </c>
      <c r="N1113" s="86" t="s">
        <v>1161</v>
      </c>
      <c r="O1113" s="25">
        <f t="shared" si="32"/>
        <v>2.4729011251700683E-4</v>
      </c>
    </row>
    <row r="1114" spans="1:15">
      <c r="A1114" s="86">
        <v>342.99292236547097</v>
      </c>
      <c r="B1114" s="86">
        <v>345.15721501483102</v>
      </c>
      <c r="C1114" s="86">
        <v>342.02468618023096</v>
      </c>
      <c r="D1114" s="86">
        <v>342.72713204011097</v>
      </c>
      <c r="E1114" s="86">
        <v>3516431.8292400399</v>
      </c>
      <c r="F1114" s="86" t="s">
        <v>1162</v>
      </c>
      <c r="G1114" s="25">
        <f t="shared" si="31"/>
        <v>7.7551585652946287E-4</v>
      </c>
      <c r="I1114" s="86">
        <v>438.27836623916045</v>
      </c>
      <c r="J1114" s="86">
        <v>445.60122173492698</v>
      </c>
      <c r="K1114" s="86">
        <v>437.6180341204502</v>
      </c>
      <c r="L1114" s="86">
        <v>441.10185529847342</v>
      </c>
      <c r="M1114" s="86">
        <v>1097875.2652770265</v>
      </c>
      <c r="N1114" s="86" t="s">
        <v>1162</v>
      </c>
      <c r="O1114" s="25">
        <f t="shared" si="32"/>
        <v>-6.4009911212058457E-3</v>
      </c>
    </row>
    <row r="1115" spans="1:15">
      <c r="A1115" s="86">
        <v>343.65739817887095</v>
      </c>
      <c r="B1115" s="86">
        <v>348.95421966283118</v>
      </c>
      <c r="C1115" s="86">
        <v>341.66491998983292</v>
      </c>
      <c r="D1115" s="86">
        <v>348.4606090585911</v>
      </c>
      <c r="E1115" s="86">
        <v>4120131.9066701075</v>
      </c>
      <c r="F1115" s="86" t="s">
        <v>1163</v>
      </c>
      <c r="G1115" s="25">
        <f t="shared" si="31"/>
        <v>-1.3784085646571742E-2</v>
      </c>
      <c r="I1115" s="86">
        <v>440.82861442176568</v>
      </c>
      <c r="J1115" s="86">
        <v>447.49569181343372</v>
      </c>
      <c r="K1115" s="86">
        <v>439.18916916151943</v>
      </c>
      <c r="L1115" s="86">
        <v>447.49569181343372</v>
      </c>
      <c r="M1115" s="86">
        <v>1182055.9350111727</v>
      </c>
      <c r="N1115" s="86" t="s">
        <v>1163</v>
      </c>
      <c r="O1115" s="25">
        <f t="shared" si="32"/>
        <v>-1.4898640397297158E-2</v>
      </c>
    </row>
    <row r="1116" spans="1:15">
      <c r="A1116" s="86">
        <v>348.69792184909113</v>
      </c>
      <c r="B1116" s="86">
        <v>353.3017899847913</v>
      </c>
      <c r="C1116" s="86">
        <v>347.41643278039112</v>
      </c>
      <c r="D1116" s="86">
        <v>352.43797142737122</v>
      </c>
      <c r="E1116" s="86">
        <v>3905176.1518938034</v>
      </c>
      <c r="F1116" s="86" t="s">
        <v>1164</v>
      </c>
      <c r="G1116" s="25">
        <f t="shared" si="31"/>
        <v>-1.061193708252528E-2</v>
      </c>
      <c r="I1116" s="86">
        <v>446.90366991390039</v>
      </c>
      <c r="J1116" s="86">
        <v>450.82923050926775</v>
      </c>
      <c r="K1116" s="86">
        <v>444.76328304635666</v>
      </c>
      <c r="L1116" s="86">
        <v>447.08583049837216</v>
      </c>
      <c r="M1116" s="86">
        <v>1490122.5794102317</v>
      </c>
      <c r="N1116" s="86" t="s">
        <v>1164</v>
      </c>
      <c r="O1116" s="25">
        <f t="shared" si="32"/>
        <v>-4.074398516917821E-4</v>
      </c>
    </row>
    <row r="1117" spans="1:15">
      <c r="A1117" s="86">
        <v>355.01993458801132</v>
      </c>
      <c r="B1117" s="86">
        <v>355.85527561057137</v>
      </c>
      <c r="C1117" s="86">
        <v>350.90018454493122</v>
      </c>
      <c r="D1117" s="86">
        <v>350.90018454493122</v>
      </c>
      <c r="E1117" s="86">
        <v>3788232.3919661264</v>
      </c>
      <c r="F1117" s="86" t="s">
        <v>1165</v>
      </c>
      <c r="G1117" s="25">
        <f t="shared" si="31"/>
        <v>1.1740518314126369E-2</v>
      </c>
      <c r="I1117" s="86">
        <v>451.96773416221652</v>
      </c>
      <c r="J1117" s="86">
        <v>454.44511811103303</v>
      </c>
      <c r="K1117" s="86">
        <v>438.83395602179945</v>
      </c>
      <c r="L1117" s="86">
        <v>438.83395602179945</v>
      </c>
      <c r="M1117" s="86">
        <v>1915300.1787497217</v>
      </c>
      <c r="N1117" s="86" t="s">
        <v>1165</v>
      </c>
      <c r="O1117" s="25">
        <f t="shared" si="32"/>
        <v>2.9928810111869764E-2</v>
      </c>
    </row>
    <row r="1118" spans="1:15">
      <c r="A1118" s="86">
        <v>355.53253021549136</v>
      </c>
      <c r="B1118" s="86">
        <v>357.86768807401143</v>
      </c>
      <c r="C1118" s="86">
        <v>353.16889482211133</v>
      </c>
      <c r="D1118" s="86">
        <v>356.79503426095141</v>
      </c>
      <c r="E1118" s="86">
        <v>4855014.336026541</v>
      </c>
      <c r="F1118" s="86" t="s">
        <v>1166</v>
      </c>
      <c r="G1118" s="25">
        <f t="shared" ref="G1118:G1181" si="33">A1118/D1118-1</f>
        <v>-3.5384574453933837E-3</v>
      </c>
      <c r="I1118" s="86">
        <v>440.54626551583442</v>
      </c>
      <c r="J1118" s="86">
        <v>444.47182611120178</v>
      </c>
      <c r="K1118" s="86">
        <v>437.79564069031017</v>
      </c>
      <c r="L1118" s="86">
        <v>443.12383778611041</v>
      </c>
      <c r="M1118" s="86">
        <v>1003128.0945318014</v>
      </c>
      <c r="N1118" s="86" t="s">
        <v>1166</v>
      </c>
      <c r="O1118" s="25">
        <f t="shared" ref="O1118:O1181" si="34">I1118/L1118-1</f>
        <v>-5.8168215078515662E-3</v>
      </c>
    </row>
    <row r="1119" spans="1:15">
      <c r="A1119" s="86">
        <v>355.48506765739137</v>
      </c>
      <c r="B1119" s="86">
        <v>355.57999277359136</v>
      </c>
      <c r="C1119" s="86">
        <v>343.29668273731096</v>
      </c>
      <c r="D1119" s="86">
        <v>345.00533482891103</v>
      </c>
      <c r="E1119" s="86">
        <v>5002713.9181946535</v>
      </c>
      <c r="F1119" s="86" t="s">
        <v>1167</v>
      </c>
      <c r="G1119" s="25">
        <f t="shared" si="33"/>
        <v>3.0375567478332588E-2</v>
      </c>
      <c r="I1119" s="86">
        <v>441.91246989937292</v>
      </c>
      <c r="J1119" s="86">
        <v>442.6046801203658</v>
      </c>
      <c r="K1119" s="86">
        <v>435.11788009857469</v>
      </c>
      <c r="L1119" s="86">
        <v>437.18540273232964</v>
      </c>
      <c r="M1119" s="86">
        <v>1613918.8444770609</v>
      </c>
      <c r="N1119" s="86" t="s">
        <v>1167</v>
      </c>
      <c r="O1119" s="25">
        <f t="shared" si="34"/>
        <v>1.0812499999999892E-2</v>
      </c>
    </row>
    <row r="1120" spans="1:15">
      <c r="A1120" s="86">
        <v>344.872439666231</v>
      </c>
      <c r="B1120" s="86">
        <v>346.64753933917109</v>
      </c>
      <c r="C1120" s="86">
        <v>343.13531003977101</v>
      </c>
      <c r="D1120" s="86">
        <v>345.46097538667107</v>
      </c>
      <c r="E1120" s="86">
        <v>2641840.3267647722</v>
      </c>
      <c r="F1120" s="86" t="s">
        <v>1168</v>
      </c>
      <c r="G1120" s="25">
        <f t="shared" si="33"/>
        <v>-1.7036243233590209E-3</v>
      </c>
      <c r="I1120" s="86">
        <v>438.18728595651538</v>
      </c>
      <c r="J1120" s="86">
        <v>439.08791877933447</v>
      </c>
      <c r="K1120" s="86">
        <v>436.05111162299465</v>
      </c>
      <c r="L1120" s="86">
        <v>437.28212734061674</v>
      </c>
      <c r="M1120" s="86">
        <v>886720.83091557061</v>
      </c>
      <c r="N1120" s="86" t="s">
        <v>1168</v>
      </c>
      <c r="O1120" s="25">
        <f t="shared" si="34"/>
        <v>2.0699648105984014E-3</v>
      </c>
    </row>
    <row r="1121" spans="1:15">
      <c r="A1121" s="86">
        <v>345.47996040991103</v>
      </c>
      <c r="B1121" s="86">
        <v>349.68514305757117</v>
      </c>
      <c r="C1121" s="86">
        <v>344.72055948031101</v>
      </c>
      <c r="D1121" s="86">
        <v>348.24228129133115</v>
      </c>
      <c r="E1121" s="86">
        <v>3747165.2839545179</v>
      </c>
      <c r="F1121" s="86" t="s">
        <v>1169</v>
      </c>
      <c r="G1121" s="25">
        <f t="shared" si="33"/>
        <v>-7.932181213542E-3</v>
      </c>
      <c r="I1121" s="86">
        <v>437.38169478836556</v>
      </c>
      <c r="J1121" s="86">
        <v>439.21916677863976</v>
      </c>
      <c r="K1121" s="86">
        <v>434.47613563133103</v>
      </c>
      <c r="L1121" s="86">
        <v>434.57570307907991</v>
      </c>
      <c r="M1121" s="86">
        <v>1037552.9586796766</v>
      </c>
      <c r="N1121" s="86" t="s">
        <v>1169</v>
      </c>
      <c r="O1121" s="25">
        <f t="shared" si="34"/>
        <v>6.4568536377078711E-3</v>
      </c>
    </row>
    <row r="1122" spans="1:15">
      <c r="A1122" s="86">
        <v>351.03307970761125</v>
      </c>
      <c r="B1122" s="86">
        <v>351.54567533509123</v>
      </c>
      <c r="C1122" s="86">
        <v>350.33063384773118</v>
      </c>
      <c r="D1122" s="86">
        <v>350.64388673119117</v>
      </c>
      <c r="E1122" s="86">
        <v>1499544.1217062788</v>
      </c>
      <c r="F1122" s="86" t="s">
        <v>1170</v>
      </c>
      <c r="G1122" s="25">
        <f t="shared" si="33"/>
        <v>1.1099380059018671E-3</v>
      </c>
      <c r="I1122" s="86">
        <v>437.60798444234018</v>
      </c>
      <c r="J1122" s="86">
        <v>438.54934940287478</v>
      </c>
      <c r="K1122" s="86">
        <v>435.75693507282762</v>
      </c>
      <c r="L1122" s="86">
        <v>438.36831767969505</v>
      </c>
      <c r="M1122" s="86">
        <v>355190.78573960578</v>
      </c>
      <c r="N1122" s="86" t="s">
        <v>1170</v>
      </c>
      <c r="O1122" s="25">
        <f t="shared" si="34"/>
        <v>-1.7344621102622915E-3</v>
      </c>
    </row>
    <row r="1123" spans="1:15">
      <c r="A1123" s="86">
        <v>351.07104975409118</v>
      </c>
      <c r="B1123" s="86">
        <v>351.56456543321502</v>
      </c>
      <c r="C1123" s="86">
        <v>348.39653460515609</v>
      </c>
      <c r="D1123" s="86">
        <v>348.57451919803111</v>
      </c>
      <c r="E1123" s="86">
        <v>2729371.4284649114</v>
      </c>
      <c r="F1123" s="86" t="s">
        <v>1171</v>
      </c>
      <c r="G1123" s="25">
        <f t="shared" si="33"/>
        <v>7.1621143215052641E-3</v>
      </c>
      <c r="I1123" s="86">
        <v>435.44465535034254</v>
      </c>
      <c r="J1123" s="86">
        <v>437.18255989286791</v>
      </c>
      <c r="K1123" s="86">
        <v>433.31753260298086</v>
      </c>
      <c r="L1123" s="86">
        <v>434.27700073583333</v>
      </c>
      <c r="M1123" s="86">
        <v>1127332.8034191793</v>
      </c>
      <c r="N1123" s="86" t="s">
        <v>1171</v>
      </c>
      <c r="O1123" s="25">
        <f t="shared" si="34"/>
        <v>2.6887323356539206E-3</v>
      </c>
    </row>
    <row r="1124" spans="1:15">
      <c r="A1124" s="86">
        <v>348.88777208149116</v>
      </c>
      <c r="B1124" s="86">
        <v>349.02066724417114</v>
      </c>
      <c r="C1124" s="86">
        <v>344.77751455003101</v>
      </c>
      <c r="D1124" s="86">
        <v>346.01154106063103</v>
      </c>
      <c r="E1124" s="86">
        <v>2439779.9999742596</v>
      </c>
      <c r="F1124" s="86" t="s">
        <v>1172</v>
      </c>
      <c r="G1124" s="25">
        <f t="shared" si="33"/>
        <v>8.3125291487202713E-3</v>
      </c>
      <c r="I1124" s="86">
        <v>434.02355632338174</v>
      </c>
      <c r="J1124" s="86">
        <v>438.3321113350591</v>
      </c>
      <c r="K1124" s="86">
        <v>433.82215853134426</v>
      </c>
      <c r="L1124" s="86">
        <v>437.16445672054994</v>
      </c>
      <c r="M1124" s="86">
        <v>926254.23353857384</v>
      </c>
      <c r="N1124" s="86" t="s">
        <v>1172</v>
      </c>
      <c r="O1124" s="25">
        <f t="shared" si="34"/>
        <v>-7.1847112657101864E-3</v>
      </c>
    </row>
    <row r="1125" spans="1:15">
      <c r="A1125" s="86">
        <v>344.30288896903096</v>
      </c>
      <c r="B1125" s="86">
        <v>345.27928871426428</v>
      </c>
      <c r="C1125" s="86">
        <v>342.55626683095096</v>
      </c>
      <c r="D1125" s="86">
        <v>344.35984403875096</v>
      </c>
      <c r="E1125" s="86">
        <v>2526070.1234726785</v>
      </c>
      <c r="F1125" s="86" t="s">
        <v>1173</v>
      </c>
      <c r="G1125" s="25">
        <f t="shared" si="33"/>
        <v>-1.6539405132731666E-4</v>
      </c>
      <c r="I1125" s="86">
        <v>435.32698473027574</v>
      </c>
      <c r="J1125" s="86">
        <v>438.06056375028953</v>
      </c>
      <c r="K1125" s="86">
        <v>432.87400488119056</v>
      </c>
      <c r="L1125" s="86">
        <v>433.10934612132417</v>
      </c>
      <c r="M1125" s="86">
        <v>1912122.3281753273</v>
      </c>
      <c r="N1125" s="86" t="s">
        <v>1173</v>
      </c>
      <c r="O1125" s="25">
        <f t="shared" si="34"/>
        <v>5.1202741959079923E-3</v>
      </c>
    </row>
    <row r="1126" spans="1:15">
      <c r="A1126" s="86">
        <v>345.51793045639107</v>
      </c>
      <c r="B1126" s="86">
        <v>347.03673231559105</v>
      </c>
      <c r="C1126" s="86">
        <v>342.89799724927099</v>
      </c>
      <c r="D1126" s="86">
        <v>346.91332966453109</v>
      </c>
      <c r="E1126" s="86">
        <v>2712000.8940267358</v>
      </c>
      <c r="F1126" s="86" t="s">
        <v>1174</v>
      </c>
      <c r="G1126" s="25">
        <f t="shared" si="33"/>
        <v>-4.0223280249548354E-3</v>
      </c>
      <c r="I1126" s="86">
        <v>431.59773123277347</v>
      </c>
      <c r="J1126" s="86">
        <v>435.26362362716281</v>
      </c>
      <c r="K1126" s="86">
        <v>427.93183883838412</v>
      </c>
      <c r="L1126" s="86">
        <v>428.71027524805692</v>
      </c>
      <c r="M1126" s="86">
        <v>2386762.896639104</v>
      </c>
      <c r="N1126" s="86" t="s">
        <v>1174</v>
      </c>
      <c r="O1126" s="25">
        <f t="shared" si="34"/>
        <v>6.7352152524122744E-3</v>
      </c>
    </row>
    <row r="1127" spans="1:15">
      <c r="A1127" s="86">
        <v>343.99912859719097</v>
      </c>
      <c r="B1127" s="86">
        <v>344.56867929439102</v>
      </c>
      <c r="C1127" s="86">
        <v>340.36824290254089</v>
      </c>
      <c r="D1127" s="86">
        <v>340.5913169256109</v>
      </c>
      <c r="E1127" s="86">
        <v>3460015.7803124133</v>
      </c>
      <c r="F1127" s="86" t="s">
        <v>1175</v>
      </c>
      <c r="G1127" s="25">
        <f t="shared" si="33"/>
        <v>1.0005574136008777E-2</v>
      </c>
      <c r="I1127" s="86">
        <v>427.93183883838412</v>
      </c>
      <c r="J1127" s="86">
        <v>429.75120765634028</v>
      </c>
      <c r="K1127" s="86">
        <v>420.22893901708699</v>
      </c>
      <c r="L1127" s="86">
        <v>420.89875639285196</v>
      </c>
      <c r="M1127" s="86">
        <v>1550085.2285508916</v>
      </c>
      <c r="N1127" s="86" t="s">
        <v>1175</v>
      </c>
      <c r="O1127" s="25">
        <f t="shared" si="34"/>
        <v>1.6709677419354918E-2</v>
      </c>
    </row>
    <row r="1128" spans="1:15">
      <c r="A1128" s="86">
        <v>344.99584231729102</v>
      </c>
      <c r="B1128" s="86">
        <v>346.97028473425109</v>
      </c>
      <c r="C1128" s="86">
        <v>344.43578413171105</v>
      </c>
      <c r="D1128" s="86">
        <v>346.19189878141106</v>
      </c>
      <c r="E1128" s="86">
        <v>2902417.3056528866</v>
      </c>
      <c r="F1128" s="86" t="s">
        <v>1176</v>
      </c>
      <c r="G1128" s="25">
        <f t="shared" si="33"/>
        <v>-3.4548944337812193E-3</v>
      </c>
      <c r="I1128" s="86">
        <v>422.02115307656624</v>
      </c>
      <c r="J1128" s="86">
        <v>424.75464158071844</v>
      </c>
      <c r="K1128" s="86">
        <v>417.8121655126377</v>
      </c>
      <c r="L1128" s="86">
        <v>421.11599446066765</v>
      </c>
      <c r="M1128" s="86">
        <v>1129910.2522320417</v>
      </c>
      <c r="N1128" s="86" t="s">
        <v>1176</v>
      </c>
      <c r="O1128" s="25">
        <f t="shared" si="34"/>
        <v>2.1494282520848618E-3</v>
      </c>
    </row>
    <row r="1129" spans="1:15">
      <c r="A1129" s="86">
        <v>347.63476054765113</v>
      </c>
      <c r="B1129" s="86">
        <v>350.97802314021521</v>
      </c>
      <c r="C1129" s="86">
        <v>344.18897882959095</v>
      </c>
      <c r="D1129" s="86">
        <v>349.94144087131116</v>
      </c>
      <c r="E1129" s="86">
        <v>4843607.4498056322</v>
      </c>
      <c r="F1129" s="86" t="s">
        <v>1177</v>
      </c>
      <c r="G1129" s="25">
        <f t="shared" si="33"/>
        <v>-6.5916180659160162E-3</v>
      </c>
      <c r="I1129" s="86">
        <v>422.93536327862381</v>
      </c>
      <c r="J1129" s="86">
        <v>429.94129096567906</v>
      </c>
      <c r="K1129" s="86">
        <v>414.60790401235664</v>
      </c>
      <c r="L1129" s="86">
        <v>421.65908963020678</v>
      </c>
      <c r="M1129" s="86">
        <v>3615745.2876376458</v>
      </c>
      <c r="N1129" s="86" t="s">
        <v>1177</v>
      </c>
      <c r="O1129" s="25">
        <f t="shared" si="34"/>
        <v>3.0267903142708885E-3</v>
      </c>
    </row>
    <row r="1130" spans="1:15">
      <c r="A1130" s="86">
        <v>344.78700706165102</v>
      </c>
      <c r="B1130" s="86">
        <v>349.12508487199119</v>
      </c>
      <c r="C1130" s="86">
        <v>344.47375417819097</v>
      </c>
      <c r="D1130" s="86">
        <v>346.06849613035104</v>
      </c>
      <c r="E1130" s="86">
        <v>5556287.11466337</v>
      </c>
      <c r="F1130" s="86" t="s">
        <v>1178</v>
      </c>
      <c r="G1130" s="25">
        <f t="shared" si="33"/>
        <v>-3.7029925665852392E-3</v>
      </c>
      <c r="I1130" s="86">
        <v>418.21948688979211</v>
      </c>
      <c r="J1130" s="86">
        <v>427.21676353182426</v>
      </c>
      <c r="K1130" s="86">
        <v>415.80271338534283</v>
      </c>
      <c r="L1130" s="86">
        <v>423.0258791402137</v>
      </c>
      <c r="M1130" s="86">
        <v>2526411.3491642023</v>
      </c>
      <c r="N1130" s="86" t="s">
        <v>1178</v>
      </c>
      <c r="O1130" s="25">
        <f t="shared" si="34"/>
        <v>-1.1361934310473942E-2</v>
      </c>
    </row>
    <row r="1131" spans="1:15">
      <c r="A1131" s="86">
        <v>347.57780547793112</v>
      </c>
      <c r="B1131" s="86">
        <v>348.39416147725115</v>
      </c>
      <c r="C1131" s="86">
        <v>343.38211534189099</v>
      </c>
      <c r="D1131" s="86">
        <v>345.23315510779105</v>
      </c>
      <c r="E1131" s="86">
        <v>5138139.614939807</v>
      </c>
      <c r="F1131" s="86" t="s">
        <v>1179</v>
      </c>
      <c r="G1131" s="25">
        <f t="shared" si="33"/>
        <v>6.7914982540075997E-3</v>
      </c>
      <c r="I1131" s="86">
        <v>419.86687557072753</v>
      </c>
      <c r="J1131" s="86">
        <v>437.94289313022267</v>
      </c>
      <c r="K1131" s="86">
        <v>418.73542730085433</v>
      </c>
      <c r="L1131" s="86">
        <v>435.14595300709601</v>
      </c>
      <c r="M1131" s="86">
        <v>3382653.5440535205</v>
      </c>
      <c r="N1131" s="86" t="s">
        <v>1179</v>
      </c>
      <c r="O1131" s="25">
        <f t="shared" si="34"/>
        <v>-3.5112534842118404E-2</v>
      </c>
    </row>
    <row r="1132" spans="1:15">
      <c r="A1132" s="86">
        <v>344.283903945791</v>
      </c>
      <c r="B1132" s="86">
        <v>344.58766431763098</v>
      </c>
      <c r="C1132" s="86">
        <v>336.4241043244308</v>
      </c>
      <c r="D1132" s="86">
        <v>338.42702427625079</v>
      </c>
      <c r="E1132" s="86">
        <v>4849751.2400199231</v>
      </c>
      <c r="F1132" s="86" t="s">
        <v>1180</v>
      </c>
      <c r="G1132" s="25">
        <f t="shared" si="33"/>
        <v>1.7306181981375568E-2</v>
      </c>
      <c r="I1132" s="86">
        <v>444.22469392455901</v>
      </c>
      <c r="J1132" s="86">
        <v>444.63201530171347</v>
      </c>
      <c r="K1132" s="86">
        <v>434.20458804656147</v>
      </c>
      <c r="L1132" s="86">
        <v>441.95274579865355</v>
      </c>
      <c r="M1132" s="86">
        <v>1768830.3153481204</v>
      </c>
      <c r="N1132" s="86" t="s">
        <v>1180</v>
      </c>
      <c r="O1132" s="25">
        <f t="shared" si="34"/>
        <v>5.140703723425899E-3</v>
      </c>
    </row>
    <row r="1133" spans="1:15">
      <c r="A1133" s="86">
        <v>326.41899707695046</v>
      </c>
      <c r="B1133" s="86">
        <v>332.44674195565068</v>
      </c>
      <c r="C1133" s="86">
        <v>325.9330754071226</v>
      </c>
      <c r="D1133" s="86">
        <v>331.3645956309706</v>
      </c>
      <c r="E1133" s="86">
        <v>3761694.6314571756</v>
      </c>
      <c r="F1133" s="86" t="s">
        <v>1181</v>
      </c>
      <c r="G1133" s="25">
        <f t="shared" si="33"/>
        <v>-1.4924945571215709E-2</v>
      </c>
      <c r="I1133" s="86">
        <v>439.16485726168582</v>
      </c>
      <c r="J1133" s="86">
        <v>445.7363088131097</v>
      </c>
      <c r="K1133" s="86">
        <v>438.31400816274117</v>
      </c>
      <c r="L1133" s="86">
        <v>443.30143213634244</v>
      </c>
      <c r="M1133" s="86">
        <v>1528170.8373584624</v>
      </c>
      <c r="N1133" s="86" t="s">
        <v>1181</v>
      </c>
      <c r="O1133" s="25">
        <f t="shared" si="34"/>
        <v>-9.3312914752424758E-3</v>
      </c>
    </row>
    <row r="1134" spans="1:15">
      <c r="A1134" s="86">
        <v>333.22512790849066</v>
      </c>
      <c r="B1134" s="86">
        <v>335.91150869695076</v>
      </c>
      <c r="C1134" s="86">
        <v>329.46609330697049</v>
      </c>
      <c r="D1134" s="86">
        <v>332.43724944403061</v>
      </c>
      <c r="E1134" s="86">
        <v>3410262.8783507315</v>
      </c>
      <c r="F1134" s="86" t="s">
        <v>1182</v>
      </c>
      <c r="G1134" s="25">
        <f t="shared" si="33"/>
        <v>2.3700065674880921E-3</v>
      </c>
      <c r="I1134" s="86">
        <v>447.25697528781939</v>
      </c>
      <c r="J1134" s="86">
        <v>447.74576094040464</v>
      </c>
      <c r="K1134" s="86">
        <v>440.67113171440275</v>
      </c>
      <c r="L1134" s="86">
        <v>442.51394414051066</v>
      </c>
      <c r="M1134" s="86">
        <v>1348905.0190257155</v>
      </c>
      <c r="N1134" s="86" t="s">
        <v>1182</v>
      </c>
      <c r="O1134" s="25">
        <f t="shared" si="34"/>
        <v>1.0718376697758103E-2</v>
      </c>
    </row>
    <row r="1135" spans="1:15">
      <c r="A1135" s="86">
        <v>331.4215507006906</v>
      </c>
      <c r="B1135" s="86">
        <v>331.96262386303061</v>
      </c>
      <c r="C1135" s="86">
        <v>327.58657600621052</v>
      </c>
      <c r="D1135" s="86">
        <v>329.44710828373053</v>
      </c>
      <c r="E1135" s="86">
        <v>3493908.8123021903</v>
      </c>
      <c r="F1135" s="86" t="s">
        <v>1183</v>
      </c>
      <c r="G1135" s="25">
        <f t="shared" si="33"/>
        <v>5.9932000230507043E-3</v>
      </c>
      <c r="I1135" s="86">
        <v>442.28765448653604</v>
      </c>
      <c r="J1135" s="86">
        <v>443.49151544568116</v>
      </c>
      <c r="K1135" s="86">
        <v>435.34508790259372</v>
      </c>
      <c r="L1135" s="86">
        <v>436.72092899875963</v>
      </c>
      <c r="M1135" s="86">
        <v>1043749.6626622506</v>
      </c>
      <c r="N1135" s="86" t="s">
        <v>1183</v>
      </c>
      <c r="O1135" s="25">
        <f t="shared" si="34"/>
        <v>1.2746642347869264E-2</v>
      </c>
    </row>
    <row r="1136" spans="1:15">
      <c r="A1136" s="86">
        <v>328.27003684285052</v>
      </c>
      <c r="B1136" s="86">
        <v>330.35838939925054</v>
      </c>
      <c r="C1136" s="86">
        <v>322.74539508001033</v>
      </c>
      <c r="D1136" s="86">
        <v>328.83009502843055</v>
      </c>
      <c r="E1136" s="86">
        <v>3850871.2407558612</v>
      </c>
      <c r="F1136" s="86" t="s">
        <v>1184</v>
      </c>
      <c r="G1136" s="25">
        <f t="shared" si="33"/>
        <v>-1.7031840882192339E-3</v>
      </c>
      <c r="I1136" s="86">
        <v>435.98775051988173</v>
      </c>
      <c r="J1136" s="86">
        <v>440.35966663467201</v>
      </c>
      <c r="K1136" s="86">
        <v>427.7508071152044</v>
      </c>
      <c r="L1136" s="86">
        <v>439.1467540893679</v>
      </c>
      <c r="M1136" s="86">
        <v>1598803.7616625952</v>
      </c>
      <c r="N1136" s="86" t="s">
        <v>1184</v>
      </c>
      <c r="O1136" s="25">
        <f t="shared" si="34"/>
        <v>-7.1935031742106359E-3</v>
      </c>
    </row>
    <row r="1137" spans="1:15">
      <c r="A1137" s="86">
        <v>323.53327354447032</v>
      </c>
      <c r="B1137" s="86">
        <v>326.36204200723046</v>
      </c>
      <c r="C1137" s="86">
        <v>321.70121880181028</v>
      </c>
      <c r="D1137" s="86">
        <v>324.01739163709033</v>
      </c>
      <c r="E1137" s="86">
        <v>4777211.9556276668</v>
      </c>
      <c r="F1137" s="86" t="s">
        <v>1185</v>
      </c>
      <c r="G1137" s="25">
        <f t="shared" si="33"/>
        <v>-1.494111443135826E-3</v>
      </c>
      <c r="I1137" s="86">
        <v>438.83900015996232</v>
      </c>
      <c r="J1137" s="86">
        <v>443.50056703184021</v>
      </c>
      <c r="K1137" s="86">
        <v>433.1636556382781</v>
      </c>
      <c r="L1137" s="86">
        <v>434.26794914967434</v>
      </c>
      <c r="M1137" s="86">
        <v>1426390.8858871504</v>
      </c>
      <c r="N1137" s="86" t="s">
        <v>1185</v>
      </c>
      <c r="O1137" s="25">
        <f t="shared" si="34"/>
        <v>1.0525876982721005E-2</v>
      </c>
    </row>
    <row r="1138" spans="1:15">
      <c r="A1138" s="86">
        <v>327.01702530901048</v>
      </c>
      <c r="B1138" s="86">
        <v>339.00132122926084</v>
      </c>
      <c r="C1138" s="86">
        <v>326.9315927044305</v>
      </c>
      <c r="D1138" s="86">
        <v>334.87682493037067</v>
      </c>
      <c r="E1138" s="86">
        <v>5291049.6200159928</v>
      </c>
      <c r="F1138" s="86" t="s">
        <v>1186</v>
      </c>
      <c r="G1138" s="25">
        <f t="shared" si="33"/>
        <v>-2.347071829468772E-2</v>
      </c>
      <c r="I1138" s="86">
        <v>436.3407623800822</v>
      </c>
      <c r="J1138" s="86">
        <v>442.51394414051066</v>
      </c>
      <c r="K1138" s="86">
        <v>435.83387355517897</v>
      </c>
      <c r="L1138" s="86">
        <v>438.58555574751074</v>
      </c>
      <c r="M1138" s="86">
        <v>1427526.5984373528</v>
      </c>
      <c r="N1138" s="86" t="s">
        <v>1186</v>
      </c>
      <c r="O1138" s="25">
        <f t="shared" si="34"/>
        <v>-5.1182564906921968E-3</v>
      </c>
    </row>
    <row r="1139" spans="1:15">
      <c r="A1139" s="86">
        <v>335.57927079025069</v>
      </c>
      <c r="B1139" s="86">
        <v>340.55809313494086</v>
      </c>
      <c r="C1139" s="86">
        <v>334.41169186099069</v>
      </c>
      <c r="D1139" s="86">
        <v>340.33501911187085</v>
      </c>
      <c r="E1139" s="86">
        <v>8442738.1506852917</v>
      </c>
      <c r="F1139" s="86" t="s">
        <v>1187</v>
      </c>
      <c r="G1139" s="25">
        <f t="shared" si="33"/>
        <v>-1.3973726048029489E-2</v>
      </c>
      <c r="I1139" s="86">
        <v>439.57217863884023</v>
      </c>
      <c r="J1139" s="86">
        <v>444.57317999167998</v>
      </c>
      <c r="K1139" s="86">
        <v>437.97909947485869</v>
      </c>
      <c r="L1139" s="86">
        <v>439.93424208519963</v>
      </c>
      <c r="M1139" s="86">
        <v>1358799.4174689197</v>
      </c>
      <c r="N1139" s="86" t="s">
        <v>1187</v>
      </c>
      <c r="O1139" s="25">
        <f t="shared" si="34"/>
        <v>-8.2299446536215903E-4</v>
      </c>
    </row>
    <row r="1140" spans="1:15">
      <c r="A1140" s="86">
        <v>336.93669995191078</v>
      </c>
      <c r="B1140" s="86">
        <v>338.80672474105086</v>
      </c>
      <c r="C1140" s="86">
        <v>336.08237390611077</v>
      </c>
      <c r="D1140" s="86">
        <v>337.13604269593083</v>
      </c>
      <c r="E1140" s="86">
        <v>6774772.8498432897</v>
      </c>
      <c r="F1140" s="86" t="s">
        <v>1188</v>
      </c>
      <c r="G1140" s="25">
        <f t="shared" si="33"/>
        <v>-5.9128280211750983E-4</v>
      </c>
      <c r="I1140" s="86">
        <v>440.52259518553376</v>
      </c>
      <c r="J1140" s="86">
        <v>441.92559104017658</v>
      </c>
      <c r="K1140" s="86">
        <v>433.9640874023172</v>
      </c>
      <c r="L1140" s="86">
        <v>434.88345700848544</v>
      </c>
      <c r="M1140" s="86">
        <v>1423420.1358409494</v>
      </c>
      <c r="N1140" s="86" t="s">
        <v>1188</v>
      </c>
      <c r="O1140" s="25">
        <f t="shared" si="34"/>
        <v>1.2967010094702802E-2</v>
      </c>
    </row>
    <row r="1141" spans="1:15">
      <c r="A1141" s="86">
        <v>339.24338027557081</v>
      </c>
      <c r="B1141" s="86">
        <v>339.81293097277086</v>
      </c>
      <c r="C1141" s="86">
        <v>331.24119297991058</v>
      </c>
      <c r="D1141" s="86">
        <v>331.32662558449061</v>
      </c>
      <c r="E1141" s="86">
        <v>4622673.2983444687</v>
      </c>
      <c r="F1141" s="86" t="s">
        <v>1189</v>
      </c>
      <c r="G1141" s="25">
        <f t="shared" si="33"/>
        <v>2.3894109557643706E-2</v>
      </c>
      <c r="I1141" s="86">
        <v>438.88425809075727</v>
      </c>
      <c r="J1141" s="86">
        <v>444.55960261244149</v>
      </c>
      <c r="K1141" s="86">
        <v>427.5064142889118</v>
      </c>
      <c r="L1141" s="86">
        <v>429.04518393593941</v>
      </c>
      <c r="M1141" s="86">
        <v>2259873.5338438591</v>
      </c>
      <c r="N1141" s="86" t="s">
        <v>1189</v>
      </c>
      <c r="O1141" s="25">
        <f t="shared" si="34"/>
        <v>2.2932489451476856E-2</v>
      </c>
    </row>
    <row r="1142" spans="1:15">
      <c r="A1142" s="86">
        <v>331.50698330527064</v>
      </c>
      <c r="B1142" s="86">
        <v>335.83556860399074</v>
      </c>
      <c r="C1142" s="86">
        <v>330.90420881740062</v>
      </c>
      <c r="D1142" s="86">
        <v>334.18387158211067</v>
      </c>
      <c r="E1142" s="86">
        <v>4366876.9298803005</v>
      </c>
      <c r="F1142" s="86" t="s">
        <v>1190</v>
      </c>
      <c r="G1142" s="25">
        <f t="shared" si="33"/>
        <v>-8.0102258201958376E-3</v>
      </c>
      <c r="I1142" s="86">
        <v>427.17150560102931</v>
      </c>
      <c r="J1142" s="86">
        <v>429.20358669372166</v>
      </c>
      <c r="K1142" s="86">
        <v>420.35566122331278</v>
      </c>
      <c r="L1142" s="86">
        <v>420.51858977417453</v>
      </c>
      <c r="M1142" s="86">
        <v>1672424.0076941091</v>
      </c>
      <c r="N1142" s="86" t="s">
        <v>1190</v>
      </c>
      <c r="O1142" s="25">
        <f t="shared" si="34"/>
        <v>1.5820741314735987E-2</v>
      </c>
    </row>
    <row r="1143" spans="1:15">
      <c r="A1143" s="86">
        <v>333.29157548983068</v>
      </c>
      <c r="B1143" s="86">
        <v>338.09478636955083</v>
      </c>
      <c r="C1143" s="86">
        <v>332.65557721129062</v>
      </c>
      <c r="D1143" s="86">
        <v>332.90238251341066</v>
      </c>
      <c r="E1143" s="86">
        <v>4506402.7006161967</v>
      </c>
      <c r="F1143" s="86" t="s">
        <v>1191</v>
      </c>
      <c r="G1143" s="25">
        <f t="shared" si="33"/>
        <v>1.1690903906473871E-3</v>
      </c>
      <c r="I1143" s="86">
        <v>418.69016937005938</v>
      </c>
      <c r="J1143" s="86">
        <v>426.00385098652009</v>
      </c>
      <c r="K1143" s="86">
        <v>416.78933627667226</v>
      </c>
      <c r="L1143" s="86">
        <v>418.33715750985891</v>
      </c>
      <c r="M1143" s="86">
        <v>1717723.2505890063</v>
      </c>
      <c r="N1143" s="86" t="s">
        <v>1191</v>
      </c>
      <c r="O1143" s="25">
        <f t="shared" si="34"/>
        <v>8.4384533829551245E-4</v>
      </c>
    </row>
    <row r="1144" spans="1:15">
      <c r="A1144" s="86">
        <v>335.79759855751075</v>
      </c>
      <c r="B1144" s="86">
        <v>336.0633888828707</v>
      </c>
      <c r="C1144" s="86">
        <v>330.36788191087055</v>
      </c>
      <c r="D1144" s="86">
        <v>330.38686693411057</v>
      </c>
      <c r="E1144" s="86">
        <v>5481579.8055350007</v>
      </c>
      <c r="F1144" s="86" t="s">
        <v>1192</v>
      </c>
      <c r="G1144" s="25">
        <f t="shared" si="33"/>
        <v>1.6376957333716469E-2</v>
      </c>
      <c r="I1144" s="86">
        <v>416.50873710574371</v>
      </c>
      <c r="J1144" s="86">
        <v>419.57269902056049</v>
      </c>
      <c r="K1144" s="86">
        <v>409.30367452319081</v>
      </c>
      <c r="L1144" s="86">
        <v>410.98726954876224</v>
      </c>
      <c r="M1144" s="86">
        <v>1697994.1117548461</v>
      </c>
      <c r="N1144" s="86" t="s">
        <v>1192</v>
      </c>
      <c r="O1144" s="25">
        <f t="shared" si="34"/>
        <v>1.3434643761700116E-2</v>
      </c>
    </row>
    <row r="1145" spans="1:15">
      <c r="A1145" s="86">
        <v>330.42483698059056</v>
      </c>
      <c r="B1145" s="86">
        <v>331.50698330527064</v>
      </c>
      <c r="C1145" s="86">
        <v>325.46974591495041</v>
      </c>
      <c r="D1145" s="86">
        <v>327.91881391291048</v>
      </c>
      <c r="E1145" s="86">
        <v>5940911.347548943</v>
      </c>
      <c r="F1145" s="86" t="s">
        <v>1193</v>
      </c>
      <c r="G1145" s="25">
        <f t="shared" si="33"/>
        <v>7.642205818497505E-3</v>
      </c>
      <c r="I1145" s="86">
        <v>414.07386042897645</v>
      </c>
      <c r="J1145" s="86">
        <v>421.96421859962618</v>
      </c>
      <c r="K1145" s="86">
        <v>412.3541495746307</v>
      </c>
      <c r="L1145" s="86">
        <v>415.54021738673219</v>
      </c>
      <c r="M1145" s="86">
        <v>2224658.7113363636</v>
      </c>
      <c r="N1145" s="86" t="s">
        <v>1193</v>
      </c>
      <c r="O1145" s="25">
        <f t="shared" si="34"/>
        <v>-3.5287967238825102E-3</v>
      </c>
    </row>
    <row r="1146" spans="1:15">
      <c r="A1146" s="86">
        <v>326.44747461181043</v>
      </c>
      <c r="B1146" s="86">
        <v>326.9130823067714</v>
      </c>
      <c r="C1146" s="86">
        <v>317.17329075907014</v>
      </c>
      <c r="D1146" s="86">
        <v>318.47376485101017</v>
      </c>
      <c r="E1146" s="86">
        <v>4595654.1057148166</v>
      </c>
      <c r="F1146" s="86" t="s">
        <v>1194</v>
      </c>
      <c r="G1146" s="25">
        <f t="shared" si="33"/>
        <v>2.5037257824143122E-2</v>
      </c>
      <c r="I1146" s="86">
        <v>411.49415837366547</v>
      </c>
      <c r="J1146" s="86">
        <v>411.56657106293733</v>
      </c>
      <c r="K1146" s="86">
        <v>398.40556478777154</v>
      </c>
      <c r="L1146" s="86">
        <v>401.63698104652963</v>
      </c>
      <c r="M1146" s="86">
        <v>1789934.9037202206</v>
      </c>
      <c r="N1146" s="86" t="s">
        <v>1194</v>
      </c>
      <c r="O1146" s="25">
        <f t="shared" si="34"/>
        <v>2.4542504281979571E-2</v>
      </c>
    </row>
    <row r="1147" spans="1:15">
      <c r="A1147" s="86">
        <v>318.78701773447017</v>
      </c>
      <c r="B1147" s="86">
        <v>325.0425828920504</v>
      </c>
      <c r="C1147" s="86">
        <v>318.04660182811017</v>
      </c>
      <c r="D1147" s="86">
        <v>321.00826545355028</v>
      </c>
      <c r="E1147" s="86">
        <v>3643987.111600596</v>
      </c>
      <c r="F1147" s="86" t="s">
        <v>1195</v>
      </c>
      <c r="G1147" s="25">
        <f t="shared" si="33"/>
        <v>-6.9195966525713581E-3</v>
      </c>
      <c r="I1147" s="86">
        <v>402.19817938838673</v>
      </c>
      <c r="J1147" s="86">
        <v>403.07618324580841</v>
      </c>
      <c r="K1147" s="86">
        <v>396.41421583279464</v>
      </c>
      <c r="L1147" s="86">
        <v>397.92583072134533</v>
      </c>
      <c r="M1147" s="86">
        <v>1967945.6933982687</v>
      </c>
      <c r="N1147" s="86" t="s">
        <v>1195</v>
      </c>
      <c r="O1147" s="25">
        <f t="shared" si="34"/>
        <v>1.0736545198125613E-2</v>
      </c>
    </row>
    <row r="1148" spans="1:15">
      <c r="A1148" s="86">
        <v>321.42593596483027</v>
      </c>
      <c r="B1148" s="86">
        <v>324.33064452055038</v>
      </c>
      <c r="C1148" s="86">
        <v>318.85346531581018</v>
      </c>
      <c r="D1148" s="86">
        <v>321.83411396449031</v>
      </c>
      <c r="E1148" s="86">
        <v>4638638.5145134637</v>
      </c>
      <c r="F1148" s="86" t="s">
        <v>1196</v>
      </c>
      <c r="G1148" s="25">
        <f t="shared" si="33"/>
        <v>-1.2682869277962361E-3</v>
      </c>
      <c r="I1148" s="86">
        <v>398.23358465075086</v>
      </c>
      <c r="J1148" s="86">
        <v>405.11731592465975</v>
      </c>
      <c r="K1148" s="86">
        <v>389.53501035196524</v>
      </c>
      <c r="L1148" s="86">
        <v>392.81168454151822</v>
      </c>
      <c r="M1148" s="86">
        <v>2898568.22209589</v>
      </c>
      <c r="N1148" s="86" t="s">
        <v>1196</v>
      </c>
      <c r="O1148" s="25">
        <f t="shared" si="34"/>
        <v>1.3802797428393632E-2</v>
      </c>
    </row>
    <row r="1149" spans="1:15">
      <c r="A1149" s="86">
        <v>323.66616870715035</v>
      </c>
      <c r="B1149" s="86">
        <v>327.49165089001048</v>
      </c>
      <c r="C1149" s="86">
        <v>320.62381873294026</v>
      </c>
      <c r="D1149" s="86">
        <v>327.18789051817049</v>
      </c>
      <c r="E1149" s="86">
        <v>5165416.9057523292</v>
      </c>
      <c r="F1149" s="86" t="s">
        <v>1197</v>
      </c>
      <c r="G1149" s="25">
        <f t="shared" si="33"/>
        <v>-1.0763606823720684E-2</v>
      </c>
      <c r="I1149" s="86">
        <v>390.88369668965413</v>
      </c>
      <c r="J1149" s="86">
        <v>394.20508571483253</v>
      </c>
      <c r="K1149" s="86">
        <v>363.45739062792643</v>
      </c>
      <c r="L1149" s="86">
        <v>364.91469599952313</v>
      </c>
      <c r="M1149" s="86">
        <v>5069321.4641112108</v>
      </c>
      <c r="N1149" s="86" t="s">
        <v>1197</v>
      </c>
      <c r="O1149" s="25">
        <f t="shared" si="34"/>
        <v>7.1164578940840828E-2</v>
      </c>
    </row>
    <row r="1150" spans="1:15">
      <c r="A1150" s="86">
        <v>319.89764159401022</v>
      </c>
      <c r="B1150" s="86">
        <v>320.94181787221027</v>
      </c>
      <c r="C1150" s="86">
        <v>317.48654364253014</v>
      </c>
      <c r="D1150" s="86">
        <v>317.59096127035014</v>
      </c>
      <c r="E1150" s="86">
        <v>4097457.1912084483</v>
      </c>
      <c r="F1150" s="86" t="s">
        <v>1198</v>
      </c>
      <c r="G1150" s="25">
        <f t="shared" si="33"/>
        <v>7.2630540694025303E-3</v>
      </c>
      <c r="I1150" s="86">
        <v>359.62856968267528</v>
      </c>
      <c r="J1150" s="86">
        <v>362.61106732206122</v>
      </c>
      <c r="K1150" s="86">
        <v>354.95342543155897</v>
      </c>
      <c r="L1150" s="86">
        <v>355.72733604815232</v>
      </c>
      <c r="M1150" s="86">
        <v>1786651.5012890901</v>
      </c>
      <c r="N1150" s="86" t="s">
        <v>1198</v>
      </c>
      <c r="O1150" s="25">
        <f t="shared" si="34"/>
        <v>1.0966921119592854E-2</v>
      </c>
    </row>
    <row r="1151" spans="1:15">
      <c r="A1151" s="86">
        <v>311.97139439130996</v>
      </c>
      <c r="B1151" s="86">
        <v>322.92575280079035</v>
      </c>
      <c r="C1151" s="86">
        <v>311.37811241505995</v>
      </c>
      <c r="D1151" s="86">
        <v>321.43542847645028</v>
      </c>
      <c r="E1151" s="86">
        <v>5145106.1589533705</v>
      </c>
      <c r="F1151" s="86" t="s">
        <v>1199</v>
      </c>
      <c r="G1151" s="25">
        <f t="shared" si="33"/>
        <v>-2.9443033488866677E-2</v>
      </c>
      <c r="I1151" s="86">
        <v>352.47781661707631</v>
      </c>
      <c r="J1151" s="86">
        <v>366.93319971297706</v>
      </c>
      <c r="K1151" s="86">
        <v>351.29205883024918</v>
      </c>
      <c r="L1151" s="86">
        <v>365.98278316628347</v>
      </c>
      <c r="M1151" s="86">
        <v>1514089.3274704453</v>
      </c>
      <c r="N1151" s="86" t="s">
        <v>1199</v>
      </c>
      <c r="O1151" s="25">
        <f t="shared" si="34"/>
        <v>-3.6900551529690961E-2</v>
      </c>
    </row>
    <row r="1152" spans="1:15">
      <c r="A1152" s="86">
        <v>319.15722568765023</v>
      </c>
      <c r="B1152" s="86">
        <v>320.53838612836023</v>
      </c>
      <c r="C1152" s="86">
        <v>303.63696918894971</v>
      </c>
      <c r="D1152" s="86">
        <v>304.55774281608973</v>
      </c>
      <c r="E1152" s="86">
        <v>6738881.4004947152</v>
      </c>
      <c r="F1152" s="86" t="s">
        <v>1200</v>
      </c>
      <c r="G1152" s="25">
        <f t="shared" si="33"/>
        <v>4.7936666251090942E-2</v>
      </c>
      <c r="I1152" s="86">
        <v>367.45819171019821</v>
      </c>
      <c r="J1152" s="86">
        <v>368.44481460152775</v>
      </c>
      <c r="K1152" s="86">
        <v>354.11995537803955</v>
      </c>
      <c r="L1152" s="86">
        <v>355.72733604815232</v>
      </c>
      <c r="M1152" s="86">
        <v>1118761.9299128843</v>
      </c>
      <c r="N1152" s="86" t="s">
        <v>1200</v>
      </c>
      <c r="O1152" s="25">
        <f t="shared" si="34"/>
        <v>3.2977099236641161E-2</v>
      </c>
    </row>
    <row r="1153" spans="1:15">
      <c r="A1153" s="86">
        <v>311.01265071768995</v>
      </c>
      <c r="B1153" s="86">
        <v>313.80344913396999</v>
      </c>
      <c r="C1153" s="86">
        <v>310.82280048528992</v>
      </c>
      <c r="D1153" s="86">
        <v>312.44601997230995</v>
      </c>
      <c r="E1153" s="86">
        <v>3408014.79050483</v>
      </c>
      <c r="F1153" s="86" t="s">
        <v>1201</v>
      </c>
      <c r="G1153" s="25">
        <f t="shared" si="33"/>
        <v>-4.5875740543823706E-3</v>
      </c>
      <c r="I1153" s="86">
        <v>359.72813713042416</v>
      </c>
      <c r="J1153" s="86">
        <v>370.11935804094014</v>
      </c>
      <c r="K1153" s="86">
        <v>359.47469271797252</v>
      </c>
      <c r="L1153" s="86">
        <v>368.33619556761988</v>
      </c>
      <c r="M1153" s="86">
        <v>1018435.8672704309</v>
      </c>
      <c r="N1153" s="86" t="s">
        <v>1201</v>
      </c>
      <c r="O1153" s="25">
        <f t="shared" si="34"/>
        <v>-2.337011279581247E-2</v>
      </c>
    </row>
    <row r="1154" spans="1:15">
      <c r="A1154" s="86">
        <v>311.98088690293002</v>
      </c>
      <c r="B1154" s="86">
        <v>316.63221759673013</v>
      </c>
      <c r="C1154" s="86">
        <v>310.26274229970994</v>
      </c>
      <c r="D1154" s="86">
        <v>312.49348253041001</v>
      </c>
      <c r="E1154" s="86">
        <v>5233712.8453257997</v>
      </c>
      <c r="F1154" s="86" t="s">
        <v>1202</v>
      </c>
      <c r="G1154" s="25">
        <f t="shared" si="33"/>
        <v>-1.6403402187119553E-3</v>
      </c>
      <c r="I1154" s="86">
        <v>372.07450065128114</v>
      </c>
      <c r="J1154" s="86">
        <v>376.68628379928452</v>
      </c>
      <c r="K1154" s="86">
        <v>367.1866441254287</v>
      </c>
      <c r="L1154" s="86">
        <v>367.1866441254287</v>
      </c>
      <c r="M1154" s="86">
        <v>1119758.4403411748</v>
      </c>
      <c r="N1154" s="86" t="s">
        <v>1202</v>
      </c>
      <c r="O1154" s="25">
        <f t="shared" si="34"/>
        <v>1.3311640289897841E-2</v>
      </c>
    </row>
    <row r="1155" spans="1:15">
      <c r="A1155" s="86">
        <v>314.05025443609003</v>
      </c>
      <c r="B1155" s="86">
        <v>317.68588638655018</v>
      </c>
      <c r="C1155" s="86">
        <v>311.98088690293002</v>
      </c>
      <c r="D1155" s="86">
        <v>317.4960361541502</v>
      </c>
      <c r="E1155" s="86">
        <v>4144171.9088460533</v>
      </c>
      <c r="F1155" s="86" t="s">
        <v>1203</v>
      </c>
      <c r="G1155" s="25">
        <f t="shared" si="33"/>
        <v>-1.0852991299668324E-2</v>
      </c>
      <c r="I1155" s="86">
        <v>371.10598093226963</v>
      </c>
      <c r="J1155" s="86">
        <v>378.92646085777199</v>
      </c>
      <c r="K1155" s="86">
        <v>367.63017184721895</v>
      </c>
      <c r="L1155" s="86">
        <v>368.93360025411295</v>
      </c>
      <c r="M1155" s="86">
        <v>1229035.4203783178</v>
      </c>
      <c r="N1155" s="86" t="s">
        <v>1203</v>
      </c>
      <c r="O1155" s="25">
        <f t="shared" si="34"/>
        <v>5.8882700753208894E-3</v>
      </c>
    </row>
    <row r="1156" spans="1:15">
      <c r="A1156" s="86">
        <v>316.41388982947012</v>
      </c>
      <c r="B1156" s="86">
        <v>322.11888931309028</v>
      </c>
      <c r="C1156" s="86">
        <v>314.81914787731006</v>
      </c>
      <c r="D1156" s="86">
        <v>321.8720840109703</v>
      </c>
      <c r="E1156" s="86">
        <v>5444371.5287228003</v>
      </c>
      <c r="F1156" s="86" t="s">
        <v>1204</v>
      </c>
      <c r="G1156" s="25">
        <f t="shared" si="33"/>
        <v>-1.6957650112067957E-2</v>
      </c>
      <c r="I1156" s="86">
        <v>365.64787447840098</v>
      </c>
      <c r="J1156" s="86">
        <v>366.29053709568905</v>
      </c>
      <c r="K1156" s="86">
        <v>358.45186348200707</v>
      </c>
      <c r="L1156" s="86">
        <v>360.76001795254854</v>
      </c>
      <c r="M1156" s="86">
        <v>1242565.6456724135</v>
      </c>
      <c r="N1156" s="86" t="s">
        <v>1204</v>
      </c>
      <c r="O1156" s="25">
        <f t="shared" si="34"/>
        <v>1.3548775592131523E-2</v>
      </c>
    </row>
    <row r="1157" spans="1:15">
      <c r="A1157" s="86">
        <v>325.55517851953039</v>
      </c>
      <c r="B1157" s="86">
        <v>330.32041935277056</v>
      </c>
      <c r="C1157" s="86">
        <v>325.10903047339042</v>
      </c>
      <c r="D1157" s="86">
        <v>327.66251609917049</v>
      </c>
      <c r="E1157" s="86">
        <v>4087023.7038486511</v>
      </c>
      <c r="F1157" s="86" t="s">
        <v>1205</v>
      </c>
      <c r="G1157" s="25">
        <f t="shared" si="33"/>
        <v>-6.4314270815227781E-3</v>
      </c>
      <c r="I1157" s="86">
        <v>361.71043449924213</v>
      </c>
      <c r="J1157" s="86">
        <v>365.31749158359804</v>
      </c>
      <c r="K1157" s="86">
        <v>360.32554181691722</v>
      </c>
      <c r="L1157" s="86">
        <v>363.52980331719829</v>
      </c>
      <c r="M1157" s="86">
        <v>824905.14577794191</v>
      </c>
      <c r="N1157" s="86" t="s">
        <v>1205</v>
      </c>
      <c r="O1157" s="25">
        <f t="shared" si="34"/>
        <v>-5.0047308400974488E-3</v>
      </c>
    </row>
    <row r="1158" spans="1:15">
      <c r="A1158" s="86">
        <v>329.01994526083053</v>
      </c>
      <c r="B1158" s="86">
        <v>330.94692511969055</v>
      </c>
      <c r="C1158" s="86">
        <v>323.56175107933035</v>
      </c>
      <c r="D1158" s="86">
        <v>325.70705870545044</v>
      </c>
      <c r="E1158" s="86">
        <v>5010024.9442727026</v>
      </c>
      <c r="F1158" s="86" t="s">
        <v>1206</v>
      </c>
      <c r="G1158" s="25">
        <f t="shared" si="33"/>
        <v>1.0171368617393206E-2</v>
      </c>
      <c r="I1158" s="86">
        <v>364.33539448534805</v>
      </c>
      <c r="J1158" s="86">
        <v>368.99696135722587</v>
      </c>
      <c r="K1158" s="86">
        <v>362.76947007984342</v>
      </c>
      <c r="L1158" s="86">
        <v>367.59396550258305</v>
      </c>
      <c r="M1158" s="86">
        <v>915160.04537793784</v>
      </c>
      <c r="N1158" s="86" t="s">
        <v>1206</v>
      </c>
      <c r="O1158" s="25">
        <f t="shared" si="34"/>
        <v>-8.8645933367806906E-3</v>
      </c>
    </row>
    <row r="1159" spans="1:15">
      <c r="A1159" s="86">
        <v>329.58949595803051</v>
      </c>
      <c r="B1159" s="86">
        <v>329.70340609747052</v>
      </c>
      <c r="C1159" s="86">
        <v>324.76730005507039</v>
      </c>
      <c r="D1159" s="86">
        <v>324.77679256669035</v>
      </c>
      <c r="E1159" s="86">
        <v>5383145.3724360429</v>
      </c>
      <c r="F1159" s="86" t="s">
        <v>1207</v>
      </c>
      <c r="G1159" s="25">
        <f t="shared" si="33"/>
        <v>1.4818495352779681E-2</v>
      </c>
      <c r="I1159" s="86">
        <v>367.59396550258305</v>
      </c>
      <c r="J1159" s="86">
        <v>369.15988990808762</v>
      </c>
      <c r="K1159" s="86">
        <v>361.90956939473978</v>
      </c>
      <c r="L1159" s="86">
        <v>364.87848965488723</v>
      </c>
      <c r="M1159" s="86">
        <v>1171206.8817325968</v>
      </c>
      <c r="N1159" s="86" t="s">
        <v>1207</v>
      </c>
      <c r="O1159" s="25">
        <f t="shared" si="34"/>
        <v>7.4421373818560621E-3</v>
      </c>
    </row>
    <row r="1160" spans="1:15">
      <c r="A1160" s="86">
        <v>319.87865657077026</v>
      </c>
      <c r="B1160" s="86">
        <v>321.47339852293032</v>
      </c>
      <c r="C1160" s="86">
        <v>313.34780857621001</v>
      </c>
      <c r="D1160" s="86">
        <v>314.95204303999009</v>
      </c>
      <c r="E1160" s="86">
        <v>6045815.0906111998</v>
      </c>
      <c r="F1160" s="86" t="s">
        <v>1208</v>
      </c>
      <c r="G1160" s="25">
        <f t="shared" si="33"/>
        <v>1.5642424425088119E-2</v>
      </c>
      <c r="I1160" s="86">
        <v>361.82810511930893</v>
      </c>
      <c r="J1160" s="86">
        <v>364.62504524243559</v>
      </c>
      <c r="K1160" s="86">
        <v>352.17911427382973</v>
      </c>
      <c r="L1160" s="86">
        <v>352.77651896032285</v>
      </c>
      <c r="M1160" s="86">
        <v>1407236.2320005633</v>
      </c>
      <c r="N1160" s="86" t="s">
        <v>1208</v>
      </c>
      <c r="O1160" s="25">
        <f t="shared" si="34"/>
        <v>2.5658131061733425E-2</v>
      </c>
    </row>
    <row r="1161" spans="1:15">
      <c r="A1161" s="86">
        <v>311.63915648461</v>
      </c>
      <c r="B1161" s="86">
        <v>319.12874815279019</v>
      </c>
      <c r="C1161" s="86">
        <v>311.46829127544999</v>
      </c>
      <c r="D1161" s="86">
        <v>315.69245894635009</v>
      </c>
      <c r="E1161" s="86">
        <v>8150246.541388751</v>
      </c>
      <c r="F1161" s="86" t="s">
        <v>1209</v>
      </c>
      <c r="G1161" s="25">
        <f t="shared" si="33"/>
        <v>-1.2839402231109132E-2</v>
      </c>
      <c r="I1161" s="86">
        <v>349.65372173547269</v>
      </c>
      <c r="J1161" s="86">
        <v>352.92134433886662</v>
      </c>
      <c r="K1161" s="86">
        <v>345.36326989611325</v>
      </c>
      <c r="L1161" s="86">
        <v>345.43568258538517</v>
      </c>
      <c r="M1161" s="86">
        <v>1484512.1909003849</v>
      </c>
      <c r="N1161" s="86" t="s">
        <v>1209</v>
      </c>
      <c r="O1161" s="25">
        <f t="shared" si="34"/>
        <v>1.2210780074941807E-2</v>
      </c>
    </row>
    <row r="1162" spans="1:15">
      <c r="A1162" s="86">
        <v>316.46135238757012</v>
      </c>
      <c r="B1162" s="86">
        <v>320.18241694261025</v>
      </c>
      <c r="C1162" s="86">
        <v>313.75598657587</v>
      </c>
      <c r="D1162" s="86">
        <v>320.04002926831021</v>
      </c>
      <c r="E1162" s="86">
        <v>7616657.5185080143</v>
      </c>
      <c r="F1162" s="86" t="s">
        <v>1210</v>
      </c>
      <c r="G1162" s="25">
        <f t="shared" si="33"/>
        <v>-1.1181966483760908E-2</v>
      </c>
      <c r="I1162" s="86">
        <v>352.82177689111779</v>
      </c>
      <c r="J1162" s="86">
        <v>361.5294027760624</v>
      </c>
      <c r="K1162" s="86">
        <v>349.28713249603368</v>
      </c>
      <c r="L1162" s="86">
        <v>361.14018457122597</v>
      </c>
      <c r="M1162" s="86">
        <v>1245926.3826157171</v>
      </c>
      <c r="N1162" s="86" t="s">
        <v>1210</v>
      </c>
      <c r="O1162" s="25">
        <f t="shared" si="34"/>
        <v>-2.3033736026868534E-2</v>
      </c>
    </row>
    <row r="1163" spans="1:15">
      <c r="A1163" s="86">
        <v>323.20103563777036</v>
      </c>
      <c r="B1163" s="86">
        <v>324.73882252021042</v>
      </c>
      <c r="C1163" s="86">
        <v>316.27150215517014</v>
      </c>
      <c r="D1163" s="86">
        <v>317.8092890376102</v>
      </c>
      <c r="E1163" s="86">
        <v>9148210.0287381299</v>
      </c>
      <c r="F1163" s="86" t="s">
        <v>1211</v>
      </c>
      <c r="G1163" s="25">
        <f t="shared" si="33"/>
        <v>1.6965352449223481E-2</v>
      </c>
      <c r="I1163" s="86">
        <v>362.06344635944254</v>
      </c>
      <c r="J1163" s="86">
        <v>363.95522786667061</v>
      </c>
      <c r="K1163" s="86">
        <v>354.00753467794499</v>
      </c>
      <c r="L1163" s="86">
        <v>359.52900223492645</v>
      </c>
      <c r="M1163" s="86">
        <v>1283430.3066835434</v>
      </c>
      <c r="N1163" s="86" t="s">
        <v>1211</v>
      </c>
      <c r="O1163" s="25">
        <f t="shared" si="34"/>
        <v>7.0493454179254567E-3</v>
      </c>
    </row>
    <row r="1164" spans="1:15">
      <c r="A1164" s="86">
        <v>316.97470740692296</v>
      </c>
      <c r="B1164" s="86">
        <v>323.07055660569051</v>
      </c>
      <c r="C1164" s="86">
        <v>314.79154281015502</v>
      </c>
      <c r="D1164" s="86">
        <v>321.1331161626714</v>
      </c>
      <c r="E1164" s="86">
        <v>6132369.6389270518</v>
      </c>
      <c r="F1164" s="86" t="s">
        <v>1212</v>
      </c>
      <c r="G1164" s="25">
        <f t="shared" si="33"/>
        <v>-1.2949174490126336E-2</v>
      </c>
      <c r="I1164" s="86">
        <v>361.82810511930893</v>
      </c>
      <c r="J1164" s="86">
        <v>371.40015748243667</v>
      </c>
      <c r="K1164" s="86">
        <v>360.5835120224483</v>
      </c>
      <c r="L1164" s="86">
        <v>370.39090562570971</v>
      </c>
      <c r="M1164" s="86">
        <v>1162389.6425660925</v>
      </c>
      <c r="N1164" s="86" t="s">
        <v>1212</v>
      </c>
      <c r="O1164" s="25">
        <f t="shared" si="34"/>
        <v>-2.3118279569892319E-2</v>
      </c>
    </row>
    <row r="1165" spans="1:15">
      <c r="A1165" s="86">
        <v>317.87254566100495</v>
      </c>
      <c r="B1165" s="86">
        <v>322.90043988386446</v>
      </c>
      <c r="C1165" s="86">
        <v>316.67227767923214</v>
      </c>
      <c r="D1165" s="86">
        <v>319.65877124017874</v>
      </c>
      <c r="E1165" s="86">
        <v>5719740.3615314532</v>
      </c>
      <c r="F1165" s="86" t="s">
        <v>1213</v>
      </c>
      <c r="G1165" s="25">
        <f t="shared" si="33"/>
        <v>-5.5879135499513621E-3</v>
      </c>
      <c r="I1165" s="86">
        <v>368.98790977106688</v>
      </c>
      <c r="J1165" s="86">
        <v>373.11090726648501</v>
      </c>
      <c r="K1165" s="86">
        <v>367.95602894894245</v>
      </c>
      <c r="L1165" s="86">
        <v>372.64475057929724</v>
      </c>
      <c r="M1165" s="86">
        <v>1334874.328959984</v>
      </c>
      <c r="N1165" s="86" t="s">
        <v>1213</v>
      </c>
      <c r="O1165" s="25">
        <f t="shared" si="34"/>
        <v>-9.8132089679127121E-3</v>
      </c>
    </row>
    <row r="1166" spans="1:15">
      <c r="A1166" s="86">
        <v>320.98190129882596</v>
      </c>
      <c r="B1166" s="86">
        <v>323.29737890145861</v>
      </c>
      <c r="C1166" s="86">
        <v>316.89909997500024</v>
      </c>
      <c r="D1166" s="86">
        <v>323.29737890145861</v>
      </c>
      <c r="E1166" s="86">
        <v>11101015.5834697</v>
      </c>
      <c r="F1166" s="86" t="s">
        <v>1214</v>
      </c>
      <c r="G1166" s="25">
        <f t="shared" si="33"/>
        <v>-7.1620673526661127E-3</v>
      </c>
      <c r="I1166" s="86">
        <v>373.8938694692373</v>
      </c>
      <c r="J1166" s="86">
        <v>380.17567026357364</v>
      </c>
      <c r="K1166" s="86">
        <v>368.92418660450767</v>
      </c>
      <c r="L1166" s="86">
        <v>379.96748378191694</v>
      </c>
      <c r="M1166" s="86">
        <v>2070995.0356479683</v>
      </c>
      <c r="N1166" s="86" t="s">
        <v>1214</v>
      </c>
      <c r="O1166" s="25">
        <f t="shared" si="34"/>
        <v>-1.5984563342703262E-2</v>
      </c>
    </row>
    <row r="1167" spans="1:15">
      <c r="A1167" s="86">
        <v>326.40673453927957</v>
      </c>
      <c r="B1167" s="86">
        <v>329.40267902921653</v>
      </c>
      <c r="C1167" s="86">
        <v>325.74516950995599</v>
      </c>
      <c r="D1167" s="86">
        <v>328.46703705917315</v>
      </c>
      <c r="E1167" s="86">
        <v>5878387.1994807124</v>
      </c>
      <c r="F1167" s="86" t="s">
        <v>1215</v>
      </c>
      <c r="G1167" s="25">
        <f t="shared" si="33"/>
        <v>-6.2724787800317872E-3</v>
      </c>
      <c r="I1167" s="86">
        <v>382.04934859848373</v>
      </c>
      <c r="J1167" s="86">
        <v>384.4389673444561</v>
      </c>
      <c r="K1167" s="86">
        <v>373.83050836612443</v>
      </c>
      <c r="L1167" s="86">
        <v>380.01274171271189</v>
      </c>
      <c r="M1167" s="86">
        <v>1557612.0861428468</v>
      </c>
      <c r="N1167" s="86" t="s">
        <v>1215</v>
      </c>
      <c r="O1167" s="25">
        <f t="shared" si="34"/>
        <v>5.3593121025177215E-3</v>
      </c>
    </row>
    <row r="1168" spans="1:15">
      <c r="A1168" s="86">
        <v>329.18530766243873</v>
      </c>
      <c r="B1168" s="86">
        <v>339.57187862281944</v>
      </c>
      <c r="C1168" s="86">
        <v>329.18530766243873</v>
      </c>
      <c r="D1168" s="86">
        <v>336.81220735764094</v>
      </c>
      <c r="E1168" s="86">
        <v>5398836.4585288176</v>
      </c>
      <c r="F1168" s="86" t="s">
        <v>1216</v>
      </c>
      <c r="G1168" s="25">
        <f t="shared" si="33"/>
        <v>-2.2644368370840162E-2</v>
      </c>
      <c r="I1168" s="86">
        <v>380.34765040059438</v>
      </c>
      <c r="J1168" s="86">
        <v>392.64513535619284</v>
      </c>
      <c r="K1168" s="86">
        <v>380.19377343589161</v>
      </c>
      <c r="L1168" s="86">
        <v>387.39883601844457</v>
      </c>
      <c r="M1168" s="86">
        <v>2327100.42527613</v>
      </c>
      <c r="N1168" s="86" t="s">
        <v>1216</v>
      </c>
      <c r="O1168" s="25">
        <f t="shared" si="34"/>
        <v>-1.8201359844856269E-2</v>
      </c>
    </row>
    <row r="1169" spans="1:15">
      <c r="A1169" s="86">
        <v>335.08268735240927</v>
      </c>
      <c r="B1169" s="86">
        <v>336.81220735764094</v>
      </c>
      <c r="C1169" s="86">
        <v>332.51505896431439</v>
      </c>
      <c r="D1169" s="86">
        <v>335.8671144586072</v>
      </c>
      <c r="E1169" s="86">
        <v>3834503.4691353231</v>
      </c>
      <c r="F1169" s="86" t="s">
        <v>1217</v>
      </c>
      <c r="G1169" s="25">
        <f t="shared" si="33"/>
        <v>-2.335528167032308E-3</v>
      </c>
      <c r="I1169" s="86">
        <v>380.69161067463585</v>
      </c>
      <c r="J1169" s="86">
        <v>381.44289232583174</v>
      </c>
      <c r="K1169" s="86">
        <v>373.23310367963131</v>
      </c>
      <c r="L1169" s="86">
        <v>376.54598421382025</v>
      </c>
      <c r="M1169" s="86">
        <v>1228790.1594968538</v>
      </c>
      <c r="N1169" s="86" t="s">
        <v>1217</v>
      </c>
      <c r="O1169" s="25">
        <f t="shared" si="34"/>
        <v>1.1009615384615312E-2</v>
      </c>
    </row>
    <row r="1170" spans="1:15">
      <c r="A1170" s="86">
        <v>338.9008626645055</v>
      </c>
      <c r="B1170" s="86">
        <v>338.9008626645055</v>
      </c>
      <c r="C1170" s="86">
        <v>333.3815201341485</v>
      </c>
      <c r="D1170" s="86">
        <v>333.42877477910019</v>
      </c>
      <c r="E1170" s="86">
        <v>3610909.5767083964</v>
      </c>
      <c r="F1170" s="86" t="s">
        <v>1218</v>
      </c>
      <c r="G1170" s="25">
        <f t="shared" si="33"/>
        <v>1.641156462585025E-2</v>
      </c>
      <c r="I1170" s="86">
        <v>377.01666669408752</v>
      </c>
      <c r="J1170" s="86">
        <v>378.03044434389392</v>
      </c>
      <c r="K1170" s="86">
        <v>373.58611553983184</v>
      </c>
      <c r="L1170" s="86">
        <v>374.73566698202302</v>
      </c>
      <c r="M1170" s="86">
        <v>768456.47578514193</v>
      </c>
      <c r="N1170" s="86" t="s">
        <v>1218</v>
      </c>
      <c r="O1170" s="25">
        <f t="shared" si="34"/>
        <v>6.0869565217391841E-3</v>
      </c>
    </row>
    <row r="1171" spans="1:15">
      <c r="A1171" s="86">
        <v>336.32075905014341</v>
      </c>
      <c r="B1171" s="86">
        <v>336.90671664754433</v>
      </c>
      <c r="C1171" s="86">
        <v>333.32481456020651</v>
      </c>
      <c r="D1171" s="86">
        <v>335.09213828139957</v>
      </c>
      <c r="E1171" s="86">
        <v>4710931.5968324682</v>
      </c>
      <c r="F1171" s="86" t="s">
        <v>1219</v>
      </c>
      <c r="G1171" s="25">
        <f t="shared" si="33"/>
        <v>3.6665162454874167E-3</v>
      </c>
      <c r="I1171" s="86">
        <v>374.99816298063365</v>
      </c>
      <c r="J1171" s="86">
        <v>376.33779773216355</v>
      </c>
      <c r="K1171" s="86">
        <v>371.12408410458761</v>
      </c>
      <c r="L1171" s="86">
        <v>372.24648078830188</v>
      </c>
      <c r="M1171" s="86">
        <v>2235344.1313612261</v>
      </c>
      <c r="N1171" s="86" t="s">
        <v>1219</v>
      </c>
      <c r="O1171" s="25">
        <f t="shared" si="34"/>
        <v>7.3920972644376803E-3</v>
      </c>
    </row>
    <row r="1172" spans="1:15">
      <c r="A1172" s="86">
        <v>338.98592102541852</v>
      </c>
      <c r="B1172" s="86">
        <v>343.98546246130701</v>
      </c>
      <c r="C1172" s="86">
        <v>337.77620211465535</v>
      </c>
      <c r="D1172" s="86">
        <v>341.3297514150222</v>
      </c>
      <c r="E1172" s="86">
        <v>4028662.1599768368</v>
      </c>
      <c r="F1172" s="86" t="s">
        <v>1220</v>
      </c>
      <c r="G1172" s="25">
        <f t="shared" si="33"/>
        <v>-6.8667626536715876E-3</v>
      </c>
      <c r="I1172" s="86">
        <v>374.36455194950457</v>
      </c>
      <c r="J1172" s="86">
        <v>375.48694863321884</v>
      </c>
      <c r="K1172" s="86">
        <v>371.77127251495511</v>
      </c>
      <c r="L1172" s="86">
        <v>375.48694863321884</v>
      </c>
      <c r="M1172" s="86">
        <v>1313765.3214729025</v>
      </c>
      <c r="N1172" s="86" t="s">
        <v>1220</v>
      </c>
      <c r="O1172" s="25">
        <f t="shared" si="34"/>
        <v>-2.9891762890822404E-3</v>
      </c>
    </row>
    <row r="1173" spans="1:15">
      <c r="A1173" s="86">
        <v>342.81354726650517</v>
      </c>
      <c r="B1173" s="86">
        <v>344.17448104111372</v>
      </c>
      <c r="C1173" s="86">
        <v>339.78924998959718</v>
      </c>
      <c r="D1173" s="86">
        <v>342.67178333165009</v>
      </c>
      <c r="E1173" s="86">
        <v>3762074.6104802787</v>
      </c>
      <c r="F1173" s="86" t="s">
        <v>1221</v>
      </c>
      <c r="G1173" s="25">
        <f t="shared" si="33"/>
        <v>4.1370180374000753E-4</v>
      </c>
      <c r="I1173" s="86">
        <v>377.11623414183634</v>
      </c>
      <c r="J1173" s="86">
        <v>378.71836489197688</v>
      </c>
      <c r="K1173" s="86">
        <v>369.57626287140101</v>
      </c>
      <c r="L1173" s="86">
        <v>371.28701265544936</v>
      </c>
      <c r="M1173" s="86">
        <v>1109521.5604869174</v>
      </c>
      <c r="N1173" s="86" t="s">
        <v>1221</v>
      </c>
      <c r="O1173" s="25">
        <f t="shared" si="34"/>
        <v>1.5700041444208779E-2</v>
      </c>
    </row>
    <row r="1174" spans="1:15">
      <c r="A1174" s="86">
        <v>341.53767185280958</v>
      </c>
      <c r="B1174" s="86">
        <v>350.18527187896819</v>
      </c>
      <c r="C1174" s="86">
        <v>340.49816417316242</v>
      </c>
      <c r="D1174" s="86">
        <v>349.0606113291181</v>
      </c>
      <c r="E1174" s="86">
        <v>5871564.5897599189</v>
      </c>
      <c r="F1174" s="86" t="s">
        <v>1222</v>
      </c>
      <c r="G1174" s="25">
        <f t="shared" si="33"/>
        <v>-2.1551957545892786E-2</v>
      </c>
      <c r="I1174" s="86">
        <v>370.50857624577651</v>
      </c>
      <c r="J1174" s="86">
        <v>380.89074557013356</v>
      </c>
      <c r="K1174" s="86">
        <v>368.72541377245631</v>
      </c>
      <c r="L1174" s="86">
        <v>377.74079358680638</v>
      </c>
      <c r="M1174" s="86">
        <v>1791323.6106031043</v>
      </c>
      <c r="N1174" s="86" t="s">
        <v>1222</v>
      </c>
      <c r="O1174" s="25">
        <f t="shared" si="34"/>
        <v>-1.9145979104763788E-2</v>
      </c>
    </row>
    <row r="1175" spans="1:15">
      <c r="A1175" s="86">
        <v>357.11280282888549</v>
      </c>
      <c r="B1175" s="86">
        <v>357.72711321325738</v>
      </c>
      <c r="C1175" s="86">
        <v>354.89183451615622</v>
      </c>
      <c r="D1175" s="86">
        <v>355.18481331485668</v>
      </c>
      <c r="E1175" s="86">
        <v>3133399.9049487179</v>
      </c>
      <c r="F1175" s="86" t="s">
        <v>1223</v>
      </c>
      <c r="G1175" s="25">
        <f t="shared" si="33"/>
        <v>5.4281304879995051E-3</v>
      </c>
      <c r="I1175" s="86">
        <v>378.93560295979256</v>
      </c>
      <c r="J1175" s="86">
        <v>381.51530501510359</v>
      </c>
      <c r="K1175" s="86">
        <v>377.90372213766813</v>
      </c>
      <c r="L1175" s="86">
        <v>381.07177729331329</v>
      </c>
      <c r="M1175" s="86">
        <v>1491074.576647664</v>
      </c>
      <c r="N1175" s="86" t="s">
        <v>1223</v>
      </c>
      <c r="O1175" s="25">
        <f t="shared" si="34"/>
        <v>-5.6057007125891456E-3</v>
      </c>
    </row>
    <row r="1176" spans="1:15">
      <c r="A1176" s="86">
        <v>353.22847101385685</v>
      </c>
      <c r="B1176" s="86">
        <v>354.04125090702587</v>
      </c>
      <c r="C1176" s="86">
        <v>349.66547078449969</v>
      </c>
      <c r="D1176" s="86">
        <v>349.91119493824846</v>
      </c>
      <c r="E1176" s="86">
        <v>2773865.9370738068</v>
      </c>
      <c r="F1176" s="86" t="s">
        <v>1224</v>
      </c>
      <c r="G1176" s="25">
        <f t="shared" si="33"/>
        <v>9.4803370786515906E-3</v>
      </c>
      <c r="I1176" s="86">
        <v>381.55151135973949</v>
      </c>
      <c r="J1176" s="86">
        <v>383.44329286696762</v>
      </c>
      <c r="K1176" s="86">
        <v>379.27503744075455</v>
      </c>
      <c r="L1176" s="86">
        <v>380.79117812238468</v>
      </c>
      <c r="M1176" s="86">
        <v>1419294.8920058752</v>
      </c>
      <c r="N1176" s="86" t="s">
        <v>1224</v>
      </c>
      <c r="O1176" s="25">
        <f t="shared" si="34"/>
        <v>1.9967196748198468E-3</v>
      </c>
    </row>
    <row r="1177" spans="1:15">
      <c r="A1177" s="86">
        <v>347.86034334734524</v>
      </c>
      <c r="B1177" s="86">
        <v>348.24783143594914</v>
      </c>
      <c r="C1177" s="86">
        <v>342.37880453294963</v>
      </c>
      <c r="D1177" s="86">
        <v>343.42313218638191</v>
      </c>
      <c r="E1177" s="86">
        <v>3906533.4252058854</v>
      </c>
      <c r="F1177" s="86" t="s">
        <v>1225</v>
      </c>
      <c r="G1177" s="25">
        <f t="shared" si="33"/>
        <v>1.2920536635706803E-2</v>
      </c>
      <c r="I1177" s="86">
        <v>379.84981316185014</v>
      </c>
      <c r="J1177" s="86">
        <v>381.13061260334666</v>
      </c>
      <c r="K1177" s="86">
        <v>375.43263911626497</v>
      </c>
      <c r="L1177" s="86">
        <v>379.77740047257828</v>
      </c>
      <c r="M1177" s="86">
        <v>1229261.9000211111</v>
      </c>
      <c r="N1177" s="86" t="s">
        <v>1225</v>
      </c>
      <c r="O1177" s="25">
        <f t="shared" si="34"/>
        <v>1.9067140167305929E-4</v>
      </c>
    </row>
    <row r="1178" spans="1:15">
      <c r="A1178" s="86">
        <v>345.60157131865463</v>
      </c>
      <c r="B1178" s="86">
        <v>346.25841088348312</v>
      </c>
      <c r="C1178" s="86">
        <v>338.99574999156852</v>
      </c>
      <c r="D1178" s="86">
        <v>339.15603774724462</v>
      </c>
      <c r="E1178" s="86">
        <v>4377295.6121346867</v>
      </c>
      <c r="F1178" s="86" t="s">
        <v>1226</v>
      </c>
      <c r="G1178" s="25">
        <f t="shared" si="33"/>
        <v>1.9004625759349025E-2</v>
      </c>
      <c r="I1178" s="86">
        <v>380.29334088364044</v>
      </c>
      <c r="J1178" s="86">
        <v>380.9812614317234</v>
      </c>
      <c r="K1178" s="86">
        <v>373.16069099035946</v>
      </c>
      <c r="L1178" s="86">
        <v>375.95763111348617</v>
      </c>
      <c r="M1178" s="86">
        <v>1387296.0804260443</v>
      </c>
      <c r="N1178" s="86" t="s">
        <v>1226</v>
      </c>
      <c r="O1178" s="25">
        <f t="shared" si="34"/>
        <v>1.1532442518357833E-2</v>
      </c>
    </row>
    <row r="1179" spans="1:15">
      <c r="A1179" s="86">
        <v>339.51517304887744</v>
      </c>
      <c r="B1179" s="86">
        <v>342.38825546193993</v>
      </c>
      <c r="C1179" s="86">
        <v>337.39816495504186</v>
      </c>
      <c r="D1179" s="86">
        <v>341.51876999482897</v>
      </c>
      <c r="E1179" s="86">
        <v>6010322.3776282622</v>
      </c>
      <c r="F1179" s="86" t="s">
        <v>1227</v>
      </c>
      <c r="G1179" s="25">
        <f t="shared" si="33"/>
        <v>-5.8667257029002551E-3</v>
      </c>
      <c r="I1179" s="86">
        <v>378.15716655011971</v>
      </c>
      <c r="J1179" s="86">
        <v>383.12648735140311</v>
      </c>
      <c r="K1179" s="86">
        <v>376.34684931832254</v>
      </c>
      <c r="L1179" s="86">
        <v>379.27051164767505</v>
      </c>
      <c r="M1179" s="86">
        <v>1063381.5809668216</v>
      </c>
      <c r="N1179" s="86" t="s">
        <v>1227</v>
      </c>
      <c r="O1179" s="25">
        <f t="shared" si="34"/>
        <v>-2.935490799742424E-3</v>
      </c>
    </row>
    <row r="1180" spans="1:15">
      <c r="A1180" s="86">
        <v>340.65873545670826</v>
      </c>
      <c r="B1180" s="86">
        <v>348.86214182032103</v>
      </c>
      <c r="C1180" s="86">
        <v>339.08043031532191</v>
      </c>
      <c r="D1180" s="86">
        <v>347.74693219946118</v>
      </c>
      <c r="E1180" s="86">
        <v>4808228.9102436844</v>
      </c>
      <c r="F1180" s="86" t="s">
        <v>1228</v>
      </c>
      <c r="G1180" s="25">
        <f t="shared" si="33"/>
        <v>-2.0383204239706298E-2</v>
      </c>
      <c r="I1180" s="86">
        <v>378.87224185667964</v>
      </c>
      <c r="J1180" s="86">
        <v>385.31697120187772</v>
      </c>
      <c r="K1180" s="86">
        <v>377.94898006846307</v>
      </c>
      <c r="L1180" s="86">
        <v>384.6833601707487</v>
      </c>
      <c r="M1180" s="86">
        <v>961135.41286497901</v>
      </c>
      <c r="N1180" s="86" t="s">
        <v>1228</v>
      </c>
      <c r="O1180" s="25">
        <f t="shared" si="34"/>
        <v>-1.5106237793830468E-2</v>
      </c>
    </row>
    <row r="1181" spans="1:15">
      <c r="A1181" s="86">
        <v>344.26899033101705</v>
      </c>
      <c r="B1181" s="86">
        <v>344.67538027760156</v>
      </c>
      <c r="C1181" s="86">
        <v>338.82525523258278</v>
      </c>
      <c r="D1181" s="86">
        <v>341.2730458410802</v>
      </c>
      <c r="E1181" s="86">
        <v>6482789.1588902213</v>
      </c>
      <c r="F1181" s="86" t="s">
        <v>1229</v>
      </c>
      <c r="G1181" s="25">
        <f t="shared" si="33"/>
        <v>8.7787316532814685E-3</v>
      </c>
      <c r="I1181" s="86">
        <v>382.52908266491005</v>
      </c>
      <c r="J1181" s="86">
        <v>383.4089873554251</v>
      </c>
      <c r="K1181" s="86">
        <v>378.17526972243775</v>
      </c>
      <c r="L1181" s="86">
        <v>378.5735395134331</v>
      </c>
      <c r="M1181" s="86">
        <v>1048333.3896766379</v>
      </c>
      <c r="N1181" s="86" t="s">
        <v>1229</v>
      </c>
      <c r="O1181" s="25">
        <f t="shared" si="34"/>
        <v>1.0448546289212102E-2</v>
      </c>
    </row>
    <row r="1182" spans="1:15">
      <c r="A1182" s="86">
        <v>343.21048628409932</v>
      </c>
      <c r="B1182" s="86">
        <v>348.5408102346496</v>
      </c>
      <c r="C1182" s="86">
        <v>343.17268256813799</v>
      </c>
      <c r="D1182" s="86">
        <v>347.42560061378975</v>
      </c>
      <c r="E1182" s="86">
        <v>4298560.4951148899</v>
      </c>
      <c r="F1182" s="86" t="s">
        <v>1230</v>
      </c>
      <c r="G1182" s="25">
        <f t="shared" ref="G1182:G1245" si="35">A1182/D1182-1</f>
        <v>-1.2132422948233135E-2</v>
      </c>
      <c r="I1182" s="86">
        <v>380.26618612516353</v>
      </c>
      <c r="J1182" s="86">
        <v>384.45707051677408</v>
      </c>
      <c r="K1182" s="86">
        <v>380.18381669111676</v>
      </c>
      <c r="L1182" s="86">
        <v>382.30279301093537</v>
      </c>
      <c r="M1182" s="86">
        <v>1004573.1035739898</v>
      </c>
      <c r="N1182" s="86" t="s">
        <v>1230</v>
      </c>
      <c r="O1182" s="25">
        <f t="shared" ref="O1182:O1245" si="36">I1182/L1182-1</f>
        <v>-5.3272090160052521E-3</v>
      </c>
    </row>
    <row r="1183" spans="1:15">
      <c r="A1183" s="86">
        <v>345.93235383331643</v>
      </c>
      <c r="B1183" s="86">
        <v>351.05003188158412</v>
      </c>
      <c r="C1183" s="86">
        <v>344.03271710625864</v>
      </c>
      <c r="D1183" s="86">
        <v>350.91299341122425</v>
      </c>
      <c r="E1183" s="86">
        <v>5337608.6151504973</v>
      </c>
      <c r="F1183" s="86" t="s">
        <v>1231</v>
      </c>
      <c r="G1183" s="25">
        <f t="shared" si="35"/>
        <v>-1.4193374629679734E-2</v>
      </c>
      <c r="I1183" s="86">
        <v>382.25753509746971</v>
      </c>
      <c r="J1183" s="86">
        <v>386.98731006068556</v>
      </c>
      <c r="K1183" s="86">
        <v>381.26841866029525</v>
      </c>
      <c r="L1183" s="86">
        <v>386.15105707289263</v>
      </c>
      <c r="M1183" s="86">
        <v>1085549.951093029</v>
      </c>
      <c r="N1183" s="86" t="s">
        <v>1231</v>
      </c>
      <c r="O1183" s="25">
        <f t="shared" si="36"/>
        <v>-1.0082898658718253E-2</v>
      </c>
    </row>
    <row r="1184" spans="1:15">
      <c r="A1184" s="86">
        <v>349.73162728743205</v>
      </c>
      <c r="B1184" s="86">
        <v>352.56690598453326</v>
      </c>
      <c r="C1184" s="86">
        <v>348.53135930565918</v>
      </c>
      <c r="D1184" s="86">
        <v>349.46700127570261</v>
      </c>
      <c r="E1184" s="86">
        <v>5240922.8818290168</v>
      </c>
      <c r="F1184" s="86" t="s">
        <v>1232</v>
      </c>
      <c r="G1184" s="25">
        <f t="shared" si="35"/>
        <v>7.5722746572193245E-4</v>
      </c>
      <c r="I1184" s="86">
        <v>386.36686429554885</v>
      </c>
      <c r="J1184" s="86">
        <v>390.16147462725434</v>
      </c>
      <c r="K1184" s="86">
        <v>383.48943466013236</v>
      </c>
      <c r="L1184" s="86">
        <v>384.55048683819223</v>
      </c>
      <c r="M1184" s="86">
        <v>965599.56351385801</v>
      </c>
      <c r="N1184" s="86" t="s">
        <v>1232</v>
      </c>
      <c r="O1184" s="25">
        <f t="shared" si="36"/>
        <v>4.7233783846980515E-3</v>
      </c>
    </row>
    <row r="1185" spans="1:15">
      <c r="A1185" s="86">
        <v>352.05655581905501</v>
      </c>
      <c r="B1185" s="86">
        <v>364.85311367197176</v>
      </c>
      <c r="C1185" s="86">
        <v>352.05655581905501</v>
      </c>
      <c r="D1185" s="86">
        <v>364.38056722245489</v>
      </c>
      <c r="E1185" s="86">
        <v>5452543.3481392413</v>
      </c>
      <c r="F1185" s="86" t="s">
        <v>1233</v>
      </c>
      <c r="G1185" s="25">
        <f t="shared" si="35"/>
        <v>-3.3821812994423661E-2</v>
      </c>
      <c r="I1185" s="86">
        <v>387.67069959909696</v>
      </c>
      <c r="J1185" s="86">
        <v>398.14184588172975</v>
      </c>
      <c r="K1185" s="86">
        <v>387.49985221449407</v>
      </c>
      <c r="L1185" s="86">
        <v>396.00625357419409</v>
      </c>
      <c r="M1185" s="86">
        <v>974589.80941999494</v>
      </c>
      <c r="N1185" s="86" t="s">
        <v>1233</v>
      </c>
      <c r="O1185" s="25">
        <f t="shared" si="36"/>
        <v>-2.1049046321525822E-2</v>
      </c>
    </row>
    <row r="1186" spans="1:15">
      <c r="A1186" s="86">
        <v>364.55068394428099</v>
      </c>
      <c r="B1186" s="86">
        <v>364.55068394428099</v>
      </c>
      <c r="C1186" s="86">
        <v>359.79686666214127</v>
      </c>
      <c r="D1186" s="86">
        <v>360.79866513511701</v>
      </c>
      <c r="E1186" s="86">
        <v>2784160.1631863369</v>
      </c>
      <c r="F1186" s="86" t="s">
        <v>1234</v>
      </c>
      <c r="G1186" s="25">
        <f t="shared" si="35"/>
        <v>1.0399203688181258E-2</v>
      </c>
      <c r="I1186" s="86">
        <v>394.423667274715</v>
      </c>
      <c r="J1186" s="86">
        <v>394.60350662692855</v>
      </c>
      <c r="K1186" s="86">
        <v>388.83965538848491</v>
      </c>
      <c r="L1186" s="86">
        <v>389.9906272426515</v>
      </c>
      <c r="M1186" s="86">
        <v>809262.25661221158</v>
      </c>
      <c r="N1186" s="86" t="s">
        <v>1234</v>
      </c>
      <c r="O1186" s="25">
        <f t="shared" si="36"/>
        <v>1.1367042493832136E-2</v>
      </c>
    </row>
    <row r="1187" spans="1:15">
      <c r="A1187" s="86">
        <v>359.3148692836341</v>
      </c>
      <c r="B1187" s="86">
        <v>360.62854841329096</v>
      </c>
      <c r="C1187" s="86">
        <v>357.41523255657631</v>
      </c>
      <c r="D1187" s="86">
        <v>358.09569944388056</v>
      </c>
      <c r="E1187" s="86">
        <v>2371454.7028037813</v>
      </c>
      <c r="F1187" s="86" t="s">
        <v>1235</v>
      </c>
      <c r="G1187" s="25">
        <f t="shared" si="35"/>
        <v>3.4045922406968909E-3</v>
      </c>
      <c r="I1187" s="86">
        <v>389.9906272426515</v>
      </c>
      <c r="J1187" s="86">
        <v>391.55522960690922</v>
      </c>
      <c r="K1187" s="86">
        <v>387.49985221449407</v>
      </c>
      <c r="L1187" s="86">
        <v>390.24240233575046</v>
      </c>
      <c r="M1187" s="86">
        <v>823226.94214454223</v>
      </c>
      <c r="N1187" s="86" t="s">
        <v>1235</v>
      </c>
      <c r="O1187" s="25">
        <f t="shared" si="36"/>
        <v>-6.4517615613268742E-4</v>
      </c>
    </row>
    <row r="1188" spans="1:15">
      <c r="A1188" s="86">
        <v>358.22801244974534</v>
      </c>
      <c r="B1188" s="86">
        <v>360.90262535401075</v>
      </c>
      <c r="C1188" s="86">
        <v>357.73968294881456</v>
      </c>
      <c r="D1188" s="86">
        <v>358.71946075724281</v>
      </c>
      <c r="E1188" s="86">
        <v>3035875.1006736723</v>
      </c>
      <c r="F1188" s="86" t="s">
        <v>1236</v>
      </c>
      <c r="G1188" s="25">
        <f t="shared" si="35"/>
        <v>-1.3700073769625787E-3</v>
      </c>
      <c r="I1188" s="86">
        <v>389.46010115362157</v>
      </c>
      <c r="J1188" s="86">
        <v>390.90780793894049</v>
      </c>
      <c r="K1188" s="86">
        <v>386.92436628741081</v>
      </c>
      <c r="L1188" s="86">
        <v>389.28925376901873</v>
      </c>
      <c r="M1188" s="86">
        <v>1017843.9687808667</v>
      </c>
      <c r="N1188" s="86" t="s">
        <v>1236</v>
      </c>
      <c r="O1188" s="25">
        <f t="shared" si="36"/>
        <v>4.3887002517717377E-4</v>
      </c>
    </row>
    <row r="1189" spans="1:15">
      <c r="A1189" s="86">
        <v>359.07859605887563</v>
      </c>
      <c r="B1189" s="86">
        <v>362.4809304953971</v>
      </c>
      <c r="C1189" s="86">
        <v>358.27526709469697</v>
      </c>
      <c r="D1189" s="86">
        <v>362.37697027650336</v>
      </c>
      <c r="E1189" s="86">
        <v>4395036.7252222393</v>
      </c>
      <c r="F1189" s="86" t="s">
        <v>1237</v>
      </c>
      <c r="G1189" s="25">
        <f t="shared" si="35"/>
        <v>-9.1020525258848073E-3</v>
      </c>
      <c r="I1189" s="86">
        <v>388.74973571237814</v>
      </c>
      <c r="J1189" s="86">
        <v>397.12125755791794</v>
      </c>
      <c r="K1189" s="86">
        <v>388.30912929945498</v>
      </c>
      <c r="L1189" s="86">
        <v>394.30677169577621</v>
      </c>
      <c r="M1189" s="86">
        <v>1208593.0989226904</v>
      </c>
      <c r="N1189" s="86" t="s">
        <v>1237</v>
      </c>
      <c r="O1189" s="25">
        <f t="shared" si="36"/>
        <v>-1.4093179174933246E-2</v>
      </c>
    </row>
    <row r="1190" spans="1:15">
      <c r="A1190" s="86">
        <v>366.80945597297159</v>
      </c>
      <c r="B1190" s="86">
        <v>369.48406887723701</v>
      </c>
      <c r="C1190" s="86">
        <v>365.98722515081221</v>
      </c>
      <c r="D1190" s="86">
        <v>369.2477956524786</v>
      </c>
      <c r="E1190" s="86">
        <v>3067455.0649613254</v>
      </c>
      <c r="F1190" s="86" t="s">
        <v>1238</v>
      </c>
      <c r="G1190" s="25">
        <f t="shared" si="35"/>
        <v>-6.6035321218325116E-3</v>
      </c>
      <c r="I1190" s="86">
        <v>395.67355077259901</v>
      </c>
      <c r="J1190" s="86">
        <v>396.47383588994927</v>
      </c>
      <c r="K1190" s="86">
        <v>392.08575569593916</v>
      </c>
      <c r="L1190" s="86">
        <v>394.27979579294424</v>
      </c>
      <c r="M1190" s="86">
        <v>1127277.1921425294</v>
      </c>
      <c r="N1190" s="86" t="s">
        <v>1238</v>
      </c>
      <c r="O1190" s="25">
        <f t="shared" si="36"/>
        <v>3.5349388797663028E-3</v>
      </c>
    </row>
    <row r="1191" spans="1:15">
      <c r="A1191" s="86">
        <v>371.94131041472474</v>
      </c>
      <c r="B1191" s="86">
        <v>372.38550407727058</v>
      </c>
      <c r="C1191" s="86">
        <v>369.69198931502444</v>
      </c>
      <c r="D1191" s="86">
        <v>370.87335543881665</v>
      </c>
      <c r="E1191" s="86">
        <v>3447365.8656530841</v>
      </c>
      <c r="F1191" s="86" t="s">
        <v>1239</v>
      </c>
      <c r="G1191" s="25">
        <f t="shared" si="35"/>
        <v>2.8795678099995392E-3</v>
      </c>
      <c r="I1191" s="86">
        <v>395.06209697507308</v>
      </c>
      <c r="J1191" s="86">
        <v>399.7648061157808</v>
      </c>
      <c r="K1191" s="86">
        <v>392.83208900762526</v>
      </c>
      <c r="L1191" s="86">
        <v>397.36224228988414</v>
      </c>
      <c r="M1191" s="86">
        <v>963682.29682135675</v>
      </c>
      <c r="N1191" s="86" t="s">
        <v>1239</v>
      </c>
      <c r="O1191" s="25">
        <f t="shared" si="36"/>
        <v>-5.7885351702164911E-3</v>
      </c>
    </row>
    <row r="1192" spans="1:15">
      <c r="A1192" s="86">
        <v>370.79774800689387</v>
      </c>
      <c r="B1192" s="86">
        <v>373.16993118346858</v>
      </c>
      <c r="C1192" s="86">
        <v>368.86323735186176</v>
      </c>
      <c r="D1192" s="86">
        <v>370.06057554564762</v>
      </c>
      <c r="E1192" s="86">
        <v>3409532.5478527313</v>
      </c>
      <c r="F1192" s="86" t="s">
        <v>1240</v>
      </c>
      <c r="G1192" s="25">
        <f t="shared" si="35"/>
        <v>1.9920318725097363E-3</v>
      </c>
      <c r="I1192" s="86">
        <v>397.07629771986456</v>
      </c>
      <c r="J1192" s="86">
        <v>400.58316508802847</v>
      </c>
      <c r="K1192" s="86">
        <v>391.15149026118979</v>
      </c>
      <c r="L1192" s="86">
        <v>392.16668340443522</v>
      </c>
      <c r="M1192" s="86">
        <v>1108322.4975329058</v>
      </c>
      <c r="N1192" s="86" t="s">
        <v>1240</v>
      </c>
      <c r="O1192" s="25">
        <f t="shared" si="36"/>
        <v>1.2519202989934142E-2</v>
      </c>
    </row>
    <row r="1193" spans="1:15">
      <c r="A1193" s="86">
        <v>373.34949883428499</v>
      </c>
      <c r="B1193" s="86">
        <v>375.09792069749739</v>
      </c>
      <c r="C1193" s="86">
        <v>370.89225729679731</v>
      </c>
      <c r="D1193" s="86">
        <v>371.64833161602428</v>
      </c>
      <c r="E1193" s="86">
        <v>4089385.2910665683</v>
      </c>
      <c r="F1193" s="86" t="s">
        <v>1241</v>
      </c>
      <c r="G1193" s="25">
        <f t="shared" si="35"/>
        <v>4.5773573390295308E-3</v>
      </c>
      <c r="I1193" s="86">
        <v>395.79044635153787</v>
      </c>
      <c r="J1193" s="86">
        <v>400.14255867510531</v>
      </c>
      <c r="K1193" s="86">
        <v>392.8770488456787</v>
      </c>
      <c r="L1193" s="86">
        <v>392.8770488456787</v>
      </c>
      <c r="M1193" s="86">
        <v>946455.81128374417</v>
      </c>
      <c r="N1193" s="86" t="s">
        <v>1241</v>
      </c>
      <c r="O1193" s="25">
        <f t="shared" si="36"/>
        <v>7.4155451798956218E-3</v>
      </c>
    </row>
    <row r="1194" spans="1:15">
      <c r="A1194" s="86">
        <v>372.69738473395171</v>
      </c>
      <c r="B1194" s="86">
        <v>373.08487282255555</v>
      </c>
      <c r="C1194" s="86">
        <v>369.0209733567105</v>
      </c>
      <c r="D1194" s="86">
        <v>369.04932614368153</v>
      </c>
      <c r="E1194" s="86">
        <v>3390072.0270734467</v>
      </c>
      <c r="F1194" s="86" t="s">
        <v>1242</v>
      </c>
      <c r="G1194" s="25">
        <f t="shared" si="35"/>
        <v>9.8850162616199722E-3</v>
      </c>
      <c r="I1194" s="86">
        <v>393.85717331524239</v>
      </c>
      <c r="J1194" s="86">
        <v>395.61959896693503</v>
      </c>
      <c r="K1194" s="86">
        <v>386.52422372873571</v>
      </c>
      <c r="L1194" s="86">
        <v>389.06445457875179</v>
      </c>
      <c r="M1194" s="86">
        <v>984260.66275989672</v>
      </c>
      <c r="N1194" s="86" t="s">
        <v>1242</v>
      </c>
      <c r="O1194" s="25">
        <f t="shared" si="36"/>
        <v>1.2318572617176615E-2</v>
      </c>
    </row>
    <row r="1195" spans="1:15">
      <c r="A1195" s="86">
        <v>371.10962866357505</v>
      </c>
      <c r="B1195" s="86">
        <v>371.15688330852674</v>
      </c>
      <c r="C1195" s="86">
        <v>365.83601028696683</v>
      </c>
      <c r="D1195" s="86">
        <v>366.64879018013585</v>
      </c>
      <c r="E1195" s="86">
        <v>3877245.2991091809</v>
      </c>
      <c r="F1195" s="86" t="s">
        <v>1243</v>
      </c>
      <c r="G1195" s="25">
        <f t="shared" si="35"/>
        <v>1.216651630364729E-2</v>
      </c>
      <c r="I1195" s="86">
        <v>390.46720152601733</v>
      </c>
      <c r="J1195" s="86">
        <v>390.51216136407078</v>
      </c>
      <c r="K1195" s="86">
        <v>384.12786436049038</v>
      </c>
      <c r="L1195" s="86">
        <v>385.66549082191608</v>
      </c>
      <c r="M1195" s="86">
        <v>1087647.3785768209</v>
      </c>
      <c r="N1195" s="86" t="s">
        <v>1243</v>
      </c>
      <c r="O1195" s="25">
        <f t="shared" si="36"/>
        <v>1.2450454651433907E-2</v>
      </c>
    </row>
    <row r="1196" spans="1:15">
      <c r="A1196" s="86">
        <v>364.86256460096206</v>
      </c>
      <c r="B1196" s="86">
        <v>369.20054100752691</v>
      </c>
      <c r="C1196" s="86">
        <v>364.23880328759981</v>
      </c>
      <c r="D1196" s="86">
        <v>367.51827564724687</v>
      </c>
      <c r="E1196" s="86">
        <v>3783088.417715848</v>
      </c>
      <c r="F1196" s="86" t="s">
        <v>1244</v>
      </c>
      <c r="G1196" s="25">
        <f t="shared" si="35"/>
        <v>-7.226065266027315E-3</v>
      </c>
      <c r="I1196" s="86">
        <v>385.62053098386275</v>
      </c>
      <c r="J1196" s="86">
        <v>388.89360719414896</v>
      </c>
      <c r="K1196" s="86">
        <v>384.13685632810109</v>
      </c>
      <c r="L1196" s="86">
        <v>385.97121772067908</v>
      </c>
      <c r="M1196" s="86">
        <v>1055794.5058351618</v>
      </c>
      <c r="N1196" s="86" t="s">
        <v>1244</v>
      </c>
      <c r="O1196" s="25">
        <f t="shared" si="36"/>
        <v>-9.0858261112647387E-4</v>
      </c>
    </row>
    <row r="1197" spans="1:15">
      <c r="A1197" s="86">
        <v>364.86256460096206</v>
      </c>
      <c r="B1197" s="86">
        <v>365.02323039379786</v>
      </c>
      <c r="C1197" s="86">
        <v>362.06508961982229</v>
      </c>
      <c r="D1197" s="86">
        <v>363.85131519899602</v>
      </c>
      <c r="E1197" s="86">
        <v>3863103.8321553348</v>
      </c>
      <c r="F1197" s="86" t="s">
        <v>1245</v>
      </c>
      <c r="G1197" s="25">
        <f t="shared" si="35"/>
        <v>2.779292968648317E-3</v>
      </c>
      <c r="I1197" s="86">
        <v>386.64561529147983</v>
      </c>
      <c r="J1197" s="86">
        <v>388.67779997149273</v>
      </c>
      <c r="K1197" s="86">
        <v>383.36354711358285</v>
      </c>
      <c r="L1197" s="86">
        <v>386.71755103236524</v>
      </c>
      <c r="M1197" s="86">
        <v>1567337.7185285101</v>
      </c>
      <c r="N1197" s="86" t="s">
        <v>1245</v>
      </c>
      <c r="O1197" s="25">
        <f t="shared" si="36"/>
        <v>-1.8601622991609723E-4</v>
      </c>
    </row>
    <row r="1198" spans="1:15">
      <c r="A1198" s="86">
        <v>357.37742884061493</v>
      </c>
      <c r="B1198" s="86">
        <v>358.57769682238779</v>
      </c>
      <c r="C1198" s="86">
        <v>356.39453222561986</v>
      </c>
      <c r="D1198" s="86">
        <v>358.20911059176461</v>
      </c>
      <c r="E1198" s="86">
        <v>2497663.4597650827</v>
      </c>
      <c r="F1198" s="86" t="s">
        <v>1246</v>
      </c>
      <c r="G1198" s="25">
        <f t="shared" si="35"/>
        <v>-2.3217772149226601E-3</v>
      </c>
      <c r="I1198" s="86">
        <v>385.35077195554243</v>
      </c>
      <c r="J1198" s="86">
        <v>388.34509716989771</v>
      </c>
      <c r="K1198" s="86">
        <v>382.78815110617575</v>
      </c>
      <c r="L1198" s="86">
        <v>383.91205713783415</v>
      </c>
      <c r="M1198" s="86">
        <v>831274.12415552768</v>
      </c>
      <c r="N1198" s="86" t="s">
        <v>1246</v>
      </c>
      <c r="O1198" s="25">
        <f t="shared" si="36"/>
        <v>3.7475114181988456E-3</v>
      </c>
    </row>
    <row r="1199" spans="1:15">
      <c r="A1199" s="86">
        <v>358.79506818916553</v>
      </c>
      <c r="B1199" s="86">
        <v>362.82759057076265</v>
      </c>
      <c r="C1199" s="86">
        <v>357.78381878719944</v>
      </c>
      <c r="D1199" s="86">
        <v>360.81756699309767</v>
      </c>
      <c r="E1199" s="86">
        <v>3656093.4946530345</v>
      </c>
      <c r="F1199" s="86" t="s">
        <v>1247</v>
      </c>
      <c r="G1199" s="25">
        <f t="shared" si="35"/>
        <v>-5.605322437005511E-3</v>
      </c>
      <c r="I1199" s="86">
        <v>381.13353914613515</v>
      </c>
      <c r="J1199" s="86">
        <v>386.08811329961787</v>
      </c>
      <c r="K1199" s="86">
        <v>379.16879422320233</v>
      </c>
      <c r="L1199" s="86">
        <v>384.40661535642136</v>
      </c>
      <c r="M1199" s="86">
        <v>907274.17548896268</v>
      </c>
      <c r="N1199" s="86" t="s">
        <v>1247</v>
      </c>
      <c r="O1199" s="25">
        <f t="shared" si="36"/>
        <v>-8.5146198830408082E-3</v>
      </c>
    </row>
    <row r="1200" spans="1:15">
      <c r="A1200" s="86">
        <v>359.11639977483702</v>
      </c>
      <c r="B1200" s="86">
        <v>359.79686666214127</v>
      </c>
      <c r="C1200" s="86">
        <v>355.86528020216099</v>
      </c>
      <c r="D1200" s="86">
        <v>355.96924042105468</v>
      </c>
      <c r="E1200" s="86">
        <v>3017787.9898536913</v>
      </c>
      <c r="F1200" s="86" t="s">
        <v>1248</v>
      </c>
      <c r="G1200" s="25">
        <f t="shared" si="35"/>
        <v>8.8410991636798109E-3</v>
      </c>
      <c r="I1200" s="86">
        <v>383.42649088685766</v>
      </c>
      <c r="J1200" s="86">
        <v>384.71512976514367</v>
      </c>
      <c r="K1200" s="86">
        <v>377.24001717071218</v>
      </c>
      <c r="L1200" s="86">
        <v>382.39241461162982</v>
      </c>
      <c r="M1200" s="86">
        <v>1037157.8728694217</v>
      </c>
      <c r="N1200" s="86" t="s">
        <v>1248</v>
      </c>
      <c r="O1200" s="25">
        <f t="shared" si="36"/>
        <v>2.7042280016931208E-3</v>
      </c>
    </row>
    <row r="1201" spans="1:15">
      <c r="A1201" s="86">
        <v>359.86302316507363</v>
      </c>
      <c r="B1201" s="86">
        <v>360.58129376833926</v>
      </c>
      <c r="C1201" s="86">
        <v>358.36977638460036</v>
      </c>
      <c r="D1201" s="86">
        <v>359.96698338396737</v>
      </c>
      <c r="E1201" s="86">
        <v>3608778.5692676897</v>
      </c>
      <c r="F1201" s="86" t="s">
        <v>1249</v>
      </c>
      <c r="G1201" s="25">
        <f t="shared" si="35"/>
        <v>-2.888048729259296E-4</v>
      </c>
      <c r="I1201" s="86">
        <v>384.97310931589396</v>
      </c>
      <c r="J1201" s="86">
        <v>390.83812018995775</v>
      </c>
      <c r="K1201" s="86">
        <v>383.85810533217011</v>
      </c>
      <c r="L1201" s="86">
        <v>387.2930369594485</v>
      </c>
      <c r="M1201" s="86">
        <v>1252695.7933684685</v>
      </c>
      <c r="N1201" s="86" t="s">
        <v>1249</v>
      </c>
      <c r="O1201" s="25">
        <f t="shared" si="36"/>
        <v>-5.9901093543218709E-3</v>
      </c>
    </row>
    <row r="1202" spans="1:15">
      <c r="A1202" s="86">
        <v>360.14655103478378</v>
      </c>
      <c r="B1202" s="86">
        <v>361.11999672078855</v>
      </c>
      <c r="C1202" s="86">
        <v>356.21496457480345</v>
      </c>
      <c r="D1202" s="86">
        <v>356.47959058653288</v>
      </c>
      <c r="E1202" s="86">
        <v>4078730.2538630348</v>
      </c>
      <c r="F1202" s="86" t="s">
        <v>1250</v>
      </c>
      <c r="G1202" s="25">
        <f t="shared" si="35"/>
        <v>1.0286592963758334E-2</v>
      </c>
      <c r="I1202" s="86">
        <v>386.02516952634318</v>
      </c>
      <c r="J1202" s="86">
        <v>388.23719355856957</v>
      </c>
      <c r="K1202" s="86">
        <v>377.34099696698007</v>
      </c>
      <c r="L1202" s="86">
        <v>384.19980010137579</v>
      </c>
      <c r="M1202" s="86">
        <v>1479822.9460035684</v>
      </c>
      <c r="N1202" s="86" t="s">
        <v>1250</v>
      </c>
      <c r="O1202" s="25">
        <f t="shared" si="36"/>
        <v>4.7510941559203435E-3</v>
      </c>
    </row>
    <row r="1203" spans="1:15">
      <c r="A1203" s="86">
        <v>354.60830664644607</v>
      </c>
      <c r="B1203" s="86">
        <v>358.78278198147808</v>
      </c>
      <c r="C1203" s="86">
        <v>353.41748959366362</v>
      </c>
      <c r="D1203" s="86">
        <v>355.45889025557648</v>
      </c>
      <c r="E1203" s="86">
        <v>4372679.1347445166</v>
      </c>
      <c r="F1203" s="86" t="s">
        <v>1251</v>
      </c>
      <c r="G1203" s="25">
        <f t="shared" si="35"/>
        <v>-2.3929169657814775E-3</v>
      </c>
      <c r="I1203" s="86">
        <v>385.55758721058794</v>
      </c>
      <c r="J1203" s="86">
        <v>389.20383007671728</v>
      </c>
      <c r="K1203" s="86">
        <v>376.85336256345312</v>
      </c>
      <c r="L1203" s="86">
        <v>382.16761542136294</v>
      </c>
      <c r="M1203" s="86">
        <v>2729025.6218075668</v>
      </c>
      <c r="N1203" s="86" t="s">
        <v>1251</v>
      </c>
      <c r="O1203" s="25">
        <f t="shared" si="36"/>
        <v>8.8703795204816416E-3</v>
      </c>
    </row>
    <row r="1204" spans="1:15">
      <c r="A1204" s="86">
        <v>356.91433332008836</v>
      </c>
      <c r="B1204" s="86">
        <v>359.14475256180799</v>
      </c>
      <c r="C1204" s="86">
        <v>354.82567801322386</v>
      </c>
      <c r="D1204" s="86">
        <v>355.46834118456678</v>
      </c>
      <c r="E1204" s="86">
        <v>4678237.4563605729</v>
      </c>
      <c r="F1204" s="86" t="s">
        <v>1252</v>
      </c>
      <c r="G1204" s="25">
        <f t="shared" si="35"/>
        <v>4.0678506859512797E-3</v>
      </c>
      <c r="I1204" s="86">
        <v>377.01521798044524</v>
      </c>
      <c r="J1204" s="86">
        <v>385.30581211748904</v>
      </c>
      <c r="K1204" s="86">
        <v>374.64133853122667</v>
      </c>
      <c r="L1204" s="86">
        <v>376.08005334893494</v>
      </c>
      <c r="M1204" s="86">
        <v>1914923.4901108046</v>
      </c>
      <c r="N1204" s="86" t="s">
        <v>1252</v>
      </c>
      <c r="O1204" s="25">
        <f t="shared" si="36"/>
        <v>2.4866105585308329E-3</v>
      </c>
    </row>
    <row r="1205" spans="1:15">
      <c r="A1205" s="86">
        <v>357.99173922498687</v>
      </c>
      <c r="B1205" s="86">
        <v>358.81397004714626</v>
      </c>
      <c r="C1205" s="86">
        <v>353.39858773568295</v>
      </c>
      <c r="D1205" s="86">
        <v>354.15466205490992</v>
      </c>
      <c r="E1205" s="86">
        <v>5551214.0715097608</v>
      </c>
      <c r="F1205" s="86" t="s">
        <v>1253</v>
      </c>
      <c r="G1205" s="25">
        <f t="shared" si="35"/>
        <v>1.0834467483254562E-2</v>
      </c>
      <c r="I1205" s="86">
        <v>372.09661169740519</v>
      </c>
      <c r="J1205" s="86">
        <v>372.40233859616819</v>
      </c>
      <c r="K1205" s="86">
        <v>361.47709794919626</v>
      </c>
      <c r="L1205" s="86">
        <v>365.51449140638999</v>
      </c>
      <c r="M1205" s="86">
        <v>1661074.7109748812</v>
      </c>
      <c r="N1205" s="86" t="s">
        <v>1253</v>
      </c>
      <c r="O1205" s="25">
        <f t="shared" si="36"/>
        <v>1.8007823070678164E-2</v>
      </c>
    </row>
    <row r="1206" spans="1:15">
      <c r="A1206" s="86">
        <v>352.82208106727234</v>
      </c>
      <c r="B1206" s="86">
        <v>353.37968587770229</v>
      </c>
      <c r="C1206" s="86">
        <v>345.88509918836479</v>
      </c>
      <c r="D1206" s="86">
        <v>349.13621876104082</v>
      </c>
      <c r="E1206" s="86">
        <v>4597786.1059401669</v>
      </c>
      <c r="F1206" s="86" t="s">
        <v>1254</v>
      </c>
      <c r="G1206" s="25">
        <f t="shared" si="35"/>
        <v>1.0557089491635363E-2</v>
      </c>
      <c r="I1206" s="86">
        <v>365.14582073435224</v>
      </c>
      <c r="J1206" s="86">
        <v>365.76626649948895</v>
      </c>
      <c r="K1206" s="86">
        <v>356.20780492933977</v>
      </c>
      <c r="L1206" s="86">
        <v>358.91438718015343</v>
      </c>
      <c r="M1206" s="86">
        <v>1128583.9139312122</v>
      </c>
      <c r="N1206" s="86" t="s">
        <v>1254</v>
      </c>
      <c r="O1206" s="25">
        <f t="shared" si="36"/>
        <v>1.7361894024802593E-2</v>
      </c>
    </row>
    <row r="1207" spans="1:15">
      <c r="A1207" s="86">
        <v>348.41794815777519</v>
      </c>
      <c r="B1207" s="86">
        <v>349.99625329916148</v>
      </c>
      <c r="C1207" s="86">
        <v>342.33202243444748</v>
      </c>
      <c r="D1207" s="86">
        <v>342.58672497073707</v>
      </c>
      <c r="E1207" s="86">
        <v>4761716.0224154685</v>
      </c>
      <c r="F1207" s="86" t="s">
        <v>1255</v>
      </c>
      <c r="G1207" s="25">
        <f t="shared" si="35"/>
        <v>1.7021159204391845E-2</v>
      </c>
      <c r="I1207" s="86">
        <v>358.36587715590218</v>
      </c>
      <c r="J1207" s="86">
        <v>359.0043068562602</v>
      </c>
      <c r="K1207" s="86">
        <v>354.28352386065501</v>
      </c>
      <c r="L1207" s="86">
        <v>357.69147958510143</v>
      </c>
      <c r="M1207" s="86">
        <v>932656.82919525506</v>
      </c>
      <c r="N1207" s="86" t="s">
        <v>1255</v>
      </c>
      <c r="O1207" s="25">
        <f t="shared" si="36"/>
        <v>1.8854169285300593E-3</v>
      </c>
    </row>
    <row r="1208" spans="1:15">
      <c r="A1208" s="86">
        <v>339.52462397786775</v>
      </c>
      <c r="B1208" s="86">
        <v>342.32209895900758</v>
      </c>
      <c r="C1208" s="86">
        <v>338.76864416793069</v>
      </c>
      <c r="D1208" s="86">
        <v>342.23704059809455</v>
      </c>
      <c r="E1208" s="86">
        <v>3160736.9001016966</v>
      </c>
      <c r="F1208" s="86" t="s">
        <v>1256</v>
      </c>
      <c r="G1208" s="25">
        <f t="shared" si="35"/>
        <v>-7.925549541588417E-3</v>
      </c>
      <c r="I1208" s="86">
        <v>356.81026675925511</v>
      </c>
      <c r="J1208" s="86">
        <v>362.35831077504258</v>
      </c>
      <c r="K1208" s="86">
        <v>356.59445953659889</v>
      </c>
      <c r="L1208" s="86">
        <v>359.84055984405313</v>
      </c>
      <c r="M1208" s="86">
        <v>1103686.1374162945</v>
      </c>
      <c r="N1208" s="86" t="s">
        <v>1256</v>
      </c>
      <c r="O1208" s="25">
        <f t="shared" si="36"/>
        <v>-8.4212104552952027E-3</v>
      </c>
    </row>
    <row r="1209" spans="1:15">
      <c r="A1209" s="86">
        <v>343.64522901765486</v>
      </c>
      <c r="B1209" s="86">
        <v>344.42965612385285</v>
      </c>
      <c r="C1209" s="86">
        <v>341.60382835574194</v>
      </c>
      <c r="D1209" s="86">
        <v>343.86260038443254</v>
      </c>
      <c r="E1209" s="86">
        <v>4128938.0165586537</v>
      </c>
      <c r="F1209" s="86" t="s">
        <v>1257</v>
      </c>
      <c r="G1209" s="25">
        <f t="shared" si="35"/>
        <v>-6.321459982407962E-4</v>
      </c>
      <c r="I1209" s="86">
        <v>359.4988650748474</v>
      </c>
      <c r="J1209" s="86">
        <v>363.02821236203795</v>
      </c>
      <c r="K1209" s="86">
        <v>353.94632507525466</v>
      </c>
      <c r="L1209" s="86">
        <v>354.61622666225009</v>
      </c>
      <c r="M1209" s="86">
        <v>1154643.8387603196</v>
      </c>
      <c r="N1209" s="86" t="s">
        <v>1257</v>
      </c>
      <c r="O1209" s="25">
        <f t="shared" si="36"/>
        <v>1.3768795800897626E-2</v>
      </c>
    </row>
    <row r="1210" spans="1:15">
      <c r="A1210" s="86">
        <v>343.3049955740027</v>
      </c>
      <c r="B1210" s="86">
        <v>347.64297198056749</v>
      </c>
      <c r="C1210" s="86">
        <v>341.18798748016712</v>
      </c>
      <c r="D1210" s="86">
        <v>346.55611514667874</v>
      </c>
      <c r="E1210" s="86">
        <v>4797265.966801201</v>
      </c>
      <c r="F1210" s="86" t="s">
        <v>1258</v>
      </c>
      <c r="G1210" s="25">
        <f t="shared" si="35"/>
        <v>-9.3812211950148328E-3</v>
      </c>
      <c r="I1210" s="86">
        <v>354.9489294638451</v>
      </c>
      <c r="J1210" s="86">
        <v>361.45012204636424</v>
      </c>
      <c r="K1210" s="86">
        <v>353.79795760967846</v>
      </c>
      <c r="L1210" s="86">
        <v>359.63374458900756</v>
      </c>
      <c r="M1210" s="86">
        <v>855693.6961009698</v>
      </c>
      <c r="N1210" s="86" t="s">
        <v>1258</v>
      </c>
      <c r="O1210" s="25">
        <f t="shared" si="36"/>
        <v>-1.3026628328541068E-2</v>
      </c>
    </row>
    <row r="1211" spans="1:15">
      <c r="A1211" s="86">
        <v>346.46160585677535</v>
      </c>
      <c r="B1211" s="86">
        <v>346.48995864374638</v>
      </c>
      <c r="C1211" s="86">
        <v>340.24289458113338</v>
      </c>
      <c r="D1211" s="86">
        <v>342.46386289386265</v>
      </c>
      <c r="E1211" s="86">
        <v>4871456.5570296198</v>
      </c>
      <c r="F1211" s="86" t="s">
        <v>1259</v>
      </c>
      <c r="G1211" s="25">
        <f t="shared" si="35"/>
        <v>1.1673473893365705E-2</v>
      </c>
      <c r="I1211" s="86">
        <v>355.36255997393619</v>
      </c>
      <c r="J1211" s="86">
        <v>355.6772788403099</v>
      </c>
      <c r="K1211" s="86">
        <v>350.36302598240002</v>
      </c>
      <c r="L1211" s="86">
        <v>354.57126682419664</v>
      </c>
      <c r="M1211" s="86">
        <v>1046508.44035814</v>
      </c>
      <c r="N1211" s="86" t="s">
        <v>1259</v>
      </c>
      <c r="O1211" s="25">
        <f t="shared" si="36"/>
        <v>2.2316899979712979E-3</v>
      </c>
    </row>
    <row r="1212" spans="1:15">
      <c r="A1212" s="86">
        <v>342.99311491732158</v>
      </c>
      <c r="B1212" s="86">
        <v>344.24054303475617</v>
      </c>
      <c r="C1212" s="86">
        <v>339.71364255767452</v>
      </c>
      <c r="D1212" s="86">
        <v>340.89500868146666</v>
      </c>
      <c r="E1212" s="86">
        <v>4518747.3150695842</v>
      </c>
      <c r="F1212" s="86" t="s">
        <v>1260</v>
      </c>
      <c r="G1212" s="25">
        <f t="shared" si="35"/>
        <v>6.1546991960077513E-3</v>
      </c>
      <c r="I1212" s="86">
        <v>355.38054390915761</v>
      </c>
      <c r="J1212" s="86">
        <v>357.41272858917046</v>
      </c>
      <c r="K1212" s="86">
        <v>346.78871885715614</v>
      </c>
      <c r="L1212" s="86">
        <v>351.28020667868907</v>
      </c>
      <c r="M1212" s="86">
        <v>1735392.1494859529</v>
      </c>
      <c r="N1212" s="86" t="s">
        <v>1260</v>
      </c>
      <c r="O1212" s="25">
        <f t="shared" si="36"/>
        <v>1.167255413914936E-2</v>
      </c>
    </row>
    <row r="1213" spans="1:15">
      <c r="A1213" s="86">
        <v>340.80995032055364</v>
      </c>
      <c r="B1213" s="86">
        <v>341.26359491208979</v>
      </c>
      <c r="C1213" s="86">
        <v>334.79915948269911</v>
      </c>
      <c r="D1213" s="86">
        <v>335.46072451202269</v>
      </c>
      <c r="E1213" s="86">
        <v>3830472.1194088617</v>
      </c>
      <c r="F1213" s="86" t="s">
        <v>1261</v>
      </c>
      <c r="G1213" s="25">
        <f t="shared" si="35"/>
        <v>1.5945907874348686E-2</v>
      </c>
      <c r="I1213" s="86">
        <v>351.02843158559011</v>
      </c>
      <c r="J1213" s="86">
        <v>351.19927897019295</v>
      </c>
      <c r="K1213" s="86">
        <v>336.00285370814964</v>
      </c>
      <c r="L1213" s="86">
        <v>340.63371702764806</v>
      </c>
      <c r="M1213" s="86">
        <v>3362770.1198675702</v>
      </c>
      <c r="N1213" s="86" t="s">
        <v>1261</v>
      </c>
      <c r="O1213" s="25">
        <f t="shared" si="36"/>
        <v>3.0515812259120478E-2</v>
      </c>
    </row>
    <row r="1214" spans="1:15">
      <c r="A1214" s="86">
        <v>331.80321499276215</v>
      </c>
      <c r="B1214" s="86">
        <v>337.98412255244278</v>
      </c>
      <c r="C1214" s="86">
        <v>330.70690722988309</v>
      </c>
      <c r="D1214" s="86">
        <v>337.36981216807089</v>
      </c>
      <c r="E1214" s="86">
        <v>3750827.0389337479</v>
      </c>
      <c r="F1214" s="86" t="s">
        <v>1262</v>
      </c>
      <c r="G1214" s="25">
        <f t="shared" si="35"/>
        <v>-1.6499985993220889E-2</v>
      </c>
      <c r="I1214" s="86">
        <v>348.2409216262804</v>
      </c>
      <c r="J1214" s="86">
        <v>359.67870442706095</v>
      </c>
      <c r="K1214" s="86">
        <v>348.01612243601346</v>
      </c>
      <c r="L1214" s="86">
        <v>359.65172852422893</v>
      </c>
      <c r="M1214" s="86">
        <v>3069105.8058563978</v>
      </c>
      <c r="N1214" s="86" t="s">
        <v>1262</v>
      </c>
      <c r="O1214" s="25">
        <f t="shared" si="36"/>
        <v>-3.1727379553466606E-2</v>
      </c>
    </row>
    <row r="1215" spans="1:15">
      <c r="A1215" s="86">
        <v>334.57233718693101</v>
      </c>
      <c r="B1215" s="86">
        <v>334.66684647683439</v>
      </c>
      <c r="C1215" s="86">
        <v>330.59349608199904</v>
      </c>
      <c r="D1215" s="86">
        <v>332.4175253771341</v>
      </c>
      <c r="E1215" s="86">
        <v>4783101.2217124514</v>
      </c>
      <c r="F1215" s="86" t="s">
        <v>1263</v>
      </c>
      <c r="G1215" s="25">
        <f t="shared" si="35"/>
        <v>6.4822449037613694E-3</v>
      </c>
      <c r="I1215" s="86">
        <v>358.22200567413131</v>
      </c>
      <c r="J1215" s="86">
        <v>363.01472441062191</v>
      </c>
      <c r="K1215" s="86">
        <v>357.7094635203228</v>
      </c>
      <c r="L1215" s="86">
        <v>363.01472441062191</v>
      </c>
      <c r="M1215" s="86">
        <v>1360362.9961340223</v>
      </c>
      <c r="N1215" s="86" t="s">
        <v>1263</v>
      </c>
      <c r="O1215" s="25">
        <f t="shared" si="36"/>
        <v>-1.3202546382304114E-2</v>
      </c>
    </row>
    <row r="1216" spans="1:15">
      <c r="A1216" s="86">
        <v>328.3630768402794</v>
      </c>
      <c r="B1216" s="86">
        <v>328.84507421878658</v>
      </c>
      <c r="C1216" s="86">
        <v>322.3192077509587</v>
      </c>
      <c r="D1216" s="86">
        <v>324.55435245717348</v>
      </c>
      <c r="E1216" s="86">
        <v>4893529.5194032956</v>
      </c>
      <c r="F1216" s="86" t="s">
        <v>1264</v>
      </c>
      <c r="G1216" s="25">
        <f t="shared" si="35"/>
        <v>1.1735243586383559E-2</v>
      </c>
      <c r="I1216" s="86">
        <v>359.95745542299193</v>
      </c>
      <c r="J1216" s="86">
        <v>364.50739103399422</v>
      </c>
      <c r="K1216" s="86">
        <v>357.44869645961313</v>
      </c>
      <c r="L1216" s="86">
        <v>362.54714209486673</v>
      </c>
      <c r="M1216" s="86">
        <v>1290857.6301162527</v>
      </c>
      <c r="N1216" s="86" t="s">
        <v>1264</v>
      </c>
      <c r="O1216" s="25">
        <f t="shared" si="36"/>
        <v>-7.1430343014459163E-3</v>
      </c>
    </row>
    <row r="1217" spans="1:15">
      <c r="A1217" s="86">
        <v>329.23256230739042</v>
      </c>
      <c r="B1217" s="86">
        <v>331.72760756083949</v>
      </c>
      <c r="C1217" s="86">
        <v>325.46164164024583</v>
      </c>
      <c r="D1217" s="86">
        <v>325.81132601288834</v>
      </c>
      <c r="E1217" s="86">
        <v>5929084.8611063445</v>
      </c>
      <c r="F1217" s="86" t="s">
        <v>1265</v>
      </c>
      <c r="G1217" s="25">
        <f t="shared" si="35"/>
        <v>1.0500667169460964E-2</v>
      </c>
      <c r="I1217" s="86">
        <v>366.87227851560215</v>
      </c>
      <c r="J1217" s="86">
        <v>375.65743087123309</v>
      </c>
      <c r="K1217" s="86">
        <v>366.6294953901139</v>
      </c>
      <c r="L1217" s="86">
        <v>367.87038692038726</v>
      </c>
      <c r="M1217" s="86">
        <v>1285063.5701000511</v>
      </c>
      <c r="N1217" s="86" t="s">
        <v>1265</v>
      </c>
      <c r="O1217" s="25">
        <f t="shared" si="36"/>
        <v>-2.7132067170199115E-3</v>
      </c>
    </row>
    <row r="1218" spans="1:15">
      <c r="A1218" s="86">
        <v>330.77306373281544</v>
      </c>
      <c r="B1218" s="86">
        <v>335.413469867071</v>
      </c>
      <c r="C1218" s="86">
        <v>329.25146416537109</v>
      </c>
      <c r="D1218" s="86">
        <v>333.23975619929348</v>
      </c>
      <c r="E1218" s="86">
        <v>4317322.6718470706</v>
      </c>
      <c r="F1218" s="86" t="s">
        <v>1266</v>
      </c>
      <c r="G1218" s="25">
        <f t="shared" si="35"/>
        <v>-7.4021554169030335E-3</v>
      </c>
      <c r="I1218" s="86">
        <v>372.25846711439738</v>
      </c>
      <c r="J1218" s="86">
        <v>377.56372800469654</v>
      </c>
      <c r="K1218" s="86">
        <v>371.00858361651336</v>
      </c>
      <c r="L1218" s="86">
        <v>377.18606536504814</v>
      </c>
      <c r="M1218" s="86">
        <v>756735.37701811746</v>
      </c>
      <c r="N1218" s="86" t="s">
        <v>1266</v>
      </c>
      <c r="O1218" s="25">
        <f t="shared" si="36"/>
        <v>-1.3064104703554569E-2</v>
      </c>
    </row>
    <row r="1219" spans="1:15">
      <c r="A1219" s="86">
        <v>333.85406658366537</v>
      </c>
      <c r="B1219" s="86">
        <v>336.04668210942361</v>
      </c>
      <c r="C1219" s="86">
        <v>333.1546978383804</v>
      </c>
      <c r="D1219" s="86">
        <v>335.356764293129</v>
      </c>
      <c r="E1219" s="86">
        <v>3694552.1478046575</v>
      </c>
      <c r="F1219" s="86" t="s">
        <v>1267</v>
      </c>
      <c r="G1219" s="25">
        <f t="shared" si="35"/>
        <v>-4.4808927967534551E-3</v>
      </c>
      <c r="I1219" s="86">
        <v>376.82638666062104</v>
      </c>
      <c r="J1219" s="86">
        <v>380.36022993161691</v>
      </c>
      <c r="K1219" s="86">
        <v>373.50835061228145</v>
      </c>
      <c r="L1219" s="86">
        <v>375.77432645017188</v>
      </c>
      <c r="M1219" s="86">
        <v>670219.2735708243</v>
      </c>
      <c r="N1219" s="86" t="s">
        <v>1267</v>
      </c>
      <c r="O1219" s="25">
        <f t="shared" si="36"/>
        <v>2.7997128499641644E-3</v>
      </c>
    </row>
    <row r="1220" spans="1:15">
      <c r="A1220" s="86">
        <v>337.67224189576166</v>
      </c>
      <c r="B1220" s="86">
        <v>339.33560539806103</v>
      </c>
      <c r="C1220" s="86">
        <v>335.00802501338558</v>
      </c>
      <c r="D1220" s="86">
        <v>336.36404430491916</v>
      </c>
      <c r="E1220" s="86">
        <v>5069703.7348378124</v>
      </c>
      <c r="F1220" s="86" t="s">
        <v>1268</v>
      </c>
      <c r="G1220" s="25">
        <f t="shared" si="35"/>
        <v>3.8892313640295217E-3</v>
      </c>
      <c r="I1220" s="86">
        <v>377.97735851478768</v>
      </c>
      <c r="J1220" s="86">
        <v>383.92554508925014</v>
      </c>
      <c r="K1220" s="86">
        <v>377.63566374558195</v>
      </c>
      <c r="L1220" s="86">
        <v>382.64418970472877</v>
      </c>
      <c r="M1220" s="86">
        <v>758430.22298063023</v>
      </c>
      <c r="N1220" s="86" t="s">
        <v>1268</v>
      </c>
      <c r="O1220" s="25">
        <f t="shared" si="36"/>
        <v>-1.219626827090281E-2</v>
      </c>
    </row>
    <row r="1221" spans="1:15">
      <c r="A1221" s="86">
        <v>337.87071140455873</v>
      </c>
      <c r="B1221" s="86">
        <v>338.62678572378576</v>
      </c>
      <c r="C1221" s="86">
        <v>334.5628862579407</v>
      </c>
      <c r="D1221" s="86">
        <v>334.57233718693101</v>
      </c>
      <c r="E1221" s="86">
        <v>3954614.4128489615</v>
      </c>
      <c r="F1221" s="86" t="s">
        <v>1269</v>
      </c>
      <c r="G1221" s="25">
        <f t="shared" si="35"/>
        <v>9.8584785740516434E-3</v>
      </c>
      <c r="I1221" s="86">
        <v>379.63188055515212</v>
      </c>
      <c r="J1221" s="86">
        <v>384.85171775314984</v>
      </c>
      <c r="K1221" s="86">
        <v>377.25800110593354</v>
      </c>
      <c r="L1221" s="86">
        <v>381.6910411379971</v>
      </c>
      <c r="M1221" s="86">
        <v>1309255.1607972549</v>
      </c>
      <c r="N1221" s="86" t="s">
        <v>1269</v>
      </c>
      <c r="O1221" s="25">
        <f t="shared" si="36"/>
        <v>-5.3948360346778301E-3</v>
      </c>
    </row>
    <row r="1222" spans="1:15">
      <c r="A1222" s="86">
        <v>332.98458111655435</v>
      </c>
      <c r="B1222" s="86">
        <v>335.20554942928362</v>
      </c>
      <c r="C1222" s="86">
        <v>329.77126525983965</v>
      </c>
      <c r="D1222" s="86">
        <v>331.94497892761729</v>
      </c>
      <c r="E1222" s="86">
        <v>5767610.787863357</v>
      </c>
      <c r="F1222" s="86" t="s">
        <v>1270</v>
      </c>
      <c r="G1222" s="25">
        <f t="shared" si="35"/>
        <v>3.1318509238960068E-3</v>
      </c>
      <c r="I1222" s="86">
        <v>382.95890857110243</v>
      </c>
      <c r="J1222" s="86">
        <v>384.73032619040572</v>
      </c>
      <c r="K1222" s="86">
        <v>373.41843093617462</v>
      </c>
      <c r="L1222" s="86">
        <v>374.87512968910426</v>
      </c>
      <c r="M1222" s="86">
        <v>1162099.3816295355</v>
      </c>
      <c r="N1222" s="86" t="s">
        <v>1270</v>
      </c>
      <c r="O1222" s="25">
        <f t="shared" si="36"/>
        <v>2.1563924202446572E-2</v>
      </c>
    </row>
    <row r="1223" spans="1:15">
      <c r="A1223" s="86">
        <v>331.78431313478148</v>
      </c>
      <c r="B1223" s="86">
        <v>331.82211685074287</v>
      </c>
      <c r="C1223" s="86">
        <v>323.9589439307822</v>
      </c>
      <c r="D1223" s="86">
        <v>326.51069475817332</v>
      </c>
      <c r="E1223" s="86">
        <v>6539636.4805185283</v>
      </c>
      <c r="F1223" s="86" t="s">
        <v>1271</v>
      </c>
      <c r="G1223" s="25">
        <f t="shared" si="35"/>
        <v>1.6151441472733508E-2</v>
      </c>
      <c r="I1223" s="86">
        <v>373.39145503334265</v>
      </c>
      <c r="J1223" s="86">
        <v>382.85100495977434</v>
      </c>
      <c r="K1223" s="86">
        <v>366.16191307435867</v>
      </c>
      <c r="L1223" s="86">
        <v>381.96979213392808</v>
      </c>
      <c r="M1223" s="86">
        <v>1905258.1972891523</v>
      </c>
      <c r="N1223" s="86" t="s">
        <v>1271</v>
      </c>
      <c r="O1223" s="25">
        <f t="shared" si="36"/>
        <v>-2.2458155794627954E-2</v>
      </c>
    </row>
    <row r="1224" spans="1:15">
      <c r="A1224" s="86">
        <v>331.19835553738062</v>
      </c>
      <c r="B1224" s="86">
        <v>331.56694176800374</v>
      </c>
      <c r="C1224" s="86">
        <v>324.72446917899953</v>
      </c>
      <c r="D1224" s="86">
        <v>327.15335792951623</v>
      </c>
      <c r="E1224" s="86">
        <v>7916131.8507938376</v>
      </c>
      <c r="F1224" s="86" t="s">
        <v>1272</v>
      </c>
      <c r="G1224" s="25">
        <f t="shared" si="35"/>
        <v>1.2364224636006504E-2</v>
      </c>
      <c r="I1224" s="86">
        <v>389.81977985804861</v>
      </c>
      <c r="J1224" s="86">
        <v>391.11462319398606</v>
      </c>
      <c r="K1224" s="86">
        <v>381.6910411379971</v>
      </c>
      <c r="L1224" s="86">
        <v>386.42081610121295</v>
      </c>
      <c r="M1224" s="86">
        <v>1442329.4835493998</v>
      </c>
      <c r="N1224" s="86" t="s">
        <v>1272</v>
      </c>
      <c r="O1224" s="25">
        <f t="shared" si="36"/>
        <v>8.7960161958391403E-3</v>
      </c>
    </row>
    <row r="1225" spans="1:15">
      <c r="A1225" s="86">
        <v>327.83382481682054</v>
      </c>
      <c r="B1225" s="86">
        <v>330.63129979796031</v>
      </c>
      <c r="C1225" s="86">
        <v>323.64706327410107</v>
      </c>
      <c r="D1225" s="86">
        <v>326.8887319177868</v>
      </c>
      <c r="E1225" s="86">
        <v>7575550.5171184987</v>
      </c>
      <c r="F1225" s="86" t="s">
        <v>1273</v>
      </c>
      <c r="G1225" s="25">
        <f t="shared" si="35"/>
        <v>2.8911761304499795E-3</v>
      </c>
      <c r="I1225" s="86">
        <v>386.61863938864781</v>
      </c>
      <c r="J1225" s="86">
        <v>386.94235022263217</v>
      </c>
      <c r="K1225" s="86">
        <v>374.85714575388289</v>
      </c>
      <c r="L1225" s="86">
        <v>376.00811760804953</v>
      </c>
      <c r="M1225" s="86">
        <v>1411827.8167424211</v>
      </c>
      <c r="N1225" s="86" t="s">
        <v>1273</v>
      </c>
      <c r="O1225" s="25">
        <f t="shared" si="36"/>
        <v>2.8218863592883059E-2</v>
      </c>
    </row>
    <row r="1226" spans="1:15">
      <c r="A1226" s="86">
        <v>330.4422812181536</v>
      </c>
      <c r="B1226" s="86">
        <v>332.06784100449164</v>
      </c>
      <c r="C1226" s="86">
        <v>328.71276121292186</v>
      </c>
      <c r="D1226" s="86">
        <v>331.18890460839026</v>
      </c>
      <c r="E1226" s="86">
        <v>3995227.3515761946</v>
      </c>
      <c r="F1226" s="86" t="s">
        <v>1274</v>
      </c>
      <c r="G1226" s="25">
        <f t="shared" si="35"/>
        <v>-2.2543731986417459E-3</v>
      </c>
      <c r="I1226" s="86">
        <v>376.66453124362886</v>
      </c>
      <c r="J1226" s="86">
        <v>381.62477033670638</v>
      </c>
      <c r="K1226" s="86">
        <v>374.45250721140246</v>
      </c>
      <c r="L1226" s="86">
        <v>380.41418173728101</v>
      </c>
      <c r="M1226" s="86">
        <v>816098.3577484095</v>
      </c>
      <c r="N1226" s="86" t="s">
        <v>1274</v>
      </c>
      <c r="O1226" s="25">
        <f t="shared" si="36"/>
        <v>-9.8567579066800581E-3</v>
      </c>
    </row>
    <row r="1227" spans="1:15">
      <c r="A1227" s="86">
        <v>330.27963073710072</v>
      </c>
      <c r="B1227" s="86">
        <v>341.5132796195382</v>
      </c>
      <c r="C1227" s="86">
        <v>330.27963073710072</v>
      </c>
      <c r="D1227" s="86">
        <v>338.92017508069318</v>
      </c>
      <c r="E1227" s="86">
        <v>9351302.0924334582</v>
      </c>
      <c r="F1227" s="86" t="s">
        <v>1275</v>
      </c>
      <c r="G1227" s="25">
        <f t="shared" si="35"/>
        <v>-2.5494334592312873E-2</v>
      </c>
      <c r="I1227" s="86">
        <v>378.30106934877199</v>
      </c>
      <c r="J1227" s="86">
        <v>384.46056716208545</v>
      </c>
      <c r="K1227" s="86">
        <v>377.07816175372005</v>
      </c>
      <c r="L1227" s="86">
        <v>380.36022993161691</v>
      </c>
      <c r="M1227" s="86">
        <v>1060525.394762018</v>
      </c>
      <c r="N1227" s="86" t="s">
        <v>1275</v>
      </c>
      <c r="O1227" s="25">
        <f t="shared" si="36"/>
        <v>-5.413711583924341E-3</v>
      </c>
    </row>
    <row r="1228" spans="1:15">
      <c r="A1228" s="86">
        <v>337.57420793348871</v>
      </c>
      <c r="B1228" s="86">
        <v>339.92729735167836</v>
      </c>
      <c r="C1228" s="86">
        <v>336.55767330483076</v>
      </c>
      <c r="D1228" s="86">
        <v>339.786111986587</v>
      </c>
      <c r="E1228" s="86">
        <v>4896318.3935712902</v>
      </c>
      <c r="F1228" s="86" t="s">
        <v>1276</v>
      </c>
      <c r="G1228" s="25">
        <f t="shared" si="35"/>
        <v>-6.5096952908587635E-3</v>
      </c>
      <c r="I1228" s="86">
        <v>376.98824207761322</v>
      </c>
      <c r="J1228" s="86">
        <v>380.53107731621981</v>
      </c>
      <c r="K1228" s="86">
        <v>375.38767184291282</v>
      </c>
      <c r="L1228" s="86">
        <v>376.79941075778908</v>
      </c>
      <c r="M1228" s="86">
        <v>866357.65800027037</v>
      </c>
      <c r="N1228" s="86" t="s">
        <v>1276</v>
      </c>
      <c r="O1228" s="25">
        <f t="shared" si="36"/>
        <v>5.0114547537205567E-4</v>
      </c>
    </row>
    <row r="1229" spans="1:15">
      <c r="A1229" s="86">
        <v>338.84487621931112</v>
      </c>
      <c r="B1229" s="86">
        <v>338.86370093465661</v>
      </c>
      <c r="C1229" s="86">
        <v>331.28675300808595</v>
      </c>
      <c r="D1229" s="86">
        <v>331.34322715412247</v>
      </c>
      <c r="E1229" s="86">
        <v>5799353.5623898217</v>
      </c>
      <c r="F1229" s="86" t="s">
        <v>1277</v>
      </c>
      <c r="G1229" s="25">
        <f t="shared" si="35"/>
        <v>2.2640115899213109E-2</v>
      </c>
      <c r="I1229" s="86">
        <v>376.79941075778908</v>
      </c>
      <c r="J1229" s="86">
        <v>377.19505733265879</v>
      </c>
      <c r="K1229" s="86">
        <v>369.28212583526346</v>
      </c>
      <c r="L1229" s="86">
        <v>373.92198112237253</v>
      </c>
      <c r="M1229" s="86">
        <v>1966177.0110257142</v>
      </c>
      <c r="N1229" s="86" t="s">
        <v>1277</v>
      </c>
      <c r="O1229" s="25">
        <f t="shared" si="36"/>
        <v>7.6952674105426055E-3</v>
      </c>
    </row>
    <row r="1230" spans="1:15">
      <c r="A1230" s="86">
        <v>328.61364342902249</v>
      </c>
      <c r="B1230" s="86">
        <v>329.06543659731489</v>
      </c>
      <c r="C1230" s="86">
        <v>323.9168769503159</v>
      </c>
      <c r="D1230" s="86">
        <v>327.20178977810866</v>
      </c>
      <c r="E1230" s="86">
        <v>7127623.3152684094</v>
      </c>
      <c r="F1230" s="86" t="s">
        <v>1278</v>
      </c>
      <c r="G1230" s="25">
        <f t="shared" si="35"/>
        <v>4.3149325432212393E-3</v>
      </c>
      <c r="I1230" s="86">
        <v>369.22817402959942</v>
      </c>
      <c r="J1230" s="86">
        <v>374.30863572963165</v>
      </c>
      <c r="K1230" s="86">
        <v>366.1349371715267</v>
      </c>
      <c r="L1230" s="86">
        <v>373.49935864467074</v>
      </c>
      <c r="M1230" s="86">
        <v>1099701.47003855</v>
      </c>
      <c r="N1230" s="86" t="s">
        <v>1278</v>
      </c>
      <c r="O1230" s="25">
        <f t="shared" si="36"/>
        <v>-1.1435587548450754E-2</v>
      </c>
    </row>
    <row r="1231" spans="1:15">
      <c r="A1231" s="86">
        <v>325.19695759381108</v>
      </c>
      <c r="B1231" s="86">
        <v>328.97131302058727</v>
      </c>
      <c r="C1231" s="86">
        <v>321.5588931061364</v>
      </c>
      <c r="D1231" s="86">
        <v>321.97793126972761</v>
      </c>
      <c r="E1231" s="86">
        <v>5180487.3651501266</v>
      </c>
      <c r="F1231" s="86" t="s">
        <v>1279</v>
      </c>
      <c r="G1231" s="25">
        <f t="shared" si="35"/>
        <v>9.9976613657624114E-3</v>
      </c>
      <c r="I1231" s="86">
        <v>373.57129438555614</v>
      </c>
      <c r="J1231" s="86">
        <v>378.04030228806243</v>
      </c>
      <c r="K1231" s="86">
        <v>370.28023424004857</v>
      </c>
      <c r="L1231" s="86">
        <v>372.32141088767213</v>
      </c>
      <c r="M1231" s="86">
        <v>1193977.8327551433</v>
      </c>
      <c r="N1231" s="86" t="s">
        <v>1279</v>
      </c>
      <c r="O1231" s="25">
        <f t="shared" si="36"/>
        <v>3.3570014007631155E-3</v>
      </c>
    </row>
    <row r="1232" spans="1:15">
      <c r="A1232" s="86">
        <v>325.8840597039225</v>
      </c>
      <c r="B1232" s="86">
        <v>327.07942912836279</v>
      </c>
      <c r="C1232" s="86">
        <v>322.94740411002181</v>
      </c>
      <c r="D1232" s="86">
        <v>323.02270297140382</v>
      </c>
      <c r="E1232" s="86">
        <v>5979743.0098620579</v>
      </c>
      <c r="F1232" s="86" t="s">
        <v>1280</v>
      </c>
      <c r="G1232" s="25">
        <f t="shared" si="35"/>
        <v>8.8580669599931383E-3</v>
      </c>
      <c r="I1232" s="86">
        <v>376.72747501690361</v>
      </c>
      <c r="J1232" s="86">
        <v>378.11223802894779</v>
      </c>
      <c r="K1232" s="86">
        <v>367.78055716395659</v>
      </c>
      <c r="L1232" s="86">
        <v>370.46906555987277</v>
      </c>
      <c r="M1232" s="86">
        <v>1639637.8010185857</v>
      </c>
      <c r="N1232" s="86" t="s">
        <v>1280</v>
      </c>
      <c r="O1232" s="25">
        <f t="shared" si="36"/>
        <v>1.6893203883495023E-2</v>
      </c>
    </row>
    <row r="1233" spans="1:15">
      <c r="A1233" s="86">
        <v>318.09062755087831</v>
      </c>
      <c r="B1233" s="86">
        <v>320.83903599132384</v>
      </c>
      <c r="C1233" s="86">
        <v>314.59864285428489</v>
      </c>
      <c r="D1233" s="86">
        <v>317.48823665982178</v>
      </c>
      <c r="E1233" s="86">
        <v>7526255.6378435791</v>
      </c>
      <c r="F1233" s="86" t="s">
        <v>1281</v>
      </c>
      <c r="G1233" s="25">
        <f t="shared" si="35"/>
        <v>1.8973644422044522E-3</v>
      </c>
      <c r="I1233" s="86">
        <v>363.28448343894223</v>
      </c>
      <c r="J1233" s="86">
        <v>364.53436693682625</v>
      </c>
      <c r="K1233" s="86">
        <v>354.8769937229597</v>
      </c>
      <c r="L1233" s="86">
        <v>362.88883686407246</v>
      </c>
      <c r="M1233" s="86">
        <v>4178296.8563399091</v>
      </c>
      <c r="N1233" s="86" t="s">
        <v>1281</v>
      </c>
      <c r="O1233" s="25">
        <f t="shared" si="36"/>
        <v>1.0902693460861368E-3</v>
      </c>
    </row>
    <row r="1234" spans="1:15">
      <c r="A1234" s="86">
        <v>317.26234007567552</v>
      </c>
      <c r="B1234" s="86">
        <v>320.81079891830552</v>
      </c>
      <c r="C1234" s="86">
        <v>314.90925065748587</v>
      </c>
      <c r="D1234" s="86">
        <v>320.47195404208628</v>
      </c>
      <c r="E1234" s="86">
        <v>9372645.3102524541</v>
      </c>
      <c r="F1234" s="86" t="s">
        <v>1282</v>
      </c>
      <c r="G1234" s="25">
        <f t="shared" si="35"/>
        <v>-1.0015272556391119E-2</v>
      </c>
      <c r="I1234" s="86">
        <v>363.985856912575</v>
      </c>
      <c r="J1234" s="86">
        <v>371.26935067722297</v>
      </c>
      <c r="K1234" s="86">
        <v>362.3942786454852</v>
      </c>
      <c r="L1234" s="86">
        <v>369.05732664499658</v>
      </c>
      <c r="M1234" s="86">
        <v>1757454.0616935163</v>
      </c>
      <c r="N1234" s="86" t="s">
        <v>1282</v>
      </c>
      <c r="O1234" s="25">
        <f t="shared" si="36"/>
        <v>-1.3741685549301996E-2</v>
      </c>
    </row>
    <row r="1235" spans="1:15">
      <c r="A1235" s="86">
        <v>328.03948961098416</v>
      </c>
      <c r="B1235" s="86">
        <v>332.10562812561591</v>
      </c>
      <c r="C1235" s="86">
        <v>321.87439533532734</v>
      </c>
      <c r="D1235" s="86">
        <v>326.43938880661523</v>
      </c>
      <c r="E1235" s="86">
        <v>8380072.5325477757</v>
      </c>
      <c r="F1235" s="86" t="s">
        <v>1283</v>
      </c>
      <c r="G1235" s="25">
        <f t="shared" si="35"/>
        <v>4.9016781039155077E-3</v>
      </c>
      <c r="I1235" s="86">
        <v>372.35737875811486</v>
      </c>
      <c r="J1235" s="86">
        <v>376.76344288734634</v>
      </c>
      <c r="K1235" s="86">
        <v>367.65457969773104</v>
      </c>
      <c r="L1235" s="86">
        <v>375.46859955140889</v>
      </c>
      <c r="M1235" s="86">
        <v>1380943.5862798621</v>
      </c>
      <c r="N1235" s="86" t="s">
        <v>1283</v>
      </c>
      <c r="O1235" s="25">
        <f t="shared" si="36"/>
        <v>-8.2862343136314021E-3</v>
      </c>
    </row>
    <row r="1236" spans="1:15">
      <c r="A1236" s="86">
        <v>323.40860963598698</v>
      </c>
      <c r="B1236" s="86">
        <v>326.91000669025317</v>
      </c>
      <c r="C1236" s="86">
        <v>320.55666526114106</v>
      </c>
      <c r="D1236" s="86">
        <v>326.01583271134109</v>
      </c>
      <c r="E1236" s="86">
        <v>8057694.2182618631</v>
      </c>
      <c r="F1236" s="86" t="s">
        <v>1284</v>
      </c>
      <c r="G1236" s="25">
        <f t="shared" si="35"/>
        <v>-7.9972283973784863E-3</v>
      </c>
      <c r="I1236" s="86">
        <v>374.21871605352487</v>
      </c>
      <c r="J1236" s="86">
        <v>381.40329817445541</v>
      </c>
      <c r="K1236" s="86">
        <v>369.66878044252257</v>
      </c>
      <c r="L1236" s="86">
        <v>381.26841866029525</v>
      </c>
      <c r="M1236" s="86">
        <v>1665966.8549309792</v>
      </c>
      <c r="N1236" s="86" t="s">
        <v>1284</v>
      </c>
      <c r="O1236" s="25">
        <f t="shared" si="36"/>
        <v>-1.8490129949765288E-2</v>
      </c>
    </row>
    <row r="1237" spans="1:15">
      <c r="A1237" s="86">
        <v>324.21807239584416</v>
      </c>
      <c r="B1237" s="86">
        <v>330.218732782958</v>
      </c>
      <c r="C1237" s="86">
        <v>322.900342321658</v>
      </c>
      <c r="D1237" s="86">
        <v>328.59481871367694</v>
      </c>
      <c r="E1237" s="86">
        <v>11048993.633230662</v>
      </c>
      <c r="F1237" s="86" t="s">
        <v>1285</v>
      </c>
      <c r="G1237" s="25">
        <f t="shared" si="35"/>
        <v>-1.3319584085245362E-2</v>
      </c>
      <c r="I1237" s="86">
        <v>381.19648291940985</v>
      </c>
      <c r="J1237" s="86">
        <v>385.17992457093959</v>
      </c>
      <c r="K1237" s="86">
        <v>379.03121711875895</v>
      </c>
      <c r="L1237" s="86">
        <v>381.61910539711164</v>
      </c>
      <c r="M1237" s="86">
        <v>1649300.8696329377</v>
      </c>
      <c r="N1237" s="86" t="s">
        <v>1285</v>
      </c>
      <c r="O1237" s="25">
        <f t="shared" si="36"/>
        <v>-1.1074458058435432E-3</v>
      </c>
    </row>
    <row r="1238" spans="1:15">
      <c r="A1238" s="86">
        <v>337.21653834192387</v>
      </c>
      <c r="B1238" s="86">
        <v>342.31803620055905</v>
      </c>
      <c r="C1238" s="86">
        <v>337.17888891123283</v>
      </c>
      <c r="D1238" s="86">
        <v>341.60269701742942</v>
      </c>
      <c r="E1238" s="86">
        <v>8106038.1099646781</v>
      </c>
      <c r="F1238" s="86" t="s">
        <v>1286</v>
      </c>
      <c r="G1238" s="25">
        <f t="shared" si="35"/>
        <v>-1.28399415865319E-2</v>
      </c>
      <c r="I1238" s="86">
        <v>386.82545464369338</v>
      </c>
      <c r="J1238" s="86">
        <v>390.56611316973482</v>
      </c>
      <c r="K1238" s="86">
        <v>382.83302102455298</v>
      </c>
      <c r="L1238" s="86">
        <v>387.55380402015817</v>
      </c>
      <c r="M1238" s="86">
        <v>1296800.7120215464</v>
      </c>
      <c r="N1238" s="86" t="s">
        <v>1286</v>
      </c>
      <c r="O1238" s="25">
        <f t="shared" si="36"/>
        <v>-1.8793503480277751E-3</v>
      </c>
    </row>
    <row r="1239" spans="1:15">
      <c r="A1239" s="86">
        <v>347.41012170152152</v>
      </c>
      <c r="B1239" s="86">
        <v>356.20126376787806</v>
      </c>
      <c r="C1239" s="86">
        <v>347.3348228401394</v>
      </c>
      <c r="D1239" s="86">
        <v>354.13054507987118</v>
      </c>
      <c r="E1239" s="86">
        <v>3210650.4077572911</v>
      </c>
      <c r="F1239" s="86" t="s">
        <v>1287</v>
      </c>
      <c r="G1239" s="25">
        <f t="shared" si="35"/>
        <v>-1.8977248564745919E-2</v>
      </c>
      <c r="I1239" s="86">
        <v>389.10042244919453</v>
      </c>
      <c r="J1239" s="86">
        <v>398.83809393382444</v>
      </c>
      <c r="K1239" s="86">
        <v>388.90259916175961</v>
      </c>
      <c r="L1239" s="86">
        <v>398.7218277926184</v>
      </c>
      <c r="M1239" s="86">
        <v>1106761.1040083861</v>
      </c>
      <c r="N1239" s="86" t="s">
        <v>1287</v>
      </c>
      <c r="O1239" s="25">
        <f t="shared" si="36"/>
        <v>-2.4130621081593029E-2</v>
      </c>
    </row>
    <row r="1240" spans="1:15">
      <c r="A1240" s="86">
        <v>355.77770767260392</v>
      </c>
      <c r="B1240" s="86">
        <v>359.7685473258536</v>
      </c>
      <c r="C1240" s="86">
        <v>355.09060556249256</v>
      </c>
      <c r="D1240" s="86">
        <v>358.14020944846635</v>
      </c>
      <c r="E1240" s="86">
        <v>3650990.6651186813</v>
      </c>
      <c r="F1240" s="86" t="s">
        <v>1288</v>
      </c>
      <c r="G1240" s="25">
        <f t="shared" si="35"/>
        <v>-6.5965834428384218E-3</v>
      </c>
      <c r="I1240" s="86">
        <v>398.71283582500774</v>
      </c>
      <c r="J1240" s="86">
        <v>408.81081545179745</v>
      </c>
      <c r="K1240" s="86">
        <v>398.26323744447393</v>
      </c>
      <c r="L1240" s="86">
        <v>406.43693600257888</v>
      </c>
      <c r="M1240" s="86">
        <v>1280703.0116886257</v>
      </c>
      <c r="N1240" s="86" t="s">
        <v>1288</v>
      </c>
      <c r="O1240" s="25">
        <f t="shared" si="36"/>
        <v>-1.9004424778761075E-2</v>
      </c>
    </row>
    <row r="1241" spans="1:15">
      <c r="A1241" s="86">
        <v>359.71207317981703</v>
      </c>
      <c r="B1241" s="86">
        <v>360.12621691741845</v>
      </c>
      <c r="C1241" s="86">
        <v>352.69045435593904</v>
      </c>
      <c r="D1241" s="86">
        <v>353.11401045121323</v>
      </c>
      <c r="E1241" s="86">
        <v>2815295.6911839927</v>
      </c>
      <c r="F1241" s="86" t="s">
        <v>1289</v>
      </c>
      <c r="G1241" s="25">
        <f t="shared" si="35"/>
        <v>1.868536091267714E-2</v>
      </c>
      <c r="I1241" s="86">
        <v>410.30348207516977</v>
      </c>
      <c r="J1241" s="86">
        <v>410.63618487676479</v>
      </c>
      <c r="K1241" s="86">
        <v>396.90446121882457</v>
      </c>
      <c r="L1241" s="86">
        <v>397.44496839190231</v>
      </c>
      <c r="M1241" s="86">
        <v>1252362.1622734857</v>
      </c>
      <c r="N1241" s="86" t="s">
        <v>1289</v>
      </c>
      <c r="O1241" s="25">
        <f t="shared" si="36"/>
        <v>3.2352941176470695E-2</v>
      </c>
    </row>
    <row r="1242" spans="1:15">
      <c r="A1242" s="86">
        <v>356.22950084089638</v>
      </c>
      <c r="B1242" s="86">
        <v>360.45564943596492</v>
      </c>
      <c r="C1242" s="86">
        <v>355.23179092758392</v>
      </c>
      <c r="D1242" s="86">
        <v>358.92143513530527</v>
      </c>
      <c r="E1242" s="86">
        <v>2825521.6094232206</v>
      </c>
      <c r="F1242" s="86" t="s">
        <v>1290</v>
      </c>
      <c r="G1242" s="25">
        <f t="shared" si="35"/>
        <v>-7.5000655600133692E-3</v>
      </c>
      <c r="I1242" s="86">
        <v>398.71283582500774</v>
      </c>
      <c r="J1242" s="86">
        <v>401.04238487390569</v>
      </c>
      <c r="K1242" s="86">
        <v>397.04932181703259</v>
      </c>
      <c r="L1242" s="86">
        <v>399.08150649704544</v>
      </c>
      <c r="M1242" s="86">
        <v>767332.61269842158</v>
      </c>
      <c r="N1242" s="86" t="s">
        <v>1290</v>
      </c>
      <c r="O1242" s="25">
        <f t="shared" si="36"/>
        <v>-9.2379793610009031E-4</v>
      </c>
    </row>
    <row r="1243" spans="1:15">
      <c r="A1243" s="86">
        <v>355.26002800060218</v>
      </c>
      <c r="B1243" s="86">
        <v>358.23433302519396</v>
      </c>
      <c r="C1243" s="86">
        <v>354.35644166401738</v>
      </c>
      <c r="D1243" s="86">
        <v>356.83189173195291</v>
      </c>
      <c r="E1243" s="86">
        <v>2921200.0814182251</v>
      </c>
      <c r="F1243" s="86" t="s">
        <v>1291</v>
      </c>
      <c r="G1243" s="25">
        <f t="shared" si="35"/>
        <v>-4.4050539421277568E-3</v>
      </c>
      <c r="I1243" s="86">
        <v>398.06541415703902</v>
      </c>
      <c r="J1243" s="86">
        <v>401.56149116407005</v>
      </c>
      <c r="K1243" s="86">
        <v>394.89124959047024</v>
      </c>
      <c r="L1243" s="86">
        <v>395.64657486976705</v>
      </c>
      <c r="M1243" s="86">
        <v>1032151.1822373797</v>
      </c>
      <c r="N1243" s="86" t="s">
        <v>1291</v>
      </c>
      <c r="O1243" s="25">
        <f t="shared" si="36"/>
        <v>6.1136363636362656E-3</v>
      </c>
    </row>
    <row r="1244" spans="1:15">
      <c r="A1244" s="86">
        <v>361.10510211538531</v>
      </c>
      <c r="B1244" s="86">
        <v>361.18981333444015</v>
      </c>
      <c r="C1244" s="86">
        <v>352.21042411462838</v>
      </c>
      <c r="D1244" s="86">
        <v>354.29055516030809</v>
      </c>
      <c r="E1244" s="86">
        <v>3478109.4321084316</v>
      </c>
      <c r="F1244" s="86" t="s">
        <v>1292</v>
      </c>
      <c r="G1244" s="25">
        <f t="shared" si="35"/>
        <v>1.9234345527483265E-2</v>
      </c>
      <c r="I1244" s="86">
        <v>396.64468327455211</v>
      </c>
      <c r="J1244" s="86">
        <v>397.93053464287891</v>
      </c>
      <c r="K1244" s="86">
        <v>387.05034375363635</v>
      </c>
      <c r="L1244" s="86">
        <v>397.22916116924608</v>
      </c>
      <c r="M1244" s="86">
        <v>1345615.3896321319</v>
      </c>
      <c r="N1244" s="86" t="s">
        <v>1292</v>
      </c>
      <c r="O1244" s="25">
        <f t="shared" si="36"/>
        <v>-1.4713871785585475E-3</v>
      </c>
    </row>
    <row r="1245" spans="1:15">
      <c r="A1245" s="86">
        <v>354.37526637936287</v>
      </c>
      <c r="B1245" s="86">
        <v>360.15445399043665</v>
      </c>
      <c r="C1245" s="86">
        <v>352.11630053790083</v>
      </c>
      <c r="D1245" s="86">
        <v>359.18498115014256</v>
      </c>
      <c r="E1245" s="86">
        <v>4510897.4261446707</v>
      </c>
      <c r="F1245" s="86" t="s">
        <v>1293</v>
      </c>
      <c r="G1245" s="25">
        <f t="shared" si="35"/>
        <v>-1.3390634417337122E-2</v>
      </c>
      <c r="I1245" s="86">
        <v>395.01713713701969</v>
      </c>
      <c r="J1245" s="86">
        <v>399.10848239987752</v>
      </c>
      <c r="K1245" s="86">
        <v>392.49039423841958</v>
      </c>
      <c r="L1245" s="86">
        <v>398.37114105580201</v>
      </c>
      <c r="M1245" s="86">
        <v>1333553.5134448532</v>
      </c>
      <c r="N1245" s="86" t="s">
        <v>1293</v>
      </c>
      <c r="O1245" s="25">
        <f t="shared" si="36"/>
        <v>-8.4192944044421125E-3</v>
      </c>
    </row>
    <row r="1246" spans="1:15">
      <c r="A1246" s="86">
        <v>357.36839611930014</v>
      </c>
      <c r="B1246" s="86">
        <v>360.35211350156465</v>
      </c>
      <c r="C1246" s="86">
        <v>354.77058540161875</v>
      </c>
      <c r="D1246" s="86">
        <v>357.88607579130189</v>
      </c>
      <c r="E1246" s="86">
        <v>5329710.338695325</v>
      </c>
      <c r="F1246" s="86" t="s">
        <v>1294</v>
      </c>
      <c r="G1246" s="25">
        <f t="shared" ref="G1246:G1309" si="37">A1246/D1246-1</f>
        <v>-1.4464929121847936E-3</v>
      </c>
      <c r="I1246" s="86">
        <v>395.74548651348448</v>
      </c>
      <c r="J1246" s="86">
        <v>400.14255867510531</v>
      </c>
      <c r="K1246" s="86">
        <v>394.21685201966949</v>
      </c>
      <c r="L1246" s="86">
        <v>398.34416515296999</v>
      </c>
      <c r="M1246" s="86">
        <v>2823741.2654658877</v>
      </c>
      <c r="N1246" s="86" t="s">
        <v>1294</v>
      </c>
      <c r="O1246" s="25">
        <f t="shared" ref="O1246:O1309" si="38">I1246/L1246-1</f>
        <v>-6.523702031602685E-3</v>
      </c>
    </row>
    <row r="1247" spans="1:15">
      <c r="A1247" s="86">
        <v>359.36381594592496</v>
      </c>
      <c r="B1247" s="86">
        <v>359.42029009196153</v>
      </c>
      <c r="C1247" s="86">
        <v>352.77516557499393</v>
      </c>
      <c r="D1247" s="86">
        <v>352.90693858241252</v>
      </c>
      <c r="E1247" s="86">
        <v>4156015.0347043751</v>
      </c>
      <c r="F1247" s="86" t="s">
        <v>1295</v>
      </c>
      <c r="G1247" s="25">
        <f t="shared" si="37"/>
        <v>1.8296260735050973E-2</v>
      </c>
      <c r="I1247" s="86">
        <v>402.62434175038447</v>
      </c>
      <c r="J1247" s="86">
        <v>403.43752567925713</v>
      </c>
      <c r="K1247" s="86">
        <v>397.1733286007987</v>
      </c>
      <c r="L1247" s="86">
        <v>403.14263480395164</v>
      </c>
      <c r="M1247" s="86">
        <v>1416644.6471674494</v>
      </c>
      <c r="N1247" s="86" t="s">
        <v>1295</v>
      </c>
      <c r="O1247" s="25">
        <f t="shared" si="38"/>
        <v>-1.2856319546038497E-3</v>
      </c>
    </row>
    <row r="1248" spans="1:15">
      <c r="A1248" s="86">
        <v>350.57267387956836</v>
      </c>
      <c r="B1248" s="86">
        <v>352.14453761091909</v>
      </c>
      <c r="C1248" s="86">
        <v>344.74642448013077</v>
      </c>
      <c r="D1248" s="86">
        <v>344.91114073940406</v>
      </c>
      <c r="E1248" s="86">
        <v>4513484.4506550618</v>
      </c>
      <c r="F1248" s="86" t="s">
        <v>1296</v>
      </c>
      <c r="G1248" s="25">
        <f t="shared" si="37"/>
        <v>1.6414468747015132E-2</v>
      </c>
      <c r="I1248" s="86">
        <v>400.3277673578541</v>
      </c>
      <c r="J1248" s="86">
        <v>405.75197224604841</v>
      </c>
      <c r="K1248" s="86">
        <v>400.12670539741856</v>
      </c>
      <c r="L1248" s="86">
        <v>402.12392087107821</v>
      </c>
      <c r="M1248" s="86">
        <v>1279266.8461146466</v>
      </c>
      <c r="N1248" s="86" t="s">
        <v>1296</v>
      </c>
      <c r="O1248" s="25">
        <f t="shared" si="38"/>
        <v>-4.4666666666666188E-3</v>
      </c>
    </row>
    <row r="1249" spans="1:15">
      <c r="A1249" s="86">
        <v>343.73930220914559</v>
      </c>
      <c r="B1249" s="86">
        <v>345.58412431300633</v>
      </c>
      <c r="C1249" s="86">
        <v>339.09900987647558</v>
      </c>
      <c r="D1249" s="86">
        <v>339.35314353364009</v>
      </c>
      <c r="E1249" s="86">
        <v>6060755.6558441473</v>
      </c>
      <c r="F1249" s="86" t="s">
        <v>1297</v>
      </c>
      <c r="G1249" s="25">
        <f t="shared" si="37"/>
        <v>1.2925056859155681E-2</v>
      </c>
      <c r="I1249" s="86">
        <v>399.92564343698302</v>
      </c>
      <c r="J1249" s="86">
        <v>400.89967693420408</v>
      </c>
      <c r="K1249" s="86">
        <v>394.34952506757071</v>
      </c>
      <c r="L1249" s="86">
        <v>396.29759206201288</v>
      </c>
      <c r="M1249" s="86">
        <v>1155251.7169177237</v>
      </c>
      <c r="N1249" s="86" t="s">
        <v>1297</v>
      </c>
      <c r="O1249" s="25">
        <f t="shared" si="38"/>
        <v>9.1548660593487874E-3</v>
      </c>
    </row>
    <row r="1250" spans="1:15">
      <c r="A1250" s="86">
        <v>340.89677019197251</v>
      </c>
      <c r="B1250" s="86">
        <v>341.86624303226665</v>
      </c>
      <c r="C1250" s="86">
        <v>334.79756242002492</v>
      </c>
      <c r="D1250" s="86">
        <v>339.64492662149564</v>
      </c>
      <c r="E1250" s="86">
        <v>5914884.6586152893</v>
      </c>
      <c r="F1250" s="86" t="s">
        <v>1298</v>
      </c>
      <c r="G1250" s="25">
        <f t="shared" si="37"/>
        <v>3.6857419980600437E-3</v>
      </c>
      <c r="I1250" s="86">
        <v>395.67206596288003</v>
      </c>
      <c r="J1250" s="86">
        <v>396.14567858079488</v>
      </c>
      <c r="K1250" s="86">
        <v>386.93257274928197</v>
      </c>
      <c r="L1250" s="86">
        <v>386.93257274928197</v>
      </c>
      <c r="M1250" s="86">
        <v>1157417.0941927533</v>
      </c>
      <c r="N1250" s="86" t="s">
        <v>1298</v>
      </c>
      <c r="O1250" s="25">
        <f t="shared" si="38"/>
        <v>2.2586605080831212E-2</v>
      </c>
    </row>
    <row r="1251" spans="1:15">
      <c r="A1251" s="86">
        <v>343.37222025990803</v>
      </c>
      <c r="B1251" s="86">
        <v>344.08755944303766</v>
      </c>
      <c r="C1251" s="86">
        <v>337.76245508694387</v>
      </c>
      <c r="D1251" s="86">
        <v>339.87082320564178</v>
      </c>
      <c r="E1251" s="86">
        <v>5582995.4435420977</v>
      </c>
      <c r="F1251" s="86" t="s">
        <v>1299</v>
      </c>
      <c r="G1251" s="25">
        <f t="shared" si="37"/>
        <v>1.0302140740535704E-2</v>
      </c>
      <c r="I1251" s="86">
        <v>386.95938101067333</v>
      </c>
      <c r="J1251" s="86">
        <v>389.29616779529084</v>
      </c>
      <c r="K1251" s="86">
        <v>381.9641083047415</v>
      </c>
      <c r="L1251" s="86">
        <v>381.9641083047415</v>
      </c>
      <c r="M1251" s="86">
        <v>1162014.1845523508</v>
      </c>
      <c r="N1251" s="86" t="s">
        <v>1299</v>
      </c>
      <c r="O1251" s="25">
        <f t="shared" si="38"/>
        <v>1.3077858880778503E-2</v>
      </c>
    </row>
    <row r="1252" spans="1:15">
      <c r="A1252" s="86">
        <v>336.98122940010489</v>
      </c>
      <c r="B1252" s="86">
        <v>340.68028596549902</v>
      </c>
      <c r="C1252" s="86">
        <v>329.20662196240625</v>
      </c>
      <c r="D1252" s="86">
        <v>340.17201865117011</v>
      </c>
      <c r="E1252" s="86">
        <v>9302510.9164107759</v>
      </c>
      <c r="F1252" s="86" t="s">
        <v>1300</v>
      </c>
      <c r="G1252" s="25">
        <f t="shared" si="37"/>
        <v>-9.3799286129327974E-3</v>
      </c>
      <c r="I1252" s="86">
        <v>379.02413563881737</v>
      </c>
      <c r="J1252" s="86">
        <v>382.46452918404776</v>
      </c>
      <c r="K1252" s="86">
        <v>372.89397986731609</v>
      </c>
      <c r="L1252" s="86">
        <v>382.46452918404776</v>
      </c>
      <c r="M1252" s="86">
        <v>1826853.2705258317</v>
      </c>
      <c r="N1252" s="86" t="s">
        <v>1300</v>
      </c>
      <c r="O1252" s="25">
        <f t="shared" si="38"/>
        <v>-8.9953271028039294E-3</v>
      </c>
    </row>
    <row r="1253" spans="1:15">
      <c r="A1253" s="86">
        <v>336.89651818105011</v>
      </c>
      <c r="B1253" s="86">
        <v>340.94383198033631</v>
      </c>
      <c r="C1253" s="86">
        <v>334.93874778511628</v>
      </c>
      <c r="D1253" s="86">
        <v>336.18117899792043</v>
      </c>
      <c r="E1253" s="86">
        <v>6756518.6333767092</v>
      </c>
      <c r="F1253" s="86" t="s">
        <v>1301</v>
      </c>
      <c r="G1253" s="25">
        <f t="shared" si="37"/>
        <v>2.1278382842904175E-3</v>
      </c>
      <c r="I1253" s="86">
        <v>380.33774044699629</v>
      </c>
      <c r="J1253" s="86">
        <v>386.92363666215147</v>
      </c>
      <c r="K1253" s="86">
        <v>374.67672924984453</v>
      </c>
      <c r="L1253" s="86">
        <v>385.01131401623127</v>
      </c>
      <c r="M1253" s="86">
        <v>1723119.9489426734</v>
      </c>
      <c r="N1253" s="86" t="s">
        <v>1301</v>
      </c>
      <c r="O1253" s="25">
        <f t="shared" si="38"/>
        <v>-1.2138795404433078E-2</v>
      </c>
    </row>
    <row r="1254" spans="1:15">
      <c r="A1254" s="86">
        <v>339.16489638018487</v>
      </c>
      <c r="B1254" s="86">
        <v>349.34906738210981</v>
      </c>
      <c r="C1254" s="86">
        <v>337.90364045203523</v>
      </c>
      <c r="D1254" s="86">
        <v>349.17964494400013</v>
      </c>
      <c r="E1254" s="86">
        <v>7313332.365091172</v>
      </c>
      <c r="F1254" s="86" t="s">
        <v>1302</v>
      </c>
      <c r="G1254" s="25">
        <f t="shared" si="37"/>
        <v>-2.8680791417327267E-2</v>
      </c>
      <c r="I1254" s="86">
        <v>388.12107233763425</v>
      </c>
      <c r="J1254" s="86">
        <v>395.03760377661678</v>
      </c>
      <c r="K1254" s="86">
        <v>387.02497189021102</v>
      </c>
      <c r="L1254" s="86">
        <v>394.08144245365668</v>
      </c>
      <c r="M1254" s="86">
        <v>1104392.7678761003</v>
      </c>
      <c r="N1254" s="86" t="s">
        <v>1302</v>
      </c>
      <c r="O1254" s="25">
        <f t="shared" si="38"/>
        <v>-1.5124716553287954E-2</v>
      </c>
    </row>
    <row r="1255" spans="1:15">
      <c r="A1255" s="86">
        <v>353.15165988190427</v>
      </c>
      <c r="B1255" s="86">
        <v>353.49050475812356</v>
      </c>
      <c r="C1255" s="86">
        <v>348.3325327534518</v>
      </c>
      <c r="D1255" s="86">
        <v>351.70215680029946</v>
      </c>
      <c r="E1255" s="86">
        <v>4795088.708817848</v>
      </c>
      <c r="F1255" s="86" t="s">
        <v>1303</v>
      </c>
      <c r="G1255" s="25">
        <f t="shared" si="37"/>
        <v>4.1213937804420731E-3</v>
      </c>
      <c r="I1255" s="86">
        <v>394.08144245365668</v>
      </c>
      <c r="J1255" s="86">
        <v>395.17164508357382</v>
      </c>
      <c r="K1255" s="86">
        <v>385.37769358858043</v>
      </c>
      <c r="L1255" s="86">
        <v>393.01804808513094</v>
      </c>
      <c r="M1255" s="86">
        <v>893133.63706891832</v>
      </c>
      <c r="N1255" s="86" t="s">
        <v>1303</v>
      </c>
      <c r="O1255" s="25">
        <f t="shared" si="38"/>
        <v>2.7057138309725115E-3</v>
      </c>
    </row>
    <row r="1256" spans="1:15">
      <c r="A1256" s="86">
        <v>346.22416463475389</v>
      </c>
      <c r="B1256" s="86">
        <v>349.5279021778922</v>
      </c>
      <c r="C1256" s="86">
        <v>343.97461115096456</v>
      </c>
      <c r="D1256" s="86">
        <v>346.10180398500802</v>
      </c>
      <c r="E1256" s="86">
        <v>5014514.0719208084</v>
      </c>
      <c r="F1256" s="86" t="s">
        <v>1304</v>
      </c>
      <c r="G1256" s="25">
        <f t="shared" si="37"/>
        <v>3.5353947404215269E-4</v>
      </c>
      <c r="I1256" s="86">
        <v>390.99849239364511</v>
      </c>
      <c r="J1256" s="86">
        <v>393.51400092087192</v>
      </c>
      <c r="K1256" s="86">
        <v>386.17747338675736</v>
      </c>
      <c r="L1256" s="86">
        <v>388.71979017537564</v>
      </c>
      <c r="M1256" s="86">
        <v>1124285.1432977668</v>
      </c>
      <c r="N1256" s="86" t="s">
        <v>1304</v>
      </c>
      <c r="O1256" s="25">
        <f t="shared" si="38"/>
        <v>5.8620689655173308E-3</v>
      </c>
    </row>
    <row r="1257" spans="1:15">
      <c r="A1257" s="86">
        <v>347.46659584755804</v>
      </c>
      <c r="B1257" s="86">
        <v>348.80315063708974</v>
      </c>
      <c r="C1257" s="86">
        <v>342.27248038942287</v>
      </c>
      <c r="D1257" s="86">
        <v>343.29692139852597</v>
      </c>
      <c r="E1257" s="86">
        <v>5713166.8673869483</v>
      </c>
      <c r="F1257" s="86" t="s">
        <v>1305</v>
      </c>
      <c r="G1257" s="25">
        <f t="shared" si="37"/>
        <v>1.2145970992240906E-2</v>
      </c>
      <c r="I1257" s="86">
        <v>388.87170365659358</v>
      </c>
      <c r="J1257" s="86">
        <v>391.13700174416732</v>
      </c>
      <c r="K1257" s="86">
        <v>383.35813789709459</v>
      </c>
      <c r="L1257" s="86">
        <v>389.04148931207249</v>
      </c>
      <c r="M1257" s="86">
        <v>1247475.5267315388</v>
      </c>
      <c r="N1257" s="86" t="s">
        <v>1305</v>
      </c>
      <c r="O1257" s="25">
        <f t="shared" si="38"/>
        <v>-4.3642043366409755E-4</v>
      </c>
    </row>
    <row r="1258" spans="1:15">
      <c r="A1258" s="86">
        <v>339.45667946804042</v>
      </c>
      <c r="B1258" s="86">
        <v>342.37451034659563</v>
      </c>
      <c r="C1258" s="86">
        <v>333.21628633100141</v>
      </c>
      <c r="D1258" s="86">
        <v>336.80710078315883</v>
      </c>
      <c r="E1258" s="86">
        <v>8158675.2936783731</v>
      </c>
      <c r="F1258" s="86" t="s">
        <v>1306</v>
      </c>
      <c r="G1258" s="25">
        <f t="shared" si="37"/>
        <v>7.866754230301698E-3</v>
      </c>
      <c r="I1258" s="86">
        <v>388.35341060302642</v>
      </c>
      <c r="J1258" s="86">
        <v>394.36739724183167</v>
      </c>
      <c r="K1258" s="86">
        <v>382.77729223361416</v>
      </c>
      <c r="L1258" s="86">
        <v>392.52656329295519</v>
      </c>
      <c r="M1258" s="86">
        <v>1555742.44040202</v>
      </c>
      <c r="N1258" s="86" t="s">
        <v>1306</v>
      </c>
      <c r="O1258" s="25">
        <f t="shared" si="38"/>
        <v>-1.063151664162465E-2</v>
      </c>
    </row>
    <row r="1259" spans="1:15">
      <c r="A1259" s="86">
        <v>339.72022548287765</v>
      </c>
      <c r="B1259" s="86">
        <v>349.53731453556497</v>
      </c>
      <c r="C1259" s="86">
        <v>339.09900987647558</v>
      </c>
      <c r="D1259" s="86">
        <v>344.46405374994805</v>
      </c>
      <c r="E1259" s="86">
        <v>8528090.7069986053</v>
      </c>
      <c r="F1259" s="86" t="s">
        <v>1307</v>
      </c>
      <c r="G1259" s="25">
        <f t="shared" si="37"/>
        <v>-1.3771620624641434E-2</v>
      </c>
      <c r="I1259" s="86">
        <v>393.55421331295906</v>
      </c>
      <c r="J1259" s="86">
        <v>397.64694121871355</v>
      </c>
      <c r="K1259" s="86">
        <v>390.16296824694626</v>
      </c>
      <c r="L1259" s="86">
        <v>390.95381195799274</v>
      </c>
      <c r="M1259" s="86">
        <v>1139411.4505983216</v>
      </c>
      <c r="N1259" s="86" t="s">
        <v>1307</v>
      </c>
      <c r="O1259" s="25">
        <f t="shared" si="38"/>
        <v>6.6514285714285304E-3</v>
      </c>
    </row>
    <row r="1260" spans="1:15">
      <c r="A1260" s="86">
        <v>345.28292886747801</v>
      </c>
      <c r="B1260" s="86">
        <v>351.2880130626981</v>
      </c>
      <c r="C1260" s="86">
        <v>341.58387230208393</v>
      </c>
      <c r="D1260" s="86">
        <v>350.04558184989389</v>
      </c>
      <c r="E1260" s="86">
        <v>8362145.037028946</v>
      </c>
      <c r="F1260" s="86" t="s">
        <v>1308</v>
      </c>
      <c r="G1260" s="25">
        <f t="shared" si="37"/>
        <v>-1.3605808012906784E-2</v>
      </c>
      <c r="I1260" s="86">
        <v>392.4103941602591</v>
      </c>
      <c r="J1260" s="86">
        <v>398.99629037541428</v>
      </c>
      <c r="K1260" s="86">
        <v>390.95381195799274</v>
      </c>
      <c r="L1260" s="86">
        <v>393.13421721782703</v>
      </c>
      <c r="M1260" s="86">
        <v>1095228.8017235335</v>
      </c>
      <c r="N1260" s="86" t="s">
        <v>1308</v>
      </c>
      <c r="O1260" s="25">
        <f t="shared" si="38"/>
        <v>-1.8411601582033477E-3</v>
      </c>
    </row>
    <row r="1261" spans="1:15">
      <c r="A1261" s="86">
        <v>344.3981672462387</v>
      </c>
      <c r="B1261" s="86">
        <v>351.60803322357185</v>
      </c>
      <c r="C1261" s="86">
        <v>343.08043717205248</v>
      </c>
      <c r="D1261" s="86">
        <v>350.4785503028408</v>
      </c>
      <c r="E1261" s="86">
        <v>11467084.417369619</v>
      </c>
      <c r="F1261" s="86" t="s">
        <v>1309</v>
      </c>
      <c r="G1261" s="25">
        <f t="shared" si="37"/>
        <v>-1.7348802234396832E-2</v>
      </c>
      <c r="I1261" s="86">
        <v>392.15124763347546</v>
      </c>
      <c r="J1261" s="86">
        <v>401.03371824116107</v>
      </c>
      <c r="K1261" s="86">
        <v>390.61424064703493</v>
      </c>
      <c r="L1261" s="86">
        <v>399.46990299332907</v>
      </c>
      <c r="M1261" s="86">
        <v>1515727.163605893</v>
      </c>
      <c r="N1261" s="86" t="s">
        <v>1309</v>
      </c>
      <c r="O1261" s="25">
        <f t="shared" si="38"/>
        <v>-1.8320918059190672E-2</v>
      </c>
    </row>
    <row r="1262" spans="1:15">
      <c r="A1262" s="86">
        <v>355.88124360700431</v>
      </c>
      <c r="B1262" s="86">
        <v>358.87437334694147</v>
      </c>
      <c r="C1262" s="86">
        <v>351.03387940553353</v>
      </c>
      <c r="D1262" s="86">
        <v>355.79653238794941</v>
      </c>
      <c r="E1262" s="86">
        <v>8456592.1491029877</v>
      </c>
      <c r="F1262" s="86" t="s">
        <v>1310</v>
      </c>
      <c r="G1262" s="25">
        <f t="shared" si="37"/>
        <v>2.3808893944621268E-4</v>
      </c>
      <c r="I1262" s="86">
        <v>401.61456390464156</v>
      </c>
      <c r="J1262" s="86">
        <v>401.74860521159854</v>
      </c>
      <c r="K1262" s="86">
        <v>393.10740895643562</v>
      </c>
      <c r="L1262" s="86">
        <v>394.55505507157147</v>
      </c>
      <c r="M1262" s="86">
        <v>1577644.6440334811</v>
      </c>
      <c r="N1262" s="86" t="s">
        <v>1310</v>
      </c>
      <c r="O1262" s="25">
        <f t="shared" si="38"/>
        <v>1.789232894707049E-2</v>
      </c>
    </row>
    <row r="1263" spans="1:15">
      <c r="A1263" s="86">
        <v>358.13079709079358</v>
      </c>
      <c r="B1263" s="86">
        <v>367.37373232544257</v>
      </c>
      <c r="C1263" s="86">
        <v>354.23408101427151</v>
      </c>
      <c r="D1263" s="86">
        <v>367.28902110638774</v>
      </c>
      <c r="E1263" s="86">
        <v>11131380.005164264</v>
      </c>
      <c r="F1263" s="86" t="s">
        <v>1311</v>
      </c>
      <c r="G1263" s="25">
        <f t="shared" si="37"/>
        <v>-2.4934652247450173E-2</v>
      </c>
      <c r="I1263" s="86">
        <v>396.00270118670738</v>
      </c>
      <c r="J1263" s="86">
        <v>399.86309082706975</v>
      </c>
      <c r="K1263" s="86">
        <v>391.944913381633</v>
      </c>
      <c r="L1263" s="86">
        <v>398.31714775349872</v>
      </c>
      <c r="M1263" s="86">
        <v>1324701.7209174752</v>
      </c>
      <c r="N1263" s="86" t="s">
        <v>1311</v>
      </c>
      <c r="O1263" s="25">
        <f t="shared" si="38"/>
        <v>-5.8105622111545019E-3</v>
      </c>
    </row>
    <row r="1264" spans="1:15">
      <c r="A1264" s="86">
        <v>371.16691246756426</v>
      </c>
      <c r="B1264" s="86">
        <v>371.71753539142071</v>
      </c>
      <c r="C1264" s="86">
        <v>357.93313757966564</v>
      </c>
      <c r="D1264" s="86">
        <v>360.82273138520259</v>
      </c>
      <c r="E1264" s="86">
        <v>7827525.532017597</v>
      </c>
      <c r="F1264" s="86" t="s">
        <v>1312</v>
      </c>
      <c r="G1264" s="25">
        <f t="shared" si="37"/>
        <v>2.8668318768748868E-2</v>
      </c>
      <c r="I1264" s="86">
        <v>398.31714775349872</v>
      </c>
      <c r="J1264" s="86">
        <v>398.54054993176044</v>
      </c>
      <c r="K1264" s="86">
        <v>388.61702517337523</v>
      </c>
      <c r="L1264" s="86">
        <v>390.53381586286071</v>
      </c>
      <c r="M1264" s="86">
        <v>1312224.2239580029</v>
      </c>
      <c r="N1264" s="86" t="s">
        <v>1312</v>
      </c>
      <c r="O1264" s="25">
        <f t="shared" si="38"/>
        <v>1.9929981923437756E-2</v>
      </c>
    </row>
    <row r="1265" spans="1:15">
      <c r="A1265" s="86">
        <v>360.23916520949155</v>
      </c>
      <c r="B1265" s="86">
        <v>362.42810310986829</v>
      </c>
      <c r="C1265" s="86">
        <v>357.66959156482841</v>
      </c>
      <c r="D1265" s="86">
        <v>359.19439350781533</v>
      </c>
      <c r="E1265" s="86">
        <v>5957801.6422281321</v>
      </c>
      <c r="F1265" s="86" t="s">
        <v>1313</v>
      </c>
      <c r="G1265" s="25">
        <f t="shared" si="37"/>
        <v>2.9086525863424306E-3</v>
      </c>
      <c r="I1265" s="86">
        <v>388.51426017137481</v>
      </c>
      <c r="J1265" s="86">
        <v>391.04317282929742</v>
      </c>
      <c r="K1265" s="86">
        <v>385.10514293110117</v>
      </c>
      <c r="L1265" s="86">
        <v>388.16575277328661</v>
      </c>
      <c r="M1265" s="86">
        <v>1490567.3820686897</v>
      </c>
      <c r="N1265" s="86" t="s">
        <v>1313</v>
      </c>
      <c r="O1265" s="25">
        <f t="shared" si="38"/>
        <v>8.9783139186860872E-4</v>
      </c>
    </row>
    <row r="1266" spans="1:15">
      <c r="A1266" s="86">
        <v>358.6861261934863</v>
      </c>
      <c r="B1266" s="86">
        <v>359.80619675654458</v>
      </c>
      <c r="C1266" s="86">
        <v>350.45031322982248</v>
      </c>
      <c r="D1266" s="86">
        <v>356.53069628642464</v>
      </c>
      <c r="E1266" s="86">
        <v>11407363.992419465</v>
      </c>
      <c r="F1266" s="86" t="s">
        <v>1314</v>
      </c>
      <c r="G1266" s="25">
        <f t="shared" si="37"/>
        <v>6.0455661448293174E-3</v>
      </c>
      <c r="I1266" s="86">
        <v>384.97556966770935</v>
      </c>
      <c r="J1266" s="86">
        <v>390.94487587086229</v>
      </c>
      <c r="K1266" s="86">
        <v>380.81135306491109</v>
      </c>
      <c r="L1266" s="86">
        <v>383.89430312492271</v>
      </c>
      <c r="M1266" s="86">
        <v>1563475.1313428229</v>
      </c>
      <c r="N1266" s="86" t="s">
        <v>1314</v>
      </c>
      <c r="O1266" s="25">
        <f t="shared" si="38"/>
        <v>2.8165735567968753E-3</v>
      </c>
    </row>
    <row r="1267" spans="1:15">
      <c r="A1267" s="86">
        <v>356.44598506736975</v>
      </c>
      <c r="B1267" s="86">
        <v>368.44674110013705</v>
      </c>
      <c r="C1267" s="86">
        <v>355.7871200302767</v>
      </c>
      <c r="D1267" s="86">
        <v>366.53603249256707</v>
      </c>
      <c r="E1267" s="86">
        <v>8735265.1544427052</v>
      </c>
      <c r="F1267" s="86" t="s">
        <v>1315</v>
      </c>
      <c r="G1267" s="25">
        <f t="shared" si="37"/>
        <v>-2.7528118740691498E-2</v>
      </c>
      <c r="I1267" s="86">
        <v>386.14619708180072</v>
      </c>
      <c r="J1267" s="86">
        <v>397.66481339297451</v>
      </c>
      <c r="K1267" s="86">
        <v>384.59131792109923</v>
      </c>
      <c r="L1267" s="86">
        <v>397.14652033940735</v>
      </c>
      <c r="M1267" s="86">
        <v>1655682.1552862891</v>
      </c>
      <c r="N1267" s="86" t="s">
        <v>1315</v>
      </c>
      <c r="O1267" s="25">
        <f t="shared" si="38"/>
        <v>-2.7698400198006512E-2</v>
      </c>
    </row>
    <row r="1268" spans="1:15">
      <c r="A1268" s="86">
        <v>370.03742954683327</v>
      </c>
      <c r="B1268" s="86">
        <v>371.69400449723878</v>
      </c>
      <c r="C1268" s="86">
        <v>361.31217398418602</v>
      </c>
      <c r="D1268" s="86">
        <v>365.4159619295088</v>
      </c>
      <c r="E1268" s="86">
        <v>7475483.0241568815</v>
      </c>
      <c r="F1268" s="86" t="s">
        <v>1316</v>
      </c>
      <c r="G1268" s="25">
        <f t="shared" si="37"/>
        <v>1.2647142157999003E-2</v>
      </c>
      <c r="I1268" s="86">
        <v>394.71590463991993</v>
      </c>
      <c r="J1268" s="86">
        <v>401.23031215803138</v>
      </c>
      <c r="K1268" s="86">
        <v>390.97168413225364</v>
      </c>
      <c r="L1268" s="86">
        <v>401.23031215803138</v>
      </c>
      <c r="M1268" s="86">
        <v>1510131.8734895377</v>
      </c>
      <c r="N1268" s="86" t="s">
        <v>1316</v>
      </c>
      <c r="O1268" s="25">
        <f t="shared" si="38"/>
        <v>-1.6236080178173684E-2</v>
      </c>
    </row>
    <row r="1269" spans="1:15">
      <c r="A1269" s="86">
        <v>360.99215382331215</v>
      </c>
      <c r="B1269" s="86">
        <v>365.90540452849223</v>
      </c>
      <c r="C1269" s="86">
        <v>359.08144521574218</v>
      </c>
      <c r="D1269" s="86">
        <v>360.96391675029395</v>
      </c>
      <c r="E1269" s="86">
        <v>6816253.9323897576</v>
      </c>
      <c r="F1269" s="86" t="s">
        <v>1317</v>
      </c>
      <c r="G1269" s="25">
        <f t="shared" si="37"/>
        <v>7.8226857887608858E-5</v>
      </c>
      <c r="I1269" s="86">
        <v>397.6380051315831</v>
      </c>
      <c r="J1269" s="86">
        <v>403.91113829717193</v>
      </c>
      <c r="K1269" s="86">
        <v>392.53147814087691</v>
      </c>
      <c r="L1269" s="86">
        <v>398.75501602289165</v>
      </c>
      <c r="M1269" s="86">
        <v>1138744.4920164521</v>
      </c>
      <c r="N1269" s="86" t="s">
        <v>1317</v>
      </c>
      <c r="O1269" s="25">
        <f t="shared" si="38"/>
        <v>-2.801245994218271E-3</v>
      </c>
    </row>
    <row r="1270" spans="1:15">
      <c r="A1270" s="86">
        <v>360.0603304137091</v>
      </c>
      <c r="B1270" s="86">
        <v>368.57851410755563</v>
      </c>
      <c r="C1270" s="86">
        <v>359.96620683698148</v>
      </c>
      <c r="D1270" s="86">
        <v>368.39967931177324</v>
      </c>
      <c r="E1270" s="86">
        <v>9023227.0120593645</v>
      </c>
      <c r="F1270" s="86" t="s">
        <v>1318</v>
      </c>
      <c r="G1270" s="25">
        <f t="shared" si="37"/>
        <v>-2.2636688809402061E-2</v>
      </c>
      <c r="I1270" s="86">
        <v>398.62991080306506</v>
      </c>
      <c r="J1270" s="86">
        <v>404.19709308534692</v>
      </c>
      <c r="K1270" s="86">
        <v>396.02977753071269</v>
      </c>
      <c r="L1270" s="86">
        <v>399.47883908045964</v>
      </c>
      <c r="M1270" s="86">
        <v>1611930.3437504603</v>
      </c>
      <c r="N1270" s="86" t="s">
        <v>1318</v>
      </c>
      <c r="O1270" s="25">
        <f t="shared" si="38"/>
        <v>-2.1250894774518247E-3</v>
      </c>
    </row>
    <row r="1271" spans="1:15">
      <c r="A1271" s="86">
        <v>370.65864515323534</v>
      </c>
      <c r="B1271" s="86">
        <v>370.9018604754994</v>
      </c>
      <c r="C1271" s="86">
        <v>362.37577040120772</v>
      </c>
      <c r="D1271" s="86">
        <v>366.53603249256707</v>
      </c>
      <c r="E1271" s="86">
        <v>8649460.9353428055</v>
      </c>
      <c r="F1271" s="86" t="s">
        <v>1319</v>
      </c>
      <c r="G1271" s="25">
        <f t="shared" si="37"/>
        <v>1.1247496276513669E-2</v>
      </c>
      <c r="I1271" s="86">
        <v>395.77036292131521</v>
      </c>
      <c r="J1271" s="86">
        <v>397.4950277374956</v>
      </c>
      <c r="K1271" s="86">
        <v>387.1738471018046</v>
      </c>
      <c r="L1271" s="86">
        <v>395.86865987975034</v>
      </c>
      <c r="M1271" s="86">
        <v>1678412.461854971</v>
      </c>
      <c r="N1271" s="86" t="s">
        <v>1319</v>
      </c>
      <c r="O1271" s="25">
        <f t="shared" si="38"/>
        <v>-2.4830699774258669E-4</v>
      </c>
    </row>
    <row r="1272" spans="1:15">
      <c r="A1272" s="86">
        <v>368.64440061126498</v>
      </c>
      <c r="B1272" s="86">
        <v>378.2685363316607</v>
      </c>
      <c r="C1272" s="86">
        <v>368.11730858159052</v>
      </c>
      <c r="D1272" s="86">
        <v>378.06617064169637</v>
      </c>
      <c r="E1272" s="86">
        <v>6721415.8449482312</v>
      </c>
      <c r="F1272" s="86" t="s">
        <v>1320</v>
      </c>
      <c r="G1272" s="25">
        <f t="shared" si="37"/>
        <v>-2.4920955012821433E-2</v>
      </c>
      <c r="I1272" s="86">
        <v>398.36182818915108</v>
      </c>
      <c r="J1272" s="86">
        <v>402.92816871282037</v>
      </c>
      <c r="K1272" s="86">
        <v>391.75126837351576</v>
      </c>
      <c r="L1272" s="86">
        <v>393.98314549522149</v>
      </c>
      <c r="M1272" s="86">
        <v>1624643.9619528428</v>
      </c>
      <c r="N1272" s="86" t="s">
        <v>1320</v>
      </c>
      <c r="O1272" s="25">
        <f t="shared" si="38"/>
        <v>1.1113883281544279E-2</v>
      </c>
    </row>
    <row r="1273" spans="1:15">
      <c r="A1273" s="86">
        <v>378.98858169362671</v>
      </c>
      <c r="B1273" s="86">
        <v>389.37041220667953</v>
      </c>
      <c r="C1273" s="86">
        <v>378.18853129144225</v>
      </c>
      <c r="D1273" s="86">
        <v>388.14680570922087</v>
      </c>
      <c r="E1273" s="86">
        <v>4961724.9602789879</v>
      </c>
      <c r="F1273" s="86" t="s">
        <v>1321</v>
      </c>
      <c r="G1273" s="25">
        <f t="shared" si="37"/>
        <v>-2.3594742713031636E-2</v>
      </c>
      <c r="I1273" s="86">
        <v>392.77677373260832</v>
      </c>
      <c r="J1273" s="86">
        <v>407.44089271370694</v>
      </c>
      <c r="K1273" s="86">
        <v>392.16018372060597</v>
      </c>
      <c r="L1273" s="86">
        <v>406.59196443631242</v>
      </c>
      <c r="M1273" s="86">
        <v>2168256.611323392</v>
      </c>
      <c r="N1273" s="86" t="s">
        <v>1321</v>
      </c>
      <c r="O1273" s="25">
        <f t="shared" si="38"/>
        <v>-3.3978021978021911E-2</v>
      </c>
    </row>
    <row r="1274" spans="1:15">
      <c r="A1274" s="86">
        <v>384.69247044331843</v>
      </c>
      <c r="B1274" s="86">
        <v>387.21498229961776</v>
      </c>
      <c r="C1274" s="86">
        <v>383.71358524535157</v>
      </c>
      <c r="D1274" s="86">
        <v>386.67847791227052</v>
      </c>
      <c r="E1274" s="86">
        <v>5383501.3247163231</v>
      </c>
      <c r="F1274" s="86" t="s">
        <v>1322</v>
      </c>
      <c r="G1274" s="25">
        <f t="shared" si="37"/>
        <v>-5.1360693247651801E-3</v>
      </c>
      <c r="I1274" s="86">
        <v>405.58218659056951</v>
      </c>
      <c r="J1274" s="86">
        <v>412.27531585129037</v>
      </c>
      <c r="K1274" s="86">
        <v>404.60815309334845</v>
      </c>
      <c r="L1274" s="86">
        <v>410.952774955981</v>
      </c>
      <c r="M1274" s="86">
        <v>1830971.4040514692</v>
      </c>
      <c r="N1274" s="86" t="s">
        <v>1322</v>
      </c>
      <c r="O1274" s="25">
        <f t="shared" si="38"/>
        <v>-1.3068626598242927E-2</v>
      </c>
    </row>
    <row r="1275" spans="1:15">
      <c r="A1275" s="86">
        <v>384.98425353117398</v>
      </c>
      <c r="B1275" s="86">
        <v>385.69018035663089</v>
      </c>
      <c r="C1275" s="86">
        <v>378.71562332111677</v>
      </c>
      <c r="D1275" s="86">
        <v>378.92269518991742</v>
      </c>
      <c r="E1275" s="86">
        <v>4081347.2389793941</v>
      </c>
      <c r="F1275" s="86" t="s">
        <v>1323</v>
      </c>
      <c r="G1275" s="25">
        <f t="shared" si="37"/>
        <v>1.5996820507725218E-2</v>
      </c>
      <c r="I1275" s="86">
        <v>410.97064713024196</v>
      </c>
      <c r="J1275" s="86">
        <v>424.91094305377266</v>
      </c>
      <c r="K1275" s="86">
        <v>409.65257427849787</v>
      </c>
      <c r="L1275" s="86">
        <v>413.28509369703329</v>
      </c>
      <c r="M1275" s="86">
        <v>2287361.3139142017</v>
      </c>
      <c r="N1275" s="86" t="s">
        <v>1323</v>
      </c>
      <c r="O1275" s="25">
        <f t="shared" si="38"/>
        <v>-5.6001210836991167E-3</v>
      </c>
    </row>
    <row r="1276" spans="1:15">
      <c r="A1276" s="86">
        <v>378.93210754759014</v>
      </c>
      <c r="B1276" s="86">
        <v>380.46632184824983</v>
      </c>
      <c r="C1276" s="86">
        <v>376.90845064794706</v>
      </c>
      <c r="D1276" s="86">
        <v>377.95322234962327</v>
      </c>
      <c r="E1276" s="86">
        <v>4574696.531626815</v>
      </c>
      <c r="F1276" s="86" t="s">
        <v>1324</v>
      </c>
      <c r="G1276" s="25">
        <f t="shared" si="37"/>
        <v>2.5899638899264943E-3</v>
      </c>
      <c r="I1276" s="86">
        <v>417.70845682661513</v>
      </c>
      <c r="J1276" s="86">
        <v>421.75641493584601</v>
      </c>
      <c r="K1276" s="86">
        <v>410.26469624693499</v>
      </c>
      <c r="L1276" s="86">
        <v>417.31526899287451</v>
      </c>
      <c r="M1276" s="86">
        <v>1834014.1228167431</v>
      </c>
      <c r="N1276" s="86" t="s">
        <v>1324</v>
      </c>
      <c r="O1276" s="25">
        <f t="shared" si="38"/>
        <v>9.421841541756848E-4</v>
      </c>
    </row>
    <row r="1277" spans="1:15">
      <c r="A1277" s="86">
        <v>378.86622104388084</v>
      </c>
      <c r="B1277" s="86">
        <v>384.75835694702778</v>
      </c>
      <c r="C1277" s="86">
        <v>378.69679860577116</v>
      </c>
      <c r="D1277" s="86">
        <v>383.76064703371537</v>
      </c>
      <c r="E1277" s="86">
        <v>3968908.8854026943</v>
      </c>
      <c r="F1277" s="86" t="s">
        <v>1325</v>
      </c>
      <c r="G1277" s="25">
        <f t="shared" si="37"/>
        <v>-1.2753850681840539E-2</v>
      </c>
      <c r="I1277" s="86">
        <v>417.90505074348545</v>
      </c>
      <c r="J1277" s="86">
        <v>423.32925563167976</v>
      </c>
      <c r="K1277" s="86">
        <v>416.45740462834959</v>
      </c>
      <c r="L1277" s="86">
        <v>421.70288777393455</v>
      </c>
      <c r="M1277" s="86">
        <v>2199126.9459533477</v>
      </c>
      <c r="N1277" s="86" t="s">
        <v>1325</v>
      </c>
      <c r="O1277" s="25">
        <f t="shared" si="38"/>
        <v>-9.0059545252273443E-3</v>
      </c>
    </row>
    <row r="1278" spans="1:15">
      <c r="A1278" s="86">
        <v>383.5253380918964</v>
      </c>
      <c r="B1278" s="86">
        <v>384.21244020200777</v>
      </c>
      <c r="C1278" s="86">
        <v>378.82857161318987</v>
      </c>
      <c r="D1278" s="86">
        <v>378.91328283224465</v>
      </c>
      <c r="E1278" s="86">
        <v>4630837.6195849748</v>
      </c>
      <c r="F1278" s="86" t="s">
        <v>1326</v>
      </c>
      <c r="G1278" s="25">
        <f t="shared" si="37"/>
        <v>1.2171796209355046E-2</v>
      </c>
      <c r="I1278" s="86">
        <v>419.27227207444713</v>
      </c>
      <c r="J1278" s="86">
        <v>424.11563129916101</v>
      </c>
      <c r="K1278" s="86">
        <v>416.6450624580894</v>
      </c>
      <c r="L1278" s="86">
        <v>420.88970384506189</v>
      </c>
      <c r="M1278" s="86">
        <v>1356717.9709632606</v>
      </c>
      <c r="N1278" s="86" t="s">
        <v>1326</v>
      </c>
      <c r="O1278" s="25">
        <f t="shared" si="38"/>
        <v>-3.8428874734606211E-3</v>
      </c>
    </row>
    <row r="1279" spans="1:15">
      <c r="A1279" s="86">
        <v>379.24271535079123</v>
      </c>
      <c r="B1279" s="86">
        <v>385.63370621059431</v>
      </c>
      <c r="C1279" s="86">
        <v>377.78379991151365</v>
      </c>
      <c r="D1279" s="86">
        <v>383.39356508447776</v>
      </c>
      <c r="E1279" s="86">
        <v>7028858.4752230197</v>
      </c>
      <c r="F1279" s="86" t="s">
        <v>1327</v>
      </c>
      <c r="G1279" s="25">
        <f t="shared" si="37"/>
        <v>-1.0826602509022121E-2</v>
      </c>
      <c r="I1279" s="86">
        <v>417.80675378505032</v>
      </c>
      <c r="J1279" s="86">
        <v>421.55088493184525</v>
      </c>
      <c r="K1279" s="86">
        <v>412.29318802555127</v>
      </c>
      <c r="L1279" s="86">
        <v>416.60038202243703</v>
      </c>
      <c r="M1279" s="86">
        <v>1681414.8945314074</v>
      </c>
      <c r="N1279" s="86" t="s">
        <v>1327</v>
      </c>
      <c r="O1279" s="25">
        <f t="shared" si="38"/>
        <v>2.8957528957529455E-3</v>
      </c>
    </row>
    <row r="1280" spans="1:15">
      <c r="A1280" s="86">
        <v>380.63574428635945</v>
      </c>
      <c r="B1280" s="86">
        <v>385.02114997325117</v>
      </c>
      <c r="C1280" s="86">
        <v>380.18865729690344</v>
      </c>
      <c r="D1280" s="86">
        <v>384.49481093219055</v>
      </c>
      <c r="E1280" s="86">
        <v>3551484.2467947486</v>
      </c>
      <c r="F1280" s="86" t="s">
        <v>1328</v>
      </c>
      <c r="G1280" s="25">
        <f t="shared" si="37"/>
        <v>-1.0036719706242425E-2</v>
      </c>
      <c r="I1280" s="86">
        <v>414.85784503199574</v>
      </c>
      <c r="J1280" s="86">
        <v>423.97265390507346</v>
      </c>
      <c r="K1280" s="86">
        <v>413.0170110831192</v>
      </c>
      <c r="L1280" s="86">
        <v>414.44678502399421</v>
      </c>
      <c r="M1280" s="86">
        <v>2138720.1938571758</v>
      </c>
      <c r="N1280" s="86" t="s">
        <v>1328</v>
      </c>
      <c r="O1280" s="25">
        <f t="shared" si="38"/>
        <v>9.9182819810694767E-4</v>
      </c>
    </row>
    <row r="1281" spans="1:15">
      <c r="A1281" s="86">
        <v>387.3467553070364</v>
      </c>
      <c r="B1281" s="86">
        <v>389.87867952100851</v>
      </c>
      <c r="C1281" s="86">
        <v>385.88783986775883</v>
      </c>
      <c r="D1281" s="86">
        <v>387.64795075256473</v>
      </c>
      <c r="E1281" s="86">
        <v>5049544.6149009457</v>
      </c>
      <c r="F1281" s="86" t="s">
        <v>1329</v>
      </c>
      <c r="G1281" s="25">
        <f t="shared" si="37"/>
        <v>-7.7698191089003998E-4</v>
      </c>
      <c r="I1281" s="86">
        <v>412.41829324537781</v>
      </c>
      <c r="J1281" s="86">
        <v>421.4169329857595</v>
      </c>
      <c r="K1281" s="86">
        <v>410.71150060345838</v>
      </c>
      <c r="L1281" s="86">
        <v>417.95866726626826</v>
      </c>
      <c r="M1281" s="86">
        <v>1914551.6096935386</v>
      </c>
      <c r="N1281" s="86" t="s">
        <v>1329</v>
      </c>
      <c r="O1281" s="25">
        <f t="shared" si="38"/>
        <v>-1.3255794064825244E-2</v>
      </c>
    </row>
    <row r="1282" spans="1:15">
      <c r="A1282" s="86">
        <v>388.28799107431223</v>
      </c>
      <c r="B1282" s="86">
        <v>389.95397838239057</v>
      </c>
      <c r="C1282" s="86">
        <v>383.77947174906086</v>
      </c>
      <c r="D1282" s="86">
        <v>385.53017027619399</v>
      </c>
      <c r="E1282" s="86">
        <v>5263349.7070963196</v>
      </c>
      <c r="F1282" s="86" t="s">
        <v>1330</v>
      </c>
      <c r="G1282" s="25">
        <f t="shared" si="37"/>
        <v>7.1533203124998224E-3</v>
      </c>
      <c r="I1282" s="86">
        <v>415.98379201043474</v>
      </c>
      <c r="J1282" s="86">
        <v>417.67271247809322</v>
      </c>
      <c r="K1282" s="86">
        <v>402.82987175438524</v>
      </c>
      <c r="L1282" s="86">
        <v>404.80474701021876</v>
      </c>
      <c r="M1282" s="86">
        <v>2274710.3629611223</v>
      </c>
      <c r="N1282" s="86" t="s">
        <v>1330</v>
      </c>
      <c r="O1282" s="25">
        <f t="shared" si="38"/>
        <v>2.7615894039735078E-2</v>
      </c>
    </row>
    <row r="1283" spans="1:15">
      <c r="A1283" s="86">
        <v>386.33963303605123</v>
      </c>
      <c r="B1283" s="86">
        <v>388.41035172405816</v>
      </c>
      <c r="C1283" s="86">
        <v>383.68534817233331</v>
      </c>
      <c r="D1283" s="86">
        <v>386.622003766234</v>
      </c>
      <c r="E1283" s="86">
        <v>5886639.8756137434</v>
      </c>
      <c r="F1283" s="86" t="s">
        <v>1331</v>
      </c>
      <c r="G1283" s="25">
        <f t="shared" si="37"/>
        <v>-7.3035349108974135E-4</v>
      </c>
      <c r="I1283" s="86">
        <v>406.21664877683276</v>
      </c>
      <c r="J1283" s="86">
        <v>408.87960274171235</v>
      </c>
      <c r="K1283" s="86">
        <v>398.8890573298487</v>
      </c>
      <c r="L1283" s="86">
        <v>398.8890573298487</v>
      </c>
      <c r="M1283" s="86">
        <v>2172511.2699278686</v>
      </c>
      <c r="N1283" s="86" t="s">
        <v>1331</v>
      </c>
      <c r="O1283" s="25">
        <f t="shared" si="38"/>
        <v>1.8369998655853648E-2</v>
      </c>
    </row>
    <row r="1284" spans="1:15">
      <c r="A1284" s="86">
        <v>390.29282325860987</v>
      </c>
      <c r="B1284" s="86">
        <v>396.0908355850292</v>
      </c>
      <c r="C1284" s="86">
        <v>389.20098976856985</v>
      </c>
      <c r="D1284" s="86">
        <v>393.96364275098574</v>
      </c>
      <c r="E1284" s="86">
        <v>4368759.8187020607</v>
      </c>
      <c r="F1284" s="86" t="s">
        <v>1332</v>
      </c>
      <c r="G1284" s="25">
        <f t="shared" si="37"/>
        <v>-9.317660550458684E-3</v>
      </c>
      <c r="I1284" s="86">
        <v>399.65756082306899</v>
      </c>
      <c r="J1284" s="86">
        <v>406.42217878083352</v>
      </c>
      <c r="K1284" s="86">
        <v>396.20823119070815</v>
      </c>
      <c r="L1284" s="86">
        <v>397.65587730584406</v>
      </c>
      <c r="M1284" s="86">
        <v>2506864.5451788218</v>
      </c>
      <c r="N1284" s="86" t="s">
        <v>1332</v>
      </c>
      <c r="O1284" s="25">
        <f t="shared" si="38"/>
        <v>5.0337078651685463E-3</v>
      </c>
    </row>
    <row r="1285" spans="1:15">
      <c r="A1285" s="86">
        <v>395.17783689077163</v>
      </c>
      <c r="B1285" s="86">
        <v>395.2813728251719</v>
      </c>
      <c r="C1285" s="86">
        <v>391.29053317192228</v>
      </c>
      <c r="D1285" s="86">
        <v>391.97763528203365</v>
      </c>
      <c r="E1285" s="86">
        <v>5436690.9736232022</v>
      </c>
      <c r="F1285" s="86" t="s">
        <v>1333</v>
      </c>
      <c r="G1285" s="25">
        <f t="shared" si="37"/>
        <v>8.1642454076120696E-3</v>
      </c>
      <c r="I1285" s="86">
        <v>396.77120467992768</v>
      </c>
      <c r="J1285" s="86">
        <v>400.33670344498455</v>
      </c>
      <c r="K1285" s="86">
        <v>392.78570981973877</v>
      </c>
      <c r="L1285" s="86">
        <v>399.87202691420021</v>
      </c>
      <c r="M1285" s="86">
        <v>1305355.445811165</v>
      </c>
      <c r="N1285" s="86" t="s">
        <v>1333</v>
      </c>
      <c r="O1285" s="25">
        <f t="shared" si="38"/>
        <v>-7.7545365155984314E-3</v>
      </c>
    </row>
    <row r="1286" spans="1:15">
      <c r="A1286" s="86">
        <v>391.85527463228777</v>
      </c>
      <c r="B1286" s="86">
        <v>392.32401004439117</v>
      </c>
      <c r="C1286" s="86">
        <v>388.60801123518604</v>
      </c>
      <c r="D1286" s="86">
        <v>392.19411950850713</v>
      </c>
      <c r="E1286" s="86">
        <v>4954196.5595887881</v>
      </c>
      <c r="F1286" s="86" t="s">
        <v>1334</v>
      </c>
      <c r="G1286" s="25">
        <f t="shared" si="37"/>
        <v>-8.639723528848231E-4</v>
      </c>
      <c r="I1286" s="86">
        <v>398.53161384462993</v>
      </c>
      <c r="J1286" s="86">
        <v>401.22137607090093</v>
      </c>
      <c r="K1286" s="86">
        <v>392.13132015917455</v>
      </c>
      <c r="L1286" s="86">
        <v>395.17164508357382</v>
      </c>
      <c r="M1286" s="86">
        <v>1314217.2662974487</v>
      </c>
      <c r="N1286" s="86" t="s">
        <v>1334</v>
      </c>
      <c r="O1286" s="25">
        <f t="shared" si="38"/>
        <v>8.5025552892226131E-3</v>
      </c>
    </row>
    <row r="1287" spans="1:15">
      <c r="A1287" s="86">
        <v>390.77285349992059</v>
      </c>
      <c r="B1287" s="86">
        <v>396.89088598721366</v>
      </c>
      <c r="C1287" s="86">
        <v>390.65990520784743</v>
      </c>
      <c r="D1287" s="86">
        <v>396.23202095012061</v>
      </c>
      <c r="E1287" s="86">
        <v>6243535.5777099701</v>
      </c>
      <c r="F1287" s="86" t="s">
        <v>1335</v>
      </c>
      <c r="G1287" s="25">
        <f t="shared" si="37"/>
        <v>-1.3777703874385372E-2</v>
      </c>
      <c r="I1287" s="86">
        <v>394.43888593887539</v>
      </c>
      <c r="J1287" s="86">
        <v>401.114053664464</v>
      </c>
      <c r="K1287" s="86">
        <v>394.08144245365668</v>
      </c>
      <c r="L1287" s="86">
        <v>394.93930681818165</v>
      </c>
      <c r="M1287" s="86">
        <v>1858405.1114919593</v>
      </c>
      <c r="N1287" s="86" t="s">
        <v>1335</v>
      </c>
      <c r="O1287" s="25">
        <f t="shared" si="38"/>
        <v>-1.2670829939361861E-3</v>
      </c>
    </row>
    <row r="1288" spans="1:15">
      <c r="A1288" s="86">
        <v>396.87206127186812</v>
      </c>
      <c r="B1288" s="86">
        <v>399.09337768263919</v>
      </c>
      <c r="C1288" s="86">
        <v>394.93311559127983</v>
      </c>
      <c r="D1288" s="86">
        <v>398.38745085718227</v>
      </c>
      <c r="E1288" s="86">
        <v>5093658.9605767094</v>
      </c>
      <c r="F1288" s="86" t="s">
        <v>1336</v>
      </c>
      <c r="G1288" s="25">
        <f t="shared" si="37"/>
        <v>-3.8038085337618321E-3</v>
      </c>
      <c r="I1288" s="86">
        <v>398.50480558323852</v>
      </c>
      <c r="J1288" s="86">
        <v>399.49671125472054</v>
      </c>
      <c r="K1288" s="86">
        <v>392.56677568504227</v>
      </c>
      <c r="L1288" s="86">
        <v>392.58017981573795</v>
      </c>
      <c r="M1288" s="86">
        <v>1924341.1292811139</v>
      </c>
      <c r="N1288" s="86" t="s">
        <v>1336</v>
      </c>
      <c r="O1288" s="25">
        <f t="shared" si="38"/>
        <v>1.5091505053264287E-2</v>
      </c>
    </row>
    <row r="1289" spans="1:15">
      <c r="A1289" s="86">
        <v>399.35692369747647</v>
      </c>
      <c r="B1289" s="86">
        <v>399.76165507740507</v>
      </c>
      <c r="C1289" s="86">
        <v>395.55433119768196</v>
      </c>
      <c r="D1289" s="86">
        <v>398.1050801269995</v>
      </c>
      <c r="E1289" s="86">
        <v>5854594.7695429288</v>
      </c>
      <c r="F1289" s="86" t="s">
        <v>1337</v>
      </c>
      <c r="G1289" s="25">
        <f t="shared" si="37"/>
        <v>3.1445053905809761E-3</v>
      </c>
      <c r="I1289" s="86">
        <v>390.64104890842634</v>
      </c>
      <c r="J1289" s="86">
        <v>391.50784936008176</v>
      </c>
      <c r="K1289" s="86">
        <v>383.64409268526958</v>
      </c>
      <c r="L1289" s="86">
        <v>387.15597492754364</v>
      </c>
      <c r="M1289" s="86">
        <v>2742928.7161298301</v>
      </c>
      <c r="N1289" s="86" t="s">
        <v>1337</v>
      </c>
      <c r="O1289" s="25">
        <f t="shared" si="38"/>
        <v>9.001731102135091E-3</v>
      </c>
    </row>
    <row r="1290" spans="1:15">
      <c r="A1290" s="86">
        <v>394.36837413091433</v>
      </c>
      <c r="B1290" s="86">
        <v>394.42484827695091</v>
      </c>
      <c r="C1290" s="86">
        <v>389.37982456435225</v>
      </c>
      <c r="D1290" s="86">
        <v>391.08346130312157</v>
      </c>
      <c r="E1290" s="86">
        <v>3607315.104298274</v>
      </c>
      <c r="F1290" s="86" t="s">
        <v>1338</v>
      </c>
      <c r="G1290" s="25">
        <f t="shared" si="37"/>
        <v>8.3995186522263232E-3</v>
      </c>
      <c r="I1290" s="86">
        <v>397.6380051315831</v>
      </c>
      <c r="J1290" s="86">
        <v>402.53498087907974</v>
      </c>
      <c r="K1290" s="86">
        <v>396.14567858079488</v>
      </c>
      <c r="L1290" s="86">
        <v>401.51626694620637</v>
      </c>
      <c r="M1290" s="86">
        <v>1875750.510852661</v>
      </c>
      <c r="N1290" s="86" t="s">
        <v>1338</v>
      </c>
      <c r="O1290" s="25">
        <f t="shared" si="38"/>
        <v>-9.6590403276061165E-3</v>
      </c>
    </row>
    <row r="1291" spans="1:15">
      <c r="A1291" s="86">
        <v>391.66702747883261</v>
      </c>
      <c r="B1291" s="86">
        <v>391.89113571502099</v>
      </c>
      <c r="C1291" s="86">
        <v>387.98208944994758</v>
      </c>
      <c r="D1291" s="86">
        <v>390.41518390835574</v>
      </c>
      <c r="E1291" s="86">
        <v>3870714.5719125741</v>
      </c>
      <c r="F1291" s="86" t="s">
        <v>1339</v>
      </c>
      <c r="G1291" s="25">
        <f t="shared" si="37"/>
        <v>3.2064418139299278E-3</v>
      </c>
      <c r="I1291" s="86">
        <v>405.3945287608297</v>
      </c>
      <c r="J1291" s="86">
        <v>408.85279448032094</v>
      </c>
      <c r="K1291" s="86">
        <v>402.12392087107821</v>
      </c>
      <c r="L1291" s="86">
        <v>402.15072913246962</v>
      </c>
      <c r="M1291" s="86">
        <v>1842584.9882169762</v>
      </c>
      <c r="N1291" s="86" t="s">
        <v>1339</v>
      </c>
      <c r="O1291" s="25">
        <f t="shared" si="38"/>
        <v>8.0661289247385692E-3</v>
      </c>
    </row>
    <row r="1292" spans="1:15">
      <c r="A1292" s="86">
        <v>389.69043236755329</v>
      </c>
      <c r="B1292" s="86">
        <v>389.76573122893541</v>
      </c>
      <c r="C1292" s="86">
        <v>384.78659402004604</v>
      </c>
      <c r="D1292" s="86">
        <v>385.80312864870399</v>
      </c>
      <c r="E1292" s="86">
        <v>3163200.0222611455</v>
      </c>
      <c r="F1292" s="86" t="s">
        <v>1340</v>
      </c>
      <c r="G1292" s="25">
        <f t="shared" si="37"/>
        <v>1.0075874014979558E-2</v>
      </c>
      <c r="I1292" s="86">
        <v>401.88264651855559</v>
      </c>
      <c r="J1292" s="86">
        <v>403.46433394064849</v>
      </c>
      <c r="K1292" s="86">
        <v>396.07418988375116</v>
      </c>
      <c r="L1292" s="86">
        <v>397.92395991975809</v>
      </c>
      <c r="M1292" s="86">
        <v>1539123.3096984213</v>
      </c>
      <c r="N1292" s="86" t="s">
        <v>1340</v>
      </c>
      <c r="O1292" s="25">
        <f t="shared" si="38"/>
        <v>9.9483494273522322E-3</v>
      </c>
    </row>
    <row r="1293" spans="1:15">
      <c r="A1293" s="86">
        <v>383.98306102786501</v>
      </c>
      <c r="B1293" s="86">
        <v>388.00741138530168</v>
      </c>
      <c r="C1293" s="86">
        <v>383.94553794760924</v>
      </c>
      <c r="D1293" s="86">
        <v>386.63781895596429</v>
      </c>
      <c r="E1293" s="86">
        <v>3989611.6997693013</v>
      </c>
      <c r="F1293" s="86" t="s">
        <v>1341</v>
      </c>
      <c r="G1293" s="25">
        <f t="shared" si="37"/>
        <v>-6.8662655279504436E-3</v>
      </c>
      <c r="I1293" s="86">
        <v>397.87927948410572</v>
      </c>
      <c r="J1293" s="86">
        <v>399.88989908846116</v>
      </c>
      <c r="K1293" s="86">
        <v>395.28781421626991</v>
      </c>
      <c r="L1293" s="86">
        <v>396.76226859279717</v>
      </c>
      <c r="M1293" s="86">
        <v>1919267.320203603</v>
      </c>
      <c r="N1293" s="86" t="s">
        <v>1341</v>
      </c>
      <c r="O1293" s="25">
        <f t="shared" si="38"/>
        <v>2.8153153153154253E-3</v>
      </c>
    </row>
    <row r="1294" spans="1:15">
      <c r="A1294" s="86">
        <v>388.99239224201699</v>
      </c>
      <c r="B1294" s="86">
        <v>389.78975769745307</v>
      </c>
      <c r="C1294" s="86">
        <v>385.73726502982458</v>
      </c>
      <c r="D1294" s="86">
        <v>385.73726502982458</v>
      </c>
      <c r="E1294" s="86">
        <v>4511052.8998681512</v>
      </c>
      <c r="F1294" s="86" t="s">
        <v>1342</v>
      </c>
      <c r="G1294" s="25">
        <f t="shared" si="37"/>
        <v>8.438715953307474E-3</v>
      </c>
      <c r="I1294" s="86">
        <v>393.71506288130746</v>
      </c>
      <c r="J1294" s="86">
        <v>396.61929119870967</v>
      </c>
      <c r="K1294" s="86">
        <v>387.99596711780771</v>
      </c>
      <c r="L1294" s="86">
        <v>392.69634894843404</v>
      </c>
      <c r="M1294" s="86">
        <v>2365482.7545187548</v>
      </c>
      <c r="N1294" s="86" t="s">
        <v>1342</v>
      </c>
      <c r="O1294" s="25">
        <f t="shared" si="38"/>
        <v>2.5941517806349346E-3</v>
      </c>
    </row>
    <row r="1295" spans="1:15">
      <c r="A1295" s="86">
        <v>384.52714569157445</v>
      </c>
      <c r="B1295" s="86">
        <v>386.2532073833421</v>
      </c>
      <c r="C1295" s="86">
        <v>381.26263770931814</v>
      </c>
      <c r="D1295" s="86">
        <v>384.4614803011267</v>
      </c>
      <c r="E1295" s="86">
        <v>4434062.4188014502</v>
      </c>
      <c r="F1295" s="86" t="s">
        <v>1343</v>
      </c>
      <c r="G1295" s="25">
        <f t="shared" si="37"/>
        <v>1.7079836033584428E-4</v>
      </c>
      <c r="I1295" s="86">
        <v>393.18783374060985</v>
      </c>
      <c r="J1295" s="86">
        <v>400.27415083507128</v>
      </c>
      <c r="K1295" s="86">
        <v>385.70832881240779</v>
      </c>
      <c r="L1295" s="86">
        <v>385.70832881240779</v>
      </c>
      <c r="M1295" s="86">
        <v>3631538.0016106633</v>
      </c>
      <c r="N1295" s="86" t="s">
        <v>1343</v>
      </c>
      <c r="O1295" s="25">
        <f t="shared" si="38"/>
        <v>1.9391608553622319E-2</v>
      </c>
    </row>
    <row r="1296" spans="1:15">
      <c r="A1296" s="86">
        <v>384.50838415144648</v>
      </c>
      <c r="B1296" s="86">
        <v>384.87423418394076</v>
      </c>
      <c r="C1296" s="86">
        <v>378.27017205891656</v>
      </c>
      <c r="D1296" s="86">
        <v>378.96434904364918</v>
      </c>
      <c r="E1296" s="86">
        <v>6262793.9496932309</v>
      </c>
      <c r="F1296" s="86" t="s">
        <v>1344</v>
      </c>
      <c r="G1296" s="25">
        <f t="shared" si="37"/>
        <v>1.462943710084641E-2</v>
      </c>
      <c r="I1296" s="86">
        <v>380.8381613263025</v>
      </c>
      <c r="J1296" s="86">
        <v>390.94487587086229</v>
      </c>
      <c r="K1296" s="86">
        <v>376.83488365272399</v>
      </c>
      <c r="L1296" s="86">
        <v>388.42489930007019</v>
      </c>
      <c r="M1296" s="86">
        <v>5836720.1705279313</v>
      </c>
      <c r="N1296" s="86" t="s">
        <v>1344</v>
      </c>
      <c r="O1296" s="25">
        <f t="shared" si="38"/>
        <v>-1.9532058803230057E-2</v>
      </c>
    </row>
    <row r="1297" spans="1:15">
      <c r="A1297" s="86">
        <v>380.30579916279476</v>
      </c>
      <c r="B1297" s="86">
        <v>380.44651071375404</v>
      </c>
      <c r="C1297" s="86">
        <v>373.63607164732281</v>
      </c>
      <c r="D1297" s="86">
        <v>373.95501782949725</v>
      </c>
      <c r="E1297" s="86">
        <v>5519298.4847740578</v>
      </c>
      <c r="F1297" s="86" t="s">
        <v>1345</v>
      </c>
      <c r="G1297" s="25">
        <f t="shared" si="37"/>
        <v>1.6982741320489714E-2</v>
      </c>
      <c r="I1297" s="86">
        <v>382.99175832474538</v>
      </c>
      <c r="J1297" s="86">
        <v>385.84237011936477</v>
      </c>
      <c r="K1297" s="86">
        <v>379.60498130229786</v>
      </c>
      <c r="L1297" s="86">
        <v>381.62453699378369</v>
      </c>
      <c r="M1297" s="86">
        <v>3298666.3591825212</v>
      </c>
      <c r="N1297" s="86" t="s">
        <v>1345</v>
      </c>
      <c r="O1297" s="25">
        <f t="shared" si="38"/>
        <v>3.582634758581893E-3</v>
      </c>
    </row>
    <row r="1298" spans="1:15">
      <c r="A1298" s="86">
        <v>375.70922183145683</v>
      </c>
      <c r="B1298" s="86">
        <v>375.74674491171265</v>
      </c>
      <c r="C1298" s="86">
        <v>366.3659748477578</v>
      </c>
      <c r="D1298" s="86">
        <v>371.00945602941545</v>
      </c>
      <c r="E1298" s="86">
        <v>7896293.107601352</v>
      </c>
      <c r="F1298" s="86" t="s">
        <v>1346</v>
      </c>
      <c r="G1298" s="25">
        <f t="shared" si="37"/>
        <v>1.2667509481668837E-2</v>
      </c>
      <c r="I1298" s="86">
        <v>376.51309515515578</v>
      </c>
      <c r="J1298" s="86">
        <v>390.40871064303417</v>
      </c>
      <c r="K1298" s="86">
        <v>367.59488019894832</v>
      </c>
      <c r="L1298" s="86">
        <v>388.764470611028</v>
      </c>
      <c r="M1298" s="86">
        <v>6507883.0533909164</v>
      </c>
      <c r="N1298" s="86" t="s">
        <v>1346</v>
      </c>
      <c r="O1298" s="25">
        <f t="shared" si="38"/>
        <v>-3.1513619124238668E-2</v>
      </c>
    </row>
    <row r="1299" spans="1:15">
      <c r="A1299" s="86">
        <v>367.49166725543239</v>
      </c>
      <c r="B1299" s="86">
        <v>368.0732749993976</v>
      </c>
      <c r="C1299" s="86">
        <v>360.81255896989649</v>
      </c>
      <c r="D1299" s="86">
        <v>361.96639368776295</v>
      </c>
      <c r="E1299" s="86">
        <v>6118219.46478914</v>
      </c>
      <c r="F1299" s="86" t="s">
        <v>1347</v>
      </c>
      <c r="G1299" s="25">
        <f t="shared" si="37"/>
        <v>1.5264603742290106E-2</v>
      </c>
      <c r="I1299" s="86">
        <v>400.93542128272594</v>
      </c>
      <c r="J1299" s="86">
        <v>402.49923653055794</v>
      </c>
      <c r="K1299" s="86">
        <v>393.43804418026292</v>
      </c>
      <c r="L1299" s="86">
        <v>397.43247512758234</v>
      </c>
      <c r="M1299" s="86">
        <v>1990457.3154120152</v>
      </c>
      <c r="N1299" s="86" t="s">
        <v>1347</v>
      </c>
      <c r="O1299" s="25">
        <f t="shared" si="38"/>
        <v>8.8139404159639501E-3</v>
      </c>
    </row>
    <row r="1300" spans="1:15">
      <c r="A1300" s="86">
        <v>359.60243963164629</v>
      </c>
      <c r="B1300" s="86">
        <v>366.10143713195424</v>
      </c>
      <c r="C1300" s="86">
        <v>358.57993569467521</v>
      </c>
      <c r="D1300" s="86">
        <v>363.10146686550149</v>
      </c>
      <c r="E1300" s="86">
        <v>6881072.615565869</v>
      </c>
      <c r="F1300" s="86" t="s">
        <v>1348</v>
      </c>
      <c r="G1300" s="25">
        <f t="shared" si="37"/>
        <v>-9.6364998579069328E-3</v>
      </c>
      <c r="I1300" s="86">
        <v>397.16439251366825</v>
      </c>
      <c r="J1300" s="86">
        <v>401.9273269542079</v>
      </c>
      <c r="K1300" s="86">
        <v>392.48188285730282</v>
      </c>
      <c r="L1300" s="86">
        <v>401.62349999177201</v>
      </c>
      <c r="M1300" s="86">
        <v>2770411.6621233444</v>
      </c>
      <c r="N1300" s="86" t="s">
        <v>1348</v>
      </c>
      <c r="O1300" s="25">
        <f t="shared" si="38"/>
        <v>-1.1102705589177697E-2</v>
      </c>
    </row>
    <row r="1301" spans="1:15">
      <c r="A1301" s="86">
        <v>362.24781678968162</v>
      </c>
      <c r="B1301" s="86">
        <v>369.78048134333676</v>
      </c>
      <c r="C1301" s="86">
        <v>361.79753982661174</v>
      </c>
      <c r="D1301" s="86">
        <v>369.24587125739191</v>
      </c>
      <c r="E1301" s="86">
        <v>6260465.7826183429</v>
      </c>
      <c r="F1301" s="86" t="s">
        <v>1349</v>
      </c>
      <c r="G1301" s="25">
        <f t="shared" si="37"/>
        <v>-1.8952289009704693E-2</v>
      </c>
      <c r="I1301" s="86">
        <v>392.32996937608488</v>
      </c>
      <c r="J1301" s="86">
        <v>400.94882541342167</v>
      </c>
      <c r="K1301" s="86">
        <v>391.94571762947476</v>
      </c>
      <c r="L1301" s="86">
        <v>394.97505116670351</v>
      </c>
      <c r="M1301" s="86">
        <v>2964548.0861164555</v>
      </c>
      <c r="N1301" s="86" t="s">
        <v>1349</v>
      </c>
      <c r="O1301" s="25">
        <f t="shared" si="38"/>
        <v>-6.6968325791855188E-3</v>
      </c>
    </row>
    <row r="1302" spans="1:15">
      <c r="A1302" s="86">
        <v>366.92882105159504</v>
      </c>
      <c r="B1302" s="86">
        <v>367.73556727709519</v>
      </c>
      <c r="C1302" s="86">
        <v>362.59490528204788</v>
      </c>
      <c r="D1302" s="86">
        <v>364.38663236426328</v>
      </c>
      <c r="E1302" s="86">
        <v>6816911.571654059</v>
      </c>
      <c r="F1302" s="86" t="s">
        <v>1350</v>
      </c>
      <c r="G1302" s="25">
        <f t="shared" si="37"/>
        <v>6.9766244465039318E-3</v>
      </c>
      <c r="I1302" s="86">
        <v>397.08396772949408</v>
      </c>
      <c r="J1302" s="86">
        <v>408.34334815301293</v>
      </c>
      <c r="K1302" s="86">
        <v>395.18951725783478</v>
      </c>
      <c r="L1302" s="86">
        <v>402.68689436029774</v>
      </c>
      <c r="M1302" s="86">
        <v>3412684.9430575641</v>
      </c>
      <c r="N1302" s="86" t="s">
        <v>1350</v>
      </c>
      <c r="O1302" s="25">
        <f t="shared" si="38"/>
        <v>-1.3913853937820297E-2</v>
      </c>
    </row>
    <row r="1303" spans="1:15">
      <c r="A1303" s="86">
        <v>368.57045581278715</v>
      </c>
      <c r="B1303" s="86">
        <v>370.39970597525843</v>
      </c>
      <c r="C1303" s="86">
        <v>364.64929392605404</v>
      </c>
      <c r="D1303" s="86">
        <v>366.67554025986828</v>
      </c>
      <c r="E1303" s="86">
        <v>6196290.8805691823</v>
      </c>
      <c r="F1303" s="86" t="s">
        <v>1351</v>
      </c>
      <c r="G1303" s="25">
        <f t="shared" si="37"/>
        <v>5.1678264428980381E-3</v>
      </c>
      <c r="I1303" s="86">
        <v>400.98010171837831</v>
      </c>
      <c r="J1303" s="86">
        <v>407.24876684040186</v>
      </c>
      <c r="K1303" s="86">
        <v>386.42321578284526</v>
      </c>
      <c r="L1303" s="86">
        <v>390.95381195799274</v>
      </c>
      <c r="M1303" s="86">
        <v>3891473.91831409</v>
      </c>
      <c r="N1303" s="86" t="s">
        <v>1351</v>
      </c>
      <c r="O1303" s="25">
        <f t="shared" si="38"/>
        <v>2.5645714285714272E-2</v>
      </c>
    </row>
    <row r="1304" spans="1:15">
      <c r="A1304" s="86">
        <v>359.00207034755317</v>
      </c>
      <c r="B1304" s="86">
        <v>368.42036349176391</v>
      </c>
      <c r="C1304" s="86">
        <v>358.00770872077396</v>
      </c>
      <c r="D1304" s="86">
        <v>361.87258598712339</v>
      </c>
      <c r="E1304" s="86">
        <v>9973674.8009102494</v>
      </c>
      <c r="F1304" s="86" t="s">
        <v>1352</v>
      </c>
      <c r="G1304" s="25">
        <f t="shared" si="37"/>
        <v>-7.9323931978432238E-3</v>
      </c>
      <c r="I1304" s="86">
        <v>401.22137607090093</v>
      </c>
      <c r="J1304" s="86">
        <v>418.2088777059214</v>
      </c>
      <c r="K1304" s="86">
        <v>400.65840258168146</v>
      </c>
      <c r="L1304" s="86">
        <v>414.4378489368637</v>
      </c>
      <c r="M1304" s="86">
        <v>4625825.5315191001</v>
      </c>
      <c r="N1304" s="86" t="s">
        <v>1352</v>
      </c>
      <c r="O1304" s="25">
        <f t="shared" si="38"/>
        <v>-3.1890120315666959E-2</v>
      </c>
    </row>
    <row r="1305" spans="1:15">
      <c r="A1305" s="86">
        <v>361.73187443616411</v>
      </c>
      <c r="B1305" s="86">
        <v>372.41657153900866</v>
      </c>
      <c r="C1305" s="86">
        <v>361.68497058584433</v>
      </c>
      <c r="D1305" s="86">
        <v>372.16329074728191</v>
      </c>
      <c r="E1305" s="86">
        <v>8966729.7488941625</v>
      </c>
      <c r="F1305" s="86" t="s">
        <v>1353</v>
      </c>
      <c r="G1305" s="25">
        <f t="shared" si="37"/>
        <v>-2.8029138204824333E-2</v>
      </c>
      <c r="I1305" s="86">
        <v>416.55570158678472</v>
      </c>
      <c r="J1305" s="86">
        <v>428.92324617535297</v>
      </c>
      <c r="K1305" s="86">
        <v>413.74083414068718</v>
      </c>
      <c r="L1305" s="86">
        <v>413.74977022781763</v>
      </c>
      <c r="M1305" s="86">
        <v>5830457.9218297061</v>
      </c>
      <c r="N1305" s="86" t="s">
        <v>1353</v>
      </c>
      <c r="O1305" s="25">
        <f t="shared" si="38"/>
        <v>6.7817109781647122E-3</v>
      </c>
    </row>
    <row r="1306" spans="1:15">
      <c r="A1306" s="86">
        <v>372.7355177211831</v>
      </c>
      <c r="B1306" s="86">
        <v>373.7546445809312</v>
      </c>
      <c r="C1306" s="86">
        <v>369.01135200579307</v>
      </c>
      <c r="D1306" s="86">
        <v>372.35090614856102</v>
      </c>
      <c r="E1306" s="86">
        <v>6739828.3476681653</v>
      </c>
      <c r="F1306" s="86" t="s">
        <v>1354</v>
      </c>
      <c r="G1306" s="25">
        <f t="shared" si="37"/>
        <v>1.0329277202527631E-3</v>
      </c>
      <c r="I1306" s="86">
        <v>409.40683188240996</v>
      </c>
      <c r="J1306" s="86">
        <v>413.43700717825124</v>
      </c>
      <c r="K1306" s="86">
        <v>395.93121248966361</v>
      </c>
      <c r="L1306" s="86">
        <v>402.16860130673058</v>
      </c>
      <c r="M1306" s="86">
        <v>3718397.0472609173</v>
      </c>
      <c r="N1306" s="86" t="s">
        <v>1354</v>
      </c>
      <c r="O1306" s="25">
        <f t="shared" si="38"/>
        <v>1.7998000222197552E-2</v>
      </c>
    </row>
    <row r="1307" spans="1:15">
      <c r="A1307" s="86">
        <v>375.77488722190452</v>
      </c>
      <c r="B1307" s="86">
        <v>380.42774917362618</v>
      </c>
      <c r="C1307" s="86">
        <v>374.18015631103219</v>
      </c>
      <c r="D1307" s="86">
        <v>379.93994913030048</v>
      </c>
      <c r="E1307" s="86">
        <v>9322548.085474601</v>
      </c>
      <c r="F1307" s="86" t="s">
        <v>1355</v>
      </c>
      <c r="G1307" s="25">
        <f t="shared" si="37"/>
        <v>-1.0962421608809447E-2</v>
      </c>
      <c r="I1307" s="86">
        <v>400.1758538766361</v>
      </c>
      <c r="J1307" s="86">
        <v>407.39621227805458</v>
      </c>
      <c r="K1307" s="86">
        <v>390.90332306570554</v>
      </c>
      <c r="L1307" s="86">
        <v>397.40566686619093</v>
      </c>
      <c r="M1307" s="86">
        <v>5151551.157445685</v>
      </c>
      <c r="N1307" s="86" t="s">
        <v>1355</v>
      </c>
      <c r="O1307" s="25">
        <f t="shared" si="38"/>
        <v>6.9706781795286776E-3</v>
      </c>
    </row>
    <row r="1308" spans="1:15">
      <c r="A1308" s="86">
        <v>377.66980277482344</v>
      </c>
      <c r="B1308" s="86">
        <v>379.07691828441665</v>
      </c>
      <c r="C1308" s="86">
        <v>372.21019459760163</v>
      </c>
      <c r="D1308" s="86">
        <v>373.09198698361348</v>
      </c>
      <c r="E1308" s="86">
        <v>8725475.5677799657</v>
      </c>
      <c r="F1308" s="86" t="s">
        <v>1356</v>
      </c>
      <c r="G1308" s="25">
        <f t="shared" si="37"/>
        <v>1.2269938650306678E-2</v>
      </c>
      <c r="I1308" s="86">
        <v>402.12392087107821</v>
      </c>
      <c r="J1308" s="86">
        <v>403.5179504634313</v>
      </c>
      <c r="K1308" s="86">
        <v>383.60834833674767</v>
      </c>
      <c r="L1308" s="86">
        <v>397.98651252967136</v>
      </c>
      <c r="M1308" s="86">
        <v>5599092.6755184131</v>
      </c>
      <c r="N1308" s="86" t="s">
        <v>1356</v>
      </c>
      <c r="O1308" s="25">
        <f t="shared" si="38"/>
        <v>1.0395850641039983E-2</v>
      </c>
    </row>
    <row r="1309" spans="1:15">
      <c r="A1309" s="86">
        <v>370.85936370839215</v>
      </c>
      <c r="B1309" s="86">
        <v>377.0319104104745</v>
      </c>
      <c r="C1309" s="86">
        <v>368.46726734208369</v>
      </c>
      <c r="D1309" s="86">
        <v>375.24018332825909</v>
      </c>
      <c r="E1309" s="86">
        <v>9726719.5952921584</v>
      </c>
      <c r="F1309" s="86" t="s">
        <v>1357</v>
      </c>
      <c r="G1309" s="25">
        <f t="shared" si="37"/>
        <v>-1.1674708132296763E-2</v>
      </c>
      <c r="I1309" s="86">
        <v>408.03067446431788</v>
      </c>
      <c r="J1309" s="86">
        <v>409.74640319336777</v>
      </c>
      <c r="K1309" s="86">
        <v>388.71979017537564</v>
      </c>
      <c r="L1309" s="86">
        <v>388.71979017537564</v>
      </c>
      <c r="M1309" s="86">
        <v>6400180.432999216</v>
      </c>
      <c r="N1309" s="86" t="s">
        <v>1357</v>
      </c>
      <c r="O1309" s="25">
        <f t="shared" si="38"/>
        <v>4.9678160919540248E-2</v>
      </c>
    </row>
    <row r="1310" spans="1:15">
      <c r="A1310" s="86">
        <v>376.50658728689302</v>
      </c>
      <c r="B1310" s="86">
        <v>377.90432202642228</v>
      </c>
      <c r="C1310" s="86">
        <v>371.47849453261318</v>
      </c>
      <c r="D1310" s="86">
        <v>372.58542540015986</v>
      </c>
      <c r="E1310" s="86">
        <v>12638559.435067959</v>
      </c>
      <c r="F1310" s="86" t="s">
        <v>1358</v>
      </c>
      <c r="G1310" s="25">
        <f t="shared" ref="G1310:G1373" si="39">A1310/D1310-1</f>
        <v>1.0524195578830886E-2</v>
      </c>
      <c r="I1310" s="86">
        <v>387.64745971971945</v>
      </c>
      <c r="J1310" s="86">
        <v>387.73682059102407</v>
      </c>
      <c r="K1310" s="86">
        <v>369.50720284486857</v>
      </c>
      <c r="L1310" s="86">
        <v>369.78422154591306</v>
      </c>
      <c r="M1310" s="86">
        <v>6500214.14875744</v>
      </c>
      <c r="N1310" s="86" t="s">
        <v>1358</v>
      </c>
      <c r="O1310" s="25">
        <f t="shared" ref="O1310:O1373" si="40">I1310/L1310-1</f>
        <v>4.8307194122906738E-2</v>
      </c>
    </row>
    <row r="1311" spans="1:15">
      <c r="A1311" s="86">
        <v>377.45404506335245</v>
      </c>
      <c r="B1311" s="86">
        <v>377.59475661431173</v>
      </c>
      <c r="C1311" s="86">
        <v>369.03527296945617</v>
      </c>
      <c r="D1311" s="86">
        <v>370.49351367589793</v>
      </c>
      <c r="E1311" s="86">
        <v>12435255.230082899</v>
      </c>
      <c r="F1311" s="86" t="s">
        <v>1359</v>
      </c>
      <c r="G1311" s="25">
        <f t="shared" si="39"/>
        <v>1.8787188251677467E-2</v>
      </c>
      <c r="I1311" s="86">
        <v>363.42172751495139</v>
      </c>
      <c r="J1311" s="86">
        <v>367.82371967220593</v>
      </c>
      <c r="K1311" s="86">
        <v>350.7571250786566</v>
      </c>
      <c r="L1311" s="86">
        <v>350.76600006284463</v>
      </c>
      <c r="M1311" s="86">
        <v>3804330.1581992507</v>
      </c>
      <c r="N1311" s="86" t="s">
        <v>1359</v>
      </c>
      <c r="O1311" s="25">
        <f t="shared" si="40"/>
        <v>3.6080257065506105E-2</v>
      </c>
    </row>
    <row r="1312" spans="1:15">
      <c r="A1312" s="86">
        <v>369.38658280835125</v>
      </c>
      <c r="B1312" s="86">
        <v>369.76181361090948</v>
      </c>
      <c r="C1312" s="86">
        <v>354.12406991429668</v>
      </c>
      <c r="D1312" s="86">
        <v>354.36796993595948</v>
      </c>
      <c r="E1312" s="86">
        <v>22681741.322875626</v>
      </c>
      <c r="F1312" s="86" t="s">
        <v>1360</v>
      </c>
      <c r="G1312" s="25">
        <f t="shared" si="39"/>
        <v>4.2381406183820358E-2</v>
      </c>
      <c r="I1312" s="86">
        <v>351.19199930386918</v>
      </c>
      <c r="J1312" s="86">
        <v>354.09411913334952</v>
      </c>
      <c r="K1312" s="86">
        <v>343.83463741200632</v>
      </c>
      <c r="L1312" s="86">
        <v>353.42849531924855</v>
      </c>
      <c r="M1312" s="86">
        <v>4665859.5804518564</v>
      </c>
      <c r="N1312" s="86" t="s">
        <v>1360</v>
      </c>
      <c r="O1312" s="25">
        <f t="shared" si="40"/>
        <v>-6.3280014062226941E-3</v>
      </c>
    </row>
    <row r="1313" spans="1:15">
      <c r="A1313" s="86">
        <v>363.79564385023417</v>
      </c>
      <c r="B1313" s="86">
        <v>373.65483318745072</v>
      </c>
      <c r="C1313" s="86">
        <v>363.39227073748407</v>
      </c>
      <c r="D1313" s="86">
        <v>373.11074852374134</v>
      </c>
      <c r="E1313" s="86">
        <v>12957204.917221457</v>
      </c>
      <c r="F1313" s="86" t="s">
        <v>1361</v>
      </c>
      <c r="G1313" s="25">
        <f t="shared" si="39"/>
        <v>-2.4966058228993782E-2</v>
      </c>
      <c r="I1313" s="86">
        <v>345.14813507183226</v>
      </c>
      <c r="J1313" s="86">
        <v>346.37288288977805</v>
      </c>
      <c r="K1313" s="86">
        <v>341.24314202910648</v>
      </c>
      <c r="L1313" s="86">
        <v>345.38775964490861</v>
      </c>
      <c r="M1313" s="86">
        <v>2072697.7772923892</v>
      </c>
      <c r="N1313" s="86" t="s">
        <v>1361</v>
      </c>
      <c r="O1313" s="25">
        <f t="shared" si="40"/>
        <v>-6.9378420741572633E-4</v>
      </c>
    </row>
    <row r="1314" spans="1:15">
      <c r="A1314" s="86">
        <v>370.46537136570606</v>
      </c>
      <c r="B1314" s="86">
        <v>375.5778910505615</v>
      </c>
      <c r="C1314" s="86">
        <v>367.26183838886544</v>
      </c>
      <c r="D1314" s="86">
        <v>372.46347538932844</v>
      </c>
      <c r="E1314" s="86">
        <v>11102218.61211382</v>
      </c>
      <c r="F1314" s="86" t="s">
        <v>1362</v>
      </c>
      <c r="G1314" s="25">
        <f t="shared" si="39"/>
        <v>-5.3645636569701338E-3</v>
      </c>
      <c r="I1314" s="86">
        <v>342.7518893410687</v>
      </c>
      <c r="J1314" s="86">
        <v>349.15962792481423</v>
      </c>
      <c r="K1314" s="86">
        <v>341.74901612782321</v>
      </c>
      <c r="L1314" s="86">
        <v>347.25150632439136</v>
      </c>
      <c r="M1314" s="86">
        <v>1893997.7406047692</v>
      </c>
      <c r="N1314" s="86" t="s">
        <v>1362</v>
      </c>
      <c r="O1314" s="25">
        <f t="shared" si="40"/>
        <v>-1.2957804073913115E-2</v>
      </c>
    </row>
    <row r="1315" spans="1:15">
      <c r="A1315" s="86">
        <v>374.56476788365438</v>
      </c>
      <c r="B1315" s="86">
        <v>378.33583744936419</v>
      </c>
      <c r="C1315" s="86">
        <v>372.41657153900866</v>
      </c>
      <c r="D1315" s="86">
        <v>377.24766812194542</v>
      </c>
      <c r="E1315" s="86">
        <v>11268618.597334426</v>
      </c>
      <c r="F1315" s="86" t="s">
        <v>1363</v>
      </c>
      <c r="G1315" s="25">
        <f t="shared" si="39"/>
        <v>-7.1117742136017625E-3</v>
      </c>
      <c r="I1315" s="86">
        <v>342.98263892995703</v>
      </c>
      <c r="J1315" s="86">
        <v>347.08288162481909</v>
      </c>
      <c r="K1315" s="86">
        <v>342.31257762376202</v>
      </c>
      <c r="L1315" s="86">
        <v>345.36113469234454</v>
      </c>
      <c r="M1315" s="86">
        <v>1645015.8885599507</v>
      </c>
      <c r="N1315" s="86" t="s">
        <v>1363</v>
      </c>
      <c r="O1315" s="25">
        <f t="shared" si="40"/>
        <v>-6.8869815490567587E-3</v>
      </c>
    </row>
    <row r="1316" spans="1:15">
      <c r="A1316" s="86">
        <v>376.97562579009076</v>
      </c>
      <c r="B1316" s="86">
        <v>382.71665706923113</v>
      </c>
      <c r="C1316" s="86">
        <v>376.3846372760616</v>
      </c>
      <c r="D1316" s="86">
        <v>382.25699933609735</v>
      </c>
      <c r="E1316" s="86">
        <v>8038776.0797760794</v>
      </c>
      <c r="F1316" s="86" t="s">
        <v>1364</v>
      </c>
      <c r="G1316" s="25">
        <f t="shared" si="39"/>
        <v>-1.3816289970306039E-2</v>
      </c>
      <c r="I1316" s="86">
        <v>345.03276027738809</v>
      </c>
      <c r="J1316" s="86">
        <v>347.62425566028793</v>
      </c>
      <c r="K1316" s="86">
        <v>342.37026502098411</v>
      </c>
      <c r="L1316" s="86">
        <v>342.68088946756461</v>
      </c>
      <c r="M1316" s="86">
        <v>1407371.5215030941</v>
      </c>
      <c r="N1316" s="86" t="s">
        <v>1364</v>
      </c>
      <c r="O1316" s="25">
        <f t="shared" si="40"/>
        <v>6.8631513519112897E-3</v>
      </c>
    </row>
    <row r="1317" spans="1:15">
      <c r="A1317" s="86">
        <v>385.16503805592333</v>
      </c>
      <c r="B1317" s="86">
        <v>386.38453816423748</v>
      </c>
      <c r="C1317" s="86">
        <v>381.15944923861463</v>
      </c>
      <c r="D1317" s="86">
        <v>382.9230340106381</v>
      </c>
      <c r="E1317" s="86">
        <v>8254934.2401590366</v>
      </c>
      <c r="F1317" s="86" t="s">
        <v>1365</v>
      </c>
      <c r="G1317" s="25">
        <f t="shared" si="39"/>
        <v>5.8549730524253274E-3</v>
      </c>
      <c r="I1317" s="86">
        <v>343.3731382342296</v>
      </c>
      <c r="J1317" s="86">
        <v>344.97755787573868</v>
      </c>
      <c r="K1317" s="86">
        <v>339.02439598210316</v>
      </c>
      <c r="L1317" s="86">
        <v>339.77876963808433</v>
      </c>
      <c r="M1317" s="86">
        <v>2002024.9753231031</v>
      </c>
      <c r="N1317" s="86" t="s">
        <v>1365</v>
      </c>
      <c r="O1317" s="25">
        <f t="shared" si="40"/>
        <v>1.0578555570066372E-2</v>
      </c>
    </row>
    <row r="1318" spans="1:15">
      <c r="A1318" s="86">
        <v>384.70538032278961</v>
      </c>
      <c r="B1318" s="86">
        <v>384.88361495400471</v>
      </c>
      <c r="C1318" s="86">
        <v>382.22885702590548</v>
      </c>
      <c r="D1318" s="86">
        <v>382.90427247051025</v>
      </c>
      <c r="E1318" s="86">
        <v>7272637.4844367094</v>
      </c>
      <c r="F1318" s="86" t="s">
        <v>1366</v>
      </c>
      <c r="G1318" s="25">
        <f t="shared" si="39"/>
        <v>4.7038071439071683E-3</v>
      </c>
      <c r="I1318" s="86">
        <v>339.2196456342395</v>
      </c>
      <c r="J1318" s="86">
        <v>343.72813760175018</v>
      </c>
      <c r="K1318" s="86">
        <v>335.75840180091433</v>
      </c>
      <c r="L1318" s="86">
        <v>338.9445211244111</v>
      </c>
      <c r="M1318" s="86">
        <v>2725637.532140254</v>
      </c>
      <c r="N1318" s="86" t="s">
        <v>1366</v>
      </c>
      <c r="O1318" s="25">
        <f t="shared" si="40"/>
        <v>8.1170956508080927E-4</v>
      </c>
    </row>
    <row r="1319" spans="1:15">
      <c r="A1319" s="86">
        <v>378.62664132134682</v>
      </c>
      <c r="B1319" s="86">
        <v>380.84988382650414</v>
      </c>
      <c r="C1319" s="86">
        <v>375.45594103973008</v>
      </c>
      <c r="D1319" s="86">
        <v>379.38648369652714</v>
      </c>
      <c r="E1319" s="86">
        <v>10838751.96884786</v>
      </c>
      <c r="F1319" s="86" t="s">
        <v>1367</v>
      </c>
      <c r="G1319" s="25">
        <f t="shared" si="39"/>
        <v>-2.0028187819893795E-3</v>
      </c>
      <c r="I1319" s="86">
        <v>343.43526312354572</v>
      </c>
      <c r="J1319" s="86">
        <v>351.02328585445508</v>
      </c>
      <c r="K1319" s="86">
        <v>340.61301815175756</v>
      </c>
      <c r="L1319" s="86">
        <v>349.65662703934294</v>
      </c>
      <c r="M1319" s="86">
        <v>3154913.7899104552</v>
      </c>
      <c r="N1319" s="86" t="s">
        <v>1367</v>
      </c>
      <c r="O1319" s="25">
        <f t="shared" si="40"/>
        <v>-1.7792781359459831E-2</v>
      </c>
    </row>
    <row r="1320" spans="1:15">
      <c r="A1320" s="86">
        <v>379.86490296978883</v>
      </c>
      <c r="B1320" s="86">
        <v>389.48957305540654</v>
      </c>
      <c r="C1320" s="86">
        <v>378.57973747102704</v>
      </c>
      <c r="D1320" s="86">
        <v>387.56651519229581</v>
      </c>
      <c r="E1320" s="86">
        <v>11148963.175407713</v>
      </c>
      <c r="F1320" s="86" t="s">
        <v>1368</v>
      </c>
      <c r="G1320" s="25">
        <f t="shared" si="39"/>
        <v>-1.9871717293961089E-2</v>
      </c>
      <c r="I1320" s="86">
        <v>351.61799854489385</v>
      </c>
      <c r="J1320" s="86">
        <v>353.97874433890536</v>
      </c>
      <c r="K1320" s="86">
        <v>341.99751568508759</v>
      </c>
      <c r="L1320" s="86">
        <v>343.24888845559741</v>
      </c>
      <c r="M1320" s="86">
        <v>3691710.2392421043</v>
      </c>
      <c r="N1320" s="86" t="s">
        <v>1368</v>
      </c>
      <c r="O1320" s="25">
        <f t="shared" si="40"/>
        <v>2.4382045713103873E-2</v>
      </c>
    </row>
    <row r="1321" spans="1:15">
      <c r="A1321" s="86">
        <v>387.59465750248768</v>
      </c>
      <c r="B1321" s="86">
        <v>394.74280429122132</v>
      </c>
      <c r="C1321" s="86">
        <v>385.68098040944085</v>
      </c>
      <c r="D1321" s="86">
        <v>389.23629226367979</v>
      </c>
      <c r="E1321" s="86">
        <v>9871750.3327182531</v>
      </c>
      <c r="F1321" s="86" t="s">
        <v>1369</v>
      </c>
      <c r="G1321" s="25">
        <f t="shared" si="39"/>
        <v>-4.2175788687248694E-3</v>
      </c>
      <c r="I1321" s="86">
        <v>342.06851555859168</v>
      </c>
      <c r="J1321" s="86">
        <v>351.14762438292917</v>
      </c>
      <c r="K1321" s="86">
        <v>340.73726793038969</v>
      </c>
      <c r="L1321" s="86">
        <v>348.82237852566971</v>
      </c>
      <c r="M1321" s="86">
        <v>2592829.4082010649</v>
      </c>
      <c r="N1321" s="86" t="s">
        <v>1369</v>
      </c>
      <c r="O1321" s="25">
        <f t="shared" si="40"/>
        <v>-1.9361897007938111E-2</v>
      </c>
    </row>
    <row r="1322" spans="1:15">
      <c r="A1322" s="86">
        <v>394.52704657975033</v>
      </c>
      <c r="B1322" s="86">
        <v>394.80846968166895</v>
      </c>
      <c r="C1322" s="86">
        <v>392.43982524052041</v>
      </c>
      <c r="D1322" s="86">
        <v>392.63213102683147</v>
      </c>
      <c r="E1322" s="86">
        <v>6699299.6919812663</v>
      </c>
      <c r="F1322" s="86" t="s">
        <v>1370</v>
      </c>
      <c r="G1322" s="25">
        <f t="shared" si="39"/>
        <v>4.8261856409030912E-3</v>
      </c>
      <c r="I1322" s="86">
        <v>350.1536261538717</v>
      </c>
      <c r="J1322" s="86">
        <v>352.88454753836521</v>
      </c>
      <c r="K1322" s="86">
        <v>349.39925249789059</v>
      </c>
      <c r="L1322" s="86">
        <v>351.00562463592092</v>
      </c>
      <c r="M1322" s="86">
        <v>1737390.1376439405</v>
      </c>
      <c r="N1322" s="86" t="s">
        <v>1370</v>
      </c>
      <c r="O1322" s="25">
        <f t="shared" si="40"/>
        <v>-2.4273072060682077E-3</v>
      </c>
    </row>
    <row r="1323" spans="1:15">
      <c r="A1323" s="86">
        <v>388.82353838086578</v>
      </c>
      <c r="B1323" s="86">
        <v>389.73347307706939</v>
      </c>
      <c r="C1323" s="86">
        <v>384.00182256799297</v>
      </c>
      <c r="D1323" s="86">
        <v>385.28698806675482</v>
      </c>
      <c r="E1323" s="86">
        <v>5933079.0138283586</v>
      </c>
      <c r="F1323" s="86" t="s">
        <v>1371</v>
      </c>
      <c r="G1323" s="25">
        <f t="shared" si="39"/>
        <v>9.179002726918517E-3</v>
      </c>
      <c r="I1323" s="86">
        <v>351.48487378207369</v>
      </c>
      <c r="J1323" s="86">
        <v>352.19043502502069</v>
      </c>
      <c r="K1323" s="86">
        <v>346.65688238379454</v>
      </c>
      <c r="L1323" s="86">
        <v>351.16537435130522</v>
      </c>
      <c r="M1323" s="86">
        <v>1477606.0128323168</v>
      </c>
      <c r="N1323" s="86" t="s">
        <v>1371</v>
      </c>
      <c r="O1323" s="25">
        <f t="shared" si="40"/>
        <v>9.0982612211898406E-4</v>
      </c>
    </row>
    <row r="1324" spans="1:15">
      <c r="A1324" s="86">
        <v>385.69974194956882</v>
      </c>
      <c r="B1324" s="86">
        <v>388.94548839169715</v>
      </c>
      <c r="C1324" s="86">
        <v>384.51776492151043</v>
      </c>
      <c r="D1324" s="86">
        <v>387.64156135280746</v>
      </c>
      <c r="E1324" s="86">
        <v>5991951.5793250939</v>
      </c>
      <c r="F1324" s="86" t="s">
        <v>1372</v>
      </c>
      <c r="G1324" s="25">
        <f t="shared" si="39"/>
        <v>-5.0093168453403392E-3</v>
      </c>
      <c r="I1324" s="86">
        <v>348.20112963250875</v>
      </c>
      <c r="J1324" s="86">
        <v>351.07662450942502</v>
      </c>
      <c r="K1324" s="86">
        <v>344.61563602055145</v>
      </c>
      <c r="L1324" s="86">
        <v>347.89938017011633</v>
      </c>
      <c r="M1324" s="86">
        <v>1400525.3121225676</v>
      </c>
      <c r="N1324" s="86" t="s">
        <v>1372</v>
      </c>
      <c r="O1324" s="25">
        <f t="shared" si="40"/>
        <v>8.6734693877543734E-4</v>
      </c>
    </row>
    <row r="1325" spans="1:15">
      <c r="A1325" s="86">
        <v>386.97552667826665</v>
      </c>
      <c r="B1325" s="86">
        <v>390.46517314205789</v>
      </c>
      <c r="C1325" s="86">
        <v>382.79170322974278</v>
      </c>
      <c r="D1325" s="86">
        <v>384.93051880432444</v>
      </c>
      <c r="E1325" s="86">
        <v>8751972.3263941742</v>
      </c>
      <c r="F1325" s="86" t="s">
        <v>1373</v>
      </c>
      <c r="G1325" s="25">
        <f t="shared" si="39"/>
        <v>5.31266754398807E-3</v>
      </c>
      <c r="I1325" s="86">
        <v>345.5297593919168</v>
      </c>
      <c r="J1325" s="86">
        <v>348.64487884190942</v>
      </c>
      <c r="K1325" s="86">
        <v>341.97089073252351</v>
      </c>
      <c r="L1325" s="86">
        <v>344.34938649491107</v>
      </c>
      <c r="M1325" s="86">
        <v>1854399.9235771454</v>
      </c>
      <c r="N1325" s="86" t="s">
        <v>1373</v>
      </c>
      <c r="O1325" s="25">
        <f t="shared" si="40"/>
        <v>3.427835051546424E-3</v>
      </c>
    </row>
    <row r="1326" spans="1:15">
      <c r="A1326" s="86">
        <v>385.16503805592333</v>
      </c>
      <c r="B1326" s="86">
        <v>390.643407773273</v>
      </c>
      <c r="C1326" s="86">
        <v>384.41457645080698</v>
      </c>
      <c r="D1326" s="86">
        <v>388.91734608150529</v>
      </c>
      <c r="E1326" s="86">
        <v>8163797.7988891425</v>
      </c>
      <c r="F1326" s="86" t="s">
        <v>1374</v>
      </c>
      <c r="G1326" s="25">
        <f t="shared" si="39"/>
        <v>-9.6480860609277075E-3</v>
      </c>
      <c r="I1326" s="86">
        <v>345.8581338068733</v>
      </c>
      <c r="J1326" s="86">
        <v>348.04723740668868</v>
      </c>
      <c r="K1326" s="86">
        <v>342.92051404064091</v>
      </c>
      <c r="L1326" s="86">
        <v>344.50913621029531</v>
      </c>
      <c r="M1326" s="86">
        <v>1857997.6764658915</v>
      </c>
      <c r="N1326" s="86" t="s">
        <v>1374</v>
      </c>
      <c r="O1326" s="25">
        <f t="shared" si="40"/>
        <v>3.9157092070687405E-3</v>
      </c>
    </row>
    <row r="1327" spans="1:15">
      <c r="A1327" s="86">
        <v>394.33005040840726</v>
      </c>
      <c r="B1327" s="86">
        <v>395.09927355365159</v>
      </c>
      <c r="C1327" s="86">
        <v>390.74659624397651</v>
      </c>
      <c r="D1327" s="86">
        <v>393.03550413958152</v>
      </c>
      <c r="E1327" s="86">
        <v>7170494.4840788012</v>
      </c>
      <c r="F1327" s="86" t="s">
        <v>1375</v>
      </c>
      <c r="G1327" s="25">
        <f t="shared" si="39"/>
        <v>3.2937133037376221E-3</v>
      </c>
      <c r="I1327" s="86">
        <v>343.76363753850217</v>
      </c>
      <c r="J1327" s="86">
        <v>344.66001094149158</v>
      </c>
      <c r="K1327" s="86">
        <v>341.69576622269511</v>
      </c>
      <c r="L1327" s="86">
        <v>342.67201448337659</v>
      </c>
      <c r="M1327" s="86">
        <v>1826037.0561435358</v>
      </c>
      <c r="N1327" s="86" t="s">
        <v>1375</v>
      </c>
      <c r="O1327" s="25">
        <f t="shared" si="40"/>
        <v>3.1856206780449536E-3</v>
      </c>
    </row>
    <row r="1328" spans="1:15">
      <c r="A1328" s="86">
        <v>390.60588469301717</v>
      </c>
      <c r="B1328" s="86">
        <v>391.21563474717425</v>
      </c>
      <c r="C1328" s="86">
        <v>385.45584192790596</v>
      </c>
      <c r="D1328" s="86">
        <v>388.68282682990639</v>
      </c>
      <c r="E1328" s="86">
        <v>8693199.9658905882</v>
      </c>
      <c r="F1328" s="86" t="s">
        <v>1376</v>
      </c>
      <c r="G1328" s="25">
        <f t="shared" si="39"/>
        <v>4.9476275522517543E-3</v>
      </c>
      <c r="I1328" s="86">
        <v>343.47076306029777</v>
      </c>
      <c r="J1328" s="86">
        <v>346.57700752610236</v>
      </c>
      <c r="K1328" s="86">
        <v>342.76076432525667</v>
      </c>
      <c r="L1328" s="86">
        <v>346.31963298465001</v>
      </c>
      <c r="M1328" s="86">
        <v>2198755.4666695748</v>
      </c>
      <c r="N1328" s="86" t="s">
        <v>1376</v>
      </c>
      <c r="O1328" s="25">
        <f t="shared" si="40"/>
        <v>-8.2261288503920893E-3</v>
      </c>
    </row>
    <row r="1329" spans="1:15">
      <c r="A1329" s="86">
        <v>388.07307677574937</v>
      </c>
      <c r="B1329" s="86">
        <v>388.33573833754014</v>
      </c>
      <c r="C1329" s="86">
        <v>379.31143753601555</v>
      </c>
      <c r="D1329" s="86">
        <v>380.54969918445755</v>
      </c>
      <c r="E1329" s="86">
        <v>9807760.9165074769</v>
      </c>
      <c r="F1329" s="86" t="s">
        <v>1377</v>
      </c>
      <c r="G1329" s="25">
        <f t="shared" si="39"/>
        <v>1.9769763600956392E-2</v>
      </c>
      <c r="I1329" s="86">
        <v>345.35225970815657</v>
      </c>
      <c r="J1329" s="86">
        <v>347.00300676712703</v>
      </c>
      <c r="K1329" s="86">
        <v>341.40289174449072</v>
      </c>
      <c r="L1329" s="86">
        <v>346.56813254191434</v>
      </c>
      <c r="M1329" s="86">
        <v>2663131.505284539</v>
      </c>
      <c r="N1329" s="86" t="s">
        <v>1377</v>
      </c>
      <c r="O1329" s="25">
        <f t="shared" si="40"/>
        <v>-3.5083226632521836E-3</v>
      </c>
    </row>
    <row r="1330" spans="1:15">
      <c r="A1330" s="86">
        <v>381.10316461823089</v>
      </c>
      <c r="B1330" s="86">
        <v>381.16883000867858</v>
      </c>
      <c r="C1330" s="86">
        <v>368.94568661534538</v>
      </c>
      <c r="D1330" s="86">
        <v>373.18579468425298</v>
      </c>
      <c r="E1330" s="86">
        <v>12895324.069909092</v>
      </c>
      <c r="F1330" s="86" t="s">
        <v>1378</v>
      </c>
      <c r="G1330" s="25">
        <f t="shared" si="39"/>
        <v>2.1215625157106288E-2</v>
      </c>
      <c r="I1330" s="86">
        <v>348.92000335173782</v>
      </c>
      <c r="J1330" s="86">
        <v>349.07975306712206</v>
      </c>
      <c r="K1330" s="86">
        <v>341.4916415863708</v>
      </c>
      <c r="L1330" s="86">
        <v>345.32563475559255</v>
      </c>
      <c r="M1330" s="86">
        <v>2417203.1798067424</v>
      </c>
      <c r="N1330" s="86" t="s">
        <v>1378</v>
      </c>
      <c r="O1330" s="25">
        <f t="shared" si="40"/>
        <v>1.0408635312258774E-2</v>
      </c>
    </row>
    <row r="1331" spans="1:15">
      <c r="A1331" s="86">
        <v>371.9850561160668</v>
      </c>
      <c r="B1331" s="86">
        <v>380.83112228637623</v>
      </c>
      <c r="C1331" s="86">
        <v>370.3715636650665</v>
      </c>
      <c r="D1331" s="86">
        <v>377.97936818693393</v>
      </c>
      <c r="E1331" s="86">
        <v>13277402.510758214</v>
      </c>
      <c r="F1331" s="86" t="s">
        <v>1379</v>
      </c>
      <c r="G1331" s="25">
        <f t="shared" si="39"/>
        <v>-1.5858834040652137E-2</v>
      </c>
      <c r="I1331" s="86">
        <v>345.30788478721649</v>
      </c>
      <c r="J1331" s="86">
        <v>351.09437447780113</v>
      </c>
      <c r="K1331" s="86">
        <v>341.45170415752477</v>
      </c>
      <c r="L1331" s="86">
        <v>345.5830092970449</v>
      </c>
      <c r="M1331" s="86">
        <v>2891547.6868860773</v>
      </c>
      <c r="N1331" s="86" t="s">
        <v>1379</v>
      </c>
      <c r="O1331" s="25">
        <f t="shared" si="40"/>
        <v>-7.9611700351833736E-4</v>
      </c>
    </row>
    <row r="1332" spans="1:15">
      <c r="A1332" s="86">
        <v>373.87997166898566</v>
      </c>
      <c r="B1332" s="86">
        <v>382.9187188564087</v>
      </c>
      <c r="C1332" s="86">
        <v>369.92128670199668</v>
      </c>
      <c r="D1332" s="86">
        <v>380.54031841439365</v>
      </c>
      <c r="E1332" s="86">
        <v>15326402.738773232</v>
      </c>
      <c r="F1332" s="86" t="s">
        <v>1380</v>
      </c>
      <c r="G1332" s="25">
        <f t="shared" si="39"/>
        <v>-1.7502341862643656E-2</v>
      </c>
      <c r="I1332" s="86">
        <v>347.22488137182734</v>
      </c>
      <c r="J1332" s="86">
        <v>349.34600259276249</v>
      </c>
      <c r="K1332" s="86">
        <v>340.53314329406538</v>
      </c>
      <c r="L1332" s="86">
        <v>344.34938649491107</v>
      </c>
      <c r="M1332" s="86">
        <v>4102199.9846684085</v>
      </c>
      <c r="N1332" s="86" t="s">
        <v>1380</v>
      </c>
      <c r="O1332" s="25">
        <f t="shared" si="40"/>
        <v>8.3505154639174073E-3</v>
      </c>
    </row>
    <row r="1333" spans="1:15">
      <c r="A1333" s="86">
        <v>374.72424097474158</v>
      </c>
      <c r="B1333" s="86">
        <v>379.22701060543989</v>
      </c>
      <c r="C1333" s="86">
        <v>368.41332791421593</v>
      </c>
      <c r="D1333" s="86">
        <v>373.51412163649144</v>
      </c>
      <c r="E1333" s="86">
        <v>17947701.398942403</v>
      </c>
      <c r="F1333" s="86" t="s">
        <v>1381</v>
      </c>
      <c r="G1333" s="25">
        <f t="shared" si="39"/>
        <v>3.2398221865030941E-3</v>
      </c>
      <c r="I1333" s="86">
        <v>343.61276280730601</v>
      </c>
      <c r="J1333" s="86">
        <v>344.34938649491107</v>
      </c>
      <c r="K1333" s="86">
        <v>329.06666372315237</v>
      </c>
      <c r="L1333" s="86">
        <v>335.3368400519837</v>
      </c>
      <c r="M1333" s="86">
        <v>3585835.1210341072</v>
      </c>
      <c r="N1333" s="86" t="s">
        <v>1381</v>
      </c>
      <c r="O1333" s="25">
        <f t="shared" si="40"/>
        <v>2.4679432042239657E-2</v>
      </c>
    </row>
    <row r="1334" spans="1:15">
      <c r="A1334" s="86">
        <v>379.3301990761434</v>
      </c>
      <c r="B1334" s="86">
        <v>379.80861834940509</v>
      </c>
      <c r="C1334" s="86">
        <v>362.88570915403051</v>
      </c>
      <c r="D1334" s="86">
        <v>372.66047156067151</v>
      </c>
      <c r="E1334" s="86">
        <v>24515936.157915212</v>
      </c>
      <c r="F1334" s="86" t="s">
        <v>1382</v>
      </c>
      <c r="G1334" s="25">
        <f t="shared" si="39"/>
        <v>1.7897598550067784E-2</v>
      </c>
      <c r="I1334" s="86">
        <v>331.32978469109571</v>
      </c>
      <c r="J1334" s="86">
        <v>332.40365777784535</v>
      </c>
      <c r="K1334" s="86">
        <v>324.23867232487322</v>
      </c>
      <c r="L1334" s="86">
        <v>327.97504066802679</v>
      </c>
      <c r="M1334" s="86">
        <v>3406527.7593207955</v>
      </c>
      <c r="N1334" s="86" t="s">
        <v>1382</v>
      </c>
      <c r="O1334" s="25">
        <f t="shared" si="40"/>
        <v>1.0228656474089881E-2</v>
      </c>
    </row>
    <row r="1335" spans="1:15">
      <c r="A1335" s="86">
        <v>377.75422970539898</v>
      </c>
      <c r="B1335" s="86">
        <v>386.41877797497091</v>
      </c>
      <c r="C1335" s="86">
        <v>377.72608739520717</v>
      </c>
      <c r="D1335" s="86">
        <v>384.33953029029533</v>
      </c>
      <c r="E1335" s="86">
        <v>17297010.681828015</v>
      </c>
      <c r="F1335" s="86" t="s">
        <v>1383</v>
      </c>
      <c r="G1335" s="25">
        <f t="shared" si="39"/>
        <v>-1.7134070440067428E-2</v>
      </c>
      <c r="I1335" s="86">
        <v>329.43941305904895</v>
      </c>
      <c r="J1335" s="86">
        <v>334.67565372997672</v>
      </c>
      <c r="K1335" s="86">
        <v>328.09041546247096</v>
      </c>
      <c r="L1335" s="86">
        <v>331.92440863169264</v>
      </c>
      <c r="M1335" s="86">
        <v>3149757.7243862143</v>
      </c>
      <c r="N1335" s="86" t="s">
        <v>1383</v>
      </c>
      <c r="O1335" s="25">
        <f t="shared" si="40"/>
        <v>-7.4866310160428551E-3</v>
      </c>
    </row>
    <row r="1336" spans="1:15">
      <c r="A1336" s="86">
        <v>385.32451114701058</v>
      </c>
      <c r="B1336" s="86">
        <v>395.63397744729701</v>
      </c>
      <c r="C1336" s="86">
        <v>384.88361495400471</v>
      </c>
      <c r="D1336" s="86">
        <v>391.33758475800568</v>
      </c>
      <c r="E1336" s="86">
        <v>9495598.9106128942</v>
      </c>
      <c r="F1336" s="86" t="s">
        <v>1384</v>
      </c>
      <c r="G1336" s="25">
        <f t="shared" si="39"/>
        <v>-1.5365438550231314E-2</v>
      </c>
      <c r="I1336" s="86">
        <v>332.92728184493814</v>
      </c>
      <c r="J1336" s="86">
        <v>338.27002232612205</v>
      </c>
      <c r="K1336" s="86">
        <v>331.93328361588061</v>
      </c>
      <c r="L1336" s="86">
        <v>334.5957788722846</v>
      </c>
      <c r="M1336" s="86">
        <v>2376502.26222225</v>
      </c>
      <c r="N1336" s="86" t="s">
        <v>1384</v>
      </c>
      <c r="O1336" s="25">
        <f t="shared" si="40"/>
        <v>-4.9866051298373959E-3</v>
      </c>
    </row>
    <row r="1337" spans="1:15">
      <c r="A1337" s="86">
        <v>389.61152306623796</v>
      </c>
      <c r="B1337" s="86">
        <v>396.37036789731746</v>
      </c>
      <c r="C1337" s="86">
        <v>389.36762304457511</v>
      </c>
      <c r="D1337" s="86">
        <v>395.08989278358763</v>
      </c>
      <c r="E1337" s="86">
        <v>8724343.4645594843</v>
      </c>
      <c r="F1337" s="86" t="s">
        <v>1385</v>
      </c>
      <c r="G1337" s="25">
        <f t="shared" si="39"/>
        <v>-1.3866134814920383E-2</v>
      </c>
      <c r="I1337" s="86">
        <v>334.87977836630103</v>
      </c>
      <c r="J1337" s="86">
        <v>338.53627185176242</v>
      </c>
      <c r="K1337" s="86">
        <v>332.08105210261107</v>
      </c>
      <c r="L1337" s="86">
        <v>333.25565625989458</v>
      </c>
      <c r="M1337" s="86">
        <v>3759654.0222647749</v>
      </c>
      <c r="N1337" s="86" t="s">
        <v>1385</v>
      </c>
      <c r="O1337" s="25">
        <f t="shared" si="40"/>
        <v>4.8735019973369376E-3</v>
      </c>
    </row>
    <row r="1338" spans="1:15">
      <c r="A1338" s="86">
        <v>393.74844266444211</v>
      </c>
      <c r="B1338" s="86">
        <v>398.66396617795442</v>
      </c>
      <c r="C1338" s="86">
        <v>391.48767707902891</v>
      </c>
      <c r="D1338" s="86">
        <v>396.45010444286106</v>
      </c>
      <c r="E1338" s="86">
        <v>11404160.77471767</v>
      </c>
      <c r="F1338" s="86" t="s">
        <v>1386</v>
      </c>
      <c r="G1338" s="25">
        <f t="shared" si="39"/>
        <v>-6.8146325304054844E-3</v>
      </c>
      <c r="I1338" s="86">
        <v>334.17865461544801</v>
      </c>
      <c r="J1338" s="86">
        <v>334.90640331886505</v>
      </c>
      <c r="K1338" s="86">
        <v>327.36266675905387</v>
      </c>
      <c r="L1338" s="86">
        <v>328.77378924494792</v>
      </c>
      <c r="M1338" s="86">
        <v>2785709.7518429188</v>
      </c>
      <c r="N1338" s="86" t="s">
        <v>1386</v>
      </c>
      <c r="O1338" s="25">
        <f t="shared" si="40"/>
        <v>1.6439465514914486E-2</v>
      </c>
    </row>
    <row r="1339" spans="1:15">
      <c r="A1339" s="86">
        <v>400.77463944234427</v>
      </c>
      <c r="B1339" s="86">
        <v>401.10287258688209</v>
      </c>
      <c r="C1339" s="86">
        <v>396.62833907407622</v>
      </c>
      <c r="D1339" s="86">
        <v>397.69305647633507</v>
      </c>
      <c r="E1339" s="86">
        <v>10618332.964234898</v>
      </c>
      <c r="F1339" s="86" t="s">
        <v>1387</v>
      </c>
      <c r="G1339" s="25">
        <f t="shared" si="39"/>
        <v>7.7486466404841359E-3</v>
      </c>
      <c r="I1339" s="86">
        <v>330.69966081374679</v>
      </c>
      <c r="J1339" s="86">
        <v>331.02803522870329</v>
      </c>
      <c r="K1339" s="86">
        <v>323.02279949111545</v>
      </c>
      <c r="L1339" s="86">
        <v>324.09667257786504</v>
      </c>
      <c r="M1339" s="86">
        <v>2439421.8109414694</v>
      </c>
      <c r="N1339" s="86" t="s">
        <v>1387</v>
      </c>
      <c r="O1339" s="25">
        <f t="shared" si="40"/>
        <v>2.0373514431239137E-2</v>
      </c>
    </row>
    <row r="1340" spans="1:15">
      <c r="A1340" s="86">
        <v>400.6526894315129</v>
      </c>
      <c r="B1340" s="86">
        <v>407.80083622024648</v>
      </c>
      <c r="C1340" s="86">
        <v>399.70523165505341</v>
      </c>
      <c r="D1340" s="86">
        <v>407.20984770621732</v>
      </c>
      <c r="E1340" s="86">
        <v>8017758.6154681565</v>
      </c>
      <c r="F1340" s="86" t="s">
        <v>1388</v>
      </c>
      <c r="G1340" s="25">
        <f t="shared" si="39"/>
        <v>-1.6102651523877465E-2</v>
      </c>
      <c r="I1340" s="86">
        <v>324.09667257786504</v>
      </c>
      <c r="J1340" s="86">
        <v>326.03141913085187</v>
      </c>
      <c r="K1340" s="86">
        <v>319.60593057873035</v>
      </c>
      <c r="L1340" s="86">
        <v>321.32767751120491</v>
      </c>
      <c r="M1340" s="86">
        <v>1401664.469081704</v>
      </c>
      <c r="N1340" s="86" t="s">
        <v>1388</v>
      </c>
      <c r="O1340" s="25">
        <f t="shared" si="40"/>
        <v>8.6173562392974912E-3</v>
      </c>
    </row>
    <row r="1341" spans="1:15">
      <c r="A1341" s="86">
        <v>406.25300915969393</v>
      </c>
      <c r="B1341" s="86">
        <v>408.10102086229307</v>
      </c>
      <c r="C1341" s="86">
        <v>404.44252053735062</v>
      </c>
      <c r="D1341" s="86">
        <v>406.71266689282771</v>
      </c>
      <c r="E1341" s="86">
        <v>8816261.2915738337</v>
      </c>
      <c r="F1341" s="86" t="s">
        <v>1389</v>
      </c>
      <c r="G1341" s="25">
        <f t="shared" si="39"/>
        <v>-1.1301780607066991E-3</v>
      </c>
      <c r="I1341" s="86">
        <v>320.65317871291592</v>
      </c>
      <c r="J1341" s="86">
        <v>324.96198353619627</v>
      </c>
      <c r="K1341" s="86">
        <v>319.01130663813348</v>
      </c>
      <c r="L1341" s="86">
        <v>322.49917542402261</v>
      </c>
      <c r="M1341" s="86">
        <v>1664389.4442032641</v>
      </c>
      <c r="N1341" s="86" t="s">
        <v>1389</v>
      </c>
      <c r="O1341" s="25">
        <f t="shared" si="40"/>
        <v>-5.7240354449885622E-3</v>
      </c>
    </row>
    <row r="1342" spans="1:15">
      <c r="A1342" s="86">
        <v>405.04288982144374</v>
      </c>
      <c r="B1342" s="86">
        <v>405.20236291253099</v>
      </c>
      <c r="C1342" s="86">
        <v>398.4763507766753</v>
      </c>
      <c r="D1342" s="86">
        <v>401.19677409522222</v>
      </c>
      <c r="E1342" s="86">
        <v>7763160.1140959682</v>
      </c>
      <c r="F1342" s="86" t="s">
        <v>1390</v>
      </c>
      <c r="G1342" s="25">
        <f t="shared" si="39"/>
        <v>9.5866068088290568E-3</v>
      </c>
      <c r="I1342" s="86">
        <v>323.1736742223116</v>
      </c>
      <c r="J1342" s="86">
        <v>323.97055905255331</v>
      </c>
      <c r="K1342" s="86">
        <v>320.62655376035184</v>
      </c>
      <c r="L1342" s="86">
        <v>323.05829942786744</v>
      </c>
      <c r="M1342" s="86">
        <v>1271139.1661110707</v>
      </c>
      <c r="N1342" s="86" t="s">
        <v>1390</v>
      </c>
      <c r="O1342" s="25">
        <f t="shared" si="40"/>
        <v>3.5713304579543248E-4</v>
      </c>
    </row>
    <row r="1343" spans="1:15">
      <c r="A1343" s="86">
        <v>401.52510104746062</v>
      </c>
      <c r="B1343" s="86">
        <v>401.67519336848392</v>
      </c>
      <c r="C1343" s="86">
        <v>393.77658497463392</v>
      </c>
      <c r="D1343" s="86">
        <v>399.0391969805126</v>
      </c>
      <c r="E1343" s="86">
        <v>11173425.98586309</v>
      </c>
      <c r="F1343" s="86" t="s">
        <v>1391</v>
      </c>
      <c r="G1343" s="25">
        <f t="shared" si="39"/>
        <v>6.2297240114721486E-3</v>
      </c>
      <c r="I1343" s="86">
        <v>322.38380062957845</v>
      </c>
      <c r="J1343" s="86">
        <v>327.89516581033462</v>
      </c>
      <c r="K1343" s="86">
        <v>320.75080353898409</v>
      </c>
      <c r="L1343" s="86">
        <v>322.16192602487814</v>
      </c>
      <c r="M1343" s="86">
        <v>2692834.0934148976</v>
      </c>
      <c r="N1343" s="86" t="s">
        <v>1391</v>
      </c>
      <c r="O1343" s="25">
        <f t="shared" si="40"/>
        <v>6.8870523415975882E-4</v>
      </c>
    </row>
    <row r="1344" spans="1:15">
      <c r="A1344" s="86">
        <v>402.0504241710421</v>
      </c>
      <c r="B1344" s="86">
        <v>404.64889747875765</v>
      </c>
      <c r="C1344" s="86">
        <v>400.7464971321524</v>
      </c>
      <c r="D1344" s="86">
        <v>403.57010892140283</v>
      </c>
      <c r="E1344" s="86">
        <v>6563998.4329858078</v>
      </c>
      <c r="F1344" s="86" t="s">
        <v>1392</v>
      </c>
      <c r="G1344" s="25">
        <f t="shared" si="39"/>
        <v>-3.7656028451222845E-3</v>
      </c>
      <c r="I1344" s="86">
        <v>319.62368054710635</v>
      </c>
      <c r="J1344" s="86">
        <v>322.15305104069012</v>
      </c>
      <c r="K1344" s="86">
        <v>317.85755869369171</v>
      </c>
      <c r="L1344" s="86">
        <v>318.68293222317698</v>
      </c>
      <c r="M1344" s="86">
        <v>1841859.0561635082</v>
      </c>
      <c r="N1344" s="86" t="s">
        <v>1392</v>
      </c>
      <c r="O1344" s="25">
        <f t="shared" si="40"/>
        <v>2.9519884148379028E-3</v>
      </c>
    </row>
    <row r="1345" spans="1:15">
      <c r="A1345" s="86">
        <v>403.44815891057141</v>
      </c>
      <c r="B1345" s="86">
        <v>406.02787067815899</v>
      </c>
      <c r="C1345" s="86">
        <v>401.40315103662925</v>
      </c>
      <c r="D1345" s="86">
        <v>403.56072815133888</v>
      </c>
      <c r="E1345" s="86">
        <v>8497753.3247832768</v>
      </c>
      <c r="F1345" s="86" t="s">
        <v>1393</v>
      </c>
      <c r="G1345" s="25">
        <f t="shared" si="39"/>
        <v>-2.7894002789408123E-4</v>
      </c>
      <c r="I1345" s="86">
        <v>317.72443393087156</v>
      </c>
      <c r="J1345" s="86">
        <v>320.59992880778782</v>
      </c>
      <c r="K1345" s="86">
        <v>317.32505964241096</v>
      </c>
      <c r="L1345" s="86">
        <v>319.49943076847421</v>
      </c>
      <c r="M1345" s="86">
        <v>1542533.4524528037</v>
      </c>
      <c r="N1345" s="86" t="s">
        <v>1393</v>
      </c>
      <c r="O1345" s="25">
        <f t="shared" si="40"/>
        <v>-5.5555555555556468E-3</v>
      </c>
    </row>
    <row r="1346" spans="1:15">
      <c r="A1346" s="86">
        <v>403.99224357428085</v>
      </c>
      <c r="B1346" s="86">
        <v>412.20041738024133</v>
      </c>
      <c r="C1346" s="86">
        <v>403.86560317841742</v>
      </c>
      <c r="D1346" s="86">
        <v>411.60942886621211</v>
      </c>
      <c r="E1346" s="86">
        <v>8037300.7211535312</v>
      </c>
      <c r="F1346" s="86" t="s">
        <v>1394</v>
      </c>
      <c r="G1346" s="25">
        <f t="shared" si="39"/>
        <v>-1.8505857149368476E-2</v>
      </c>
      <c r="I1346" s="86">
        <v>317.84868370950375</v>
      </c>
      <c r="J1346" s="86">
        <v>323.04942444367947</v>
      </c>
      <c r="K1346" s="86">
        <v>317.60905913642739</v>
      </c>
      <c r="L1346" s="86">
        <v>322.16192602487814</v>
      </c>
      <c r="M1346" s="86">
        <v>1895454.6446088871</v>
      </c>
      <c r="N1346" s="86" t="s">
        <v>1394</v>
      </c>
      <c r="O1346" s="25">
        <f t="shared" si="40"/>
        <v>-1.3388429752066111E-2</v>
      </c>
    </row>
    <row r="1347" spans="1:15">
      <c r="A1347" s="86">
        <v>411.88147119806683</v>
      </c>
      <c r="B1347" s="86">
        <v>413.93585984207294</v>
      </c>
      <c r="C1347" s="86">
        <v>410.14602873623522</v>
      </c>
      <c r="D1347" s="86">
        <v>413.297967477724</v>
      </c>
      <c r="E1347" s="86">
        <v>6675610.8051963877</v>
      </c>
      <c r="F1347" s="86" t="s">
        <v>1395</v>
      </c>
      <c r="G1347" s="25">
        <f t="shared" si="39"/>
        <v>-3.4273003767759658E-3</v>
      </c>
      <c r="I1347" s="86">
        <v>321.26555262188884</v>
      </c>
      <c r="J1347" s="86">
        <v>322.64117517103085</v>
      </c>
      <c r="K1347" s="86">
        <v>315.24831334241588</v>
      </c>
      <c r="L1347" s="86">
        <v>315.53231283643225</v>
      </c>
      <c r="M1347" s="86">
        <v>1533657.943682164</v>
      </c>
      <c r="N1347" s="86" t="s">
        <v>1395</v>
      </c>
      <c r="O1347" s="25">
        <f t="shared" si="40"/>
        <v>1.8170055972773325E-2</v>
      </c>
    </row>
    <row r="1348" spans="1:15">
      <c r="A1348" s="86">
        <v>412.05032505921804</v>
      </c>
      <c r="B1348" s="86">
        <v>412.06908659934595</v>
      </c>
      <c r="C1348" s="86">
        <v>408.66386706613031</v>
      </c>
      <c r="D1348" s="86">
        <v>410.81206341077598</v>
      </c>
      <c r="E1348" s="86">
        <v>6414508.5733645409</v>
      </c>
      <c r="F1348" s="86" t="s">
        <v>1396</v>
      </c>
      <c r="G1348" s="25">
        <f t="shared" si="39"/>
        <v>3.0141803484575735E-3</v>
      </c>
      <c r="I1348" s="86">
        <v>314.49393968643477</v>
      </c>
      <c r="J1348" s="86">
        <v>316.47306116036168</v>
      </c>
      <c r="K1348" s="86">
        <v>313.31356678942899</v>
      </c>
      <c r="L1348" s="86">
        <v>314.7779391804512</v>
      </c>
      <c r="M1348" s="86">
        <v>1359031.1536881917</v>
      </c>
      <c r="N1348" s="86" t="s">
        <v>1396</v>
      </c>
      <c r="O1348" s="25">
        <f t="shared" si="40"/>
        <v>-9.0222172098797238E-4</v>
      </c>
    </row>
    <row r="1349" spans="1:15">
      <c r="A1349" s="86">
        <v>409.53627868207815</v>
      </c>
      <c r="B1349" s="86">
        <v>411.23419806365393</v>
      </c>
      <c r="C1349" s="86">
        <v>409.36742482092694</v>
      </c>
      <c r="D1349" s="86">
        <v>410.15540950629918</v>
      </c>
      <c r="E1349" s="86">
        <v>5527912.9161532586</v>
      </c>
      <c r="F1349" s="86" t="s">
        <v>1397</v>
      </c>
      <c r="G1349" s="25">
        <f t="shared" si="39"/>
        <v>-1.5095030075703564E-3</v>
      </c>
      <c r="I1349" s="86">
        <v>315.42581302617617</v>
      </c>
      <c r="J1349" s="86">
        <v>316.89018541719832</v>
      </c>
      <c r="K1349" s="86">
        <v>312.00450662169709</v>
      </c>
      <c r="L1349" s="86">
        <v>313.43781656806118</v>
      </c>
      <c r="M1349" s="86">
        <v>999631.07674968091</v>
      </c>
      <c r="N1349" s="86" t="s">
        <v>1397</v>
      </c>
      <c r="O1349" s="25">
        <f t="shared" si="40"/>
        <v>6.3425545771160774E-3</v>
      </c>
    </row>
    <row r="1350" spans="1:15">
      <c r="A1350" s="86">
        <v>410.66197108975268</v>
      </c>
      <c r="B1350" s="86">
        <v>413.09159053631703</v>
      </c>
      <c r="C1350" s="86">
        <v>410.23983643687473</v>
      </c>
      <c r="D1350" s="86">
        <v>412.18165584011342</v>
      </c>
      <c r="E1350" s="86">
        <v>3999491.4856896615</v>
      </c>
      <c r="F1350" s="86" t="s">
        <v>1398</v>
      </c>
      <c r="G1350" s="25">
        <f t="shared" si="39"/>
        <v>-3.6869296069552693E-3</v>
      </c>
      <c r="I1350" s="86">
        <v>313.80169091976973</v>
      </c>
      <c r="J1350" s="86">
        <v>317.57355919967534</v>
      </c>
      <c r="K1350" s="86">
        <v>313.73956603045366</v>
      </c>
      <c r="L1350" s="86">
        <v>315.06193867446763</v>
      </c>
      <c r="M1350" s="86">
        <v>877316.49263288174</v>
      </c>
      <c r="N1350" s="86" t="s">
        <v>1398</v>
      </c>
      <c r="O1350" s="25">
        <f t="shared" si="40"/>
        <v>-4.0000000000001146E-3</v>
      </c>
    </row>
    <row r="1351" spans="1:15">
      <c r="A1351" s="86">
        <v>411.8251865776831</v>
      </c>
      <c r="B1351" s="86">
        <v>412.70697896369489</v>
      </c>
      <c r="C1351" s="86">
        <v>410.44621337828175</v>
      </c>
      <c r="D1351" s="86">
        <v>411.34676730442141</v>
      </c>
      <c r="E1351" s="86">
        <v>4900115.8419419397</v>
      </c>
      <c r="F1351" s="86" t="s">
        <v>1399</v>
      </c>
      <c r="G1351" s="25">
        <f t="shared" si="39"/>
        <v>1.1630558722919293E-3</v>
      </c>
      <c r="I1351" s="86">
        <v>314.41406482874265</v>
      </c>
      <c r="J1351" s="86">
        <v>315.50568788386823</v>
      </c>
      <c r="K1351" s="86">
        <v>313.01181732703657</v>
      </c>
      <c r="L1351" s="86">
        <v>313.67744114113754</v>
      </c>
      <c r="M1351" s="86">
        <v>869653.38038848399</v>
      </c>
      <c r="N1351" s="86" t="s">
        <v>1399</v>
      </c>
      <c r="O1351" s="25">
        <f t="shared" si="40"/>
        <v>2.3483476686283478E-3</v>
      </c>
    </row>
    <row r="1352" spans="1:15">
      <c r="A1352" s="86">
        <v>411.32800576429355</v>
      </c>
      <c r="B1352" s="86">
        <v>412.93211744522978</v>
      </c>
      <c r="C1352" s="86">
        <v>410.55409223401722</v>
      </c>
      <c r="D1352" s="86">
        <v>412.07846736940991</v>
      </c>
      <c r="E1352" s="86">
        <v>5187041.1137106456</v>
      </c>
      <c r="F1352" s="86" t="s">
        <v>1400</v>
      </c>
      <c r="G1352" s="25">
        <f t="shared" si="39"/>
        <v>-1.8211619012928892E-3</v>
      </c>
      <c r="I1352" s="86">
        <v>313.95256565096594</v>
      </c>
      <c r="J1352" s="86">
        <v>315.21281340566384</v>
      </c>
      <c r="K1352" s="86">
        <v>310.19081485303468</v>
      </c>
      <c r="L1352" s="86">
        <v>310.67769648558908</v>
      </c>
      <c r="M1352" s="86">
        <v>932655.18277537636</v>
      </c>
      <c r="N1352" s="86" t="s">
        <v>1400</v>
      </c>
      <c r="O1352" s="25">
        <f t="shared" si="40"/>
        <v>1.054105010569617E-2</v>
      </c>
    </row>
    <row r="1353" spans="1:15">
      <c r="A1353" s="86">
        <v>411.63757117640404</v>
      </c>
      <c r="B1353" s="86">
        <v>411.64695194646799</v>
      </c>
      <c r="C1353" s="86">
        <v>407.07851692532194</v>
      </c>
      <c r="D1353" s="86">
        <v>407.10665923551386</v>
      </c>
      <c r="E1353" s="86">
        <v>5315466.6045591114</v>
      </c>
      <c r="F1353" s="86" t="s">
        <v>1401</v>
      </c>
      <c r="G1353" s="25">
        <f t="shared" si="39"/>
        <v>1.1129545140329045E-2</v>
      </c>
      <c r="I1353" s="86">
        <v>310.87294613772536</v>
      </c>
      <c r="J1353" s="86">
        <v>311.34332029969011</v>
      </c>
      <c r="K1353" s="86">
        <v>307.96195132405705</v>
      </c>
      <c r="L1353" s="86">
        <v>308.0507011659372</v>
      </c>
      <c r="M1353" s="86">
        <v>1088456.0237354715</v>
      </c>
      <c r="N1353" s="86" t="s">
        <v>1401</v>
      </c>
      <c r="O1353" s="25">
        <f t="shared" si="40"/>
        <v>9.1616248919619281E-3</v>
      </c>
    </row>
    <row r="1354" spans="1:15">
      <c r="A1354" s="86">
        <v>405.84963604694383</v>
      </c>
      <c r="B1354" s="86">
        <v>407.2157575913576</v>
      </c>
      <c r="C1354" s="86">
        <v>404.18923974562387</v>
      </c>
      <c r="D1354" s="86">
        <v>404.22676282587969</v>
      </c>
      <c r="E1354" s="86">
        <v>5364894.3164461805</v>
      </c>
      <c r="F1354" s="86" t="s">
        <v>1402</v>
      </c>
      <c r="G1354" s="25">
        <f t="shared" si="39"/>
        <v>4.0147594625326022E-3</v>
      </c>
      <c r="I1354" s="86">
        <v>307.97970129243305</v>
      </c>
      <c r="J1354" s="86">
        <v>309.13344923687481</v>
      </c>
      <c r="K1354" s="86">
        <v>305.10420641551679</v>
      </c>
      <c r="L1354" s="86">
        <v>305.10420641551679</v>
      </c>
      <c r="M1354" s="86">
        <v>1195799.3135732953</v>
      </c>
      <c r="N1354" s="86" t="s">
        <v>1402</v>
      </c>
      <c r="O1354" s="25">
        <f t="shared" si="40"/>
        <v>9.4246320321136334E-3</v>
      </c>
    </row>
    <row r="1355" spans="1:15">
      <c r="A1355" s="86">
        <v>403.3637319799958</v>
      </c>
      <c r="B1355" s="86">
        <v>403.45753968063536</v>
      </c>
      <c r="C1355" s="86">
        <v>398.98291236012886</v>
      </c>
      <c r="D1355" s="86">
        <v>399.10486237096029</v>
      </c>
      <c r="E1355" s="86">
        <v>5321751.8028528588</v>
      </c>
      <c r="F1355" s="86" t="s">
        <v>1403</v>
      </c>
      <c r="G1355" s="25">
        <f t="shared" si="39"/>
        <v>1.0671054177929351E-2</v>
      </c>
      <c r="I1355" s="86">
        <v>304.53620742748399</v>
      </c>
      <c r="J1355" s="86">
        <v>305.61008051423357</v>
      </c>
      <c r="K1355" s="86">
        <v>302.66358576381316</v>
      </c>
      <c r="L1355" s="86">
        <v>302.77896055825738</v>
      </c>
      <c r="M1355" s="86">
        <v>1477756.9990168116</v>
      </c>
      <c r="N1355" s="86" t="s">
        <v>1403</v>
      </c>
      <c r="O1355" s="25">
        <f t="shared" si="40"/>
        <v>5.8037284558565272E-3</v>
      </c>
    </row>
    <row r="1356" spans="1:15">
      <c r="A1356" s="86">
        <v>399.33000085249523</v>
      </c>
      <c r="B1356" s="86">
        <v>399.48009317351853</v>
      </c>
      <c r="C1356" s="86">
        <v>393.54206572303502</v>
      </c>
      <c r="D1356" s="86">
        <v>395.54016974665745</v>
      </c>
      <c r="E1356" s="86">
        <v>7373235.8354853168</v>
      </c>
      <c r="F1356" s="86" t="s">
        <v>1404</v>
      </c>
      <c r="G1356" s="25">
        <f t="shared" si="39"/>
        <v>9.5814063796988425E-3</v>
      </c>
      <c r="I1356" s="86">
        <v>302.43283617492483</v>
      </c>
      <c r="J1356" s="86">
        <v>304.74920704799626</v>
      </c>
      <c r="K1356" s="86">
        <v>300.55133952706603</v>
      </c>
      <c r="L1356" s="86">
        <v>300.65783933732223</v>
      </c>
      <c r="M1356" s="86">
        <v>2650779.9339828058</v>
      </c>
      <c r="N1356" s="86" t="s">
        <v>1404</v>
      </c>
      <c r="O1356" s="25">
        <f t="shared" si="40"/>
        <v>5.9037104820378605E-3</v>
      </c>
    </row>
    <row r="1357" spans="1:15">
      <c r="A1357" s="86">
        <v>392.36674904748196</v>
      </c>
      <c r="B1357" s="86">
        <v>392.75930272685298</v>
      </c>
      <c r="C1357" s="86">
        <v>389.09546838605701</v>
      </c>
      <c r="D1357" s="86">
        <v>391.98354188428647</v>
      </c>
      <c r="E1357" s="86">
        <v>10595833.585523551</v>
      </c>
      <c r="F1357" s="86" t="s">
        <v>1405</v>
      </c>
      <c r="G1357" s="25">
        <f t="shared" si="39"/>
        <v>9.7761033882548531E-4</v>
      </c>
      <c r="I1357" s="86">
        <v>299.45971647194045</v>
      </c>
      <c r="J1357" s="86">
        <v>302.8055855108214</v>
      </c>
      <c r="K1357" s="86">
        <v>295.9097227967352</v>
      </c>
      <c r="L1357" s="86">
        <v>302.63696081124914</v>
      </c>
      <c r="M1357" s="86">
        <v>2608970.2820285899</v>
      </c>
      <c r="N1357" s="86" t="s">
        <v>1405</v>
      </c>
      <c r="O1357" s="25">
        <f t="shared" si="40"/>
        <v>-1.0498533724340064E-2</v>
      </c>
    </row>
    <row r="1358" spans="1:15">
      <c r="A1358" s="86">
        <v>396.65679997203637</v>
      </c>
      <c r="B1358" s="86">
        <v>400.76926708925629</v>
      </c>
      <c r="C1358" s="86">
        <v>395.04919918985041</v>
      </c>
      <c r="D1358" s="86">
        <v>398.02139133365938</v>
      </c>
      <c r="E1358" s="86">
        <v>9504558.5255459677</v>
      </c>
      <c r="F1358" s="86" t="s">
        <v>1406</v>
      </c>
      <c r="G1358" s="25">
        <f t="shared" si="39"/>
        <v>-3.4284372431608867E-3</v>
      </c>
      <c r="I1358" s="86">
        <v>305.42370584628526</v>
      </c>
      <c r="J1358" s="86">
        <v>308.09951357897125</v>
      </c>
      <c r="K1358" s="86">
        <v>304.3409577753477</v>
      </c>
      <c r="L1358" s="86">
        <v>306.67507861679519</v>
      </c>
      <c r="M1358" s="86">
        <v>3098073.1252610083</v>
      </c>
      <c r="N1358" s="86" t="s">
        <v>1406</v>
      </c>
      <c r="O1358" s="25">
        <f t="shared" si="40"/>
        <v>-4.0804514542036596E-3</v>
      </c>
    </row>
    <row r="1359" spans="1:15">
      <c r="A1359" s="86">
        <v>400.81599967013375</v>
      </c>
      <c r="B1359" s="86">
        <v>406.38652331073166</v>
      </c>
      <c r="C1359" s="86">
        <v>399.42336875998433</v>
      </c>
      <c r="D1359" s="86">
        <v>406.16220692251966</v>
      </c>
      <c r="E1359" s="86">
        <v>7660093.7349976199</v>
      </c>
      <c r="F1359" s="86" t="s">
        <v>1407</v>
      </c>
      <c r="G1359" s="25">
        <f t="shared" si="39"/>
        <v>-1.3162739322533201E-2</v>
      </c>
      <c r="I1359" s="86">
        <v>306.04495473944621</v>
      </c>
      <c r="J1359" s="86">
        <v>308.81394980610634</v>
      </c>
      <c r="K1359" s="86">
        <v>305.00658158944867</v>
      </c>
      <c r="L1359" s="86">
        <v>306.78157842705133</v>
      </c>
      <c r="M1359" s="86">
        <v>1336259.2821311739</v>
      </c>
      <c r="N1359" s="86" t="s">
        <v>1407</v>
      </c>
      <c r="O1359" s="25">
        <f t="shared" si="40"/>
        <v>-2.4011340295658767E-3</v>
      </c>
    </row>
    <row r="1360" spans="1:15">
      <c r="A1360" s="86">
        <v>404.4704874947542</v>
      </c>
      <c r="B1360" s="86">
        <v>404.68545736679073</v>
      </c>
      <c r="C1360" s="86">
        <v>395.98385080740042</v>
      </c>
      <c r="D1360" s="86">
        <v>398.26440075422232</v>
      </c>
      <c r="E1360" s="86">
        <v>7351672.9345761361</v>
      </c>
      <c r="F1360" s="86" t="s">
        <v>1408</v>
      </c>
      <c r="G1360" s="25">
        <f t="shared" si="39"/>
        <v>1.5582830724460761E-2</v>
      </c>
      <c r="I1360" s="86">
        <v>305.6722054035497</v>
      </c>
      <c r="J1360" s="86">
        <v>306.75495347448725</v>
      </c>
      <c r="K1360" s="86">
        <v>301.74946239244787</v>
      </c>
      <c r="L1360" s="86">
        <v>306.53307886978695</v>
      </c>
      <c r="M1360" s="86">
        <v>1362191.7226994452</v>
      </c>
      <c r="N1360" s="86" t="s">
        <v>1408</v>
      </c>
      <c r="O1360" s="25">
        <f t="shared" si="40"/>
        <v>-2.8084194678478225E-3</v>
      </c>
    </row>
    <row r="1361" spans="1:15">
      <c r="A1361" s="86">
        <v>398.24570772187133</v>
      </c>
      <c r="B1361" s="86">
        <v>400.25520869960383</v>
      </c>
      <c r="C1361" s="86">
        <v>395.54456454715188</v>
      </c>
      <c r="D1361" s="86">
        <v>397.97465875278186</v>
      </c>
      <c r="E1361" s="86">
        <v>6978991.8270281963</v>
      </c>
      <c r="F1361" s="86" t="s">
        <v>1409</v>
      </c>
      <c r="G1361" s="25">
        <f t="shared" si="39"/>
        <v>6.8107092531688451E-4</v>
      </c>
      <c r="I1361" s="86">
        <v>306.75495347448725</v>
      </c>
      <c r="J1361" s="86">
        <v>309.2044491103789</v>
      </c>
      <c r="K1361" s="86">
        <v>305.07758146295276</v>
      </c>
      <c r="L1361" s="86">
        <v>305.07758146295276</v>
      </c>
      <c r="M1361" s="86">
        <v>2012435.1347152498</v>
      </c>
      <c r="N1361" s="86" t="s">
        <v>1409</v>
      </c>
      <c r="O1361" s="25">
        <f t="shared" si="40"/>
        <v>5.4981818181818465E-3</v>
      </c>
    </row>
    <row r="1362" spans="1:15">
      <c r="A1362" s="86">
        <v>400.97489044511724</v>
      </c>
      <c r="B1362" s="86">
        <v>404.38636884917474</v>
      </c>
      <c r="C1362" s="86">
        <v>400.7318810245543</v>
      </c>
      <c r="D1362" s="86">
        <v>404.1059733639097</v>
      </c>
      <c r="E1362" s="86">
        <v>6338059.9666947229</v>
      </c>
      <c r="F1362" s="86" t="s">
        <v>1410</v>
      </c>
      <c r="G1362" s="25">
        <f t="shared" si="39"/>
        <v>-7.748172818947241E-3</v>
      </c>
      <c r="I1362" s="86">
        <v>306.67507861679519</v>
      </c>
      <c r="J1362" s="86">
        <v>307.78001414820278</v>
      </c>
      <c r="K1362" s="86">
        <v>303.08958500483783</v>
      </c>
      <c r="L1362" s="86">
        <v>305.65445543517365</v>
      </c>
      <c r="M1362" s="86">
        <v>1961387.1564425784</v>
      </c>
      <c r="N1362" s="86" t="s">
        <v>1410</v>
      </c>
      <c r="O1362" s="25">
        <f t="shared" si="40"/>
        <v>3.3391405342626523E-3</v>
      </c>
    </row>
    <row r="1363" spans="1:15">
      <c r="A1363" s="86">
        <v>404.56395265650923</v>
      </c>
      <c r="B1363" s="86">
        <v>404.66676433443968</v>
      </c>
      <c r="C1363" s="86">
        <v>400.91881134806425</v>
      </c>
      <c r="D1363" s="86">
        <v>403.24609387576373</v>
      </c>
      <c r="E1363" s="86">
        <v>6674466.5957488753</v>
      </c>
      <c r="F1363" s="86" t="s">
        <v>1411</v>
      </c>
      <c r="G1363" s="25">
        <f t="shared" si="39"/>
        <v>3.2681253476729566E-3</v>
      </c>
      <c r="I1363" s="86">
        <v>306.08045467619826</v>
      </c>
      <c r="J1363" s="86">
        <v>308.17495094456939</v>
      </c>
      <c r="K1363" s="86">
        <v>305.83195511893393</v>
      </c>
      <c r="L1363" s="86">
        <v>306.93245315824754</v>
      </c>
      <c r="M1363" s="86">
        <v>1330351.6659721711</v>
      </c>
      <c r="N1363" s="86" t="s">
        <v>1411</v>
      </c>
      <c r="O1363" s="25">
        <f t="shared" si="40"/>
        <v>-2.7758501040944239E-3</v>
      </c>
    </row>
    <row r="1364" spans="1:15">
      <c r="A1364" s="86">
        <v>400.74122754072977</v>
      </c>
      <c r="B1364" s="86">
        <v>403.1339356816577</v>
      </c>
      <c r="C1364" s="86">
        <v>400.60102979809727</v>
      </c>
      <c r="D1364" s="86">
        <v>402.33013529056473</v>
      </c>
      <c r="E1364" s="86">
        <v>5387490.8098907014</v>
      </c>
      <c r="F1364" s="86" t="s">
        <v>1412</v>
      </c>
      <c r="G1364" s="25">
        <f t="shared" si="39"/>
        <v>-3.9492635784974528E-3</v>
      </c>
      <c r="I1364" s="86">
        <v>304.9444567001326</v>
      </c>
      <c r="J1364" s="86">
        <v>306.28457931252257</v>
      </c>
      <c r="K1364" s="86">
        <v>300.21409012792157</v>
      </c>
      <c r="L1364" s="86">
        <v>301.69621248731977</v>
      </c>
      <c r="M1364" s="86">
        <v>1793482.6319463383</v>
      </c>
      <c r="N1364" s="86" t="s">
        <v>1412</v>
      </c>
      <c r="O1364" s="25">
        <f t="shared" si="40"/>
        <v>1.0766605871624479E-2</v>
      </c>
    </row>
    <row r="1365" spans="1:15">
      <c r="A1365" s="86">
        <v>403.48910329632673</v>
      </c>
      <c r="B1365" s="86">
        <v>403.90035000804869</v>
      </c>
      <c r="C1365" s="86">
        <v>401.18986031715377</v>
      </c>
      <c r="D1365" s="86">
        <v>402.7881145831642</v>
      </c>
      <c r="E1365" s="86">
        <v>4789530.0408663927</v>
      </c>
      <c r="F1365" s="86" t="s">
        <v>1413</v>
      </c>
      <c r="G1365" s="25">
        <f t="shared" si="39"/>
        <v>1.7403411068570573E-3</v>
      </c>
      <c r="I1365" s="86">
        <v>302.70796068475323</v>
      </c>
      <c r="J1365" s="86">
        <v>303.86170862919499</v>
      </c>
      <c r="K1365" s="86">
        <v>300.88361893506527</v>
      </c>
      <c r="L1365" s="86">
        <v>301.49208785099546</v>
      </c>
      <c r="M1365" s="86">
        <v>1551451.778201136</v>
      </c>
      <c r="N1365" s="86" t="s">
        <v>1413</v>
      </c>
      <c r="O1365" s="25">
        <f t="shared" si="40"/>
        <v>4.0328515498513351E-3</v>
      </c>
    </row>
    <row r="1366" spans="1:15">
      <c r="A1366" s="86">
        <v>402.35817483909125</v>
      </c>
      <c r="B1366" s="86">
        <v>402.92831232579675</v>
      </c>
      <c r="C1366" s="86">
        <v>399.04016159678883</v>
      </c>
      <c r="D1366" s="86">
        <v>399.07754766149083</v>
      </c>
      <c r="E1366" s="86">
        <v>5062763.39884145</v>
      </c>
      <c r="F1366" s="86" t="s">
        <v>1414</v>
      </c>
      <c r="G1366" s="25">
        <f t="shared" si="39"/>
        <v>8.2205255515479525E-3</v>
      </c>
      <c r="I1366" s="86">
        <v>301.01283870484275</v>
      </c>
      <c r="J1366" s="86">
        <v>303.62208405611864</v>
      </c>
      <c r="K1366" s="86">
        <v>300.68446428988625</v>
      </c>
      <c r="L1366" s="86">
        <v>301.74946239244787</v>
      </c>
      <c r="M1366" s="86">
        <v>1736258.8680228002</v>
      </c>
      <c r="N1366" s="86" t="s">
        <v>1414</v>
      </c>
      <c r="O1366" s="25">
        <f t="shared" si="40"/>
        <v>-2.4411764705882799E-3</v>
      </c>
    </row>
    <row r="1367" spans="1:15">
      <c r="A1367" s="86">
        <v>394.2547453149329</v>
      </c>
      <c r="B1367" s="86">
        <v>395.97450429122489</v>
      </c>
      <c r="C1367" s="86">
        <v>389.74972451834202</v>
      </c>
      <c r="D1367" s="86">
        <v>392.00223491663746</v>
      </c>
      <c r="E1367" s="86">
        <v>7799155.1751743387</v>
      </c>
      <c r="F1367" s="86" t="s">
        <v>1415</v>
      </c>
      <c r="G1367" s="25">
        <f t="shared" si="39"/>
        <v>5.7461672349252702E-3</v>
      </c>
      <c r="I1367" s="86">
        <v>301.71396245569576</v>
      </c>
      <c r="J1367" s="86">
        <v>303.88833358175901</v>
      </c>
      <c r="K1367" s="86">
        <v>299.30884174074424</v>
      </c>
      <c r="L1367" s="86">
        <v>299.30884174074424</v>
      </c>
      <c r="M1367" s="86">
        <v>2193717.7112152739</v>
      </c>
      <c r="N1367" s="86" t="s">
        <v>1415</v>
      </c>
      <c r="O1367" s="25">
        <f t="shared" si="40"/>
        <v>8.0355819125277339E-3</v>
      </c>
    </row>
    <row r="1368" spans="1:15">
      <c r="A1368" s="86">
        <v>389.600180259534</v>
      </c>
      <c r="B1368" s="86">
        <v>395.53521803097641</v>
      </c>
      <c r="C1368" s="86">
        <v>385.79614817610559</v>
      </c>
      <c r="D1368" s="86">
        <v>394.53514080019789</v>
      </c>
      <c r="E1368" s="86">
        <v>10944110.947791737</v>
      </c>
      <c r="F1368" s="86" t="s">
        <v>1416</v>
      </c>
      <c r="G1368" s="25">
        <f t="shared" si="39"/>
        <v>-1.2508291481095446E-2</v>
      </c>
      <c r="I1368" s="86">
        <v>296.25584718006769</v>
      </c>
      <c r="J1368" s="86">
        <v>296.75950253273743</v>
      </c>
      <c r="K1368" s="86">
        <v>293.17622766682712</v>
      </c>
      <c r="L1368" s="86">
        <v>294.07260106981647</v>
      </c>
      <c r="M1368" s="86">
        <v>1806666.8807879349</v>
      </c>
      <c r="N1368" s="86" t="s">
        <v>1416</v>
      </c>
      <c r="O1368" s="25">
        <f t="shared" si="40"/>
        <v>7.4241738343141517E-3</v>
      </c>
    </row>
    <row r="1369" spans="1:15">
      <c r="A1369" s="86">
        <v>393.07708427681996</v>
      </c>
      <c r="B1369" s="86">
        <v>394.47906170314491</v>
      </c>
      <c r="C1369" s="86">
        <v>386.97380921421853</v>
      </c>
      <c r="D1369" s="86">
        <v>387.33832334506309</v>
      </c>
      <c r="E1369" s="86">
        <v>11146048.222018844</v>
      </c>
      <c r="F1369" s="86" t="s">
        <v>1417</v>
      </c>
      <c r="G1369" s="25">
        <f t="shared" si="39"/>
        <v>1.4815887264128191E-2</v>
      </c>
      <c r="I1369" s="86">
        <v>293.34485236639932</v>
      </c>
      <c r="J1369" s="86">
        <v>296.34459702194783</v>
      </c>
      <c r="K1369" s="86">
        <v>291.39235584503643</v>
      </c>
      <c r="L1369" s="86">
        <v>292.87447820443469</v>
      </c>
      <c r="M1369" s="86">
        <v>2032914.044440574</v>
      </c>
      <c r="N1369" s="86" t="s">
        <v>1417</v>
      </c>
      <c r="O1369" s="25">
        <f t="shared" si="40"/>
        <v>1.6060606060603888E-3</v>
      </c>
    </row>
    <row r="1370" spans="1:15">
      <c r="A1370" s="86">
        <v>387.17008605390407</v>
      </c>
      <c r="B1370" s="86">
        <v>399.30298563164388</v>
      </c>
      <c r="C1370" s="86">
        <v>386.9177301171656</v>
      </c>
      <c r="D1370" s="86">
        <v>396.73157210144041</v>
      </c>
      <c r="E1370" s="86">
        <v>8955733.7117135897</v>
      </c>
      <c r="F1370" s="86" t="s">
        <v>1418</v>
      </c>
      <c r="G1370" s="25">
        <f t="shared" si="39"/>
        <v>-2.4100643154993384E-2</v>
      </c>
      <c r="I1370" s="86">
        <v>291.47223070272861</v>
      </c>
      <c r="J1370" s="86">
        <v>298.15509379630248</v>
      </c>
      <c r="K1370" s="86">
        <v>291.27698105059227</v>
      </c>
      <c r="L1370" s="86">
        <v>297.31197029844128</v>
      </c>
      <c r="M1370" s="86">
        <v>2534298.5996953328</v>
      </c>
      <c r="N1370" s="86" t="s">
        <v>1418</v>
      </c>
      <c r="O1370" s="25">
        <f t="shared" si="40"/>
        <v>-1.9641791044776147E-2</v>
      </c>
    </row>
    <row r="1371" spans="1:15">
      <c r="A1371" s="86">
        <v>391.67510685049496</v>
      </c>
      <c r="B1371" s="86">
        <v>398.75041959534832</v>
      </c>
      <c r="C1371" s="86">
        <v>391.27320665494847</v>
      </c>
      <c r="D1371" s="86">
        <v>397.04000713523186</v>
      </c>
      <c r="E1371" s="86">
        <v>9262962.6241855081</v>
      </c>
      <c r="F1371" s="86" t="s">
        <v>1419</v>
      </c>
      <c r="G1371" s="25">
        <f t="shared" si="39"/>
        <v>-1.3512241054614016E-2</v>
      </c>
      <c r="I1371" s="86">
        <v>295.82097295485505</v>
      </c>
      <c r="J1371" s="86">
        <v>300.2895274935197</v>
      </c>
      <c r="K1371" s="86">
        <v>295.56359841340264</v>
      </c>
      <c r="L1371" s="86">
        <v>299.26446681980417</v>
      </c>
      <c r="M1371" s="86">
        <v>3113455.6878783465</v>
      </c>
      <c r="N1371" s="86" t="s">
        <v>1419</v>
      </c>
      <c r="O1371" s="25">
        <f t="shared" si="40"/>
        <v>-1.1506524317912215E-2</v>
      </c>
    </row>
    <row r="1372" spans="1:15">
      <c r="A1372" s="86">
        <v>399.32055708205382</v>
      </c>
      <c r="B1372" s="86">
        <v>400.94685089659077</v>
      </c>
      <c r="C1372" s="86">
        <v>396.80634423084439</v>
      </c>
      <c r="D1372" s="86">
        <v>398.8251917247523</v>
      </c>
      <c r="E1372" s="86">
        <v>6741293.6346446378</v>
      </c>
      <c r="F1372" s="86" t="s">
        <v>1420</v>
      </c>
      <c r="G1372" s="25">
        <f t="shared" si="39"/>
        <v>1.242061353143864E-3</v>
      </c>
      <c r="I1372" s="86">
        <v>300.35608988097101</v>
      </c>
      <c r="J1372" s="86">
        <v>303.32241764493921</v>
      </c>
      <c r="K1372" s="86">
        <v>298.56925149496044</v>
      </c>
      <c r="L1372" s="86">
        <v>302.79428807271933</v>
      </c>
      <c r="M1372" s="86">
        <v>1695327.1452621226</v>
      </c>
      <c r="N1372" s="86" t="s">
        <v>1420</v>
      </c>
      <c r="O1372" s="25">
        <f t="shared" si="40"/>
        <v>-8.0523255813952366E-3</v>
      </c>
    </row>
    <row r="1373" spans="1:15">
      <c r="A1373" s="86">
        <v>394.55383383254889</v>
      </c>
      <c r="B1373" s="86">
        <v>398.64760791741782</v>
      </c>
      <c r="C1373" s="86">
        <v>393.39486582678688</v>
      </c>
      <c r="D1373" s="86">
        <v>397.40452126607636</v>
      </c>
      <c r="E1373" s="86">
        <v>8241014.9999960894</v>
      </c>
      <c r="F1373" s="86" t="s">
        <v>1421</v>
      </c>
      <c r="G1373" s="25">
        <f t="shared" si="39"/>
        <v>-7.173263717397016E-3</v>
      </c>
      <c r="I1373" s="86">
        <v>301.66761165198363</v>
      </c>
      <c r="J1373" s="86">
        <v>302.11652178837051</v>
      </c>
      <c r="K1373" s="86">
        <v>297.58340962681672</v>
      </c>
      <c r="L1373" s="86">
        <v>298.64847093079345</v>
      </c>
      <c r="M1373" s="86">
        <v>1226817.1185276345</v>
      </c>
      <c r="N1373" s="86" t="s">
        <v>1421</v>
      </c>
      <c r="O1373" s="25">
        <f t="shared" si="40"/>
        <v>1.0109345987208584E-2</v>
      </c>
    </row>
    <row r="1374" spans="1:15">
      <c r="A1374" s="86">
        <v>403.33021252134319</v>
      </c>
      <c r="B1374" s="86">
        <v>403.53583587720425</v>
      </c>
      <c r="C1374" s="86">
        <v>399.7598433423023</v>
      </c>
      <c r="D1374" s="86">
        <v>400.55429721721981</v>
      </c>
      <c r="E1374" s="86">
        <v>4889081.5724241119</v>
      </c>
      <c r="F1374" s="86" t="s">
        <v>1422</v>
      </c>
      <c r="G1374" s="25">
        <f t="shared" ref="G1374:G1437" si="41">A1374/D1374-1</f>
        <v>6.930184804927908E-3</v>
      </c>
      <c r="I1374" s="86">
        <v>302.42459737216541</v>
      </c>
      <c r="J1374" s="86">
        <v>305.43493593381862</v>
      </c>
      <c r="K1374" s="86">
        <v>301.95808291670454</v>
      </c>
      <c r="L1374" s="86">
        <v>303.55127379290116</v>
      </c>
      <c r="M1374" s="86">
        <v>1288999.5861027101</v>
      </c>
      <c r="N1374" s="86" t="s">
        <v>1422</v>
      </c>
      <c r="O1374" s="25">
        <f t="shared" ref="O1374:O1437" si="42">I1374/L1374-1</f>
        <v>-3.7116511047963208E-3</v>
      </c>
    </row>
    <row r="1375" spans="1:15">
      <c r="A1375" s="86">
        <v>402.33948180674025</v>
      </c>
      <c r="B1375" s="86">
        <v>403.10589613313124</v>
      </c>
      <c r="C1375" s="86">
        <v>399.13362675854381</v>
      </c>
      <c r="D1375" s="86">
        <v>401.49829535094528</v>
      </c>
      <c r="E1375" s="86">
        <v>7276840.7739221584</v>
      </c>
      <c r="F1375" s="86" t="s">
        <v>1423</v>
      </c>
      <c r="G1375" s="25">
        <f t="shared" si="41"/>
        <v>2.0951183741881874E-3</v>
      </c>
      <c r="I1375" s="86">
        <v>303.83294289808504</v>
      </c>
      <c r="J1375" s="86">
        <v>306.39437132335132</v>
      </c>
      <c r="K1375" s="86">
        <v>303.38403276169817</v>
      </c>
      <c r="L1375" s="86">
        <v>303.65689970734513</v>
      </c>
      <c r="M1375" s="86">
        <v>1377851.6452721313</v>
      </c>
      <c r="N1375" s="86" t="s">
        <v>1423</v>
      </c>
      <c r="O1375" s="25">
        <f t="shared" si="42"/>
        <v>5.7974375326086403E-4</v>
      </c>
    </row>
    <row r="1376" spans="1:15">
      <c r="A1376" s="86">
        <v>401.81607690091226</v>
      </c>
      <c r="B1376" s="86">
        <v>406.95666079743717</v>
      </c>
      <c r="C1376" s="86">
        <v>401.63849309357778</v>
      </c>
      <c r="D1376" s="86">
        <v>404.63872478591321</v>
      </c>
      <c r="E1376" s="86">
        <v>5216840.0593810109</v>
      </c>
      <c r="F1376" s="86" t="s">
        <v>1424</v>
      </c>
      <c r="G1376" s="25">
        <f t="shared" si="41"/>
        <v>-6.9757235580809596E-3</v>
      </c>
      <c r="I1376" s="86">
        <v>303.65689970734513</v>
      </c>
      <c r="J1376" s="86">
        <v>305.95426334650148</v>
      </c>
      <c r="K1376" s="86">
        <v>300.57614386939593</v>
      </c>
      <c r="L1376" s="86">
        <v>300.79619785782086</v>
      </c>
      <c r="M1376" s="86">
        <v>1396983.3139600451</v>
      </c>
      <c r="N1376" s="86" t="s">
        <v>1424</v>
      </c>
      <c r="O1376" s="25">
        <f t="shared" si="42"/>
        <v>9.5104322125656449E-3</v>
      </c>
    </row>
    <row r="1377" spans="1:15">
      <c r="A1377" s="86">
        <v>402.88157974491924</v>
      </c>
      <c r="B1377" s="86">
        <v>404.6948038829662</v>
      </c>
      <c r="C1377" s="86">
        <v>402.25517623083721</v>
      </c>
      <c r="D1377" s="86">
        <v>403.64799407131022</v>
      </c>
      <c r="E1377" s="86">
        <v>5228177.9737450583</v>
      </c>
      <c r="F1377" s="86" t="s">
        <v>1425</v>
      </c>
      <c r="G1377" s="25">
        <f t="shared" si="41"/>
        <v>-1.8987195220784292E-3</v>
      </c>
      <c r="I1377" s="86">
        <v>300.54093523124794</v>
      </c>
      <c r="J1377" s="86">
        <v>301.91407211901958</v>
      </c>
      <c r="K1377" s="86">
        <v>298.70128388801544</v>
      </c>
      <c r="L1377" s="86">
        <v>300.04801429717605</v>
      </c>
      <c r="M1377" s="86">
        <v>1620780.6663847566</v>
      </c>
      <c r="N1377" s="86" t="s">
        <v>1425</v>
      </c>
      <c r="O1377" s="25">
        <f t="shared" si="42"/>
        <v>1.6428068528515638E-3</v>
      </c>
    </row>
    <row r="1378" spans="1:15">
      <c r="A1378" s="86">
        <v>403.63864755513475</v>
      </c>
      <c r="B1378" s="86">
        <v>403.92838955657521</v>
      </c>
      <c r="C1378" s="86">
        <v>400.77861360543181</v>
      </c>
      <c r="D1378" s="86">
        <v>403.24609387576373</v>
      </c>
      <c r="E1378" s="86">
        <v>5068009.203703857</v>
      </c>
      <c r="F1378" s="86" t="s">
        <v>1426</v>
      </c>
      <c r="G1378" s="25">
        <f t="shared" si="41"/>
        <v>9.7348414611531098E-4</v>
      </c>
      <c r="I1378" s="86">
        <v>301.10427344161576</v>
      </c>
      <c r="J1378" s="86">
        <v>302.01089587392653</v>
      </c>
      <c r="K1378" s="86">
        <v>299.45826960819721</v>
      </c>
      <c r="L1378" s="86">
        <v>301.66761165198363</v>
      </c>
      <c r="M1378" s="86">
        <v>1626278.1809204344</v>
      </c>
      <c r="N1378" s="86" t="s">
        <v>1426</v>
      </c>
      <c r="O1378" s="25">
        <f t="shared" si="42"/>
        <v>-1.8674136321196189E-3</v>
      </c>
    </row>
    <row r="1379" spans="1:15">
      <c r="A1379" s="86">
        <v>402.24601664498527</v>
      </c>
      <c r="B1379" s="86">
        <v>403.19936129488622</v>
      </c>
      <c r="C1379" s="86">
        <v>401.75065128768375</v>
      </c>
      <c r="D1379" s="86">
        <v>403.05916355225372</v>
      </c>
      <c r="E1379" s="86">
        <v>4028084.8278729618</v>
      </c>
      <c r="F1379" s="86" t="s">
        <v>1427</v>
      </c>
      <c r="G1379" s="25">
        <f t="shared" si="41"/>
        <v>-2.0174380855206842E-3</v>
      </c>
      <c r="I1379" s="86">
        <v>301.02505400578281</v>
      </c>
      <c r="J1379" s="86">
        <v>302.39378981378593</v>
      </c>
      <c r="K1379" s="86">
        <v>298.81571196199639</v>
      </c>
      <c r="L1379" s="86">
        <v>298.81571196199639</v>
      </c>
      <c r="M1379" s="86">
        <v>1989412.9305878163</v>
      </c>
      <c r="N1379" s="86" t="s">
        <v>1427</v>
      </c>
      <c r="O1379" s="25">
        <f t="shared" si="42"/>
        <v>7.3936608931306491E-3</v>
      </c>
    </row>
    <row r="1380" spans="1:15">
      <c r="A1380" s="86">
        <v>403.21805432723727</v>
      </c>
      <c r="B1380" s="86">
        <v>404.32094323594617</v>
      </c>
      <c r="C1380" s="86">
        <v>401.40679295758713</v>
      </c>
      <c r="D1380" s="86">
        <v>401.45156277006777</v>
      </c>
      <c r="E1380" s="86">
        <v>3495417.9061539965</v>
      </c>
      <c r="F1380" s="86" t="s">
        <v>1428</v>
      </c>
      <c r="G1380" s="25">
        <f t="shared" si="41"/>
        <v>4.4002607561930418E-3</v>
      </c>
      <c r="I1380" s="86">
        <v>299.59910416078918</v>
      </c>
      <c r="J1380" s="86">
        <v>302.4774103293874</v>
      </c>
      <c r="K1380" s="86">
        <v>299.06217242903233</v>
      </c>
      <c r="L1380" s="86">
        <v>300.93703241041283</v>
      </c>
      <c r="M1380" s="86">
        <v>1485486.5950839086</v>
      </c>
      <c r="N1380" s="86" t="s">
        <v>1428</v>
      </c>
      <c r="O1380" s="25">
        <f t="shared" si="42"/>
        <v>-4.4458744040480891E-3</v>
      </c>
    </row>
    <row r="1381" spans="1:15">
      <c r="A1381" s="86">
        <v>401.68522567445524</v>
      </c>
      <c r="B1381" s="86">
        <v>402.83952042212951</v>
      </c>
      <c r="C1381" s="86">
        <v>400.63841586279926</v>
      </c>
      <c r="D1381" s="86">
        <v>402.7881145831642</v>
      </c>
      <c r="E1381" s="86">
        <v>3340588.0237863436</v>
      </c>
      <c r="F1381" s="86" t="s">
        <v>1429</v>
      </c>
      <c r="G1381" s="25">
        <f t="shared" si="41"/>
        <v>-2.7381366747881719E-3</v>
      </c>
      <c r="I1381" s="86">
        <v>300.08322293532405</v>
      </c>
      <c r="J1381" s="86">
        <v>300.72578058152487</v>
      </c>
      <c r="K1381" s="86">
        <v>298.77170116431142</v>
      </c>
      <c r="L1381" s="86">
        <v>298.8773270787554</v>
      </c>
      <c r="M1381" s="86">
        <v>1214374.7173714568</v>
      </c>
      <c r="N1381" s="86" t="s">
        <v>1429</v>
      </c>
      <c r="O1381" s="25">
        <f t="shared" si="42"/>
        <v>4.0347518774848101E-3</v>
      </c>
    </row>
    <row r="1382" spans="1:15">
      <c r="A1382" s="86">
        <v>401.49829535094528</v>
      </c>
      <c r="B1382" s="86">
        <v>402.05908632147526</v>
      </c>
      <c r="C1382" s="86">
        <v>398.84388475710335</v>
      </c>
      <c r="D1382" s="86">
        <v>399.71311076142484</v>
      </c>
      <c r="E1382" s="86">
        <v>3911077.5944326883</v>
      </c>
      <c r="F1382" s="86" t="s">
        <v>1430</v>
      </c>
      <c r="G1382" s="25">
        <f t="shared" si="41"/>
        <v>4.4661647102837154E-3</v>
      </c>
      <c r="I1382" s="86">
        <v>298.44602126144247</v>
      </c>
      <c r="J1382" s="86">
        <v>299.61670847986318</v>
      </c>
      <c r="K1382" s="86">
        <v>294.8987509680324</v>
      </c>
      <c r="L1382" s="86">
        <v>295.41807838071531</v>
      </c>
      <c r="M1382" s="86">
        <v>1247040.5647457789</v>
      </c>
      <c r="N1382" s="86" t="s">
        <v>1430</v>
      </c>
      <c r="O1382" s="25">
        <f t="shared" si="42"/>
        <v>1.0249687146177022E-2</v>
      </c>
    </row>
    <row r="1383" spans="1:15">
      <c r="A1383" s="86">
        <v>398.53544972331179</v>
      </c>
      <c r="B1383" s="86">
        <v>399.86265502023281</v>
      </c>
      <c r="C1383" s="86">
        <v>398.52610320713632</v>
      </c>
      <c r="D1383" s="86">
        <v>399.75049682612678</v>
      </c>
      <c r="E1383" s="86">
        <v>3888754.8384365118</v>
      </c>
      <c r="F1383" s="86" t="s">
        <v>1431</v>
      </c>
      <c r="G1383" s="25">
        <f t="shared" si="41"/>
        <v>-3.0395136778116338E-3</v>
      </c>
      <c r="I1383" s="86">
        <v>295.65573668821423</v>
      </c>
      <c r="J1383" s="86">
        <v>296.81762174709792</v>
      </c>
      <c r="K1383" s="86">
        <v>293.37597736813183</v>
      </c>
      <c r="L1383" s="86">
        <v>296.7560066303389</v>
      </c>
      <c r="M1383" s="86">
        <v>1382016.5322917211</v>
      </c>
      <c r="N1383" s="86" t="s">
        <v>1431</v>
      </c>
      <c r="O1383" s="25">
        <f t="shared" si="42"/>
        <v>-3.7076585394790751E-3</v>
      </c>
    </row>
    <row r="1384" spans="1:15">
      <c r="A1384" s="86">
        <v>398.40459849685482</v>
      </c>
      <c r="B1384" s="86">
        <v>401.64783960975331</v>
      </c>
      <c r="C1384" s="86">
        <v>397.04935365140733</v>
      </c>
      <c r="D1384" s="86">
        <v>400.11501095697128</v>
      </c>
      <c r="E1384" s="86">
        <v>6794679.3016280169</v>
      </c>
      <c r="F1384" s="86" t="s">
        <v>1432</v>
      </c>
      <c r="G1384" s="25">
        <f t="shared" si="41"/>
        <v>-4.274802027610991E-3</v>
      </c>
      <c r="I1384" s="86">
        <v>297.18731244765183</v>
      </c>
      <c r="J1384" s="86">
        <v>299.88957542551009</v>
      </c>
      <c r="K1384" s="86">
        <v>297.07288437367083</v>
      </c>
      <c r="L1384" s="86">
        <v>298.19075863486955</v>
      </c>
      <c r="M1384" s="86">
        <v>1441450.8106413775</v>
      </c>
      <c r="N1384" s="86" t="s">
        <v>1432</v>
      </c>
      <c r="O1384" s="25">
        <f t="shared" si="42"/>
        <v>-3.3651149747615516E-3</v>
      </c>
    </row>
    <row r="1385" spans="1:15">
      <c r="A1385" s="86">
        <v>401.63849309357778</v>
      </c>
      <c r="B1385" s="86">
        <v>403.53583587720425</v>
      </c>
      <c r="C1385" s="86">
        <v>400.34867386135875</v>
      </c>
      <c r="D1385" s="86">
        <v>403.35825206986971</v>
      </c>
      <c r="E1385" s="86">
        <v>5024357.6449477216</v>
      </c>
      <c r="F1385" s="86" t="s">
        <v>1433</v>
      </c>
      <c r="G1385" s="25">
        <f t="shared" si="41"/>
        <v>-4.2636018166650747E-3</v>
      </c>
      <c r="I1385" s="86">
        <v>297.66262906264973</v>
      </c>
      <c r="J1385" s="86">
        <v>301.03385616531978</v>
      </c>
      <c r="K1385" s="86">
        <v>296.7205339274048</v>
      </c>
      <c r="L1385" s="86">
        <v>300.48812227402595</v>
      </c>
      <c r="M1385" s="86">
        <v>2009973.7940031288</v>
      </c>
      <c r="N1385" s="86" t="s">
        <v>1433</v>
      </c>
      <c r="O1385" s="25">
        <f t="shared" si="42"/>
        <v>-9.4030113070477928E-3</v>
      </c>
    </row>
    <row r="1386" spans="1:15">
      <c r="A1386" s="86">
        <v>403.04981703607825</v>
      </c>
      <c r="B1386" s="86">
        <v>404.0872803315587</v>
      </c>
      <c r="C1386" s="86">
        <v>402.36752135526677</v>
      </c>
      <c r="D1386" s="86">
        <v>403.65734058748569</v>
      </c>
      <c r="E1386" s="86">
        <v>3757132.5337295695</v>
      </c>
      <c r="F1386" s="86" t="s">
        <v>1434</v>
      </c>
      <c r="G1386" s="25">
        <f t="shared" si="41"/>
        <v>-1.505047698434625E-3</v>
      </c>
      <c r="I1386" s="86">
        <v>300.84020865550582</v>
      </c>
      <c r="J1386" s="86">
        <v>301.93167643809352</v>
      </c>
      <c r="K1386" s="86">
        <v>297.14330164996682</v>
      </c>
      <c r="L1386" s="86">
        <v>300.70377518268236</v>
      </c>
      <c r="M1386" s="86">
        <v>1968842.978493792</v>
      </c>
      <c r="N1386" s="86" t="s">
        <v>1434</v>
      </c>
      <c r="O1386" s="25">
        <f t="shared" si="42"/>
        <v>4.5371386754489151E-4</v>
      </c>
    </row>
    <row r="1387" spans="1:15">
      <c r="A1387" s="86">
        <v>402.5637981949522</v>
      </c>
      <c r="B1387" s="86">
        <v>404.47983401092972</v>
      </c>
      <c r="C1387" s="86">
        <v>401.24593941420676</v>
      </c>
      <c r="D1387" s="86">
        <v>403.34890555369424</v>
      </c>
      <c r="E1387" s="86">
        <v>5288529.8727209177</v>
      </c>
      <c r="F1387" s="86" t="s">
        <v>1435</v>
      </c>
      <c r="G1387" s="25">
        <f t="shared" si="41"/>
        <v>-1.946472019464851E-3</v>
      </c>
      <c r="I1387" s="86">
        <v>299.17660050301328</v>
      </c>
      <c r="J1387" s="86">
        <v>299.73113655384412</v>
      </c>
      <c r="K1387" s="86">
        <v>296.06063602691614</v>
      </c>
      <c r="L1387" s="86">
        <v>296.58876559913597</v>
      </c>
      <c r="M1387" s="86">
        <v>2437232.5802353513</v>
      </c>
      <c r="N1387" s="86" t="s">
        <v>1435</v>
      </c>
      <c r="O1387" s="25">
        <f t="shared" si="42"/>
        <v>8.7253301676806228E-3</v>
      </c>
    </row>
    <row r="1388" spans="1:15">
      <c r="A1388" s="86">
        <v>401.1992068333293</v>
      </c>
      <c r="B1388" s="86">
        <v>401.31136502743527</v>
      </c>
      <c r="C1388" s="86">
        <v>399.60095256731881</v>
      </c>
      <c r="D1388" s="86">
        <v>399.89069456875933</v>
      </c>
      <c r="E1388" s="86">
        <v>4587039.6193592809</v>
      </c>
      <c r="F1388" s="86" t="s">
        <v>1436</v>
      </c>
      <c r="G1388" s="25">
        <f t="shared" si="41"/>
        <v>3.2721748276265394E-3</v>
      </c>
      <c r="I1388" s="86">
        <v>295.31245246627134</v>
      </c>
      <c r="J1388" s="86">
        <v>295.52335220877779</v>
      </c>
      <c r="K1388" s="86">
        <v>291.61554546073233</v>
      </c>
      <c r="L1388" s="86">
        <v>291.61554546073233</v>
      </c>
      <c r="M1388" s="86">
        <v>2099367.7656407291</v>
      </c>
      <c r="N1388" s="86" t="s">
        <v>1436</v>
      </c>
      <c r="O1388" s="25">
        <f t="shared" si="42"/>
        <v>1.2677331723513374E-2</v>
      </c>
    </row>
    <row r="1389" spans="1:15">
      <c r="A1389" s="86">
        <v>399.32990359822929</v>
      </c>
      <c r="B1389" s="86">
        <v>399.71311076142484</v>
      </c>
      <c r="C1389" s="86">
        <v>396.00254383975135</v>
      </c>
      <c r="D1389" s="86">
        <v>396.42313706764884</v>
      </c>
      <c r="E1389" s="86">
        <v>3812019.2947822851</v>
      </c>
      <c r="F1389" s="86" t="s">
        <v>1437</v>
      </c>
      <c r="G1389" s="25">
        <f t="shared" si="41"/>
        <v>7.3324845569859853E-3</v>
      </c>
      <c r="I1389" s="86">
        <v>291.6595562584173</v>
      </c>
      <c r="J1389" s="86">
        <v>293.19993417739192</v>
      </c>
      <c r="K1389" s="86">
        <v>285.39048219297683</v>
      </c>
      <c r="L1389" s="86">
        <v>286.51029292927365</v>
      </c>
      <c r="M1389" s="86">
        <v>2161567.274488389</v>
      </c>
      <c r="N1389" s="86" t="s">
        <v>1437</v>
      </c>
      <c r="O1389" s="25">
        <f t="shared" si="42"/>
        <v>1.7972350230414769E-2</v>
      </c>
    </row>
    <row r="1390" spans="1:15">
      <c r="A1390" s="86">
        <v>396.93719545730136</v>
      </c>
      <c r="B1390" s="86">
        <v>397.18955139403982</v>
      </c>
      <c r="C1390" s="86">
        <v>395.36698073981739</v>
      </c>
      <c r="D1390" s="86">
        <v>395.49783196627436</v>
      </c>
      <c r="E1390" s="86">
        <v>3198211.9795990731</v>
      </c>
      <c r="F1390" s="86" t="s">
        <v>1438</v>
      </c>
      <c r="G1390" s="25">
        <f t="shared" si="41"/>
        <v>3.6393713813069883E-3</v>
      </c>
      <c r="I1390" s="86">
        <v>287.22326785177046</v>
      </c>
      <c r="J1390" s="86">
        <v>292.26752141763774</v>
      </c>
      <c r="K1390" s="86">
        <v>286.34305189807071</v>
      </c>
      <c r="L1390" s="86">
        <v>291.74757785378728</v>
      </c>
      <c r="M1390" s="86">
        <v>3118571.0602744911</v>
      </c>
      <c r="N1390" s="86" t="s">
        <v>1438</v>
      </c>
      <c r="O1390" s="25">
        <f t="shared" si="42"/>
        <v>-1.550761804193701E-2</v>
      </c>
    </row>
    <row r="1391" spans="1:15">
      <c r="A1391" s="86">
        <v>395.40436680451938</v>
      </c>
      <c r="B1391" s="86">
        <v>395.89038564564538</v>
      </c>
      <c r="C1391" s="86">
        <v>393.75003344145591</v>
      </c>
      <c r="D1391" s="86">
        <v>395.53521803097641</v>
      </c>
      <c r="E1391" s="86">
        <v>4212601.7074907068</v>
      </c>
      <c r="F1391" s="86" t="s">
        <v>1439</v>
      </c>
      <c r="G1391" s="25">
        <f t="shared" si="41"/>
        <v>-3.3082067156597894E-4</v>
      </c>
      <c r="I1391" s="86">
        <v>291.28986555786338</v>
      </c>
      <c r="J1391" s="86">
        <v>294.16641129455422</v>
      </c>
      <c r="K1391" s="86">
        <v>290.53287983768161</v>
      </c>
      <c r="L1391" s="86">
        <v>290.88496621916153</v>
      </c>
      <c r="M1391" s="86">
        <v>2118820.9463380654</v>
      </c>
      <c r="N1391" s="86" t="s">
        <v>1439</v>
      </c>
      <c r="O1391" s="25">
        <f t="shared" si="42"/>
        <v>1.3919569098554962E-3</v>
      </c>
    </row>
    <row r="1392" spans="1:15">
      <c r="A1392" s="86">
        <v>394.57252686489994</v>
      </c>
      <c r="B1392" s="86">
        <v>394.90432818913013</v>
      </c>
      <c r="C1392" s="86">
        <v>391.49752304316047</v>
      </c>
      <c r="D1392" s="86">
        <v>391.75922549607446</v>
      </c>
      <c r="E1392" s="86">
        <v>4961999.650904146</v>
      </c>
      <c r="F1392" s="86" t="s">
        <v>1440</v>
      </c>
      <c r="G1392" s="25">
        <f t="shared" si="41"/>
        <v>7.1812000477156079E-3</v>
      </c>
      <c r="I1392" s="86">
        <v>292.51336573350608</v>
      </c>
      <c r="J1392" s="86">
        <v>294.31261516446375</v>
      </c>
      <c r="K1392" s="86">
        <v>289.45021421463088</v>
      </c>
      <c r="L1392" s="86">
        <v>290.47126472092259</v>
      </c>
      <c r="M1392" s="86">
        <v>2069389.894995362</v>
      </c>
      <c r="N1392" s="86" t="s">
        <v>1440</v>
      </c>
      <c r="O1392" s="25">
        <f t="shared" si="42"/>
        <v>7.0303030303031644E-3</v>
      </c>
    </row>
    <row r="1393" spans="1:15">
      <c r="A1393" s="86">
        <v>393.87153815173747</v>
      </c>
      <c r="B1393" s="86">
        <v>393.89957770026393</v>
      </c>
      <c r="C1393" s="86">
        <v>391.3853648490545</v>
      </c>
      <c r="D1393" s="86">
        <v>391.41340439758096</v>
      </c>
      <c r="E1393" s="86">
        <v>3898309.2005456882</v>
      </c>
      <c r="F1393" s="86" t="s">
        <v>1441</v>
      </c>
      <c r="G1393" s="25">
        <f t="shared" si="41"/>
        <v>6.2801470939397586E-3</v>
      </c>
      <c r="I1393" s="86">
        <v>291.69476489656529</v>
      </c>
      <c r="J1393" s="86">
        <v>294.74471317613501</v>
      </c>
      <c r="K1393" s="86">
        <v>286.19341518594172</v>
      </c>
      <c r="L1393" s="86">
        <v>290.47126472092259</v>
      </c>
      <c r="M1393" s="86">
        <v>3265732.6738030082</v>
      </c>
      <c r="N1393" s="86" t="s">
        <v>1441</v>
      </c>
      <c r="O1393" s="25">
        <f t="shared" si="42"/>
        <v>4.2121212121213336E-3</v>
      </c>
    </row>
    <row r="1394" spans="1:15">
      <c r="A1394" s="86">
        <v>390.05815955213347</v>
      </c>
      <c r="B1394" s="86">
        <v>392.82472834008144</v>
      </c>
      <c r="C1394" s="86">
        <v>390.01142697125596</v>
      </c>
      <c r="D1394" s="86">
        <v>392.23589782102499</v>
      </c>
      <c r="E1394" s="86">
        <v>3074422.5399538646</v>
      </c>
      <c r="F1394" s="86" t="s">
        <v>1442</v>
      </c>
      <c r="G1394" s="25">
        <f t="shared" si="41"/>
        <v>-5.5521136157843376E-3</v>
      </c>
      <c r="I1394" s="86">
        <v>291.29866771740041</v>
      </c>
      <c r="J1394" s="86">
        <v>296.13457416702693</v>
      </c>
      <c r="K1394" s="86">
        <v>290.94658133592048</v>
      </c>
      <c r="L1394" s="86">
        <v>293.11200060361728</v>
      </c>
      <c r="M1394" s="86">
        <v>3207099.3352648118</v>
      </c>
      <c r="N1394" s="86" t="s">
        <v>1442</v>
      </c>
      <c r="O1394" s="25">
        <f t="shared" si="42"/>
        <v>-6.1864846286832087E-3</v>
      </c>
    </row>
    <row r="1395" spans="1:15">
      <c r="A1395" s="86">
        <v>391.75922549607446</v>
      </c>
      <c r="B1395" s="86">
        <v>393.98313555487289</v>
      </c>
      <c r="C1395" s="86">
        <v>391.488176526985</v>
      </c>
      <c r="D1395" s="86">
        <v>392.80603530773044</v>
      </c>
      <c r="E1395" s="86">
        <v>3300974.3331825077</v>
      </c>
      <c r="F1395" s="86" t="s">
        <v>1443</v>
      </c>
      <c r="G1395" s="25">
        <f t="shared" si="41"/>
        <v>-2.6649534822852372E-3</v>
      </c>
      <c r="I1395" s="86">
        <v>292.15247719248919</v>
      </c>
      <c r="J1395" s="86">
        <v>309.13184293935763</v>
      </c>
      <c r="K1395" s="86">
        <v>286.95040090612355</v>
      </c>
      <c r="L1395" s="86">
        <v>306.60562315223927</v>
      </c>
      <c r="M1395" s="86">
        <v>10724285.285131063</v>
      </c>
      <c r="N1395" s="86" t="s">
        <v>1443</v>
      </c>
      <c r="O1395" s="25">
        <f t="shared" si="42"/>
        <v>-4.7139207073751743E-2</v>
      </c>
    </row>
    <row r="1396" spans="1:15">
      <c r="A1396" s="86">
        <v>391.3853648490545</v>
      </c>
      <c r="B1396" s="86">
        <v>391.74987897989894</v>
      </c>
      <c r="C1396" s="86">
        <v>388.7496472875635</v>
      </c>
      <c r="D1396" s="86">
        <v>390.34790155357399</v>
      </c>
      <c r="E1396" s="86">
        <v>2687060.0262623508</v>
      </c>
      <c r="F1396" s="86" t="s">
        <v>1444</v>
      </c>
      <c r="G1396" s="25">
        <f t="shared" si="41"/>
        <v>2.6577913992913427E-3</v>
      </c>
      <c r="I1396" s="86">
        <v>331.25166985583274</v>
      </c>
      <c r="J1396" s="86">
        <v>332.80965209388137</v>
      </c>
      <c r="K1396" s="86">
        <v>329.73769841546914</v>
      </c>
      <c r="L1396" s="86">
        <v>330.88197915527888</v>
      </c>
      <c r="M1396" s="86">
        <v>1534078.0797306285</v>
      </c>
      <c r="N1396" s="86" t="s">
        <v>1444</v>
      </c>
      <c r="O1396" s="25">
        <f t="shared" si="42"/>
        <v>1.117288712723763E-3</v>
      </c>
    </row>
    <row r="1397" spans="1:15">
      <c r="A1397" s="86">
        <v>389.36651735514647</v>
      </c>
      <c r="B1397" s="86">
        <v>390.68437613589197</v>
      </c>
      <c r="C1397" s="86">
        <v>387.60002579797703</v>
      </c>
      <c r="D1397" s="86">
        <v>389.357170838971</v>
      </c>
      <c r="E1397" s="86">
        <v>3903973.3430995494</v>
      </c>
      <c r="F1397" s="86" t="s">
        <v>1445</v>
      </c>
      <c r="G1397" s="25">
        <f t="shared" si="41"/>
        <v>2.4004993038451161E-5</v>
      </c>
      <c r="I1397" s="86">
        <v>329.72889625593217</v>
      </c>
      <c r="J1397" s="86">
        <v>331.85901886388558</v>
      </c>
      <c r="K1397" s="86">
        <v>327.66038876473772</v>
      </c>
      <c r="L1397" s="86">
        <v>329.13915156695333</v>
      </c>
      <c r="M1397" s="86">
        <v>1240653.4957812035</v>
      </c>
      <c r="N1397" s="86" t="s">
        <v>1445</v>
      </c>
      <c r="O1397" s="25">
        <f t="shared" si="42"/>
        <v>1.7917792100126118E-3</v>
      </c>
    </row>
    <row r="1398" spans="1:15">
      <c r="A1398" s="86">
        <v>389.75907103451749</v>
      </c>
      <c r="B1398" s="86">
        <v>389.97404090655402</v>
      </c>
      <c r="C1398" s="86">
        <v>387.82892197911508</v>
      </c>
      <c r="D1398" s="86">
        <v>388.23558889791104</v>
      </c>
      <c r="E1398" s="86">
        <v>2759798.3586243172</v>
      </c>
      <c r="F1398" s="86" t="s">
        <v>1446</v>
      </c>
      <c r="G1398" s="25">
        <f t="shared" si="41"/>
        <v>3.9241176753814777E-3</v>
      </c>
      <c r="I1398" s="86">
        <v>328.44378096353046</v>
      </c>
      <c r="J1398" s="86">
        <v>328.54940687797443</v>
      </c>
      <c r="K1398" s="86">
        <v>323.16248524133186</v>
      </c>
      <c r="L1398" s="86">
        <v>327.11465487344384</v>
      </c>
      <c r="M1398" s="86">
        <v>913114.55628779542</v>
      </c>
      <c r="N1398" s="86" t="s">
        <v>1446</v>
      </c>
      <c r="O1398" s="25">
        <f t="shared" si="42"/>
        <v>4.0631811210074531E-3</v>
      </c>
    </row>
    <row r="1399" spans="1:15">
      <c r="A1399" s="86">
        <v>388.80572638461655</v>
      </c>
      <c r="B1399" s="86">
        <v>389.02069625665303</v>
      </c>
      <c r="C1399" s="86">
        <v>387.55329321709951</v>
      </c>
      <c r="D1399" s="86">
        <v>387.63741186267907</v>
      </c>
      <c r="E1399" s="86">
        <v>3432461.8283008994</v>
      </c>
      <c r="F1399" s="86" t="s">
        <v>1447</v>
      </c>
      <c r="G1399" s="25">
        <f t="shared" si="41"/>
        <v>3.0139364421082337E-3</v>
      </c>
      <c r="I1399" s="86">
        <v>326.67454689659394</v>
      </c>
      <c r="J1399" s="86">
        <v>327.9420578699216</v>
      </c>
      <c r="K1399" s="86">
        <v>325.50385967817328</v>
      </c>
      <c r="L1399" s="86">
        <v>327.24668726649878</v>
      </c>
      <c r="M1399" s="86">
        <v>1085174.6051467352</v>
      </c>
      <c r="N1399" s="86" t="s">
        <v>1447</v>
      </c>
      <c r="O1399" s="25">
        <f t="shared" si="42"/>
        <v>-1.7483457959007742E-3</v>
      </c>
    </row>
    <row r="1400" spans="1:15">
      <c r="A1400" s="86">
        <v>387.30093728036104</v>
      </c>
      <c r="B1400" s="86">
        <v>387.30093728036104</v>
      </c>
      <c r="C1400" s="86">
        <v>385.20731765704909</v>
      </c>
      <c r="D1400" s="86">
        <v>385.76810862757907</v>
      </c>
      <c r="E1400" s="86">
        <v>3036705.8128460608</v>
      </c>
      <c r="F1400" s="86" t="s">
        <v>1448</v>
      </c>
      <c r="G1400" s="25">
        <f t="shared" si="41"/>
        <v>3.9734457527742517E-3</v>
      </c>
      <c r="I1400" s="86">
        <v>326.62173393937195</v>
      </c>
      <c r="J1400" s="86">
        <v>326.71855769427896</v>
      </c>
      <c r="K1400" s="86">
        <v>320.09053156291969</v>
      </c>
      <c r="L1400" s="86">
        <v>322.59914703096405</v>
      </c>
      <c r="M1400" s="86">
        <v>1194623.8824463154</v>
      </c>
      <c r="N1400" s="86" t="s">
        <v>1448</v>
      </c>
      <c r="O1400" s="25">
        <f t="shared" si="42"/>
        <v>1.2469304229195011E-2</v>
      </c>
    </row>
    <row r="1401" spans="1:15">
      <c r="A1401" s="86">
        <v>384.31005210420113</v>
      </c>
      <c r="B1401" s="86">
        <v>384.57175455711507</v>
      </c>
      <c r="C1401" s="86">
        <v>380.89857370014369</v>
      </c>
      <c r="D1401" s="86">
        <v>381.52479028390218</v>
      </c>
      <c r="E1401" s="86">
        <v>3640575.7355018337</v>
      </c>
      <c r="F1401" s="86" t="s">
        <v>1449</v>
      </c>
      <c r="G1401" s="25">
        <f t="shared" si="41"/>
        <v>7.3003429691327337E-3</v>
      </c>
      <c r="I1401" s="86">
        <v>321.2788231004144</v>
      </c>
      <c r="J1401" s="86">
        <v>323.81384504706972</v>
      </c>
      <c r="K1401" s="86">
        <v>318.52814824510261</v>
      </c>
      <c r="L1401" s="86">
        <v>320.68907841143556</v>
      </c>
      <c r="M1401" s="86">
        <v>1152703.4879739084</v>
      </c>
      <c r="N1401" s="86" t="s">
        <v>1449</v>
      </c>
      <c r="O1401" s="25">
        <f t="shared" si="42"/>
        <v>1.8389921225263617E-3</v>
      </c>
    </row>
    <row r="1402" spans="1:15">
      <c r="A1402" s="86">
        <v>383.14173758226366</v>
      </c>
      <c r="B1402" s="86">
        <v>383.45017261605511</v>
      </c>
      <c r="C1402" s="86">
        <v>381.59488915521843</v>
      </c>
      <c r="D1402" s="86">
        <v>382.19773944853819</v>
      </c>
      <c r="E1402" s="86">
        <v>3746442.9892914081</v>
      </c>
      <c r="F1402" s="86" t="s">
        <v>1450</v>
      </c>
      <c r="G1402" s="25">
        <f t="shared" si="41"/>
        <v>2.4699207668981149E-3</v>
      </c>
      <c r="I1402" s="86">
        <v>321.82455699170828</v>
      </c>
      <c r="J1402" s="86">
        <v>322.3702908830021</v>
      </c>
      <c r="K1402" s="86">
        <v>319.96730132940172</v>
      </c>
      <c r="L1402" s="86">
        <v>320.48662874208463</v>
      </c>
      <c r="M1402" s="86">
        <v>1082671.8102465291</v>
      </c>
      <c r="N1402" s="86" t="s">
        <v>1450</v>
      </c>
      <c r="O1402" s="25">
        <f t="shared" si="42"/>
        <v>4.1746772864597048E-3</v>
      </c>
    </row>
    <row r="1403" spans="1:15">
      <c r="A1403" s="86">
        <v>380.17889195463022</v>
      </c>
      <c r="B1403" s="86">
        <v>380.3564757619647</v>
      </c>
      <c r="C1403" s="86">
        <v>376.87022522850327</v>
      </c>
      <c r="D1403" s="86">
        <v>377.31885800492722</v>
      </c>
      <c r="E1403" s="86">
        <v>4053264.2632455663</v>
      </c>
      <c r="F1403" s="86" t="s">
        <v>1451</v>
      </c>
      <c r="G1403" s="25">
        <f t="shared" si="41"/>
        <v>7.5798860540006174E-3</v>
      </c>
      <c r="I1403" s="86">
        <v>318.69979035607406</v>
      </c>
      <c r="J1403" s="86">
        <v>320.53944169930662</v>
      </c>
      <c r="K1403" s="86">
        <v>317.19021999547903</v>
      </c>
      <c r="L1403" s="86">
        <v>318.6557795583891</v>
      </c>
      <c r="M1403" s="86">
        <v>1106819.293498406</v>
      </c>
      <c r="N1403" s="86" t="s">
        <v>1451</v>
      </c>
      <c r="O1403" s="25">
        <f t="shared" si="42"/>
        <v>1.3811391635809578E-4</v>
      </c>
    </row>
    <row r="1404" spans="1:15">
      <c r="A1404" s="86">
        <v>373.89803308469436</v>
      </c>
      <c r="B1404" s="86">
        <v>374.68314044343629</v>
      </c>
      <c r="C1404" s="86">
        <v>370.82302926295489</v>
      </c>
      <c r="D1404" s="86">
        <v>373.52417243767434</v>
      </c>
      <c r="E1404" s="86">
        <v>6946291.9424657375</v>
      </c>
      <c r="F1404" s="86" t="s">
        <v>1452</v>
      </c>
      <c r="G1404" s="25">
        <f t="shared" si="41"/>
        <v>1.0009008107296768E-3</v>
      </c>
      <c r="I1404" s="86">
        <v>318.42692341042715</v>
      </c>
      <c r="J1404" s="86">
        <v>318.981459461258</v>
      </c>
      <c r="K1404" s="86">
        <v>311.11215279199132</v>
      </c>
      <c r="L1404" s="86">
        <v>316.54326126950969</v>
      </c>
      <c r="M1404" s="86">
        <v>1252223.3837810678</v>
      </c>
      <c r="N1404" s="86" t="s">
        <v>1452</v>
      </c>
      <c r="O1404" s="25">
        <f t="shared" si="42"/>
        <v>5.95072576608624E-3</v>
      </c>
    </row>
    <row r="1405" spans="1:15">
      <c r="A1405" s="86">
        <v>372.70167901423036</v>
      </c>
      <c r="B1405" s="86">
        <v>374.72052650813833</v>
      </c>
      <c r="C1405" s="86">
        <v>371.86983907461087</v>
      </c>
      <c r="D1405" s="86">
        <v>374.37470540964483</v>
      </c>
      <c r="E1405" s="86">
        <v>6634840.0661366051</v>
      </c>
      <c r="F1405" s="86" t="s">
        <v>1453</v>
      </c>
      <c r="G1405" s="25">
        <f t="shared" si="41"/>
        <v>-4.4688553239295992E-3</v>
      </c>
      <c r="I1405" s="86">
        <v>315.22293733896004</v>
      </c>
      <c r="J1405" s="86">
        <v>317.21222539432148</v>
      </c>
      <c r="K1405" s="86">
        <v>313.36576969824887</v>
      </c>
      <c r="L1405" s="86">
        <v>314.21949115174232</v>
      </c>
      <c r="M1405" s="86">
        <v>954582.7889943003</v>
      </c>
      <c r="N1405" s="86" t="s">
        <v>1453</v>
      </c>
      <c r="O1405" s="25">
        <f t="shared" si="42"/>
        <v>3.193456216034507E-3</v>
      </c>
    </row>
    <row r="1406" spans="1:15">
      <c r="A1406" s="86">
        <v>373.44940030827036</v>
      </c>
      <c r="B1406" s="86">
        <v>378.29089568717927</v>
      </c>
      <c r="C1406" s="86">
        <v>373.44940030827036</v>
      </c>
      <c r="D1406" s="86">
        <v>375.64583160951281</v>
      </c>
      <c r="E1406" s="86">
        <v>3954063.6645850264</v>
      </c>
      <c r="F1406" s="86" t="s">
        <v>1454</v>
      </c>
      <c r="G1406" s="25">
        <f t="shared" si="41"/>
        <v>-5.8470801920827986E-3</v>
      </c>
      <c r="I1406" s="86">
        <v>314.30751274711224</v>
      </c>
      <c r="J1406" s="86">
        <v>316.28799864293671</v>
      </c>
      <c r="K1406" s="86">
        <v>311.70207352416094</v>
      </c>
      <c r="L1406" s="86">
        <v>312.38864196804673</v>
      </c>
      <c r="M1406" s="86">
        <v>1132485.7221799588</v>
      </c>
      <c r="N1406" s="86" t="s">
        <v>1454</v>
      </c>
      <c r="O1406" s="25">
        <f t="shared" si="42"/>
        <v>6.1425753733446165E-3</v>
      </c>
    </row>
    <row r="1407" spans="1:15">
      <c r="A1407" s="86">
        <v>376.18792954769179</v>
      </c>
      <c r="B1407" s="86">
        <v>377.96199178296342</v>
      </c>
      <c r="C1407" s="86">
        <v>375.67387115803928</v>
      </c>
      <c r="D1407" s="86">
        <v>377.63663955489426</v>
      </c>
      <c r="E1407" s="86">
        <v>4237856.0370791722</v>
      </c>
      <c r="F1407" s="86" t="s">
        <v>1455</v>
      </c>
      <c r="G1407" s="25">
        <f t="shared" si="41"/>
        <v>-3.8362538362538556E-3</v>
      </c>
      <c r="I1407" s="86">
        <v>311.37639362129204</v>
      </c>
      <c r="J1407" s="86">
        <v>312.61749811600873</v>
      </c>
      <c r="K1407" s="86">
        <v>308.77975655787776</v>
      </c>
      <c r="L1407" s="86">
        <v>309.9064329786134</v>
      </c>
      <c r="M1407" s="86">
        <v>873083.47090256191</v>
      </c>
      <c r="N1407" s="86" t="s">
        <v>1455</v>
      </c>
      <c r="O1407" s="25">
        <f t="shared" si="42"/>
        <v>4.7432401726881235E-3</v>
      </c>
    </row>
    <row r="1408" spans="1:15">
      <c r="A1408" s="86">
        <v>376.89826477702979</v>
      </c>
      <c r="B1408" s="86">
        <v>379.51528930616973</v>
      </c>
      <c r="C1408" s="86">
        <v>376.52440413000977</v>
      </c>
      <c r="D1408" s="86">
        <v>376.73002748587078</v>
      </c>
      <c r="E1408" s="86">
        <v>4717474.3157861345</v>
      </c>
      <c r="F1408" s="86" t="s">
        <v>1456</v>
      </c>
      <c r="G1408" s="25">
        <f t="shared" si="41"/>
        <v>4.4657255563551601E-4</v>
      </c>
      <c r="I1408" s="86">
        <v>309.64236819250345</v>
      </c>
      <c r="J1408" s="86">
        <v>312.01895126749287</v>
      </c>
      <c r="K1408" s="86">
        <v>308.22522050704691</v>
      </c>
      <c r="L1408" s="86">
        <v>308.22522050704691</v>
      </c>
      <c r="M1408" s="86">
        <v>1184536.5851612806</v>
      </c>
      <c r="N1408" s="86" t="s">
        <v>1456</v>
      </c>
      <c r="O1408" s="25">
        <f t="shared" si="42"/>
        <v>4.5977667989831605E-3</v>
      </c>
    </row>
    <row r="1409" spans="1:15">
      <c r="A1409" s="86">
        <v>373.68306321265783</v>
      </c>
      <c r="B1409" s="86">
        <v>373.87934005234331</v>
      </c>
      <c r="C1409" s="86">
        <v>367.37416479419545</v>
      </c>
      <c r="D1409" s="86">
        <v>368.86026086609991</v>
      </c>
      <c r="E1409" s="86">
        <v>7050703.038715492</v>
      </c>
      <c r="F1409" s="86" t="s">
        <v>1457</v>
      </c>
      <c r="G1409" s="25">
        <f t="shared" si="41"/>
        <v>1.3074876472824126E-2</v>
      </c>
      <c r="I1409" s="86">
        <v>308.06678163538095</v>
      </c>
      <c r="J1409" s="86">
        <v>308.19881402843589</v>
      </c>
      <c r="K1409" s="86">
        <v>302.97033126345929</v>
      </c>
      <c r="L1409" s="86">
        <v>305.46134241242959</v>
      </c>
      <c r="M1409" s="86">
        <v>1131421.2106858627</v>
      </c>
      <c r="N1409" s="86" t="s">
        <v>1457</v>
      </c>
      <c r="O1409" s="25">
        <f t="shared" si="42"/>
        <v>8.5295219433481062E-3</v>
      </c>
    </row>
    <row r="1410" spans="1:15">
      <c r="A1410" s="86">
        <v>372.02872984959441</v>
      </c>
      <c r="B1410" s="86">
        <v>374.19020518034046</v>
      </c>
      <c r="C1410" s="86">
        <v>368.99111209255693</v>
      </c>
      <c r="D1410" s="86">
        <v>369.7107938380704</v>
      </c>
      <c r="E1410" s="86">
        <v>5909414.6913030325</v>
      </c>
      <c r="F1410" s="86" t="s">
        <v>1458</v>
      </c>
      <c r="G1410" s="25">
        <f t="shared" si="41"/>
        <v>6.269592476489283E-3</v>
      </c>
      <c r="I1410" s="86">
        <v>306.09509789909345</v>
      </c>
      <c r="J1410" s="86">
        <v>308.4716809740828</v>
      </c>
      <c r="K1410" s="86">
        <v>303.51606515475311</v>
      </c>
      <c r="L1410" s="86">
        <v>304.55471998011888</v>
      </c>
      <c r="M1410" s="86">
        <v>1010403.1814712574</v>
      </c>
      <c r="N1410" s="86" t="s">
        <v>1458</v>
      </c>
      <c r="O1410" s="25">
        <f t="shared" si="42"/>
        <v>5.0578034682080553E-3</v>
      </c>
    </row>
    <row r="1411" spans="1:15">
      <c r="A1411" s="86">
        <v>368.44901415437795</v>
      </c>
      <c r="B1411" s="86">
        <v>372.86991630538932</v>
      </c>
      <c r="C1411" s="86">
        <v>366.34604801489047</v>
      </c>
      <c r="D1411" s="86">
        <v>372.10350197899839</v>
      </c>
      <c r="E1411" s="86">
        <v>9437128.0532538369</v>
      </c>
      <c r="F1411" s="86" t="s">
        <v>1459</v>
      </c>
      <c r="G1411" s="25">
        <f t="shared" si="41"/>
        <v>-9.8211594494123089E-3</v>
      </c>
      <c r="I1411" s="86">
        <v>304.54591782058185</v>
      </c>
      <c r="J1411" s="86">
        <v>308.3153546207057</v>
      </c>
      <c r="K1411" s="86">
        <v>302.53022328660938</v>
      </c>
      <c r="L1411" s="86">
        <v>306.04228494187146</v>
      </c>
      <c r="M1411" s="86">
        <v>1280824.3196016278</v>
      </c>
      <c r="N1411" s="86" t="s">
        <v>1459</v>
      </c>
      <c r="O1411" s="25">
        <f t="shared" si="42"/>
        <v>-4.8894129828295219E-3</v>
      </c>
    </row>
    <row r="1412" spans="1:15">
      <c r="A1412" s="86">
        <v>373.03815359654834</v>
      </c>
      <c r="B1412" s="86">
        <v>374.65510089490982</v>
      </c>
      <c r="C1412" s="86">
        <v>367.10311582510593</v>
      </c>
      <c r="D1412" s="86">
        <v>370.33345874568221</v>
      </c>
      <c r="E1412" s="86">
        <v>9075248.8314678501</v>
      </c>
      <c r="F1412" s="86" t="s">
        <v>1460</v>
      </c>
      <c r="G1412" s="25">
        <f t="shared" si="41"/>
        <v>7.3034039647050797E-3</v>
      </c>
      <c r="I1412" s="86">
        <v>306.13910869677846</v>
      </c>
      <c r="J1412" s="86">
        <v>307.79391468973398</v>
      </c>
      <c r="K1412" s="86">
        <v>301.7116224496686</v>
      </c>
      <c r="L1412" s="86">
        <v>305.70780287946553</v>
      </c>
      <c r="M1412" s="86">
        <v>1091065.2050366898</v>
      </c>
      <c r="N1412" s="86" t="s">
        <v>1460</v>
      </c>
      <c r="O1412" s="25">
        <f t="shared" si="42"/>
        <v>1.4108433388040353E-3</v>
      </c>
    </row>
    <row r="1413" spans="1:15">
      <c r="A1413" s="86">
        <v>368.62659796171243</v>
      </c>
      <c r="B1413" s="86">
        <v>375.28131747866831</v>
      </c>
      <c r="C1413" s="86">
        <v>368.57051886465939</v>
      </c>
      <c r="D1413" s="86">
        <v>374.65510089490982</v>
      </c>
      <c r="E1413" s="86">
        <v>10176149.938018363</v>
      </c>
      <c r="F1413" s="86" t="s">
        <v>1461</v>
      </c>
      <c r="G1413" s="25">
        <f t="shared" si="41"/>
        <v>-1.6090807035050503E-2</v>
      </c>
      <c r="I1413" s="86">
        <v>303.76252562178911</v>
      </c>
      <c r="J1413" s="86">
        <v>310.10008048842741</v>
      </c>
      <c r="K1413" s="86">
        <v>303.58648243104909</v>
      </c>
      <c r="L1413" s="86">
        <v>309.42231420407853</v>
      </c>
      <c r="M1413" s="86">
        <v>1197921.9367337865</v>
      </c>
      <c r="N1413" s="86" t="s">
        <v>1461</v>
      </c>
      <c r="O1413" s="25">
        <f t="shared" si="42"/>
        <v>-1.8291468722441695E-2</v>
      </c>
    </row>
    <row r="1414" spans="1:15">
      <c r="A1414" s="86">
        <v>373.35593514651532</v>
      </c>
      <c r="B1414" s="86">
        <v>375.53367341540684</v>
      </c>
      <c r="C1414" s="86">
        <v>372.79514417598534</v>
      </c>
      <c r="D1414" s="86">
        <v>373.95411218174735</v>
      </c>
      <c r="E1414" s="86">
        <v>5054467.2595587457</v>
      </c>
      <c r="F1414" s="86" t="s">
        <v>1462</v>
      </c>
      <c r="G1414" s="25">
        <f t="shared" si="41"/>
        <v>-1.5996000999750626E-3</v>
      </c>
      <c r="I1414" s="86">
        <v>308.33084642149089</v>
      </c>
      <c r="J1414" s="86">
        <v>310.3465409554633</v>
      </c>
      <c r="K1414" s="86">
        <v>303.64809754780811</v>
      </c>
      <c r="L1414" s="86">
        <v>306.42957996149937</v>
      </c>
      <c r="M1414" s="86">
        <v>1758354.8599573767</v>
      </c>
      <c r="N1414" s="86" t="s">
        <v>1462</v>
      </c>
      <c r="O1414" s="25">
        <f t="shared" si="42"/>
        <v>6.2045787493179017E-3</v>
      </c>
    </row>
    <row r="1415" spans="1:15">
      <c r="A1415" s="86">
        <v>372.76860005155572</v>
      </c>
      <c r="B1415" s="86">
        <v>378.10664193263591</v>
      </c>
      <c r="C1415" s="86">
        <v>372.01400774375907</v>
      </c>
      <c r="D1415" s="86">
        <v>377.80853139128413</v>
      </c>
      <c r="E1415" s="86">
        <v>8838932.2566447444</v>
      </c>
      <c r="F1415" s="86" t="s">
        <v>1463</v>
      </c>
      <c r="G1415" s="25">
        <f t="shared" si="41"/>
        <v>-1.3339908765873543E-2</v>
      </c>
      <c r="I1415" s="86">
        <v>309.96804809537241</v>
      </c>
      <c r="J1415" s="86">
        <v>312.74953050906367</v>
      </c>
      <c r="K1415" s="86">
        <v>308.00516651862193</v>
      </c>
      <c r="L1415" s="86">
        <v>311.03310939934914</v>
      </c>
      <c r="M1415" s="86">
        <v>1295630.9133076598</v>
      </c>
      <c r="N1415" s="86" t="s">
        <v>1463</v>
      </c>
      <c r="O1415" s="25">
        <f t="shared" si="42"/>
        <v>-3.4242698664251892E-3</v>
      </c>
    </row>
    <row r="1416" spans="1:15">
      <c r="A1416" s="86">
        <v>380.37041885602594</v>
      </c>
      <c r="B1416" s="86">
        <v>381.55354506701576</v>
      </c>
      <c r="C1416" s="86">
        <v>379.70898609240163</v>
      </c>
      <c r="D1416" s="86">
        <v>380.48295558538621</v>
      </c>
      <c r="E1416" s="86">
        <v>3807017.3394532865</v>
      </c>
      <c r="F1416" s="86" t="s">
        <v>1464</v>
      </c>
      <c r="G1416" s="25">
        <f t="shared" si="41"/>
        <v>-2.9577337882880084E-4</v>
      </c>
      <c r="I1416" s="86">
        <v>311.03310939934914</v>
      </c>
      <c r="J1416" s="86">
        <v>314.44394621993575</v>
      </c>
      <c r="K1416" s="86">
        <v>309.2374688538016</v>
      </c>
      <c r="L1416" s="86">
        <v>309.95924593583538</v>
      </c>
      <c r="M1416" s="86">
        <v>2119921.812547008</v>
      </c>
      <c r="N1416" s="86" t="s">
        <v>1464</v>
      </c>
      <c r="O1416" s="25">
        <f t="shared" si="42"/>
        <v>3.464531152382655E-3</v>
      </c>
    </row>
    <row r="1417" spans="1:15">
      <c r="A1417" s="86">
        <v>381.45106956842608</v>
      </c>
      <c r="B1417" s="86">
        <v>382.07523851438134</v>
      </c>
      <c r="C1417" s="86">
        <v>379.11276500969814</v>
      </c>
      <c r="D1417" s="86">
        <v>379.3177160068775</v>
      </c>
      <c r="E1417" s="86">
        <v>3668639.6765469532</v>
      </c>
      <c r="F1417" s="86" t="s">
        <v>1465</v>
      </c>
      <c r="G1417" s="25">
        <f t="shared" si="41"/>
        <v>5.624186457744873E-3</v>
      </c>
      <c r="I1417" s="86">
        <v>307.65308013714201</v>
      </c>
      <c r="J1417" s="86">
        <v>310.66341869879523</v>
      </c>
      <c r="K1417" s="86">
        <v>305.88384607020549</v>
      </c>
      <c r="L1417" s="86">
        <v>307.16896136260721</v>
      </c>
      <c r="M1417" s="86">
        <v>1923363.2302209556</v>
      </c>
      <c r="N1417" s="86" t="s">
        <v>1465</v>
      </c>
      <c r="O1417" s="25">
        <f t="shared" si="42"/>
        <v>1.5760667106052839E-3</v>
      </c>
    </row>
    <row r="1418" spans="1:15">
      <c r="A1418" s="86">
        <v>380.81758466805354</v>
      </c>
      <c r="B1418" s="86">
        <v>382.252241648309</v>
      </c>
      <c r="C1418" s="86">
        <v>377.73400375594622</v>
      </c>
      <c r="D1418" s="86">
        <v>377.95758666196002</v>
      </c>
      <c r="E1418" s="86">
        <v>4398951.3220620211</v>
      </c>
      <c r="F1418" s="86" t="s">
        <v>1466</v>
      </c>
      <c r="G1418" s="25">
        <f t="shared" si="41"/>
        <v>7.5669813413521414E-3</v>
      </c>
      <c r="I1418" s="86">
        <v>302.97033126345929</v>
      </c>
      <c r="J1418" s="86">
        <v>303.4764554368366</v>
      </c>
      <c r="K1418" s="86">
        <v>299.37024801282723</v>
      </c>
      <c r="L1418" s="86">
        <v>299.5286868844932</v>
      </c>
      <c r="M1418" s="86">
        <v>1552097.5213612106</v>
      </c>
      <c r="N1418" s="86" t="s">
        <v>1466</v>
      </c>
      <c r="O1418" s="25">
        <f t="shared" si="42"/>
        <v>1.1490199535690193E-2</v>
      </c>
    </row>
    <row r="1419" spans="1:15">
      <c r="A1419" s="86">
        <v>376.27139891243905</v>
      </c>
      <c r="B1419" s="86">
        <v>378.08801002380142</v>
      </c>
      <c r="C1419" s="86">
        <v>373.81198694628694</v>
      </c>
      <c r="D1419" s="86">
        <v>374.65973879825606</v>
      </c>
      <c r="E1419" s="86">
        <v>6445687.3993348358</v>
      </c>
      <c r="F1419" s="86" t="s">
        <v>1467</v>
      </c>
      <c r="G1419" s="25">
        <f t="shared" si="41"/>
        <v>4.3016634756445349E-3</v>
      </c>
      <c r="I1419" s="86">
        <v>300.79619785782086</v>
      </c>
      <c r="J1419" s="86">
        <v>302.09011530975948</v>
      </c>
      <c r="K1419" s="86">
        <v>297.53059666959473</v>
      </c>
      <c r="L1419" s="86">
        <v>297.63622258403871</v>
      </c>
      <c r="M1419" s="86">
        <v>1517724.1384739468</v>
      </c>
      <c r="N1419" s="86" t="s">
        <v>1467</v>
      </c>
      <c r="O1419" s="25">
        <f t="shared" si="42"/>
        <v>1.0616904240847047E-2</v>
      </c>
    </row>
    <row r="1420" spans="1:15">
      <c r="A1420" s="86">
        <v>372.67544050738331</v>
      </c>
      <c r="B1420" s="86">
        <v>376.27139891243905</v>
      </c>
      <c r="C1420" s="86">
        <v>372.11648324234875</v>
      </c>
      <c r="D1420" s="86">
        <v>375.116220564701</v>
      </c>
      <c r="E1420" s="86">
        <v>6889389.6562232235</v>
      </c>
      <c r="F1420" s="86" t="s">
        <v>1468</v>
      </c>
      <c r="G1420" s="25">
        <f t="shared" si="41"/>
        <v>-6.5067302438783781E-3</v>
      </c>
      <c r="I1420" s="86">
        <v>295.7965712408062</v>
      </c>
      <c r="J1420" s="86">
        <v>299.33063829491073</v>
      </c>
      <c r="K1420" s="86">
        <v>294.96045410638675</v>
      </c>
      <c r="L1420" s="86">
        <v>298.16435215625859</v>
      </c>
      <c r="M1420" s="86">
        <v>1496202.1472848828</v>
      </c>
      <c r="N1420" s="86" t="s">
        <v>1468</v>
      </c>
      <c r="O1420" s="25">
        <f t="shared" si="42"/>
        <v>-7.9411938359804646E-3</v>
      </c>
    </row>
    <row r="1421" spans="1:15">
      <c r="A1421" s="86">
        <v>373.03876272965579</v>
      </c>
      <c r="B1421" s="86">
        <v>375.09758865586645</v>
      </c>
      <c r="C1421" s="86">
        <v>368.51120888287574</v>
      </c>
      <c r="D1421" s="86">
        <v>373.67224763002832</v>
      </c>
      <c r="E1421" s="86">
        <v>11746232.870940348</v>
      </c>
      <c r="F1421" s="86" t="s">
        <v>1469</v>
      </c>
      <c r="G1421" s="25">
        <f t="shared" si="41"/>
        <v>-1.6952955548353854E-3</v>
      </c>
      <c r="I1421" s="86">
        <v>297.91789168922259</v>
      </c>
      <c r="J1421" s="86">
        <v>299.84556462782507</v>
      </c>
      <c r="K1421" s="86">
        <v>295.65573668821423</v>
      </c>
      <c r="L1421" s="86">
        <v>298.12914351811054</v>
      </c>
      <c r="M1421" s="86">
        <v>1942694.8498405246</v>
      </c>
      <c r="N1421" s="86" t="s">
        <v>1469</v>
      </c>
      <c r="O1421" s="25">
        <f t="shared" si="42"/>
        <v>-7.0859167404790924E-4</v>
      </c>
    </row>
    <row r="1422" spans="1:15">
      <c r="A1422" s="86">
        <v>379.23387241712226</v>
      </c>
      <c r="B1422" s="86">
        <v>382.68077555150211</v>
      </c>
      <c r="C1422" s="86">
        <v>378.94507783018776</v>
      </c>
      <c r="D1422" s="86">
        <v>382.28018951156071</v>
      </c>
      <c r="E1422" s="86">
        <v>5792315.8039635653</v>
      </c>
      <c r="F1422" s="86" t="s">
        <v>1470</v>
      </c>
      <c r="G1422" s="25">
        <f t="shared" si="41"/>
        <v>-7.9688071158767748E-3</v>
      </c>
      <c r="I1422" s="86">
        <v>300.13603589254603</v>
      </c>
      <c r="J1422" s="86">
        <v>301.74683108781659</v>
      </c>
      <c r="K1422" s="86">
        <v>298.52524069727542</v>
      </c>
      <c r="L1422" s="86">
        <v>299.22941346023526</v>
      </c>
      <c r="M1422" s="86">
        <v>2394964.543802226</v>
      </c>
      <c r="N1422" s="86" t="s">
        <v>1470</v>
      </c>
      <c r="O1422" s="25">
        <f t="shared" si="42"/>
        <v>3.0298573319607058E-3</v>
      </c>
    </row>
    <row r="1423" spans="1:15">
      <c r="A1423" s="86">
        <v>382.98820204727116</v>
      </c>
      <c r="B1423" s="86">
        <v>383.99432512433339</v>
      </c>
      <c r="C1423" s="86">
        <v>380.30520717510524</v>
      </c>
      <c r="D1423" s="86">
        <v>383.13725731794705</v>
      </c>
      <c r="E1423" s="86">
        <v>3597590.595545128</v>
      </c>
      <c r="F1423" s="86" t="s">
        <v>1471</v>
      </c>
      <c r="G1423" s="25">
        <f t="shared" si="41"/>
        <v>-3.8903883093832636E-4</v>
      </c>
      <c r="I1423" s="86">
        <v>300.59374818846993</v>
      </c>
      <c r="J1423" s="86">
        <v>304.50507580033019</v>
      </c>
      <c r="K1423" s="86">
        <v>299.93358622319511</v>
      </c>
      <c r="L1423" s="86">
        <v>304.09700768419498</v>
      </c>
      <c r="M1423" s="86">
        <v>1649148.7048133321</v>
      </c>
      <c r="N1423" s="86" t="s">
        <v>1471</v>
      </c>
      <c r="O1423" s="25">
        <f t="shared" si="42"/>
        <v>-1.1520203774458615E-2</v>
      </c>
    </row>
    <row r="1424" spans="1:15">
      <c r="A1424" s="86">
        <v>383.64963481089541</v>
      </c>
      <c r="B1424" s="86">
        <v>384.05748729528227</v>
      </c>
      <c r="C1424" s="86">
        <v>379.81146159099131</v>
      </c>
      <c r="D1424" s="86">
        <v>380.82690062247082</v>
      </c>
      <c r="E1424" s="86">
        <v>4177120.0520232804</v>
      </c>
      <c r="F1424" s="86" t="s">
        <v>1472</v>
      </c>
      <c r="G1424" s="25">
        <f t="shared" si="41"/>
        <v>7.412118691748848E-3</v>
      </c>
      <c r="I1424" s="86">
        <v>303.73611914317809</v>
      </c>
      <c r="J1424" s="86">
        <v>305.37332081705966</v>
      </c>
      <c r="K1424" s="86">
        <v>302.71506863688637</v>
      </c>
      <c r="L1424" s="86">
        <v>303.49846083567917</v>
      </c>
      <c r="M1424" s="86">
        <v>1306220.3600915105</v>
      </c>
      <c r="N1424" s="86" t="s">
        <v>1472</v>
      </c>
      <c r="O1424" s="25">
        <f t="shared" si="42"/>
        <v>7.8306264501160072E-4</v>
      </c>
    </row>
    <row r="1425" spans="1:15">
      <c r="A1425" s="86">
        <v>380.47289435461562</v>
      </c>
      <c r="B1425" s="86">
        <v>383.98500916991617</v>
      </c>
      <c r="C1425" s="86">
        <v>379.61582654822928</v>
      </c>
      <c r="D1425" s="86">
        <v>383.83595389924022</v>
      </c>
      <c r="E1425" s="86">
        <v>3926239.6918023131</v>
      </c>
      <c r="F1425" s="86" t="s">
        <v>1473</v>
      </c>
      <c r="G1425" s="25">
        <f t="shared" si="41"/>
        <v>-8.7617105965728248E-3</v>
      </c>
      <c r="I1425" s="86">
        <v>303.0935614969772</v>
      </c>
      <c r="J1425" s="86">
        <v>306.57921667362831</v>
      </c>
      <c r="K1425" s="86">
        <v>301.45635982309568</v>
      </c>
      <c r="L1425" s="86">
        <v>306.31515188751837</v>
      </c>
      <c r="M1425" s="86">
        <v>1506376.9231025167</v>
      </c>
      <c r="N1425" s="86" t="s">
        <v>1473</v>
      </c>
      <c r="O1425" s="25">
        <f t="shared" si="42"/>
        <v>-1.0517241379310427E-2</v>
      </c>
    </row>
    <row r="1426" spans="1:15">
      <c r="A1426" s="86">
        <v>382.45719264548836</v>
      </c>
      <c r="B1426" s="86">
        <v>384.47875475402998</v>
      </c>
      <c r="C1426" s="86">
        <v>380.37973481044315</v>
      </c>
      <c r="D1426" s="86">
        <v>384.30175162010238</v>
      </c>
      <c r="E1426" s="86">
        <v>5086263.615920906</v>
      </c>
      <c r="F1426" s="86" t="s">
        <v>1474</v>
      </c>
      <c r="G1426" s="25">
        <f t="shared" si="41"/>
        <v>-4.7997672840103256E-3</v>
      </c>
      <c r="I1426" s="86">
        <v>304.82758692576579</v>
      </c>
      <c r="J1426" s="86">
        <v>307.44182830825406</v>
      </c>
      <c r="K1426" s="86">
        <v>301.6940181305946</v>
      </c>
      <c r="L1426" s="86">
        <v>306.23593245168541</v>
      </c>
      <c r="M1426" s="86">
        <v>1691988.1919204493</v>
      </c>
      <c r="N1426" s="86" t="s">
        <v>1474</v>
      </c>
      <c r="O1426" s="25">
        <f t="shared" si="42"/>
        <v>-4.5988905176626016E-3</v>
      </c>
    </row>
    <row r="1427" spans="1:15">
      <c r="A1427" s="86">
        <v>381.56286102143298</v>
      </c>
      <c r="B1427" s="86">
        <v>386.70526785975107</v>
      </c>
      <c r="C1427" s="86">
        <v>381.40914777354851</v>
      </c>
      <c r="D1427" s="86">
        <v>386.32331372864411</v>
      </c>
      <c r="E1427" s="86">
        <v>4331825.617921331</v>
      </c>
      <c r="F1427" s="86" t="s">
        <v>1475</v>
      </c>
      <c r="G1427" s="25">
        <f t="shared" si="41"/>
        <v>-1.2322457739516346E-2</v>
      </c>
      <c r="I1427" s="86">
        <v>304.4490940656749</v>
      </c>
      <c r="J1427" s="86">
        <v>308.1460010712139</v>
      </c>
      <c r="K1427" s="86">
        <v>304.39628110845291</v>
      </c>
      <c r="L1427" s="86">
        <v>307.58266286084603</v>
      </c>
      <c r="M1427" s="86">
        <v>1388989.8210331947</v>
      </c>
      <c r="N1427" s="86" t="s">
        <v>1475</v>
      </c>
      <c r="O1427" s="25">
        <f t="shared" si="42"/>
        <v>-1.0187728937728791E-2</v>
      </c>
    </row>
    <row r="1428" spans="1:15">
      <c r="A1428" s="86">
        <v>384.53465048053346</v>
      </c>
      <c r="B1428" s="86">
        <v>387.60891543822362</v>
      </c>
      <c r="C1428" s="86">
        <v>384.34833139218864</v>
      </c>
      <c r="D1428" s="86">
        <v>385.99725532404057</v>
      </c>
      <c r="E1428" s="86">
        <v>4173301.8710396807</v>
      </c>
      <c r="F1428" s="86" t="s">
        <v>1476</v>
      </c>
      <c r="G1428" s="25">
        <f t="shared" si="41"/>
        <v>-3.7891586619683837E-3</v>
      </c>
      <c r="I1428" s="86">
        <v>307.13375272445916</v>
      </c>
      <c r="J1428" s="86">
        <v>309.57195091620753</v>
      </c>
      <c r="K1428" s="86">
        <v>306.19192165400045</v>
      </c>
      <c r="L1428" s="86">
        <v>308.52449393130479</v>
      </c>
      <c r="M1428" s="86">
        <v>1248578.823617717</v>
      </c>
      <c r="N1428" s="86" t="s">
        <v>1476</v>
      </c>
      <c r="O1428" s="25">
        <f t="shared" si="42"/>
        <v>-4.507717326181826E-3</v>
      </c>
    </row>
    <row r="1429" spans="1:15">
      <c r="A1429" s="86">
        <v>386.26741800214063</v>
      </c>
      <c r="B1429" s="86">
        <v>386.85432313042696</v>
      </c>
      <c r="C1429" s="86">
        <v>384.44437888223035</v>
      </c>
      <c r="D1429" s="86">
        <v>386.17425845796822</v>
      </c>
      <c r="E1429" s="86">
        <v>4307238.765115777</v>
      </c>
      <c r="F1429" s="86" t="s">
        <v>1477</v>
      </c>
      <c r="G1429" s="25">
        <f t="shared" si="41"/>
        <v>2.4123706366241393E-4</v>
      </c>
      <c r="I1429" s="86">
        <v>309.36069908731957</v>
      </c>
      <c r="J1429" s="86">
        <v>311.22675690916304</v>
      </c>
      <c r="K1429" s="86">
        <v>307.60026717992002</v>
      </c>
      <c r="L1429" s="86">
        <v>308.41886801686081</v>
      </c>
      <c r="M1429" s="86">
        <v>1380900.8969798724</v>
      </c>
      <c r="N1429" s="86" t="s">
        <v>1477</v>
      </c>
      <c r="O1429" s="25">
        <f t="shared" si="42"/>
        <v>3.0537401181540691E-3</v>
      </c>
    </row>
    <row r="1430" spans="1:15">
      <c r="A1430" s="86">
        <v>386.64005617883032</v>
      </c>
      <c r="B1430" s="86">
        <v>387.81386643540299</v>
      </c>
      <c r="C1430" s="86">
        <v>386.0717829593786</v>
      </c>
      <c r="D1430" s="86">
        <v>387.79523452656849</v>
      </c>
      <c r="E1430" s="86">
        <v>3802606.6265880596</v>
      </c>
      <c r="F1430" s="86" t="s">
        <v>1478</v>
      </c>
      <c r="G1430" s="25">
        <f t="shared" si="41"/>
        <v>-2.9788358517309765E-3</v>
      </c>
      <c r="I1430" s="86">
        <v>307.37141103195808</v>
      </c>
      <c r="J1430" s="86">
        <v>312.23020309638082</v>
      </c>
      <c r="K1430" s="86">
        <v>307.25698295797713</v>
      </c>
      <c r="L1430" s="86">
        <v>312.23020309638082</v>
      </c>
      <c r="M1430" s="86">
        <v>2311558.87535073</v>
      </c>
      <c r="N1430" s="86" t="s">
        <v>1478</v>
      </c>
      <c r="O1430" s="25">
        <f t="shared" si="42"/>
        <v>-1.5561569688768762E-2</v>
      </c>
    </row>
    <row r="1431" spans="1:15">
      <c r="A1431" s="86">
        <v>388.07471315908577</v>
      </c>
      <c r="B1431" s="86">
        <v>388.53054280872146</v>
      </c>
      <c r="C1431" s="86">
        <v>386.76116358625455</v>
      </c>
      <c r="D1431" s="86">
        <v>387.15243367177874</v>
      </c>
      <c r="E1431" s="86">
        <v>4018910.8193469141</v>
      </c>
      <c r="F1431" s="86" t="s">
        <v>1479</v>
      </c>
      <c r="G1431" s="25">
        <f t="shared" si="41"/>
        <v>2.3822128110111418E-3</v>
      </c>
      <c r="I1431" s="86">
        <v>313.35687951711651</v>
      </c>
      <c r="J1431" s="86">
        <v>315.35496973201498</v>
      </c>
      <c r="K1431" s="86">
        <v>313.0267985344791</v>
      </c>
      <c r="L1431" s="86">
        <v>315.16132222220102</v>
      </c>
      <c r="M1431" s="86">
        <v>1015301.9792968087</v>
      </c>
      <c r="N1431" s="86" t="s">
        <v>1479</v>
      </c>
      <c r="O1431" s="25">
        <f t="shared" si="42"/>
        <v>-5.7254573383604956E-3</v>
      </c>
    </row>
    <row r="1432" spans="1:15">
      <c r="A1432" s="86">
        <v>388.22376842976166</v>
      </c>
      <c r="B1432" s="86">
        <v>388.88520119338591</v>
      </c>
      <c r="C1432" s="86">
        <v>387.07324805923218</v>
      </c>
      <c r="D1432" s="86">
        <v>388.28898011068236</v>
      </c>
      <c r="E1432" s="86">
        <v>3045230.658008751</v>
      </c>
      <c r="F1432" s="86" t="s">
        <v>1480</v>
      </c>
      <c r="G1432" s="25">
        <f t="shared" si="41"/>
        <v>-1.6794625719773748E-4</v>
      </c>
      <c r="I1432" s="86">
        <v>315.16132222220102</v>
      </c>
      <c r="J1432" s="86">
        <v>315.7642701504854</v>
      </c>
      <c r="K1432" s="86">
        <v>312.93437585934061</v>
      </c>
      <c r="L1432" s="86">
        <v>314.06985443961332</v>
      </c>
      <c r="M1432" s="86">
        <v>2353512.2162834662</v>
      </c>
      <c r="N1432" s="86" t="s">
        <v>1480</v>
      </c>
      <c r="O1432" s="25">
        <f t="shared" si="42"/>
        <v>3.4752389226759828E-3</v>
      </c>
    </row>
    <row r="1433" spans="1:15">
      <c r="A1433" s="86">
        <v>387.06859008202355</v>
      </c>
      <c r="B1433" s="86">
        <v>388.09334506792021</v>
      </c>
      <c r="C1433" s="86">
        <v>386.76116358625455</v>
      </c>
      <c r="D1433" s="86">
        <v>387.59028352938913</v>
      </c>
      <c r="E1433" s="86">
        <v>3495476.5278507578</v>
      </c>
      <c r="F1433" s="86" t="s">
        <v>1481</v>
      </c>
      <c r="G1433" s="25">
        <f t="shared" si="41"/>
        <v>-1.345992068260915E-3</v>
      </c>
      <c r="I1433" s="86">
        <v>313.93782204655838</v>
      </c>
      <c r="J1433" s="86">
        <v>316.44643751460268</v>
      </c>
      <c r="K1433" s="86">
        <v>313.8321961321144</v>
      </c>
      <c r="L1433" s="86">
        <v>315.381376210626</v>
      </c>
      <c r="M1433" s="86">
        <v>1268175.1510047612</v>
      </c>
      <c r="N1433" s="86" t="s">
        <v>1481</v>
      </c>
      <c r="O1433" s="25">
        <f t="shared" si="42"/>
        <v>-4.5771699692994661E-3</v>
      </c>
    </row>
    <row r="1434" spans="1:15">
      <c r="A1434" s="86">
        <v>386.65868808766487</v>
      </c>
      <c r="B1434" s="86">
        <v>387.56233566613741</v>
      </c>
      <c r="C1434" s="86">
        <v>386.22083823005443</v>
      </c>
      <c r="D1434" s="86">
        <v>387.22696130711671</v>
      </c>
      <c r="E1434" s="86">
        <v>6508099.6841055555</v>
      </c>
      <c r="F1434" s="86" t="s">
        <v>1482</v>
      </c>
      <c r="G1434" s="25">
        <f t="shared" si="41"/>
        <v>-1.4675455901458356E-3</v>
      </c>
      <c r="I1434" s="86">
        <v>316.70170014117565</v>
      </c>
      <c r="J1434" s="86">
        <v>317.62592689256041</v>
      </c>
      <c r="K1434" s="86">
        <v>315.20533301988604</v>
      </c>
      <c r="L1434" s="86">
        <v>316.34961375969567</v>
      </c>
      <c r="M1434" s="86">
        <v>1231655.7038567215</v>
      </c>
      <c r="N1434" s="86" t="s">
        <v>1482</v>
      </c>
      <c r="O1434" s="25">
        <f t="shared" si="42"/>
        <v>1.1129660545354803E-3</v>
      </c>
    </row>
    <row r="1435" spans="1:15">
      <c r="A1435" s="86">
        <v>387.32012085128906</v>
      </c>
      <c r="B1435" s="86">
        <v>388.0653972046685</v>
      </c>
      <c r="C1435" s="86">
        <v>386.04383509612683</v>
      </c>
      <c r="D1435" s="86">
        <v>386.2953658653924</v>
      </c>
      <c r="E1435" s="86">
        <v>3018246.8419936444</v>
      </c>
      <c r="F1435" s="86" t="s">
        <v>1483</v>
      </c>
      <c r="G1435" s="25">
        <f t="shared" si="41"/>
        <v>2.6527757680989694E-3</v>
      </c>
      <c r="I1435" s="86">
        <v>316.39362457197029</v>
      </c>
      <c r="J1435" s="86">
        <v>318.06276370450018</v>
      </c>
      <c r="K1435" s="86">
        <v>316.13145612183467</v>
      </c>
      <c r="L1435" s="86">
        <v>316.56840353872735</v>
      </c>
      <c r="M1435" s="86">
        <v>1128327.9885394592</v>
      </c>
      <c r="N1435" s="86" t="s">
        <v>1483</v>
      </c>
      <c r="O1435" s="25">
        <f t="shared" si="42"/>
        <v>-5.5210489993096079E-4</v>
      </c>
    </row>
    <row r="1436" spans="1:15">
      <c r="A1436" s="86">
        <v>385.55008951201296</v>
      </c>
      <c r="B1436" s="86">
        <v>385.98793936962335</v>
      </c>
      <c r="C1436" s="86">
        <v>382.90435845751597</v>
      </c>
      <c r="D1436" s="86">
        <v>382.96957013843667</v>
      </c>
      <c r="E1436" s="86">
        <v>4167259.5486453362</v>
      </c>
      <c r="F1436" s="86" t="s">
        <v>1484</v>
      </c>
      <c r="G1436" s="25">
        <f t="shared" si="41"/>
        <v>6.7381838526843207E-3</v>
      </c>
      <c r="I1436" s="86">
        <v>316.34119088194313</v>
      </c>
      <c r="J1436" s="86">
        <v>318.38610479300075</v>
      </c>
      <c r="K1436" s="86">
        <v>315.63333606657704</v>
      </c>
      <c r="L1436" s="86">
        <v>317.47725416586405</v>
      </c>
      <c r="M1436" s="86">
        <v>1377569.6496401934</v>
      </c>
      <c r="N1436" s="86" t="s">
        <v>1484</v>
      </c>
      <c r="O1436" s="25">
        <f t="shared" si="42"/>
        <v>-3.5784084340334532E-3</v>
      </c>
    </row>
    <row r="1437" spans="1:15">
      <c r="A1437" s="86">
        <v>382.15908210413659</v>
      </c>
      <c r="B1437" s="86">
        <v>384.43217498194383</v>
      </c>
      <c r="C1437" s="86">
        <v>382.14045019530204</v>
      </c>
      <c r="D1437" s="86">
        <v>384.19927612151275</v>
      </c>
      <c r="E1437" s="86">
        <v>5053224.596383593</v>
      </c>
      <c r="F1437" s="86" t="s">
        <v>1485</v>
      </c>
      <c r="G1437" s="25">
        <f t="shared" si="41"/>
        <v>-5.3102495089837332E-3</v>
      </c>
      <c r="I1437" s="86">
        <v>316.01784979344256</v>
      </c>
      <c r="J1437" s="86">
        <v>316.33245193360528</v>
      </c>
      <c r="K1437" s="86">
        <v>312.19158865319702</v>
      </c>
      <c r="L1437" s="86">
        <v>313.81563481230364</v>
      </c>
      <c r="M1437" s="86">
        <v>1341617.9552424685</v>
      </c>
      <c r="N1437" s="86" t="s">
        <v>1485</v>
      </c>
      <c r="O1437" s="25">
        <f t="shared" si="42"/>
        <v>7.0175438596489226E-3</v>
      </c>
    </row>
    <row r="1438" spans="1:15">
      <c r="A1438" s="86">
        <v>384.40422711869206</v>
      </c>
      <c r="B1438" s="86">
        <v>384.94455247489213</v>
      </c>
      <c r="C1438" s="86">
        <v>383.50989549463679</v>
      </c>
      <c r="D1438" s="86">
        <v>383.87321771690927</v>
      </c>
      <c r="E1438" s="86">
        <v>3500888.748407213</v>
      </c>
      <c r="F1438" s="86" t="s">
        <v>1486</v>
      </c>
      <c r="G1438" s="25">
        <f t="shared" ref="G1438:G1501" si="43">A1438/D1438-1</f>
        <v>1.3832936950928243E-3</v>
      </c>
      <c r="I1438" s="86">
        <v>313.50977162047877</v>
      </c>
      <c r="J1438" s="86">
        <v>315.17017180467082</v>
      </c>
      <c r="K1438" s="86">
        <v>312.84648544163571</v>
      </c>
      <c r="L1438" s="86">
        <v>314.33123276423692</v>
      </c>
      <c r="M1438" s="86">
        <v>1091194.2297101074</v>
      </c>
      <c r="N1438" s="86" t="s">
        <v>1486</v>
      </c>
      <c r="O1438" s="25">
        <f t="shared" ref="O1438:O1501" si="44">I1438/L1438-1</f>
        <v>-2.6133615057408743E-3</v>
      </c>
    </row>
    <row r="1439" spans="1:15">
      <c r="A1439" s="86">
        <v>383.69621458298161</v>
      </c>
      <c r="B1439" s="86">
        <v>384.15269634942655</v>
      </c>
      <c r="C1439" s="86">
        <v>383.21178495328502</v>
      </c>
      <c r="D1439" s="86">
        <v>383.72416244623332</v>
      </c>
      <c r="E1439" s="86">
        <v>3227245.2884004097</v>
      </c>
      <c r="F1439" s="86" t="s">
        <v>1487</v>
      </c>
      <c r="G1439" s="25">
        <f t="shared" si="43"/>
        <v>-7.2833211944622889E-5</v>
      </c>
      <c r="I1439" s="86">
        <v>313.72824532892508</v>
      </c>
      <c r="J1439" s="86">
        <v>315.03034863126521</v>
      </c>
      <c r="K1439" s="86">
        <v>312.78443890843698</v>
      </c>
      <c r="L1439" s="86">
        <v>313.70202848391153</v>
      </c>
      <c r="M1439" s="86">
        <v>941475.98565862293</v>
      </c>
      <c r="N1439" s="86" t="s">
        <v>1487</v>
      </c>
      <c r="O1439" s="25">
        <f t="shared" si="44"/>
        <v>8.3572443379642536E-5</v>
      </c>
    </row>
    <row r="1440" spans="1:15">
      <c r="A1440" s="86">
        <v>383.09067754586084</v>
      </c>
      <c r="B1440" s="86">
        <v>383.8918496257437</v>
      </c>
      <c r="C1440" s="86">
        <v>381.23680261682955</v>
      </c>
      <c r="D1440" s="86">
        <v>381.25543452566399</v>
      </c>
      <c r="E1440" s="86">
        <v>3498726.8657811321</v>
      </c>
      <c r="F1440" s="86" t="s">
        <v>1488</v>
      </c>
      <c r="G1440" s="25">
        <f t="shared" si="43"/>
        <v>4.8136835675016698E-3</v>
      </c>
      <c r="I1440" s="86">
        <v>312.28631885317935</v>
      </c>
      <c r="J1440" s="86">
        <v>313.78941796729003</v>
      </c>
      <c r="K1440" s="86">
        <v>311.46485770942115</v>
      </c>
      <c r="L1440" s="86">
        <v>312.80191680511268</v>
      </c>
      <c r="M1440" s="86">
        <v>947511.0367838887</v>
      </c>
      <c r="N1440" s="86" t="s">
        <v>1488</v>
      </c>
      <c r="O1440" s="25">
        <f t="shared" si="44"/>
        <v>-1.6483209476448879E-3</v>
      </c>
    </row>
    <row r="1441" spans="1:15">
      <c r="A1441" s="86">
        <v>379.72761800123618</v>
      </c>
      <c r="B1441" s="86">
        <v>380.01641258817074</v>
      </c>
      <c r="C1441" s="86">
        <v>376.60677327145982</v>
      </c>
      <c r="D1441" s="86">
        <v>376.998043356984</v>
      </c>
      <c r="E1441" s="86">
        <v>3503206.2779949536</v>
      </c>
      <c r="F1441" s="86" t="s">
        <v>1489</v>
      </c>
      <c r="G1441" s="25">
        <f t="shared" si="43"/>
        <v>7.2402886231097696E-3</v>
      </c>
      <c r="I1441" s="86">
        <v>312.12901778309799</v>
      </c>
      <c r="J1441" s="86">
        <v>313.56220531050587</v>
      </c>
      <c r="K1441" s="86">
        <v>308.98299638147085</v>
      </c>
      <c r="L1441" s="86">
        <v>310.00545333699966</v>
      </c>
      <c r="M1441" s="86">
        <v>1035073.0603154284</v>
      </c>
      <c r="N1441" s="86" t="s">
        <v>1489</v>
      </c>
      <c r="O1441" s="25">
        <f t="shared" si="44"/>
        <v>6.8500873879462354E-3</v>
      </c>
    </row>
    <row r="1442" spans="1:15">
      <c r="A1442" s="86">
        <v>376.74651258771848</v>
      </c>
      <c r="B1442" s="86">
        <v>377.80853139128413</v>
      </c>
      <c r="C1442" s="86">
        <v>373.50549204595967</v>
      </c>
      <c r="D1442" s="86">
        <v>373.65361572119377</v>
      </c>
      <c r="E1442" s="86">
        <v>5909987.0538326083</v>
      </c>
      <c r="F1442" s="86" t="s">
        <v>1490</v>
      </c>
      <c r="G1442" s="25">
        <f t="shared" si="43"/>
        <v>8.2774439651951415E-3</v>
      </c>
      <c r="I1442" s="86">
        <v>309.38498800501208</v>
      </c>
      <c r="J1442" s="86">
        <v>314.5103812051629</v>
      </c>
      <c r="K1442" s="86">
        <v>308.98299638147085</v>
      </c>
      <c r="L1442" s="86">
        <v>310.43366180555449</v>
      </c>
      <c r="M1442" s="86">
        <v>1540097.2153253953</v>
      </c>
      <c r="N1442" s="86" t="s">
        <v>1490</v>
      </c>
      <c r="O1442" s="25">
        <f t="shared" si="44"/>
        <v>-3.3780930664641939E-3</v>
      </c>
    </row>
    <row r="1443" spans="1:15">
      <c r="A1443" s="86">
        <v>376.21550318593557</v>
      </c>
      <c r="B1443" s="86">
        <v>380.78963680480183</v>
      </c>
      <c r="C1443" s="86">
        <v>375.93602455341835</v>
      </c>
      <c r="D1443" s="86">
        <v>379.36429577896371</v>
      </c>
      <c r="E1443" s="86">
        <v>5236475.8150499519</v>
      </c>
      <c r="F1443" s="86" t="s">
        <v>1491</v>
      </c>
      <c r="G1443" s="25">
        <f t="shared" si="43"/>
        <v>-8.3001817199549466E-3</v>
      </c>
      <c r="I1443" s="86">
        <v>311.63089772784036</v>
      </c>
      <c r="J1443" s="86">
        <v>315.03908757960306</v>
      </c>
      <c r="K1443" s="86">
        <v>311.59594193448896</v>
      </c>
      <c r="L1443" s="86">
        <v>314.16519274581776</v>
      </c>
      <c r="M1443" s="86">
        <v>1099632.3159819522</v>
      </c>
      <c r="N1443" s="86" t="s">
        <v>1491</v>
      </c>
      <c r="O1443" s="25">
        <f t="shared" si="44"/>
        <v>-8.0667593880390243E-3</v>
      </c>
    </row>
    <row r="1444" spans="1:15">
      <c r="A1444" s="86">
        <v>380.30520717510524</v>
      </c>
      <c r="B1444" s="86">
        <v>381.06911543731917</v>
      </c>
      <c r="C1444" s="86">
        <v>377.58494848527033</v>
      </c>
      <c r="D1444" s="86">
        <v>380.47289435461562</v>
      </c>
      <c r="E1444" s="86">
        <v>5567063.5210502865</v>
      </c>
      <c r="F1444" s="86" t="s">
        <v>1492</v>
      </c>
      <c r="G1444" s="25">
        <f t="shared" si="43"/>
        <v>-4.4073357655294298E-4</v>
      </c>
      <c r="I1444" s="86">
        <v>316.00037189676692</v>
      </c>
      <c r="J1444" s="86">
        <v>316.81309409218721</v>
      </c>
      <c r="K1444" s="86">
        <v>313.43549055960705</v>
      </c>
      <c r="L1444" s="86">
        <v>313.77194007061433</v>
      </c>
      <c r="M1444" s="86">
        <v>1797877.6613136409</v>
      </c>
      <c r="N1444" s="86" t="s">
        <v>1492</v>
      </c>
      <c r="O1444" s="25">
        <f t="shared" si="44"/>
        <v>7.1020749199277589E-3</v>
      </c>
    </row>
    <row r="1445" spans="1:15">
      <c r="A1445" s="86">
        <v>382.82983082217805</v>
      </c>
      <c r="B1445" s="86">
        <v>382.89504250309875</v>
      </c>
      <c r="C1445" s="86">
        <v>379.29908409804295</v>
      </c>
      <c r="D1445" s="86">
        <v>380.75237298713284</v>
      </c>
      <c r="E1445" s="86">
        <v>3633721.0857691895</v>
      </c>
      <c r="F1445" s="86" t="s">
        <v>1493</v>
      </c>
      <c r="G1445" s="25">
        <f t="shared" si="43"/>
        <v>5.4561914315776061E-3</v>
      </c>
      <c r="I1445" s="86">
        <v>314.8206138711567</v>
      </c>
      <c r="J1445" s="86">
        <v>315.04782652794091</v>
      </c>
      <c r="K1445" s="86">
        <v>310.72204710070361</v>
      </c>
      <c r="L1445" s="86">
        <v>312.83687259846408</v>
      </c>
      <c r="M1445" s="86">
        <v>1860556.8280535792</v>
      </c>
      <c r="N1445" s="86" t="s">
        <v>1493</v>
      </c>
      <c r="O1445" s="25">
        <f t="shared" si="44"/>
        <v>6.3411363763337114E-3</v>
      </c>
    </row>
    <row r="1446" spans="1:15">
      <c r="A1446" s="86">
        <v>381.91686728928823</v>
      </c>
      <c r="B1446" s="86">
        <v>381.91686728928823</v>
      </c>
      <c r="C1446" s="86">
        <v>381.19022284474329</v>
      </c>
      <c r="D1446" s="86">
        <v>381.61875674793646</v>
      </c>
      <c r="E1446" s="86">
        <v>2419274.3964359458</v>
      </c>
      <c r="F1446" s="86" t="s">
        <v>1494</v>
      </c>
      <c r="G1446" s="25">
        <f t="shared" si="43"/>
        <v>7.8117371350461262E-4</v>
      </c>
      <c r="I1446" s="86">
        <v>312.83687259846408</v>
      </c>
      <c r="J1446" s="86">
        <v>315.53283816069171</v>
      </c>
      <c r="K1446" s="86">
        <v>312.42614202658496</v>
      </c>
      <c r="L1446" s="86">
        <v>314.8206138711567</v>
      </c>
      <c r="M1446" s="86">
        <v>1398719.791837442</v>
      </c>
      <c r="N1446" s="86" t="s">
        <v>1494</v>
      </c>
      <c r="O1446" s="25">
        <f t="shared" si="44"/>
        <v>-6.3011797362941824E-3</v>
      </c>
    </row>
    <row r="1447" spans="1:15">
      <c r="A1447" s="86">
        <v>381.16227498149152</v>
      </c>
      <c r="B1447" s="86">
        <v>381.3299621610019</v>
      </c>
      <c r="C1447" s="86">
        <v>379.13139691853263</v>
      </c>
      <c r="D1447" s="86">
        <v>379.92325304399827</v>
      </c>
      <c r="E1447" s="86">
        <v>2490837.6491249073</v>
      </c>
      <c r="F1447" s="86" t="s">
        <v>1495</v>
      </c>
      <c r="G1447" s="25">
        <f t="shared" si="43"/>
        <v>3.2612427051148529E-3</v>
      </c>
      <c r="I1447" s="86">
        <v>314.38366645426407</v>
      </c>
      <c r="J1447" s="86">
        <v>318.3598879479872</v>
      </c>
      <c r="K1447" s="86">
        <v>313.55346636216802</v>
      </c>
      <c r="L1447" s="86">
        <v>316.63831512543015</v>
      </c>
      <c r="M1447" s="86">
        <v>1151215.1818569491</v>
      </c>
      <c r="N1447" s="86" t="s">
        <v>1495</v>
      </c>
      <c r="O1447" s="25">
        <f t="shared" si="44"/>
        <v>-7.1205806861148746E-3</v>
      </c>
    </row>
    <row r="1448" spans="1:15">
      <c r="A1448" s="86">
        <v>380.05367640583967</v>
      </c>
      <c r="B1448" s="86">
        <v>380.15615190442935</v>
      </c>
      <c r="C1448" s="86">
        <v>379.07550119202921</v>
      </c>
      <c r="D1448" s="86">
        <v>380.09094022350865</v>
      </c>
      <c r="E1448" s="86">
        <v>3815422.2753828866</v>
      </c>
      <c r="F1448" s="86" t="s">
        <v>1496</v>
      </c>
      <c r="G1448" s="25">
        <f t="shared" si="43"/>
        <v>-9.8039215686296366E-5</v>
      </c>
      <c r="I1448" s="86">
        <v>317.4859931142019</v>
      </c>
      <c r="J1448" s="86">
        <v>318.40358268967651</v>
      </c>
      <c r="K1448" s="86">
        <v>315.47603499649568</v>
      </c>
      <c r="L1448" s="86">
        <v>316.74318250548436</v>
      </c>
      <c r="M1448" s="86">
        <v>1030186.8888507176</v>
      </c>
      <c r="N1448" s="86" t="s">
        <v>1496</v>
      </c>
      <c r="O1448" s="25">
        <f t="shared" si="44"/>
        <v>2.3451510553180732E-3</v>
      </c>
    </row>
    <row r="1449" spans="1:15">
      <c r="A1449" s="86">
        <v>379.1407128729499</v>
      </c>
      <c r="B1449" s="86">
        <v>379.78351372773966</v>
      </c>
      <c r="C1449" s="86">
        <v>378.44201629165667</v>
      </c>
      <c r="D1449" s="86">
        <v>379.07550119202921</v>
      </c>
      <c r="E1449" s="86">
        <v>2577009.174236082</v>
      </c>
      <c r="F1449" s="86" t="s">
        <v>1497</v>
      </c>
      <c r="G1449" s="25">
        <f t="shared" si="43"/>
        <v>1.7202821262696233E-4</v>
      </c>
      <c r="I1449" s="86">
        <v>316.5596645903895</v>
      </c>
      <c r="J1449" s="86">
        <v>317.27625835409344</v>
      </c>
      <c r="K1449" s="86">
        <v>314.68952964608894</v>
      </c>
      <c r="L1449" s="86">
        <v>314.76818018112959</v>
      </c>
      <c r="M1449" s="86">
        <v>963602.21784636274</v>
      </c>
      <c r="N1449" s="86" t="s">
        <v>1497</v>
      </c>
      <c r="O1449" s="25">
        <f t="shared" si="44"/>
        <v>5.6914406285573094E-3</v>
      </c>
    </row>
    <row r="1450" spans="1:15">
      <c r="A1450" s="86">
        <v>378.66559919767053</v>
      </c>
      <c r="B1450" s="86">
        <v>379.20517927751717</v>
      </c>
      <c r="C1450" s="86">
        <v>377.93895475312553</v>
      </c>
      <c r="D1450" s="86">
        <v>378.92644592135326</v>
      </c>
      <c r="E1450" s="86">
        <v>2130092.0025189393</v>
      </c>
      <c r="F1450" s="86" t="s">
        <v>1498</v>
      </c>
      <c r="G1450" s="25">
        <f t="shared" si="43"/>
        <v>-6.8838352796540825E-4</v>
      </c>
      <c r="I1450" s="86">
        <v>315.51099078984714</v>
      </c>
      <c r="J1450" s="86">
        <v>316.72098557670625</v>
      </c>
      <c r="K1450" s="86">
        <v>314.40988329927762</v>
      </c>
      <c r="L1450" s="86">
        <v>315.21386654636007</v>
      </c>
      <c r="M1450" s="86">
        <v>1081503.132254689</v>
      </c>
      <c r="N1450" s="86" t="s">
        <v>1498</v>
      </c>
      <c r="O1450" s="25">
        <f t="shared" si="44"/>
        <v>9.4261158857800176E-4</v>
      </c>
    </row>
    <row r="1451" spans="1:15">
      <c r="A1451" s="86">
        <v>379.02892141994295</v>
      </c>
      <c r="B1451" s="86">
        <v>379.32703196129472</v>
      </c>
      <c r="C1451" s="86">
        <v>378.38612056515319</v>
      </c>
      <c r="D1451" s="86">
        <v>378.63765133441876</v>
      </c>
      <c r="E1451" s="86">
        <v>2669531.0953829545</v>
      </c>
      <c r="F1451" s="86" t="s">
        <v>1499</v>
      </c>
      <c r="G1451" s="25">
        <f t="shared" si="43"/>
        <v>1.0333628579863863E-3</v>
      </c>
      <c r="I1451" s="86">
        <v>316.39362457197029</v>
      </c>
      <c r="J1451" s="86">
        <v>317.62581628760751</v>
      </c>
      <c r="K1451" s="86">
        <v>315.09152126963016</v>
      </c>
      <c r="L1451" s="86">
        <v>316.6120982804166</v>
      </c>
      <c r="M1451" s="86">
        <v>806127.89178368147</v>
      </c>
      <c r="N1451" s="86" t="s">
        <v>1499</v>
      </c>
      <c r="O1451" s="25">
        <f t="shared" si="44"/>
        <v>-6.9003588186578035E-4</v>
      </c>
    </row>
    <row r="1452" spans="1:15">
      <c r="A1452" s="86">
        <v>378.37680461073597</v>
      </c>
      <c r="B1452" s="86">
        <v>378.40475247398768</v>
      </c>
      <c r="C1452" s="86">
        <v>376.71856472446672</v>
      </c>
      <c r="D1452" s="86">
        <v>377.01667526581849</v>
      </c>
      <c r="E1452" s="86">
        <v>3276986.8370647435</v>
      </c>
      <c r="F1452" s="86" t="s">
        <v>1500</v>
      </c>
      <c r="G1452" s="25">
        <f t="shared" si="43"/>
        <v>3.6076105757352206E-3</v>
      </c>
      <c r="I1452" s="86">
        <v>315.28377813306292</v>
      </c>
      <c r="J1452" s="86">
        <v>317.24130256074199</v>
      </c>
      <c r="K1452" s="86">
        <v>314.49727278265613</v>
      </c>
      <c r="L1452" s="86">
        <v>316.73444355714656</v>
      </c>
      <c r="M1452" s="86">
        <v>1044653.1604331238</v>
      </c>
      <c r="N1452" s="86" t="s">
        <v>1500</v>
      </c>
      <c r="O1452" s="25">
        <f t="shared" si="44"/>
        <v>-4.5800684251187107E-3</v>
      </c>
    </row>
    <row r="1453" spans="1:15">
      <c r="A1453" s="86">
        <v>376.02918409759076</v>
      </c>
      <c r="B1453" s="86">
        <v>377.16573053649438</v>
      </c>
      <c r="C1453" s="86">
        <v>375.74970546507342</v>
      </c>
      <c r="D1453" s="86">
        <v>376.65335304354602</v>
      </c>
      <c r="E1453" s="86">
        <v>4165129.8688389086</v>
      </c>
      <c r="F1453" s="86" t="s">
        <v>1501</v>
      </c>
      <c r="G1453" s="25">
        <f t="shared" si="43"/>
        <v>-1.6571442704854666E-3</v>
      </c>
      <c r="I1453" s="86">
        <v>316.03532769011827</v>
      </c>
      <c r="J1453" s="86">
        <v>319.28621647179966</v>
      </c>
      <c r="K1453" s="86">
        <v>314.26132117753411</v>
      </c>
      <c r="L1453" s="86">
        <v>318.52592796640641</v>
      </c>
      <c r="M1453" s="86">
        <v>1840158.4925664749</v>
      </c>
      <c r="N1453" s="86" t="s">
        <v>1501</v>
      </c>
      <c r="O1453" s="25">
        <f t="shared" si="44"/>
        <v>-7.8191445581498042E-3</v>
      </c>
    </row>
    <row r="1454" spans="1:15">
      <c r="A1454" s="86">
        <v>377.83647925453585</v>
      </c>
      <c r="B1454" s="86">
        <v>377.91100688987382</v>
      </c>
      <c r="C1454" s="86">
        <v>373.49524449610072</v>
      </c>
      <c r="D1454" s="86">
        <v>375.50749065022512</v>
      </c>
      <c r="E1454" s="86">
        <v>4432855.5240206951</v>
      </c>
      <c r="F1454" s="86" t="s">
        <v>1502</v>
      </c>
      <c r="G1454" s="25">
        <f t="shared" si="43"/>
        <v>6.2022427309715855E-3</v>
      </c>
      <c r="I1454" s="86">
        <v>322.86044634198151</v>
      </c>
      <c r="J1454" s="86">
        <v>323.26243796552279</v>
      </c>
      <c r="K1454" s="86">
        <v>319.84550916542224</v>
      </c>
      <c r="L1454" s="86">
        <v>322.79927370361656</v>
      </c>
      <c r="M1454" s="86">
        <v>998902.80414960987</v>
      </c>
      <c r="N1454" s="86" t="s">
        <v>1502</v>
      </c>
      <c r="O1454" s="25">
        <f t="shared" si="44"/>
        <v>1.8950674102535814E-4</v>
      </c>
    </row>
    <row r="1455" spans="1:15">
      <c r="A1455" s="86">
        <v>374.80879406893195</v>
      </c>
      <c r="B1455" s="86">
        <v>377.63152825735654</v>
      </c>
      <c r="C1455" s="86">
        <v>374.44547184665947</v>
      </c>
      <c r="D1455" s="86">
        <v>377.09120290115641</v>
      </c>
      <c r="E1455" s="86">
        <v>6241695.4179568896</v>
      </c>
      <c r="F1455" s="86" t="s">
        <v>1503</v>
      </c>
      <c r="G1455" s="25">
        <f t="shared" si="43"/>
        <v>-6.0526705864912822E-3</v>
      </c>
      <c r="I1455" s="86">
        <v>321.85546728312846</v>
      </c>
      <c r="J1455" s="86">
        <v>327.7455184628414</v>
      </c>
      <c r="K1455" s="86">
        <v>321.66321041969564</v>
      </c>
      <c r="L1455" s="86">
        <v>325.35104661826966</v>
      </c>
      <c r="M1455" s="86">
        <v>1346229.494118999</v>
      </c>
      <c r="N1455" s="86" t="s">
        <v>1503</v>
      </c>
      <c r="O1455" s="25">
        <f t="shared" si="44"/>
        <v>-1.0744023636851896E-2</v>
      </c>
    </row>
    <row r="1456" spans="1:15">
      <c r="A1456" s="86">
        <v>375.57270233114582</v>
      </c>
      <c r="B1456" s="86">
        <v>376.85830404072533</v>
      </c>
      <c r="C1456" s="86">
        <v>374.9389379521408</v>
      </c>
      <c r="D1456" s="86">
        <v>375.05100888378024</v>
      </c>
      <c r="E1456" s="86">
        <v>5586631.0276991595</v>
      </c>
      <c r="F1456" s="86" t="s">
        <v>1504</v>
      </c>
      <c r="G1456" s="25">
        <f t="shared" si="43"/>
        <v>1.3909933182640888E-3</v>
      </c>
      <c r="I1456" s="86">
        <v>324.80049287298493</v>
      </c>
      <c r="J1456" s="86">
        <v>326.52206569554198</v>
      </c>
      <c r="K1456" s="86">
        <v>323.43721693227985</v>
      </c>
      <c r="L1456" s="86">
        <v>325.15005080649905</v>
      </c>
      <c r="M1456" s="86">
        <v>914021.88126018201</v>
      </c>
      <c r="N1456" s="86" t="s">
        <v>1504</v>
      </c>
      <c r="O1456" s="25">
        <f t="shared" si="44"/>
        <v>-1.0750665197408749E-3</v>
      </c>
    </row>
    <row r="1457" spans="1:15">
      <c r="A1457" s="86">
        <v>377.41726130575995</v>
      </c>
      <c r="B1457" s="86">
        <v>378.34885674748421</v>
      </c>
      <c r="C1457" s="86">
        <v>376.69061686121501</v>
      </c>
      <c r="D1457" s="86">
        <v>376.69993281563222</v>
      </c>
      <c r="E1457" s="86">
        <v>2441186.2683556038</v>
      </c>
      <c r="F1457" s="86" t="s">
        <v>1505</v>
      </c>
      <c r="G1457" s="25">
        <f t="shared" si="43"/>
        <v>1.9042437431993076E-3</v>
      </c>
      <c r="I1457" s="86">
        <v>325.61321506840528</v>
      </c>
      <c r="J1457" s="86">
        <v>328.46211222654534</v>
      </c>
      <c r="K1457" s="86">
        <v>324.52084652617361</v>
      </c>
      <c r="L1457" s="86">
        <v>327.57947844442219</v>
      </c>
      <c r="M1457" s="86">
        <v>863673.7177295466</v>
      </c>
      <c r="N1457" s="86" t="s">
        <v>1505</v>
      </c>
      <c r="O1457" s="25">
        <f t="shared" si="44"/>
        <v>-6.0024009603840689E-3</v>
      </c>
    </row>
    <row r="1458" spans="1:15">
      <c r="A1458" s="86">
        <v>375.79628523715968</v>
      </c>
      <c r="B1458" s="86">
        <v>377.07257099232197</v>
      </c>
      <c r="C1458" s="86">
        <v>374.53863139083194</v>
      </c>
      <c r="D1458" s="86">
        <v>376.52292968170462</v>
      </c>
      <c r="E1458" s="86">
        <v>4040090.6138331126</v>
      </c>
      <c r="F1458" s="86" t="s">
        <v>1506</v>
      </c>
      <c r="G1458" s="25">
        <f t="shared" si="43"/>
        <v>-1.9298809906722614E-3</v>
      </c>
      <c r="I1458" s="86">
        <v>325.79673298350019</v>
      </c>
      <c r="J1458" s="86">
        <v>328.79594005305137</v>
      </c>
      <c r="K1458" s="86">
        <v>323.85668645249677</v>
      </c>
      <c r="L1458" s="86">
        <v>328.5844575032753</v>
      </c>
      <c r="M1458" s="86">
        <v>887075.8471498749</v>
      </c>
      <c r="N1458" s="86" t="s">
        <v>1506</v>
      </c>
      <c r="O1458" s="25">
        <f t="shared" si="44"/>
        <v>-8.4840425531914621E-3</v>
      </c>
    </row>
    <row r="1459" spans="1:15">
      <c r="A1459" s="86">
        <v>376.00123623433905</v>
      </c>
      <c r="B1459" s="86">
        <v>376.78377640538741</v>
      </c>
      <c r="C1459" s="86">
        <v>373.38345304309377</v>
      </c>
      <c r="D1459" s="86">
        <v>376.78377640538741</v>
      </c>
      <c r="E1459" s="86">
        <v>3892327.975852387</v>
      </c>
      <c r="F1459" s="86" t="s">
        <v>1507</v>
      </c>
      <c r="G1459" s="25">
        <f t="shared" si="43"/>
        <v>-2.076894548151742E-3</v>
      </c>
      <c r="I1459" s="86">
        <v>327.47461106436799</v>
      </c>
      <c r="J1459" s="86">
        <v>328.19120482807193</v>
      </c>
      <c r="K1459" s="86">
        <v>321.81177254143915</v>
      </c>
      <c r="L1459" s="86">
        <v>321.81177254143915</v>
      </c>
      <c r="M1459" s="86">
        <v>1671346.4178217433</v>
      </c>
      <c r="N1459" s="86" t="s">
        <v>1507</v>
      </c>
      <c r="O1459" s="25">
        <f t="shared" si="44"/>
        <v>1.7596741344195754E-2</v>
      </c>
    </row>
    <row r="1460" spans="1:15">
      <c r="A1460" s="86">
        <v>377.67810802944274</v>
      </c>
      <c r="B1460" s="86">
        <v>377.68742398386001</v>
      </c>
      <c r="C1460" s="86">
        <v>376.19687127710114</v>
      </c>
      <c r="D1460" s="86">
        <v>376.29003082127355</v>
      </c>
      <c r="E1460" s="86">
        <v>2548671.766368201</v>
      </c>
      <c r="F1460" s="86" t="s">
        <v>1508</v>
      </c>
      <c r="G1460" s="25">
        <f t="shared" si="43"/>
        <v>3.6888492770845716E-3</v>
      </c>
      <c r="I1460" s="86">
        <v>321.63699357468209</v>
      </c>
      <c r="J1460" s="86">
        <v>327.15126997586742</v>
      </c>
      <c r="K1460" s="86">
        <v>320.19506709893631</v>
      </c>
      <c r="L1460" s="86">
        <v>325.9627730019194</v>
      </c>
      <c r="M1460" s="86">
        <v>3113262.4828726207</v>
      </c>
      <c r="N1460" s="86" t="s">
        <v>1508</v>
      </c>
      <c r="O1460" s="25">
        <f t="shared" si="44"/>
        <v>-1.3270777479892915E-2</v>
      </c>
    </row>
    <row r="1461" spans="1:15">
      <c r="A1461" s="86">
        <v>376.71856472446672</v>
      </c>
      <c r="B1461" s="86">
        <v>377.0632550379047</v>
      </c>
      <c r="C1461" s="86">
        <v>374.11009748763871</v>
      </c>
      <c r="D1461" s="86">
        <v>374.65973879825606</v>
      </c>
      <c r="E1461" s="86">
        <v>3383388.1734823342</v>
      </c>
      <c r="F1461" s="86" t="s">
        <v>1509</v>
      </c>
      <c r="G1461" s="25">
        <f t="shared" si="43"/>
        <v>5.495188601835066E-3</v>
      </c>
      <c r="I1461" s="86">
        <v>332.75293586043119</v>
      </c>
      <c r="J1461" s="86">
        <v>334.26477392287978</v>
      </c>
      <c r="K1461" s="86">
        <v>332.24607685683571</v>
      </c>
      <c r="L1461" s="86">
        <v>333.80160966097361</v>
      </c>
      <c r="M1461" s="86">
        <v>911201.1757190784</v>
      </c>
      <c r="N1461" s="86" t="s">
        <v>1509</v>
      </c>
      <c r="O1461" s="25">
        <f t="shared" si="44"/>
        <v>-3.1416079796844354E-3</v>
      </c>
    </row>
    <row r="1462" spans="1:15">
      <c r="A1462" s="86">
        <v>372.99218295756958</v>
      </c>
      <c r="B1462" s="86">
        <v>373.15987013707996</v>
      </c>
      <c r="C1462" s="86">
        <v>371.42710261547279</v>
      </c>
      <c r="D1462" s="86">
        <v>372.36801401161426</v>
      </c>
      <c r="E1462" s="86">
        <v>2764879.3506680941</v>
      </c>
      <c r="F1462" s="86" t="s">
        <v>1510</v>
      </c>
      <c r="G1462" s="25">
        <f t="shared" si="43"/>
        <v>1.6762152560607646E-3</v>
      </c>
      <c r="I1462" s="86">
        <v>332.01886420005155</v>
      </c>
      <c r="J1462" s="86">
        <v>333.43020435661481</v>
      </c>
      <c r="K1462" s="86">
        <v>330.18377243858578</v>
      </c>
      <c r="L1462" s="86">
        <v>332.73545796375549</v>
      </c>
      <c r="M1462" s="86">
        <v>787783.57919567684</v>
      </c>
      <c r="N1462" s="86" t="s">
        <v>1510</v>
      </c>
      <c r="O1462" s="25">
        <f t="shared" si="44"/>
        <v>-2.1536441234405457E-3</v>
      </c>
    </row>
    <row r="1463" spans="1:15">
      <c r="A1463" s="86">
        <v>372.20032683210388</v>
      </c>
      <c r="B1463" s="86">
        <v>372.28417042185913</v>
      </c>
      <c r="C1463" s="86">
        <v>370.09492113380702</v>
      </c>
      <c r="D1463" s="86">
        <v>370.29055617656917</v>
      </c>
      <c r="E1463" s="86">
        <v>3216633.3858972136</v>
      </c>
      <c r="F1463" s="86" t="s">
        <v>1511</v>
      </c>
      <c r="G1463" s="25">
        <f t="shared" si="43"/>
        <v>5.1574922008652546E-3</v>
      </c>
      <c r="I1463" s="86">
        <v>332.85780324048545</v>
      </c>
      <c r="J1463" s="86">
        <v>336.18734255720744</v>
      </c>
      <c r="K1463" s="86">
        <v>331.55569993814532</v>
      </c>
      <c r="L1463" s="86">
        <v>332.0625589417408</v>
      </c>
      <c r="M1463" s="86">
        <v>1056328.4783381461</v>
      </c>
      <c r="N1463" s="86" t="s">
        <v>1511</v>
      </c>
      <c r="O1463" s="25">
        <f t="shared" si="44"/>
        <v>2.3948628875205547E-3</v>
      </c>
    </row>
    <row r="1464" spans="1:15">
      <c r="A1464" s="86">
        <v>369.09811401116207</v>
      </c>
      <c r="B1464" s="86">
        <v>370.30918808540366</v>
      </c>
      <c r="C1464" s="86">
        <v>363.33153822688871</v>
      </c>
      <c r="D1464" s="86">
        <v>364.57521814159071</v>
      </c>
      <c r="E1464" s="86">
        <v>4339948.2424653005</v>
      </c>
      <c r="F1464" s="86" t="s">
        <v>1512</v>
      </c>
      <c r="G1464" s="25">
        <f t="shared" si="43"/>
        <v>1.2405933383587309E-2</v>
      </c>
      <c r="I1464" s="86">
        <v>332.0625589417408</v>
      </c>
      <c r="J1464" s="86">
        <v>332.63932953203908</v>
      </c>
      <c r="K1464" s="86">
        <v>325.9627730019194</v>
      </c>
      <c r="L1464" s="86">
        <v>325.9715119502572</v>
      </c>
      <c r="M1464" s="86">
        <v>1451468.7019097549</v>
      </c>
      <c r="N1464" s="86" t="s">
        <v>1512</v>
      </c>
      <c r="O1464" s="25">
        <f t="shared" si="44"/>
        <v>1.8685826117262438E-2</v>
      </c>
    </row>
    <row r="1465" spans="1:15">
      <c r="A1465" s="86">
        <v>363.95570717284403</v>
      </c>
      <c r="B1465" s="86">
        <v>365.42762797076836</v>
      </c>
      <c r="C1465" s="86">
        <v>361.39381970810223</v>
      </c>
      <c r="D1465" s="86">
        <v>364.98046215874069</v>
      </c>
      <c r="E1465" s="86">
        <v>13242020.567604937</v>
      </c>
      <c r="F1465" s="86" t="s">
        <v>1513</v>
      </c>
      <c r="G1465" s="25">
        <f t="shared" si="43"/>
        <v>-2.8076981979681115E-3</v>
      </c>
      <c r="I1465" s="86">
        <v>325.10635606480975</v>
      </c>
      <c r="J1465" s="86">
        <v>329.30105126697924</v>
      </c>
      <c r="K1465" s="86">
        <v>321.20878510612732</v>
      </c>
      <c r="L1465" s="86">
        <v>327.84164689455775</v>
      </c>
      <c r="M1465" s="86">
        <v>1553483.2653942918</v>
      </c>
      <c r="N1465" s="86" t="s">
        <v>1513</v>
      </c>
      <c r="O1465" s="25">
        <f t="shared" si="44"/>
        <v>-8.3433293349326476E-3</v>
      </c>
    </row>
    <row r="1466" spans="1:15">
      <c r="A1466" s="86">
        <v>369.48006814226903</v>
      </c>
      <c r="B1466" s="86">
        <v>373.45798067843174</v>
      </c>
      <c r="C1466" s="86">
        <v>369.04221828465859</v>
      </c>
      <c r="D1466" s="86">
        <v>373.42071686076275</v>
      </c>
      <c r="E1466" s="86">
        <v>4848190.3170761913</v>
      </c>
      <c r="F1466" s="86" t="s">
        <v>1514</v>
      </c>
      <c r="G1466" s="25">
        <f t="shared" si="43"/>
        <v>-1.0552839038020179E-2</v>
      </c>
      <c r="I1466" s="86">
        <v>329.58069761379051</v>
      </c>
      <c r="J1466" s="86">
        <v>331.83534628495664</v>
      </c>
      <c r="K1466" s="86">
        <v>327.95525322294986</v>
      </c>
      <c r="L1466" s="86">
        <v>330.87406196779278</v>
      </c>
      <c r="M1466" s="86">
        <v>1019582.6380395992</v>
      </c>
      <c r="N1466" s="86" t="s">
        <v>1514</v>
      </c>
      <c r="O1466" s="25">
        <f t="shared" si="44"/>
        <v>-3.9089324388569269E-3</v>
      </c>
    </row>
    <row r="1467" spans="1:15">
      <c r="A1467" s="86">
        <v>372.3773299660316</v>
      </c>
      <c r="B1467" s="86">
        <v>372.99218295756958</v>
      </c>
      <c r="C1467" s="86">
        <v>370.59332469512952</v>
      </c>
      <c r="D1467" s="86">
        <v>372.39596187486603</v>
      </c>
      <c r="E1467" s="86">
        <v>4813135.4010285605</v>
      </c>
      <c r="F1467" s="86" t="s">
        <v>1515</v>
      </c>
      <c r="G1467" s="25">
        <f t="shared" si="43"/>
        <v>-5.0032521138554387E-5</v>
      </c>
      <c r="I1467" s="86">
        <v>330.55072087929221</v>
      </c>
      <c r="J1467" s="86">
        <v>330.90027881280633</v>
      </c>
      <c r="K1467" s="86">
        <v>327.71056266949</v>
      </c>
      <c r="L1467" s="86">
        <v>327.8154300495442</v>
      </c>
      <c r="M1467" s="86">
        <v>816354.52278605173</v>
      </c>
      <c r="N1467" s="86" t="s">
        <v>1515</v>
      </c>
      <c r="O1467" s="25">
        <f t="shared" si="44"/>
        <v>8.3439965877585287E-3</v>
      </c>
    </row>
    <row r="1468" spans="1:15">
      <c r="A1468" s="86">
        <v>373.57908808585586</v>
      </c>
      <c r="B1468" s="86">
        <v>375.03237697494575</v>
      </c>
      <c r="C1468" s="86">
        <v>372.47048951020395</v>
      </c>
      <c r="D1468" s="86">
        <v>374.55726329966637</v>
      </c>
      <c r="E1468" s="86">
        <v>3576886.3293624809</v>
      </c>
      <c r="F1468" s="86" t="s">
        <v>1516</v>
      </c>
      <c r="G1468" s="25">
        <f t="shared" si="43"/>
        <v>-2.6115505148486262E-3</v>
      </c>
      <c r="I1468" s="86">
        <v>329.30105126697924</v>
      </c>
      <c r="J1468" s="86">
        <v>330.67428960878948</v>
      </c>
      <c r="K1468" s="86">
        <v>327.89408058458491</v>
      </c>
      <c r="L1468" s="86">
        <v>330.19242399744024</v>
      </c>
      <c r="M1468" s="86">
        <v>799868.55737806833</v>
      </c>
      <c r="N1468" s="86" t="s">
        <v>1516</v>
      </c>
      <c r="O1468" s="25">
        <f t="shared" si="44"/>
        <v>-2.6995553673512251E-3</v>
      </c>
    </row>
    <row r="1469" spans="1:15">
      <c r="A1469" s="86">
        <v>373.0667105929075</v>
      </c>
      <c r="B1469" s="86">
        <v>374.96716529402505</v>
      </c>
      <c r="C1469" s="86">
        <v>372.80586386922471</v>
      </c>
      <c r="D1469" s="86">
        <v>373.64429976677656</v>
      </c>
      <c r="E1469" s="86">
        <v>4629790.7941852063</v>
      </c>
      <c r="F1469" s="86" t="s">
        <v>1517</v>
      </c>
      <c r="G1469" s="25">
        <f t="shared" si="43"/>
        <v>-1.5458262690735136E-3</v>
      </c>
      <c r="I1469" s="86">
        <v>330.19242399744024</v>
      </c>
      <c r="J1469" s="86">
        <v>332.67865479955947</v>
      </c>
      <c r="K1469" s="86">
        <v>329.92588607313576</v>
      </c>
      <c r="L1469" s="86">
        <v>331.2061420046312</v>
      </c>
      <c r="M1469" s="86">
        <v>811853.98124724429</v>
      </c>
      <c r="N1469" s="86" t="s">
        <v>1517</v>
      </c>
      <c r="O1469" s="25">
        <f t="shared" si="44"/>
        <v>-3.0606860158310933E-3</v>
      </c>
    </row>
    <row r="1470" spans="1:15">
      <c r="A1470" s="86">
        <v>374.33368039365257</v>
      </c>
      <c r="B1470" s="86">
        <v>374.52931543641461</v>
      </c>
      <c r="C1470" s="86">
        <v>372.51706928229021</v>
      </c>
      <c r="D1470" s="86">
        <v>372.91765532223167</v>
      </c>
      <c r="E1470" s="86">
        <v>3144243.5941704749</v>
      </c>
      <c r="F1470" s="86" t="s">
        <v>1518</v>
      </c>
      <c r="G1470" s="25">
        <f t="shared" si="43"/>
        <v>3.7971521358981519E-3</v>
      </c>
      <c r="I1470" s="86">
        <v>331.26731464299615</v>
      </c>
      <c r="J1470" s="86">
        <v>334.9769982124148</v>
      </c>
      <c r="K1470" s="86">
        <v>328.78545331504591</v>
      </c>
      <c r="L1470" s="86">
        <v>333.7404370226086</v>
      </c>
      <c r="M1470" s="86">
        <v>1153662.8447991074</v>
      </c>
      <c r="N1470" s="86" t="s">
        <v>1518</v>
      </c>
      <c r="O1470" s="25">
        <f t="shared" si="44"/>
        <v>-7.4103168368684358E-3</v>
      </c>
    </row>
    <row r="1471" spans="1:15">
      <c r="A1471" s="86">
        <v>372.98286700315236</v>
      </c>
      <c r="B1471" s="86">
        <v>373.2437137268351</v>
      </c>
      <c r="C1471" s="86">
        <v>370.23466045006569</v>
      </c>
      <c r="D1471" s="86">
        <v>370.43029549282778</v>
      </c>
      <c r="E1471" s="86">
        <v>3576840.1719876439</v>
      </c>
      <c r="F1471" s="86" t="s">
        <v>1519</v>
      </c>
      <c r="G1471" s="25">
        <f t="shared" si="43"/>
        <v>6.8908281568293983E-3</v>
      </c>
      <c r="I1471" s="86">
        <v>334.79784977148881</v>
      </c>
      <c r="J1471" s="86">
        <v>335.91643515873403</v>
      </c>
      <c r="K1471" s="86">
        <v>332.75293586043119</v>
      </c>
      <c r="L1471" s="86">
        <v>334.43955288963684</v>
      </c>
      <c r="M1471" s="86">
        <v>621426.03320780816</v>
      </c>
      <c r="N1471" s="86" t="s">
        <v>1519</v>
      </c>
      <c r="O1471" s="25">
        <f t="shared" si="44"/>
        <v>1.0713352495426154E-3</v>
      </c>
    </row>
    <row r="1472" spans="1:15">
      <c r="A1472" s="86">
        <v>369.08879805674479</v>
      </c>
      <c r="B1472" s="86">
        <v>369.73159891153455</v>
      </c>
      <c r="C1472" s="86">
        <v>366.13564050647881</v>
      </c>
      <c r="D1472" s="86">
        <v>367.2349231277135</v>
      </c>
      <c r="E1472" s="86">
        <v>6244239.4407095276</v>
      </c>
      <c r="F1472" s="86" t="s">
        <v>1520</v>
      </c>
      <c r="G1472" s="25">
        <f t="shared" si="43"/>
        <v>5.0481988838151359E-3</v>
      </c>
      <c r="I1472" s="86">
        <v>332.0101252517137</v>
      </c>
      <c r="J1472" s="86">
        <v>333.55691910751369</v>
      </c>
      <c r="K1472" s="86">
        <v>330.27107453248095</v>
      </c>
      <c r="L1472" s="86">
        <v>331.66930626653738</v>
      </c>
      <c r="M1472" s="86">
        <v>1023680.385115742</v>
      </c>
      <c r="N1472" s="86" t="s">
        <v>1520</v>
      </c>
      <c r="O1472" s="25">
        <f t="shared" si="44"/>
        <v>1.0275867520355142E-3</v>
      </c>
    </row>
    <row r="1473" spans="1:15">
      <c r="A1473" s="86">
        <v>372.05127156142805</v>
      </c>
      <c r="B1473" s="86">
        <v>372.32143423952812</v>
      </c>
      <c r="C1473" s="86">
        <v>369.54527982318973</v>
      </c>
      <c r="D1473" s="86">
        <v>371.39915475222108</v>
      </c>
      <c r="E1473" s="86">
        <v>5096450.4412046745</v>
      </c>
      <c r="F1473" s="86" t="s">
        <v>1521</v>
      </c>
      <c r="G1473" s="25">
        <f t="shared" si="43"/>
        <v>1.7558381618882901E-3</v>
      </c>
      <c r="I1473" s="86">
        <v>335.12119085998938</v>
      </c>
      <c r="J1473" s="86">
        <v>336.09995307382894</v>
      </c>
      <c r="K1473" s="86">
        <v>329.81673660839596</v>
      </c>
      <c r="L1473" s="86">
        <v>330.69054405269793</v>
      </c>
      <c r="M1473" s="86">
        <v>1090691.8809342273</v>
      </c>
      <c r="N1473" s="86" t="s">
        <v>1521</v>
      </c>
      <c r="O1473" s="25">
        <f t="shared" si="44"/>
        <v>1.3398166010411883E-2</v>
      </c>
    </row>
    <row r="1474" spans="1:15">
      <c r="A1474" s="86">
        <v>370.77498580626576</v>
      </c>
      <c r="B1474" s="86">
        <v>371.69726529357285</v>
      </c>
      <c r="C1474" s="86">
        <v>368.25967811361022</v>
      </c>
      <c r="D1474" s="86">
        <v>371.49231429639349</v>
      </c>
      <c r="E1474" s="86">
        <v>4649385.1365171252</v>
      </c>
      <c r="F1474" s="86" t="s">
        <v>1522</v>
      </c>
      <c r="G1474" s="25">
        <f t="shared" si="43"/>
        <v>-1.9309376332222739E-3</v>
      </c>
      <c r="I1474" s="86">
        <v>330.91775670948209</v>
      </c>
      <c r="J1474" s="86">
        <v>332.37716108190352</v>
      </c>
      <c r="K1474" s="86">
        <v>326.56077923667868</v>
      </c>
      <c r="L1474" s="86">
        <v>332.0800368384165</v>
      </c>
      <c r="M1474" s="86">
        <v>1307641.3268747414</v>
      </c>
      <c r="N1474" s="86" t="s">
        <v>1522</v>
      </c>
      <c r="O1474" s="25">
        <f t="shared" si="44"/>
        <v>-3.4999999999998366E-3</v>
      </c>
    </row>
    <row r="1475" spans="1:15">
      <c r="A1475" s="86">
        <v>371.47368238755899</v>
      </c>
      <c r="B1475" s="86">
        <v>371.75316102007628</v>
      </c>
      <c r="C1475" s="86">
        <v>369.40088252972242</v>
      </c>
      <c r="D1475" s="86">
        <v>369.70365104828289</v>
      </c>
      <c r="E1475" s="86">
        <v>4683482.55539372</v>
      </c>
      <c r="F1475" s="86" t="s">
        <v>1523</v>
      </c>
      <c r="G1475" s="25">
        <f t="shared" si="43"/>
        <v>4.7877031624037336E-3</v>
      </c>
      <c r="I1475" s="86">
        <v>333.38214014075663</v>
      </c>
      <c r="J1475" s="86">
        <v>334.86776135819167</v>
      </c>
      <c r="K1475" s="86">
        <v>331.16244726294195</v>
      </c>
      <c r="L1475" s="86">
        <v>333.60935279754079</v>
      </c>
      <c r="M1475" s="86">
        <v>891222.79923140001</v>
      </c>
      <c r="N1475" s="86" t="s">
        <v>1523</v>
      </c>
      <c r="O1475" s="25">
        <f t="shared" si="44"/>
        <v>-6.8107400130967832E-4</v>
      </c>
    </row>
    <row r="1476" spans="1:15">
      <c r="A1476" s="86">
        <v>368.6695801079689</v>
      </c>
      <c r="B1476" s="86">
        <v>368.77205560655858</v>
      </c>
      <c r="C1476" s="86">
        <v>367.24069901945222</v>
      </c>
      <c r="D1476" s="86">
        <v>367.32808267188591</v>
      </c>
      <c r="E1476" s="86">
        <v>3665233.6916549196</v>
      </c>
      <c r="F1476" s="86" t="s">
        <v>1524</v>
      </c>
      <c r="G1476" s="25">
        <f t="shared" si="43"/>
        <v>3.6520415926959426E-3</v>
      </c>
      <c r="I1476" s="86">
        <v>332.27229370184932</v>
      </c>
      <c r="J1476" s="86">
        <v>333.05442957808714</v>
      </c>
      <c r="K1476" s="86">
        <v>329.64623972632444</v>
      </c>
      <c r="L1476" s="86">
        <v>329.72925973553407</v>
      </c>
      <c r="M1476" s="86">
        <v>861581.93284957204</v>
      </c>
      <c r="N1476" s="86" t="s">
        <v>1524</v>
      </c>
      <c r="O1476" s="25">
        <f t="shared" si="44"/>
        <v>7.7124910551005232E-3</v>
      </c>
    </row>
    <row r="1477" spans="1:15">
      <c r="A1477" s="86">
        <v>366.60143822734096</v>
      </c>
      <c r="B1477" s="86">
        <v>367.17064304223447</v>
      </c>
      <c r="C1477" s="86">
        <v>365.85616187396158</v>
      </c>
      <c r="D1477" s="86">
        <v>365.85616187396158</v>
      </c>
      <c r="E1477" s="86">
        <v>4074649.6064580772</v>
      </c>
      <c r="F1477" s="86" t="s">
        <v>1525</v>
      </c>
      <c r="G1477" s="25">
        <f t="shared" si="43"/>
        <v>2.0370747606435202E-3</v>
      </c>
      <c r="I1477" s="86">
        <v>330.63811036267077</v>
      </c>
      <c r="J1477" s="86">
        <v>331.58978183666301</v>
      </c>
      <c r="K1477" s="86">
        <v>326.50021832469736</v>
      </c>
      <c r="L1477" s="86">
        <v>327.27361525259732</v>
      </c>
      <c r="M1477" s="86">
        <v>1233140.3715160845</v>
      </c>
      <c r="N1477" s="86" t="s">
        <v>1525</v>
      </c>
      <c r="O1477" s="25">
        <f t="shared" si="44"/>
        <v>1.0280373831775824E-2</v>
      </c>
    </row>
    <row r="1478" spans="1:15">
      <c r="A1478" s="86">
        <v>366.26606386832026</v>
      </c>
      <c r="B1478" s="86">
        <v>366.9927083128652</v>
      </c>
      <c r="C1478" s="86">
        <v>365.8002661474581</v>
      </c>
      <c r="D1478" s="86">
        <v>366.44306700224786</v>
      </c>
      <c r="E1478" s="86">
        <v>3142593.7363768867</v>
      </c>
      <c r="F1478" s="86" t="s">
        <v>1526</v>
      </c>
      <c r="G1478" s="25">
        <f t="shared" si="43"/>
        <v>-4.8303038006858312E-4</v>
      </c>
      <c r="I1478" s="86">
        <v>326.32980883210922</v>
      </c>
      <c r="J1478" s="86">
        <v>332.42959477193062</v>
      </c>
      <c r="K1478" s="86">
        <v>326.17687723619679</v>
      </c>
      <c r="L1478" s="86">
        <v>331.97167387902715</v>
      </c>
      <c r="M1478" s="86">
        <v>1400722.3211262578</v>
      </c>
      <c r="N1478" s="86" t="s">
        <v>1526</v>
      </c>
      <c r="O1478" s="25">
        <f t="shared" si="44"/>
        <v>-1.6995019427392011E-2</v>
      </c>
    </row>
    <row r="1479" spans="1:15">
      <c r="A1479" s="86">
        <v>366.10499103243228</v>
      </c>
      <c r="B1479" s="86">
        <v>366.22568906660302</v>
      </c>
      <c r="C1479" s="86">
        <v>364.72160587155196</v>
      </c>
      <c r="D1479" s="86">
        <v>365.83574157158978</v>
      </c>
      <c r="E1479" s="86">
        <v>2604858.9950949848</v>
      </c>
      <c r="F1479" s="86" t="s">
        <v>1527</v>
      </c>
      <c r="G1479" s="25">
        <f t="shared" si="43"/>
        <v>7.3598456970280779E-4</v>
      </c>
      <c r="I1479" s="86">
        <v>332.14120947678151</v>
      </c>
      <c r="J1479" s="86">
        <v>334.46839141915177</v>
      </c>
      <c r="K1479" s="86">
        <v>331.04884093454984</v>
      </c>
      <c r="L1479" s="86">
        <v>333.53944121083799</v>
      </c>
      <c r="M1479" s="86">
        <v>890497.3114776233</v>
      </c>
      <c r="N1479" s="86" t="s">
        <v>1527</v>
      </c>
      <c r="O1479" s="25">
        <f t="shared" si="44"/>
        <v>-4.1921031257368124E-3</v>
      </c>
    </row>
    <row r="1480" spans="1:15">
      <c r="A1480" s="86">
        <v>365.34366497073978</v>
      </c>
      <c r="B1480" s="86">
        <v>365.73361246575303</v>
      </c>
      <c r="C1480" s="86">
        <v>364.45235641070951</v>
      </c>
      <c r="D1480" s="86">
        <v>364.78659712072084</v>
      </c>
      <c r="E1480" s="86">
        <v>3083717.0013341554</v>
      </c>
      <c r="F1480" s="86" t="s">
        <v>1528</v>
      </c>
      <c r="G1480" s="25">
        <f t="shared" si="43"/>
        <v>1.5271061338764103E-3</v>
      </c>
      <c r="I1480" s="86">
        <v>333.83656545432495</v>
      </c>
      <c r="J1480" s="86">
        <v>335.06875716996228</v>
      </c>
      <c r="K1480" s="86">
        <v>329.36222390534419</v>
      </c>
      <c r="L1480" s="86">
        <v>329.36222390534419</v>
      </c>
      <c r="M1480" s="86">
        <v>1954629.9325298977</v>
      </c>
      <c r="N1480" s="86" t="s">
        <v>1528</v>
      </c>
      <c r="O1480" s="25">
        <f t="shared" si="44"/>
        <v>1.3584865610655639E-2</v>
      </c>
    </row>
    <row r="1481" spans="1:15">
      <c r="A1481" s="86">
        <v>363.99741766652738</v>
      </c>
      <c r="B1481" s="86">
        <v>364.43239481275049</v>
      </c>
      <c r="C1481" s="86">
        <v>363.64460802818206</v>
      </c>
      <c r="D1481" s="86">
        <v>363.84886623985562</v>
      </c>
      <c r="E1481" s="86">
        <v>3218085.5526649463</v>
      </c>
      <c r="F1481" s="86" t="s">
        <v>1529</v>
      </c>
      <c r="G1481" s="25">
        <f t="shared" si="43"/>
        <v>4.0827783306562893E-4</v>
      </c>
      <c r="I1481" s="86">
        <v>330.09629556572389</v>
      </c>
      <c r="J1481" s="86">
        <v>332.07129789007865</v>
      </c>
      <c r="K1481" s="86">
        <v>329.32726811199285</v>
      </c>
      <c r="L1481" s="86">
        <v>331.66056731819958</v>
      </c>
      <c r="M1481" s="86">
        <v>1181994.6291772751</v>
      </c>
      <c r="N1481" s="86" t="s">
        <v>1529</v>
      </c>
      <c r="O1481" s="25">
        <f t="shared" si="44"/>
        <v>-4.7164839797638747E-3</v>
      </c>
    </row>
    <row r="1482" spans="1:15">
      <c r="A1482" s="86">
        <v>361.92698215729041</v>
      </c>
      <c r="B1482" s="86">
        <v>363.15253142733201</v>
      </c>
      <c r="C1482" s="86">
        <v>361.81556858728658</v>
      </c>
      <c r="D1482" s="86">
        <v>362.41905875814047</v>
      </c>
      <c r="E1482" s="86">
        <v>2589438.6113846195</v>
      </c>
      <c r="F1482" s="86" t="s">
        <v>1530</v>
      </c>
      <c r="G1482" s="25">
        <f t="shared" si="43"/>
        <v>-1.3577558601255424E-3</v>
      </c>
      <c r="I1482" s="86">
        <v>329.74673763220972</v>
      </c>
      <c r="J1482" s="86">
        <v>334.27351287121763</v>
      </c>
      <c r="K1482" s="86">
        <v>329.68556499384476</v>
      </c>
      <c r="L1482" s="86">
        <v>334.01134442108201</v>
      </c>
      <c r="M1482" s="86">
        <v>1171731.3804964807</v>
      </c>
      <c r="N1482" s="86" t="s">
        <v>1530</v>
      </c>
      <c r="O1482" s="25">
        <f t="shared" si="44"/>
        <v>-1.2767850134742686E-2</v>
      </c>
    </row>
    <row r="1483" spans="1:15">
      <c r="A1483" s="86">
        <v>362.31692965230366</v>
      </c>
      <c r="B1483" s="86">
        <v>363.10610910649706</v>
      </c>
      <c r="C1483" s="86">
        <v>359.74513307804966</v>
      </c>
      <c r="D1483" s="86">
        <v>360.46003681890727</v>
      </c>
      <c r="E1483" s="86">
        <v>2913945.2221930898</v>
      </c>
      <c r="F1483" s="86" t="s">
        <v>1531</v>
      </c>
      <c r="G1483" s="25">
        <f t="shared" si="43"/>
        <v>5.1514527096641061E-3</v>
      </c>
      <c r="I1483" s="86">
        <v>334.24729602620408</v>
      </c>
      <c r="J1483" s="86">
        <v>335.4707487935035</v>
      </c>
      <c r="K1483" s="86">
        <v>331.77417364659163</v>
      </c>
      <c r="L1483" s="86">
        <v>333.42583488244588</v>
      </c>
      <c r="M1483" s="86">
        <v>728004.07486594399</v>
      </c>
      <c r="N1483" s="86" t="s">
        <v>1531</v>
      </c>
      <c r="O1483" s="25">
        <f t="shared" si="44"/>
        <v>2.4636997431461971E-3</v>
      </c>
    </row>
    <row r="1484" spans="1:15">
      <c r="A1484" s="86">
        <v>360.40433003390535</v>
      </c>
      <c r="B1484" s="86">
        <v>360.59001931724498</v>
      </c>
      <c r="C1484" s="86">
        <v>356.19846776626252</v>
      </c>
      <c r="D1484" s="86">
        <v>356.98764722045598</v>
      </c>
      <c r="E1484" s="86">
        <v>4728090.8419155022</v>
      </c>
      <c r="F1484" s="86" t="s">
        <v>1532</v>
      </c>
      <c r="G1484" s="25">
        <f t="shared" si="43"/>
        <v>9.5708712613784552E-3</v>
      </c>
      <c r="I1484" s="86">
        <v>334.26477392287978</v>
      </c>
      <c r="J1484" s="86">
        <v>336.83402473420858</v>
      </c>
      <c r="K1484" s="86">
        <v>332.61311268702559</v>
      </c>
      <c r="L1484" s="86">
        <v>333.15492748397247</v>
      </c>
      <c r="M1484" s="86">
        <v>1358245.8141543453</v>
      </c>
      <c r="N1484" s="86" t="s">
        <v>1532</v>
      </c>
      <c r="O1484" s="25">
        <f t="shared" si="44"/>
        <v>3.3313222988746727E-3</v>
      </c>
    </row>
    <row r="1485" spans="1:15">
      <c r="A1485" s="86">
        <v>355.427857240403</v>
      </c>
      <c r="B1485" s="86">
        <v>357.8046800671504</v>
      </c>
      <c r="C1485" s="86">
        <v>355.14932331539353</v>
      </c>
      <c r="D1485" s="86">
        <v>357.25689668129849</v>
      </c>
      <c r="E1485" s="86">
        <v>5612720.2456466015</v>
      </c>
      <c r="F1485" s="86" t="s">
        <v>1533</v>
      </c>
      <c r="G1485" s="25">
        <f t="shared" si="43"/>
        <v>-5.1196756672471366E-3</v>
      </c>
      <c r="I1485" s="86">
        <v>331.37218202305041</v>
      </c>
      <c r="J1485" s="86">
        <v>333.91521598936566</v>
      </c>
      <c r="K1485" s="86">
        <v>331.2061420046312</v>
      </c>
      <c r="L1485" s="86">
        <v>332.22859896016001</v>
      </c>
      <c r="M1485" s="86">
        <v>2765142.7913048607</v>
      </c>
      <c r="N1485" s="86" t="s">
        <v>1533</v>
      </c>
      <c r="O1485" s="25">
        <f t="shared" si="44"/>
        <v>-2.5777941447246988E-3</v>
      </c>
    </row>
    <row r="1486" spans="1:15">
      <c r="A1486" s="86">
        <v>360.20935628639876</v>
      </c>
      <c r="B1486" s="86">
        <v>361.08209591809504</v>
      </c>
      <c r="C1486" s="86">
        <v>357.91609363715418</v>
      </c>
      <c r="D1486" s="86">
        <v>359.8844000405544</v>
      </c>
      <c r="E1486" s="86">
        <v>4378640.4114277447</v>
      </c>
      <c r="F1486" s="86" t="s">
        <v>1534</v>
      </c>
      <c r="G1486" s="25">
        <f t="shared" si="43"/>
        <v>9.0294618440744934E-4</v>
      </c>
      <c r="I1486" s="86">
        <v>334.6143318563939</v>
      </c>
      <c r="J1486" s="86">
        <v>336.90393632091138</v>
      </c>
      <c r="K1486" s="86">
        <v>331.70426205988883</v>
      </c>
      <c r="L1486" s="86">
        <v>335.82030672701762</v>
      </c>
      <c r="M1486" s="86">
        <v>1426366.1390476092</v>
      </c>
      <c r="N1486" s="86" t="s">
        <v>1534</v>
      </c>
      <c r="O1486" s="25">
        <f t="shared" si="44"/>
        <v>-3.5911314666389194E-3</v>
      </c>
    </row>
    <row r="1487" spans="1:15">
      <c r="A1487" s="86">
        <v>360.33933878473647</v>
      </c>
      <c r="B1487" s="86">
        <v>362.63260143398099</v>
      </c>
      <c r="C1487" s="86">
        <v>358.39888577383726</v>
      </c>
      <c r="D1487" s="86">
        <v>362.48275018232596</v>
      </c>
      <c r="E1487" s="86">
        <v>4517563.8836715156</v>
      </c>
      <c r="F1487" s="86" t="s">
        <v>1535</v>
      </c>
      <c r="G1487" s="25">
        <f t="shared" si="43"/>
        <v>-5.9131404087818806E-3</v>
      </c>
      <c r="I1487" s="86">
        <v>335.22605824004364</v>
      </c>
      <c r="J1487" s="86">
        <v>341.69532691558948</v>
      </c>
      <c r="K1487" s="86">
        <v>334.87650030652946</v>
      </c>
      <c r="L1487" s="86">
        <v>341.52683999163571</v>
      </c>
      <c r="M1487" s="86">
        <v>1744150.372645935</v>
      </c>
      <c r="N1487" s="86" t="s">
        <v>1535</v>
      </c>
      <c r="O1487" s="25">
        <f t="shared" si="44"/>
        <v>-1.8448862618663853E-2</v>
      </c>
    </row>
    <row r="1488" spans="1:15">
      <c r="A1488" s="86">
        <v>362.32621411647062</v>
      </c>
      <c r="B1488" s="86">
        <v>363.20823821233387</v>
      </c>
      <c r="C1488" s="86">
        <v>361.54622628180243</v>
      </c>
      <c r="D1488" s="86">
        <v>363.16181589149897</v>
      </c>
      <c r="E1488" s="86">
        <v>2590390.7395678954</v>
      </c>
      <c r="F1488" s="86" t="s">
        <v>1536</v>
      </c>
      <c r="G1488" s="25">
        <f t="shared" si="43"/>
        <v>-2.3009075802121748E-3</v>
      </c>
      <c r="I1488" s="86">
        <v>340.64420620951256</v>
      </c>
      <c r="J1488" s="86">
        <v>342.60610011136055</v>
      </c>
      <c r="K1488" s="86">
        <v>339.99752403251142</v>
      </c>
      <c r="L1488" s="86">
        <v>340.81898517626956</v>
      </c>
      <c r="M1488" s="86">
        <v>1080113.9490794763</v>
      </c>
      <c r="N1488" s="86" t="s">
        <v>1536</v>
      </c>
      <c r="O1488" s="25">
        <f t="shared" si="44"/>
        <v>-5.1282051282031116E-4</v>
      </c>
    </row>
    <row r="1489" spans="1:15">
      <c r="A1489" s="86">
        <v>363.08754017816312</v>
      </c>
      <c r="B1489" s="86">
        <v>363.08754017816312</v>
      </c>
      <c r="C1489" s="86">
        <v>361.16565609559785</v>
      </c>
      <c r="D1489" s="86">
        <v>362.2890762598027</v>
      </c>
      <c r="E1489" s="86">
        <v>2425778.1165330424</v>
      </c>
      <c r="F1489" s="86" t="s">
        <v>1537</v>
      </c>
      <c r="G1489" s="25">
        <f t="shared" si="43"/>
        <v>2.2039414674148716E-3</v>
      </c>
      <c r="I1489" s="86">
        <v>340.04121877420067</v>
      </c>
      <c r="J1489" s="86">
        <v>340.34271249185656</v>
      </c>
      <c r="K1489" s="86">
        <v>337.2185384610741</v>
      </c>
      <c r="L1489" s="86">
        <v>338.73037652352269</v>
      </c>
      <c r="M1489" s="86">
        <v>993830.11138542637</v>
      </c>
      <c r="N1489" s="86" t="s">
        <v>1537</v>
      </c>
      <c r="O1489" s="25">
        <f t="shared" si="44"/>
        <v>3.8698691984211386E-3</v>
      </c>
    </row>
    <row r="1490" spans="1:15">
      <c r="A1490" s="86">
        <v>362.17766268979886</v>
      </c>
      <c r="B1490" s="86">
        <v>362.27979179563567</v>
      </c>
      <c r="C1490" s="86">
        <v>360.9149755630894</v>
      </c>
      <c r="D1490" s="86">
        <v>362.09410251229605</v>
      </c>
      <c r="E1490" s="86">
        <v>2414248.1027299091</v>
      </c>
      <c r="F1490" s="86" t="s">
        <v>1538</v>
      </c>
      <c r="G1490" s="25">
        <f t="shared" si="43"/>
        <v>2.3076923076925659E-4</v>
      </c>
      <c r="I1490" s="86">
        <v>338.8265049552391</v>
      </c>
      <c r="J1490" s="86">
        <v>340.07617456755207</v>
      </c>
      <c r="K1490" s="86">
        <v>336.59807312908657</v>
      </c>
      <c r="L1490" s="86">
        <v>339.7528334790515</v>
      </c>
      <c r="M1490" s="86">
        <v>859629.75286858925</v>
      </c>
      <c r="N1490" s="86" t="s">
        <v>1538</v>
      </c>
      <c r="O1490" s="25">
        <f t="shared" si="44"/>
        <v>-2.7264776994700979E-3</v>
      </c>
    </row>
    <row r="1491" spans="1:15">
      <c r="A1491" s="86">
        <v>361.54631912644413</v>
      </c>
      <c r="B1491" s="86">
        <v>362.42806468838239</v>
      </c>
      <c r="C1491" s="86">
        <v>359.84726218388641</v>
      </c>
      <c r="D1491" s="86">
        <v>361.03567359726014</v>
      </c>
      <c r="E1491" s="86">
        <v>2813102.5690080384</v>
      </c>
      <c r="F1491" s="86" t="s">
        <v>1539</v>
      </c>
      <c r="G1491" s="25">
        <f t="shared" si="43"/>
        <v>1.4143907833152891E-3</v>
      </c>
      <c r="I1491" s="86">
        <v>338.8265049552391</v>
      </c>
      <c r="J1491" s="86">
        <v>340.5917725194854</v>
      </c>
      <c r="K1491" s="86">
        <v>337.40205637616901</v>
      </c>
      <c r="L1491" s="86">
        <v>340.06743561921422</v>
      </c>
      <c r="M1491" s="86">
        <v>1045684.1769412514</v>
      </c>
      <c r="N1491" s="86" t="s">
        <v>1539</v>
      </c>
      <c r="O1491" s="25">
        <f t="shared" si="44"/>
        <v>-3.6490723133062453E-3</v>
      </c>
    </row>
    <row r="1492" spans="1:15">
      <c r="A1492" s="86">
        <v>359.8844000405544</v>
      </c>
      <c r="B1492" s="86">
        <v>361.28635412976865</v>
      </c>
      <c r="C1492" s="86">
        <v>359.68942629304775</v>
      </c>
      <c r="D1492" s="86">
        <v>361.2399318089337</v>
      </c>
      <c r="E1492" s="86">
        <v>3196833.9223660552</v>
      </c>
      <c r="F1492" s="86" t="s">
        <v>1540</v>
      </c>
      <c r="G1492" s="25">
        <f t="shared" si="43"/>
        <v>-3.7524416572425334E-3</v>
      </c>
      <c r="I1492" s="86">
        <v>338.0225217081566</v>
      </c>
      <c r="J1492" s="86">
        <v>340.18104194760627</v>
      </c>
      <c r="K1492" s="86">
        <v>336.55437838739732</v>
      </c>
      <c r="L1492" s="86">
        <v>340.18104194760627</v>
      </c>
      <c r="M1492" s="86">
        <v>1197094.844317398</v>
      </c>
      <c r="N1492" s="86" t="s">
        <v>1540</v>
      </c>
      <c r="O1492" s="25">
        <f t="shared" si="44"/>
        <v>-6.345210265368384E-3</v>
      </c>
    </row>
    <row r="1493" spans="1:15">
      <c r="A1493" s="86">
        <v>360.4507523547403</v>
      </c>
      <c r="B1493" s="86">
        <v>361.2399318089337</v>
      </c>
      <c r="C1493" s="86">
        <v>358.78883326885051</v>
      </c>
      <c r="D1493" s="86">
        <v>361.16565609559785</v>
      </c>
      <c r="E1493" s="86">
        <v>2570548.9913865482</v>
      </c>
      <c r="F1493" s="86" t="s">
        <v>1541</v>
      </c>
      <c r="G1493" s="25">
        <f t="shared" si="43"/>
        <v>-1.9794344473006431E-3</v>
      </c>
      <c r="I1493" s="86">
        <v>339.53435977060514</v>
      </c>
      <c r="J1493" s="86">
        <v>343.1435454341385</v>
      </c>
      <c r="K1493" s="86">
        <v>338.25847331327861</v>
      </c>
      <c r="L1493" s="86">
        <v>342.13856637528539</v>
      </c>
      <c r="M1493" s="86">
        <v>1218642.0594650572</v>
      </c>
      <c r="N1493" s="86" t="s">
        <v>1541</v>
      </c>
      <c r="O1493" s="25">
        <f t="shared" si="44"/>
        <v>-7.6115552604021364E-3</v>
      </c>
    </row>
    <row r="1494" spans="1:15">
      <c r="A1494" s="86">
        <v>360.39504556973839</v>
      </c>
      <c r="B1494" s="86">
        <v>360.87783770642142</v>
      </c>
      <c r="C1494" s="86">
        <v>359.54087486637604</v>
      </c>
      <c r="D1494" s="86">
        <v>360.72000181558275</v>
      </c>
      <c r="E1494" s="86">
        <v>2693337.9837824963</v>
      </c>
      <c r="F1494" s="86" t="s">
        <v>1542</v>
      </c>
      <c r="G1494" s="25">
        <f t="shared" si="43"/>
        <v>-9.00854524863548E-4</v>
      </c>
      <c r="I1494" s="86">
        <v>342.13856637528539</v>
      </c>
      <c r="J1494" s="86">
        <v>345.81766362552156</v>
      </c>
      <c r="K1494" s="86">
        <v>340.47825358057668</v>
      </c>
      <c r="L1494" s="86">
        <v>345.22341513854752</v>
      </c>
      <c r="M1494" s="86">
        <v>1245045.6942137079</v>
      </c>
      <c r="N1494" s="86" t="s">
        <v>1542</v>
      </c>
      <c r="O1494" s="25">
        <f t="shared" si="44"/>
        <v>-8.9358039692183366E-3</v>
      </c>
    </row>
    <row r="1495" spans="1:15">
      <c r="A1495" s="86">
        <v>360.70143288724876</v>
      </c>
      <c r="B1495" s="86">
        <v>360.97996681225823</v>
      </c>
      <c r="C1495" s="86">
        <v>359.08593612219391</v>
      </c>
      <c r="D1495" s="86">
        <v>359.13235844302881</v>
      </c>
      <c r="E1495" s="86">
        <v>2830688.9366285484</v>
      </c>
      <c r="F1495" s="86" t="s">
        <v>1543</v>
      </c>
      <c r="G1495" s="25">
        <f t="shared" si="43"/>
        <v>4.3690700860887777E-3</v>
      </c>
      <c r="I1495" s="86">
        <v>344.40195399478938</v>
      </c>
      <c r="J1495" s="86">
        <v>345.64288465876444</v>
      </c>
      <c r="K1495" s="86">
        <v>338.73037652352269</v>
      </c>
      <c r="L1495" s="86">
        <v>339.07119550869896</v>
      </c>
      <c r="M1495" s="86">
        <v>2101185.3246075036</v>
      </c>
      <c r="N1495" s="86" t="s">
        <v>1543</v>
      </c>
      <c r="O1495" s="25">
        <f t="shared" si="44"/>
        <v>1.5721649484536249E-2</v>
      </c>
    </row>
    <row r="1496" spans="1:15">
      <c r="A1496" s="86">
        <v>357.46115489297205</v>
      </c>
      <c r="B1496" s="86">
        <v>358.48244595134008</v>
      </c>
      <c r="C1496" s="86">
        <v>355.31644367039922</v>
      </c>
      <c r="D1496" s="86">
        <v>356.68125990294561</v>
      </c>
      <c r="E1496" s="86">
        <v>3652289.3933493192</v>
      </c>
      <c r="F1496" s="86" t="s">
        <v>1544</v>
      </c>
      <c r="G1496" s="25">
        <f t="shared" si="43"/>
        <v>2.186532004060604E-3</v>
      </c>
      <c r="I1496" s="86">
        <v>338.50316386673853</v>
      </c>
      <c r="J1496" s="86">
        <v>338.66920388515774</v>
      </c>
      <c r="K1496" s="86">
        <v>334.7847413489821</v>
      </c>
      <c r="L1496" s="86">
        <v>335.36588141344924</v>
      </c>
      <c r="M1496" s="86">
        <v>1887984.613495653</v>
      </c>
      <c r="N1496" s="86" t="s">
        <v>1544</v>
      </c>
      <c r="O1496" s="25">
        <f t="shared" si="44"/>
        <v>9.3548050865124299E-3</v>
      </c>
    </row>
    <row r="1497" spans="1:15">
      <c r="A1497" s="86">
        <v>358.82597112551844</v>
      </c>
      <c r="B1497" s="86">
        <v>359.53159040220908</v>
      </c>
      <c r="C1497" s="86">
        <v>357.88824024465328</v>
      </c>
      <c r="D1497" s="86">
        <v>358.79811773301748</v>
      </c>
      <c r="E1497" s="86">
        <v>3456517.1907418692</v>
      </c>
      <c r="F1497" s="86" t="s">
        <v>1545</v>
      </c>
      <c r="G1497" s="25">
        <f t="shared" si="43"/>
        <v>7.7629706300985646E-5</v>
      </c>
      <c r="I1497" s="86">
        <v>336.52816154238371</v>
      </c>
      <c r="J1497" s="86">
        <v>336.88645842423568</v>
      </c>
      <c r="K1497" s="86">
        <v>332.63059058370123</v>
      </c>
      <c r="L1497" s="86">
        <v>333.83656545432495</v>
      </c>
      <c r="M1497" s="86">
        <v>1153043.7771732507</v>
      </c>
      <c r="N1497" s="86" t="s">
        <v>1545</v>
      </c>
      <c r="O1497" s="25">
        <f t="shared" si="44"/>
        <v>8.0626161618806425E-3</v>
      </c>
    </row>
    <row r="1498" spans="1:15">
      <c r="A1498" s="86">
        <v>358.2224809546646</v>
      </c>
      <c r="B1498" s="86">
        <v>360.81284645725259</v>
      </c>
      <c r="C1498" s="86">
        <v>357.8046800671504</v>
      </c>
      <c r="D1498" s="86">
        <v>360.70143288724876</v>
      </c>
      <c r="E1498" s="86">
        <v>4727297.0427400786</v>
      </c>
      <c r="F1498" s="86" t="s">
        <v>1546</v>
      </c>
      <c r="G1498" s="25">
        <f t="shared" si="43"/>
        <v>-6.8725868725867389E-3</v>
      </c>
      <c r="I1498" s="86">
        <v>333.7579149192843</v>
      </c>
      <c r="J1498" s="86">
        <v>335.95139095208543</v>
      </c>
      <c r="K1498" s="86">
        <v>333.06753800059391</v>
      </c>
      <c r="L1498" s="86">
        <v>335.77661198532837</v>
      </c>
      <c r="M1498" s="86">
        <v>1101087.8686993087</v>
      </c>
      <c r="N1498" s="86" t="s">
        <v>1546</v>
      </c>
      <c r="O1498" s="25">
        <f t="shared" si="44"/>
        <v>-6.0120240480961984E-3</v>
      </c>
    </row>
    <row r="1499" spans="1:15">
      <c r="A1499" s="86">
        <v>358.50101487967407</v>
      </c>
      <c r="B1499" s="86">
        <v>359.55944379470998</v>
      </c>
      <c r="C1499" s="86">
        <v>358.32461006050141</v>
      </c>
      <c r="D1499" s="86">
        <v>359.33661665470242</v>
      </c>
      <c r="E1499" s="86">
        <v>3630922.5167658012</v>
      </c>
      <c r="F1499" s="86" t="s">
        <v>1547</v>
      </c>
      <c r="G1499" s="25">
        <f t="shared" si="43"/>
        <v>-2.325401131695104E-3</v>
      </c>
      <c r="I1499" s="86">
        <v>334.00260547274416</v>
      </c>
      <c r="J1499" s="86">
        <v>337.32340584112836</v>
      </c>
      <c r="K1499" s="86">
        <v>333.40835698577018</v>
      </c>
      <c r="L1499" s="86">
        <v>336.18734255720744</v>
      </c>
      <c r="M1499" s="86">
        <v>1071358.891028773</v>
      </c>
      <c r="N1499" s="86" t="s">
        <v>1547</v>
      </c>
      <c r="O1499" s="25">
        <f t="shared" si="44"/>
        <v>-6.4985703145308271E-3</v>
      </c>
    </row>
    <row r="1500" spans="1:15">
      <c r="A1500" s="86">
        <v>357.8046800671504</v>
      </c>
      <c r="B1500" s="86">
        <v>359.10450505052785</v>
      </c>
      <c r="C1500" s="86">
        <v>357.74897328214848</v>
      </c>
      <c r="D1500" s="86">
        <v>358.64176735644554</v>
      </c>
      <c r="E1500" s="86">
        <v>3248290.8499181061</v>
      </c>
      <c r="F1500" s="86" t="s">
        <v>1548</v>
      </c>
      <c r="G1500" s="25">
        <f t="shared" si="43"/>
        <v>-2.3340485283276369E-3</v>
      </c>
      <c r="I1500" s="86">
        <v>336.26599309224804</v>
      </c>
      <c r="J1500" s="86">
        <v>336.75208967742486</v>
      </c>
      <c r="K1500" s="86">
        <v>333.56642098528374</v>
      </c>
      <c r="L1500" s="86">
        <v>336.27467338841188</v>
      </c>
      <c r="M1500" s="86">
        <v>4584326.300480539</v>
      </c>
      <c r="N1500" s="86" t="s">
        <v>1548</v>
      </c>
      <c r="O1500" s="25">
        <f t="shared" si="44"/>
        <v>-2.5813113061379234E-5</v>
      </c>
    </row>
    <row r="1501" spans="1:15">
      <c r="A1501" s="86">
        <v>357.64684417631167</v>
      </c>
      <c r="B1501" s="86">
        <v>358.14820524132875</v>
      </c>
      <c r="C1501" s="86">
        <v>356.58841526127577</v>
      </c>
      <c r="D1501" s="86">
        <v>357.5354306063079</v>
      </c>
      <c r="E1501" s="86">
        <v>2846373.2020186679</v>
      </c>
      <c r="F1501" s="86" t="s">
        <v>1549</v>
      </c>
      <c r="G1501" s="25">
        <f t="shared" si="43"/>
        <v>3.1161546651437E-4</v>
      </c>
      <c r="I1501" s="86">
        <v>333.43621654282566</v>
      </c>
      <c r="J1501" s="86">
        <v>335.1166350771897</v>
      </c>
      <c r="K1501" s="86">
        <v>331.76968648232383</v>
      </c>
      <c r="L1501" s="86">
        <v>334.68617919042327</v>
      </c>
      <c r="M1501" s="86">
        <v>1151592.0437835292</v>
      </c>
      <c r="N1501" s="86" t="s">
        <v>1549</v>
      </c>
      <c r="O1501" s="25">
        <f t="shared" si="44"/>
        <v>-3.7347303991492886E-3</v>
      </c>
    </row>
    <row r="1502" spans="1:15">
      <c r="A1502" s="86">
        <v>356.99693168462295</v>
      </c>
      <c r="B1502" s="86">
        <v>359.08593612219391</v>
      </c>
      <c r="C1502" s="86">
        <v>356.46771722710503</v>
      </c>
      <c r="D1502" s="86">
        <v>358.75169541218253</v>
      </c>
      <c r="E1502" s="86">
        <v>4342530.6269565765</v>
      </c>
      <c r="F1502" s="86" t="s">
        <v>1550</v>
      </c>
      <c r="G1502" s="25">
        <f t="shared" ref="G1502:G1565" si="45">A1502/D1502-1</f>
        <v>-4.891304347826031E-3</v>
      </c>
      <c r="I1502" s="86">
        <v>334.92922748301174</v>
      </c>
      <c r="J1502" s="86">
        <v>338.09753558282506</v>
      </c>
      <c r="K1502" s="86">
        <v>334.34764764003228</v>
      </c>
      <c r="L1502" s="86">
        <v>336.70868819660552</v>
      </c>
      <c r="M1502" s="86">
        <v>1127346.3272749216</v>
      </c>
      <c r="N1502" s="86" t="s">
        <v>1550</v>
      </c>
      <c r="O1502" s="25">
        <f t="shared" ref="O1502:O1565" si="46">I1502/L1502-1</f>
        <v>-5.2848672338230429E-3</v>
      </c>
    </row>
    <row r="1503" spans="1:15">
      <c r="A1503" s="86">
        <v>357.74897328214848</v>
      </c>
      <c r="B1503" s="86">
        <v>358.75169541218253</v>
      </c>
      <c r="C1503" s="86">
        <v>356.00349401875593</v>
      </c>
      <c r="D1503" s="86">
        <v>356.23560562293045</v>
      </c>
      <c r="E1503" s="86">
        <v>3190763.5666636303</v>
      </c>
      <c r="F1503" s="86" t="s">
        <v>1551</v>
      </c>
      <c r="G1503" s="25">
        <f t="shared" si="45"/>
        <v>4.2482212202559211E-3</v>
      </c>
      <c r="I1503" s="86">
        <v>336.54376256949195</v>
      </c>
      <c r="J1503" s="86">
        <v>338.31454298692188</v>
      </c>
      <c r="K1503" s="86">
        <v>335.02679401189363</v>
      </c>
      <c r="L1503" s="86">
        <v>338.09753558282506</v>
      </c>
      <c r="M1503" s="86">
        <v>1073029.056170468</v>
      </c>
      <c r="N1503" s="86" t="s">
        <v>1551</v>
      </c>
      <c r="O1503" s="25">
        <f t="shared" si="46"/>
        <v>-4.5956354300384916E-3</v>
      </c>
    </row>
    <row r="1504" spans="1:15">
      <c r="A1504" s="86">
        <v>354.1744545778605</v>
      </c>
      <c r="B1504" s="86">
        <v>356.94122489962109</v>
      </c>
      <c r="C1504" s="86">
        <v>353.74736922617927</v>
      </c>
      <c r="D1504" s="86">
        <v>355.80852027124934</v>
      </c>
      <c r="E1504" s="86">
        <v>3842389.755444177</v>
      </c>
      <c r="F1504" s="86" t="s">
        <v>1552</v>
      </c>
      <c r="G1504" s="25">
        <f t="shared" si="45"/>
        <v>-4.5925423374997276E-3</v>
      </c>
      <c r="I1504" s="86">
        <v>336.11842805746221</v>
      </c>
      <c r="J1504" s="86">
        <v>340.43253525090671</v>
      </c>
      <c r="K1504" s="86">
        <v>334.67749889425943</v>
      </c>
      <c r="L1504" s="86">
        <v>337.92392965954764</v>
      </c>
      <c r="M1504" s="86">
        <v>1028168.8356608617</v>
      </c>
      <c r="N1504" s="86" t="s">
        <v>1552</v>
      </c>
      <c r="O1504" s="25">
        <f t="shared" si="46"/>
        <v>-5.3429231954790213E-3</v>
      </c>
    </row>
    <row r="1505" spans="1:15">
      <c r="A1505" s="86">
        <v>354.44370403870295</v>
      </c>
      <c r="B1505" s="86">
        <v>355.58569313124173</v>
      </c>
      <c r="C1505" s="86">
        <v>351.37054639943193</v>
      </c>
      <c r="D1505" s="86">
        <v>351.48195996943571</v>
      </c>
      <c r="E1505" s="86">
        <v>5144846.1796936849</v>
      </c>
      <c r="F1505" s="86" t="s">
        <v>1553</v>
      </c>
      <c r="G1505" s="25">
        <f t="shared" si="45"/>
        <v>8.4264468922523594E-3</v>
      </c>
      <c r="I1505" s="86">
        <v>337.07326063548817</v>
      </c>
      <c r="J1505" s="86">
        <v>338.13225676748061</v>
      </c>
      <c r="K1505" s="86">
        <v>335.12019399861691</v>
      </c>
      <c r="L1505" s="86">
        <v>335.74517532241572</v>
      </c>
      <c r="M1505" s="86">
        <v>1261105.5882587137</v>
      </c>
      <c r="N1505" s="86" t="s">
        <v>1553</v>
      </c>
      <c r="O1505" s="25">
        <f t="shared" si="46"/>
        <v>3.9556348406111219E-3</v>
      </c>
    </row>
    <row r="1506" spans="1:15">
      <c r="A1506" s="86">
        <v>350.70206497940922</v>
      </c>
      <c r="B1506" s="86">
        <v>350.80419408524602</v>
      </c>
      <c r="C1506" s="86">
        <v>345.95770379008144</v>
      </c>
      <c r="D1506" s="86">
        <v>347.29466663012687</v>
      </c>
      <c r="E1506" s="86">
        <v>5478259.0664608767</v>
      </c>
      <c r="F1506" s="86" t="s">
        <v>1554</v>
      </c>
      <c r="G1506" s="25">
        <f t="shared" si="45"/>
        <v>9.8112602256321679E-3</v>
      </c>
      <c r="I1506" s="86">
        <v>334.66013830193168</v>
      </c>
      <c r="J1506" s="86">
        <v>334.82506392904526</v>
      </c>
      <c r="K1506" s="86">
        <v>331.02309420926917</v>
      </c>
      <c r="L1506" s="86">
        <v>334.19140230908255</v>
      </c>
      <c r="M1506" s="86">
        <v>1146259.2764301915</v>
      </c>
      <c r="N1506" s="86" t="s">
        <v>1554</v>
      </c>
      <c r="O1506" s="25">
        <f t="shared" si="46"/>
        <v>1.4025974025975163E-3</v>
      </c>
    </row>
    <row r="1507" spans="1:15">
      <c r="A1507" s="86">
        <v>351.63051139610741</v>
      </c>
      <c r="B1507" s="86">
        <v>355.10290099455869</v>
      </c>
      <c r="C1507" s="86">
        <v>351.45410657693475</v>
      </c>
      <c r="D1507" s="86">
        <v>354.89864278288508</v>
      </c>
      <c r="E1507" s="86">
        <v>3369402.8473125147</v>
      </c>
      <c r="F1507" s="86" t="s">
        <v>1555</v>
      </c>
      <c r="G1507" s="25">
        <f t="shared" si="45"/>
        <v>-9.2086330935252647E-3</v>
      </c>
      <c r="I1507" s="86">
        <v>336.11842805746221</v>
      </c>
      <c r="J1507" s="86">
        <v>342.15123389135346</v>
      </c>
      <c r="K1507" s="86">
        <v>335.99690391116798</v>
      </c>
      <c r="L1507" s="86">
        <v>339.63394800383048</v>
      </c>
      <c r="M1507" s="86">
        <v>1350253.4681686999</v>
      </c>
      <c r="N1507" s="86" t="s">
        <v>1555</v>
      </c>
      <c r="O1507" s="25">
        <f t="shared" si="46"/>
        <v>-1.0350908579753071E-2</v>
      </c>
    </row>
    <row r="1508" spans="1:15">
      <c r="A1508" s="86">
        <v>354.69438457121146</v>
      </c>
      <c r="B1508" s="86">
        <v>355.36286599123417</v>
      </c>
      <c r="C1508" s="86">
        <v>352.80963834531411</v>
      </c>
      <c r="D1508" s="86">
        <v>354.57368653704066</v>
      </c>
      <c r="E1508" s="86">
        <v>4073026.6518215877</v>
      </c>
      <c r="F1508" s="86" t="s">
        <v>1556</v>
      </c>
      <c r="G1508" s="25">
        <f t="shared" si="45"/>
        <v>3.4040324692341528E-4</v>
      </c>
      <c r="I1508" s="86">
        <v>339.5037435613724</v>
      </c>
      <c r="J1508" s="86">
        <v>340.29365051228473</v>
      </c>
      <c r="K1508" s="86">
        <v>337.41613233396106</v>
      </c>
      <c r="L1508" s="86">
        <v>338.21037943295539</v>
      </c>
      <c r="M1508" s="86">
        <v>1128137.7749248985</v>
      </c>
      <c r="N1508" s="86" t="s">
        <v>1556</v>
      </c>
      <c r="O1508" s="25">
        <f t="shared" si="46"/>
        <v>3.8241408515773401E-3</v>
      </c>
    </row>
    <row r="1509" spans="1:15">
      <c r="A1509" s="86">
        <v>355.5485552745738</v>
      </c>
      <c r="B1509" s="86">
        <v>356.32845026460029</v>
      </c>
      <c r="C1509" s="86">
        <v>352.63323352614145</v>
      </c>
      <c r="D1509" s="86">
        <v>352.63323352614145</v>
      </c>
      <c r="E1509" s="86">
        <v>5566200.5981761543</v>
      </c>
      <c r="F1509" s="86" t="s">
        <v>1557</v>
      </c>
      <c r="G1509" s="25">
        <f t="shared" si="45"/>
        <v>8.2672915405070935E-3</v>
      </c>
      <c r="I1509" s="86">
        <v>339.20861349180069</v>
      </c>
      <c r="J1509" s="86">
        <v>340.35441258543187</v>
      </c>
      <c r="K1509" s="86">
        <v>337.30762863191268</v>
      </c>
      <c r="L1509" s="86">
        <v>338.67911542580453</v>
      </c>
      <c r="M1509" s="86">
        <v>921438.60635648365</v>
      </c>
      <c r="N1509" s="86" t="s">
        <v>1557</v>
      </c>
      <c r="O1509" s="25">
        <f t="shared" si="46"/>
        <v>1.5634210728654452E-3</v>
      </c>
    </row>
    <row r="1510" spans="1:15">
      <c r="A1510" s="86">
        <v>350.17285052189129</v>
      </c>
      <c r="B1510" s="86">
        <v>351.92761424945087</v>
      </c>
      <c r="C1510" s="86">
        <v>347.39679573596368</v>
      </c>
      <c r="D1510" s="86">
        <v>347.43393359263155</v>
      </c>
      <c r="E1510" s="86">
        <v>7742171.0835646698</v>
      </c>
      <c r="F1510" s="86" t="s">
        <v>1558</v>
      </c>
      <c r="G1510" s="25">
        <f t="shared" si="45"/>
        <v>7.8832740974321691E-3</v>
      </c>
      <c r="I1510" s="86">
        <v>336.59584434647519</v>
      </c>
      <c r="J1510" s="86">
        <v>338.86140164524585</v>
      </c>
      <c r="K1510" s="86">
        <v>330.67588236271428</v>
      </c>
      <c r="L1510" s="86">
        <v>331.39634694431567</v>
      </c>
      <c r="M1510" s="86">
        <v>1274188.0911890448</v>
      </c>
      <c r="N1510" s="86" t="s">
        <v>1558</v>
      </c>
      <c r="O1510" s="25">
        <f t="shared" si="46"/>
        <v>1.5689664204515674E-2</v>
      </c>
    </row>
    <row r="1511" spans="1:15">
      <c r="A1511" s="86">
        <v>346.05983289591825</v>
      </c>
      <c r="B1511" s="86">
        <v>352.13187246112443</v>
      </c>
      <c r="C1511" s="86">
        <v>345.50276504589931</v>
      </c>
      <c r="D1511" s="86">
        <v>350.98988336858565</v>
      </c>
      <c r="E1511" s="86">
        <v>8301438.68443128</v>
      </c>
      <c r="F1511" s="86" t="s">
        <v>1559</v>
      </c>
      <c r="G1511" s="25">
        <f t="shared" si="45"/>
        <v>-1.4046132684371937E-2</v>
      </c>
      <c r="I1511" s="86">
        <v>330.38943258930652</v>
      </c>
      <c r="J1511" s="86">
        <v>338.83536075675426</v>
      </c>
      <c r="K1511" s="86">
        <v>330.02486015042388</v>
      </c>
      <c r="L1511" s="86">
        <v>336.76945026975267</v>
      </c>
      <c r="M1511" s="86">
        <v>1882110.8970908604</v>
      </c>
      <c r="N1511" s="86" t="s">
        <v>1559</v>
      </c>
      <c r="O1511" s="25">
        <f t="shared" si="46"/>
        <v>-1.8944763770394668E-2</v>
      </c>
    </row>
    <row r="1512" spans="1:15">
      <c r="A1512" s="86">
        <v>353.6081022636746</v>
      </c>
      <c r="B1512" s="86">
        <v>354.42513511036901</v>
      </c>
      <c r="C1512" s="86">
        <v>349.97787677438464</v>
      </c>
      <c r="D1512" s="86">
        <v>352.57752674113959</v>
      </c>
      <c r="E1512" s="86">
        <v>7627258.6900423616</v>
      </c>
      <c r="F1512" s="86" t="s">
        <v>1560</v>
      </c>
      <c r="G1512" s="25">
        <f t="shared" si="45"/>
        <v>2.9229756418696073E-3</v>
      </c>
      <c r="I1512" s="86">
        <v>336.63924582729453</v>
      </c>
      <c r="J1512" s="86">
        <v>339.98984014654923</v>
      </c>
      <c r="K1512" s="86">
        <v>333.67926483541413</v>
      </c>
      <c r="L1512" s="86">
        <v>339.42562089589751</v>
      </c>
      <c r="M1512" s="86">
        <v>1559050.4914250448</v>
      </c>
      <c r="N1512" s="86" t="s">
        <v>1560</v>
      </c>
      <c r="O1512" s="25">
        <f t="shared" si="46"/>
        <v>-8.2090888167147824E-3</v>
      </c>
    </row>
    <row r="1513" spans="1:15">
      <c r="A1513" s="86">
        <v>356.73696668794753</v>
      </c>
      <c r="B1513" s="86">
        <v>360.84998431392052</v>
      </c>
      <c r="C1513" s="86">
        <v>356.6069841896097</v>
      </c>
      <c r="D1513" s="86">
        <v>360.61787270974594</v>
      </c>
      <c r="E1513" s="86">
        <v>6400689.251549731</v>
      </c>
      <c r="F1513" s="86" t="s">
        <v>1561</v>
      </c>
      <c r="G1513" s="25">
        <f t="shared" si="45"/>
        <v>-1.0761823845935825E-2</v>
      </c>
      <c r="I1513" s="86">
        <v>341.25716338647459</v>
      </c>
      <c r="J1513" s="86">
        <v>344.59907740956544</v>
      </c>
      <c r="K1513" s="86">
        <v>339.65130859615823</v>
      </c>
      <c r="L1513" s="86">
        <v>339.71207066930532</v>
      </c>
      <c r="M1513" s="86">
        <v>1818565.8302421349</v>
      </c>
      <c r="N1513" s="86" t="s">
        <v>1561</v>
      </c>
      <c r="O1513" s="25">
        <f t="shared" si="46"/>
        <v>4.5482420278004643E-3</v>
      </c>
    </row>
    <row r="1514" spans="1:15">
      <c r="A1514" s="86">
        <v>360.26506307140062</v>
      </c>
      <c r="B1514" s="86">
        <v>360.86855324225445</v>
      </c>
      <c r="C1514" s="86">
        <v>357.75825774631551</v>
      </c>
      <c r="D1514" s="86">
        <v>358.39888577383726</v>
      </c>
      <c r="E1514" s="86">
        <v>3787639.1537015629</v>
      </c>
      <c r="F1514" s="86" t="s">
        <v>1562</v>
      </c>
      <c r="G1514" s="25">
        <f t="shared" si="45"/>
        <v>5.2069840940882628E-3</v>
      </c>
      <c r="I1514" s="86">
        <v>338.82668046059035</v>
      </c>
      <c r="J1514" s="86">
        <v>340.78842739362551</v>
      </c>
      <c r="K1514" s="86">
        <v>334.96394866766718</v>
      </c>
      <c r="L1514" s="86">
        <v>335.92746154185699</v>
      </c>
      <c r="M1514" s="86">
        <v>1386656.6039643611</v>
      </c>
      <c r="N1514" s="86" t="s">
        <v>1562</v>
      </c>
      <c r="O1514" s="25">
        <f t="shared" si="46"/>
        <v>8.6304909560723786E-3</v>
      </c>
    </row>
    <row r="1515" spans="1:15">
      <c r="A1515" s="86">
        <v>357.71183542548056</v>
      </c>
      <c r="B1515" s="86">
        <v>357.79539560298343</v>
      </c>
      <c r="C1515" s="86">
        <v>353.06031887782262</v>
      </c>
      <c r="D1515" s="86">
        <v>354.90792724705204</v>
      </c>
      <c r="E1515" s="86">
        <v>5102382.7706148867</v>
      </c>
      <c r="F1515" s="86" t="s">
        <v>1563</v>
      </c>
      <c r="G1515" s="25">
        <f t="shared" si="45"/>
        <v>7.9003819389942276E-3</v>
      </c>
      <c r="I1515" s="86">
        <v>336.22259161142864</v>
      </c>
      <c r="J1515" s="86">
        <v>337.92392965954764</v>
      </c>
      <c r="K1515" s="86">
        <v>335.05943192546977</v>
      </c>
      <c r="L1515" s="86">
        <v>336.78681086208036</v>
      </c>
      <c r="M1515" s="86">
        <v>1243699.5001313474</v>
      </c>
      <c r="N1515" s="86" t="s">
        <v>1563</v>
      </c>
      <c r="O1515" s="25">
        <f t="shared" si="46"/>
        <v>-1.6753009098172678E-3</v>
      </c>
    </row>
    <row r="1516" spans="1:15">
      <c r="A1516" s="86">
        <v>354.82436706954923</v>
      </c>
      <c r="B1516" s="86">
        <v>356.43986383460407</v>
      </c>
      <c r="C1516" s="86">
        <v>354.14660118535954</v>
      </c>
      <c r="D1516" s="86">
        <v>356.26345901543141</v>
      </c>
      <c r="E1516" s="86">
        <v>4750582.1775751971</v>
      </c>
      <c r="F1516" s="86" t="s">
        <v>1564</v>
      </c>
      <c r="G1516" s="25">
        <f t="shared" si="45"/>
        <v>-4.0394037318878251E-3</v>
      </c>
      <c r="I1516" s="86">
        <v>335.38060288353307</v>
      </c>
      <c r="J1516" s="86">
        <v>336.34411575772288</v>
      </c>
      <c r="K1516" s="86">
        <v>331.33124472308663</v>
      </c>
      <c r="L1516" s="86">
        <v>335.35456199504142</v>
      </c>
      <c r="M1516" s="86">
        <v>1243378.0825267716</v>
      </c>
      <c r="N1516" s="86" t="s">
        <v>1564</v>
      </c>
      <c r="O1516" s="25">
        <f t="shared" si="46"/>
        <v>7.7651809287315743E-5</v>
      </c>
    </row>
    <row r="1517" spans="1:15">
      <c r="A1517" s="86">
        <v>354.75937582038034</v>
      </c>
      <c r="B1517" s="86">
        <v>355.55783973874077</v>
      </c>
      <c r="C1517" s="86">
        <v>351.37054639943193</v>
      </c>
      <c r="D1517" s="86">
        <v>355.14932331539353</v>
      </c>
      <c r="E1517" s="86">
        <v>5908414.2082301648</v>
      </c>
      <c r="F1517" s="86" t="s">
        <v>1565</v>
      </c>
      <c r="G1517" s="25">
        <f t="shared" si="45"/>
        <v>-1.0979818048727497E-3</v>
      </c>
      <c r="I1517" s="86">
        <v>336.34411575772288</v>
      </c>
      <c r="J1517" s="86">
        <v>338.66175483347678</v>
      </c>
      <c r="K1517" s="86">
        <v>333.79210868554446</v>
      </c>
      <c r="L1517" s="86">
        <v>336.1444689459538</v>
      </c>
      <c r="M1517" s="86">
        <v>1739098.4956054464</v>
      </c>
      <c r="N1517" s="86" t="s">
        <v>1565</v>
      </c>
      <c r="O1517" s="25">
        <f t="shared" si="46"/>
        <v>5.9393156875398034E-4</v>
      </c>
    </row>
    <row r="1518" spans="1:15">
      <c r="A1518" s="86">
        <v>356.93194043545412</v>
      </c>
      <c r="B1518" s="86">
        <v>358.32461006050141</v>
      </c>
      <c r="C1518" s="86">
        <v>356.48628615543896</v>
      </c>
      <c r="D1518" s="86">
        <v>357.97180042215609</v>
      </c>
      <c r="E1518" s="86">
        <v>4503019.1563107008</v>
      </c>
      <c r="F1518" s="86" t="s">
        <v>1566</v>
      </c>
      <c r="G1518" s="25">
        <f t="shared" si="45"/>
        <v>-2.9048656499636172E-3</v>
      </c>
      <c r="I1518" s="86">
        <v>334.46049149016261</v>
      </c>
      <c r="J1518" s="86">
        <v>335.39796347586076</v>
      </c>
      <c r="K1518" s="86">
        <v>329.03530638774242</v>
      </c>
      <c r="L1518" s="86">
        <v>329.65160741537733</v>
      </c>
      <c r="M1518" s="86">
        <v>1552221.2313536287</v>
      </c>
      <c r="N1518" s="86" t="s">
        <v>1566</v>
      </c>
      <c r="O1518" s="25">
        <f t="shared" si="46"/>
        <v>1.4587776812281295E-2</v>
      </c>
    </row>
    <row r="1519" spans="1:15">
      <c r="A1519" s="86">
        <v>356.12419205292667</v>
      </c>
      <c r="B1519" s="86">
        <v>357.22904328879753</v>
      </c>
      <c r="C1519" s="86">
        <v>355.34429706290018</v>
      </c>
      <c r="D1519" s="86">
        <v>356.43986383460407</v>
      </c>
      <c r="E1519" s="86">
        <v>5621440.188827374</v>
      </c>
      <c r="F1519" s="86" t="s">
        <v>1567</v>
      </c>
      <c r="G1519" s="25">
        <f t="shared" si="45"/>
        <v>-8.8562423484672692E-4</v>
      </c>
      <c r="I1519" s="86">
        <v>330.33735081232328</v>
      </c>
      <c r="J1519" s="86">
        <v>331.58731345992089</v>
      </c>
      <c r="K1519" s="86">
        <v>327.76798314781712</v>
      </c>
      <c r="L1519" s="86">
        <v>328.861700464465</v>
      </c>
      <c r="M1519" s="86">
        <v>1271708.9131064387</v>
      </c>
      <c r="N1519" s="86" t="s">
        <v>1567</v>
      </c>
      <c r="O1519" s="25">
        <f t="shared" si="46"/>
        <v>4.48714564746866E-3</v>
      </c>
    </row>
    <row r="1520" spans="1:15">
      <c r="A1520" s="86">
        <v>358.49173041550711</v>
      </c>
      <c r="B1520" s="86">
        <v>359.06736719385998</v>
      </c>
      <c r="C1520" s="86">
        <v>355.41857277623603</v>
      </c>
      <c r="D1520" s="86">
        <v>358.75169541218253</v>
      </c>
      <c r="E1520" s="86">
        <v>4534327.3712784247</v>
      </c>
      <c r="F1520" s="86" t="s">
        <v>1568</v>
      </c>
      <c r="G1520" s="25">
        <f t="shared" si="45"/>
        <v>-7.2463768115926808E-4</v>
      </c>
      <c r="I1520" s="86">
        <v>330.15506459288196</v>
      </c>
      <c r="J1520" s="86">
        <v>331.56995286759314</v>
      </c>
      <c r="K1520" s="86">
        <v>325.37222140658832</v>
      </c>
      <c r="L1520" s="86">
        <v>325.51110614521031</v>
      </c>
      <c r="M1520" s="86">
        <v>1596633.3104719089</v>
      </c>
      <c r="N1520" s="86" t="s">
        <v>1568</v>
      </c>
      <c r="O1520" s="25">
        <f t="shared" si="46"/>
        <v>1.426666666666665E-2</v>
      </c>
    </row>
    <row r="1521" spans="1:15">
      <c r="A1521" s="86">
        <v>356.11490758875971</v>
      </c>
      <c r="B1521" s="86">
        <v>357.60896356251044</v>
      </c>
      <c r="C1521" s="86">
        <v>355.8178047354163</v>
      </c>
      <c r="D1521" s="86">
        <v>356.61626865377673</v>
      </c>
      <c r="E1521" s="86">
        <v>4265608.5787742147</v>
      </c>
      <c r="F1521" s="86" t="s">
        <v>1569</v>
      </c>
      <c r="G1521" s="25">
        <f t="shared" si="45"/>
        <v>-1.4058838844051014E-3</v>
      </c>
      <c r="I1521" s="86">
        <v>323.72296513545257</v>
      </c>
      <c r="J1521" s="86">
        <v>324.5389129748566</v>
      </c>
      <c r="K1521" s="86">
        <v>321.99558619884198</v>
      </c>
      <c r="L1521" s="86">
        <v>324.17434053597395</v>
      </c>
      <c r="M1521" s="86">
        <v>1279164.8799050564</v>
      </c>
      <c r="N1521" s="86" t="s">
        <v>1569</v>
      </c>
      <c r="O1521" s="25">
        <f t="shared" si="46"/>
        <v>-1.3923847266107403E-3</v>
      </c>
    </row>
    <row r="1522" spans="1:15">
      <c r="A1522" s="86">
        <v>356.2820279437654</v>
      </c>
      <c r="B1522" s="86">
        <v>356.87623365045221</v>
      </c>
      <c r="C1522" s="86">
        <v>355.33501259873321</v>
      </c>
      <c r="D1522" s="86">
        <v>356.70911329544651</v>
      </c>
      <c r="E1522" s="86">
        <v>3630410.9094275022</v>
      </c>
      <c r="F1522" s="86" t="s">
        <v>1570</v>
      </c>
      <c r="G1522" s="25">
        <f t="shared" si="45"/>
        <v>-1.1972930765224987E-3</v>
      </c>
      <c r="I1522" s="86">
        <v>323.96601342804104</v>
      </c>
      <c r="J1522" s="86">
        <v>324.851403636756</v>
      </c>
      <c r="K1522" s="86">
        <v>321.2942182688011</v>
      </c>
      <c r="L1522" s="86">
        <v>322.47300248785501</v>
      </c>
      <c r="M1522" s="86">
        <v>1802817.5196523475</v>
      </c>
      <c r="N1522" s="86" t="s">
        <v>1570</v>
      </c>
      <c r="O1522" s="25">
        <f t="shared" si="46"/>
        <v>4.6298788694481008E-3</v>
      </c>
    </row>
    <row r="1523" spans="1:15">
      <c r="A1523" s="86">
        <v>356.39344151376918</v>
      </c>
      <c r="B1523" s="86">
        <v>356.94122489962109</v>
      </c>
      <c r="C1523" s="86">
        <v>355.8920804487521</v>
      </c>
      <c r="D1523" s="86">
        <v>356.27274347959843</v>
      </c>
      <c r="E1523" s="86">
        <v>3366068.2445348874</v>
      </c>
      <c r="F1523" s="86" t="s">
        <v>1571</v>
      </c>
      <c r="G1523" s="25">
        <f t="shared" si="45"/>
        <v>3.3877987126351705E-4</v>
      </c>
      <c r="I1523" s="86">
        <v>322.88965670372085</v>
      </c>
      <c r="J1523" s="86">
        <v>325.78019532629031</v>
      </c>
      <c r="K1523" s="86">
        <v>321.79593938707296</v>
      </c>
      <c r="L1523" s="86">
        <v>324.88612482141144</v>
      </c>
      <c r="M1523" s="86">
        <v>1748933.4134916947</v>
      </c>
      <c r="N1523" s="86" t="s">
        <v>1571</v>
      </c>
      <c r="O1523" s="25">
        <f t="shared" si="46"/>
        <v>-6.1451319867478205E-3</v>
      </c>
    </row>
    <row r="1524" spans="1:15">
      <c r="A1524" s="86">
        <v>355.62283098790965</v>
      </c>
      <c r="B1524" s="86">
        <v>356.94586713170457</v>
      </c>
      <c r="C1524" s="86">
        <v>352.30827728029709</v>
      </c>
      <c r="D1524" s="86">
        <v>352.4104063861339</v>
      </c>
      <c r="E1524" s="86">
        <v>4074773.6562483679</v>
      </c>
      <c r="F1524" s="86" t="s">
        <v>1572</v>
      </c>
      <c r="G1524" s="25">
        <f t="shared" si="45"/>
        <v>9.1155781542271441E-3</v>
      </c>
      <c r="I1524" s="86">
        <v>327.49889396673706</v>
      </c>
      <c r="J1524" s="86">
        <v>328.62733246804044</v>
      </c>
      <c r="K1524" s="86">
        <v>324.05281638967972</v>
      </c>
      <c r="L1524" s="86">
        <v>328.62733246804044</v>
      </c>
      <c r="M1524" s="86">
        <v>1495650.5809138694</v>
      </c>
      <c r="N1524" s="86" t="s">
        <v>1572</v>
      </c>
      <c r="O1524" s="25">
        <f t="shared" si="46"/>
        <v>-3.4337938138883084E-3</v>
      </c>
    </row>
    <row r="1525" spans="1:15">
      <c r="A1525" s="86">
        <v>351.87190746444895</v>
      </c>
      <c r="B1525" s="86">
        <v>355.70174893332899</v>
      </c>
      <c r="C1525" s="86">
        <v>350.9156076552498</v>
      </c>
      <c r="D1525" s="86">
        <v>354.9636340320539</v>
      </c>
      <c r="E1525" s="86">
        <v>4270592.1727832854</v>
      </c>
      <c r="F1525" s="86" t="s">
        <v>1573</v>
      </c>
      <c r="G1525" s="25">
        <f t="shared" si="45"/>
        <v>-8.7099811676081274E-3</v>
      </c>
      <c r="I1525" s="86">
        <v>329.92937689262124</v>
      </c>
      <c r="J1525" s="86">
        <v>335.72781473008791</v>
      </c>
      <c r="K1525" s="86">
        <v>328.46240684092686</v>
      </c>
      <c r="L1525" s="86">
        <v>335.72781473008791</v>
      </c>
      <c r="M1525" s="86">
        <v>1924471.2028982108</v>
      </c>
      <c r="N1525" s="86" t="s">
        <v>1573</v>
      </c>
      <c r="O1525" s="25">
        <f t="shared" si="46"/>
        <v>-1.7271246477234548E-2</v>
      </c>
    </row>
    <row r="1526" spans="1:15">
      <c r="A1526" s="86">
        <v>355.1307543870596</v>
      </c>
      <c r="B1526" s="86">
        <v>355.28859027789832</v>
      </c>
      <c r="C1526" s="86">
        <v>351.08272801025544</v>
      </c>
      <c r="D1526" s="86">
        <v>351.2127105085932</v>
      </c>
      <c r="E1526" s="86">
        <v>3920613.9789360194</v>
      </c>
      <c r="F1526" s="86" t="s">
        <v>1574</v>
      </c>
      <c r="G1526" s="25">
        <f t="shared" si="45"/>
        <v>1.1155757639843555E-2</v>
      </c>
      <c r="I1526" s="86">
        <v>336.13578864978996</v>
      </c>
      <c r="J1526" s="86">
        <v>339.29975660152138</v>
      </c>
      <c r="K1526" s="86">
        <v>334.14800082826321</v>
      </c>
      <c r="L1526" s="86">
        <v>336.37883694237837</v>
      </c>
      <c r="M1526" s="86">
        <v>1565058.3509514341</v>
      </c>
      <c r="N1526" s="86" t="s">
        <v>1574</v>
      </c>
      <c r="O1526" s="25">
        <f t="shared" si="46"/>
        <v>-7.2254335260113489E-4</v>
      </c>
    </row>
    <row r="1527" spans="1:15">
      <c r="A1527" s="86">
        <v>351.82548514361406</v>
      </c>
      <c r="B1527" s="86">
        <v>353.88663618868407</v>
      </c>
      <c r="C1527" s="86">
        <v>350.45602667898419</v>
      </c>
      <c r="D1527" s="86">
        <v>353.26457708949624</v>
      </c>
      <c r="E1527" s="86">
        <v>4423237.4923742693</v>
      </c>
      <c r="F1527" s="86" t="s">
        <v>1575</v>
      </c>
      <c r="G1527" s="25">
        <f t="shared" si="45"/>
        <v>-4.0736944466345237E-3</v>
      </c>
      <c r="I1527" s="86">
        <v>336.2139113152648</v>
      </c>
      <c r="J1527" s="86">
        <v>339.83359481559955</v>
      </c>
      <c r="K1527" s="86">
        <v>333.8615510548554</v>
      </c>
      <c r="L1527" s="86">
        <v>336.79549115824426</v>
      </c>
      <c r="M1527" s="86">
        <v>1578595.907479641</v>
      </c>
      <c r="N1527" s="86" t="s">
        <v>1575</v>
      </c>
      <c r="O1527" s="25">
        <f t="shared" si="46"/>
        <v>-1.7268041237114007E-3</v>
      </c>
    </row>
    <row r="1528" spans="1:15">
      <c r="A1528" s="86">
        <v>354.42513511036901</v>
      </c>
      <c r="B1528" s="86">
        <v>355.67853777291151</v>
      </c>
      <c r="C1528" s="86">
        <v>353.15316351949247</v>
      </c>
      <c r="D1528" s="86">
        <v>355.24216795706337</v>
      </c>
      <c r="E1528" s="86">
        <v>4249833.8396653226</v>
      </c>
      <c r="F1528" s="86" t="s">
        <v>1576</v>
      </c>
      <c r="G1528" s="25">
        <f t="shared" si="45"/>
        <v>-2.2999320474620388E-3</v>
      </c>
      <c r="I1528" s="86">
        <v>340.03324162736862</v>
      </c>
      <c r="J1528" s="86">
        <v>340.60614117418413</v>
      </c>
      <c r="K1528" s="86">
        <v>335.59761028762989</v>
      </c>
      <c r="L1528" s="86">
        <v>340.26760962379313</v>
      </c>
      <c r="M1528" s="86">
        <v>1517949.3592442223</v>
      </c>
      <c r="N1528" s="86" t="s">
        <v>1576</v>
      </c>
      <c r="O1528" s="25">
        <f t="shared" si="46"/>
        <v>-6.8877551020396499E-4</v>
      </c>
    </row>
    <row r="1529" spans="1:15">
      <c r="A1529" s="86">
        <v>356.17989883792859</v>
      </c>
      <c r="B1529" s="86">
        <v>356.66269097461162</v>
      </c>
      <c r="C1529" s="86">
        <v>354.84293599788316</v>
      </c>
      <c r="D1529" s="86">
        <v>356.11305069592629</v>
      </c>
      <c r="E1529" s="86">
        <v>3503119.7724545249</v>
      </c>
      <c r="F1529" s="86" t="s">
        <v>1577</v>
      </c>
      <c r="G1529" s="25">
        <f t="shared" si="45"/>
        <v>1.8771606901712978E-4</v>
      </c>
      <c r="I1529" s="86">
        <v>340.10268399667956</v>
      </c>
      <c r="J1529" s="86">
        <v>342.29445877805733</v>
      </c>
      <c r="K1529" s="86">
        <v>338.35794446774128</v>
      </c>
      <c r="L1529" s="86">
        <v>340.97939390923068</v>
      </c>
      <c r="M1529" s="86">
        <v>1727668.0100405694</v>
      </c>
      <c r="N1529" s="86" t="s">
        <v>1577</v>
      </c>
      <c r="O1529" s="25">
        <f t="shared" si="46"/>
        <v>-2.5711521816608185E-3</v>
      </c>
    </row>
    <row r="1530" spans="1:15">
      <c r="A1530" s="86">
        <v>354.935780639553</v>
      </c>
      <c r="B1530" s="86">
        <v>355.16789224372758</v>
      </c>
      <c r="C1530" s="86">
        <v>353.06960334198959</v>
      </c>
      <c r="D1530" s="86">
        <v>353.11602566282448</v>
      </c>
      <c r="E1530" s="86">
        <v>3849256.0644581867</v>
      </c>
      <c r="F1530" s="86" t="s">
        <v>1578</v>
      </c>
      <c r="G1530" s="25">
        <f t="shared" si="45"/>
        <v>5.1534193989430932E-3</v>
      </c>
      <c r="I1530" s="86">
        <v>339.07840904934267</v>
      </c>
      <c r="J1530" s="86">
        <v>340.26760962379313</v>
      </c>
      <c r="K1530" s="86">
        <v>336.53508227332804</v>
      </c>
      <c r="L1530" s="86">
        <v>337.37707100122367</v>
      </c>
      <c r="M1530" s="86">
        <v>1485380.1940149702</v>
      </c>
      <c r="N1530" s="86" t="s">
        <v>1578</v>
      </c>
      <c r="O1530" s="25">
        <f t="shared" si="46"/>
        <v>5.0428383976124369E-3</v>
      </c>
    </row>
    <row r="1531" spans="1:15">
      <c r="A1531" s="86">
        <v>351.16628818775831</v>
      </c>
      <c r="B1531" s="86">
        <v>353.28314601783018</v>
      </c>
      <c r="C1531" s="86">
        <v>350.67421158690826</v>
      </c>
      <c r="D1531" s="86">
        <v>352.30827728029709</v>
      </c>
      <c r="E1531" s="86">
        <v>3975519.6784822443</v>
      </c>
      <c r="F1531" s="86" t="s">
        <v>1579</v>
      </c>
      <c r="G1531" s="25">
        <f t="shared" si="45"/>
        <v>-3.2414483740051958E-3</v>
      </c>
      <c r="I1531" s="86">
        <v>337.37707100122367</v>
      </c>
      <c r="J1531" s="86">
        <v>339.60851473607033</v>
      </c>
      <c r="K1531" s="86">
        <v>335.92746154185699</v>
      </c>
      <c r="L1531" s="86">
        <v>336.27467338841188</v>
      </c>
      <c r="M1531" s="86">
        <v>1242802.0653142703</v>
      </c>
      <c r="N1531" s="86" t="s">
        <v>1579</v>
      </c>
      <c r="O1531" s="25">
        <f t="shared" si="46"/>
        <v>3.2782653588023791E-3</v>
      </c>
    </row>
    <row r="1532" spans="1:15">
      <c r="A1532" s="86">
        <v>352.29899281613012</v>
      </c>
      <c r="B1532" s="86">
        <v>352.92105191531789</v>
      </c>
      <c r="C1532" s="86">
        <v>350.87846979858188</v>
      </c>
      <c r="D1532" s="86">
        <v>351.29627068609608</v>
      </c>
      <c r="E1532" s="86">
        <v>3215622.2979645478</v>
      </c>
      <c r="F1532" s="86" t="s">
        <v>1580</v>
      </c>
      <c r="G1532" s="25">
        <f t="shared" si="45"/>
        <v>2.8543489177259573E-3</v>
      </c>
      <c r="I1532" s="86">
        <v>336.02294479965963</v>
      </c>
      <c r="J1532" s="86">
        <v>336.96909708152168</v>
      </c>
      <c r="K1532" s="86">
        <v>333.61832915634375</v>
      </c>
      <c r="L1532" s="86">
        <v>335.54552851064665</v>
      </c>
      <c r="M1532" s="86">
        <v>1295235.7601338446</v>
      </c>
      <c r="N1532" s="86" t="s">
        <v>1580</v>
      </c>
      <c r="O1532" s="25">
        <f t="shared" si="46"/>
        <v>1.4228062913907991E-3</v>
      </c>
    </row>
    <row r="1533" spans="1:15">
      <c r="A1533" s="86">
        <v>351.34269300693097</v>
      </c>
      <c r="B1533" s="86">
        <v>351.55623568277156</v>
      </c>
      <c r="C1533" s="86">
        <v>350.09848196391374</v>
      </c>
      <c r="D1533" s="86">
        <v>350.67421158690826</v>
      </c>
      <c r="E1533" s="86">
        <v>2959275.7865025224</v>
      </c>
      <c r="F1533" s="86" t="s">
        <v>1581</v>
      </c>
      <c r="G1533" s="25">
        <f t="shared" si="45"/>
        <v>1.9062748212868019E-3</v>
      </c>
      <c r="I1533" s="86">
        <v>336.66528671578618</v>
      </c>
      <c r="J1533" s="86">
        <v>337.4079728555671</v>
      </c>
      <c r="K1533" s="86">
        <v>333.57336522221487</v>
      </c>
      <c r="L1533" s="86">
        <v>336.04030539198737</v>
      </c>
      <c r="M1533" s="86">
        <v>1229891.2155132648</v>
      </c>
      <c r="N1533" s="86" t="s">
        <v>1581</v>
      </c>
      <c r="O1533" s="25">
        <f t="shared" si="46"/>
        <v>1.8598403637020144E-3</v>
      </c>
    </row>
    <row r="1534" spans="1:15">
      <c r="A1534" s="86">
        <v>351.1848571160923</v>
      </c>
      <c r="B1534" s="86">
        <v>351.32412407859698</v>
      </c>
      <c r="C1534" s="86">
        <v>348.47379357933352</v>
      </c>
      <c r="D1534" s="86">
        <v>348.55735375683639</v>
      </c>
      <c r="E1534" s="86">
        <v>2830028.693895123</v>
      </c>
      <c r="F1534" s="86" t="s">
        <v>1582</v>
      </c>
      <c r="G1534" s="25">
        <f t="shared" si="45"/>
        <v>7.5382238559480452E-3</v>
      </c>
      <c r="I1534" s="86">
        <v>335.25907873723884</v>
      </c>
      <c r="J1534" s="86">
        <v>338.75723809127936</v>
      </c>
      <c r="K1534" s="86">
        <v>333.02989187939482</v>
      </c>
      <c r="L1534" s="86">
        <v>335.82329798789056</v>
      </c>
      <c r="M1534" s="86">
        <v>1613852.7690224247</v>
      </c>
      <c r="N1534" s="86" t="s">
        <v>1582</v>
      </c>
      <c r="O1534" s="25">
        <f t="shared" si="46"/>
        <v>-1.6801075268817467E-3</v>
      </c>
    </row>
    <row r="1535" spans="1:15">
      <c r="A1535" s="86">
        <v>348.67805179100714</v>
      </c>
      <c r="B1535" s="86">
        <v>348.68733625517416</v>
      </c>
      <c r="C1535" s="86">
        <v>347.29466663012687</v>
      </c>
      <c r="D1535" s="86">
        <v>348.13955286932224</v>
      </c>
      <c r="E1535" s="86">
        <v>4253797.4502020366</v>
      </c>
      <c r="F1535" s="86" t="s">
        <v>1583</v>
      </c>
      <c r="G1535" s="25">
        <f t="shared" si="45"/>
        <v>1.5467904098993568E-3</v>
      </c>
      <c r="I1535" s="86">
        <v>335.07679251779751</v>
      </c>
      <c r="J1535" s="86">
        <v>336.29203398073969</v>
      </c>
      <c r="K1535" s="86">
        <v>328.38428417545202</v>
      </c>
      <c r="L1535" s="86">
        <v>329.50404238059156</v>
      </c>
      <c r="M1535" s="86">
        <v>2146834.5835433877</v>
      </c>
      <c r="N1535" s="86" t="s">
        <v>1583</v>
      </c>
      <c r="O1535" s="25">
        <f t="shared" si="46"/>
        <v>1.6912539515279157E-2</v>
      </c>
    </row>
    <row r="1536" spans="1:15">
      <c r="A1536" s="86">
        <v>346.98827931261644</v>
      </c>
      <c r="B1536" s="86">
        <v>347.31295702453582</v>
      </c>
      <c r="C1536" s="86">
        <v>346.05054843175128</v>
      </c>
      <c r="D1536" s="86">
        <v>346.44049592676447</v>
      </c>
      <c r="E1536" s="86">
        <v>2982288.4231132418</v>
      </c>
      <c r="F1536" s="86" t="s">
        <v>1584</v>
      </c>
      <c r="G1536" s="25">
        <f t="shared" si="45"/>
        <v>1.5811759661255032E-3</v>
      </c>
      <c r="I1536" s="86">
        <v>330.01617985425997</v>
      </c>
      <c r="J1536" s="86">
        <v>330.1984660737013</v>
      </c>
      <c r="K1536" s="86">
        <v>326.43989783474461</v>
      </c>
      <c r="L1536" s="86">
        <v>328.75753691049852</v>
      </c>
      <c r="M1536" s="86">
        <v>1125749.6075618679</v>
      </c>
      <c r="N1536" s="86" t="s">
        <v>1584</v>
      </c>
      <c r="O1536" s="25">
        <f t="shared" si="46"/>
        <v>3.8284839203674981E-3</v>
      </c>
    </row>
    <row r="1537" spans="1:15">
      <c r="A1537" s="86">
        <v>346.5519094967683</v>
      </c>
      <c r="B1537" s="86">
        <v>347.54534716263532</v>
      </c>
      <c r="C1537" s="86">
        <v>346.00412611091639</v>
      </c>
      <c r="D1537" s="86">
        <v>346.34765128509468</v>
      </c>
      <c r="E1537" s="86">
        <v>3859663.7733213049</v>
      </c>
      <c r="F1537" s="86" t="s">
        <v>1585</v>
      </c>
      <c r="G1537" s="25">
        <f t="shared" si="45"/>
        <v>5.8974908856956887E-4</v>
      </c>
      <c r="I1537" s="86">
        <v>328.95718372226759</v>
      </c>
      <c r="J1537" s="86">
        <v>329.94152930725068</v>
      </c>
      <c r="K1537" s="86">
        <v>326.65256509075948</v>
      </c>
      <c r="L1537" s="86">
        <v>326.82183086595501</v>
      </c>
      <c r="M1537" s="86">
        <v>1193537.6171978784</v>
      </c>
      <c r="N1537" s="86" t="s">
        <v>1585</v>
      </c>
      <c r="O1537" s="25">
        <f t="shared" si="46"/>
        <v>6.5336910042230745E-3</v>
      </c>
    </row>
    <row r="1538" spans="1:15">
      <c r="A1538" s="86">
        <v>346.74688324427495</v>
      </c>
      <c r="B1538" s="86">
        <v>347.30395109429384</v>
      </c>
      <c r="C1538" s="86">
        <v>344.27721577585771</v>
      </c>
      <c r="D1538" s="86">
        <v>344.35149148919356</v>
      </c>
      <c r="E1538" s="86">
        <v>4054186.5769552253</v>
      </c>
      <c r="F1538" s="86" t="s">
        <v>1586</v>
      </c>
      <c r="G1538" s="25">
        <f t="shared" si="45"/>
        <v>6.9562403947263096E-3</v>
      </c>
      <c r="I1538" s="86">
        <v>328.76621720666236</v>
      </c>
      <c r="J1538" s="86">
        <v>330.1984660737013</v>
      </c>
      <c r="K1538" s="86">
        <v>322.95909907303184</v>
      </c>
      <c r="L1538" s="86">
        <v>322.95909907303184</v>
      </c>
      <c r="M1538" s="86">
        <v>1715751.3659483411</v>
      </c>
      <c r="N1538" s="86" t="s">
        <v>1586</v>
      </c>
      <c r="O1538" s="25">
        <f t="shared" si="46"/>
        <v>1.7980970811159347E-2</v>
      </c>
    </row>
    <row r="1539" spans="1:15">
      <c r="A1539" s="86">
        <v>341.81683277160749</v>
      </c>
      <c r="B1539" s="86">
        <v>341.93753080577829</v>
      </c>
      <c r="C1539" s="86">
        <v>339.83924190404031</v>
      </c>
      <c r="D1539" s="86">
        <v>339.99707779487903</v>
      </c>
      <c r="E1539" s="86">
        <v>5527492.9254945088</v>
      </c>
      <c r="F1539" s="86" t="s">
        <v>1587</v>
      </c>
      <c r="G1539" s="25">
        <f t="shared" si="45"/>
        <v>5.3522665210268272E-3</v>
      </c>
      <c r="I1539" s="86">
        <v>322.05634827198912</v>
      </c>
      <c r="J1539" s="86">
        <v>323.76636661627197</v>
      </c>
      <c r="K1539" s="86">
        <v>319.73341421557529</v>
      </c>
      <c r="L1539" s="86">
        <v>320.29424815072304</v>
      </c>
      <c r="M1539" s="86">
        <v>1453688.8790175701</v>
      </c>
      <c r="N1539" s="86" t="s">
        <v>1587</v>
      </c>
      <c r="O1539" s="25">
        <f t="shared" si="46"/>
        <v>5.5015041058024128E-3</v>
      </c>
    </row>
    <row r="1540" spans="1:15">
      <c r="A1540" s="86">
        <v>338.23302960315249</v>
      </c>
      <c r="B1540" s="86">
        <v>339.64426815653371</v>
      </c>
      <c r="C1540" s="86">
        <v>337.38814336395711</v>
      </c>
      <c r="D1540" s="86">
        <v>337.38814336395711</v>
      </c>
      <c r="E1540" s="86">
        <v>8046069.0737183848</v>
      </c>
      <c r="F1540" s="86" t="s">
        <v>1588</v>
      </c>
      <c r="G1540" s="25">
        <f t="shared" si="45"/>
        <v>2.5041965931920096E-3</v>
      </c>
      <c r="I1540" s="86">
        <v>320.73694325508052</v>
      </c>
      <c r="J1540" s="86">
        <v>323.43651536204482</v>
      </c>
      <c r="K1540" s="86">
        <v>318.89672046833959</v>
      </c>
      <c r="L1540" s="86">
        <v>321.82198027556456</v>
      </c>
      <c r="M1540" s="86">
        <v>1584615.2873502804</v>
      </c>
      <c r="N1540" s="86" t="s">
        <v>1588</v>
      </c>
      <c r="O1540" s="25">
        <f t="shared" si="46"/>
        <v>-3.3715441672286239E-3</v>
      </c>
    </row>
    <row r="1541" spans="1:15">
      <c r="A1541" s="86">
        <v>336.89606676310706</v>
      </c>
      <c r="B1541" s="86">
        <v>337.46241907729296</v>
      </c>
      <c r="C1541" s="86">
        <v>335.41983696055689</v>
      </c>
      <c r="D1541" s="86">
        <v>336.61753283809759</v>
      </c>
      <c r="E1541" s="86">
        <v>3981024.573442339</v>
      </c>
      <c r="F1541" s="86" t="s">
        <v>1589</v>
      </c>
      <c r="G1541" s="25">
        <f t="shared" si="45"/>
        <v>8.2744924977928846E-4</v>
      </c>
      <c r="I1541" s="86">
        <v>321.63969405612329</v>
      </c>
      <c r="J1541" s="86">
        <v>324.75592037895336</v>
      </c>
      <c r="K1541" s="86">
        <v>319.96439689649588</v>
      </c>
      <c r="L1541" s="86">
        <v>323.99205431653263</v>
      </c>
      <c r="M1541" s="86">
        <v>1749744.4457268966</v>
      </c>
      <c r="N1541" s="86" t="s">
        <v>1589</v>
      </c>
      <c r="O1541" s="25">
        <f t="shared" si="46"/>
        <v>-7.260549229738622E-3</v>
      </c>
    </row>
    <row r="1542" spans="1:15">
      <c r="A1542" s="86">
        <v>337.75952193063642</v>
      </c>
      <c r="B1542" s="86">
        <v>338.58583924149775</v>
      </c>
      <c r="C1542" s="86">
        <v>335.27100699996021</v>
      </c>
      <c r="D1542" s="86">
        <v>336.62681730226456</v>
      </c>
      <c r="E1542" s="86">
        <v>3385581.4869516431</v>
      </c>
      <c r="F1542" s="86" t="s">
        <v>1590</v>
      </c>
      <c r="G1542" s="25">
        <f t="shared" si="45"/>
        <v>3.3648674738673279E-3</v>
      </c>
      <c r="I1542" s="86">
        <v>323.59276069299455</v>
      </c>
      <c r="J1542" s="86">
        <v>324.851403636756</v>
      </c>
      <c r="K1542" s="86">
        <v>316.83080998133801</v>
      </c>
      <c r="L1542" s="86">
        <v>316.83080998133801</v>
      </c>
      <c r="M1542" s="86">
        <v>2586864.5004830058</v>
      </c>
      <c r="N1542" s="86" t="s">
        <v>1590</v>
      </c>
      <c r="O1542" s="25">
        <f t="shared" si="46"/>
        <v>2.1342465753424689E-2</v>
      </c>
    </row>
    <row r="1543" spans="1:15">
      <c r="A1543" s="86">
        <v>337.96378014230999</v>
      </c>
      <c r="B1543" s="86">
        <v>338.29802085232132</v>
      </c>
      <c r="C1543" s="86">
        <v>333.08015199047748</v>
      </c>
      <c r="D1543" s="86">
        <v>333.65578876883035</v>
      </c>
      <c r="E1543" s="86">
        <v>3578712.7186253909</v>
      </c>
      <c r="F1543" s="86" t="s">
        <v>1591</v>
      </c>
      <c r="G1543" s="25">
        <f t="shared" si="45"/>
        <v>1.2911483985864169E-2</v>
      </c>
      <c r="I1543" s="86">
        <v>316.57908139258569</v>
      </c>
      <c r="J1543" s="86">
        <v>317.04781738543483</v>
      </c>
      <c r="K1543" s="86">
        <v>312.27365449530504</v>
      </c>
      <c r="L1543" s="86">
        <v>314.49581031325636</v>
      </c>
      <c r="M1543" s="86">
        <v>2316187.1001220639</v>
      </c>
      <c r="N1543" s="86" t="s">
        <v>1591</v>
      </c>
      <c r="O1543" s="25">
        <f t="shared" si="46"/>
        <v>6.6241616295437122E-3</v>
      </c>
    </row>
    <row r="1544" spans="1:15">
      <c r="A1544" s="86">
        <v>332.53933195275067</v>
      </c>
      <c r="B1544" s="86">
        <v>333.28873199971872</v>
      </c>
      <c r="C1544" s="86">
        <v>327.64510201637904</v>
      </c>
      <c r="D1544" s="86">
        <v>329.43996138812969</v>
      </c>
      <c r="E1544" s="86">
        <v>5931024.1278774114</v>
      </c>
      <c r="F1544" s="86" t="s">
        <v>1592</v>
      </c>
      <c r="G1544" s="25">
        <f t="shared" si="45"/>
        <v>9.4079982026511466E-3</v>
      </c>
      <c r="I1544" s="86">
        <v>313.5496580313943</v>
      </c>
      <c r="J1544" s="86">
        <v>314.04443491273503</v>
      </c>
      <c r="K1544" s="86">
        <v>307.47345071668371</v>
      </c>
      <c r="L1544" s="86">
        <v>307.95086700569664</v>
      </c>
      <c r="M1544" s="86">
        <v>1841109.9919050131</v>
      </c>
      <c r="N1544" s="86" t="s">
        <v>1592</v>
      </c>
      <c r="O1544" s="25">
        <f t="shared" si="46"/>
        <v>1.8180793189954247E-2</v>
      </c>
    </row>
    <row r="1545" spans="1:15">
      <c r="A1545" s="86">
        <v>330.6797096139781</v>
      </c>
      <c r="B1545" s="86">
        <v>335.16685804335469</v>
      </c>
      <c r="C1545" s="86">
        <v>330.6797096139781</v>
      </c>
      <c r="D1545" s="86">
        <v>333.72356906400881</v>
      </c>
      <c r="E1545" s="86">
        <v>4430445.7191227404</v>
      </c>
      <c r="F1545" s="86" t="s">
        <v>1593</v>
      </c>
      <c r="G1545" s="25">
        <f t="shared" si="45"/>
        <v>-9.1209004463418397E-3</v>
      </c>
      <c r="I1545" s="86">
        <v>309.12270698781941</v>
      </c>
      <c r="J1545" s="86">
        <v>314.81698127131966</v>
      </c>
      <c r="K1545" s="86">
        <v>308.14183352130186</v>
      </c>
      <c r="L1545" s="86">
        <v>308.14183352130186</v>
      </c>
      <c r="M1545" s="86">
        <v>1834361.3742433472</v>
      </c>
      <c r="N1545" s="86" t="s">
        <v>1593</v>
      </c>
      <c r="O1545" s="25">
        <f t="shared" si="46"/>
        <v>3.1831882588242433E-3</v>
      </c>
    </row>
    <row r="1546" spans="1:15">
      <c r="A1546" s="86">
        <v>332.52082824788727</v>
      </c>
      <c r="B1546" s="86">
        <v>335.7867321562789</v>
      </c>
      <c r="C1546" s="86">
        <v>331.68816152903383</v>
      </c>
      <c r="D1546" s="86">
        <v>334.48222096340857</v>
      </c>
      <c r="E1546" s="86">
        <v>5355256.1895837104</v>
      </c>
      <c r="F1546" s="86" t="s">
        <v>1594</v>
      </c>
      <c r="G1546" s="25">
        <f t="shared" si="45"/>
        <v>-5.8639670290154822E-3</v>
      </c>
      <c r="I1546" s="86">
        <v>306.94395265068749</v>
      </c>
      <c r="J1546" s="86">
        <v>311.83529953902951</v>
      </c>
      <c r="K1546" s="86">
        <v>306.12965406755461</v>
      </c>
      <c r="L1546" s="86">
        <v>309.98205630804279</v>
      </c>
      <c r="M1546" s="86">
        <v>1698834.8924516011</v>
      </c>
      <c r="N1546" s="86" t="s">
        <v>1594</v>
      </c>
      <c r="O1546" s="25">
        <f t="shared" si="46"/>
        <v>-9.8009016829547768E-3</v>
      </c>
    </row>
    <row r="1547" spans="1:15">
      <c r="A1547" s="86">
        <v>334.98182099472064</v>
      </c>
      <c r="B1547" s="86">
        <v>336.30483589245438</v>
      </c>
      <c r="C1547" s="86">
        <v>332.84464308299692</v>
      </c>
      <c r="D1547" s="86">
        <v>332.87239864029203</v>
      </c>
      <c r="E1547" s="86">
        <v>3694013.7396575385</v>
      </c>
      <c r="F1547" s="86" t="s">
        <v>1595</v>
      </c>
      <c r="G1547" s="25">
        <f t="shared" si="45"/>
        <v>6.3370299341283243E-3</v>
      </c>
      <c r="I1547" s="86">
        <v>310.45947259705576</v>
      </c>
      <c r="J1547" s="86">
        <v>311.07577362469067</v>
      </c>
      <c r="K1547" s="86">
        <v>305.54642496830405</v>
      </c>
      <c r="L1547" s="86">
        <v>305.54642496830405</v>
      </c>
      <c r="M1547" s="86">
        <v>2523985.3095319318</v>
      </c>
      <c r="N1547" s="86" t="s">
        <v>1595</v>
      </c>
      <c r="O1547" s="25">
        <f t="shared" si="46"/>
        <v>1.6079545454545485E-2</v>
      </c>
    </row>
    <row r="1548" spans="1:15">
      <c r="A1548" s="86">
        <v>332.35429490411661</v>
      </c>
      <c r="B1548" s="86">
        <v>334.14915427586726</v>
      </c>
      <c r="C1548" s="86">
        <v>330.42065774589037</v>
      </c>
      <c r="D1548" s="86">
        <v>332.74287270624814</v>
      </c>
      <c r="E1548" s="86">
        <v>5818027.2974894224</v>
      </c>
      <c r="F1548" s="86" t="s">
        <v>1596</v>
      </c>
      <c r="G1548" s="25">
        <f t="shared" si="45"/>
        <v>-1.167802029750975E-3</v>
      </c>
      <c r="I1548" s="86">
        <v>308.21127589061285</v>
      </c>
      <c r="J1548" s="86">
        <v>311.99588501806113</v>
      </c>
      <c r="K1548" s="86">
        <v>303.89716869716835</v>
      </c>
      <c r="L1548" s="86">
        <v>311.99588501806113</v>
      </c>
      <c r="M1548" s="86">
        <v>6611633.8563266192</v>
      </c>
      <c r="N1548" s="86" t="s">
        <v>1596</v>
      </c>
      <c r="O1548" s="25">
        <f t="shared" si="46"/>
        <v>-1.2130317447068828E-2</v>
      </c>
    </row>
    <row r="1549" spans="1:15">
      <c r="A1549" s="86">
        <v>332.94641345974566</v>
      </c>
      <c r="B1549" s="86">
        <v>337.47056929884911</v>
      </c>
      <c r="C1549" s="86">
        <v>332.40055416627507</v>
      </c>
      <c r="D1549" s="86">
        <v>335.59244325521314</v>
      </c>
      <c r="E1549" s="86">
        <v>5484297.3744505187</v>
      </c>
      <c r="F1549" s="86" t="s">
        <v>1597</v>
      </c>
      <c r="G1549" s="25">
        <f t="shared" si="45"/>
        <v>-7.8846524963472886E-3</v>
      </c>
      <c r="I1549" s="86">
        <v>311.14521599400166</v>
      </c>
      <c r="J1549" s="86">
        <v>311.62263228301464</v>
      </c>
      <c r="K1549" s="86">
        <v>306.01759144407902</v>
      </c>
      <c r="L1549" s="86">
        <v>307.16964035094816</v>
      </c>
      <c r="M1549" s="86">
        <v>2617638.7960781036</v>
      </c>
      <c r="N1549" s="86" t="s">
        <v>1597</v>
      </c>
      <c r="O1549" s="25">
        <f t="shared" si="46"/>
        <v>1.294260604176678E-2</v>
      </c>
    </row>
    <row r="1550" spans="1:15">
      <c r="A1550" s="86">
        <v>337.91465821557091</v>
      </c>
      <c r="B1550" s="86">
        <v>338.66405826253896</v>
      </c>
      <c r="C1550" s="86">
        <v>334.56548763529395</v>
      </c>
      <c r="D1550" s="86">
        <v>335.68496177953017</v>
      </c>
      <c r="E1550" s="86">
        <v>5416811.42992114</v>
      </c>
      <c r="F1550" s="86" t="s">
        <v>1598</v>
      </c>
      <c r="G1550" s="25">
        <f t="shared" si="45"/>
        <v>6.6422291431247338E-3</v>
      </c>
      <c r="I1550" s="86">
        <v>304.69575594424458</v>
      </c>
      <c r="J1550" s="86">
        <v>308.62793010647874</v>
      </c>
      <c r="K1550" s="86">
        <v>301.31912073649823</v>
      </c>
      <c r="L1550" s="86">
        <v>301.92674146796929</v>
      </c>
      <c r="M1550" s="86">
        <v>2399641.625903687</v>
      </c>
      <c r="N1550" s="86" t="s">
        <v>1598</v>
      </c>
      <c r="O1550" s="25">
        <f t="shared" si="46"/>
        <v>9.1711468245982974E-3</v>
      </c>
    </row>
    <row r="1551" spans="1:15">
      <c r="A1551" s="86">
        <v>336.81368777619809</v>
      </c>
      <c r="B1551" s="86">
        <v>338.41425824688292</v>
      </c>
      <c r="C1551" s="86">
        <v>336.07353958166175</v>
      </c>
      <c r="D1551" s="86">
        <v>337.80363598639047</v>
      </c>
      <c r="E1551" s="86">
        <v>3997466.4828486443</v>
      </c>
      <c r="F1551" s="86" t="s">
        <v>1599</v>
      </c>
      <c r="G1551" s="25">
        <f t="shared" si="45"/>
        <v>-2.9305433829973637E-3</v>
      </c>
      <c r="I1551" s="86">
        <v>301.31912073649823</v>
      </c>
      <c r="J1551" s="86">
        <v>302.9423361191424</v>
      </c>
      <c r="K1551" s="86">
        <v>297.12653768934797</v>
      </c>
      <c r="L1551" s="86">
        <v>300.78094237433817</v>
      </c>
      <c r="M1551" s="86">
        <v>1944329.9723164078</v>
      </c>
      <c r="N1551" s="86" t="s">
        <v>1599</v>
      </c>
      <c r="O1551" s="25">
        <f t="shared" si="46"/>
        <v>1.7892701509334419E-3</v>
      </c>
    </row>
    <row r="1552" spans="1:15">
      <c r="A1552" s="86">
        <v>337.19301372589797</v>
      </c>
      <c r="B1552" s="86">
        <v>337.46131744641741</v>
      </c>
      <c r="C1552" s="86">
        <v>333.48302090078448</v>
      </c>
      <c r="D1552" s="86">
        <v>335.53693214062292</v>
      </c>
      <c r="E1552" s="86">
        <v>3417986.855436089</v>
      </c>
      <c r="F1552" s="86" t="s">
        <v>1600</v>
      </c>
      <c r="G1552" s="25">
        <f t="shared" si="45"/>
        <v>4.935616400584486E-3</v>
      </c>
      <c r="I1552" s="86">
        <v>300.69413941269949</v>
      </c>
      <c r="J1552" s="86">
        <v>300.8937862244685</v>
      </c>
      <c r="K1552" s="86">
        <v>297.38694657426413</v>
      </c>
      <c r="L1552" s="86">
        <v>298.9320392914334</v>
      </c>
      <c r="M1552" s="86">
        <v>2369428.3710735654</v>
      </c>
      <c r="N1552" s="86" t="s">
        <v>1600</v>
      </c>
      <c r="O1552" s="25">
        <f t="shared" si="46"/>
        <v>5.8946512573321286E-3</v>
      </c>
    </row>
    <row r="1553" spans="1:15">
      <c r="A1553" s="86">
        <v>335.25012471524008</v>
      </c>
      <c r="B1553" s="86">
        <v>335.3333913871254</v>
      </c>
      <c r="C1553" s="86">
        <v>332.75767567013889</v>
      </c>
      <c r="D1553" s="86">
        <v>333.52928016294305</v>
      </c>
      <c r="E1553" s="86">
        <v>5239314.0030952916</v>
      </c>
      <c r="F1553" s="86" t="s">
        <v>1601</v>
      </c>
      <c r="G1553" s="25">
        <f t="shared" si="45"/>
        <v>5.159500693481256E-3</v>
      </c>
      <c r="I1553" s="86">
        <v>295.29499519877089</v>
      </c>
      <c r="J1553" s="86">
        <v>298.29837767147069</v>
      </c>
      <c r="K1553" s="86">
        <v>293.93218870104295</v>
      </c>
      <c r="L1553" s="86">
        <v>294.81757890975791</v>
      </c>
      <c r="M1553" s="86">
        <v>2479066.3352666502</v>
      </c>
      <c r="N1553" s="86" t="s">
        <v>1601</v>
      </c>
      <c r="O1553" s="25">
        <f t="shared" si="46"/>
        <v>1.619361677069886E-3</v>
      </c>
    </row>
    <row r="1554" spans="1:15">
      <c r="A1554" s="86">
        <v>334.77828024122317</v>
      </c>
      <c r="B1554" s="86">
        <v>336.54538405567865</v>
      </c>
      <c r="C1554" s="86">
        <v>333.2151797728867</v>
      </c>
      <c r="D1554" s="86">
        <v>333.67730980185036</v>
      </c>
      <c r="E1554" s="86">
        <v>3610863.9049969912</v>
      </c>
      <c r="F1554" s="86" t="s">
        <v>1602</v>
      </c>
      <c r="G1554" s="25">
        <f t="shared" si="45"/>
        <v>3.2995064603782431E-3</v>
      </c>
      <c r="I1554" s="86">
        <v>294.89570157523281</v>
      </c>
      <c r="J1554" s="86">
        <v>298.28101707914294</v>
      </c>
      <c r="K1554" s="86">
        <v>293.79330396242096</v>
      </c>
      <c r="L1554" s="86">
        <v>295.99809918804453</v>
      </c>
      <c r="M1554" s="86">
        <v>1927903.1134502939</v>
      </c>
      <c r="N1554" s="86" t="s">
        <v>1602</v>
      </c>
      <c r="O1554" s="25">
        <f t="shared" si="46"/>
        <v>-3.7243401759529116E-3</v>
      </c>
    </row>
    <row r="1555" spans="1:15">
      <c r="A1555" s="86">
        <v>331.28108002203885</v>
      </c>
      <c r="B1555" s="86">
        <v>332.91865790245055</v>
      </c>
      <c r="C1555" s="86">
        <v>330.18010958266603</v>
      </c>
      <c r="D1555" s="86">
        <v>331.49387262796807</v>
      </c>
      <c r="E1555" s="86">
        <v>7816172.0081259711</v>
      </c>
      <c r="F1555" s="86" t="s">
        <v>1603</v>
      </c>
      <c r="G1555" s="25">
        <f t="shared" si="45"/>
        <v>-6.4192017862130246E-4</v>
      </c>
      <c r="I1555" s="86">
        <v>295.85921444942255</v>
      </c>
      <c r="J1555" s="86">
        <v>297.8990840479326</v>
      </c>
      <c r="K1555" s="86">
        <v>291.38886192502838</v>
      </c>
      <c r="L1555" s="86">
        <v>294.6179320979889</v>
      </c>
      <c r="M1555" s="86">
        <v>2027961.9113994811</v>
      </c>
      <c r="N1555" s="86" t="s">
        <v>1603</v>
      </c>
      <c r="O1555" s="25">
        <f t="shared" si="46"/>
        <v>4.2131934828080198E-3</v>
      </c>
    </row>
    <row r="1556" spans="1:15">
      <c r="A1556" s="86">
        <v>329.24567248706393</v>
      </c>
      <c r="B1556" s="86">
        <v>331.64190226687532</v>
      </c>
      <c r="C1556" s="86">
        <v>327.72836868826442</v>
      </c>
      <c r="D1556" s="86">
        <v>328.20946501471303</v>
      </c>
      <c r="E1556" s="86">
        <v>6566346.6260894984</v>
      </c>
      <c r="F1556" s="86" t="s">
        <v>1604</v>
      </c>
      <c r="G1556" s="25">
        <f t="shared" si="45"/>
        <v>3.1571529245948415E-3</v>
      </c>
      <c r="I1556" s="86">
        <v>292.95999553068924</v>
      </c>
      <c r="J1556" s="86">
        <v>297.60395397836095</v>
      </c>
      <c r="K1556" s="86">
        <v>292.76034871892017</v>
      </c>
      <c r="L1556" s="86">
        <v>296.35399133076334</v>
      </c>
      <c r="M1556" s="86">
        <v>1669029.4578079304</v>
      </c>
      <c r="N1556" s="86" t="s">
        <v>1604</v>
      </c>
      <c r="O1556" s="25">
        <f t="shared" si="46"/>
        <v>-1.1452505784833589E-2</v>
      </c>
    </row>
    <row r="1557" spans="1:15">
      <c r="A1557" s="86">
        <v>324.70301294309701</v>
      </c>
      <c r="B1557" s="86">
        <v>329.73602066594424</v>
      </c>
      <c r="C1557" s="86">
        <v>324.42545737014592</v>
      </c>
      <c r="D1557" s="86">
        <v>327.17325754236214</v>
      </c>
      <c r="E1557" s="86">
        <v>6121453.0190649284</v>
      </c>
      <c r="F1557" s="86" t="s">
        <v>1605</v>
      </c>
      <c r="G1557" s="25">
        <f t="shared" si="45"/>
        <v>-7.5502644006448794E-3</v>
      </c>
      <c r="I1557" s="86">
        <v>296.38871251541877</v>
      </c>
      <c r="J1557" s="86">
        <v>300.39032904696393</v>
      </c>
      <c r="K1557" s="86">
        <v>293.77594337009327</v>
      </c>
      <c r="L1557" s="86">
        <v>298.16817322901261</v>
      </c>
      <c r="M1557" s="86">
        <v>1842262.0263300159</v>
      </c>
      <c r="N1557" s="86" t="s">
        <v>1605</v>
      </c>
      <c r="O1557" s="25">
        <f t="shared" si="46"/>
        <v>-5.967976710334888E-3</v>
      </c>
    </row>
    <row r="1558" spans="1:15">
      <c r="A1558" s="86">
        <v>326.30358341378189</v>
      </c>
      <c r="B1558" s="86">
        <v>327.26577606667917</v>
      </c>
      <c r="C1558" s="86">
        <v>316.95921245776049</v>
      </c>
      <c r="D1558" s="86">
        <v>323.60204250372419</v>
      </c>
      <c r="E1558" s="86">
        <v>9426506.8151258454</v>
      </c>
      <c r="F1558" s="86" t="s">
        <v>1606</v>
      </c>
      <c r="G1558" s="25">
        <f t="shared" si="45"/>
        <v>8.3483431969579858E-3</v>
      </c>
      <c r="I1558" s="86">
        <v>295.50332230670386</v>
      </c>
      <c r="J1558" s="86">
        <v>296.14566422283042</v>
      </c>
      <c r="K1558" s="86">
        <v>290.9027653398515</v>
      </c>
      <c r="L1558" s="86">
        <v>293.80198425858487</v>
      </c>
      <c r="M1558" s="86">
        <v>1671894.5674229122</v>
      </c>
      <c r="N1558" s="86" t="s">
        <v>1606</v>
      </c>
      <c r="O1558" s="25">
        <f t="shared" si="46"/>
        <v>5.7907643218011451E-3</v>
      </c>
    </row>
    <row r="1559" spans="1:15">
      <c r="A1559" s="86">
        <v>320.42865711964959</v>
      </c>
      <c r="B1559" s="86">
        <v>326.60889454402815</v>
      </c>
      <c r="C1559" s="86">
        <v>316.33471241862048</v>
      </c>
      <c r="D1559" s="86">
        <v>324.26817587880697</v>
      </c>
      <c r="E1559" s="86">
        <v>7138533.6598838512</v>
      </c>
      <c r="F1559" s="86" t="s">
        <v>1607</v>
      </c>
      <c r="G1559" s="25">
        <f t="shared" si="45"/>
        <v>-1.1840566064652558E-2</v>
      </c>
      <c r="I1559" s="86">
        <v>293.6110177429797</v>
      </c>
      <c r="J1559" s="86">
        <v>298.9059984029418</v>
      </c>
      <c r="K1559" s="86">
        <v>290.05209631579203</v>
      </c>
      <c r="L1559" s="86">
        <v>295.54672378752321</v>
      </c>
      <c r="M1559" s="86">
        <v>2530665.9571625222</v>
      </c>
      <c r="N1559" s="86" t="s">
        <v>1607</v>
      </c>
      <c r="O1559" s="25">
        <f t="shared" si="46"/>
        <v>-6.5495770676691212E-3</v>
      </c>
    </row>
    <row r="1560" spans="1:15">
      <c r="A1560" s="86">
        <v>324.42545737014592</v>
      </c>
      <c r="B1560" s="86">
        <v>329.0328798811347</v>
      </c>
      <c r="C1560" s="86">
        <v>324.33293884582889</v>
      </c>
      <c r="D1560" s="86">
        <v>328.16320575255446</v>
      </c>
      <c r="E1560" s="86">
        <v>6828509.2597787576</v>
      </c>
      <c r="F1560" s="86" t="s">
        <v>1608</v>
      </c>
      <c r="G1560" s="25">
        <f t="shared" si="45"/>
        <v>-1.138990696363118E-2</v>
      </c>
      <c r="I1560" s="86">
        <v>295.9199765225697</v>
      </c>
      <c r="J1560" s="86">
        <v>300.62573867892814</v>
      </c>
      <c r="K1560" s="86">
        <v>293.9061478125513</v>
      </c>
      <c r="L1560" s="86">
        <v>294.79153802126632</v>
      </c>
      <c r="M1560" s="86">
        <v>4668354.5394058134</v>
      </c>
      <c r="N1560" s="86" t="s">
        <v>1608</v>
      </c>
      <c r="O1560" s="25">
        <f t="shared" si="46"/>
        <v>3.8279202614763808E-3</v>
      </c>
    </row>
    <row r="1561" spans="1:15">
      <c r="A1561" s="86">
        <v>328.76457616061532</v>
      </c>
      <c r="B1561" s="86">
        <v>331.79918375821433</v>
      </c>
      <c r="C1561" s="86">
        <v>328.58879096441291</v>
      </c>
      <c r="D1561" s="86">
        <v>331.5678874474217</v>
      </c>
      <c r="E1561" s="86">
        <v>5904341.903769074</v>
      </c>
      <c r="F1561" s="86" t="s">
        <v>1609</v>
      </c>
      <c r="G1561" s="25">
        <f t="shared" si="45"/>
        <v>-8.4547128746021993E-3</v>
      </c>
      <c r="I1561" s="86">
        <v>293.9061478125513</v>
      </c>
      <c r="J1561" s="86">
        <v>295.13874986782116</v>
      </c>
      <c r="K1561" s="86">
        <v>288.76741248353898</v>
      </c>
      <c r="L1561" s="86">
        <v>289.28823025337124</v>
      </c>
      <c r="M1561" s="86">
        <v>2391957.5562889185</v>
      </c>
      <c r="N1561" s="86" t="s">
        <v>1609</v>
      </c>
      <c r="O1561" s="25">
        <f t="shared" si="46"/>
        <v>1.5963032976265445E-2</v>
      </c>
    </row>
    <row r="1562" spans="1:15">
      <c r="A1562" s="86">
        <v>331.32733928419742</v>
      </c>
      <c r="B1562" s="86">
        <v>332.50232454302386</v>
      </c>
      <c r="C1562" s="86">
        <v>327.9781687039204</v>
      </c>
      <c r="D1562" s="86">
        <v>328.02442796607892</v>
      </c>
      <c r="E1562" s="86">
        <v>4026493.1023264616</v>
      </c>
      <c r="F1562" s="86" t="s">
        <v>1610</v>
      </c>
      <c r="G1562" s="25">
        <f t="shared" si="45"/>
        <v>1.0069101678183756E-2</v>
      </c>
      <c r="I1562" s="86">
        <v>289.46183617664877</v>
      </c>
      <c r="J1562" s="86">
        <v>293.15096204629447</v>
      </c>
      <c r="K1562" s="86">
        <v>288.897616925997</v>
      </c>
      <c r="L1562" s="86">
        <v>289.92189187333395</v>
      </c>
      <c r="M1562" s="86">
        <v>1906770.1939580438</v>
      </c>
      <c r="N1562" s="86" t="s">
        <v>1610</v>
      </c>
      <c r="O1562" s="25">
        <f t="shared" si="46"/>
        <v>-1.5868263473052258E-3</v>
      </c>
    </row>
    <row r="1563" spans="1:15">
      <c r="A1563" s="86">
        <v>323.43550915995354</v>
      </c>
      <c r="B1563" s="86">
        <v>327.94837773909035</v>
      </c>
      <c r="C1563" s="86">
        <v>321.69616090279311</v>
      </c>
      <c r="D1563" s="86">
        <v>327.02522790345489</v>
      </c>
      <c r="E1563" s="86">
        <v>8192383.1534823813</v>
      </c>
      <c r="F1563" s="86" t="s">
        <v>1611</v>
      </c>
      <c r="G1563" s="25">
        <f t="shared" si="45"/>
        <v>-1.0976886298695976E-2</v>
      </c>
      <c r="I1563" s="86">
        <v>286.66678081188184</v>
      </c>
      <c r="J1563" s="86">
        <v>294.05371284733718</v>
      </c>
      <c r="K1563" s="86">
        <v>286.44977340778507</v>
      </c>
      <c r="L1563" s="86">
        <v>293.39401033888288</v>
      </c>
      <c r="M1563" s="86">
        <v>2331691.1794137508</v>
      </c>
      <c r="N1563" s="86" t="s">
        <v>1611</v>
      </c>
      <c r="O1563" s="25">
        <f t="shared" si="46"/>
        <v>-2.2928994082840326E-2</v>
      </c>
    </row>
    <row r="1564" spans="1:15">
      <c r="A1564" s="86">
        <v>325.22111667927248</v>
      </c>
      <c r="B1564" s="86">
        <v>333.31648755701383</v>
      </c>
      <c r="C1564" s="86">
        <v>323.88884992910704</v>
      </c>
      <c r="D1564" s="86">
        <v>332.16925785548244</v>
      </c>
      <c r="E1564" s="86">
        <v>7619223.3415264189</v>
      </c>
      <c r="F1564" s="86" t="s">
        <v>1612</v>
      </c>
      <c r="G1564" s="25">
        <f t="shared" si="45"/>
        <v>-2.0917472077542132E-2</v>
      </c>
      <c r="I1564" s="86">
        <v>294.34016262074505</v>
      </c>
      <c r="J1564" s="86">
        <v>300.72331871258189</v>
      </c>
      <c r="K1564" s="86">
        <v>293.46150955547193</v>
      </c>
      <c r="L1564" s="86">
        <v>297.88061761905129</v>
      </c>
      <c r="M1564" s="86">
        <v>1820291.6978419784</v>
      </c>
      <c r="N1564" s="86" t="s">
        <v>1612</v>
      </c>
      <c r="O1564" s="25">
        <f t="shared" si="46"/>
        <v>-1.1885482938114533E-2</v>
      </c>
    </row>
    <row r="1565" spans="1:15">
      <c r="A1565" s="86">
        <v>333.2147171802651</v>
      </c>
      <c r="B1565" s="86">
        <v>333.60329498239668</v>
      </c>
      <c r="C1565" s="86">
        <v>327.70061313096926</v>
      </c>
      <c r="D1565" s="86">
        <v>328.57953911198115</v>
      </c>
      <c r="E1565" s="86">
        <v>3568171.9140778021</v>
      </c>
      <c r="F1565" s="86" t="s">
        <v>1613</v>
      </c>
      <c r="G1565" s="25">
        <f t="shared" si="45"/>
        <v>1.4106715472335773E-2</v>
      </c>
      <c r="I1565" s="86">
        <v>298.50945755792316</v>
      </c>
      <c r="J1565" s="86">
        <v>301.75702820113844</v>
      </c>
      <c r="K1565" s="86">
        <v>296.85552237623267</v>
      </c>
      <c r="L1565" s="86">
        <v>299.15552598827099</v>
      </c>
      <c r="M1565" s="86">
        <v>2401521.9241785537</v>
      </c>
      <c r="N1565" s="86" t="s">
        <v>1613</v>
      </c>
      <c r="O1565" s="25">
        <f t="shared" si="46"/>
        <v>-2.1596406357980991E-3</v>
      </c>
    </row>
    <row r="1566" spans="1:15">
      <c r="A1566" s="86">
        <v>329.56948732217359</v>
      </c>
      <c r="B1566" s="86">
        <v>330.80923554802195</v>
      </c>
      <c r="C1566" s="86">
        <v>323.37999804536332</v>
      </c>
      <c r="D1566" s="86">
        <v>327.22876865695235</v>
      </c>
      <c r="E1566" s="86">
        <v>5675679.5882364139</v>
      </c>
      <c r="F1566" s="86" t="s">
        <v>1614</v>
      </c>
      <c r="G1566" s="25">
        <f t="shared" ref="G1566:G1629" si="47">A1566/D1566-1</f>
        <v>7.1531567191609469E-3</v>
      </c>
      <c r="I1566" s="86">
        <v>298.25103018578409</v>
      </c>
      <c r="J1566" s="86">
        <v>299.31919665729254</v>
      </c>
      <c r="K1566" s="86">
        <v>291.44577605278664</v>
      </c>
      <c r="L1566" s="86">
        <v>297.30346315460719</v>
      </c>
      <c r="M1566" s="86">
        <v>2786095.3506594361</v>
      </c>
      <c r="N1566" s="86" t="s">
        <v>1614</v>
      </c>
      <c r="O1566" s="25">
        <f t="shared" ref="O1566:O1629" si="48">I1566/L1566-1</f>
        <v>3.187204821371914E-3</v>
      </c>
    </row>
    <row r="1567" spans="1:15">
      <c r="A1567" s="86">
        <v>329.15315396274684</v>
      </c>
      <c r="B1567" s="86">
        <v>331.39210225121934</v>
      </c>
      <c r="C1567" s="86">
        <v>328.95886506168108</v>
      </c>
      <c r="D1567" s="86">
        <v>329.21791692976876</v>
      </c>
      <c r="E1567" s="86">
        <v>3557110.345515673</v>
      </c>
      <c r="F1567" s="86" t="s">
        <v>1615</v>
      </c>
      <c r="G1567" s="25">
        <f t="shared" si="47"/>
        <v>-1.9671762589923425E-4</v>
      </c>
      <c r="I1567" s="86">
        <v>293.28922464071252</v>
      </c>
      <c r="J1567" s="86">
        <v>295.9509404312883</v>
      </c>
      <c r="K1567" s="86">
        <v>287.03528223494527</v>
      </c>
      <c r="L1567" s="86">
        <v>287.54352273348559</v>
      </c>
      <c r="M1567" s="86">
        <v>1923842.2613078009</v>
      </c>
      <c r="N1567" s="86" t="s">
        <v>1615</v>
      </c>
      <c r="O1567" s="25">
        <f t="shared" si="48"/>
        <v>1.9982025164769324E-2</v>
      </c>
    </row>
    <row r="1568" spans="1:15">
      <c r="A1568" s="86">
        <v>331.76217634848746</v>
      </c>
      <c r="B1568" s="86">
        <v>333.72356906400881</v>
      </c>
      <c r="C1568" s="86">
        <v>331.34584298906077</v>
      </c>
      <c r="D1568" s="86">
        <v>333.50152460564794</v>
      </c>
      <c r="E1568" s="86">
        <v>2688216.2446486675</v>
      </c>
      <c r="F1568" s="86" t="s">
        <v>1616</v>
      </c>
      <c r="G1568" s="25">
        <f t="shared" si="47"/>
        <v>-5.2154132105308726E-3</v>
      </c>
      <c r="I1568" s="86">
        <v>288.93903054303695</v>
      </c>
      <c r="J1568" s="86">
        <v>292.10045872887247</v>
      </c>
      <c r="K1568" s="86">
        <v>288.79258836549144</v>
      </c>
      <c r="L1568" s="86">
        <v>292.08323023739649</v>
      </c>
      <c r="M1568" s="86">
        <v>2146623.2288324088</v>
      </c>
      <c r="N1568" s="86" t="s">
        <v>1616</v>
      </c>
      <c r="O1568" s="25">
        <f t="shared" si="48"/>
        <v>-1.0764738844486366E-2</v>
      </c>
    </row>
    <row r="1569" spans="1:15">
      <c r="A1569" s="86">
        <v>332.37279860897996</v>
      </c>
      <c r="B1569" s="86">
        <v>333.00192457433587</v>
      </c>
      <c r="C1569" s="86">
        <v>329.81928733782956</v>
      </c>
      <c r="D1569" s="86">
        <v>331.43836151337786</v>
      </c>
      <c r="E1569" s="86">
        <v>3261042.0694358107</v>
      </c>
      <c r="F1569" s="86" t="s">
        <v>1617</v>
      </c>
      <c r="G1569" s="25">
        <f t="shared" si="47"/>
        <v>2.8193389906208122E-3</v>
      </c>
      <c r="I1569" s="86">
        <v>291.09259197752982</v>
      </c>
      <c r="J1569" s="86">
        <v>292.52255677003302</v>
      </c>
      <c r="K1569" s="86">
        <v>288.81843110270535</v>
      </c>
      <c r="L1569" s="86">
        <v>290.19671042078079</v>
      </c>
      <c r="M1569" s="86">
        <v>1504951.2626340438</v>
      </c>
      <c r="N1569" s="86" t="s">
        <v>1617</v>
      </c>
      <c r="O1569" s="25">
        <f t="shared" si="48"/>
        <v>3.087152695321782E-3</v>
      </c>
    </row>
    <row r="1570" spans="1:15">
      <c r="A1570" s="86">
        <v>333.79758388346249</v>
      </c>
      <c r="B1570" s="86">
        <v>333.96411722723315</v>
      </c>
      <c r="C1570" s="86">
        <v>331.14433764309825</v>
      </c>
      <c r="D1570" s="86">
        <v>332.16925785548244</v>
      </c>
      <c r="E1570" s="86">
        <v>3480484.6097256569</v>
      </c>
      <c r="F1570" s="86" t="s">
        <v>1618</v>
      </c>
      <c r="G1570" s="25">
        <f t="shared" si="47"/>
        <v>4.9020973177731353E-3</v>
      </c>
      <c r="I1570" s="86">
        <v>290.30008136963642</v>
      </c>
      <c r="J1570" s="86">
        <v>292.25551515215591</v>
      </c>
      <c r="K1570" s="86">
        <v>286.67348391395052</v>
      </c>
      <c r="L1570" s="86">
        <v>288.31880484990302</v>
      </c>
      <c r="M1570" s="86">
        <v>2347028.4706274429</v>
      </c>
      <c r="N1570" s="86" t="s">
        <v>1618</v>
      </c>
      <c r="O1570" s="25">
        <f t="shared" si="48"/>
        <v>6.8718255153867869E-3</v>
      </c>
    </row>
    <row r="1571" spans="1:15">
      <c r="A1571" s="86">
        <v>333.72356906400881</v>
      </c>
      <c r="B1571" s="86">
        <v>335.25937656767178</v>
      </c>
      <c r="C1571" s="86">
        <v>333.04818383649445</v>
      </c>
      <c r="D1571" s="86">
        <v>335.05583581417426</v>
      </c>
      <c r="E1571" s="86">
        <v>4764939.8134508198</v>
      </c>
      <c r="F1571" s="86" t="s">
        <v>1619</v>
      </c>
      <c r="G1571" s="25">
        <f t="shared" si="47"/>
        <v>-3.9762529338672747E-3</v>
      </c>
      <c r="I1571" s="86">
        <v>288.60307495925605</v>
      </c>
      <c r="J1571" s="86">
        <v>292.88435509102789</v>
      </c>
      <c r="K1571" s="86">
        <v>287.55808080878273</v>
      </c>
      <c r="L1571" s="86">
        <v>292.23828666067999</v>
      </c>
      <c r="M1571" s="86">
        <v>1936773.1670873975</v>
      </c>
      <c r="N1571" s="86" t="s">
        <v>1619</v>
      </c>
      <c r="O1571" s="25">
        <f t="shared" si="48"/>
        <v>-1.2439204126750258E-2</v>
      </c>
    </row>
    <row r="1572" spans="1:15">
      <c r="A1572" s="86">
        <v>334.03813204668677</v>
      </c>
      <c r="B1572" s="86">
        <v>334.16765798073061</v>
      </c>
      <c r="C1572" s="86">
        <v>331.54938374255829</v>
      </c>
      <c r="D1572" s="86">
        <v>331.63265041444362</v>
      </c>
      <c r="E1572" s="86">
        <v>2317882.8411176289</v>
      </c>
      <c r="F1572" s="86" t="s">
        <v>1620</v>
      </c>
      <c r="G1572" s="25">
        <f t="shared" si="47"/>
        <v>7.253452364346602E-3</v>
      </c>
      <c r="I1572" s="86">
        <v>290.92892130850839</v>
      </c>
      <c r="J1572" s="86">
        <v>293.43954322884014</v>
      </c>
      <c r="K1572" s="86">
        <v>289.92105455716569</v>
      </c>
      <c r="L1572" s="86">
        <v>291.50607577295244</v>
      </c>
      <c r="M1572" s="86">
        <v>1401570.1858585724</v>
      </c>
      <c r="N1572" s="86" t="s">
        <v>1620</v>
      </c>
      <c r="O1572" s="25">
        <f t="shared" si="48"/>
        <v>-1.9799054373521585E-3</v>
      </c>
    </row>
    <row r="1573" spans="1:15">
      <c r="A1573" s="86">
        <v>332.34504305168491</v>
      </c>
      <c r="B1573" s="86">
        <v>333.15920606567488</v>
      </c>
      <c r="C1573" s="86">
        <v>330.14088172835562</v>
      </c>
      <c r="D1573" s="86">
        <v>332.79838382083835</v>
      </c>
      <c r="E1573" s="86">
        <v>2418110.3368375506</v>
      </c>
      <c r="F1573" s="86" t="s">
        <v>1621</v>
      </c>
      <c r="G1573" s="25">
        <f t="shared" si="47"/>
        <v>-1.3622084456921257E-3</v>
      </c>
      <c r="I1573" s="86">
        <v>292.14352995756229</v>
      </c>
      <c r="J1573" s="86">
        <v>296.85552237623267</v>
      </c>
      <c r="K1573" s="86">
        <v>291.18734868064746</v>
      </c>
      <c r="L1573" s="86">
        <v>293.55626625858963</v>
      </c>
      <c r="M1573" s="86">
        <v>1371641.8545986942</v>
      </c>
      <c r="N1573" s="86" t="s">
        <v>1621</v>
      </c>
      <c r="O1573" s="25">
        <f t="shared" si="48"/>
        <v>-4.8124889958331973E-3</v>
      </c>
    </row>
    <row r="1574" spans="1:15">
      <c r="A1574" s="86">
        <v>331.80843561064603</v>
      </c>
      <c r="B1574" s="86">
        <v>333.63105053969178</v>
      </c>
      <c r="C1574" s="86">
        <v>329.64350214162721</v>
      </c>
      <c r="D1574" s="86">
        <v>333.5570357202381</v>
      </c>
      <c r="E1574" s="86">
        <v>2594086.9871374159</v>
      </c>
      <c r="F1574" s="86" t="s">
        <v>1622</v>
      </c>
      <c r="G1574" s="25">
        <f t="shared" si="47"/>
        <v>-5.242282195656256E-3</v>
      </c>
      <c r="I1574" s="86">
        <v>294.77087490764359</v>
      </c>
      <c r="J1574" s="86">
        <v>296.10608299702915</v>
      </c>
      <c r="K1574" s="86">
        <v>292.15214420330028</v>
      </c>
      <c r="L1574" s="86">
        <v>295.65814221865469</v>
      </c>
      <c r="M1574" s="86">
        <v>2007003.3437508356</v>
      </c>
      <c r="N1574" s="86" t="s">
        <v>1622</v>
      </c>
      <c r="O1574" s="25">
        <f t="shared" si="48"/>
        <v>-3.0009906182625334E-3</v>
      </c>
    </row>
    <row r="1575" spans="1:15">
      <c r="A1575" s="86">
        <v>331.93796154468987</v>
      </c>
      <c r="B1575" s="86">
        <v>332.44681342843359</v>
      </c>
      <c r="C1575" s="86">
        <v>331.00352444908771</v>
      </c>
      <c r="D1575" s="86">
        <v>331.41985780851445</v>
      </c>
      <c r="E1575" s="86">
        <v>2044174.4115146832</v>
      </c>
      <c r="F1575" s="86" t="s">
        <v>1623</v>
      </c>
      <c r="G1575" s="25">
        <f t="shared" si="47"/>
        <v>1.5632851320417362E-3</v>
      </c>
      <c r="I1575" s="86">
        <v>294.90008859371312</v>
      </c>
      <c r="J1575" s="86">
        <v>296.76937991885296</v>
      </c>
      <c r="K1575" s="86">
        <v>289.92966880290368</v>
      </c>
      <c r="L1575" s="86">
        <v>291.62667521328405</v>
      </c>
      <c r="M1575" s="86">
        <v>1947323.1331278838</v>
      </c>
      <c r="N1575" s="86" t="s">
        <v>1623</v>
      </c>
      <c r="O1575" s="25">
        <f t="shared" si="48"/>
        <v>1.1224670644532253E-2</v>
      </c>
    </row>
    <row r="1576" spans="1:15">
      <c r="A1576" s="86">
        <v>332.20626526520931</v>
      </c>
      <c r="B1576" s="86">
        <v>332.20626526520931</v>
      </c>
      <c r="C1576" s="86">
        <v>330.34664292643674</v>
      </c>
      <c r="D1576" s="86">
        <v>331.14230223556331</v>
      </c>
      <c r="E1576" s="86">
        <v>3643670.3080649748</v>
      </c>
      <c r="F1576" s="86" t="s">
        <v>1624</v>
      </c>
      <c r="G1576" s="25">
        <f t="shared" si="47"/>
        <v>3.2130084935180214E-3</v>
      </c>
      <c r="I1576" s="86">
        <v>291.02367801162603</v>
      </c>
      <c r="J1576" s="86">
        <v>292.45364280412929</v>
      </c>
      <c r="K1576" s="86">
        <v>288.74951713680156</v>
      </c>
      <c r="L1576" s="86">
        <v>292.03154476296868</v>
      </c>
      <c r="M1576" s="86">
        <v>1799173.1918771323</v>
      </c>
      <c r="N1576" s="86" t="s">
        <v>1624</v>
      </c>
      <c r="O1576" s="25">
        <f t="shared" si="48"/>
        <v>-3.4512256275626152E-3</v>
      </c>
    </row>
    <row r="1577" spans="1:15">
      <c r="A1577" s="86">
        <v>329.77302807567105</v>
      </c>
      <c r="B1577" s="86">
        <v>330.41251611575046</v>
      </c>
      <c r="C1577" s="86">
        <v>328.73311986234745</v>
      </c>
      <c r="D1577" s="86">
        <v>330.19861328752944</v>
      </c>
      <c r="E1577" s="86">
        <v>2260905.0624628854</v>
      </c>
      <c r="F1577" s="86" t="s">
        <v>1625</v>
      </c>
      <c r="G1577" s="25">
        <f t="shared" si="47"/>
        <v>-1.288876435976416E-3</v>
      </c>
      <c r="I1577" s="86">
        <v>290.33453835258837</v>
      </c>
      <c r="J1577" s="86">
        <v>294.10757798581983</v>
      </c>
      <c r="K1577" s="86">
        <v>289.86936908273788</v>
      </c>
      <c r="L1577" s="86">
        <v>292.53117101577101</v>
      </c>
      <c r="M1577" s="86">
        <v>1688734.0392295045</v>
      </c>
      <c r="N1577" s="86" t="s">
        <v>1625</v>
      </c>
      <c r="O1577" s="25">
        <f t="shared" si="48"/>
        <v>-7.5090550369560916E-3</v>
      </c>
    </row>
    <row r="1578" spans="1:15">
      <c r="A1578" s="86">
        <v>328.45926503036901</v>
      </c>
      <c r="B1578" s="86">
        <v>328.47776873523247</v>
      </c>
      <c r="C1578" s="86">
        <v>325.59119077654071</v>
      </c>
      <c r="D1578" s="86">
        <v>325.77622782517477</v>
      </c>
      <c r="E1578" s="86">
        <v>2149128.5282354057</v>
      </c>
      <c r="F1578" s="86" t="s">
        <v>1626</v>
      </c>
      <c r="G1578" s="25">
        <f t="shared" si="47"/>
        <v>8.2358286947630255E-3</v>
      </c>
      <c r="I1578" s="86">
        <v>290.4982090216098</v>
      </c>
      <c r="J1578" s="86">
        <v>291.52330426442842</v>
      </c>
      <c r="K1578" s="86">
        <v>286.14801492393423</v>
      </c>
      <c r="L1578" s="86">
        <v>287.70719340250707</v>
      </c>
      <c r="M1578" s="86">
        <v>2523853.0059765708</v>
      </c>
      <c r="N1578" s="86" t="s">
        <v>1626</v>
      </c>
      <c r="O1578" s="25">
        <f t="shared" si="48"/>
        <v>9.7008892481811326E-3</v>
      </c>
    </row>
    <row r="1579" spans="1:15">
      <c r="A1579" s="86">
        <v>324.8232870247092</v>
      </c>
      <c r="B1579" s="86">
        <v>326.40535379053068</v>
      </c>
      <c r="C1579" s="86">
        <v>323.70381288047298</v>
      </c>
      <c r="D1579" s="86">
        <v>325.38765002304319</v>
      </c>
      <c r="E1579" s="86">
        <v>3667167.2241263515</v>
      </c>
      <c r="F1579" s="86" t="s">
        <v>1627</v>
      </c>
      <c r="G1579" s="25">
        <f t="shared" si="47"/>
        <v>-1.7344327551891414E-3</v>
      </c>
      <c r="I1579" s="86">
        <v>286.32891408443163</v>
      </c>
      <c r="J1579" s="86">
        <v>287.1989529039667</v>
      </c>
      <c r="K1579" s="86">
        <v>282.8056875776013</v>
      </c>
      <c r="L1579" s="86">
        <v>285.71730263703563</v>
      </c>
      <c r="M1579" s="86">
        <v>3114762.547547034</v>
      </c>
      <c r="N1579" s="86" t="s">
        <v>1627</v>
      </c>
      <c r="O1579" s="25">
        <f t="shared" si="48"/>
        <v>2.1406174626146246E-3</v>
      </c>
    </row>
    <row r="1580" spans="1:15">
      <c r="A1580" s="86">
        <v>324.49947218959954</v>
      </c>
      <c r="B1580" s="86">
        <v>325.97976857867224</v>
      </c>
      <c r="C1580" s="86">
        <v>322.88964986648301</v>
      </c>
      <c r="D1580" s="86">
        <v>322.93590912864153</v>
      </c>
      <c r="E1580" s="86">
        <v>3194202.4819515906</v>
      </c>
      <c r="F1580" s="86" t="s">
        <v>1628</v>
      </c>
      <c r="G1580" s="25">
        <f t="shared" si="47"/>
        <v>4.8417132216014291E-3</v>
      </c>
      <c r="I1580" s="86">
        <v>286.59595570230874</v>
      </c>
      <c r="J1580" s="86">
        <v>288.74951713680156</v>
      </c>
      <c r="K1580" s="86">
        <v>281.41879401378793</v>
      </c>
      <c r="L1580" s="86">
        <v>282.05624819839778</v>
      </c>
      <c r="M1580" s="86">
        <v>2397633.0172424149</v>
      </c>
      <c r="N1580" s="86" t="s">
        <v>1628</v>
      </c>
      <c r="O1580" s="25">
        <f t="shared" si="48"/>
        <v>1.609504321534394E-2</v>
      </c>
    </row>
    <row r="1581" spans="1:15">
      <c r="A1581" s="86">
        <v>319.90130153104246</v>
      </c>
      <c r="B1581" s="86">
        <v>320.90050159366655</v>
      </c>
      <c r="C1581" s="86">
        <v>315.85824201838761</v>
      </c>
      <c r="D1581" s="86">
        <v>317.92140511065776</v>
      </c>
      <c r="E1581" s="86">
        <v>3603612.384234501</v>
      </c>
      <c r="F1581" s="86" t="s">
        <v>1629</v>
      </c>
      <c r="G1581" s="25">
        <f t="shared" si="47"/>
        <v>6.2276285539677456E-3</v>
      </c>
      <c r="I1581" s="86">
        <v>279.12740464748748</v>
      </c>
      <c r="J1581" s="86">
        <v>280.5229124570389</v>
      </c>
      <c r="K1581" s="86">
        <v>275.4921929460636</v>
      </c>
      <c r="L1581" s="86">
        <v>279.85961553521508</v>
      </c>
      <c r="M1581" s="86">
        <v>1875335.4027028594</v>
      </c>
      <c r="N1581" s="86" t="s">
        <v>1629</v>
      </c>
      <c r="O1581" s="25">
        <f t="shared" si="48"/>
        <v>-2.6163506525487268E-3</v>
      </c>
    </row>
    <row r="1582" spans="1:15">
      <c r="A1582" s="86">
        <v>314.72951602171975</v>
      </c>
      <c r="B1582" s="86">
        <v>320.31763489046921</v>
      </c>
      <c r="C1582" s="86">
        <v>313.2399677802153</v>
      </c>
      <c r="D1582" s="86">
        <v>319.47571631918407</v>
      </c>
      <c r="E1582" s="86">
        <v>6272956.7325479351</v>
      </c>
      <c r="F1582" s="86" t="s">
        <v>1630</v>
      </c>
      <c r="G1582" s="25">
        <f t="shared" si="47"/>
        <v>-1.4856216153600998E-2</v>
      </c>
      <c r="I1582" s="86">
        <v>277.22365633939586</v>
      </c>
      <c r="J1582" s="86">
        <v>283.3914562877834</v>
      </c>
      <c r="K1582" s="86">
        <v>277.13751388201615</v>
      </c>
      <c r="L1582" s="86">
        <v>281.77197808904475</v>
      </c>
      <c r="M1582" s="86">
        <v>2439152.6129074707</v>
      </c>
      <c r="N1582" s="86" t="s">
        <v>1630</v>
      </c>
      <c r="O1582" s="25">
        <f t="shared" si="48"/>
        <v>-1.6141852644451227E-2</v>
      </c>
    </row>
    <row r="1583" spans="1:15">
      <c r="A1583" s="86">
        <v>321.15955346175429</v>
      </c>
      <c r="B1583" s="86">
        <v>324.80543094951599</v>
      </c>
      <c r="C1583" s="86">
        <v>319.72551633484005</v>
      </c>
      <c r="D1583" s="86">
        <v>320.08633857967658</v>
      </c>
      <c r="E1583" s="86">
        <v>3709730.5921552833</v>
      </c>
      <c r="F1583" s="86" t="s">
        <v>1631</v>
      </c>
      <c r="G1583" s="25">
        <f t="shared" si="47"/>
        <v>3.3528918692371512E-3</v>
      </c>
      <c r="I1583" s="86">
        <v>282.48696048529638</v>
      </c>
      <c r="J1583" s="86">
        <v>288.3015763584271</v>
      </c>
      <c r="K1583" s="86">
        <v>281.83951377563045</v>
      </c>
      <c r="L1583" s="86">
        <v>286.11355794098233</v>
      </c>
      <c r="M1583" s="86">
        <v>2133423.0017366377</v>
      </c>
      <c r="N1583" s="86" t="s">
        <v>1631</v>
      </c>
      <c r="O1583" s="25">
        <f t="shared" si="48"/>
        <v>-1.2675377852712666E-2</v>
      </c>
    </row>
    <row r="1584" spans="1:15">
      <c r="A1584" s="86">
        <v>318.48576810899169</v>
      </c>
      <c r="B1584" s="86">
        <v>323.40775360265843</v>
      </c>
      <c r="C1584" s="86">
        <v>316.40410131185826</v>
      </c>
      <c r="D1584" s="86">
        <v>323.38924989779503</v>
      </c>
      <c r="E1584" s="86">
        <v>5415533.8479355592</v>
      </c>
      <c r="F1584" s="86" t="s">
        <v>1632</v>
      </c>
      <c r="G1584" s="25">
        <f t="shared" si="47"/>
        <v>-1.5162785375064436E-2</v>
      </c>
      <c r="I1584" s="86">
        <v>286.43228503328726</v>
      </c>
      <c r="J1584" s="86">
        <v>289.20607216091406</v>
      </c>
      <c r="K1584" s="86">
        <v>283.98928494199856</v>
      </c>
      <c r="L1584" s="86">
        <v>286.23415738131393</v>
      </c>
      <c r="M1584" s="86">
        <v>3095168.2609276054</v>
      </c>
      <c r="N1584" s="86" t="s">
        <v>1632</v>
      </c>
      <c r="O1584" s="25">
        <f t="shared" si="48"/>
        <v>6.9218731190545668E-4</v>
      </c>
    </row>
    <row r="1585" spans="1:15">
      <c r="A1585" s="86">
        <v>326.40535379053068</v>
      </c>
      <c r="B1585" s="86">
        <v>328.1123205641801</v>
      </c>
      <c r="C1585" s="86">
        <v>326.22031674189657</v>
      </c>
      <c r="D1585" s="86">
        <v>327.72836868826442</v>
      </c>
      <c r="E1585" s="86">
        <v>2626764.7673151423</v>
      </c>
      <c r="F1585" s="86" t="s">
        <v>1633</v>
      </c>
      <c r="G1585" s="25">
        <f t="shared" si="47"/>
        <v>-4.0369251616182433E-3</v>
      </c>
      <c r="I1585" s="86">
        <v>284.86449230897648</v>
      </c>
      <c r="J1585" s="86">
        <v>296.31282489474052</v>
      </c>
      <c r="K1585" s="86">
        <v>284.86449230897648</v>
      </c>
      <c r="L1585" s="86">
        <v>292.02293051723075</v>
      </c>
      <c r="M1585" s="86">
        <v>4112250.9245182131</v>
      </c>
      <c r="N1585" s="86" t="s">
        <v>1633</v>
      </c>
      <c r="O1585" s="25">
        <f t="shared" si="48"/>
        <v>-2.4513274336283253E-2</v>
      </c>
    </row>
    <row r="1586" spans="1:15">
      <c r="A1586" s="86">
        <v>326.89570196941099</v>
      </c>
      <c r="B1586" s="86">
        <v>327.2208120638611</v>
      </c>
      <c r="C1586" s="86">
        <v>321.93670906601744</v>
      </c>
      <c r="D1586" s="86">
        <v>326.3220871186453</v>
      </c>
      <c r="E1586" s="86">
        <v>3835985.3080213913</v>
      </c>
      <c r="F1586" s="86" t="s">
        <v>1634</v>
      </c>
      <c r="G1586" s="25">
        <f t="shared" si="47"/>
        <v>1.7578180374813179E-3</v>
      </c>
      <c r="I1586" s="86">
        <v>295.90795534505583</v>
      </c>
      <c r="J1586" s="86">
        <v>298.81957040449015</v>
      </c>
      <c r="K1586" s="86">
        <v>291.07536348605385</v>
      </c>
      <c r="L1586" s="86">
        <v>292.33304336379769</v>
      </c>
      <c r="M1586" s="86">
        <v>2294559.5704186084</v>
      </c>
      <c r="N1586" s="86" t="s">
        <v>1634</v>
      </c>
      <c r="O1586" s="25">
        <f t="shared" si="48"/>
        <v>1.2228901461574848E-2</v>
      </c>
    </row>
    <row r="1587" spans="1:15">
      <c r="A1587" s="86">
        <v>325.57268707167725</v>
      </c>
      <c r="B1587" s="86">
        <v>326.62739824889161</v>
      </c>
      <c r="C1587" s="86">
        <v>324.73076850039217</v>
      </c>
      <c r="D1587" s="86">
        <v>325.09159074522864</v>
      </c>
      <c r="E1587" s="86">
        <v>1958714.7691526245</v>
      </c>
      <c r="F1587" s="86" t="s">
        <v>1635</v>
      </c>
      <c r="G1587" s="25">
        <f t="shared" si="47"/>
        <v>1.4798793329158233E-3</v>
      </c>
      <c r="I1587" s="86">
        <v>292.7809841421722</v>
      </c>
      <c r="J1587" s="86">
        <v>294.46937630681458</v>
      </c>
      <c r="K1587" s="86">
        <v>290.48098053013382</v>
      </c>
      <c r="L1587" s="86">
        <v>291.79896012804346</v>
      </c>
      <c r="M1587" s="86">
        <v>1808176.8820850998</v>
      </c>
      <c r="N1587" s="86" t="s">
        <v>1635</v>
      </c>
      <c r="O1587" s="25">
        <f t="shared" si="48"/>
        <v>3.3654130011218086E-3</v>
      </c>
    </row>
    <row r="1588" spans="1:15">
      <c r="A1588" s="86">
        <v>326.73842047807204</v>
      </c>
      <c r="B1588" s="86">
        <v>327.36292051721205</v>
      </c>
      <c r="C1588" s="86">
        <v>325.94461153943178</v>
      </c>
      <c r="D1588" s="86">
        <v>327.01597605102313</v>
      </c>
      <c r="E1588" s="86">
        <v>2791399.9051152593</v>
      </c>
      <c r="F1588" s="86" t="s">
        <v>1636</v>
      </c>
      <c r="G1588" s="25">
        <f t="shared" si="47"/>
        <v>-8.4875233406878081E-4</v>
      </c>
      <c r="I1588" s="86">
        <v>292.6000849816748</v>
      </c>
      <c r="J1588" s="86">
        <v>295.99409780243553</v>
      </c>
      <c r="K1588" s="86">
        <v>291.9884735342788</v>
      </c>
      <c r="L1588" s="86">
        <v>294.32293412926907</v>
      </c>
      <c r="M1588" s="86">
        <v>1930191.0469895152</v>
      </c>
      <c r="N1588" s="86" t="s">
        <v>1636</v>
      </c>
      <c r="O1588" s="25">
        <f t="shared" si="48"/>
        <v>-5.8536014282787319E-3</v>
      </c>
    </row>
    <row r="1589" spans="1:15">
      <c r="A1589" s="86">
        <v>326.43310934782573</v>
      </c>
      <c r="B1589" s="86">
        <v>327.24727236181576</v>
      </c>
      <c r="C1589" s="86">
        <v>323.78707955235836</v>
      </c>
      <c r="D1589" s="86">
        <v>324.11089438746797</v>
      </c>
      <c r="E1589" s="86">
        <v>3156744.037541863</v>
      </c>
      <c r="F1589" s="86" t="s">
        <v>1637</v>
      </c>
      <c r="G1589" s="25">
        <f t="shared" si="47"/>
        <v>7.1648778259876256E-3</v>
      </c>
      <c r="I1589" s="86">
        <v>294.32293412926907</v>
      </c>
      <c r="J1589" s="86">
        <v>296.14053997998104</v>
      </c>
      <c r="K1589" s="86">
        <v>292.20813680059706</v>
      </c>
      <c r="L1589" s="86">
        <v>295.07237350847259</v>
      </c>
      <c r="M1589" s="86">
        <v>2066386.3722318022</v>
      </c>
      <c r="N1589" s="86" t="s">
        <v>1637</v>
      </c>
      <c r="O1589" s="25">
        <f t="shared" si="48"/>
        <v>-2.5398493606586525E-3</v>
      </c>
    </row>
    <row r="1590" spans="1:15">
      <c r="A1590" s="86">
        <v>322.05698314762964</v>
      </c>
      <c r="B1590" s="86">
        <v>322.50754836105358</v>
      </c>
      <c r="C1590" s="86">
        <v>320.44716082451305</v>
      </c>
      <c r="D1590" s="86">
        <v>321.77942757467849</v>
      </c>
      <c r="E1590" s="86">
        <v>3711462.1372829489</v>
      </c>
      <c r="F1590" s="86" t="s">
        <v>1638</v>
      </c>
      <c r="G1590" s="25">
        <f t="shared" si="47"/>
        <v>8.6256469235190814E-4</v>
      </c>
      <c r="I1590" s="86">
        <v>294.17649195172356</v>
      </c>
      <c r="J1590" s="86">
        <v>302.33418266558255</v>
      </c>
      <c r="K1590" s="86">
        <v>294.15926346024764</v>
      </c>
      <c r="L1590" s="86">
        <v>302.13605501360917</v>
      </c>
      <c r="M1590" s="86">
        <v>2341708.2137652566</v>
      </c>
      <c r="N1590" s="86" t="s">
        <v>1638</v>
      </c>
      <c r="O1590" s="25">
        <f t="shared" si="48"/>
        <v>-2.6344300621543137E-2</v>
      </c>
    </row>
    <row r="1591" spans="1:15">
      <c r="A1591" s="86">
        <v>319.53122743377429</v>
      </c>
      <c r="B1591" s="86">
        <v>321.09479049473237</v>
      </c>
      <c r="C1591" s="86">
        <v>317.82888658634067</v>
      </c>
      <c r="D1591" s="86">
        <v>320.36389415262767</v>
      </c>
      <c r="E1591" s="86">
        <v>3915051.6361324247</v>
      </c>
      <c r="F1591" s="86" t="s">
        <v>1639</v>
      </c>
      <c r="G1591" s="25">
        <f t="shared" si="47"/>
        <v>-2.5991278482109248E-3</v>
      </c>
      <c r="I1591" s="86">
        <v>299.14691174253306</v>
      </c>
      <c r="J1591" s="86">
        <v>301.92931311589786</v>
      </c>
      <c r="K1591" s="86">
        <v>296.56952941773204</v>
      </c>
      <c r="L1591" s="86">
        <v>298.99185531924957</v>
      </c>
      <c r="M1591" s="86">
        <v>2151198.2086041467</v>
      </c>
      <c r="N1591" s="86" t="s">
        <v>1639</v>
      </c>
      <c r="O1591" s="25">
        <f t="shared" si="48"/>
        <v>5.1859748192106814E-4</v>
      </c>
    </row>
    <row r="1592" spans="1:15">
      <c r="A1592" s="86">
        <v>321.82568683683701</v>
      </c>
      <c r="B1592" s="86">
        <v>324.10932157255462</v>
      </c>
      <c r="C1592" s="86">
        <v>321.54813126388586</v>
      </c>
      <c r="D1592" s="86">
        <v>323.67605732317787</v>
      </c>
      <c r="E1592" s="86">
        <v>3780262.4131951253</v>
      </c>
      <c r="F1592" s="86" t="s">
        <v>1640</v>
      </c>
      <c r="G1592" s="25">
        <f t="shared" si="47"/>
        <v>-5.7167357438902E-3</v>
      </c>
      <c r="I1592" s="86">
        <v>299.29335392007857</v>
      </c>
      <c r="J1592" s="86">
        <v>305.6248245374876</v>
      </c>
      <c r="K1592" s="86">
        <v>298.78511342153831</v>
      </c>
      <c r="L1592" s="86">
        <v>299.77575168140498</v>
      </c>
      <c r="M1592" s="86">
        <v>2281831.8164938847</v>
      </c>
      <c r="N1592" s="86" t="s">
        <v>1640</v>
      </c>
      <c r="O1592" s="25">
        <f t="shared" si="48"/>
        <v>-1.6091954022988686E-3</v>
      </c>
    </row>
    <row r="1593" spans="1:15">
      <c r="A1593" s="86">
        <v>322.91740542377806</v>
      </c>
      <c r="B1593" s="86">
        <v>323.87034622424363</v>
      </c>
      <c r="C1593" s="86">
        <v>321.33533865795664</v>
      </c>
      <c r="D1593" s="86">
        <v>322.06623500006134</v>
      </c>
      <c r="E1593" s="86">
        <v>3285748.4730114555</v>
      </c>
      <c r="F1593" s="86" t="s">
        <v>1641</v>
      </c>
      <c r="G1593" s="25">
        <f t="shared" si="47"/>
        <v>2.6428427795808229E-3</v>
      </c>
      <c r="I1593" s="86">
        <v>297.61357600117418</v>
      </c>
      <c r="J1593" s="86">
        <v>299.08661202236726</v>
      </c>
      <c r="K1593" s="86">
        <v>292.16506557190729</v>
      </c>
      <c r="L1593" s="86">
        <v>294.09896374008184</v>
      </c>
      <c r="M1593" s="86">
        <v>1913278.3648544094</v>
      </c>
      <c r="N1593" s="86" t="s">
        <v>1641</v>
      </c>
      <c r="O1593" s="25">
        <f t="shared" si="48"/>
        <v>1.1950440818956798E-2</v>
      </c>
    </row>
    <row r="1594" spans="1:15">
      <c r="A1594" s="86">
        <v>322.11249426221985</v>
      </c>
      <c r="B1594" s="86">
        <v>323.02842765295856</v>
      </c>
      <c r="C1594" s="86">
        <v>320.08633857967658</v>
      </c>
      <c r="D1594" s="86">
        <v>322.2420201962637</v>
      </c>
      <c r="E1594" s="86">
        <v>2484246.2814515396</v>
      </c>
      <c r="F1594" s="86" t="s">
        <v>1642</v>
      </c>
      <c r="G1594" s="25">
        <f t="shared" si="47"/>
        <v>-4.0195233993678414E-4</v>
      </c>
      <c r="I1594" s="86">
        <v>294.47799055255257</v>
      </c>
      <c r="J1594" s="86">
        <v>295.78735590472422</v>
      </c>
      <c r="K1594" s="86">
        <v>289.11992970353435</v>
      </c>
      <c r="L1594" s="86">
        <v>289.88659757421379</v>
      </c>
      <c r="M1594" s="86">
        <v>3485183.8353835978</v>
      </c>
      <c r="N1594" s="86" t="s">
        <v>1642</v>
      </c>
      <c r="O1594" s="25">
        <f t="shared" si="48"/>
        <v>1.5838583145132645E-2</v>
      </c>
    </row>
    <row r="1595" spans="1:15">
      <c r="A1595" s="86">
        <v>322.08473870492469</v>
      </c>
      <c r="B1595" s="86">
        <v>323.64830176588276</v>
      </c>
      <c r="C1595" s="86">
        <v>321.22616679926256</v>
      </c>
      <c r="D1595" s="86">
        <v>321.37234606768351</v>
      </c>
      <c r="E1595" s="86">
        <v>3229470.0137684476</v>
      </c>
      <c r="F1595" s="86" t="s">
        <v>1643</v>
      </c>
      <c r="G1595" s="25">
        <f t="shared" si="47"/>
        <v>2.2167204053429312E-3</v>
      </c>
      <c r="I1595" s="86">
        <v>290.88585007981851</v>
      </c>
      <c r="J1595" s="86">
        <v>292.02293051723075</v>
      </c>
      <c r="K1595" s="86">
        <v>287.13003893806297</v>
      </c>
      <c r="L1595" s="86">
        <v>288.57723222204214</v>
      </c>
      <c r="M1595" s="86">
        <v>3719372.6502101263</v>
      </c>
      <c r="N1595" s="86" t="s">
        <v>1643</v>
      </c>
      <c r="O1595" s="25">
        <f t="shared" si="48"/>
        <v>8.0000000000000071E-3</v>
      </c>
    </row>
    <row r="1596" spans="1:15">
      <c r="A1596" s="86">
        <v>324.20341291178505</v>
      </c>
      <c r="B1596" s="86">
        <v>324.38752477517596</v>
      </c>
      <c r="C1596" s="86">
        <v>320.70621269260073</v>
      </c>
      <c r="D1596" s="86">
        <v>323.70381288047298</v>
      </c>
      <c r="E1596" s="86">
        <v>4062388.6164898686</v>
      </c>
      <c r="F1596" s="86" t="s">
        <v>1644</v>
      </c>
      <c r="G1596" s="25">
        <f t="shared" si="47"/>
        <v>1.5433863038756268E-3</v>
      </c>
      <c r="I1596" s="86">
        <v>289.52479925321904</v>
      </c>
      <c r="J1596" s="86">
        <v>295.87349836210399</v>
      </c>
      <c r="K1596" s="86">
        <v>288.58584646778013</v>
      </c>
      <c r="L1596" s="86">
        <v>294.50383328976648</v>
      </c>
      <c r="M1596" s="86">
        <v>3745313.4007757846</v>
      </c>
      <c r="N1596" s="86" t="s">
        <v>1644</v>
      </c>
      <c r="O1596" s="25">
        <f t="shared" si="48"/>
        <v>-1.6906516906516789E-2</v>
      </c>
    </row>
    <row r="1597" spans="1:15">
      <c r="A1597" s="86">
        <v>322.39004983517094</v>
      </c>
      <c r="B1597" s="86">
        <v>323.07468691511707</v>
      </c>
      <c r="C1597" s="86">
        <v>319.6885089251133</v>
      </c>
      <c r="D1597" s="86">
        <v>319.87354597374735</v>
      </c>
      <c r="E1597" s="86">
        <v>3933111.8031350258</v>
      </c>
      <c r="F1597" s="86" t="s">
        <v>1645</v>
      </c>
      <c r="G1597" s="25">
        <f t="shared" si="47"/>
        <v>7.8671834326371481E-3</v>
      </c>
      <c r="I1597" s="86">
        <v>295.08098775421058</v>
      </c>
      <c r="J1597" s="86">
        <v>299.64645185287804</v>
      </c>
      <c r="K1597" s="86">
        <v>294.03849173500129</v>
      </c>
      <c r="L1597" s="86">
        <v>296.64016623278343</v>
      </c>
      <c r="M1597" s="86">
        <v>2378511.2037940342</v>
      </c>
      <c r="N1597" s="86" t="s">
        <v>1645</v>
      </c>
      <c r="O1597" s="25">
        <f t="shared" si="48"/>
        <v>-5.2561273086305649E-3</v>
      </c>
    </row>
    <row r="1598" spans="1:15">
      <c r="A1598" s="86">
        <v>317.64384953770661</v>
      </c>
      <c r="B1598" s="86">
        <v>320.57668675855689</v>
      </c>
      <c r="C1598" s="86">
        <v>313.91535300772978</v>
      </c>
      <c r="D1598" s="86">
        <v>314.36869377688328</v>
      </c>
      <c r="E1598" s="86">
        <v>5193500.4751419583</v>
      </c>
      <c r="F1598" s="86" t="s">
        <v>1646</v>
      </c>
      <c r="G1598" s="25">
        <f t="shared" si="47"/>
        <v>1.0418199476146972E-2</v>
      </c>
      <c r="I1598" s="86">
        <v>299.80159441861889</v>
      </c>
      <c r="J1598" s="86">
        <v>303.1525360106898</v>
      </c>
      <c r="K1598" s="86">
        <v>295.28135511007576</v>
      </c>
      <c r="L1598" s="86">
        <v>295.4686288124193</v>
      </c>
      <c r="M1598" s="86">
        <v>2202717.5189999184</v>
      </c>
      <c r="N1598" s="86" t="s">
        <v>1646</v>
      </c>
      <c r="O1598" s="25">
        <f t="shared" si="48"/>
        <v>1.4664723032069782E-2</v>
      </c>
    </row>
    <row r="1599" spans="1:15">
      <c r="A1599" s="86">
        <v>315.72871608434377</v>
      </c>
      <c r="B1599" s="86">
        <v>316.77417540912637</v>
      </c>
      <c r="C1599" s="86">
        <v>313.07343443644464</v>
      </c>
      <c r="D1599" s="86">
        <v>313.08268628887635</v>
      </c>
      <c r="E1599" s="86">
        <v>3566546.2936832896</v>
      </c>
      <c r="F1599" s="86" t="s">
        <v>1647</v>
      </c>
      <c r="G1599" s="25">
        <f t="shared" si="47"/>
        <v>8.451536643026003E-3</v>
      </c>
      <c r="I1599" s="86">
        <v>300.45627709470477</v>
      </c>
      <c r="J1599" s="86">
        <v>302.52369607181788</v>
      </c>
      <c r="K1599" s="86">
        <v>295.72705618455842</v>
      </c>
      <c r="L1599" s="86">
        <v>296.88136511344658</v>
      </c>
      <c r="M1599" s="86">
        <v>1716996.5252794246</v>
      </c>
      <c r="N1599" s="86" t="s">
        <v>1647</v>
      </c>
      <c r="O1599" s="25">
        <f t="shared" si="48"/>
        <v>1.2041550603528517E-2</v>
      </c>
    </row>
    <row r="1600" spans="1:15">
      <c r="A1600" s="86">
        <v>313.66555299207369</v>
      </c>
      <c r="B1600" s="86">
        <v>319.27217556568655</v>
      </c>
      <c r="C1600" s="86">
        <v>310.27937500206991</v>
      </c>
      <c r="D1600" s="86">
        <v>319.20741259866463</v>
      </c>
      <c r="E1600" s="86">
        <v>5839494.3497869065</v>
      </c>
      <c r="F1600" s="86" t="s">
        <v>1648</v>
      </c>
      <c r="G1600" s="25">
        <f t="shared" si="47"/>
        <v>-1.7361312387687788E-2</v>
      </c>
      <c r="I1600" s="86">
        <v>296.88136511344658</v>
      </c>
      <c r="J1600" s="86">
        <v>305.78849520650903</v>
      </c>
      <c r="K1600" s="86">
        <v>293.8017722621218</v>
      </c>
      <c r="L1600" s="86">
        <v>305.78849520650903</v>
      </c>
      <c r="M1600" s="86">
        <v>2191103.0372398985</v>
      </c>
      <c r="N1600" s="86" t="s">
        <v>1648</v>
      </c>
      <c r="O1600" s="25">
        <f t="shared" si="48"/>
        <v>-2.9128401600090226E-2</v>
      </c>
    </row>
    <row r="1601" spans="1:15">
      <c r="A1601" s="86">
        <v>317.97691622524798</v>
      </c>
      <c r="B1601" s="86">
        <v>318.60604219060389</v>
      </c>
      <c r="C1601" s="86">
        <v>315.70096052704872</v>
      </c>
      <c r="D1601" s="86">
        <v>316.24681982051925</v>
      </c>
      <c r="E1601" s="86">
        <v>3790938.1130864825</v>
      </c>
      <c r="F1601" s="86" t="s">
        <v>1649</v>
      </c>
      <c r="G1601" s="25">
        <f t="shared" si="47"/>
        <v>5.4707155813000785E-3</v>
      </c>
      <c r="I1601" s="86">
        <v>305.78849520650903</v>
      </c>
      <c r="J1601" s="86">
        <v>306.69299100899599</v>
      </c>
      <c r="K1601" s="86">
        <v>303.41957762856691</v>
      </c>
      <c r="L1601" s="86">
        <v>304.78924270090437</v>
      </c>
      <c r="M1601" s="86">
        <v>1530627.335354496</v>
      </c>
      <c r="N1601" s="86" t="s">
        <v>1649</v>
      </c>
      <c r="O1601" s="25">
        <f t="shared" si="48"/>
        <v>3.278503193714144E-3</v>
      </c>
    </row>
    <row r="1602" spans="1:15">
      <c r="A1602" s="86">
        <v>316.27457537781436</v>
      </c>
      <c r="B1602" s="86">
        <v>317.25527173557504</v>
      </c>
      <c r="C1602" s="86">
        <v>316.01089758351077</v>
      </c>
      <c r="D1602" s="86">
        <v>316.67240503237764</v>
      </c>
      <c r="E1602" s="86">
        <v>2171602.9463624675</v>
      </c>
      <c r="F1602" s="86" t="s">
        <v>1650</v>
      </c>
      <c r="G1602" s="25">
        <f t="shared" si="47"/>
        <v>-1.2562814070351536E-3</v>
      </c>
      <c r="I1602" s="86">
        <v>305.08212705599539</v>
      </c>
      <c r="J1602" s="86">
        <v>307.19261726179838</v>
      </c>
      <c r="K1602" s="86">
        <v>304.08287455039067</v>
      </c>
      <c r="L1602" s="86">
        <v>304.08287455039067</v>
      </c>
      <c r="M1602" s="86">
        <v>976045.98890627874</v>
      </c>
      <c r="N1602" s="86" t="s">
        <v>1650</v>
      </c>
      <c r="O1602" s="25">
        <f t="shared" si="48"/>
        <v>3.2861189801700608E-3</v>
      </c>
    </row>
    <row r="1603" spans="1:15">
      <c r="A1603" s="86">
        <v>315.84899016595597</v>
      </c>
      <c r="B1603" s="86">
        <v>318.0509310447016</v>
      </c>
      <c r="C1603" s="86">
        <v>315.36789383950736</v>
      </c>
      <c r="D1603" s="86">
        <v>317.92140511065776</v>
      </c>
      <c r="E1603" s="86">
        <v>2762194.9429744808</v>
      </c>
      <c r="F1603" s="86" t="s">
        <v>1651</v>
      </c>
      <c r="G1603" s="25">
        <f t="shared" si="47"/>
        <v>-6.5186392340599308E-3</v>
      </c>
      <c r="I1603" s="86">
        <v>304.8581566668081</v>
      </c>
      <c r="J1603" s="86">
        <v>307.83007144640828</v>
      </c>
      <c r="K1603" s="86">
        <v>303.04916506183412</v>
      </c>
      <c r="L1603" s="86">
        <v>306.66714827178214</v>
      </c>
      <c r="M1603" s="86">
        <v>1226064.3962645051</v>
      </c>
      <c r="N1603" s="86" t="s">
        <v>1651</v>
      </c>
      <c r="O1603" s="25">
        <f t="shared" si="48"/>
        <v>-5.8988764044944908E-3</v>
      </c>
    </row>
    <row r="1604" spans="1:15">
      <c r="A1604" s="86">
        <v>316.51512354103869</v>
      </c>
      <c r="B1604" s="86">
        <v>316.83893837614829</v>
      </c>
      <c r="C1604" s="86">
        <v>315.57143459300482</v>
      </c>
      <c r="D1604" s="86">
        <v>316.17280500106563</v>
      </c>
      <c r="E1604" s="86">
        <v>3025172.5485902443</v>
      </c>
      <c r="F1604" s="86" t="s">
        <v>1652</v>
      </c>
      <c r="G1604" s="25">
        <f t="shared" si="47"/>
        <v>1.0826944460700094E-3</v>
      </c>
      <c r="I1604" s="86">
        <v>305.0993555474713</v>
      </c>
      <c r="J1604" s="86">
        <v>308.23494099609292</v>
      </c>
      <c r="K1604" s="86">
        <v>302.97163685019234</v>
      </c>
      <c r="L1604" s="86">
        <v>304.17763125350837</v>
      </c>
      <c r="M1604" s="86">
        <v>1188036.6907677795</v>
      </c>
      <c r="N1604" s="86" t="s">
        <v>1652</v>
      </c>
      <c r="O1604" s="25">
        <f t="shared" si="48"/>
        <v>3.0302172127665283E-3</v>
      </c>
    </row>
    <row r="1605" spans="1:15">
      <c r="A1605" s="86">
        <v>313.78582707368588</v>
      </c>
      <c r="B1605" s="86">
        <v>313.80433077854929</v>
      </c>
      <c r="C1605" s="86">
        <v>312.49981958567895</v>
      </c>
      <c r="D1605" s="86">
        <v>313.05493073158124</v>
      </c>
      <c r="E1605" s="86">
        <v>1564732.0476482238</v>
      </c>
      <c r="F1605" s="86" t="s">
        <v>1653</v>
      </c>
      <c r="G1605" s="25">
        <f t="shared" si="47"/>
        <v>2.334722345361584E-3</v>
      </c>
      <c r="I1605" s="86">
        <v>303.19560723937968</v>
      </c>
      <c r="J1605" s="86">
        <v>304.99262504277789</v>
      </c>
      <c r="K1605" s="86">
        <v>301.84317065851809</v>
      </c>
      <c r="L1605" s="86">
        <v>303.93643237284516</v>
      </c>
      <c r="M1605" s="86">
        <v>590625.12897364097</v>
      </c>
      <c r="N1605" s="86" t="s">
        <v>1653</v>
      </c>
      <c r="O1605" s="25">
        <f t="shared" si="48"/>
        <v>-2.4374344585208485E-3</v>
      </c>
    </row>
    <row r="1606" spans="1:15">
      <c r="A1606" s="86">
        <v>312.53682699540582</v>
      </c>
      <c r="B1606" s="86">
        <v>314.33168636715646</v>
      </c>
      <c r="C1606" s="86">
        <v>312.42580476622533</v>
      </c>
      <c r="D1606" s="86">
        <v>313.21221222292024</v>
      </c>
      <c r="E1606" s="86">
        <v>3979924.0500009446</v>
      </c>
      <c r="F1606" s="86" t="s">
        <v>1654</v>
      </c>
      <c r="G1606" s="25">
        <f t="shared" si="47"/>
        <v>-2.1563183080286485E-3</v>
      </c>
      <c r="I1606" s="86">
        <v>302.8768801470747</v>
      </c>
      <c r="J1606" s="86">
        <v>305.80141657511598</v>
      </c>
      <c r="K1606" s="86">
        <v>300.98174608472095</v>
      </c>
      <c r="L1606" s="86">
        <v>301.45552960030938</v>
      </c>
      <c r="M1606" s="86">
        <v>1517878.6858104139</v>
      </c>
      <c r="N1606" s="86" t="s">
        <v>1654</v>
      </c>
      <c r="O1606" s="25">
        <f t="shared" si="48"/>
        <v>4.7149592798971796E-3</v>
      </c>
    </row>
    <row r="1607" spans="1:15">
      <c r="A1607" s="86">
        <v>312.28702697974978</v>
      </c>
      <c r="B1607" s="86">
        <v>313.22146407535195</v>
      </c>
      <c r="C1607" s="86">
        <v>311.2970787695574</v>
      </c>
      <c r="D1607" s="86">
        <v>313.14744925589832</v>
      </c>
      <c r="E1607" s="86">
        <v>2573889.9507731451</v>
      </c>
      <c r="F1607" s="86" t="s">
        <v>1655</v>
      </c>
      <c r="G1607" s="25">
        <f t="shared" si="47"/>
        <v>-2.7476585812628018E-3</v>
      </c>
      <c r="I1607" s="86">
        <v>299.70683771550125</v>
      </c>
      <c r="J1607" s="86">
        <v>302.03268406475348</v>
      </c>
      <c r="K1607" s="86">
        <v>299.24597556851973</v>
      </c>
      <c r="L1607" s="86">
        <v>300.93867485603113</v>
      </c>
      <c r="M1607" s="86">
        <v>2115985.6073820889</v>
      </c>
      <c r="N1607" s="86" t="s">
        <v>1655</v>
      </c>
      <c r="O1607" s="25">
        <f t="shared" si="48"/>
        <v>-4.093316158580107E-3</v>
      </c>
    </row>
    <row r="1608" spans="1:15">
      <c r="A1608" s="86">
        <v>312.90421805546868</v>
      </c>
      <c r="B1608" s="86">
        <v>313.63213799499522</v>
      </c>
      <c r="C1608" s="86">
        <v>307.85484936103137</v>
      </c>
      <c r="D1608" s="86">
        <v>310.36110535535062</v>
      </c>
      <c r="E1608" s="86">
        <v>4252235.6950590359</v>
      </c>
      <c r="F1608" s="86" t="s">
        <v>1656</v>
      </c>
      <c r="G1608" s="25">
        <f t="shared" si="47"/>
        <v>8.194044473473161E-3</v>
      </c>
      <c r="I1608" s="86">
        <v>300.93867485603113</v>
      </c>
      <c r="J1608" s="86">
        <v>304.89261364975999</v>
      </c>
      <c r="K1608" s="86">
        <v>298.56975727808901</v>
      </c>
      <c r="L1608" s="86">
        <v>304.22070248219825</v>
      </c>
      <c r="M1608" s="86">
        <v>2471165.8626322155</v>
      </c>
      <c r="N1608" s="86" t="s">
        <v>1656</v>
      </c>
      <c r="O1608" s="25">
        <f t="shared" si="48"/>
        <v>-1.0788311247026838E-2</v>
      </c>
    </row>
    <row r="1609" spans="1:15">
      <c r="A1609" s="86">
        <v>313.87170658268752</v>
      </c>
      <c r="B1609" s="86">
        <v>315.58554340233229</v>
      </c>
      <c r="C1609" s="86">
        <v>312.08415635144513</v>
      </c>
      <c r="D1609" s="86">
        <v>315.48418746138555</v>
      </c>
      <c r="E1609" s="86">
        <v>6539542.6632991573</v>
      </c>
      <c r="F1609" s="86" t="s">
        <v>1657</v>
      </c>
      <c r="G1609" s="25">
        <f t="shared" si="47"/>
        <v>-5.1111305820846775E-3</v>
      </c>
      <c r="I1609" s="86">
        <v>306.69299100899599</v>
      </c>
      <c r="J1609" s="86">
        <v>307.34767368508187</v>
      </c>
      <c r="K1609" s="86">
        <v>301.50721507473725</v>
      </c>
      <c r="L1609" s="86">
        <v>303.25590695954543</v>
      </c>
      <c r="M1609" s="86">
        <v>5040528.3667035457</v>
      </c>
      <c r="N1609" s="86" t="s">
        <v>1657</v>
      </c>
      <c r="O1609" s="25">
        <f t="shared" si="48"/>
        <v>1.1333939325076647E-2</v>
      </c>
    </row>
    <row r="1610" spans="1:15">
      <c r="A1610" s="86">
        <v>315.13404875629686</v>
      </c>
      <c r="B1610" s="86">
        <v>315.35518899108973</v>
      </c>
      <c r="C1610" s="86">
        <v>314.16656022907802</v>
      </c>
      <c r="D1610" s="86">
        <v>314.91290852150394</v>
      </c>
      <c r="E1610" s="86">
        <v>2851036.1336575421</v>
      </c>
      <c r="F1610" s="86" t="s">
        <v>1658</v>
      </c>
      <c r="G1610" s="25">
        <f t="shared" si="47"/>
        <v>7.0222664364938403E-4</v>
      </c>
      <c r="I1610" s="86">
        <v>303.73830472087184</v>
      </c>
      <c r="J1610" s="86">
        <v>308.0971130642854</v>
      </c>
      <c r="K1610" s="86">
        <v>303.11807902773791</v>
      </c>
      <c r="L1610" s="86">
        <v>306.60684855161634</v>
      </c>
      <c r="M1610" s="86">
        <v>1924888.2031434609</v>
      </c>
      <c r="N1610" s="86" t="s">
        <v>1658</v>
      </c>
      <c r="O1610" s="25">
        <f t="shared" si="48"/>
        <v>-9.3557722023994705E-3</v>
      </c>
    </row>
    <row r="1611" spans="1:15">
      <c r="A1611" s="86">
        <v>313.42942611310178</v>
      </c>
      <c r="B1611" s="86">
        <v>314.2402736406757</v>
      </c>
      <c r="C1611" s="86">
        <v>312.32372493913738</v>
      </c>
      <c r="D1611" s="86">
        <v>313.12535829026154</v>
      </c>
      <c r="E1611" s="86">
        <v>3194158.4970351029</v>
      </c>
      <c r="F1611" s="86" t="s">
        <v>1659</v>
      </c>
      <c r="G1611" s="25">
        <f t="shared" si="47"/>
        <v>9.7107377218041968E-4</v>
      </c>
      <c r="I1611" s="86">
        <v>305.43531113125221</v>
      </c>
      <c r="J1611" s="86">
        <v>308.30299353742288</v>
      </c>
      <c r="K1611" s="86">
        <v>304.6428005233588</v>
      </c>
      <c r="L1611" s="86">
        <v>307.74392898902852</v>
      </c>
      <c r="M1611" s="86">
        <v>2306012.6915624724</v>
      </c>
      <c r="N1611" s="86" t="s">
        <v>1659</v>
      </c>
      <c r="O1611" s="25">
        <f t="shared" si="48"/>
        <v>-7.5017494751573599E-3</v>
      </c>
    </row>
    <row r="1612" spans="1:15">
      <c r="A1612" s="86">
        <v>312.95028893771718</v>
      </c>
      <c r="B1612" s="86">
        <v>312.95028893771718</v>
      </c>
      <c r="C1612" s="86">
        <v>309.81746894481813</v>
      </c>
      <c r="D1612" s="86">
        <v>311.10745364777659</v>
      </c>
      <c r="E1612" s="86">
        <v>2998207.1811626819</v>
      </c>
      <c r="F1612" s="86" t="s">
        <v>1660</v>
      </c>
      <c r="G1612" s="25">
        <f t="shared" si="47"/>
        <v>5.9234687833193966E-3</v>
      </c>
      <c r="I1612" s="86">
        <v>308.01958485264362</v>
      </c>
      <c r="J1612" s="86">
        <v>310.01808986385299</v>
      </c>
      <c r="K1612" s="86">
        <v>306.18905763332469</v>
      </c>
      <c r="L1612" s="86">
        <v>309.01883735824833</v>
      </c>
      <c r="M1612" s="86">
        <v>1765915.4919328226</v>
      </c>
      <c r="N1612" s="86" t="s">
        <v>1660</v>
      </c>
      <c r="O1612" s="25">
        <f t="shared" si="48"/>
        <v>-3.2336297493937849E-3</v>
      </c>
    </row>
    <row r="1613" spans="1:15">
      <c r="A1613" s="86">
        <v>308.68412524150466</v>
      </c>
      <c r="B1613" s="86">
        <v>313.08850158446279</v>
      </c>
      <c r="C1613" s="86">
        <v>308.57355512410822</v>
      </c>
      <c r="D1613" s="86">
        <v>312.13944141014332</v>
      </c>
      <c r="E1613" s="86">
        <v>2881032.3033107622</v>
      </c>
      <c r="F1613" s="86" t="s">
        <v>1661</v>
      </c>
      <c r="G1613" s="25">
        <f t="shared" si="47"/>
        <v>-1.1069783917817877E-2</v>
      </c>
      <c r="I1613" s="86">
        <v>308.0971130642854</v>
      </c>
      <c r="J1613" s="86">
        <v>314.9540526717106</v>
      </c>
      <c r="K1613" s="86">
        <v>307.90759965805</v>
      </c>
      <c r="L1613" s="86">
        <v>313.1278325752607</v>
      </c>
      <c r="M1613" s="86">
        <v>1591283.8357485801</v>
      </c>
      <c r="N1613" s="86" t="s">
        <v>1661</v>
      </c>
      <c r="O1613" s="25">
        <f t="shared" si="48"/>
        <v>-1.6066024759284758E-2</v>
      </c>
    </row>
    <row r="1614" spans="1:15">
      <c r="A1614" s="86">
        <v>310.10310841475894</v>
      </c>
      <c r="B1614" s="86">
        <v>310.33346282600155</v>
      </c>
      <c r="C1614" s="86">
        <v>307.54156736174144</v>
      </c>
      <c r="D1614" s="86">
        <v>308.96055053499578</v>
      </c>
      <c r="E1614" s="86">
        <v>2591538.1727652224</v>
      </c>
      <c r="F1614" s="86" t="s">
        <v>1662</v>
      </c>
      <c r="G1614" s="25">
        <f t="shared" si="47"/>
        <v>3.6980704422771016E-3</v>
      </c>
      <c r="I1614" s="86">
        <v>311.58588258816377</v>
      </c>
      <c r="J1614" s="86">
        <v>312.80049123721778</v>
      </c>
      <c r="K1614" s="86">
        <v>305.10796979320929</v>
      </c>
      <c r="L1614" s="86">
        <v>305.41808263977629</v>
      </c>
      <c r="M1614" s="86">
        <v>1636837.4468175406</v>
      </c>
      <c r="N1614" s="86" t="s">
        <v>1662</v>
      </c>
      <c r="O1614" s="25">
        <f t="shared" si="48"/>
        <v>2.0194612889578245E-2</v>
      </c>
    </row>
    <row r="1615" spans="1:15">
      <c r="A1615" s="86">
        <v>310.49931800209617</v>
      </c>
      <c r="B1615" s="86">
        <v>311.43907185820143</v>
      </c>
      <c r="C1615" s="86">
        <v>308.52932707714962</v>
      </c>
      <c r="D1615" s="86">
        <v>309.35676012233301</v>
      </c>
      <c r="E1615" s="86">
        <v>2972114.7787312367</v>
      </c>
      <c r="F1615" s="86" t="s">
        <v>1663</v>
      </c>
      <c r="G1615" s="25">
        <f t="shared" si="47"/>
        <v>3.6933341275986464E-3</v>
      </c>
      <c r="I1615" s="86">
        <v>306.14167928176585</v>
      </c>
      <c r="J1615" s="86">
        <v>313.74375114552561</v>
      </c>
      <c r="K1615" s="86">
        <v>305.9737014898754</v>
      </c>
      <c r="L1615" s="86">
        <v>309.69936277154801</v>
      </c>
      <c r="M1615" s="86">
        <v>1600515.0560340055</v>
      </c>
      <c r="N1615" s="86" t="s">
        <v>1663</v>
      </c>
      <c r="O1615" s="25">
        <f t="shared" si="48"/>
        <v>-1.1487538940809894E-2</v>
      </c>
    </row>
    <row r="1616" spans="1:15">
      <c r="A1616" s="86">
        <v>310.64674482529142</v>
      </c>
      <c r="B1616" s="86">
        <v>314.14158981089935</v>
      </c>
      <c r="C1616" s="86">
        <v>309.83589729771757</v>
      </c>
      <c r="D1616" s="86">
        <v>314.00991922943308</v>
      </c>
      <c r="E1616" s="86">
        <v>2762903.4606581922</v>
      </c>
      <c r="F1616" s="86" t="s">
        <v>1664</v>
      </c>
      <c r="G1616" s="25">
        <f t="shared" si="47"/>
        <v>-1.0710408169253838E-2</v>
      </c>
      <c r="I1616" s="86">
        <v>311.27576974159683</v>
      </c>
      <c r="J1616" s="86">
        <v>312.34393621310522</v>
      </c>
      <c r="K1616" s="86">
        <v>307.48119449402043</v>
      </c>
      <c r="L1616" s="86">
        <v>309.9836328809011</v>
      </c>
      <c r="M1616" s="86">
        <v>1767296.9245459586</v>
      </c>
      <c r="N1616" s="86" t="s">
        <v>1664</v>
      </c>
      <c r="O1616" s="25">
        <f t="shared" si="48"/>
        <v>4.1684035014590837E-3</v>
      </c>
    </row>
    <row r="1617" spans="1:15">
      <c r="A1617" s="86">
        <v>313.42942611310178</v>
      </c>
      <c r="B1617" s="86">
        <v>313.92699164138571</v>
      </c>
      <c r="C1617" s="86">
        <v>311.3009513532204</v>
      </c>
      <c r="D1617" s="86">
        <v>311.33780805901915</v>
      </c>
      <c r="E1617" s="86">
        <v>2114344.1420234228</v>
      </c>
      <c r="F1617" s="86" t="s">
        <v>1665</v>
      </c>
      <c r="G1617" s="25">
        <f t="shared" si="47"/>
        <v>6.7181627156767121E-3</v>
      </c>
      <c r="I1617" s="86">
        <v>309.44954964514687</v>
      </c>
      <c r="J1617" s="86">
        <v>312.84356246590761</v>
      </c>
      <c r="K1617" s="86">
        <v>309.10928693849701</v>
      </c>
      <c r="L1617" s="86">
        <v>310.95704264929191</v>
      </c>
      <c r="M1617" s="86">
        <v>2070526.026600241</v>
      </c>
      <c r="N1617" s="86" t="s">
        <v>1665</v>
      </c>
      <c r="O1617" s="25">
        <f t="shared" si="48"/>
        <v>-4.847914011856691E-3</v>
      </c>
    </row>
    <row r="1618" spans="1:15">
      <c r="A1618" s="86">
        <v>312.52643682103087</v>
      </c>
      <c r="B1618" s="86">
        <v>312.94107476126749</v>
      </c>
      <c r="C1618" s="86">
        <v>311.35623641191859</v>
      </c>
      <c r="D1618" s="86">
        <v>312.42508088008412</v>
      </c>
      <c r="E1618" s="86">
        <v>2108795.0839736774</v>
      </c>
      <c r="F1618" s="86" t="s">
        <v>1666</v>
      </c>
      <c r="G1618" s="25">
        <f t="shared" si="47"/>
        <v>3.2441678709416166E-4</v>
      </c>
      <c r="I1618" s="86">
        <v>311.94768090915858</v>
      </c>
      <c r="J1618" s="86">
        <v>316.05667612617094</v>
      </c>
      <c r="K1618" s="86">
        <v>310.57801583682112</v>
      </c>
      <c r="L1618" s="86">
        <v>316.05667612617094</v>
      </c>
      <c r="M1618" s="86">
        <v>1614151.7694008176</v>
      </c>
      <c r="N1618" s="86" t="s">
        <v>1666</v>
      </c>
      <c r="O1618" s="25">
        <f t="shared" si="48"/>
        <v>-1.3000817661488195E-2</v>
      </c>
    </row>
    <row r="1619" spans="1:15">
      <c r="A1619" s="86">
        <v>313.10692993736217</v>
      </c>
      <c r="B1619" s="86">
        <v>313.13457246671123</v>
      </c>
      <c r="C1619" s="86">
        <v>310.93238429523223</v>
      </c>
      <c r="D1619" s="86">
        <v>310.98260155688314</v>
      </c>
      <c r="E1619" s="86">
        <v>3155230.4385202741</v>
      </c>
      <c r="F1619" s="86" t="s">
        <v>1667</v>
      </c>
      <c r="G1619" s="25">
        <f t="shared" si="47"/>
        <v>6.831020030843904E-3</v>
      </c>
      <c r="I1619" s="86">
        <v>315.80686299976981</v>
      </c>
      <c r="J1619" s="86">
        <v>316.77165852242257</v>
      </c>
      <c r="K1619" s="86">
        <v>311.93045241768266</v>
      </c>
      <c r="L1619" s="86">
        <v>312.80049123721778</v>
      </c>
      <c r="M1619" s="86">
        <v>1419245.558100258</v>
      </c>
      <c r="N1619" s="86" t="s">
        <v>1667</v>
      </c>
      <c r="O1619" s="25">
        <f t="shared" si="48"/>
        <v>9.6111478299185649E-3</v>
      </c>
    </row>
    <row r="1620" spans="1:15">
      <c r="A1620" s="86">
        <v>310.4348187669483</v>
      </c>
      <c r="B1620" s="86">
        <v>311.71558929345701</v>
      </c>
      <c r="C1620" s="86">
        <v>309.48575859262883</v>
      </c>
      <c r="D1620" s="86">
        <v>310.4348187669483</v>
      </c>
      <c r="E1620" s="86">
        <v>3094238.5524773165</v>
      </c>
      <c r="F1620" s="86" t="s">
        <v>1668</v>
      </c>
      <c r="G1620" s="25">
        <f t="shared" si="47"/>
        <v>0</v>
      </c>
      <c r="I1620" s="86">
        <v>311.86153845177887</v>
      </c>
      <c r="J1620" s="86">
        <v>318.29638001804352</v>
      </c>
      <c r="K1620" s="86">
        <v>310.93981415781593</v>
      </c>
      <c r="L1620" s="86">
        <v>311.93906666342065</v>
      </c>
      <c r="M1620" s="86">
        <v>2041272.1594985412</v>
      </c>
      <c r="N1620" s="86" t="s">
        <v>1668</v>
      </c>
      <c r="O1620" s="25">
        <f t="shared" si="48"/>
        <v>-2.4853639677469008E-4</v>
      </c>
    </row>
    <row r="1621" spans="1:15">
      <c r="A1621" s="86">
        <v>310.5269605314453</v>
      </c>
      <c r="B1621" s="86">
        <v>310.61910229594235</v>
      </c>
      <c r="C1621" s="86">
        <v>308.35241488931536</v>
      </c>
      <c r="D1621" s="86">
        <v>308.87762294694846</v>
      </c>
      <c r="E1621" s="86">
        <v>2463959.7606936935</v>
      </c>
      <c r="F1621" s="86" t="s">
        <v>1669</v>
      </c>
      <c r="G1621" s="25">
        <f t="shared" si="47"/>
        <v>5.3397768629555031E-3</v>
      </c>
      <c r="I1621" s="86">
        <v>311.28438398733482</v>
      </c>
      <c r="J1621" s="86">
        <v>315.27269362155818</v>
      </c>
      <c r="K1621" s="86">
        <v>310.12146081270862</v>
      </c>
      <c r="L1621" s="86">
        <v>314.41135519021844</v>
      </c>
      <c r="M1621" s="86">
        <v>2925373.9406248224</v>
      </c>
      <c r="N1621" s="86" t="s">
        <v>1669</v>
      </c>
      <c r="O1621" s="25">
        <f t="shared" si="48"/>
        <v>-9.9454779583002528E-3</v>
      </c>
    </row>
    <row r="1622" spans="1:15">
      <c r="A1622" s="86">
        <v>309.87275400351638</v>
      </c>
      <c r="B1622" s="86">
        <v>311.25488047097184</v>
      </c>
      <c r="C1622" s="86">
        <v>308.96976471144546</v>
      </c>
      <c r="D1622" s="86">
        <v>309.52261529842764</v>
      </c>
      <c r="E1622" s="86">
        <v>3513222.280548248</v>
      </c>
      <c r="F1622" s="86" t="s">
        <v>1670</v>
      </c>
      <c r="G1622" s="25">
        <f t="shared" si="47"/>
        <v>1.1312217194570096E-3</v>
      </c>
      <c r="I1622" s="86">
        <v>314.41135519021844</v>
      </c>
      <c r="J1622" s="86">
        <v>321.56117915273472</v>
      </c>
      <c r="K1622" s="86">
        <v>314.30798424136276</v>
      </c>
      <c r="L1622" s="86">
        <v>317.40911270703248</v>
      </c>
      <c r="M1622" s="86">
        <v>1510048.6328897406</v>
      </c>
      <c r="N1622" s="86" t="s">
        <v>1670</v>
      </c>
      <c r="O1622" s="25">
        <f t="shared" si="48"/>
        <v>-9.444459521806281E-3</v>
      </c>
    </row>
    <row r="1623" spans="1:15">
      <c r="A1623" s="86">
        <v>306.50036542292503</v>
      </c>
      <c r="B1623" s="86">
        <v>307.41256889144563</v>
      </c>
      <c r="C1623" s="86">
        <v>304.10467954600222</v>
      </c>
      <c r="D1623" s="86">
        <v>307.20064283310245</v>
      </c>
      <c r="E1623" s="86">
        <v>4531828.7779636942</v>
      </c>
      <c r="F1623" s="86" t="s">
        <v>1671</v>
      </c>
      <c r="G1623" s="25">
        <f t="shared" si="47"/>
        <v>-2.2795440911816955E-3</v>
      </c>
      <c r="I1623" s="86">
        <v>314.41996943595638</v>
      </c>
      <c r="J1623" s="86">
        <v>320.82896826500712</v>
      </c>
      <c r="K1623" s="86">
        <v>313.03307587214294</v>
      </c>
      <c r="L1623" s="86">
        <v>319.40761771824185</v>
      </c>
      <c r="M1623" s="86">
        <v>1867128.0677659935</v>
      </c>
      <c r="N1623" s="86" t="s">
        <v>1671</v>
      </c>
      <c r="O1623" s="25">
        <f t="shared" si="48"/>
        <v>-1.5615307856199023E-2</v>
      </c>
    </row>
    <row r="1624" spans="1:15">
      <c r="A1624" s="86">
        <v>307.88249189038049</v>
      </c>
      <c r="B1624" s="86">
        <v>308.31555818351654</v>
      </c>
      <c r="C1624" s="86">
        <v>306.99793095120901</v>
      </c>
      <c r="D1624" s="86">
        <v>308.01609744890123</v>
      </c>
      <c r="E1624" s="86">
        <v>1068690.1920916936</v>
      </c>
      <c r="F1624" s="86" t="s">
        <v>1672</v>
      </c>
      <c r="G1624" s="25">
        <f t="shared" si="47"/>
        <v>-4.3376161060193485E-4</v>
      </c>
      <c r="I1624" s="86">
        <v>320.22597106334905</v>
      </c>
      <c r="J1624" s="86">
        <v>324.04979456779205</v>
      </c>
      <c r="K1624" s="86">
        <v>319.46462812845999</v>
      </c>
      <c r="L1624" s="86">
        <v>324.04979456779205</v>
      </c>
      <c r="M1624" s="86">
        <v>715768.4074120794</v>
      </c>
      <c r="N1624" s="86" t="s">
        <v>1672</v>
      </c>
      <c r="O1624" s="25">
        <f t="shared" si="48"/>
        <v>-1.1800110873525171E-2</v>
      </c>
    </row>
    <row r="1625" spans="1:15">
      <c r="A1625" s="86">
        <v>307.0071451276587</v>
      </c>
      <c r="B1625" s="86">
        <v>307.44942559724444</v>
      </c>
      <c r="C1625" s="86">
        <v>306.04887077688954</v>
      </c>
      <c r="D1625" s="86">
        <v>307.44942559724444</v>
      </c>
      <c r="E1625" s="86">
        <v>2449334.4709854266</v>
      </c>
      <c r="F1625" s="86" t="s">
        <v>1673</v>
      </c>
      <c r="G1625" s="25">
        <f t="shared" si="47"/>
        <v>-1.4385470674618261E-3</v>
      </c>
      <c r="I1625" s="86">
        <v>323.64773706285058</v>
      </c>
      <c r="J1625" s="86">
        <v>326.73588087740069</v>
      </c>
      <c r="K1625" s="86">
        <v>321.84275549811355</v>
      </c>
      <c r="L1625" s="86">
        <v>322.57843518800632</v>
      </c>
      <c r="M1625" s="86">
        <v>999475.70947230922</v>
      </c>
      <c r="N1625" s="86" t="s">
        <v>1673</v>
      </c>
      <c r="O1625" s="25">
        <f t="shared" si="48"/>
        <v>3.3148585218383264E-3</v>
      </c>
    </row>
    <row r="1626" spans="1:15">
      <c r="A1626" s="86">
        <v>307.51392483239238</v>
      </c>
      <c r="B1626" s="86">
        <v>307.98384783132724</v>
      </c>
      <c r="C1626" s="86">
        <v>304.15996460470046</v>
      </c>
      <c r="D1626" s="86">
        <v>305.00766883807307</v>
      </c>
      <c r="E1626" s="86">
        <v>2886563.9968135105</v>
      </c>
      <c r="F1626" s="86" t="s">
        <v>1674</v>
      </c>
      <c r="G1626" s="25">
        <f t="shared" si="47"/>
        <v>8.2170261615615026E-3</v>
      </c>
      <c r="I1626" s="86">
        <v>323.76749887283319</v>
      </c>
      <c r="J1626" s="86">
        <v>323.76749887283319</v>
      </c>
      <c r="K1626" s="86">
        <v>319.13100594350857</v>
      </c>
      <c r="L1626" s="86">
        <v>321.03008607323193</v>
      </c>
      <c r="M1626" s="86">
        <v>1121591.5993551572</v>
      </c>
      <c r="N1626" s="86" t="s">
        <v>1674</v>
      </c>
      <c r="O1626" s="25">
        <f t="shared" si="48"/>
        <v>8.5269665316565213E-3</v>
      </c>
    </row>
    <row r="1627" spans="1:15">
      <c r="A1627" s="86">
        <v>302.61198296115032</v>
      </c>
      <c r="B1627" s="86">
        <v>303.69925578221529</v>
      </c>
      <c r="C1627" s="86">
        <v>300.43743731902038</v>
      </c>
      <c r="D1627" s="86">
        <v>302.48298449085445</v>
      </c>
      <c r="E1627" s="86">
        <v>2412190.6196745452</v>
      </c>
      <c r="F1627" s="86" t="s">
        <v>1675</v>
      </c>
      <c r="G1627" s="25">
        <f t="shared" si="47"/>
        <v>4.2646521262335035E-4</v>
      </c>
      <c r="I1627" s="86">
        <v>317.24048022878401</v>
      </c>
      <c r="J1627" s="86">
        <v>320.38850494832536</v>
      </c>
      <c r="K1627" s="86">
        <v>316.39359314390742</v>
      </c>
      <c r="L1627" s="86">
        <v>317.83073486369801</v>
      </c>
      <c r="M1627" s="86">
        <v>1086513.8061871014</v>
      </c>
      <c r="N1627" s="86" t="s">
        <v>1675</v>
      </c>
      <c r="O1627" s="25">
        <f t="shared" si="48"/>
        <v>-1.8571351671421432E-3</v>
      </c>
    </row>
    <row r="1628" spans="1:15">
      <c r="A1628" s="86">
        <v>300.83364690635761</v>
      </c>
      <c r="B1628" s="86">
        <v>302.83128036065324</v>
      </c>
      <c r="C1628" s="86">
        <v>300.75071931831025</v>
      </c>
      <c r="D1628" s="86">
        <v>302.60276878470063</v>
      </c>
      <c r="E1628" s="86">
        <v>3817548.9900818323</v>
      </c>
      <c r="F1628" s="86" t="s">
        <v>1676</v>
      </c>
      <c r="G1628" s="25">
        <f t="shared" si="47"/>
        <v>-5.8463505983374908E-3</v>
      </c>
      <c r="I1628" s="86">
        <v>314.81958078413669</v>
      </c>
      <c r="J1628" s="86">
        <v>322.70444172093801</v>
      </c>
      <c r="K1628" s="86">
        <v>314.47740418418653</v>
      </c>
      <c r="L1628" s="86">
        <v>321.62034070814599</v>
      </c>
      <c r="M1628" s="86">
        <v>1306846.8155483005</v>
      </c>
      <c r="N1628" s="86" t="s">
        <v>1676</v>
      </c>
      <c r="O1628" s="25">
        <f t="shared" si="48"/>
        <v>-2.1145304146607535E-2</v>
      </c>
    </row>
    <row r="1629" spans="1:15">
      <c r="A1629" s="86">
        <v>302.86076572529225</v>
      </c>
      <c r="B1629" s="86">
        <v>303.22933278328037</v>
      </c>
      <c r="C1629" s="86">
        <v>299.8385158497897</v>
      </c>
      <c r="D1629" s="86">
        <v>301.08242967049955</v>
      </c>
      <c r="E1629" s="86">
        <v>3214786.4935834133</v>
      </c>
      <c r="F1629" s="86" t="s">
        <v>1677</v>
      </c>
      <c r="G1629" s="25">
        <f t="shared" si="47"/>
        <v>5.9064757008202573E-3</v>
      </c>
      <c r="I1629" s="86">
        <v>322.03950704308488</v>
      </c>
      <c r="J1629" s="86">
        <v>323.1430265779241</v>
      </c>
      <c r="K1629" s="86">
        <v>318.36966300861951</v>
      </c>
      <c r="L1629" s="86">
        <v>320.79056245326683</v>
      </c>
      <c r="M1629" s="86">
        <v>1257134.4740191658</v>
      </c>
      <c r="N1629" s="86" t="s">
        <v>1677</v>
      </c>
      <c r="O1629" s="25">
        <f t="shared" si="48"/>
        <v>3.8933333333333042E-3</v>
      </c>
    </row>
    <row r="1630" spans="1:15">
      <c r="A1630" s="86">
        <v>301.59842355168297</v>
      </c>
      <c r="B1630" s="86">
        <v>306.03965660043986</v>
      </c>
      <c r="C1630" s="86">
        <v>301.57078102233385</v>
      </c>
      <c r="D1630" s="86">
        <v>305.56973360150499</v>
      </c>
      <c r="E1630" s="86">
        <v>2873644.7738477038</v>
      </c>
      <c r="F1630" s="86" t="s">
        <v>1678</v>
      </c>
      <c r="G1630" s="25">
        <f t="shared" ref="G1630:G1693" si="49">A1630/D1630-1</f>
        <v>-1.2996411663600882E-2</v>
      </c>
      <c r="I1630" s="86">
        <v>322.98049269294779</v>
      </c>
      <c r="J1630" s="86">
        <v>328.03606641306129</v>
      </c>
      <c r="K1630" s="86">
        <v>321.85130991311229</v>
      </c>
      <c r="L1630" s="86">
        <v>322.92061178795655</v>
      </c>
      <c r="M1630" s="86">
        <v>1247053.1300567135</v>
      </c>
      <c r="N1630" s="86" t="s">
        <v>1678</v>
      </c>
      <c r="O1630" s="25">
        <f t="shared" ref="O1630:O1693" si="50">I1630/L1630-1</f>
        <v>1.8543537577153657E-4</v>
      </c>
    </row>
    <row r="1631" spans="1:15">
      <c r="A1631" s="86">
        <v>305.30252248446357</v>
      </c>
      <c r="B1631" s="86">
        <v>306.37136695262916</v>
      </c>
      <c r="C1631" s="86">
        <v>303.37675960647567</v>
      </c>
      <c r="D1631" s="86">
        <v>304.74045772103176</v>
      </c>
      <c r="E1631" s="86">
        <v>3312434.9383371482</v>
      </c>
      <c r="F1631" s="86" t="s">
        <v>1679</v>
      </c>
      <c r="G1631" s="25">
        <f t="shared" si="49"/>
        <v>1.8444048014993886E-3</v>
      </c>
      <c r="I1631" s="86">
        <v>321.56045980315463</v>
      </c>
      <c r="J1631" s="86">
        <v>325.4783818725839</v>
      </c>
      <c r="K1631" s="86">
        <v>321.00442282823565</v>
      </c>
      <c r="L1631" s="86">
        <v>321.35515384318461</v>
      </c>
      <c r="M1631" s="86">
        <v>1544792.952168576</v>
      </c>
      <c r="N1631" s="86" t="s">
        <v>1679</v>
      </c>
      <c r="O1631" s="25">
        <f t="shared" si="50"/>
        <v>6.3887557898079095E-4</v>
      </c>
    </row>
    <row r="1632" spans="1:15">
      <c r="A1632" s="86">
        <v>306.83207577511433</v>
      </c>
      <c r="B1632" s="86">
        <v>306.94264589251077</v>
      </c>
      <c r="C1632" s="86">
        <v>304.44099698641634</v>
      </c>
      <c r="D1632" s="86">
        <v>305.58816195440437</v>
      </c>
      <c r="E1632" s="86">
        <v>3276207.0668803612</v>
      </c>
      <c r="F1632" s="86" t="s">
        <v>1680</v>
      </c>
      <c r="G1632" s="25">
        <f t="shared" si="49"/>
        <v>4.070556309362372E-3</v>
      </c>
      <c r="I1632" s="86">
        <v>322.6126528480014</v>
      </c>
      <c r="J1632" s="86">
        <v>325.65802458755775</v>
      </c>
      <c r="K1632" s="86">
        <v>321.7144392731322</v>
      </c>
      <c r="L1632" s="86">
        <v>323.39965902788674</v>
      </c>
      <c r="M1632" s="86">
        <v>1527594.8152975645</v>
      </c>
      <c r="N1632" s="86" t="s">
        <v>1680</v>
      </c>
      <c r="O1632" s="25">
        <f t="shared" si="50"/>
        <v>-2.4335405369659835E-3</v>
      </c>
    </row>
    <row r="1633" spans="1:15">
      <c r="A1633" s="86">
        <v>303.15561937168275</v>
      </c>
      <c r="B1633" s="86">
        <v>303.81904007606141</v>
      </c>
      <c r="C1633" s="86">
        <v>300.28079631937538</v>
      </c>
      <c r="D1633" s="86">
        <v>300.79679020055875</v>
      </c>
      <c r="E1633" s="86">
        <v>2168881.8430044139</v>
      </c>
      <c r="F1633" s="86" t="s">
        <v>1681</v>
      </c>
      <c r="G1633" s="25">
        <f t="shared" si="49"/>
        <v>7.8419359779444697E-3</v>
      </c>
      <c r="I1633" s="86">
        <v>320.91032426324938</v>
      </c>
      <c r="J1633" s="86">
        <v>321.64600395314221</v>
      </c>
      <c r="K1633" s="86">
        <v>315.85466499898592</v>
      </c>
      <c r="L1633" s="86">
        <v>317.00095660881891</v>
      </c>
      <c r="M1633" s="86">
        <v>1077191.1347932518</v>
      </c>
      <c r="N1633" s="86" t="s">
        <v>1681</v>
      </c>
      <c r="O1633" s="25">
        <f t="shared" si="50"/>
        <v>1.2332352861807561E-2</v>
      </c>
    </row>
    <row r="1634" spans="1:15">
      <c r="A1634" s="86">
        <v>299.09216755736372</v>
      </c>
      <c r="B1634" s="86">
        <v>301.7089936690794</v>
      </c>
      <c r="C1634" s="86">
        <v>297.36911656126921</v>
      </c>
      <c r="D1634" s="86">
        <v>301.06400131760017</v>
      </c>
      <c r="E1634" s="86">
        <v>2756386.329113361</v>
      </c>
      <c r="F1634" s="86" t="s">
        <v>1682</v>
      </c>
      <c r="G1634" s="25">
        <f t="shared" si="49"/>
        <v>-6.5495501009976698E-3</v>
      </c>
      <c r="I1634" s="86">
        <v>314.70837338915288</v>
      </c>
      <c r="J1634" s="86">
        <v>317.00095660881891</v>
      </c>
      <c r="K1634" s="86">
        <v>312.67242261944949</v>
      </c>
      <c r="L1634" s="86">
        <v>314.37475120420152</v>
      </c>
      <c r="M1634" s="86">
        <v>1001056.1799079813</v>
      </c>
      <c r="N1634" s="86" t="s">
        <v>1682</v>
      </c>
      <c r="O1634" s="25">
        <f t="shared" si="50"/>
        <v>1.0612244897958423E-3</v>
      </c>
    </row>
    <row r="1635" spans="1:15">
      <c r="A1635" s="86">
        <v>301.88406302162372</v>
      </c>
      <c r="B1635" s="86">
        <v>302.68569637274794</v>
      </c>
      <c r="C1635" s="86">
        <v>300.53879325996712</v>
      </c>
      <c r="D1635" s="86">
        <v>301.69056531617997</v>
      </c>
      <c r="E1635" s="86">
        <v>3010016.1584048648</v>
      </c>
      <c r="F1635" s="86" t="s">
        <v>1683</v>
      </c>
      <c r="G1635" s="25">
        <f t="shared" si="49"/>
        <v>6.4137804654573749E-4</v>
      </c>
      <c r="I1635" s="86">
        <v>315.89743707397963</v>
      </c>
      <c r="J1635" s="86">
        <v>319.36197514847493</v>
      </c>
      <c r="K1635" s="86">
        <v>312.81784767442832</v>
      </c>
      <c r="L1635" s="86">
        <v>318.96847205853226</v>
      </c>
      <c r="M1635" s="86">
        <v>1303842.5189361132</v>
      </c>
      <c r="N1635" s="86" t="s">
        <v>1683</v>
      </c>
      <c r="O1635" s="25">
        <f t="shared" si="50"/>
        <v>-9.6280204897150057E-3</v>
      </c>
    </row>
    <row r="1636" spans="1:15">
      <c r="A1636" s="86">
        <v>299.77401661464171</v>
      </c>
      <c r="B1636" s="86">
        <v>300.65857755381325</v>
      </c>
      <c r="C1636" s="86">
        <v>296.7517667391391</v>
      </c>
      <c r="D1636" s="86">
        <v>299.24880855700866</v>
      </c>
      <c r="E1636" s="86">
        <v>4472261.8700586818</v>
      </c>
      <c r="F1636" s="86" t="s">
        <v>1684</v>
      </c>
      <c r="G1636" s="25">
        <f t="shared" si="49"/>
        <v>1.7550882162760129E-3</v>
      </c>
      <c r="I1636" s="86">
        <v>317.6083200737304</v>
      </c>
      <c r="J1636" s="86">
        <v>319.45179650596185</v>
      </c>
      <c r="K1636" s="86">
        <v>311.32937946464517</v>
      </c>
      <c r="L1636" s="86">
        <v>312.23614745451306</v>
      </c>
      <c r="M1636" s="86">
        <v>1996869.4530822427</v>
      </c>
      <c r="N1636" s="86" t="s">
        <v>1684</v>
      </c>
      <c r="O1636" s="25">
        <f t="shared" si="50"/>
        <v>1.7205479452054639E-2</v>
      </c>
    </row>
    <row r="1637" spans="1:15">
      <c r="A1637" s="86">
        <v>300.16101202552926</v>
      </c>
      <c r="B1637" s="86">
        <v>308.85919459404903</v>
      </c>
      <c r="C1637" s="86">
        <v>299.71873155594346</v>
      </c>
      <c r="D1637" s="86">
        <v>308.08520377227399</v>
      </c>
      <c r="E1637" s="86">
        <v>8787851.0295522753</v>
      </c>
      <c r="F1637" s="86" t="s">
        <v>1685</v>
      </c>
      <c r="G1637" s="25">
        <f t="shared" si="49"/>
        <v>-2.5720779997607468E-2</v>
      </c>
      <c r="I1637" s="86">
        <v>311.33793387964391</v>
      </c>
      <c r="J1637" s="86">
        <v>326.3680410324543</v>
      </c>
      <c r="K1637" s="86">
        <v>311.14973674967132</v>
      </c>
      <c r="L1637" s="86">
        <v>324.72559335269358</v>
      </c>
      <c r="M1637" s="86">
        <v>2287615.225921453</v>
      </c>
      <c r="N1637" s="86" t="s">
        <v>1685</v>
      </c>
      <c r="O1637" s="25">
        <f t="shared" si="50"/>
        <v>-4.122760800842995E-2</v>
      </c>
    </row>
    <row r="1638" spans="1:15">
      <c r="A1638" s="86">
        <v>296.4661272691983</v>
      </c>
      <c r="B1638" s="86">
        <v>297.54418591381358</v>
      </c>
      <c r="C1638" s="86">
        <v>294.32383124464235</v>
      </c>
      <c r="D1638" s="86">
        <v>296.18048779925749</v>
      </c>
      <c r="E1638" s="86">
        <v>3951106.2327412833</v>
      </c>
      <c r="F1638" s="86" t="s">
        <v>1686</v>
      </c>
      <c r="G1638" s="25">
        <f t="shared" si="49"/>
        <v>9.6441015430559496E-4</v>
      </c>
      <c r="I1638" s="86">
        <v>309.04535065997788</v>
      </c>
      <c r="J1638" s="86">
        <v>311.14973674967132</v>
      </c>
      <c r="K1638" s="86">
        <v>306.20528488039162</v>
      </c>
      <c r="L1638" s="86">
        <v>310.78189690472493</v>
      </c>
      <c r="M1638" s="86">
        <v>1638472.0640794132</v>
      </c>
      <c r="N1638" s="86" t="s">
        <v>1686</v>
      </c>
      <c r="O1638" s="25">
        <f t="shared" si="50"/>
        <v>-5.5876685934490578E-3</v>
      </c>
    </row>
    <row r="1639" spans="1:15">
      <c r="A1639" s="86">
        <v>296.50298397499716</v>
      </c>
      <c r="B1639" s="86">
        <v>298.12467903014488</v>
      </c>
      <c r="C1639" s="86">
        <v>295.33278356588482</v>
      </c>
      <c r="D1639" s="86">
        <v>295.71977897677237</v>
      </c>
      <c r="E1639" s="86">
        <v>4287177.5047538532</v>
      </c>
      <c r="F1639" s="86" t="s">
        <v>1687</v>
      </c>
      <c r="G1639" s="25">
        <f t="shared" si="49"/>
        <v>2.64847011902547E-3</v>
      </c>
      <c r="I1639" s="86">
        <v>311.97951500455042</v>
      </c>
      <c r="J1639" s="86">
        <v>322.0737247030799</v>
      </c>
      <c r="K1639" s="86">
        <v>311.18395440966634</v>
      </c>
      <c r="L1639" s="86">
        <v>320.4056137783229</v>
      </c>
      <c r="M1639" s="86">
        <v>1998145.9868956702</v>
      </c>
      <c r="N1639" s="86" t="s">
        <v>1687</v>
      </c>
      <c r="O1639" s="25">
        <f t="shared" si="50"/>
        <v>-2.6298224536109971E-2</v>
      </c>
    </row>
    <row r="1640" spans="1:15">
      <c r="A1640" s="86">
        <v>290.80862292908057</v>
      </c>
      <c r="B1640" s="86">
        <v>294.5311502147606</v>
      </c>
      <c r="C1640" s="86">
        <v>287.48230523073778</v>
      </c>
      <c r="D1640" s="86">
        <v>288.57879222825244</v>
      </c>
      <c r="E1640" s="86">
        <v>6240571.8312299764</v>
      </c>
      <c r="F1640" s="86" t="s">
        <v>1688</v>
      </c>
      <c r="G1640" s="25">
        <f t="shared" si="49"/>
        <v>7.726938918866999E-3</v>
      </c>
      <c r="I1640" s="86">
        <v>318.36110859362077</v>
      </c>
      <c r="J1640" s="86">
        <v>326.31671454246174</v>
      </c>
      <c r="K1640" s="86">
        <v>316.09418861895097</v>
      </c>
      <c r="L1640" s="86">
        <v>317.4286773587566</v>
      </c>
      <c r="M1640" s="86">
        <v>2509259.8387063388</v>
      </c>
      <c r="N1640" s="86" t="s">
        <v>1688</v>
      </c>
      <c r="O1640" s="25">
        <f t="shared" si="50"/>
        <v>2.9374511547686222E-3</v>
      </c>
    </row>
    <row r="1641" spans="1:15">
      <c r="A1641" s="86">
        <v>284.40477029653692</v>
      </c>
      <c r="B1641" s="86">
        <v>286.32131899807518</v>
      </c>
      <c r="C1641" s="86">
        <v>282.03672694896318</v>
      </c>
      <c r="D1641" s="86">
        <v>282.47900741854892</v>
      </c>
      <c r="E1641" s="86">
        <v>3666462.2372288574</v>
      </c>
      <c r="F1641" s="86" t="s">
        <v>1689</v>
      </c>
      <c r="G1641" s="25">
        <f t="shared" si="49"/>
        <v>6.8173663437389731E-3</v>
      </c>
      <c r="I1641" s="86">
        <v>310.90165871470748</v>
      </c>
      <c r="J1641" s="86">
        <v>313.2626772543635</v>
      </c>
      <c r="K1641" s="86">
        <v>304.71681667060847</v>
      </c>
      <c r="L1641" s="86">
        <v>305.5038228504938</v>
      </c>
      <c r="M1641" s="86">
        <v>1735510.8446530621</v>
      </c>
      <c r="N1641" s="86" t="s">
        <v>1689</v>
      </c>
      <c r="O1641" s="25">
        <f t="shared" si="50"/>
        <v>1.7668636070898636E-2</v>
      </c>
    </row>
    <row r="1642" spans="1:15">
      <c r="A1642" s="86">
        <v>279.47518589594574</v>
      </c>
      <c r="B1642" s="86">
        <v>281.31802118588638</v>
      </c>
      <c r="C1642" s="86">
        <v>277.00578660742531</v>
      </c>
      <c r="D1642" s="86">
        <v>279.53047095464393</v>
      </c>
      <c r="E1642" s="86">
        <v>4428389.2567864424</v>
      </c>
      <c r="F1642" s="86" t="s">
        <v>1690</v>
      </c>
      <c r="G1642" s="25">
        <f t="shared" si="49"/>
        <v>-1.9777829053624352E-4</v>
      </c>
      <c r="I1642" s="86">
        <v>301.47469338608079</v>
      </c>
      <c r="J1642" s="86">
        <v>307.88195022014742</v>
      </c>
      <c r="K1642" s="86">
        <v>300.02044283629266</v>
      </c>
      <c r="L1642" s="86">
        <v>304.63982693561968</v>
      </c>
      <c r="M1642" s="86">
        <v>1996336.3950063062</v>
      </c>
      <c r="N1642" s="86" t="s">
        <v>1690</v>
      </c>
      <c r="O1642" s="25">
        <f t="shared" si="50"/>
        <v>-1.0389756261934169E-2</v>
      </c>
    </row>
    <row r="1643" spans="1:15">
      <c r="A1643" s="86">
        <v>276.25943831499933</v>
      </c>
      <c r="B1643" s="86">
        <v>279.06054795570913</v>
      </c>
      <c r="C1643" s="86">
        <v>273.08054743985178</v>
      </c>
      <c r="D1643" s="86">
        <v>277.86270501724766</v>
      </c>
      <c r="E1643" s="86">
        <v>6394963.2744333278</v>
      </c>
      <c r="F1643" s="86" t="s">
        <v>1691</v>
      </c>
      <c r="G1643" s="25">
        <f t="shared" si="49"/>
        <v>-5.7699960206923917E-3</v>
      </c>
      <c r="I1643" s="86">
        <v>299.51573235136618</v>
      </c>
      <c r="J1643" s="86">
        <v>302.59532175091755</v>
      </c>
      <c r="K1643" s="86">
        <v>295.68335443192444</v>
      </c>
      <c r="L1643" s="86">
        <v>299.95200751630261</v>
      </c>
      <c r="M1643" s="86">
        <v>1531568.2021399087</v>
      </c>
      <c r="N1643" s="86" t="s">
        <v>1691</v>
      </c>
      <c r="O1643" s="25">
        <f t="shared" si="50"/>
        <v>-1.4544832306638833E-3</v>
      </c>
    </row>
    <row r="1644" spans="1:15">
      <c r="A1644" s="86">
        <v>279.40147248434812</v>
      </c>
      <c r="B1644" s="86">
        <v>282.18415377215842</v>
      </c>
      <c r="C1644" s="86">
        <v>275.21823637618286</v>
      </c>
      <c r="D1644" s="86">
        <v>276.7201471374845</v>
      </c>
      <c r="E1644" s="86">
        <v>5822735.2485450367</v>
      </c>
      <c r="F1644" s="86" t="s">
        <v>1692</v>
      </c>
      <c r="G1644" s="25">
        <f t="shared" si="49"/>
        <v>9.6896643580182129E-3</v>
      </c>
      <c r="I1644" s="86">
        <v>301.49180221607827</v>
      </c>
      <c r="J1644" s="86">
        <v>304.72964829310661</v>
      </c>
      <c r="K1644" s="86">
        <v>297.94171999159551</v>
      </c>
      <c r="L1644" s="86">
        <v>299.40452495638237</v>
      </c>
      <c r="M1644" s="86">
        <v>1809565.0026629656</v>
      </c>
      <c r="N1644" s="86" t="s">
        <v>1692</v>
      </c>
      <c r="O1644" s="25">
        <f t="shared" si="50"/>
        <v>6.9714285714284063E-3</v>
      </c>
    </row>
    <row r="1645" spans="1:15">
      <c r="A1645" s="86">
        <v>276.48979272624189</v>
      </c>
      <c r="B1645" s="86">
        <v>281.71423077322362</v>
      </c>
      <c r="C1645" s="86">
        <v>276.07054769778046</v>
      </c>
      <c r="D1645" s="86">
        <v>281.1521660097917</v>
      </c>
      <c r="E1645" s="86">
        <v>6132348.3773550363</v>
      </c>
      <c r="F1645" s="86" t="s">
        <v>1693</v>
      </c>
      <c r="G1645" s="25">
        <f t="shared" si="49"/>
        <v>-1.6583095729689079E-2</v>
      </c>
      <c r="I1645" s="86">
        <v>300.14020464627521</v>
      </c>
      <c r="J1645" s="86">
        <v>307.95893995513615</v>
      </c>
      <c r="K1645" s="86">
        <v>299.7894736313263</v>
      </c>
      <c r="L1645" s="86">
        <v>305.28140806052625</v>
      </c>
      <c r="M1645" s="86">
        <v>1964054.8187629008</v>
      </c>
      <c r="N1645" s="86" t="s">
        <v>1693</v>
      </c>
      <c r="O1645" s="25">
        <f t="shared" si="50"/>
        <v>-1.6840866421946377E-2</v>
      </c>
    </row>
    <row r="1646" spans="1:15">
      <c r="A1646" s="86">
        <v>286.34896152742425</v>
      </c>
      <c r="B1646" s="86">
        <v>287.91537152387383</v>
      </c>
      <c r="C1646" s="86">
        <v>286.15389741198402</v>
      </c>
      <c r="D1646" s="86">
        <v>287.6481604068324</v>
      </c>
      <c r="E1646" s="86">
        <v>2383400.2007534327</v>
      </c>
      <c r="F1646" s="86" t="s">
        <v>1694</v>
      </c>
      <c r="G1646" s="25">
        <f t="shared" si="49"/>
        <v>-4.516625024024612E-3</v>
      </c>
      <c r="I1646" s="86">
        <v>310.03766279983336</v>
      </c>
      <c r="J1646" s="86">
        <v>314.78536312414167</v>
      </c>
      <c r="K1646" s="86">
        <v>308.64757036253582</v>
      </c>
      <c r="L1646" s="86">
        <v>313.94703045426382</v>
      </c>
      <c r="M1646" s="86">
        <v>1142587.7750172177</v>
      </c>
      <c r="N1646" s="86" t="s">
        <v>1694</v>
      </c>
      <c r="O1646" s="25">
        <f t="shared" si="50"/>
        <v>-1.2452316076294268E-2</v>
      </c>
    </row>
    <row r="1647" spans="1:15">
      <c r="A1647" s="86">
        <v>287.29802170174372</v>
      </c>
      <c r="B1647" s="86">
        <v>290.32027157724633</v>
      </c>
      <c r="C1647" s="86">
        <v>284.12834500304581</v>
      </c>
      <c r="D1647" s="86">
        <v>289.61077999061916</v>
      </c>
      <c r="E1647" s="86">
        <v>3620314.8683000044</v>
      </c>
      <c r="F1647" s="86" t="s">
        <v>1695</v>
      </c>
      <c r="G1647" s="25">
        <f t="shared" si="49"/>
        <v>-7.9857465559477481E-3</v>
      </c>
      <c r="I1647" s="86">
        <v>315.27296477907066</v>
      </c>
      <c r="J1647" s="86">
        <v>316.40214755890617</v>
      </c>
      <c r="K1647" s="86">
        <v>310.09891241122438</v>
      </c>
      <c r="L1647" s="86">
        <v>316.02575329896098</v>
      </c>
      <c r="M1647" s="86">
        <v>1621700.6074665529</v>
      </c>
      <c r="N1647" s="86" t="s">
        <v>1695</v>
      </c>
      <c r="O1647" s="25">
        <f t="shared" si="50"/>
        <v>-2.3820480199224781E-3</v>
      </c>
    </row>
    <row r="1648" spans="1:15">
      <c r="A1648" s="86">
        <v>292.68831492482002</v>
      </c>
      <c r="B1648" s="86">
        <v>292.86338427736433</v>
      </c>
      <c r="C1648" s="86">
        <v>290.46769840044158</v>
      </c>
      <c r="D1648" s="86">
        <v>292.86338427736433</v>
      </c>
      <c r="E1648" s="86">
        <v>1551363.8226952502</v>
      </c>
      <c r="F1648" s="86" t="s">
        <v>1696</v>
      </c>
      <c r="G1648" s="25">
        <f t="shared" si="49"/>
        <v>-5.9778504908114538E-4</v>
      </c>
      <c r="I1648" s="86">
        <v>320.21741664835031</v>
      </c>
      <c r="J1648" s="86">
        <v>321.80853783811853</v>
      </c>
      <c r="K1648" s="86">
        <v>315.66646786901333</v>
      </c>
      <c r="L1648" s="86">
        <v>317.6596465637229</v>
      </c>
      <c r="M1648" s="86">
        <v>1378097.7427115017</v>
      </c>
      <c r="N1648" s="86" t="s">
        <v>1696</v>
      </c>
      <c r="O1648" s="25">
        <f t="shared" si="50"/>
        <v>8.0519200732482865E-3</v>
      </c>
    </row>
    <row r="1649" spans="1:15">
      <c r="A1649" s="86">
        <v>291.69318386825211</v>
      </c>
      <c r="B1649" s="86">
        <v>292.23682027878459</v>
      </c>
      <c r="C1649" s="86">
        <v>288.39450869925838</v>
      </c>
      <c r="D1649" s="86">
        <v>290.3018432243469</v>
      </c>
      <c r="E1649" s="86">
        <v>2563875.3641147311</v>
      </c>
      <c r="F1649" s="86" t="s">
        <v>1697</v>
      </c>
      <c r="G1649" s="25">
        <f t="shared" si="49"/>
        <v>4.7927378911953866E-3</v>
      </c>
      <c r="I1649" s="86">
        <v>315.62369579401951</v>
      </c>
      <c r="J1649" s="86">
        <v>317.46289501875162</v>
      </c>
      <c r="K1649" s="86">
        <v>312.36446367949435</v>
      </c>
      <c r="L1649" s="86">
        <v>314.37475120420152</v>
      </c>
      <c r="M1649" s="86">
        <v>1467511.2210278364</v>
      </c>
      <c r="N1649" s="86" t="s">
        <v>1697</v>
      </c>
      <c r="O1649" s="25">
        <f t="shared" si="50"/>
        <v>3.9727891156460249E-3</v>
      </c>
    </row>
    <row r="1650" spans="1:15">
      <c r="A1650" s="86">
        <v>290.0991313424534</v>
      </c>
      <c r="B1650" s="86">
        <v>292.57074203332184</v>
      </c>
      <c r="C1650" s="86">
        <v>289.86877693121085</v>
      </c>
      <c r="D1650" s="86">
        <v>290.62433940008657</v>
      </c>
      <c r="E1650" s="86">
        <v>2830127.0485047172</v>
      </c>
      <c r="F1650" s="86" t="s">
        <v>1698</v>
      </c>
      <c r="G1650" s="25">
        <f t="shared" si="49"/>
        <v>-1.8071716178944541E-3</v>
      </c>
      <c r="I1650" s="86">
        <v>314.06679226424632</v>
      </c>
      <c r="J1650" s="86">
        <v>320.79056245326683</v>
      </c>
      <c r="K1650" s="86">
        <v>312.23614745451306</v>
      </c>
      <c r="L1650" s="86">
        <v>318.40388066861453</v>
      </c>
      <c r="M1650" s="86">
        <v>2257540.6971503473</v>
      </c>
      <c r="N1650" s="86" t="s">
        <v>1698</v>
      </c>
      <c r="O1650" s="25">
        <f t="shared" si="50"/>
        <v>-1.3621342790360425E-2</v>
      </c>
    </row>
    <row r="1651" spans="1:15">
      <c r="A1651" s="86">
        <v>290.62433940008657</v>
      </c>
      <c r="B1651" s="86">
        <v>293.62816092268974</v>
      </c>
      <c r="C1651" s="86">
        <v>290.04310914963924</v>
      </c>
      <c r="D1651" s="86">
        <v>290.68883863523445</v>
      </c>
      <c r="E1651" s="86">
        <v>3328090.1627391777</v>
      </c>
      <c r="F1651" s="86" t="s">
        <v>1699</v>
      </c>
      <c r="G1651" s="25">
        <f t="shared" si="49"/>
        <v>-2.2188411309731482E-4</v>
      </c>
      <c r="I1651" s="86">
        <v>318.40388066861453</v>
      </c>
      <c r="J1651" s="86">
        <v>330.02077623692219</v>
      </c>
      <c r="K1651" s="86">
        <v>318.05314965366563</v>
      </c>
      <c r="L1651" s="86">
        <v>327.28336343732093</v>
      </c>
      <c r="M1651" s="86">
        <v>2084514.2540545156</v>
      </c>
      <c r="N1651" s="86" t="s">
        <v>1699</v>
      </c>
      <c r="O1651" s="25">
        <f t="shared" si="50"/>
        <v>-2.7130871167568293E-2</v>
      </c>
    </row>
    <row r="1652" spans="1:15">
      <c r="A1652" s="86">
        <v>289.48178152032335</v>
      </c>
      <c r="B1652" s="86">
        <v>295.67370809452382</v>
      </c>
      <c r="C1652" s="86">
        <v>288.70779069854825</v>
      </c>
      <c r="D1652" s="86">
        <v>295.13007168399139</v>
      </c>
      <c r="E1652" s="86">
        <v>2419731.1742080147</v>
      </c>
      <c r="F1652" s="86" t="s">
        <v>1700</v>
      </c>
      <c r="G1652" s="25">
        <f t="shared" si="49"/>
        <v>-1.9138307836403468E-2</v>
      </c>
      <c r="I1652" s="86">
        <v>328.24145791718138</v>
      </c>
      <c r="J1652" s="86">
        <v>333.28000835144735</v>
      </c>
      <c r="K1652" s="86">
        <v>326.49721269893547</v>
      </c>
      <c r="L1652" s="86">
        <v>331.26116641174144</v>
      </c>
      <c r="M1652" s="86">
        <v>1380565.4742867262</v>
      </c>
      <c r="N1652" s="86" t="s">
        <v>1700</v>
      </c>
      <c r="O1652" s="25">
        <f t="shared" si="50"/>
        <v>-9.115793822952134E-3</v>
      </c>
    </row>
    <row r="1653" spans="1:15">
      <c r="A1653" s="86">
        <v>293.92301456908024</v>
      </c>
      <c r="B1653" s="86">
        <v>296.88997938588466</v>
      </c>
      <c r="C1653" s="86">
        <v>293.84008698103287</v>
      </c>
      <c r="D1653" s="86">
        <v>295.45256785973095</v>
      </c>
      <c r="E1653" s="86">
        <v>1812349.70820838</v>
      </c>
      <c r="F1653" s="86" t="s">
        <v>1701</v>
      </c>
      <c r="G1653" s="25">
        <f t="shared" si="49"/>
        <v>-5.1769842507406461E-3</v>
      </c>
      <c r="I1653" s="86">
        <v>330.62813970183367</v>
      </c>
      <c r="J1653" s="86">
        <v>333.43398782142492</v>
      </c>
      <c r="K1653" s="86">
        <v>330.27740868688477</v>
      </c>
      <c r="L1653" s="86">
        <v>332.3304682865857</v>
      </c>
      <c r="M1653" s="86">
        <v>1113012.4036987983</v>
      </c>
      <c r="N1653" s="86" t="s">
        <v>1701</v>
      </c>
      <c r="O1653" s="25">
        <f t="shared" si="50"/>
        <v>-5.1223969728950713E-3</v>
      </c>
    </row>
    <row r="1654" spans="1:15">
      <c r="A1654" s="86">
        <v>294.17179733322223</v>
      </c>
      <c r="B1654" s="86">
        <v>294.57722109700916</v>
      </c>
      <c r="C1654" s="86">
        <v>290.45406141929595</v>
      </c>
      <c r="D1654" s="86">
        <v>290.90076469357757</v>
      </c>
      <c r="E1654" s="86">
        <v>2699205.9611362559</v>
      </c>
      <c r="F1654" s="86" t="s">
        <v>1702</v>
      </c>
      <c r="G1654" s="25">
        <f t="shared" si="49"/>
        <v>1.1244496531627179E-2</v>
      </c>
      <c r="I1654" s="86">
        <v>330.30307193188105</v>
      </c>
      <c r="J1654" s="86">
        <v>332.65553605653832</v>
      </c>
      <c r="K1654" s="86">
        <v>327.82229158224249</v>
      </c>
      <c r="L1654" s="86">
        <v>331.33815614673023</v>
      </c>
      <c r="M1654" s="86">
        <v>925969.80636945483</v>
      </c>
      <c r="N1654" s="86" t="s">
        <v>1702</v>
      </c>
      <c r="O1654" s="25">
        <f t="shared" si="50"/>
        <v>-3.1239511527636488E-3</v>
      </c>
    </row>
    <row r="1655" spans="1:15">
      <c r="A1655" s="86">
        <v>294.52193603831091</v>
      </c>
      <c r="B1655" s="86">
        <v>297.89432461890232</v>
      </c>
      <c r="C1655" s="86">
        <v>293.86772951038205</v>
      </c>
      <c r="D1655" s="86">
        <v>296.8991935623344</v>
      </c>
      <c r="E1655" s="86">
        <v>2070495.4050033046</v>
      </c>
      <c r="F1655" s="86" t="s">
        <v>1703</v>
      </c>
      <c r="G1655" s="25">
        <f t="shared" si="49"/>
        <v>-8.0069517720814387E-3</v>
      </c>
      <c r="I1655" s="86">
        <v>334.2381028313078</v>
      </c>
      <c r="J1655" s="86">
        <v>338.29289554071704</v>
      </c>
      <c r="K1655" s="86">
        <v>331.17562226175392</v>
      </c>
      <c r="L1655" s="86">
        <v>331.17562226175392</v>
      </c>
      <c r="M1655" s="86">
        <v>1274656.4202915686</v>
      </c>
      <c r="N1655" s="86" t="s">
        <v>1703</v>
      </c>
      <c r="O1655" s="25">
        <f t="shared" si="50"/>
        <v>9.2473007180866595E-3</v>
      </c>
    </row>
    <row r="1656" spans="1:15">
      <c r="A1656" s="86">
        <v>296.37398550470124</v>
      </c>
      <c r="B1656" s="86">
        <v>298.29053420623956</v>
      </c>
      <c r="C1656" s="86">
        <v>295.50508866549427</v>
      </c>
      <c r="D1656" s="86">
        <v>298.20760661819219</v>
      </c>
      <c r="E1656" s="86">
        <v>2419900.4785412359</v>
      </c>
      <c r="F1656" s="86" t="s">
        <v>1704</v>
      </c>
      <c r="G1656" s="25">
        <f t="shared" si="49"/>
        <v>-6.1488073167718094E-3</v>
      </c>
      <c r="I1656" s="86">
        <v>332.72397137652837</v>
      </c>
      <c r="J1656" s="86">
        <v>334.10123219132771</v>
      </c>
      <c r="K1656" s="86">
        <v>329.44763043200567</v>
      </c>
      <c r="L1656" s="86">
        <v>330.32018076187853</v>
      </c>
      <c r="M1656" s="86">
        <v>1137866.2364893483</v>
      </c>
      <c r="N1656" s="86" t="s">
        <v>1704</v>
      </c>
      <c r="O1656" s="25">
        <f t="shared" si="50"/>
        <v>7.277153364064981E-3</v>
      </c>
    </row>
    <row r="1657" spans="1:15">
      <c r="A1657" s="86">
        <v>298.28132002978987</v>
      </c>
      <c r="B1657" s="86">
        <v>299.66528933253522</v>
      </c>
      <c r="C1657" s="86">
        <v>295.46178203618069</v>
      </c>
      <c r="D1657" s="86">
        <v>295.90406250576638</v>
      </c>
      <c r="E1657" s="86">
        <v>2381420.6423957688</v>
      </c>
      <c r="F1657" s="86" t="s">
        <v>1705</v>
      </c>
      <c r="G1657" s="25">
        <f t="shared" si="49"/>
        <v>8.0338793049763435E-3</v>
      </c>
      <c r="I1657" s="86">
        <v>332.69830813153209</v>
      </c>
      <c r="J1657" s="86">
        <v>334.05846011633395</v>
      </c>
      <c r="K1657" s="86">
        <v>327.85650924223745</v>
      </c>
      <c r="L1657" s="86">
        <v>330.20041895189598</v>
      </c>
      <c r="M1657" s="86">
        <v>943791.01331606775</v>
      </c>
      <c r="N1657" s="86" t="s">
        <v>1705</v>
      </c>
      <c r="O1657" s="25">
        <f t="shared" si="50"/>
        <v>7.5647668393783452E-3</v>
      </c>
    </row>
    <row r="1658" spans="1:15">
      <c r="A1658" s="86">
        <v>293.54523333464238</v>
      </c>
      <c r="B1658" s="86">
        <v>294.02427836826246</v>
      </c>
      <c r="C1658" s="86">
        <v>291.95118080884379</v>
      </c>
      <c r="D1658" s="86">
        <v>292.5224597487254</v>
      </c>
      <c r="E1658" s="86">
        <v>3032367.5862426325</v>
      </c>
      <c r="F1658" s="86" t="s">
        <v>1706</v>
      </c>
      <c r="G1658" s="25">
        <f t="shared" si="49"/>
        <v>3.4963933600022923E-3</v>
      </c>
      <c r="I1658" s="86">
        <v>330.14053804690474</v>
      </c>
      <c r="J1658" s="86">
        <v>333.70772910138504</v>
      </c>
      <c r="K1658" s="86">
        <v>329.5930554869845</v>
      </c>
      <c r="L1658" s="86">
        <v>332.26203296659565</v>
      </c>
      <c r="M1658" s="86">
        <v>789089.61056756985</v>
      </c>
      <c r="N1658" s="86" t="s">
        <v>1706</v>
      </c>
      <c r="O1658" s="25">
        <f t="shared" si="50"/>
        <v>-6.3850055353877888E-3</v>
      </c>
    </row>
    <row r="1659" spans="1:15">
      <c r="A1659" s="86">
        <v>290.95604975227582</v>
      </c>
      <c r="B1659" s="86">
        <v>291.0297631638735</v>
      </c>
      <c r="C1659" s="86">
        <v>289.37121140292692</v>
      </c>
      <c r="D1659" s="86">
        <v>290.20970145984984</v>
      </c>
      <c r="E1659" s="86">
        <v>1879398.5653007471</v>
      </c>
      <c r="F1659" s="86" t="s">
        <v>1707</v>
      </c>
      <c r="G1659" s="25">
        <f t="shared" si="49"/>
        <v>2.5717551435102681E-3</v>
      </c>
      <c r="I1659" s="86">
        <v>332.41601243657317</v>
      </c>
      <c r="J1659" s="86">
        <v>332.92927733649844</v>
      </c>
      <c r="K1659" s="86">
        <v>327.01680786595978</v>
      </c>
      <c r="L1659" s="86">
        <v>328.40399180215769</v>
      </c>
      <c r="M1659" s="86">
        <v>812628.33297340758</v>
      </c>
      <c r="N1659" s="86" t="s">
        <v>1707</v>
      </c>
      <c r="O1659" s="25">
        <f t="shared" si="50"/>
        <v>1.2216723104975014E-2</v>
      </c>
    </row>
    <row r="1660" spans="1:15">
      <c r="A1660" s="86">
        <v>288.40372287570807</v>
      </c>
      <c r="B1660" s="86">
        <v>289.15007116813405</v>
      </c>
      <c r="C1660" s="86">
        <v>286.19232052777932</v>
      </c>
      <c r="D1660" s="86">
        <v>286.19895473482308</v>
      </c>
      <c r="E1660" s="86">
        <v>1853481.9789076471</v>
      </c>
      <c r="F1660" s="86" t="s">
        <v>1708</v>
      </c>
      <c r="G1660" s="25">
        <f t="shared" si="49"/>
        <v>7.703620521353205E-3</v>
      </c>
      <c r="I1660" s="86">
        <v>327.58276796227733</v>
      </c>
      <c r="J1660" s="86">
        <v>328.35266531216513</v>
      </c>
      <c r="K1660" s="86">
        <v>323.83593419282317</v>
      </c>
      <c r="L1660" s="86">
        <v>323.8701518528182</v>
      </c>
      <c r="M1660" s="86">
        <v>966569.8941662939</v>
      </c>
      <c r="N1660" s="86" t="s">
        <v>1708</v>
      </c>
      <c r="O1660" s="25">
        <f t="shared" si="50"/>
        <v>1.1463285789751643E-2</v>
      </c>
    </row>
    <row r="1661" spans="1:15">
      <c r="A1661" s="86">
        <v>283.53863771026482</v>
      </c>
      <c r="B1661" s="86">
        <v>289.61999416706885</v>
      </c>
      <c r="C1661" s="86">
        <v>283.04162503256782</v>
      </c>
      <c r="D1661" s="86">
        <v>287.71265964198034</v>
      </c>
      <c r="E1661" s="86">
        <v>3678905.0204364327</v>
      </c>
      <c r="F1661" s="86" t="s">
        <v>1709</v>
      </c>
      <c r="G1661" s="25">
        <f t="shared" si="49"/>
        <v>-1.4507606084867897E-2</v>
      </c>
      <c r="I1661" s="86">
        <v>322.03950704308488</v>
      </c>
      <c r="J1661" s="86">
        <v>330.29451751688231</v>
      </c>
      <c r="K1661" s="86">
        <v>321.6631127831397</v>
      </c>
      <c r="L1661" s="86">
        <v>330.22608219689221</v>
      </c>
      <c r="M1661" s="86">
        <v>1116301.9331410921</v>
      </c>
      <c r="N1661" s="86" t="s">
        <v>1709</v>
      </c>
      <c r="O1661" s="25">
        <f t="shared" si="50"/>
        <v>-2.4790819366370398E-2</v>
      </c>
    </row>
    <row r="1662" spans="1:15">
      <c r="A1662" s="86">
        <v>287.55601864233535</v>
      </c>
      <c r="B1662" s="86">
        <v>287.74951634777915</v>
      </c>
      <c r="C1662" s="86">
        <v>284.43241282588599</v>
      </c>
      <c r="D1662" s="86">
        <v>284.43241282588599</v>
      </c>
      <c r="E1662" s="86">
        <v>2566104.5378354774</v>
      </c>
      <c r="F1662" s="86" t="s">
        <v>1710</v>
      </c>
      <c r="G1662" s="25">
        <f t="shared" si="49"/>
        <v>1.0981891217726414E-2</v>
      </c>
      <c r="I1662" s="86">
        <v>328.4553182921502</v>
      </c>
      <c r="J1662" s="86">
        <v>330.10555048955979</v>
      </c>
      <c r="K1662" s="86">
        <v>324.09256664278581</v>
      </c>
      <c r="L1662" s="86">
        <v>327.83940041223997</v>
      </c>
      <c r="M1662" s="86">
        <v>964705.35988752393</v>
      </c>
      <c r="N1662" s="86" t="s">
        <v>1710</v>
      </c>
      <c r="O1662" s="25">
        <f t="shared" si="50"/>
        <v>1.8787182966286675E-3</v>
      </c>
    </row>
    <row r="1663" spans="1:15">
      <c r="A1663" s="86">
        <v>282.61722006529453</v>
      </c>
      <c r="B1663" s="86">
        <v>284.33105688493924</v>
      </c>
      <c r="C1663" s="86">
        <v>280.30906886464385</v>
      </c>
      <c r="D1663" s="86">
        <v>280.77438477535389</v>
      </c>
      <c r="E1663" s="86">
        <v>3391609.6756543941</v>
      </c>
      <c r="F1663" s="86" t="s">
        <v>1711</v>
      </c>
      <c r="G1663" s="25">
        <f t="shared" si="49"/>
        <v>6.5634024678393743E-3</v>
      </c>
      <c r="I1663" s="86">
        <v>325.56392602257142</v>
      </c>
      <c r="J1663" s="86">
        <v>328.04179787111048</v>
      </c>
      <c r="K1663" s="86">
        <v>320.17464457335655</v>
      </c>
      <c r="L1663" s="86">
        <v>321.64600395314221</v>
      </c>
      <c r="M1663" s="86">
        <v>1422858.2552720662</v>
      </c>
      <c r="N1663" s="86" t="s">
        <v>1711</v>
      </c>
      <c r="O1663" s="25">
        <f t="shared" si="50"/>
        <v>1.2180851063829712E-2</v>
      </c>
    </row>
    <row r="1664" spans="1:15">
      <c r="A1664" s="86">
        <v>285.27090288280903</v>
      </c>
      <c r="B1664" s="86">
        <v>286.66224352671418</v>
      </c>
      <c r="C1664" s="86">
        <v>283.57549441606363</v>
      </c>
      <c r="D1664" s="86">
        <v>285.78689676399239</v>
      </c>
      <c r="E1664" s="86">
        <v>3261984.4176055882</v>
      </c>
      <c r="F1664" s="86" t="s">
        <v>1712</v>
      </c>
      <c r="G1664" s="25">
        <f t="shared" si="49"/>
        <v>-1.8055197317513594E-3</v>
      </c>
      <c r="I1664" s="86">
        <v>325.8291128875328</v>
      </c>
      <c r="J1664" s="86">
        <v>333.62218495139751</v>
      </c>
      <c r="K1664" s="86">
        <v>324.21232845276836</v>
      </c>
      <c r="L1664" s="86">
        <v>328.48953595214522</v>
      </c>
      <c r="M1664" s="86">
        <v>1290389.8164407627</v>
      </c>
      <c r="N1664" s="86" t="s">
        <v>1712</v>
      </c>
      <c r="O1664" s="25">
        <f t="shared" si="50"/>
        <v>-8.0989583333332948E-3</v>
      </c>
    </row>
    <row r="1665" spans="1:15">
      <c r="A1665" s="86">
        <v>283.47413847511689</v>
      </c>
      <c r="B1665" s="86">
        <v>286.3304410327604</v>
      </c>
      <c r="C1665" s="86">
        <v>281.81558671417037</v>
      </c>
      <c r="D1665" s="86">
        <v>281.99065606671468</v>
      </c>
      <c r="E1665" s="86">
        <v>4671610.1254374012</v>
      </c>
      <c r="F1665" s="86" t="s">
        <v>1713</v>
      </c>
      <c r="G1665" s="25">
        <f t="shared" si="49"/>
        <v>5.2607502287282948E-3</v>
      </c>
      <c r="I1665" s="86">
        <v>327.87361807223493</v>
      </c>
      <c r="J1665" s="86">
        <v>333.41687899142738</v>
      </c>
      <c r="K1665" s="86">
        <v>325.50404511758018</v>
      </c>
      <c r="L1665" s="86">
        <v>333.1688009564636</v>
      </c>
      <c r="M1665" s="86">
        <v>1648580.2947430643</v>
      </c>
      <c r="N1665" s="86" t="s">
        <v>1713</v>
      </c>
      <c r="O1665" s="25">
        <f t="shared" si="50"/>
        <v>-1.5893393586155713E-2</v>
      </c>
    </row>
    <row r="1666" spans="1:15">
      <c r="A1666" s="86">
        <v>281.30880700943669</v>
      </c>
      <c r="B1666" s="86">
        <v>283.34514000482102</v>
      </c>
      <c r="C1666" s="86">
        <v>280.7098855402059</v>
      </c>
      <c r="D1666" s="86">
        <v>282.72779018269091</v>
      </c>
      <c r="E1666" s="86">
        <v>2504109.8492034399</v>
      </c>
      <c r="F1666" s="86" t="s">
        <v>1714</v>
      </c>
      <c r="G1666" s="25">
        <f t="shared" si="49"/>
        <v>-5.0189023595357263E-3</v>
      </c>
      <c r="I1666" s="86">
        <v>332.54432866155452</v>
      </c>
      <c r="J1666" s="86">
        <v>336.3168256760049</v>
      </c>
      <c r="K1666" s="86">
        <v>331.4921356167078</v>
      </c>
      <c r="L1666" s="86">
        <v>333.28856276644609</v>
      </c>
      <c r="M1666" s="86">
        <v>1310886.8346501368</v>
      </c>
      <c r="N1666" s="86" t="s">
        <v>1714</v>
      </c>
      <c r="O1666" s="25">
        <f t="shared" si="50"/>
        <v>-2.2330022330022681E-3</v>
      </c>
    </row>
    <row r="1667" spans="1:15">
      <c r="A1667" s="86">
        <v>282.92267001460226</v>
      </c>
      <c r="B1667" s="86">
        <v>283.52822508727581</v>
      </c>
      <c r="C1667" s="86">
        <v>281.15188018087485</v>
      </c>
      <c r="D1667" s="86">
        <v>282.06021278988527</v>
      </c>
      <c r="E1667" s="86">
        <v>2657103.6270836848</v>
      </c>
      <c r="F1667" s="86" t="s">
        <v>1715</v>
      </c>
      <c r="G1667" s="25">
        <f t="shared" si="49"/>
        <v>3.0577060698719905E-3</v>
      </c>
      <c r="I1667" s="86">
        <v>334.05846011633395</v>
      </c>
      <c r="J1667" s="86">
        <v>339.27665326557377</v>
      </c>
      <c r="K1667" s="86">
        <v>333.32278042644111</v>
      </c>
      <c r="L1667" s="86">
        <v>333.62218495139751</v>
      </c>
      <c r="M1667" s="86">
        <v>1145713.6462783029</v>
      </c>
      <c r="N1667" s="86" t="s">
        <v>1715</v>
      </c>
      <c r="O1667" s="25">
        <f t="shared" si="50"/>
        <v>1.307692307692232E-3</v>
      </c>
    </row>
    <row r="1668" spans="1:15">
      <c r="A1668" s="86">
        <v>278.26173097038708</v>
      </c>
      <c r="B1668" s="86">
        <v>278.95903681164765</v>
      </c>
      <c r="C1668" s="86">
        <v>272.2428805510857</v>
      </c>
      <c r="D1668" s="86">
        <v>273.02734962250372</v>
      </c>
      <c r="E1668" s="86">
        <v>2925282.3069896959</v>
      </c>
      <c r="F1668" s="86" t="s">
        <v>1716</v>
      </c>
      <c r="G1668" s="25">
        <f t="shared" si="49"/>
        <v>1.9171637402335628E-2</v>
      </c>
      <c r="I1668" s="86">
        <v>330.79922800180873</v>
      </c>
      <c r="J1668" s="86">
        <v>332.25347855159686</v>
      </c>
      <c r="K1668" s="86">
        <v>322.03095262808614</v>
      </c>
      <c r="L1668" s="86">
        <v>322.88639412796152</v>
      </c>
      <c r="M1668" s="86">
        <v>1607807.1968689475</v>
      </c>
      <c r="N1668" s="86" t="s">
        <v>1716</v>
      </c>
      <c r="O1668" s="25">
        <f t="shared" si="50"/>
        <v>2.4506557159888587E-2</v>
      </c>
    </row>
    <row r="1669" spans="1:15">
      <c r="A1669" s="86">
        <v>273.87604423193267</v>
      </c>
      <c r="B1669" s="86">
        <v>276.59186698210527</v>
      </c>
      <c r="C1669" s="86">
        <v>270.70146763882553</v>
      </c>
      <c r="D1669" s="86">
        <v>271.86670239987933</v>
      </c>
      <c r="E1669" s="86">
        <v>3412139.2640263685</v>
      </c>
      <c r="F1669" s="86" t="s">
        <v>1717</v>
      </c>
      <c r="G1669" s="25">
        <f t="shared" si="49"/>
        <v>7.3909081704970347E-3</v>
      </c>
      <c r="I1669" s="86">
        <v>324.00702249279823</v>
      </c>
      <c r="J1669" s="86">
        <v>328.90870228708417</v>
      </c>
      <c r="K1669" s="86">
        <v>320.87182939575501</v>
      </c>
      <c r="L1669" s="86">
        <v>327.84795482723871</v>
      </c>
      <c r="M1669" s="86">
        <v>1514144.4507762312</v>
      </c>
      <c r="N1669" s="86" t="s">
        <v>1717</v>
      </c>
      <c r="O1669" s="25">
        <f t="shared" si="50"/>
        <v>-1.1715590345727445E-2</v>
      </c>
    </row>
    <row r="1670" spans="1:15">
      <c r="A1670" s="86">
        <v>273.12368792952003</v>
      </c>
      <c r="B1670" s="86">
        <v>280.34447341730998</v>
      </c>
      <c r="C1670" s="86">
        <v>272.65575900972675</v>
      </c>
      <c r="D1670" s="86">
        <v>280.0967463421253</v>
      </c>
      <c r="E1670" s="86">
        <v>3003554.1308730808</v>
      </c>
      <c r="F1670" s="86" t="s">
        <v>1718</v>
      </c>
      <c r="G1670" s="25">
        <f t="shared" si="49"/>
        <v>-2.4895178197064771E-2</v>
      </c>
      <c r="I1670" s="86">
        <v>327.83940041223997</v>
      </c>
      <c r="J1670" s="86">
        <v>337.40931001549581</v>
      </c>
      <c r="K1670" s="86">
        <v>326.77009853739571</v>
      </c>
      <c r="L1670" s="86">
        <v>332.96349499649347</v>
      </c>
      <c r="M1670" s="86">
        <v>1430049.8633491774</v>
      </c>
      <c r="N1670" s="86" t="s">
        <v>1718</v>
      </c>
      <c r="O1670" s="25">
        <f t="shared" si="50"/>
        <v>-1.5389358476992965E-2</v>
      </c>
    </row>
    <row r="1671" spans="1:15">
      <c r="A1671" s="86">
        <v>279.60129219175599</v>
      </c>
      <c r="B1671" s="86">
        <v>280.06004603469057</v>
      </c>
      <c r="C1671" s="86">
        <v>275.86703591026867</v>
      </c>
      <c r="D1671" s="86">
        <v>278.10575466378936</v>
      </c>
      <c r="E1671" s="86">
        <v>2988021.8359185155</v>
      </c>
      <c r="F1671" s="86" t="s">
        <v>1719</v>
      </c>
      <c r="G1671" s="25">
        <f t="shared" si="49"/>
        <v>5.3775856949620504E-3</v>
      </c>
      <c r="I1671" s="86">
        <v>332.2705873815944</v>
      </c>
      <c r="J1671" s="86">
        <v>335.74367987108843</v>
      </c>
      <c r="K1671" s="86">
        <v>326.21773996092617</v>
      </c>
      <c r="L1671" s="86">
        <v>326.67599997240944</v>
      </c>
      <c r="M1671" s="86">
        <v>1503942.7011518895</v>
      </c>
      <c r="N1671" s="86" t="s">
        <v>1719</v>
      </c>
      <c r="O1671" s="25">
        <f t="shared" si="50"/>
        <v>1.7125798680213578E-2</v>
      </c>
    </row>
    <row r="1672" spans="1:15">
      <c r="A1672" s="86">
        <v>276.80289374985517</v>
      </c>
      <c r="B1672" s="86">
        <v>276.85794421100735</v>
      </c>
      <c r="C1672" s="86">
        <v>272.34380639653125</v>
      </c>
      <c r="D1672" s="86">
        <v>275.68353437309486</v>
      </c>
      <c r="E1672" s="86">
        <v>4944740.0494551947</v>
      </c>
      <c r="F1672" s="86" t="s">
        <v>1720</v>
      </c>
      <c r="G1672" s="25">
        <f t="shared" si="49"/>
        <v>4.0603055213497274E-3</v>
      </c>
      <c r="I1672" s="86">
        <v>324.73414776769232</v>
      </c>
      <c r="J1672" s="86">
        <v>333.50738470211422</v>
      </c>
      <c r="K1672" s="86">
        <v>322.69819699798893</v>
      </c>
      <c r="L1672" s="86">
        <v>332.33902270158444</v>
      </c>
      <c r="M1672" s="86">
        <v>1692361.1961903942</v>
      </c>
      <c r="N1672" s="86" t="s">
        <v>1720</v>
      </c>
      <c r="O1672" s="25">
        <f t="shared" si="50"/>
        <v>-2.2882882882882871E-2</v>
      </c>
    </row>
    <row r="1673" spans="1:15">
      <c r="A1673" s="86">
        <v>279.83984419008198</v>
      </c>
      <c r="B1673" s="86">
        <v>283.95027862277567</v>
      </c>
      <c r="C1673" s="86">
        <v>277.59195035970265</v>
      </c>
      <c r="D1673" s="86">
        <v>283.91357831534089</v>
      </c>
      <c r="E1673" s="86">
        <v>3728595.4686683617</v>
      </c>
      <c r="F1673" s="86" t="s">
        <v>1721</v>
      </c>
      <c r="G1673" s="25">
        <f t="shared" si="49"/>
        <v>-1.4348500517063156E-2</v>
      </c>
      <c r="I1673" s="86">
        <v>338.01915426075692</v>
      </c>
      <c r="J1673" s="86">
        <v>341.3211584502759</v>
      </c>
      <c r="K1673" s="86">
        <v>337.17226717588028</v>
      </c>
      <c r="L1673" s="86">
        <v>337.17226717588028</v>
      </c>
      <c r="M1673" s="86">
        <v>3082387.2823379887</v>
      </c>
      <c r="N1673" s="86" t="s">
        <v>1721</v>
      </c>
      <c r="O1673" s="25">
        <f t="shared" si="50"/>
        <v>2.5117341113789493E-3</v>
      </c>
    </row>
    <row r="1674" spans="1:15">
      <c r="A1674" s="86">
        <v>283.1336967823521</v>
      </c>
      <c r="B1674" s="86">
        <v>284.67510969461222</v>
      </c>
      <c r="C1674" s="86">
        <v>280.7206515685163</v>
      </c>
      <c r="D1674" s="86">
        <v>281.19775556516828</v>
      </c>
      <c r="E1674" s="86">
        <v>3104413.2314836015</v>
      </c>
      <c r="F1674" s="86" t="s">
        <v>1722</v>
      </c>
      <c r="G1674" s="25">
        <f t="shared" si="49"/>
        <v>6.8846254241712312E-3</v>
      </c>
      <c r="I1674" s="86">
        <v>338.70350746065725</v>
      </c>
      <c r="J1674" s="86">
        <v>340.93620977533197</v>
      </c>
      <c r="K1674" s="86">
        <v>333.22868186145485</v>
      </c>
      <c r="L1674" s="86">
        <v>335.33306795114828</v>
      </c>
      <c r="M1674" s="86">
        <v>1121699.1461599516</v>
      </c>
      <c r="N1674" s="86" t="s">
        <v>1722</v>
      </c>
      <c r="O1674" s="25">
        <f t="shared" si="50"/>
        <v>1.0051020408163192E-2</v>
      </c>
    </row>
    <row r="1675" spans="1:15">
      <c r="A1675" s="86">
        <v>285.62931768791611</v>
      </c>
      <c r="B1675" s="86">
        <v>289.18007243222962</v>
      </c>
      <c r="C1675" s="86">
        <v>285.38159061273149</v>
      </c>
      <c r="D1675" s="86">
        <v>287.92308690258892</v>
      </c>
      <c r="E1675" s="86">
        <v>2524471.4956321353</v>
      </c>
      <c r="F1675" s="86" t="s">
        <v>1723</v>
      </c>
      <c r="G1675" s="25">
        <f t="shared" si="49"/>
        <v>-7.966603996048538E-3</v>
      </c>
      <c r="I1675" s="86">
        <v>338.39554852070211</v>
      </c>
      <c r="J1675" s="86">
        <v>341.83442335020118</v>
      </c>
      <c r="K1675" s="86">
        <v>334.41774554628159</v>
      </c>
      <c r="L1675" s="86">
        <v>334.57172501625917</v>
      </c>
      <c r="M1675" s="86">
        <v>1230369.3474695007</v>
      </c>
      <c r="N1675" s="86" t="s">
        <v>1723</v>
      </c>
      <c r="O1675" s="25">
        <f t="shared" si="50"/>
        <v>1.1429009741504847E-2</v>
      </c>
    </row>
    <row r="1676" spans="1:15">
      <c r="A1676" s="86">
        <v>286.78537737211121</v>
      </c>
      <c r="B1676" s="86">
        <v>288.33596536123002</v>
      </c>
      <c r="C1676" s="86">
        <v>285.82199430194862</v>
      </c>
      <c r="D1676" s="86">
        <v>287.61113428939348</v>
      </c>
      <c r="E1676" s="86">
        <v>2802077.8894780097</v>
      </c>
      <c r="F1676" s="86" t="s">
        <v>1724</v>
      </c>
      <c r="G1676" s="25">
        <f t="shared" si="49"/>
        <v>-2.8710881424061085E-3</v>
      </c>
      <c r="I1676" s="86">
        <v>335.80356077607973</v>
      </c>
      <c r="J1676" s="86">
        <v>338.75483395064975</v>
      </c>
      <c r="K1676" s="86">
        <v>330.96176188678504</v>
      </c>
      <c r="L1676" s="86">
        <v>338.45542942569335</v>
      </c>
      <c r="M1676" s="86">
        <v>1117433.5125654491</v>
      </c>
      <c r="N1676" s="86" t="s">
        <v>1724</v>
      </c>
      <c r="O1676" s="25">
        <f t="shared" si="50"/>
        <v>-7.8352078857574226E-3</v>
      </c>
    </row>
    <row r="1677" spans="1:15">
      <c r="A1677" s="86">
        <v>285.31736507472067</v>
      </c>
      <c r="B1677" s="86">
        <v>286.95052875556769</v>
      </c>
      <c r="C1677" s="86">
        <v>284.06955462193866</v>
      </c>
      <c r="D1677" s="86">
        <v>284.5007832342971</v>
      </c>
      <c r="E1677" s="86">
        <v>3330863.6505917395</v>
      </c>
      <c r="F1677" s="86" t="s">
        <v>1725</v>
      </c>
      <c r="G1677" s="25">
        <f t="shared" si="49"/>
        <v>2.870227038183959E-3</v>
      </c>
      <c r="I1677" s="86">
        <v>336.83009057593017</v>
      </c>
      <c r="J1677" s="86">
        <v>339.32797975556628</v>
      </c>
      <c r="K1677" s="86">
        <v>335.0080001811956</v>
      </c>
      <c r="L1677" s="86">
        <v>336.50502280597755</v>
      </c>
      <c r="M1677" s="86">
        <v>1158529.2508539485</v>
      </c>
      <c r="N1677" s="86" t="s">
        <v>1725</v>
      </c>
      <c r="O1677" s="25">
        <f t="shared" si="50"/>
        <v>9.660116429823784E-4</v>
      </c>
    </row>
    <row r="1678" spans="1:15">
      <c r="A1678" s="86">
        <v>281.65650940810286</v>
      </c>
      <c r="B1678" s="86">
        <v>284.05120446822121</v>
      </c>
      <c r="C1678" s="86">
        <v>279.07831281081064</v>
      </c>
      <c r="D1678" s="86">
        <v>283.09699647491738</v>
      </c>
      <c r="E1678" s="86">
        <v>4022041.5118423323</v>
      </c>
      <c r="F1678" s="86" t="s">
        <v>1726</v>
      </c>
      <c r="G1678" s="25">
        <f t="shared" si="49"/>
        <v>-5.0883163182627866E-3</v>
      </c>
      <c r="I1678" s="86">
        <v>333.15169212646606</v>
      </c>
      <c r="J1678" s="86">
        <v>334.04982015718525</v>
      </c>
      <c r="K1678" s="86">
        <v>325.70935107755025</v>
      </c>
      <c r="L1678" s="86">
        <v>326.32526895746054</v>
      </c>
      <c r="M1678" s="86">
        <v>1091809.3173362098</v>
      </c>
      <c r="N1678" s="86" t="s">
        <v>1726</v>
      </c>
      <c r="O1678" s="25">
        <f t="shared" si="50"/>
        <v>2.0919076205206277E-2</v>
      </c>
    </row>
    <row r="1679" spans="1:15">
      <c r="A1679" s="86">
        <v>281.44548264035296</v>
      </c>
      <c r="B1679" s="86">
        <v>288.74884381987113</v>
      </c>
      <c r="C1679" s="86">
        <v>280.59220049249467</v>
      </c>
      <c r="D1679" s="86">
        <v>288.14328874719752</v>
      </c>
      <c r="E1679" s="86">
        <v>3911666.4146527424</v>
      </c>
      <c r="F1679" s="86" t="s">
        <v>1727</v>
      </c>
      <c r="G1679" s="25">
        <f t="shared" si="49"/>
        <v>-2.3244706256965286E-2</v>
      </c>
      <c r="I1679" s="86">
        <v>324.30642701775463</v>
      </c>
      <c r="J1679" s="86">
        <v>332.3666534620304</v>
      </c>
      <c r="K1679" s="86">
        <v>323.63918264785184</v>
      </c>
      <c r="L1679" s="86">
        <v>330.21752778189347</v>
      </c>
      <c r="M1679" s="86">
        <v>837493.85563404392</v>
      </c>
      <c r="N1679" s="86" t="s">
        <v>1727</v>
      </c>
      <c r="O1679" s="25">
        <f t="shared" si="50"/>
        <v>-1.7900626910522743E-2</v>
      </c>
    </row>
    <row r="1680" spans="1:15">
      <c r="A1680" s="86">
        <v>286.45507460519832</v>
      </c>
      <c r="B1680" s="86">
        <v>288.7029684355777</v>
      </c>
      <c r="C1680" s="86">
        <v>283.7759521624605</v>
      </c>
      <c r="D1680" s="86">
        <v>284.56042123387857</v>
      </c>
      <c r="E1680" s="86">
        <v>3640116.6458200263</v>
      </c>
      <c r="F1680" s="86" t="s">
        <v>1728</v>
      </c>
      <c r="G1680" s="25">
        <f t="shared" si="49"/>
        <v>6.6581760144448499E-3</v>
      </c>
      <c r="I1680" s="86">
        <v>329.55028341199073</v>
      </c>
      <c r="J1680" s="86">
        <v>333.12602888146978</v>
      </c>
      <c r="K1680" s="86">
        <v>325.93185141166788</v>
      </c>
      <c r="L1680" s="86">
        <v>327.36890758730851</v>
      </c>
      <c r="M1680" s="86">
        <v>1424168.6897087439</v>
      </c>
      <c r="N1680" s="86" t="s">
        <v>1728</v>
      </c>
      <c r="O1680" s="25">
        <f t="shared" si="50"/>
        <v>6.6633567639604596E-3</v>
      </c>
    </row>
    <row r="1681" spans="1:15">
      <c r="A1681" s="86">
        <v>280.91332818254887</v>
      </c>
      <c r="B1681" s="86">
        <v>284.96871215409033</v>
      </c>
      <c r="C1681" s="86">
        <v>280.61972572307076</v>
      </c>
      <c r="D1681" s="86">
        <v>283.83100262361268</v>
      </c>
      <c r="E1681" s="86">
        <v>4662914.6173825907</v>
      </c>
      <c r="F1681" s="86" t="s">
        <v>1729</v>
      </c>
      <c r="G1681" s="25">
        <f t="shared" si="49"/>
        <v>-1.0279618555034786E-2</v>
      </c>
      <c r="I1681" s="86">
        <v>325.26452149761508</v>
      </c>
      <c r="J1681" s="86">
        <v>329.5887782794851</v>
      </c>
      <c r="K1681" s="86">
        <v>323.66484589284812</v>
      </c>
      <c r="L1681" s="86">
        <v>328.48098153714648</v>
      </c>
      <c r="M1681" s="86">
        <v>1252742.589827731</v>
      </c>
      <c r="N1681" s="86" t="s">
        <v>1729</v>
      </c>
      <c r="O1681" s="25">
        <f t="shared" si="50"/>
        <v>-9.7919216646266127E-3</v>
      </c>
    </row>
    <row r="1682" spans="1:15">
      <c r="A1682" s="86">
        <v>288.84976966531673</v>
      </c>
      <c r="B1682" s="86">
        <v>293.2354564037712</v>
      </c>
      <c r="C1682" s="86">
        <v>281.58310879323329</v>
      </c>
      <c r="D1682" s="86">
        <v>291.55641733863064</v>
      </c>
      <c r="E1682" s="86">
        <v>5595522.608769007</v>
      </c>
      <c r="F1682" s="86" t="s">
        <v>1730</v>
      </c>
      <c r="G1682" s="25">
        <f t="shared" si="49"/>
        <v>-9.2834440003776164E-3</v>
      </c>
      <c r="I1682" s="86">
        <v>329.36208628201808</v>
      </c>
      <c r="J1682" s="86">
        <v>334.94811927620435</v>
      </c>
      <c r="K1682" s="86">
        <v>324.70848452269604</v>
      </c>
      <c r="L1682" s="86">
        <v>332.34757711658318</v>
      </c>
      <c r="M1682" s="86">
        <v>1091593.0547396126</v>
      </c>
      <c r="N1682" s="86" t="s">
        <v>1730</v>
      </c>
      <c r="O1682" s="25">
        <f t="shared" si="50"/>
        <v>-8.9830377596459288E-3</v>
      </c>
    </row>
    <row r="1683" spans="1:15">
      <c r="A1683" s="86">
        <v>291.18023918742432</v>
      </c>
      <c r="B1683" s="86">
        <v>300.49294219899588</v>
      </c>
      <c r="C1683" s="86">
        <v>288.84059458845803</v>
      </c>
      <c r="D1683" s="86">
        <v>300.03418835606135</v>
      </c>
      <c r="E1683" s="86">
        <v>7511617.7293615732</v>
      </c>
      <c r="F1683" s="86" t="s">
        <v>1731</v>
      </c>
      <c r="G1683" s="25">
        <f t="shared" si="49"/>
        <v>-2.950980092351918E-2</v>
      </c>
      <c r="I1683" s="86">
        <v>330.44849698685988</v>
      </c>
      <c r="J1683" s="86">
        <v>343.78098048316753</v>
      </c>
      <c r="K1683" s="86">
        <v>327.95916222222252</v>
      </c>
      <c r="L1683" s="86">
        <v>341.74887920021359</v>
      </c>
      <c r="M1683" s="86">
        <v>1754396.9987645398</v>
      </c>
      <c r="N1683" s="86" t="s">
        <v>1731</v>
      </c>
      <c r="O1683" s="25">
        <f t="shared" si="50"/>
        <v>-3.3066332916145136E-2</v>
      </c>
    </row>
    <row r="1684" spans="1:15">
      <c r="A1684" s="86">
        <v>301.62147665261494</v>
      </c>
      <c r="B1684" s="86">
        <v>302.47475880047324</v>
      </c>
      <c r="C1684" s="86">
        <v>297.98814621657317</v>
      </c>
      <c r="D1684" s="86">
        <v>299.05245513218136</v>
      </c>
      <c r="E1684" s="86">
        <v>5747171.4746509306</v>
      </c>
      <c r="F1684" s="86" t="s">
        <v>1732</v>
      </c>
      <c r="G1684" s="25">
        <f t="shared" si="49"/>
        <v>8.5905381358533095E-3</v>
      </c>
      <c r="I1684" s="86">
        <v>340.52559785539182</v>
      </c>
      <c r="J1684" s="86">
        <v>341.23561430028838</v>
      </c>
      <c r="K1684" s="86">
        <v>328.58363451713154</v>
      </c>
      <c r="L1684" s="86">
        <v>329.47329367700189</v>
      </c>
      <c r="M1684" s="86">
        <v>1420009.4339320271</v>
      </c>
      <c r="N1684" s="86" t="s">
        <v>1732</v>
      </c>
      <c r="O1684" s="25">
        <f t="shared" si="50"/>
        <v>3.3545371933013213E-2</v>
      </c>
    </row>
    <row r="1685" spans="1:15">
      <c r="A1685" s="86">
        <v>297.29084037531265</v>
      </c>
      <c r="B1685" s="86">
        <v>297.36424099018222</v>
      </c>
      <c r="C1685" s="86">
        <v>294.46491670283575</v>
      </c>
      <c r="D1685" s="86">
        <v>295.26314838954193</v>
      </c>
      <c r="E1685" s="86">
        <v>3281479.8680928717</v>
      </c>
      <c r="F1685" s="86" t="s">
        <v>1733</v>
      </c>
      <c r="G1685" s="25">
        <f t="shared" si="49"/>
        <v>6.8674062334916908E-3</v>
      </c>
      <c r="I1685" s="86">
        <v>330.89332656679505</v>
      </c>
      <c r="J1685" s="86">
        <v>332.92500012899905</v>
      </c>
      <c r="K1685" s="86">
        <v>329.3449774520206</v>
      </c>
      <c r="L1685" s="86">
        <v>331.75732248166918</v>
      </c>
      <c r="M1685" s="86">
        <v>1062494.6301207154</v>
      </c>
      <c r="N1685" s="86" t="s">
        <v>1733</v>
      </c>
      <c r="O1685" s="25">
        <f t="shared" si="50"/>
        <v>-2.6043009643649251E-3</v>
      </c>
    </row>
    <row r="1686" spans="1:15">
      <c r="A1686" s="86">
        <v>294.53831731770526</v>
      </c>
      <c r="B1686" s="86">
        <v>296.19900622912837</v>
      </c>
      <c r="C1686" s="86">
        <v>294.33646562681412</v>
      </c>
      <c r="D1686" s="86">
        <v>295.41912469613965</v>
      </c>
      <c r="E1686" s="86">
        <v>5523637.6523639569</v>
      </c>
      <c r="F1686" s="86" t="s">
        <v>1734</v>
      </c>
      <c r="G1686" s="25">
        <f t="shared" si="49"/>
        <v>-2.9815516491707994E-3</v>
      </c>
      <c r="I1686" s="86">
        <v>333.84459974136507</v>
      </c>
      <c r="J1686" s="86">
        <v>337.89939245077437</v>
      </c>
      <c r="K1686" s="86">
        <v>332.31335945658822</v>
      </c>
      <c r="L1686" s="86">
        <v>335.47849300612711</v>
      </c>
      <c r="M1686" s="86">
        <v>1205036.230005411</v>
      </c>
      <c r="N1686" s="86" t="s">
        <v>1734</v>
      </c>
      <c r="O1686" s="25">
        <f t="shared" si="50"/>
        <v>-4.8703368437159611E-3</v>
      </c>
    </row>
    <row r="1687" spans="1:15">
      <c r="A1687" s="86">
        <v>295.57510100273737</v>
      </c>
      <c r="B1687" s="86">
        <v>295.69437700190036</v>
      </c>
      <c r="C1687" s="86">
        <v>293.55658409382534</v>
      </c>
      <c r="D1687" s="86">
        <v>294.64841824000956</v>
      </c>
      <c r="E1687" s="86">
        <v>3856910.4700718415</v>
      </c>
      <c r="F1687" s="86" t="s">
        <v>1735</v>
      </c>
      <c r="G1687" s="25">
        <f t="shared" si="49"/>
        <v>3.1450457744286453E-3</v>
      </c>
      <c r="I1687" s="86">
        <v>336.35104333600009</v>
      </c>
      <c r="J1687" s="86">
        <v>336.69964650536173</v>
      </c>
      <c r="K1687" s="86">
        <v>333.06907203420542</v>
      </c>
      <c r="L1687" s="86">
        <v>336.28302320539296</v>
      </c>
      <c r="M1687" s="86">
        <v>856524.08309079579</v>
      </c>
      <c r="N1687" s="86" t="s">
        <v>1735</v>
      </c>
      <c r="O1687" s="25">
        <f t="shared" si="50"/>
        <v>2.0227048620768961E-4</v>
      </c>
    </row>
    <row r="1688" spans="1:15">
      <c r="A1688" s="86">
        <v>293.66668501612963</v>
      </c>
      <c r="B1688" s="86">
        <v>294.98156528074867</v>
      </c>
      <c r="C1688" s="86">
        <v>292.19821396489607</v>
      </c>
      <c r="D1688" s="86">
        <v>293.80431116901002</v>
      </c>
      <c r="E1688" s="86">
        <v>2502351.7899200516</v>
      </c>
      <c r="F1688" s="86" t="s">
        <v>1736</v>
      </c>
      <c r="G1688" s="25">
        <f t="shared" si="49"/>
        <v>-4.6842795578050378E-4</v>
      </c>
      <c r="I1688" s="86">
        <v>335.8663999054242</v>
      </c>
      <c r="J1688" s="86">
        <v>340.172924424489</v>
      </c>
      <c r="K1688" s="86">
        <v>335.74736467686171</v>
      </c>
      <c r="L1688" s="86">
        <v>337.4138578767367</v>
      </c>
      <c r="M1688" s="86">
        <v>823826.70394512243</v>
      </c>
      <c r="N1688" s="86" t="s">
        <v>1736</v>
      </c>
      <c r="O1688" s="25">
        <f t="shared" si="50"/>
        <v>-4.5862312266907734E-3</v>
      </c>
    </row>
    <row r="1689" spans="1:15">
      <c r="A1689" s="86">
        <v>293.07948009717342</v>
      </c>
      <c r="B1689" s="86">
        <v>293.26298163434723</v>
      </c>
      <c r="C1689" s="86">
        <v>290.16180565610961</v>
      </c>
      <c r="D1689" s="86">
        <v>290.62055949904413</v>
      </c>
      <c r="E1689" s="86">
        <v>2840284.6538897911</v>
      </c>
      <c r="F1689" s="86" t="s">
        <v>1737</v>
      </c>
      <c r="G1689" s="25">
        <f t="shared" si="49"/>
        <v>8.4609313338597225E-3</v>
      </c>
      <c r="I1689" s="86">
        <v>336.22350559111169</v>
      </c>
      <c r="J1689" s="86">
        <v>338.11106421545998</v>
      </c>
      <c r="K1689" s="86">
        <v>332.07427762407593</v>
      </c>
      <c r="L1689" s="86">
        <v>334.14889160759384</v>
      </c>
      <c r="M1689" s="86">
        <v>1068835.3484632161</v>
      </c>
      <c r="N1689" s="86" t="s">
        <v>1737</v>
      </c>
      <c r="O1689" s="25">
        <f t="shared" si="50"/>
        <v>6.2086513994910053E-3</v>
      </c>
    </row>
    <row r="1690" spans="1:15">
      <c r="A1690" s="86">
        <v>290.11593027181613</v>
      </c>
      <c r="B1690" s="86">
        <v>290.17098073296825</v>
      </c>
      <c r="C1690" s="86">
        <v>288.55616720583862</v>
      </c>
      <c r="D1690" s="86">
        <v>289.6480013520229</v>
      </c>
      <c r="E1690" s="86">
        <v>3150745.2684296812</v>
      </c>
      <c r="F1690" s="86" t="s">
        <v>1738</v>
      </c>
      <c r="G1690" s="25">
        <f t="shared" si="49"/>
        <v>1.615508885298711E-3</v>
      </c>
      <c r="I1690" s="86">
        <v>335.71335461155809</v>
      </c>
      <c r="J1690" s="86">
        <v>342.1200006631185</v>
      </c>
      <c r="K1690" s="86">
        <v>333.63874062804024</v>
      </c>
      <c r="L1690" s="86">
        <v>336.46157604823674</v>
      </c>
      <c r="M1690" s="86">
        <v>1161320.9103674344</v>
      </c>
      <c r="N1690" s="86" t="s">
        <v>1738</v>
      </c>
      <c r="O1690" s="25">
        <f t="shared" si="50"/>
        <v>-2.2237946022442001E-3</v>
      </c>
    </row>
    <row r="1691" spans="1:15">
      <c r="A1691" s="86">
        <v>289.10667181736011</v>
      </c>
      <c r="B1691" s="86">
        <v>289.17089735537098</v>
      </c>
      <c r="C1691" s="86">
        <v>287.51938352080651</v>
      </c>
      <c r="D1691" s="86">
        <v>288.42312859138764</v>
      </c>
      <c r="E1691" s="86">
        <v>2560802.5264380779</v>
      </c>
      <c r="F1691" s="86" t="s">
        <v>1739</v>
      </c>
      <c r="G1691" s="25">
        <f t="shared" si="49"/>
        <v>2.3699320831542803E-3</v>
      </c>
      <c r="I1691" s="86">
        <v>335.88340493807601</v>
      </c>
      <c r="J1691" s="86">
        <v>336.33403830334834</v>
      </c>
      <c r="K1691" s="86">
        <v>331.51311154656696</v>
      </c>
      <c r="L1691" s="86">
        <v>332.30384556487502</v>
      </c>
      <c r="M1691" s="86">
        <v>1183647.2420937147</v>
      </c>
      <c r="N1691" s="86" t="s">
        <v>1739</v>
      </c>
      <c r="O1691" s="25">
        <f t="shared" si="50"/>
        <v>1.0771946882276229E-2</v>
      </c>
    </row>
    <row r="1692" spans="1:15">
      <c r="A1692" s="86">
        <v>286.198172453155</v>
      </c>
      <c r="B1692" s="86">
        <v>286.35414875975277</v>
      </c>
      <c r="C1692" s="86">
        <v>284.58335892602537</v>
      </c>
      <c r="D1692" s="86">
        <v>284.86796981018193</v>
      </c>
      <c r="E1692" s="86">
        <v>2524472.5855412614</v>
      </c>
      <c r="F1692" s="86" t="s">
        <v>1740</v>
      </c>
      <c r="G1692" s="25">
        <f t="shared" si="49"/>
        <v>4.6695409240267161E-3</v>
      </c>
      <c r="I1692" s="86">
        <v>331.2325285078125</v>
      </c>
      <c r="J1692" s="86">
        <v>332.26983549957151</v>
      </c>
      <c r="K1692" s="86">
        <v>328.92800648284248</v>
      </c>
      <c r="L1692" s="86">
        <v>329.65106047119644</v>
      </c>
      <c r="M1692" s="86">
        <v>1171740.1788056747</v>
      </c>
      <c r="N1692" s="86" t="s">
        <v>1740</v>
      </c>
      <c r="O1692" s="25">
        <f t="shared" si="50"/>
        <v>4.7974001186452675E-3</v>
      </c>
    </row>
    <row r="1693" spans="1:15">
      <c r="A1693" s="86">
        <v>285.17973892184028</v>
      </c>
      <c r="B1693" s="86">
        <v>285.59261738048133</v>
      </c>
      <c r="C1693" s="86">
        <v>282.6107174014067</v>
      </c>
      <c r="D1693" s="86">
        <v>282.69329309313497</v>
      </c>
      <c r="E1693" s="86">
        <v>2625884.2700786623</v>
      </c>
      <c r="F1693" s="86" t="s">
        <v>1741</v>
      </c>
      <c r="G1693" s="25">
        <f t="shared" si="49"/>
        <v>8.7955600272628942E-3</v>
      </c>
      <c r="I1693" s="86">
        <v>329.7956032487366</v>
      </c>
      <c r="J1693" s="86">
        <v>330.91793540375448</v>
      </c>
      <c r="K1693" s="86">
        <v>326.13697047370488</v>
      </c>
      <c r="L1693" s="86">
        <v>330.13570390177233</v>
      </c>
      <c r="M1693" s="86">
        <v>1415692.6653987723</v>
      </c>
      <c r="N1693" s="86" t="s">
        <v>1741</v>
      </c>
      <c r="O1693" s="25">
        <f t="shared" si="50"/>
        <v>-1.0301844030081719E-3</v>
      </c>
    </row>
    <row r="1694" spans="1:15">
      <c r="A1694" s="86">
        <v>284.28058138968851</v>
      </c>
      <c r="B1694" s="86">
        <v>286.51930014320914</v>
      </c>
      <c r="C1694" s="86">
        <v>283.79430231617789</v>
      </c>
      <c r="D1694" s="86">
        <v>285.84951953252471</v>
      </c>
      <c r="E1694" s="86">
        <v>2722917.7896569381</v>
      </c>
      <c r="F1694" s="86" t="s">
        <v>1742</v>
      </c>
      <c r="G1694" s="25">
        <f t="shared" ref="G1694:G1726" si="51">A1694/D1694-1</f>
        <v>-5.4886856042368759E-3</v>
      </c>
      <c r="I1694" s="86">
        <v>331.64064929145542</v>
      </c>
      <c r="J1694" s="86">
        <v>333.27313242602685</v>
      </c>
      <c r="K1694" s="86">
        <v>330.61184481602231</v>
      </c>
      <c r="L1694" s="86">
        <v>331.66615684043308</v>
      </c>
      <c r="M1694" s="86">
        <v>843894.88064245798</v>
      </c>
      <c r="N1694" s="86" t="s">
        <v>1742</v>
      </c>
      <c r="O1694" s="25">
        <f t="shared" ref="O1694:O1726" si="52">I1694/L1694-1</f>
        <v>-7.6907301066353462E-5</v>
      </c>
    </row>
    <row r="1695" spans="1:15">
      <c r="A1695" s="86">
        <v>285.49169153503578</v>
      </c>
      <c r="B1695" s="86">
        <v>285.84951953252471</v>
      </c>
      <c r="C1695" s="86">
        <v>283.7667770856018</v>
      </c>
      <c r="D1695" s="86">
        <v>285.28066476728588</v>
      </c>
      <c r="E1695" s="86">
        <v>2633023.1748539344</v>
      </c>
      <c r="F1695" s="86" t="s">
        <v>1743</v>
      </c>
      <c r="G1695" s="25">
        <f t="shared" si="51"/>
        <v>7.3971633486635824E-4</v>
      </c>
      <c r="I1695" s="86">
        <v>331.81920213429913</v>
      </c>
      <c r="J1695" s="86">
        <v>333.22211732807153</v>
      </c>
      <c r="K1695" s="86">
        <v>330.18960985527849</v>
      </c>
      <c r="L1695" s="86">
        <v>330.89242785477683</v>
      </c>
      <c r="M1695" s="86">
        <v>948105.20686102507</v>
      </c>
      <c r="N1695" s="86" t="s">
        <v>1743</v>
      </c>
      <c r="O1695" s="25">
        <f t="shared" si="52"/>
        <v>2.8008325410489032E-3</v>
      </c>
    </row>
    <row r="1696" spans="1:15">
      <c r="A1696" s="86">
        <v>284.89531153922081</v>
      </c>
      <c r="B1696" s="86">
        <v>285.22561430613371</v>
      </c>
      <c r="C1696" s="86">
        <v>284.5099583111558</v>
      </c>
      <c r="D1696" s="86">
        <v>284.83108600121</v>
      </c>
      <c r="E1696" s="86">
        <v>2379663.9893340878</v>
      </c>
      <c r="F1696" s="86" t="s">
        <v>1744</v>
      </c>
      <c r="G1696" s="25">
        <f t="shared" si="51"/>
        <v>2.2548640639086237E-4</v>
      </c>
      <c r="I1696" s="86">
        <v>330.71387501193306</v>
      </c>
      <c r="J1696" s="86">
        <v>336.01094268296436</v>
      </c>
      <c r="K1696" s="86">
        <v>329.66806550384825</v>
      </c>
      <c r="L1696" s="86">
        <v>334.98213820753136</v>
      </c>
      <c r="M1696" s="86">
        <v>1016657.8538256617</v>
      </c>
      <c r="N1696" s="86" t="s">
        <v>1744</v>
      </c>
      <c r="O1696" s="25">
        <f t="shared" si="52"/>
        <v>-1.2741763541296636E-2</v>
      </c>
    </row>
    <row r="1697" spans="1:15">
      <c r="A1697" s="86">
        <v>283.9778038533517</v>
      </c>
      <c r="B1697" s="86">
        <v>284.44573277314493</v>
      </c>
      <c r="C1697" s="86">
        <v>282.90431986088481</v>
      </c>
      <c r="D1697" s="86">
        <v>283.64750108643881</v>
      </c>
      <c r="E1697" s="86">
        <v>2286663.133521996</v>
      </c>
      <c r="F1697" s="86" t="s">
        <v>1745</v>
      </c>
      <c r="G1697" s="25">
        <f t="shared" si="51"/>
        <v>1.1644832605530731E-3</v>
      </c>
      <c r="I1697" s="86">
        <v>332.80549402810277</v>
      </c>
      <c r="J1697" s="86">
        <v>335.16919356670098</v>
      </c>
      <c r="K1697" s="86">
        <v>329.91463847729909</v>
      </c>
      <c r="L1697" s="86">
        <v>330.4417944895045</v>
      </c>
      <c r="M1697" s="86">
        <v>762838.87632745074</v>
      </c>
      <c r="N1697" s="86" t="s">
        <v>1745</v>
      </c>
      <c r="O1697" s="25">
        <f t="shared" si="52"/>
        <v>7.1531494442158561E-3</v>
      </c>
    </row>
    <row r="1698" spans="1:15">
      <c r="A1698" s="86">
        <v>283.9778038533517</v>
      </c>
      <c r="B1698" s="86">
        <v>285.1430386144055</v>
      </c>
      <c r="C1698" s="86">
        <v>283.10617155177607</v>
      </c>
      <c r="D1698" s="86">
        <v>283.78512723931919</v>
      </c>
      <c r="E1698" s="86">
        <v>4440501.2216771413</v>
      </c>
      <c r="F1698" s="86" t="s">
        <v>1746</v>
      </c>
      <c r="G1698" s="25">
        <f t="shared" si="51"/>
        <v>6.7895247332683262E-4</v>
      </c>
      <c r="I1698" s="86">
        <v>330.95194546905805</v>
      </c>
      <c r="J1698" s="86">
        <v>335.04165582181258</v>
      </c>
      <c r="K1698" s="86">
        <v>329.04738181205806</v>
      </c>
      <c r="L1698" s="86">
        <v>331.89572478123222</v>
      </c>
      <c r="M1698" s="86">
        <v>1239217.8498867408</v>
      </c>
      <c r="N1698" s="86" t="s">
        <v>1746</v>
      </c>
      <c r="O1698" s="25">
        <f t="shared" si="52"/>
        <v>-2.8436018957347375E-3</v>
      </c>
    </row>
    <row r="1699" spans="1:15">
      <c r="A1699" s="86">
        <v>284.46408292686237</v>
      </c>
      <c r="B1699" s="86">
        <v>285.17056384498159</v>
      </c>
      <c r="C1699" s="86">
        <v>282.77586878486318</v>
      </c>
      <c r="D1699" s="86">
        <v>282.8217441691566</v>
      </c>
      <c r="E1699" s="86">
        <v>3219222.0789977424</v>
      </c>
      <c r="F1699" s="86" t="s">
        <v>1747</v>
      </c>
      <c r="G1699" s="25">
        <f t="shared" si="51"/>
        <v>5.8069748580698022E-3</v>
      </c>
      <c r="I1699" s="86">
        <v>333.6727506933438</v>
      </c>
      <c r="J1699" s="86">
        <v>337.14177735430815</v>
      </c>
      <c r="K1699" s="86">
        <v>332.69496131586612</v>
      </c>
      <c r="L1699" s="86">
        <v>335.01614827283487</v>
      </c>
      <c r="M1699" s="86">
        <v>1033601.0732772128</v>
      </c>
      <c r="N1699" s="86" t="s">
        <v>1747</v>
      </c>
      <c r="O1699" s="25">
        <f t="shared" si="52"/>
        <v>-4.0099487335667483E-3</v>
      </c>
    </row>
    <row r="1700" spans="1:15">
      <c r="A1700" s="86">
        <v>280.61972572307076</v>
      </c>
      <c r="B1700" s="86">
        <v>284.53344650791405</v>
      </c>
      <c r="C1700" s="86">
        <v>279.90406972809279</v>
      </c>
      <c r="D1700" s="86">
        <v>283.9869789302104</v>
      </c>
      <c r="E1700" s="86">
        <v>3892316.1680298136</v>
      </c>
      <c r="F1700" s="86" t="s">
        <v>1748</v>
      </c>
      <c r="G1700" s="25">
        <f t="shared" si="51"/>
        <v>-1.185706901007999E-2</v>
      </c>
      <c r="I1700" s="86">
        <v>333.26462990970094</v>
      </c>
      <c r="J1700" s="86">
        <v>339.66702470309838</v>
      </c>
      <c r="K1700" s="86">
        <v>332.72897138116969</v>
      </c>
      <c r="L1700" s="86">
        <v>332.88201667503574</v>
      </c>
      <c r="M1700" s="86">
        <v>1544138.1700165246</v>
      </c>
      <c r="N1700" s="86" t="s">
        <v>1748</v>
      </c>
      <c r="O1700" s="25">
        <f t="shared" si="52"/>
        <v>1.149395928584207E-3</v>
      </c>
    </row>
    <row r="1701" spans="1:15">
      <c r="A1701" s="86">
        <v>282.90431986088481</v>
      </c>
      <c r="B1701" s="86">
        <v>283.05112109062389</v>
      </c>
      <c r="C1701" s="86">
        <v>280.68395126108157</v>
      </c>
      <c r="D1701" s="86">
        <v>282.48226632538507</v>
      </c>
      <c r="E1701" s="86">
        <v>2308595.3748644087</v>
      </c>
      <c r="F1701" s="86" t="s">
        <v>1749</v>
      </c>
      <c r="G1701" s="25">
        <f t="shared" si="51"/>
        <v>1.494088605950239E-3</v>
      </c>
      <c r="I1701" s="86">
        <v>330.96895050170986</v>
      </c>
      <c r="J1701" s="86">
        <v>332.54191602200007</v>
      </c>
      <c r="K1701" s="86">
        <v>328.16312011416517</v>
      </c>
      <c r="L1701" s="86">
        <v>328.21413521212054</v>
      </c>
      <c r="M1701" s="86">
        <v>1006773.7210843848</v>
      </c>
      <c r="N1701" s="86" t="s">
        <v>1749</v>
      </c>
      <c r="O1701" s="25">
        <f t="shared" si="52"/>
        <v>8.3933474949484665E-3</v>
      </c>
    </row>
    <row r="1702" spans="1:15">
      <c r="A1702" s="86">
        <v>282.00516232873309</v>
      </c>
      <c r="B1702" s="86">
        <v>282.22536417334169</v>
      </c>
      <c r="C1702" s="86">
        <v>280.13491466185747</v>
      </c>
      <c r="D1702" s="86">
        <v>280.96837864370099</v>
      </c>
      <c r="E1702" s="86">
        <v>3618081.9530197703</v>
      </c>
      <c r="F1702" s="86" t="s">
        <v>1750</v>
      </c>
      <c r="G1702" s="25">
        <f t="shared" si="51"/>
        <v>3.6900369003689537E-3</v>
      </c>
      <c r="I1702" s="86">
        <v>327.87403455908481</v>
      </c>
      <c r="J1702" s="86">
        <v>328.7582962569777</v>
      </c>
      <c r="K1702" s="86">
        <v>322.04130835952225</v>
      </c>
      <c r="L1702" s="86">
        <v>323.10412290025886</v>
      </c>
      <c r="M1702" s="86">
        <v>1087783.8566253665</v>
      </c>
      <c r="N1702" s="86" t="s">
        <v>1750</v>
      </c>
      <c r="O1702" s="25">
        <f t="shared" si="52"/>
        <v>1.4762769400805231E-2</v>
      </c>
    </row>
    <row r="1703" spans="1:15">
      <c r="A1703" s="86">
        <v>281.85836109899401</v>
      </c>
      <c r="B1703" s="86">
        <v>281.94093679072228</v>
      </c>
      <c r="C1703" s="86">
        <v>279.15171342568016</v>
      </c>
      <c r="D1703" s="86">
        <v>279.45449096201691</v>
      </c>
      <c r="E1703" s="86">
        <v>4455720.7127125468</v>
      </c>
      <c r="F1703" s="86" t="s">
        <v>1751</v>
      </c>
      <c r="G1703" s="25">
        <f t="shared" si="51"/>
        <v>8.6020093243155404E-3</v>
      </c>
      <c r="I1703" s="86">
        <v>322.87455495945977</v>
      </c>
      <c r="J1703" s="86">
        <v>325.8079230918928</v>
      </c>
      <c r="K1703" s="86">
        <v>321.47163976568737</v>
      </c>
      <c r="L1703" s="86">
        <v>324.60906828994189</v>
      </c>
      <c r="M1703" s="86">
        <v>821563.84442653402</v>
      </c>
      <c r="N1703" s="86" t="s">
        <v>1751</v>
      </c>
      <c r="O1703" s="25">
        <f t="shared" si="52"/>
        <v>-5.3433914820052442E-3</v>
      </c>
    </row>
    <row r="1704" spans="1:15">
      <c r="A1704" s="86">
        <v>279.97747034296231</v>
      </c>
      <c r="B1704" s="86">
        <v>280.2068472644296</v>
      </c>
      <c r="C1704" s="86">
        <v>279.20676388683228</v>
      </c>
      <c r="D1704" s="86">
        <v>279.48201619259305</v>
      </c>
      <c r="E1704" s="86">
        <v>2856372.8024986144</v>
      </c>
      <c r="F1704" s="86" t="s">
        <v>1752</v>
      </c>
      <c r="G1704" s="25">
        <f t="shared" si="51"/>
        <v>1.7727586093692072E-3</v>
      </c>
      <c r="I1704" s="86">
        <v>326.07150109799551</v>
      </c>
      <c r="J1704" s="86">
        <v>327.23634583464286</v>
      </c>
      <c r="K1704" s="86">
        <v>321.62468505955349</v>
      </c>
      <c r="L1704" s="86">
        <v>323.09562038393295</v>
      </c>
      <c r="M1704" s="86">
        <v>1198084.1446876191</v>
      </c>
      <c r="N1704" s="86" t="s">
        <v>1752</v>
      </c>
      <c r="O1704" s="25">
        <f t="shared" si="52"/>
        <v>9.2105263157895578E-3</v>
      </c>
    </row>
    <row r="1705" spans="1:15">
      <c r="A1705" s="86">
        <v>278.24338081666968</v>
      </c>
      <c r="B1705" s="86">
        <v>278.24338081666968</v>
      </c>
      <c r="C1705" s="86">
        <v>276.37166513749673</v>
      </c>
      <c r="D1705" s="86">
        <v>276.37166513749673</v>
      </c>
      <c r="E1705" s="86">
        <v>2320650.8597070477</v>
      </c>
      <c r="F1705" s="86" t="s">
        <v>1753</v>
      </c>
      <c r="G1705" s="25">
        <f t="shared" si="51"/>
        <v>6.772458668082848E-3</v>
      </c>
      <c r="I1705" s="86">
        <v>321.38661460242849</v>
      </c>
      <c r="J1705" s="86">
        <v>323.81187235922619</v>
      </c>
      <c r="K1705" s="86">
        <v>319.94118682702668</v>
      </c>
      <c r="L1705" s="86">
        <v>322.3133888819508</v>
      </c>
      <c r="M1705" s="86">
        <v>1059371.0914226337</v>
      </c>
      <c r="N1705" s="86" t="s">
        <v>1753</v>
      </c>
      <c r="O1705" s="25">
        <f t="shared" si="52"/>
        <v>-2.8753825050120696E-3</v>
      </c>
    </row>
    <row r="1706" spans="1:15">
      <c r="A1706" s="86">
        <v>277.07814605561595</v>
      </c>
      <c r="B1706" s="86">
        <v>277.84169595179623</v>
      </c>
      <c r="C1706" s="86">
        <v>276.28908944576847</v>
      </c>
      <c r="D1706" s="86">
        <v>276.76619344242039</v>
      </c>
      <c r="E1706" s="86">
        <v>4107890.3839696399</v>
      </c>
      <c r="F1706" s="86" t="s">
        <v>1754</v>
      </c>
      <c r="G1706" s="25">
        <f t="shared" si="51"/>
        <v>1.127134095806559E-3</v>
      </c>
      <c r="I1706" s="86">
        <v>320.629890649424</v>
      </c>
      <c r="J1706" s="86">
        <v>321.74372028811598</v>
      </c>
      <c r="K1706" s="86">
        <v>315.81746640896858</v>
      </c>
      <c r="L1706" s="86">
        <v>320.40882522495076</v>
      </c>
      <c r="M1706" s="86">
        <v>1085990.2699487307</v>
      </c>
      <c r="N1706" s="86" t="s">
        <v>1754</v>
      </c>
      <c r="O1706" s="25">
        <f t="shared" si="52"/>
        <v>6.8994798853627692E-4</v>
      </c>
    </row>
    <row r="1707" spans="1:15">
      <c r="A1707" s="86">
        <v>275.34405652932332</v>
      </c>
      <c r="B1707" s="86">
        <v>275.34405652932332</v>
      </c>
      <c r="C1707" s="86">
        <v>270.88496917599934</v>
      </c>
      <c r="D1707" s="86">
        <v>274.74767653350835</v>
      </c>
      <c r="E1707" s="86">
        <v>4861695.5135090742</v>
      </c>
      <c r="F1707" s="86" t="s">
        <v>1755</v>
      </c>
      <c r="G1707" s="25">
        <f t="shared" si="51"/>
        <v>2.1706461846719982E-3</v>
      </c>
      <c r="I1707" s="86">
        <v>322.21986120236602</v>
      </c>
      <c r="J1707" s="86">
        <v>324.26046512058031</v>
      </c>
      <c r="K1707" s="86">
        <v>317.71777880780564</v>
      </c>
      <c r="L1707" s="86">
        <v>323.56325878185709</v>
      </c>
      <c r="M1707" s="86">
        <v>1295975.1651923738</v>
      </c>
      <c r="N1707" s="86" t="s">
        <v>1755</v>
      </c>
      <c r="O1707" s="25">
        <f t="shared" si="52"/>
        <v>-4.1518854289842588E-3</v>
      </c>
    </row>
    <row r="1708" spans="1:15">
      <c r="A1708" s="86">
        <v>273.05946239150916</v>
      </c>
      <c r="B1708" s="86">
        <v>273.47234085015026</v>
      </c>
      <c r="C1708" s="86">
        <v>269.44448210918483</v>
      </c>
      <c r="D1708" s="86">
        <v>271.34372301893393</v>
      </c>
      <c r="E1708" s="86">
        <v>3217128.3635667046</v>
      </c>
      <c r="F1708" s="86" t="s">
        <v>1756</v>
      </c>
      <c r="G1708" s="25">
        <f t="shared" si="51"/>
        <v>6.3231216609183072E-3</v>
      </c>
      <c r="I1708" s="86">
        <v>324.55805319198657</v>
      </c>
      <c r="J1708" s="86">
        <v>328.06449092478482</v>
      </c>
      <c r="K1708" s="86">
        <v>323.82683678795979</v>
      </c>
      <c r="L1708" s="86">
        <v>325.39980230824995</v>
      </c>
      <c r="M1708" s="86">
        <v>1156567.0235825414</v>
      </c>
      <c r="N1708" s="86" t="s">
        <v>1756</v>
      </c>
      <c r="O1708" s="25">
        <f t="shared" si="52"/>
        <v>-2.5868150819157165E-3</v>
      </c>
    </row>
    <row r="1709" spans="1:15">
      <c r="A1709" s="86">
        <v>274.05954576910648</v>
      </c>
      <c r="B1709" s="86">
        <v>274.57335007319324</v>
      </c>
      <c r="C1709" s="86">
        <v>271.49052424867295</v>
      </c>
      <c r="D1709" s="86">
        <v>271.58227501725986</v>
      </c>
      <c r="E1709" s="86">
        <v>2584007.7816396533</v>
      </c>
      <c r="F1709" s="86" t="s">
        <v>1757</v>
      </c>
      <c r="G1709" s="25">
        <f t="shared" si="51"/>
        <v>9.1216216216216672E-3</v>
      </c>
      <c r="I1709" s="86">
        <v>329.30245730183486</v>
      </c>
      <c r="J1709" s="86">
        <v>331.99784000230613</v>
      </c>
      <c r="K1709" s="86">
        <v>327.03228544282138</v>
      </c>
      <c r="L1709" s="86">
        <v>331.22402599148666</v>
      </c>
      <c r="M1709" s="86">
        <v>1422672.9519075158</v>
      </c>
      <c r="N1709" s="86" t="s">
        <v>1757</v>
      </c>
      <c r="O1709" s="25">
        <f t="shared" si="52"/>
        <v>-5.8014169832630857E-3</v>
      </c>
    </row>
    <row r="1710" spans="1:15">
      <c r="A1710" s="86">
        <v>270.78404333055374</v>
      </c>
      <c r="B1710" s="86">
        <v>272.80256023946578</v>
      </c>
      <c r="C1710" s="86">
        <v>270.47209071735824</v>
      </c>
      <c r="D1710" s="86">
        <v>271.74742640071634</v>
      </c>
      <c r="E1710" s="86">
        <v>3417476.54901637</v>
      </c>
      <c r="F1710" s="86" t="s">
        <v>1758</v>
      </c>
      <c r="G1710" s="25">
        <f t="shared" si="51"/>
        <v>-3.5451414680262028E-3</v>
      </c>
      <c r="I1710" s="86">
        <v>328.7582962569777</v>
      </c>
      <c r="J1710" s="86">
        <v>331.77668955266967</v>
      </c>
      <c r="K1710" s="86">
        <v>324.79612364911156</v>
      </c>
      <c r="L1710" s="86">
        <v>324.79612364911156</v>
      </c>
      <c r="M1710" s="86">
        <v>1331841.0181130352</v>
      </c>
      <c r="N1710" s="86" t="s">
        <v>1758</v>
      </c>
      <c r="O1710" s="25">
        <f t="shared" si="52"/>
        <v>1.2198952879581171E-2</v>
      </c>
    </row>
    <row r="1711" spans="1:15">
      <c r="A1711" s="86">
        <v>272.47225747255294</v>
      </c>
      <c r="B1711" s="86">
        <v>272.60988362543333</v>
      </c>
      <c r="C1711" s="86">
        <v>270.42621533306482</v>
      </c>
      <c r="D1711" s="86">
        <v>271.10517102060794</v>
      </c>
      <c r="E1711" s="86">
        <v>2455926.0207891366</v>
      </c>
      <c r="F1711" s="86" t="s">
        <v>1759</v>
      </c>
      <c r="G1711" s="25">
        <f t="shared" si="51"/>
        <v>5.0426424800324998E-3</v>
      </c>
      <c r="I1711" s="86">
        <v>324.87264629604459</v>
      </c>
      <c r="J1711" s="86">
        <v>328.18862766314288</v>
      </c>
      <c r="K1711" s="86">
        <v>323.18914806351779</v>
      </c>
      <c r="L1711" s="86">
        <v>327.11731060608037</v>
      </c>
      <c r="M1711" s="86">
        <v>1231633.0364587903</v>
      </c>
      <c r="N1711" s="86" t="s">
        <v>1759</v>
      </c>
      <c r="O1711" s="25">
        <f t="shared" si="52"/>
        <v>-6.8619551373692023E-3</v>
      </c>
    </row>
    <row r="1712" spans="1:15">
      <c r="A1712" s="86">
        <v>270.49961594793433</v>
      </c>
      <c r="B1712" s="86">
        <v>271.40794855694475</v>
      </c>
      <c r="C1712" s="86">
        <v>269.10500426541324</v>
      </c>
      <c r="D1712" s="86">
        <v>270.53631625536912</v>
      </c>
      <c r="E1712" s="86">
        <v>3107299.3108492387</v>
      </c>
      <c r="F1712" s="86" t="s">
        <v>1760</v>
      </c>
      <c r="G1712" s="25">
        <f t="shared" si="51"/>
        <v>-1.35657600217165E-4</v>
      </c>
      <c r="I1712" s="86">
        <v>328.3756830223125</v>
      </c>
      <c r="J1712" s="86">
        <v>334.5655149075626</v>
      </c>
      <c r="K1712" s="86">
        <v>326.16502877758035</v>
      </c>
      <c r="L1712" s="86">
        <v>329.89763344464734</v>
      </c>
      <c r="M1712" s="86">
        <v>1535832.3935506872</v>
      </c>
      <c r="N1712" s="86" t="s">
        <v>1760</v>
      </c>
      <c r="O1712" s="25">
        <f t="shared" si="52"/>
        <v>-4.6134020618556759E-3</v>
      </c>
    </row>
    <row r="1713" spans="1:15">
      <c r="A1713" s="86">
        <v>272.26123070480304</v>
      </c>
      <c r="B1713" s="86">
        <v>275.82116052597524</v>
      </c>
      <c r="C1713" s="86">
        <v>271.01342025202104</v>
      </c>
      <c r="D1713" s="86">
        <v>275.18808022272555</v>
      </c>
      <c r="E1713" s="86">
        <v>3800630.8325327989</v>
      </c>
      <c r="F1713" s="86" t="s">
        <v>1761</v>
      </c>
      <c r="G1713" s="25">
        <f t="shared" si="51"/>
        <v>-1.0635815023505524E-2</v>
      </c>
      <c r="I1713" s="86">
        <v>329.57453782426342</v>
      </c>
      <c r="J1713" s="86">
        <v>335.12668098507152</v>
      </c>
      <c r="K1713" s="86">
        <v>327.95055720601783</v>
      </c>
      <c r="L1713" s="86">
        <v>334.80358536468759</v>
      </c>
      <c r="M1713" s="86">
        <v>1696936.465274553</v>
      </c>
      <c r="N1713" s="86" t="s">
        <v>1761</v>
      </c>
      <c r="O1713" s="25">
        <f t="shared" si="52"/>
        <v>-1.5618254310892143E-2</v>
      </c>
    </row>
    <row r="1714" spans="1:15">
      <c r="A1714" s="86">
        <v>275.55508329707317</v>
      </c>
      <c r="B1714" s="86">
        <v>275.76611006482307</v>
      </c>
      <c r="C1714" s="86">
        <v>273.51821623444374</v>
      </c>
      <c r="D1714" s="86">
        <v>273.61914207988934</v>
      </c>
      <c r="E1714" s="86">
        <v>4491667.0055970121</v>
      </c>
      <c r="F1714" s="86" t="s">
        <v>1762</v>
      </c>
      <c r="G1714" s="25">
        <f t="shared" si="51"/>
        <v>7.0753135269263634E-3</v>
      </c>
      <c r="I1714" s="86">
        <v>335.06716337079024</v>
      </c>
      <c r="J1714" s="86">
        <v>335.56881183401794</v>
      </c>
      <c r="K1714" s="86">
        <v>319.36803220149824</v>
      </c>
      <c r="L1714" s="86">
        <v>320.29829251271417</v>
      </c>
      <c r="M1714" s="86">
        <v>2682370.62133541</v>
      </c>
      <c r="N1714" s="86" t="s">
        <v>1762</v>
      </c>
      <c r="O1714" s="25">
        <f t="shared" si="52"/>
        <v>4.6109739587480991E-2</v>
      </c>
    </row>
    <row r="1715" spans="1:15">
      <c r="A1715" s="86">
        <v>273.99532023109566</v>
      </c>
      <c r="B1715" s="86">
        <v>275.57343345079056</v>
      </c>
      <c r="C1715" s="86">
        <v>273.10533777580264</v>
      </c>
      <c r="D1715" s="86">
        <v>275.12385468471473</v>
      </c>
      <c r="E1715" s="86">
        <v>3608553.9674403155</v>
      </c>
      <c r="F1715" s="86" t="s">
        <v>1763</v>
      </c>
      <c r="G1715" s="25">
        <f t="shared" si="51"/>
        <v>-4.1019142266393027E-3</v>
      </c>
      <c r="I1715" s="86">
        <v>318.9463924168972</v>
      </c>
      <c r="J1715" s="86">
        <v>322.16034358808469</v>
      </c>
      <c r="K1715" s="86">
        <v>315.08625000494175</v>
      </c>
      <c r="L1715" s="86">
        <v>321.37811208610259</v>
      </c>
      <c r="M1715" s="86">
        <v>2349998.4280126058</v>
      </c>
      <c r="N1715" s="86" t="s">
        <v>1763</v>
      </c>
      <c r="O1715" s="25">
        <f t="shared" si="52"/>
        <v>-7.5665379120588572E-3</v>
      </c>
    </row>
    <row r="1716" spans="1:15">
      <c r="A1716" s="86">
        <v>273.42646546585684</v>
      </c>
      <c r="B1716" s="86">
        <v>274.04119561538914</v>
      </c>
      <c r="C1716" s="86">
        <v>270.29776425704313</v>
      </c>
      <c r="D1716" s="86">
        <v>270.96754486772755</v>
      </c>
      <c r="E1716" s="86">
        <v>2768250.3799344795</v>
      </c>
      <c r="F1716" s="86" t="s">
        <v>1764</v>
      </c>
      <c r="G1716" s="25">
        <f t="shared" si="51"/>
        <v>9.0745945213830392E-3</v>
      </c>
      <c r="I1716" s="86">
        <v>310.79247926036578</v>
      </c>
      <c r="J1716" s="86">
        <v>313.74285242545068</v>
      </c>
      <c r="K1716" s="86">
        <v>308.15414844444126</v>
      </c>
      <c r="L1716" s="86">
        <v>313.74285242545068</v>
      </c>
      <c r="M1716" s="86">
        <v>1698906.4703128252</v>
      </c>
      <c r="N1716" s="86" t="s">
        <v>1764</v>
      </c>
      <c r="O1716" s="25">
        <f t="shared" si="52"/>
        <v>-9.4037940379404494E-3</v>
      </c>
    </row>
    <row r="1717" spans="1:15">
      <c r="A1717" s="86">
        <v>271.16939655861881</v>
      </c>
      <c r="B1717" s="86">
        <v>271.90340270731411</v>
      </c>
      <c r="C1717" s="86">
        <v>269.513295185625</v>
      </c>
      <c r="D1717" s="86">
        <v>271.32537286521654</v>
      </c>
      <c r="E1717" s="86">
        <v>2447884.6712575397</v>
      </c>
      <c r="F1717" s="86" t="s">
        <v>1765</v>
      </c>
      <c r="G1717" s="25">
        <f t="shared" si="51"/>
        <v>-5.7486811849039032E-4</v>
      </c>
      <c r="I1717" s="86">
        <v>313.31772660915601</v>
      </c>
      <c r="J1717" s="86">
        <v>313.74285242545068</v>
      </c>
      <c r="K1717" s="86">
        <v>308.5138048850265</v>
      </c>
      <c r="L1717" s="86">
        <v>311.44717301745959</v>
      </c>
      <c r="M1717" s="86">
        <v>1337518.1609904915</v>
      </c>
      <c r="N1717" s="86" t="s">
        <v>1765</v>
      </c>
      <c r="O1717" s="25">
        <f t="shared" si="52"/>
        <v>6.0060060060058706E-3</v>
      </c>
    </row>
    <row r="1718" spans="1:15">
      <c r="A1718" s="86">
        <v>270.45374056364085</v>
      </c>
      <c r="B1718" s="86">
        <v>270.76569317683641</v>
      </c>
      <c r="C1718" s="86">
        <v>268.96737811253286</v>
      </c>
      <c r="D1718" s="86">
        <v>269.56375810834783</v>
      </c>
      <c r="E1718" s="86">
        <v>3360047.0573494015</v>
      </c>
      <c r="F1718" s="86" t="s">
        <v>1766</v>
      </c>
      <c r="G1718" s="25">
        <f t="shared" si="51"/>
        <v>3.3015656909460844E-3</v>
      </c>
      <c r="I1718" s="86">
        <v>311.0900673317721</v>
      </c>
      <c r="J1718" s="86">
        <v>311.14108242972742</v>
      </c>
      <c r="K1718" s="86">
        <v>305.25734113220949</v>
      </c>
      <c r="L1718" s="86">
        <v>308.04616648710243</v>
      </c>
      <c r="M1718" s="86">
        <v>1124148.3854482532</v>
      </c>
      <c r="N1718" s="86" t="s">
        <v>1766</v>
      </c>
      <c r="O1718" s="25">
        <f t="shared" si="52"/>
        <v>9.8813138283191382E-3</v>
      </c>
    </row>
    <row r="1719" spans="1:15">
      <c r="A1719" s="86">
        <v>271.24279717348833</v>
      </c>
      <c r="B1719" s="86">
        <v>272.27150679088476</v>
      </c>
      <c r="C1719" s="86">
        <v>269.15087964970672</v>
      </c>
      <c r="D1719" s="86">
        <v>271.75660147757503</v>
      </c>
      <c r="E1719" s="86">
        <v>7194956.6218038928</v>
      </c>
      <c r="F1719" s="86" t="s">
        <v>1767</v>
      </c>
      <c r="G1719" s="25">
        <f t="shared" si="51"/>
        <v>-1.8906782808332245E-3</v>
      </c>
      <c r="I1719" s="86">
        <v>309.96773517675422</v>
      </c>
      <c r="J1719" s="86">
        <v>310.8349918419953</v>
      </c>
      <c r="K1719" s="86">
        <v>306.566728646397</v>
      </c>
      <c r="L1719" s="86">
        <v>307.48500040959345</v>
      </c>
      <c r="M1719" s="86">
        <v>1902408.5788275392</v>
      </c>
      <c r="N1719" s="86" t="s">
        <v>1767</v>
      </c>
      <c r="O1719" s="25">
        <f t="shared" si="52"/>
        <v>8.074328061055347E-3</v>
      </c>
    </row>
    <row r="1720" spans="1:15">
      <c r="A1720" s="86">
        <v>268.85727719022856</v>
      </c>
      <c r="B1720" s="86">
        <v>269.12335441913064</v>
      </c>
      <c r="C1720" s="86">
        <v>262.98522800066621</v>
      </c>
      <c r="D1720" s="86">
        <v>264.04953691627441</v>
      </c>
      <c r="E1720" s="86">
        <v>4417511.7684825137</v>
      </c>
      <c r="F1720" s="86" t="s">
        <v>1768</v>
      </c>
      <c r="G1720" s="25">
        <f t="shared" si="51"/>
        <v>1.820772090760614E-2</v>
      </c>
      <c r="I1720" s="86">
        <v>302.40049564670949</v>
      </c>
      <c r="J1720" s="86">
        <v>302.62156107118267</v>
      </c>
      <c r="K1720" s="86">
        <v>296.73781977366474</v>
      </c>
      <c r="L1720" s="86">
        <v>296.84835248590133</v>
      </c>
      <c r="M1720" s="86">
        <v>1942815.4403767192</v>
      </c>
      <c r="N1720" s="86" t="s">
        <v>1768</v>
      </c>
      <c r="O1720" s="25">
        <f t="shared" si="52"/>
        <v>1.8703634749233977E-2</v>
      </c>
    </row>
    <row r="1721" spans="1:15">
      <c r="A1721" s="86">
        <v>265.30652244591511</v>
      </c>
      <c r="B1721" s="86">
        <v>271.99515347590096</v>
      </c>
      <c r="C1721" s="86">
        <v>264.8018932186871</v>
      </c>
      <c r="D1721" s="86">
        <v>269.8390104141086</v>
      </c>
      <c r="E1721" s="86">
        <v>3986788.4011619994</v>
      </c>
      <c r="F1721" s="86" t="s">
        <v>1769</v>
      </c>
      <c r="G1721" s="25">
        <f t="shared" si="51"/>
        <v>-1.6797007820469334E-2</v>
      </c>
      <c r="I1721" s="86">
        <v>300.18984140197728</v>
      </c>
      <c r="J1721" s="86">
        <v>303.55683786703088</v>
      </c>
      <c r="K1721" s="86">
        <v>296.39822927160856</v>
      </c>
      <c r="L1721" s="86">
        <v>300.6489772835755</v>
      </c>
      <c r="M1721" s="86">
        <v>2389258.5702111498</v>
      </c>
      <c r="N1721" s="86" t="s">
        <v>1769</v>
      </c>
      <c r="O1721" s="25">
        <f t="shared" si="52"/>
        <v>-1.5271493212669629E-3</v>
      </c>
    </row>
    <row r="1722" spans="1:15">
      <c r="A1722" s="86">
        <v>267.7287427366096</v>
      </c>
      <c r="B1722" s="86">
        <v>267.92141935064211</v>
      </c>
      <c r="C1722" s="86">
        <v>263.63665845763325</v>
      </c>
      <c r="D1722" s="86">
        <v>264.9028190641327</v>
      </c>
      <c r="E1722" s="86">
        <v>2956274.962896511</v>
      </c>
      <c r="F1722" s="86" t="s">
        <v>1770</v>
      </c>
      <c r="G1722" s="25">
        <f t="shared" si="51"/>
        <v>1.066777500692706E-2</v>
      </c>
      <c r="I1722" s="86">
        <v>296.95038268181207</v>
      </c>
      <c r="J1722" s="86">
        <v>297.0184028124192</v>
      </c>
      <c r="K1722" s="86">
        <v>290.49697279045932</v>
      </c>
      <c r="L1722" s="86">
        <v>291.06664138429414</v>
      </c>
      <c r="M1722" s="86">
        <v>1780836.3335791375</v>
      </c>
      <c r="N1722" s="86" t="s">
        <v>1770</v>
      </c>
      <c r="O1722" s="25">
        <f t="shared" si="52"/>
        <v>2.0214412993310615E-2</v>
      </c>
    </row>
    <row r="1723" spans="1:15">
      <c r="A1723" s="86">
        <v>265.06797044758912</v>
      </c>
      <c r="B1723" s="86">
        <v>267.26998889367502</v>
      </c>
      <c r="C1723" s="86">
        <v>261.8658686239059</v>
      </c>
      <c r="D1723" s="86">
        <v>267.01308674163164</v>
      </c>
      <c r="E1723" s="86">
        <v>3449132.9595809164</v>
      </c>
      <c r="F1723" s="86" t="s">
        <v>1771</v>
      </c>
      <c r="G1723" s="25">
        <f t="shared" si="51"/>
        <v>-7.2847226994707803E-3</v>
      </c>
      <c r="I1723" s="86">
        <v>289.05154501505746</v>
      </c>
      <c r="J1723" s="86">
        <v>297.15019181547058</v>
      </c>
      <c r="K1723" s="86">
        <v>288.38834874163786</v>
      </c>
      <c r="L1723" s="86">
        <v>295.88756814107546</v>
      </c>
      <c r="M1723" s="86">
        <v>2145069.6830134592</v>
      </c>
      <c r="N1723" s="86" t="s">
        <v>1771</v>
      </c>
      <c r="O1723" s="25">
        <f t="shared" si="52"/>
        <v>-2.3103448275862304E-2</v>
      </c>
    </row>
    <row r="1724" spans="1:15">
      <c r="A1724" s="86">
        <v>266.42588182267542</v>
      </c>
      <c r="B1724" s="86">
        <v>266.5818581292732</v>
      </c>
      <c r="C1724" s="86">
        <v>263.59078307333988</v>
      </c>
      <c r="D1724" s="86">
        <v>265.15972121617602</v>
      </c>
      <c r="E1724" s="86">
        <v>2653087.3119543903</v>
      </c>
      <c r="F1724" s="86" t="s">
        <v>1772</v>
      </c>
      <c r="G1724" s="25">
        <f t="shared" si="51"/>
        <v>4.775086505190318E-3</v>
      </c>
      <c r="I1724" s="86">
        <v>297.7836292817496</v>
      </c>
      <c r="J1724" s="86">
        <v>303.79490832415593</v>
      </c>
      <c r="K1724" s="86">
        <v>296.42322666960672</v>
      </c>
      <c r="L1724" s="86">
        <v>300.56395212031657</v>
      </c>
      <c r="M1724" s="86">
        <v>2311160.5137595776</v>
      </c>
      <c r="N1724" s="86" t="s">
        <v>1772</v>
      </c>
      <c r="O1724" s="25">
        <f t="shared" si="52"/>
        <v>-9.2503536067891634E-3</v>
      </c>
    </row>
    <row r="1725" spans="1:15">
      <c r="A1725" s="86">
        <v>264.46241537491551</v>
      </c>
      <c r="B1725" s="86">
        <v>267.61864181430531</v>
      </c>
      <c r="C1725" s="86">
        <v>264.14275569715869</v>
      </c>
      <c r="D1725" s="86">
        <v>265.77445136570839</v>
      </c>
      <c r="E1725" s="86">
        <v>3727769.3175508566</v>
      </c>
      <c r="F1725" s="86" t="s">
        <v>1773</v>
      </c>
      <c r="G1725" s="25">
        <f t="shared" si="51"/>
        <v>-4.9366520523355106E-3</v>
      </c>
      <c r="I1725" s="86">
        <v>300.36839424482105</v>
      </c>
      <c r="J1725" s="86">
        <v>308.57544812838927</v>
      </c>
      <c r="K1725" s="86">
        <v>299.95177094485229</v>
      </c>
      <c r="L1725" s="86">
        <v>308.29273946055326</v>
      </c>
      <c r="M1725" s="86">
        <v>1641711.6374703341</v>
      </c>
      <c r="N1725" s="86" t="s">
        <v>1773</v>
      </c>
      <c r="O1725" s="25">
        <f t="shared" si="52"/>
        <v>-2.5703963153975495E-2</v>
      </c>
    </row>
    <row r="1726" spans="1:15">
      <c r="A1726" s="86">
        <v>267.23328858624023</v>
      </c>
      <c r="B1726" s="86">
        <v>267.52689104571834</v>
      </c>
      <c r="C1726" s="86">
        <v>265.98547813345823</v>
      </c>
      <c r="D1726" s="86">
        <v>266.6919590515775</v>
      </c>
      <c r="E1726" s="86">
        <v>3895128.1335748825</v>
      </c>
      <c r="F1726" s="86" t="s">
        <v>1774</v>
      </c>
      <c r="G1726" s="25">
        <f t="shared" si="51"/>
        <v>2.0297932363160243E-3</v>
      </c>
      <c r="I1726" s="86">
        <v>308.29273946055326</v>
      </c>
      <c r="J1726" s="86">
        <v>312.14012809801989</v>
      </c>
      <c r="K1726" s="86">
        <v>306.80479910352199</v>
      </c>
      <c r="L1726" s="86">
        <v>311.60021831132565</v>
      </c>
      <c r="M1726" s="86">
        <v>1414162.5301421802</v>
      </c>
      <c r="N1726" s="86" t="s">
        <v>1774</v>
      </c>
      <c r="O1726" s="25">
        <f t="shared" si="52"/>
        <v>-1.0614494651822848E-2</v>
      </c>
    </row>
  </sheetData>
  <sortState xmlns:xlrd2="http://schemas.microsoft.com/office/spreadsheetml/2017/richdata2" ref="Q245:Q325">
    <sortCondition ref="Q24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2026-10-23T21:51:53Z</dcterms:modified>
</cp:coreProperties>
</file>