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OneDrive\Desktop\Equity Research\Models\Industrials\"/>
    </mc:Choice>
  </mc:AlternateContent>
  <xr:revisionPtr revIDLastSave="0" documentId="13_ncr:1_{13DFDDA5-8FDE-4CA4-BE2D-51A880414188}" xr6:coauthVersionLast="47" xr6:coauthVersionMax="47" xr10:uidLastSave="{00000000-0000-0000-0000-000000000000}"/>
  <bookViews>
    <workbookView xWindow="-28920" yWindow="-120" windowWidth="29040" windowHeight="15720" activeTab="2"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BI105" i="2"/>
  <c r="BI104" i="2"/>
  <c r="BI94" i="2"/>
  <c r="BI93" i="2"/>
  <c r="BI92" i="2"/>
  <c r="BI88" i="2"/>
  <c r="BI90" i="2" s="1"/>
  <c r="BI76" i="2"/>
  <c r="BI97" i="2"/>
  <c r="BI31" i="2"/>
  <c r="BI30" i="2"/>
  <c r="BI29" i="2"/>
  <c r="BI28" i="2"/>
  <c r="BI27" i="2"/>
  <c r="BI25" i="2"/>
  <c r="BI13" i="2"/>
  <c r="BI12" i="2"/>
  <c r="BI11" i="2"/>
  <c r="BI10" i="2"/>
  <c r="BI8" i="2"/>
  <c r="CZ68" i="2"/>
  <c r="CU67" i="2"/>
  <c r="CS67" i="2"/>
  <c r="CR67" i="2"/>
  <c r="CZ69" i="2"/>
  <c r="CH48" i="2"/>
  <c r="CG48" i="2"/>
  <c r="CG84" i="2" s="1"/>
  <c r="CG47" i="2"/>
  <c r="CZ75" i="2"/>
  <c r="CZ73" i="2"/>
  <c r="CU77" i="2"/>
  <c r="CU73" i="2"/>
  <c r="CU84" i="2"/>
  <c r="CU79" i="2"/>
  <c r="BI106" i="2" l="1"/>
  <c r="BI37" i="2"/>
  <c r="BI34" i="2"/>
  <c r="BI36" i="2"/>
  <c r="BI38" i="2"/>
  <c r="BI35" i="2"/>
  <c r="BI32" i="2"/>
  <c r="BI40" i="2"/>
  <c r="BI109" i="2" s="1"/>
  <c r="BI17" i="2"/>
  <c r="BI18" i="2"/>
  <c r="BI16" i="2"/>
  <c r="BI14" i="2"/>
  <c r="CZ70" i="2"/>
  <c r="CH84" i="2"/>
  <c r="CI48" i="2" s="1"/>
  <c r="BI59" i="2" l="1"/>
  <c r="BI95" i="2"/>
  <c r="BI96" i="2"/>
  <c r="BI108" i="2"/>
  <c r="BI42" i="2"/>
  <c r="BI60" i="2"/>
  <c r="BI110" i="2"/>
  <c r="BI58" i="2"/>
  <c r="CI84" i="2"/>
  <c r="CJ48" i="2" s="1"/>
  <c r="BI57" i="2" l="1"/>
  <c r="BI46" i="2"/>
  <c r="CJ84" i="2"/>
  <c r="CK48" i="2" s="1"/>
  <c r="CK84" i="2"/>
  <c r="CL48" i="2" s="1"/>
  <c r="BI49" i="2" l="1"/>
  <c r="BI61" i="2"/>
  <c r="CL84" i="2"/>
  <c r="CM48" i="2" s="1"/>
  <c r="BI62" i="2" l="1"/>
  <c r="BI51" i="2"/>
  <c r="CM84" i="2"/>
  <c r="CN48" i="2" s="1"/>
  <c r="BI53" i="2" l="1"/>
  <c r="BI55" i="2" s="1"/>
  <c r="BI63" i="2"/>
  <c r="BI98" i="2"/>
  <c r="BI99" i="2"/>
  <c r="BI101" i="2"/>
  <c r="CN84" i="2"/>
  <c r="CO48" i="2" s="1"/>
  <c r="CO84" i="2" l="1"/>
  <c r="CP48" i="2" s="1"/>
  <c r="CP84" i="2" l="1"/>
  <c r="BH25" i="2" l="1"/>
  <c r="BG25" i="2"/>
  <c r="BF25" i="2"/>
  <c r="BE25" i="2"/>
  <c r="BD25" i="2"/>
  <c r="BC25" i="2"/>
  <c r="BB25" i="2"/>
  <c r="BA25" i="2"/>
  <c r="AZ25" i="2"/>
  <c r="AY25" i="2"/>
  <c r="AX25" i="2"/>
  <c r="AV25" i="2"/>
  <c r="AU25" i="2"/>
  <c r="AT25" i="2"/>
  <c r="AS25" i="2"/>
  <c r="AR25" i="2"/>
  <c r="AQ25" i="2"/>
  <c r="AP25" i="2"/>
  <c r="AO25" i="2"/>
  <c r="AN25" i="2"/>
  <c r="AW25" i="2"/>
  <c r="AM25" i="2"/>
  <c r="AP24" i="2"/>
  <c r="AP23" i="2"/>
  <c r="AP22" i="2"/>
  <c r="AP21" i="2"/>
  <c r="AP20" i="2"/>
  <c r="AT24" i="2"/>
  <c r="AT23" i="2"/>
  <c r="AT22" i="2"/>
  <c r="AT21" i="2"/>
  <c r="AT20" i="2"/>
  <c r="U299" i="3"/>
  <c r="S244" i="3" l="1"/>
  <c r="S242" i="3"/>
  <c r="S241" i="3"/>
  <c r="S240" i="3"/>
  <c r="S239" i="3"/>
  <c r="S238" i="3"/>
  <c r="G226" i="3" l="1"/>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CF110" i="2"/>
  <c r="CE110" i="2"/>
  <c r="CD110" i="2"/>
  <c r="CC110" i="2"/>
  <c r="CB110" i="2"/>
  <c r="CA110" i="2"/>
  <c r="BZ110" i="2"/>
  <c r="BY110" i="2"/>
  <c r="BX110" i="2"/>
  <c r="BW110" i="2"/>
  <c r="BV110" i="2"/>
  <c r="BU110" i="2"/>
  <c r="BT110" i="2"/>
  <c r="BS110" i="2"/>
  <c r="CF109" i="2"/>
  <c r="CE109" i="2"/>
  <c r="CD109" i="2"/>
  <c r="CC109" i="2"/>
  <c r="CB109" i="2"/>
  <c r="CA109" i="2"/>
  <c r="BZ109" i="2"/>
  <c r="BY109" i="2"/>
  <c r="BX109" i="2"/>
  <c r="BW109" i="2"/>
  <c r="BV109" i="2"/>
  <c r="BU109" i="2"/>
  <c r="BT109" i="2"/>
  <c r="BS109" i="2"/>
  <c r="CF108" i="2"/>
  <c r="CE108" i="2"/>
  <c r="CD108" i="2"/>
  <c r="CC108" i="2"/>
  <c r="CB108" i="2"/>
  <c r="CA108" i="2"/>
  <c r="BZ108" i="2"/>
  <c r="BY108" i="2"/>
  <c r="BX108" i="2"/>
  <c r="BW108" i="2"/>
  <c r="BV108" i="2"/>
  <c r="BU108" i="2"/>
  <c r="BT108" i="2"/>
  <c r="BS108" i="2"/>
  <c r="CF105" i="2"/>
  <c r="CE105" i="2"/>
  <c r="CD105" i="2"/>
  <c r="CC105" i="2"/>
  <c r="CB105" i="2"/>
  <c r="CA105" i="2"/>
  <c r="BZ105" i="2"/>
  <c r="BY105" i="2"/>
  <c r="BX105" i="2"/>
  <c r="BW105" i="2"/>
  <c r="BV105" i="2"/>
  <c r="BU105" i="2"/>
  <c r="BT105" i="2"/>
  <c r="BS105" i="2"/>
  <c r="CF106" i="2"/>
  <c r="CE106" i="2"/>
  <c r="CD106" i="2"/>
  <c r="CC106" i="2"/>
  <c r="CB106" i="2"/>
  <c r="CA106" i="2"/>
  <c r="BZ106" i="2"/>
  <c r="BY106" i="2"/>
  <c r="BX106" i="2"/>
  <c r="BW106" i="2"/>
  <c r="BV106" i="2"/>
  <c r="BU106" i="2"/>
  <c r="BT106" i="2"/>
  <c r="BS106" i="2"/>
  <c r="CF104" i="2"/>
  <c r="CE104" i="2"/>
  <c r="CD104" i="2"/>
  <c r="CC104" i="2"/>
  <c r="CB104" i="2"/>
  <c r="CA104" i="2"/>
  <c r="BZ104" i="2"/>
  <c r="BY104" i="2"/>
  <c r="BX104" i="2"/>
  <c r="BW104" i="2"/>
  <c r="BV104" i="2"/>
  <c r="BU104" i="2"/>
  <c r="BT104" i="2"/>
  <c r="BS104" i="2"/>
  <c r="CF103" i="2"/>
  <c r="CE103" i="2"/>
  <c r="CD103" i="2"/>
  <c r="CC103" i="2"/>
  <c r="CB103" i="2"/>
  <c r="CA103" i="2"/>
  <c r="BZ103" i="2"/>
  <c r="BY103" i="2"/>
  <c r="BX103" i="2"/>
  <c r="BW103" i="2"/>
  <c r="BV103" i="2"/>
  <c r="BU103" i="2"/>
  <c r="BT103" i="2"/>
  <c r="BS103" i="2"/>
  <c r="CF102" i="2"/>
  <c r="CE102" i="2"/>
  <c r="CD102" i="2"/>
  <c r="CC102" i="2"/>
  <c r="CB102" i="2"/>
  <c r="CA102" i="2"/>
  <c r="BZ102" i="2"/>
  <c r="BY102" i="2"/>
  <c r="BX102" i="2"/>
  <c r="BW102" i="2"/>
  <c r="BV102" i="2"/>
  <c r="BU102" i="2"/>
  <c r="BT102" i="2"/>
  <c r="BS102" i="2"/>
  <c r="CF101" i="2"/>
  <c r="CE101" i="2"/>
  <c r="CD101" i="2"/>
  <c r="CC101" i="2"/>
  <c r="CB101" i="2"/>
  <c r="CA101" i="2"/>
  <c r="BZ101" i="2"/>
  <c r="BY101" i="2"/>
  <c r="BX101" i="2"/>
  <c r="BW101" i="2"/>
  <c r="BV101" i="2"/>
  <c r="BU101" i="2"/>
  <c r="BT101" i="2"/>
  <c r="BS101" i="2"/>
  <c r="CE99" i="2"/>
  <c r="CD99" i="2"/>
  <c r="CE98" i="2"/>
  <c r="CD98" i="2"/>
  <c r="CE97" i="2"/>
  <c r="CD97" i="2"/>
  <c r="CE96" i="2"/>
  <c r="CD96" i="2"/>
  <c r="CE95" i="2"/>
  <c r="CD95" i="2"/>
  <c r="CE94" i="2"/>
  <c r="CD94" i="2"/>
  <c r="CE93" i="2"/>
  <c r="CD93" i="2"/>
  <c r="CE92" i="2"/>
  <c r="CD92" i="2"/>
  <c r="CF90" i="2"/>
  <c r="CE90" i="2"/>
  <c r="CD90" i="2"/>
  <c r="CF89" i="2"/>
  <c r="CE89" i="2"/>
  <c r="CD89" i="2"/>
  <c r="CF88" i="2"/>
  <c r="CE88" i="2"/>
  <c r="CD88" i="2"/>
  <c r="CF87" i="2"/>
  <c r="CE87" i="2"/>
  <c r="CD87" i="2"/>
  <c r="CF86" i="2"/>
  <c r="CE86" i="2"/>
  <c r="CD86" i="2"/>
  <c r="CF85" i="2"/>
  <c r="CE85" i="2"/>
  <c r="CD85" i="2"/>
  <c r="CF84" i="2"/>
  <c r="CE84" i="2"/>
  <c r="CD84" i="2"/>
  <c r="CF83" i="2"/>
  <c r="CE83" i="2"/>
  <c r="CD83" i="2"/>
  <c r="CF82" i="2"/>
  <c r="CE82" i="2"/>
  <c r="CD82" i="2"/>
  <c r="CF81" i="2"/>
  <c r="CE81" i="2"/>
  <c r="CD81" i="2"/>
  <c r="CF80" i="2"/>
  <c r="CE80" i="2"/>
  <c r="CD80" i="2"/>
  <c r="CF79" i="2"/>
  <c r="CE79" i="2"/>
  <c r="CD79" i="2"/>
  <c r="CF78" i="2"/>
  <c r="CE78" i="2"/>
  <c r="CD78" i="2"/>
  <c r="CF76" i="2"/>
  <c r="CE76" i="2"/>
  <c r="CD76" i="2"/>
  <c r="CF75" i="2"/>
  <c r="CE75" i="2"/>
  <c r="CD75" i="2"/>
  <c r="CF74" i="2"/>
  <c r="CE74" i="2"/>
  <c r="CD74" i="2"/>
  <c r="CF73" i="2"/>
  <c r="CE73" i="2"/>
  <c r="CD73" i="2"/>
  <c r="CF72" i="2"/>
  <c r="CE72" i="2"/>
  <c r="CD72" i="2"/>
  <c r="CF71" i="2"/>
  <c r="CE71" i="2"/>
  <c r="CD71" i="2"/>
  <c r="CF70" i="2"/>
  <c r="CE70" i="2"/>
  <c r="CD70" i="2"/>
  <c r="CF69" i="2"/>
  <c r="CE69" i="2"/>
  <c r="CD69" i="2"/>
  <c r="CF68" i="2"/>
  <c r="CE68" i="2"/>
  <c r="CD68" i="2"/>
  <c r="CF67" i="2"/>
  <c r="CE67" i="2"/>
  <c r="CD67" i="2"/>
  <c r="CF66" i="2"/>
  <c r="CE66" i="2"/>
  <c r="CD66" i="2"/>
  <c r="CF63" i="2"/>
  <c r="CE63" i="2"/>
  <c r="CD63" i="2"/>
  <c r="CC63" i="2"/>
  <c r="CB63" i="2"/>
  <c r="CA63" i="2"/>
  <c r="BZ63" i="2"/>
  <c r="BY63" i="2"/>
  <c r="BX63" i="2"/>
  <c r="BW63" i="2"/>
  <c r="BV63" i="2"/>
  <c r="BU63" i="2"/>
  <c r="BT63" i="2"/>
  <c r="BS63" i="2"/>
  <c r="CF62" i="2"/>
  <c r="CE62" i="2"/>
  <c r="CD62" i="2"/>
  <c r="CC62" i="2"/>
  <c r="CB62" i="2"/>
  <c r="CA62" i="2"/>
  <c r="BZ62" i="2"/>
  <c r="BY62" i="2"/>
  <c r="BX62" i="2"/>
  <c r="BW62" i="2"/>
  <c r="BV62" i="2"/>
  <c r="BU62" i="2"/>
  <c r="BT62" i="2"/>
  <c r="BS62" i="2"/>
  <c r="CF61" i="2"/>
  <c r="CE61" i="2"/>
  <c r="CD61" i="2"/>
  <c r="CC61" i="2"/>
  <c r="CB61" i="2"/>
  <c r="CA61" i="2"/>
  <c r="BZ61" i="2"/>
  <c r="BY61" i="2"/>
  <c r="BX61" i="2"/>
  <c r="BW61" i="2"/>
  <c r="BV61" i="2"/>
  <c r="BU61" i="2"/>
  <c r="BT61" i="2"/>
  <c r="BS61" i="2"/>
  <c r="CF60" i="2"/>
  <c r="CE60" i="2"/>
  <c r="CD60" i="2"/>
  <c r="CC60" i="2"/>
  <c r="CB60" i="2"/>
  <c r="CA60" i="2"/>
  <c r="BZ60" i="2"/>
  <c r="BY60" i="2"/>
  <c r="BX60" i="2"/>
  <c r="BW60" i="2"/>
  <c r="BV60" i="2"/>
  <c r="BU60" i="2"/>
  <c r="BT60" i="2"/>
  <c r="BS60" i="2"/>
  <c r="CF59" i="2"/>
  <c r="CE59" i="2"/>
  <c r="CD59" i="2"/>
  <c r="CC59" i="2"/>
  <c r="CB59" i="2"/>
  <c r="CA59" i="2"/>
  <c r="BZ59" i="2"/>
  <c r="BY59" i="2"/>
  <c r="BX59" i="2"/>
  <c r="BW59" i="2"/>
  <c r="BV59" i="2"/>
  <c r="BU59" i="2"/>
  <c r="BT59" i="2"/>
  <c r="BS59" i="2"/>
  <c r="CF58" i="2"/>
  <c r="CE58" i="2"/>
  <c r="CD58" i="2"/>
  <c r="CC58" i="2"/>
  <c r="CB58" i="2"/>
  <c r="CA58" i="2"/>
  <c r="BZ58" i="2"/>
  <c r="BY58" i="2"/>
  <c r="BX58" i="2"/>
  <c r="BW58" i="2"/>
  <c r="BV58" i="2"/>
  <c r="BU58" i="2"/>
  <c r="BT58" i="2"/>
  <c r="BS58" i="2"/>
  <c r="CF57" i="2"/>
  <c r="CE57" i="2"/>
  <c r="CD57" i="2"/>
  <c r="CC57" i="2"/>
  <c r="CB57" i="2"/>
  <c r="CA57" i="2"/>
  <c r="BZ57" i="2"/>
  <c r="BY57" i="2"/>
  <c r="BX57" i="2"/>
  <c r="BW57" i="2"/>
  <c r="BV57" i="2"/>
  <c r="BU57" i="2"/>
  <c r="BT57" i="2"/>
  <c r="BS57" i="2"/>
  <c r="CF54" i="2"/>
  <c r="CE54" i="2"/>
  <c r="CD54" i="2"/>
  <c r="CC54" i="2"/>
  <c r="CB54" i="2"/>
  <c r="CA54" i="2"/>
  <c r="BZ54" i="2"/>
  <c r="BY54" i="2"/>
  <c r="BX54" i="2"/>
  <c r="BW54" i="2"/>
  <c r="BV54" i="2"/>
  <c r="BU54" i="2"/>
  <c r="BT54" i="2"/>
  <c r="BS54" i="2"/>
  <c r="CF55" i="2"/>
  <c r="CE55" i="2"/>
  <c r="CD55" i="2"/>
  <c r="CC55" i="2"/>
  <c r="CB55" i="2"/>
  <c r="CA55" i="2"/>
  <c r="BZ55" i="2"/>
  <c r="BY55" i="2"/>
  <c r="BX55" i="2"/>
  <c r="BW55" i="2"/>
  <c r="BV55" i="2"/>
  <c r="BU55" i="2"/>
  <c r="BT55" i="2"/>
  <c r="BS55" i="2"/>
  <c r="CF53" i="2"/>
  <c r="CE53" i="2"/>
  <c r="CD53" i="2"/>
  <c r="CC53" i="2"/>
  <c r="CB53" i="2"/>
  <c r="CA53" i="2"/>
  <c r="BZ53" i="2"/>
  <c r="BY53" i="2"/>
  <c r="BX53" i="2"/>
  <c r="BW53" i="2"/>
  <c r="BV53" i="2"/>
  <c r="BU53" i="2"/>
  <c r="BT53" i="2"/>
  <c r="BS53" i="2"/>
  <c r="CF52" i="2"/>
  <c r="CE52" i="2"/>
  <c r="CD52" i="2"/>
  <c r="CC52" i="2"/>
  <c r="CB52" i="2"/>
  <c r="CA52" i="2"/>
  <c r="BZ52" i="2"/>
  <c r="BY52" i="2"/>
  <c r="BX52" i="2"/>
  <c r="BW52" i="2"/>
  <c r="BV52" i="2"/>
  <c r="BU52" i="2"/>
  <c r="BT52" i="2"/>
  <c r="BS52" i="2"/>
  <c r="CF51" i="2"/>
  <c r="CE51" i="2"/>
  <c r="CD51" i="2"/>
  <c r="CC51" i="2"/>
  <c r="CB51" i="2"/>
  <c r="CA51" i="2"/>
  <c r="BZ51" i="2"/>
  <c r="BY51" i="2"/>
  <c r="BX51" i="2"/>
  <c r="BW51" i="2"/>
  <c r="BV51" i="2"/>
  <c r="BU51" i="2"/>
  <c r="BT51" i="2"/>
  <c r="BS51" i="2"/>
  <c r="CF50" i="2"/>
  <c r="CE50" i="2"/>
  <c r="CD50" i="2"/>
  <c r="CC50" i="2"/>
  <c r="CB50" i="2"/>
  <c r="CA50" i="2"/>
  <c r="BZ50" i="2"/>
  <c r="BY50" i="2"/>
  <c r="BX50" i="2"/>
  <c r="BW50" i="2"/>
  <c r="BV50" i="2"/>
  <c r="BU50" i="2"/>
  <c r="BT50" i="2"/>
  <c r="BS50" i="2"/>
  <c r="CF49" i="2"/>
  <c r="CE49" i="2"/>
  <c r="CD49" i="2"/>
  <c r="CC49" i="2"/>
  <c r="CB49" i="2"/>
  <c r="CA49" i="2"/>
  <c r="BZ49" i="2"/>
  <c r="BY49" i="2"/>
  <c r="BX49" i="2"/>
  <c r="BW49" i="2"/>
  <c r="BV49" i="2"/>
  <c r="BU49" i="2"/>
  <c r="BT49" i="2"/>
  <c r="BS49" i="2"/>
  <c r="CF48" i="2"/>
  <c r="CE48" i="2"/>
  <c r="CD48" i="2"/>
  <c r="CC48" i="2"/>
  <c r="CB48" i="2"/>
  <c r="CA48" i="2"/>
  <c r="BZ48" i="2"/>
  <c r="BY48" i="2"/>
  <c r="BX48" i="2"/>
  <c r="BW48" i="2"/>
  <c r="BV48" i="2"/>
  <c r="BU48" i="2"/>
  <c r="BT48" i="2"/>
  <c r="BS48" i="2"/>
  <c r="CF47" i="2"/>
  <c r="CE47" i="2"/>
  <c r="CD47" i="2"/>
  <c r="CC47" i="2"/>
  <c r="CB47" i="2"/>
  <c r="CA47" i="2"/>
  <c r="BZ47" i="2"/>
  <c r="BY47" i="2"/>
  <c r="BX47" i="2"/>
  <c r="BW47" i="2"/>
  <c r="BV47" i="2"/>
  <c r="BU47" i="2"/>
  <c r="BT47" i="2"/>
  <c r="BS47" i="2"/>
  <c r="CF46" i="2"/>
  <c r="CE46" i="2"/>
  <c r="CD46" i="2"/>
  <c r="CC46" i="2"/>
  <c r="CB46" i="2"/>
  <c r="CA46" i="2"/>
  <c r="BZ46" i="2"/>
  <c r="BY46" i="2"/>
  <c r="BX46" i="2"/>
  <c r="BW46" i="2"/>
  <c r="BV46" i="2"/>
  <c r="BU46" i="2"/>
  <c r="BT46" i="2"/>
  <c r="BS46" i="2"/>
  <c r="CF45" i="2"/>
  <c r="CE45" i="2"/>
  <c r="CD45" i="2"/>
  <c r="CC45" i="2"/>
  <c r="CB45" i="2"/>
  <c r="CA45" i="2"/>
  <c r="BZ45" i="2"/>
  <c r="BY45" i="2"/>
  <c r="BX45" i="2"/>
  <c r="BW45" i="2"/>
  <c r="BV45" i="2"/>
  <c r="BU45" i="2"/>
  <c r="BT45" i="2"/>
  <c r="BS45" i="2"/>
  <c r="CF44" i="2"/>
  <c r="CE44" i="2"/>
  <c r="CD44" i="2"/>
  <c r="CC44" i="2"/>
  <c r="CB44" i="2"/>
  <c r="CA44" i="2"/>
  <c r="BZ44" i="2"/>
  <c r="BY44" i="2"/>
  <c r="BX44" i="2"/>
  <c r="BW44" i="2"/>
  <c r="BV44" i="2"/>
  <c r="BU44" i="2"/>
  <c r="BT44" i="2"/>
  <c r="BS44" i="2"/>
  <c r="CF43" i="2"/>
  <c r="CE43" i="2"/>
  <c r="CD43" i="2"/>
  <c r="CC43" i="2"/>
  <c r="CB43" i="2"/>
  <c r="CA43" i="2"/>
  <c r="BZ43" i="2"/>
  <c r="BY43" i="2"/>
  <c r="BX43" i="2"/>
  <c r="BW43" i="2"/>
  <c r="BV43" i="2"/>
  <c r="BU43" i="2"/>
  <c r="BT43" i="2"/>
  <c r="BS43" i="2"/>
  <c r="CF42" i="2"/>
  <c r="CE42" i="2"/>
  <c r="CD42" i="2"/>
  <c r="CC42" i="2"/>
  <c r="CB42" i="2"/>
  <c r="CA42" i="2"/>
  <c r="BZ42" i="2"/>
  <c r="BY42" i="2"/>
  <c r="BX42" i="2"/>
  <c r="BW42" i="2"/>
  <c r="BV42" i="2"/>
  <c r="BU42" i="2"/>
  <c r="BT42" i="2"/>
  <c r="BS42" i="2"/>
  <c r="CE31" i="2"/>
  <c r="CE30" i="2"/>
  <c r="CE29" i="2"/>
  <c r="CE28" i="2"/>
  <c r="CE27" i="2"/>
  <c r="CF31" i="2"/>
  <c r="CF30" i="2"/>
  <c r="CF29" i="2"/>
  <c r="CF28" i="2"/>
  <c r="CF27" i="2"/>
  <c r="CF25" i="2"/>
  <c r="CF34" i="2" s="1"/>
  <c r="CE25" i="2"/>
  <c r="CE34" i="2" s="1"/>
  <c r="CD25" i="2"/>
  <c r="CD36" i="2" s="1"/>
  <c r="CG7" i="2"/>
  <c r="CH7" i="2" s="1"/>
  <c r="CI7" i="2" s="1"/>
  <c r="CJ7" i="2" s="1"/>
  <c r="CK7" i="2" s="1"/>
  <c r="CL7" i="2" s="1"/>
  <c r="CM7" i="2" s="1"/>
  <c r="CN7" i="2" s="1"/>
  <c r="CO7" i="2" s="1"/>
  <c r="CP7" i="2" s="1"/>
  <c r="CF13" i="2"/>
  <c r="CE13" i="2"/>
  <c r="CD13" i="2"/>
  <c r="CC13" i="2"/>
  <c r="BG13" i="2"/>
  <c r="BF13" i="2"/>
  <c r="BE13" i="2"/>
  <c r="BD13" i="2"/>
  <c r="BC13" i="2"/>
  <c r="BB13" i="2"/>
  <c r="BA13" i="2"/>
  <c r="AZ13" i="2"/>
  <c r="AY13" i="2"/>
  <c r="AX13" i="2"/>
  <c r="AW13" i="2"/>
  <c r="AV13" i="2"/>
  <c r="AU13" i="2"/>
  <c r="AT13" i="2"/>
  <c r="AS13" i="2"/>
  <c r="AR13" i="2"/>
  <c r="AQ13" i="2"/>
  <c r="BH13" i="2"/>
  <c r="CE32" i="2" l="1"/>
  <c r="CF36" i="2"/>
  <c r="CD38" i="2"/>
  <c r="CF38" i="2"/>
  <c r="CF32" i="2"/>
  <c r="CE36" i="2"/>
  <c r="CD34" i="2"/>
  <c r="CD35" i="2"/>
  <c r="CD37" i="2"/>
  <c r="CE38" i="2"/>
  <c r="CE35" i="2"/>
  <c r="CF35" i="2"/>
  <c r="CE37" i="2"/>
  <c r="CF37" i="2"/>
  <c r="CF99" i="2" l="1"/>
  <c r="CF98" i="2"/>
  <c r="AX89" i="2"/>
  <c r="AY89" i="2"/>
  <c r="AZ89" i="2"/>
  <c r="BA89" i="2"/>
  <c r="BC89" i="2"/>
  <c r="BD89" i="2"/>
  <c r="BB89" i="2"/>
  <c r="BE89" i="2"/>
  <c r="BH89" i="2"/>
  <c r="BF89" i="2"/>
  <c r="BG89" i="2"/>
  <c r="BG94" i="2"/>
  <c r="BF94" i="2"/>
  <c r="BE94" i="2"/>
  <c r="BD94" i="2"/>
  <c r="BC94" i="2"/>
  <c r="BB94" i="2"/>
  <c r="BA94" i="2"/>
  <c r="AZ94" i="2"/>
  <c r="AY94" i="2"/>
  <c r="AX94" i="2"/>
  <c r="BG93" i="2"/>
  <c r="BF93" i="2"/>
  <c r="BE93" i="2"/>
  <c r="BD93" i="2"/>
  <c r="BC93" i="2"/>
  <c r="BB93" i="2"/>
  <c r="BA93" i="2"/>
  <c r="AZ93" i="2"/>
  <c r="AY93" i="2"/>
  <c r="AX93" i="2"/>
  <c r="BG92" i="2"/>
  <c r="BF92" i="2"/>
  <c r="BE92" i="2"/>
  <c r="BD92" i="2"/>
  <c r="BC92" i="2"/>
  <c r="BB92" i="2"/>
  <c r="BA92" i="2"/>
  <c r="AZ92" i="2"/>
  <c r="AY92" i="2"/>
  <c r="AX92" i="2"/>
  <c r="BH94" i="2"/>
  <c r="BH93" i="2"/>
  <c r="BH92" i="2"/>
  <c r="BE88" i="2"/>
  <c r="BE90" i="2" s="1"/>
  <c r="BD88" i="2"/>
  <c r="BC88" i="2"/>
  <c r="BB88" i="2"/>
  <c r="BB90" i="2" s="1"/>
  <c r="BA88" i="2"/>
  <c r="AZ88" i="2"/>
  <c r="AZ90" i="2" s="1"/>
  <c r="AY88" i="2"/>
  <c r="AX88" i="2"/>
  <c r="BE76" i="2"/>
  <c r="BD76" i="2"/>
  <c r="BC76" i="2"/>
  <c r="BB76" i="2"/>
  <c r="BA76" i="2"/>
  <c r="AZ76" i="2"/>
  <c r="AY76" i="2"/>
  <c r="AX76" i="2"/>
  <c r="AL110" i="2"/>
  <c r="AK110" i="2"/>
  <c r="AJ110" i="2"/>
  <c r="AI110" i="2"/>
  <c r="AH110" i="2"/>
  <c r="AG110" i="2"/>
  <c r="AF110" i="2"/>
  <c r="AE110" i="2"/>
  <c r="AD110" i="2"/>
  <c r="AC110" i="2"/>
  <c r="AB110" i="2"/>
  <c r="AA110" i="2"/>
  <c r="Z110" i="2"/>
  <c r="Y110" i="2"/>
  <c r="X110" i="2"/>
  <c r="W110" i="2"/>
  <c r="V110" i="2"/>
  <c r="U110" i="2"/>
  <c r="T110" i="2"/>
  <c r="S110" i="2"/>
  <c r="R110" i="2"/>
  <c r="Q110" i="2"/>
  <c r="P110" i="2"/>
  <c r="O110" i="2"/>
  <c r="N110" i="2"/>
  <c r="M110" i="2"/>
  <c r="L110" i="2"/>
  <c r="K110" i="2"/>
  <c r="J110" i="2"/>
  <c r="I110" i="2"/>
  <c r="H110" i="2"/>
  <c r="G110" i="2"/>
  <c r="F110" i="2"/>
  <c r="E110" i="2"/>
  <c r="D110" i="2"/>
  <c r="C110" i="2"/>
  <c r="AL108" i="2"/>
  <c r="AK108" i="2"/>
  <c r="AJ108" i="2"/>
  <c r="AI108" i="2"/>
  <c r="AH108" i="2"/>
  <c r="AG108" i="2"/>
  <c r="AF108" i="2"/>
  <c r="AE108" i="2"/>
  <c r="AD108" i="2"/>
  <c r="AC108" i="2"/>
  <c r="AB108" i="2"/>
  <c r="AA108" i="2"/>
  <c r="Z108" i="2"/>
  <c r="Y108" i="2"/>
  <c r="X108" i="2"/>
  <c r="W108" i="2"/>
  <c r="V108" i="2"/>
  <c r="U108" i="2"/>
  <c r="T108" i="2"/>
  <c r="S108" i="2"/>
  <c r="R108" i="2"/>
  <c r="Q108" i="2"/>
  <c r="P108" i="2"/>
  <c r="O108" i="2"/>
  <c r="N108" i="2"/>
  <c r="M108" i="2"/>
  <c r="L108" i="2"/>
  <c r="K108" i="2"/>
  <c r="J108" i="2"/>
  <c r="I108" i="2"/>
  <c r="H108" i="2"/>
  <c r="G108" i="2"/>
  <c r="F108" i="2"/>
  <c r="E108" i="2"/>
  <c r="D108" i="2"/>
  <c r="C108" i="2"/>
  <c r="BG105" i="2"/>
  <c r="BF105" i="2"/>
  <c r="BE105" i="2"/>
  <c r="BD105" i="2"/>
  <c r="BC105" i="2"/>
  <c r="BB105" i="2"/>
  <c r="BA105" i="2"/>
  <c r="AZ105" i="2"/>
  <c r="AY105" i="2"/>
  <c r="AX105" i="2"/>
  <c r="AW105" i="2"/>
  <c r="AV105" i="2"/>
  <c r="AU105" i="2"/>
  <c r="AT105" i="2"/>
  <c r="AS105" i="2"/>
  <c r="AR105" i="2"/>
  <c r="AQ105" i="2"/>
  <c r="AP105" i="2"/>
  <c r="AO105" i="2"/>
  <c r="AN105" i="2"/>
  <c r="AM105" i="2"/>
  <c r="AL105" i="2"/>
  <c r="AK105" i="2"/>
  <c r="AJ105"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I105" i="2"/>
  <c r="H105" i="2"/>
  <c r="G105" i="2"/>
  <c r="F105" i="2"/>
  <c r="E105" i="2"/>
  <c r="D105" i="2"/>
  <c r="C105" i="2"/>
  <c r="BH105" i="2"/>
  <c r="AM6" i="2"/>
  <c r="AM41" i="2"/>
  <c r="AQ41" i="2"/>
  <c r="AT41" i="2" s="1"/>
  <c r="AQ6" i="2"/>
  <c r="AN41" i="2"/>
  <c r="AR41" i="2"/>
  <c r="AN6" i="2"/>
  <c r="AP6" i="2" s="1"/>
  <c r="AR6" i="2"/>
  <c r="AO41" i="2"/>
  <c r="AO6" i="2"/>
  <c r="AS41" i="2"/>
  <c r="AW41" i="2"/>
  <c r="AP45" i="2"/>
  <c r="AP44" i="2"/>
  <c r="AP43" i="2"/>
  <c r="AT52" i="2"/>
  <c r="AT50" i="2"/>
  <c r="AT48" i="2"/>
  <c r="AT47" i="2"/>
  <c r="AT45" i="2"/>
  <c r="AT44" i="2"/>
  <c r="AT43" i="2"/>
  <c r="CB24" i="2"/>
  <c r="CC24" i="2"/>
  <c r="AP7" i="2"/>
  <c r="CB7" i="2" s="1"/>
  <c r="AP5" i="2"/>
  <c r="AP4" i="2"/>
  <c r="AT7" i="2"/>
  <c r="CC7" i="2" s="1"/>
  <c r="AT6" i="2"/>
  <c r="AT5" i="2"/>
  <c r="AT4" i="2"/>
  <c r="AU41" i="2"/>
  <c r="AX41" i="2" s="1"/>
  <c r="AX97" i="2" s="1"/>
  <c r="AY41" i="2"/>
  <c r="AV41" i="2"/>
  <c r="AZ41" i="2"/>
  <c r="AZ97" i="2" s="1"/>
  <c r="BA41" i="2"/>
  <c r="BA97" i="2" s="1"/>
  <c r="BE41" i="2"/>
  <c r="BE97" i="2" s="1"/>
  <c r="AX52" i="2"/>
  <c r="AX50" i="2"/>
  <c r="AX48" i="2"/>
  <c r="AX47" i="2"/>
  <c r="AX45" i="2"/>
  <c r="AX44" i="2"/>
  <c r="AX43" i="2"/>
  <c r="BB52" i="2"/>
  <c r="BB50" i="2"/>
  <c r="BB48" i="2"/>
  <c r="BB47" i="2"/>
  <c r="BB45" i="2"/>
  <c r="BB44" i="2"/>
  <c r="BB43" i="2"/>
  <c r="BF52" i="2"/>
  <c r="BF50" i="2"/>
  <c r="BF48" i="2"/>
  <c r="BF47" i="2"/>
  <c r="BF45" i="2"/>
  <c r="BF44" i="2"/>
  <c r="BF43" i="2"/>
  <c r="CD31" i="2" l="1"/>
  <c r="CC31" i="2"/>
  <c r="BD90" i="2"/>
  <c r="AP41" i="2"/>
  <c r="AY90" i="2"/>
  <c r="BB41" i="2"/>
  <c r="BB97" i="2" s="1"/>
  <c r="AY97" i="2"/>
  <c r="AX90" i="2"/>
  <c r="BA90" i="2"/>
  <c r="BA96" i="2" s="1"/>
  <c r="BC90" i="2"/>
  <c r="AX24" i="2"/>
  <c r="CD24" i="2" s="1"/>
  <c r="AX23" i="2"/>
  <c r="AX22" i="2"/>
  <c r="AX29" i="2" s="1"/>
  <c r="AX21" i="2"/>
  <c r="AX28" i="2" s="1"/>
  <c r="AX20" i="2"/>
  <c r="AX27" i="2" s="1"/>
  <c r="BB24" i="2"/>
  <c r="CE24" i="2" s="1"/>
  <c r="BB23" i="2"/>
  <c r="BF30" i="2" s="1"/>
  <c r="BB22" i="2"/>
  <c r="BB21" i="2"/>
  <c r="BB20" i="2"/>
  <c r="BF24" i="2"/>
  <c r="BF23" i="2"/>
  <c r="BF22" i="2"/>
  <c r="BF21" i="2"/>
  <c r="BF28" i="2" s="1"/>
  <c r="BF20" i="2"/>
  <c r="AX7" i="2"/>
  <c r="CD7" i="2" s="1"/>
  <c r="AX6" i="2"/>
  <c r="AX5" i="2"/>
  <c r="AX4" i="2"/>
  <c r="BB7" i="2"/>
  <c r="CE7" i="2" s="1"/>
  <c r="BB6" i="2"/>
  <c r="BB5" i="2"/>
  <c r="BB4" i="2"/>
  <c r="BF7" i="2"/>
  <c r="CF7" i="2" s="1"/>
  <c r="BF6" i="2"/>
  <c r="BF5" i="2"/>
  <c r="BF4" i="2"/>
  <c r="AL60" i="2"/>
  <c r="AK60" i="2"/>
  <c r="AJ60" i="2"/>
  <c r="AI60" i="2"/>
  <c r="AH60" i="2"/>
  <c r="AG60" i="2"/>
  <c r="AF60" i="2"/>
  <c r="AE60"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AL59"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AL58" i="2"/>
  <c r="AK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Z57" i="2"/>
  <c r="BC41" i="2"/>
  <c r="BG41" i="2"/>
  <c r="BG97" i="2" s="1"/>
  <c r="AL42" i="2"/>
  <c r="AL46" i="2" s="1"/>
  <c r="AH42" i="2"/>
  <c r="AH46" i="2" s="1"/>
  <c r="AH49" i="2" s="1"/>
  <c r="AG42" i="2"/>
  <c r="AG46" i="2" s="1"/>
  <c r="AG61" i="2" s="1"/>
  <c r="AE42" i="2"/>
  <c r="AE46" i="2" s="1"/>
  <c r="AD42" i="2"/>
  <c r="AD57" i="2" s="1"/>
  <c r="Z42" i="2"/>
  <c r="Z46" i="2" s="1"/>
  <c r="Y42" i="2"/>
  <c r="Y46" i="2" s="1"/>
  <c r="Y61" i="2" s="1"/>
  <c r="W42" i="2"/>
  <c r="V42" i="2"/>
  <c r="V46" i="2" s="1"/>
  <c r="R42" i="2"/>
  <c r="R46" i="2" s="1"/>
  <c r="R61" i="2" s="1"/>
  <c r="Q42" i="2"/>
  <c r="Q46" i="2" s="1"/>
  <c r="Q49" i="2" s="1"/>
  <c r="O42" i="2"/>
  <c r="O46" i="2" s="1"/>
  <c r="O61" i="2" s="1"/>
  <c r="N42" i="2"/>
  <c r="N57" i="2" s="1"/>
  <c r="J42" i="2"/>
  <c r="J46" i="2" s="1"/>
  <c r="I42" i="2"/>
  <c r="I46" i="2" s="1"/>
  <c r="G42" i="2"/>
  <c r="F42" i="2"/>
  <c r="F46" i="2" s="1"/>
  <c r="AK42" i="2"/>
  <c r="AK57" i="2" s="1"/>
  <c r="AJ42" i="2"/>
  <c r="AJ46" i="2" s="1"/>
  <c r="AI42" i="2"/>
  <c r="AI46" i="2" s="1"/>
  <c r="AI49" i="2" s="1"/>
  <c r="AI51" i="2" s="1"/>
  <c r="AF42" i="2"/>
  <c r="AF57" i="2" s="1"/>
  <c r="AC42" i="2"/>
  <c r="AC46" i="2" s="1"/>
  <c r="AB42" i="2"/>
  <c r="AB57" i="2" s="1"/>
  <c r="AA42" i="2"/>
  <c r="X42" i="2"/>
  <c r="X46" i="2" s="1"/>
  <c r="U42" i="2"/>
  <c r="U46" i="2" s="1"/>
  <c r="T42" i="2"/>
  <c r="T57" i="2" s="1"/>
  <c r="S42" i="2"/>
  <c r="S46" i="2" s="1"/>
  <c r="S49" i="2" s="1"/>
  <c r="S51" i="2" s="1"/>
  <c r="P42" i="2"/>
  <c r="P46" i="2" s="1"/>
  <c r="M42" i="2"/>
  <c r="M57" i="2" s="1"/>
  <c r="L42" i="2"/>
  <c r="L57" i="2" s="1"/>
  <c r="K42" i="2"/>
  <c r="H42" i="2"/>
  <c r="H46" i="2" s="1"/>
  <c r="E42" i="2"/>
  <c r="E57" i="2" s="1"/>
  <c r="D42" i="2"/>
  <c r="D57" i="2" s="1"/>
  <c r="C42" i="2"/>
  <c r="C57" i="2" s="1"/>
  <c r="C3" i="2" a="1"/>
  <c r="AP8" i="2"/>
  <c r="AT8" i="2"/>
  <c r="AT28" i="2"/>
  <c r="AT30" i="2"/>
  <c r="CC25" i="2"/>
  <c r="AX30" i="2"/>
  <c r="AP52" i="2"/>
  <c r="AP50" i="2"/>
  <c r="AP48" i="2"/>
  <c r="AP47" i="2"/>
  <c r="CF24" i="2"/>
  <c r="BD41" i="2"/>
  <c r="BD97" i="2" s="1"/>
  <c r="BH41" i="2"/>
  <c r="BH97" i="2" s="1"/>
  <c r="BH8" i="2"/>
  <c r="BH18" i="2" s="1"/>
  <c r="BG8" i="2"/>
  <c r="BE8" i="2"/>
  <c r="BC8" i="2"/>
  <c r="BA8" i="2"/>
  <c r="BA40" i="2" s="1"/>
  <c r="AZ8" i="2"/>
  <c r="AZ40" i="2" s="1"/>
  <c r="AZ96" i="2" s="1"/>
  <c r="AY8" i="2"/>
  <c r="AY40" i="2" s="1"/>
  <c r="AY96" i="2" s="1"/>
  <c r="AW8" i="2"/>
  <c r="AW40" i="2" s="1"/>
  <c r="AV8" i="2"/>
  <c r="AV40" i="2" s="1"/>
  <c r="AU8" i="2"/>
  <c r="AU40" i="2" s="1"/>
  <c r="AS8" i="2"/>
  <c r="AS40" i="2" s="1"/>
  <c r="AR8" i="2"/>
  <c r="AR40" i="2" s="1"/>
  <c r="AQ8" i="2"/>
  <c r="AQ40" i="2" s="1"/>
  <c r="AO8" i="2"/>
  <c r="AO40" i="2" s="1"/>
  <c r="AN8" i="2"/>
  <c r="AN40" i="2" s="1"/>
  <c r="AM8" i="2"/>
  <c r="AM40" i="2" s="1"/>
  <c r="BD8" i="2"/>
  <c r="BH104" i="2"/>
  <c r="BH88" i="2"/>
  <c r="BH90" i="2" s="1"/>
  <c r="BH76" i="2"/>
  <c r="BH31" i="2"/>
  <c r="BH30" i="2"/>
  <c r="BH29" i="2"/>
  <c r="BH28" i="2"/>
  <c r="BH27" i="2"/>
  <c r="BH36" i="2"/>
  <c r="BH12" i="2"/>
  <c r="BH11" i="2"/>
  <c r="BH10" i="2"/>
  <c r="BE31" i="2"/>
  <c r="BD31" i="2"/>
  <c r="BC31" i="2"/>
  <c r="BA31" i="2"/>
  <c r="AZ31" i="2"/>
  <c r="AY31" i="2"/>
  <c r="AW31" i="2"/>
  <c r="AV31" i="2"/>
  <c r="AU31" i="2"/>
  <c r="AT31" i="2"/>
  <c r="AS31" i="2"/>
  <c r="AR31" i="2"/>
  <c r="AQ31" i="2"/>
  <c r="BE30" i="2"/>
  <c r="BD30" i="2"/>
  <c r="BC30" i="2"/>
  <c r="BA30" i="2"/>
  <c r="AZ30" i="2"/>
  <c r="AY30" i="2"/>
  <c r="AW30" i="2"/>
  <c r="AV30" i="2"/>
  <c r="AU30" i="2"/>
  <c r="AS30" i="2"/>
  <c r="AR30" i="2"/>
  <c r="AQ30" i="2"/>
  <c r="BE29" i="2"/>
  <c r="BD29" i="2"/>
  <c r="BC29" i="2"/>
  <c r="BA29" i="2"/>
  <c r="AZ29" i="2"/>
  <c r="AY29" i="2"/>
  <c r="AW29" i="2"/>
  <c r="AV29" i="2"/>
  <c r="AU29" i="2"/>
  <c r="AS29" i="2"/>
  <c r="AR29" i="2"/>
  <c r="AQ29" i="2"/>
  <c r="BE28" i="2"/>
  <c r="BD28" i="2"/>
  <c r="BC28" i="2"/>
  <c r="BA28" i="2"/>
  <c r="AZ28" i="2"/>
  <c r="AY28" i="2"/>
  <c r="AW28" i="2"/>
  <c r="AV28" i="2"/>
  <c r="AU28" i="2"/>
  <c r="AS28" i="2"/>
  <c r="AR28" i="2"/>
  <c r="AQ28" i="2"/>
  <c r="BE27" i="2"/>
  <c r="BD27" i="2"/>
  <c r="BC27" i="2"/>
  <c r="BA27" i="2"/>
  <c r="AZ27" i="2"/>
  <c r="AY27" i="2"/>
  <c r="AW27" i="2"/>
  <c r="AV27" i="2"/>
  <c r="AU27" i="2"/>
  <c r="AT27" i="2"/>
  <c r="AS27" i="2"/>
  <c r="AR27" i="2"/>
  <c r="AQ27" i="2"/>
  <c r="BG31" i="2"/>
  <c r="BE37" i="2"/>
  <c r="BD37" i="2"/>
  <c r="BC38" i="2"/>
  <c r="BA38" i="2"/>
  <c r="AZ38" i="2"/>
  <c r="AY38" i="2"/>
  <c r="AW37" i="2"/>
  <c r="AV36" i="2"/>
  <c r="AU36" i="2"/>
  <c r="AS38" i="2"/>
  <c r="AR38" i="2"/>
  <c r="AQ38" i="2"/>
  <c r="AO37" i="2"/>
  <c r="AN38" i="2"/>
  <c r="AM34" i="2"/>
  <c r="BG37" i="2"/>
  <c r="AP38" i="2" l="1"/>
  <c r="CB25" i="2"/>
  <c r="CC32" i="2" s="1"/>
  <c r="CC38" i="2"/>
  <c r="CD32" i="2"/>
  <c r="Y57" i="2"/>
  <c r="AR42" i="2"/>
  <c r="AR46" i="2" s="1"/>
  <c r="AR110" i="2"/>
  <c r="AR108" i="2"/>
  <c r="AV59" i="2"/>
  <c r="AV108" i="2"/>
  <c r="AV110" i="2"/>
  <c r="AV60" i="2"/>
  <c r="AS110" i="2"/>
  <c r="AS108" i="2"/>
  <c r="AU60" i="2"/>
  <c r="AU110" i="2"/>
  <c r="AU108" i="2"/>
  <c r="AM110" i="2"/>
  <c r="AM108" i="2"/>
  <c r="AW110" i="2"/>
  <c r="AW108" i="2"/>
  <c r="AN42" i="2"/>
  <c r="AN46" i="2" s="1"/>
  <c r="AN61" i="2" s="1"/>
  <c r="AN108" i="2"/>
  <c r="AN110" i="2"/>
  <c r="AY110" i="2"/>
  <c r="AY108" i="2"/>
  <c r="AY95" i="2"/>
  <c r="AF46" i="2"/>
  <c r="AF49" i="2" s="1"/>
  <c r="AO110" i="2"/>
  <c r="AO108" i="2"/>
  <c r="AZ95" i="2"/>
  <c r="AZ110" i="2"/>
  <c r="AZ108" i="2"/>
  <c r="S53" i="2"/>
  <c r="S55" i="2" s="1"/>
  <c r="S101" i="2"/>
  <c r="AI53" i="2"/>
  <c r="AI55" i="2" s="1"/>
  <c r="AI101" i="2"/>
  <c r="AQ110" i="2"/>
  <c r="AQ108" i="2"/>
  <c r="BA42" i="2"/>
  <c r="BA57" i="2" s="1"/>
  <c r="BA110" i="2"/>
  <c r="BA108" i="2"/>
  <c r="BA95" i="2"/>
  <c r="BC97" i="2"/>
  <c r="BF41" i="2"/>
  <c r="BF97" i="2" s="1"/>
  <c r="BH106" i="2"/>
  <c r="T46" i="2"/>
  <c r="T49" i="2" s="1"/>
  <c r="T51" i="2" s="1"/>
  <c r="AG57" i="2"/>
  <c r="I57" i="2"/>
  <c r="C46" i="2"/>
  <c r="C49" i="2" s="1"/>
  <c r="C51" i="2" s="1"/>
  <c r="C63" i="2" s="1"/>
  <c r="J57" i="2"/>
  <c r="D46" i="2"/>
  <c r="D49" i="2" s="1"/>
  <c r="D51" i="2" s="1"/>
  <c r="Q57" i="2"/>
  <c r="U49" i="2"/>
  <c r="U61" i="2"/>
  <c r="AJ49" i="2"/>
  <c r="AJ51" i="2" s="1"/>
  <c r="AJ61" i="2"/>
  <c r="AK46" i="2"/>
  <c r="R57" i="2"/>
  <c r="AH57" i="2"/>
  <c r="S57" i="2"/>
  <c r="AI57" i="2"/>
  <c r="AJ57" i="2"/>
  <c r="E46" i="2"/>
  <c r="U57" i="2"/>
  <c r="F57" i="2"/>
  <c r="V57" i="2"/>
  <c r="AL57" i="2"/>
  <c r="I61" i="2"/>
  <c r="I49" i="2"/>
  <c r="AC49" i="2"/>
  <c r="AC61" i="2"/>
  <c r="O49" i="2"/>
  <c r="V49" i="2"/>
  <c r="V61" i="2"/>
  <c r="Q51" i="2"/>
  <c r="Q101" i="2" s="1"/>
  <c r="Q62" i="2"/>
  <c r="J61" i="2"/>
  <c r="J49" i="2"/>
  <c r="Z61" i="2"/>
  <c r="Z49" i="2"/>
  <c r="AE49" i="2"/>
  <c r="AE61" i="2"/>
  <c r="X49" i="2"/>
  <c r="X61" i="2"/>
  <c r="H61" i="2"/>
  <c r="H49" i="2"/>
  <c r="P61" i="2"/>
  <c r="P49" i="2"/>
  <c r="F49" i="2"/>
  <c r="F61" i="2"/>
  <c r="AL49" i="2"/>
  <c r="AL61" i="2"/>
  <c r="Y49" i="2"/>
  <c r="AH51" i="2"/>
  <c r="AH101" i="2" s="1"/>
  <c r="AH62" i="2"/>
  <c r="K46" i="2"/>
  <c r="K57" i="2"/>
  <c r="AA57" i="2"/>
  <c r="AA46" i="2"/>
  <c r="G46" i="2"/>
  <c r="G57" i="2"/>
  <c r="W46" i="2"/>
  <c r="W57" i="2"/>
  <c r="R49" i="2"/>
  <c r="L46" i="2"/>
  <c r="AB46" i="2"/>
  <c r="M46" i="2"/>
  <c r="Q61" i="2"/>
  <c r="AI63" i="2"/>
  <c r="AG49" i="2"/>
  <c r="N46" i="2"/>
  <c r="AD46" i="2"/>
  <c r="O57" i="2"/>
  <c r="AE57" i="2"/>
  <c r="AH61" i="2"/>
  <c r="S62" i="2"/>
  <c r="AI62" i="2"/>
  <c r="D63" i="2"/>
  <c r="AC57" i="2"/>
  <c r="S63" i="2"/>
  <c r="H57" i="2"/>
  <c r="P57" i="2"/>
  <c r="X57" i="2"/>
  <c r="S61" i="2"/>
  <c r="AI61" i="2"/>
  <c r="T62" i="2"/>
  <c r="AJ62" i="2"/>
  <c r="AM60" i="2"/>
  <c r="AM59" i="2"/>
  <c r="AM58" i="2"/>
  <c r="AM42" i="2"/>
  <c r="AQ42" i="2"/>
  <c r="AQ58" i="2"/>
  <c r="AQ60" i="2"/>
  <c r="AQ59" i="2"/>
  <c r="AN49" i="2"/>
  <c r="AN58" i="2"/>
  <c r="AN60" i="2"/>
  <c r="AN59" i="2"/>
  <c r="AR58" i="2"/>
  <c r="AR57" i="2"/>
  <c r="AR59" i="2"/>
  <c r="AR60" i="2"/>
  <c r="AO42" i="2"/>
  <c r="AO58" i="2"/>
  <c r="AO59" i="2"/>
  <c r="AO60" i="2"/>
  <c r="AS42" i="2"/>
  <c r="AS58" i="2"/>
  <c r="AS59" i="2"/>
  <c r="AS60" i="2"/>
  <c r="AU59" i="2"/>
  <c r="AU42" i="2"/>
  <c r="AU58" i="2"/>
  <c r="AY42" i="2"/>
  <c r="AY59" i="2"/>
  <c r="AY60" i="2"/>
  <c r="AY58" i="2"/>
  <c r="AV42" i="2"/>
  <c r="AV58" i="2"/>
  <c r="BB28" i="2"/>
  <c r="AX31" i="2"/>
  <c r="AX36" i="2"/>
  <c r="BB27" i="2"/>
  <c r="AW42" i="2"/>
  <c r="AW58" i="2"/>
  <c r="AW60" i="2"/>
  <c r="AW59" i="2"/>
  <c r="AX8" i="2"/>
  <c r="AZ42" i="2"/>
  <c r="AZ59" i="2"/>
  <c r="AZ60" i="2"/>
  <c r="AZ58" i="2"/>
  <c r="BB36" i="2"/>
  <c r="BA59" i="2"/>
  <c r="BA46" i="2"/>
  <c r="BA60" i="2"/>
  <c r="BA58" i="2"/>
  <c r="BF29" i="2"/>
  <c r="BF8" i="2"/>
  <c r="AT29" i="2"/>
  <c r="BB29" i="2"/>
  <c r="BB30" i="2"/>
  <c r="BB31" i="2"/>
  <c r="BF31" i="2"/>
  <c r="BB8" i="2"/>
  <c r="BF27" i="2"/>
  <c r="BF38" i="2"/>
  <c r="BH16" i="2"/>
  <c r="BH32" i="2"/>
  <c r="BH17" i="2"/>
  <c r="BH37" i="2"/>
  <c r="BH40" i="2"/>
  <c r="BH109" i="2" s="1"/>
  <c r="BH38" i="2"/>
  <c r="BH34" i="2"/>
  <c r="BH35" i="2"/>
  <c r="BA37" i="2"/>
  <c r="AP35" i="2"/>
  <c r="AV32" i="2"/>
  <c r="BC32" i="2"/>
  <c r="AY35" i="2"/>
  <c r="AR35" i="2"/>
  <c r="AS35" i="2"/>
  <c r="AT32" i="2"/>
  <c r="AW32" i="2"/>
  <c r="AS37" i="2"/>
  <c r="BD32" i="2"/>
  <c r="AZ35" i="2"/>
  <c r="AY37" i="2"/>
  <c r="AQ35" i="2"/>
  <c r="AP37" i="2"/>
  <c r="AU32" i="2"/>
  <c r="AQ37" i="2"/>
  <c r="AR37" i="2"/>
  <c r="BE32" i="2"/>
  <c r="BA35" i="2"/>
  <c r="AZ37" i="2"/>
  <c r="BG38" i="2"/>
  <c r="AT38" i="2"/>
  <c r="BC34" i="2"/>
  <c r="AM36" i="2"/>
  <c r="AM38" i="2"/>
  <c r="BD34" i="2"/>
  <c r="AN36" i="2"/>
  <c r="BD38" i="2"/>
  <c r="BG32" i="2"/>
  <c r="AQ32" i="2"/>
  <c r="BG34" i="2"/>
  <c r="AT35" i="2"/>
  <c r="AR32" i="2"/>
  <c r="AZ32" i="2"/>
  <c r="BG35" i="2"/>
  <c r="AQ34" i="2"/>
  <c r="AY34" i="2"/>
  <c r="AM35" i="2"/>
  <c r="AU35" i="2"/>
  <c r="BC35" i="2"/>
  <c r="AQ36" i="2"/>
  <c r="AY36" i="2"/>
  <c r="AM37" i="2"/>
  <c r="AU37" i="2"/>
  <c r="BC37" i="2"/>
  <c r="AT34" i="2"/>
  <c r="AT36" i="2"/>
  <c r="AU34" i="2"/>
  <c r="BC36" i="2"/>
  <c r="AU38" i="2"/>
  <c r="AV34" i="2"/>
  <c r="BD36" i="2"/>
  <c r="AV38" i="2"/>
  <c r="AW34" i="2"/>
  <c r="AO36" i="2"/>
  <c r="BE36" i="2"/>
  <c r="AO38" i="2"/>
  <c r="AW38" i="2"/>
  <c r="AY32" i="2"/>
  <c r="AP34" i="2"/>
  <c r="AP36" i="2"/>
  <c r="AT37" i="2"/>
  <c r="AS32" i="2"/>
  <c r="BA32" i="2"/>
  <c r="BG36" i="2"/>
  <c r="AR34" i="2"/>
  <c r="AZ34" i="2"/>
  <c r="AN35" i="2"/>
  <c r="AV35" i="2"/>
  <c r="BD35" i="2"/>
  <c r="AR36" i="2"/>
  <c r="AZ36" i="2"/>
  <c r="AN37" i="2"/>
  <c r="AV37" i="2"/>
  <c r="AN34" i="2"/>
  <c r="AO34" i="2"/>
  <c r="BE34" i="2"/>
  <c r="AW36" i="2"/>
  <c r="BE38" i="2"/>
  <c r="AS34" i="2"/>
  <c r="BA34" i="2"/>
  <c r="AO35" i="2"/>
  <c r="AW35" i="2"/>
  <c r="BE35" i="2"/>
  <c r="AS36" i="2"/>
  <c r="BA36" i="2"/>
  <c r="BG104" i="2"/>
  <c r="BF104" i="2"/>
  <c r="BE104" i="2"/>
  <c r="BD104" i="2"/>
  <c r="BC104" i="2"/>
  <c r="BB104" i="2"/>
  <c r="BA104" i="2"/>
  <c r="AZ104" i="2"/>
  <c r="AY104" i="2"/>
  <c r="AX104" i="2"/>
  <c r="AW104" i="2"/>
  <c r="AV104" i="2"/>
  <c r="AU104" i="2"/>
  <c r="AT104" i="2"/>
  <c r="AS104" i="2"/>
  <c r="AR104" i="2"/>
  <c r="AQ104" i="2"/>
  <c r="AP104" i="2"/>
  <c r="AO104" i="2"/>
  <c r="AN104" i="2"/>
  <c r="AM104" i="2"/>
  <c r="AL104" i="2"/>
  <c r="AK104" i="2"/>
  <c r="AJ104" i="2"/>
  <c r="AI104" i="2"/>
  <c r="AH104" i="2"/>
  <c r="AG104" i="2"/>
  <c r="AF104" i="2"/>
  <c r="AE104" i="2"/>
  <c r="AD104" i="2"/>
  <c r="AC104" i="2"/>
  <c r="AB104" i="2"/>
  <c r="AA104" i="2"/>
  <c r="Z104" i="2"/>
  <c r="Y104" i="2"/>
  <c r="X104" i="2"/>
  <c r="W104" i="2"/>
  <c r="V104" i="2"/>
  <c r="U104" i="2"/>
  <c r="T104" i="2"/>
  <c r="S104" i="2"/>
  <c r="R104" i="2"/>
  <c r="Q104" i="2"/>
  <c r="P104" i="2"/>
  <c r="O104" i="2"/>
  <c r="N104" i="2"/>
  <c r="M104" i="2"/>
  <c r="L104" i="2"/>
  <c r="K104" i="2"/>
  <c r="J104" i="2"/>
  <c r="I104" i="2"/>
  <c r="H104" i="2"/>
  <c r="G104" i="2"/>
  <c r="F104" i="2"/>
  <c r="E104" i="2"/>
  <c r="D104" i="2"/>
  <c r="C104" i="2"/>
  <c r="BG88" i="2"/>
  <c r="BG90" i="2" s="1"/>
  <c r="BF88" i="2"/>
  <c r="BF90" i="2" s="1"/>
  <c r="BG76" i="2"/>
  <c r="BF76" i="2"/>
  <c r="CF65" i="2"/>
  <c r="CE65" i="2"/>
  <c r="CD65" i="2"/>
  <c r="CF41" i="2"/>
  <c r="CF97" i="2" s="1"/>
  <c r="CE41" i="2"/>
  <c r="CD41" i="2"/>
  <c r="CC41" i="2"/>
  <c r="CB41" i="2"/>
  <c r="CA41" i="2"/>
  <c r="BZ41" i="2"/>
  <c r="BY41" i="2"/>
  <c r="BX41" i="2"/>
  <c r="BW41" i="2"/>
  <c r="BV41" i="2"/>
  <c r="BU41" i="2"/>
  <c r="BT41" i="2"/>
  <c r="BS41" i="2"/>
  <c r="BZ40" i="2"/>
  <c r="BY40" i="2"/>
  <c r="BX40" i="2"/>
  <c r="BW40" i="2"/>
  <c r="BV40" i="2"/>
  <c r="BU40" i="2"/>
  <c r="BT40" i="2"/>
  <c r="BS40" i="2"/>
  <c r="BG30" i="2"/>
  <c r="BG29" i="2"/>
  <c r="BG28" i="2"/>
  <c r="BG27" i="2"/>
  <c r="CF23" i="2"/>
  <c r="CE23" i="2"/>
  <c r="CD23" i="2"/>
  <c r="CC23" i="2"/>
  <c r="CB23" i="2"/>
  <c r="CF22" i="2"/>
  <c r="CE22" i="2"/>
  <c r="CD22" i="2"/>
  <c r="CC22" i="2"/>
  <c r="CB22" i="2"/>
  <c r="CF21" i="2"/>
  <c r="CE21" i="2"/>
  <c r="CD21" i="2"/>
  <c r="CC21" i="2"/>
  <c r="CB21" i="2"/>
  <c r="CF20" i="2"/>
  <c r="CE20" i="2"/>
  <c r="CD20" i="2"/>
  <c r="CC20" i="2"/>
  <c r="CB20" i="2"/>
  <c r="CB34" i="2" s="1"/>
  <c r="BG12" i="2"/>
  <c r="BF12" i="2"/>
  <c r="BE12" i="2"/>
  <c r="BD12" i="2"/>
  <c r="BC12" i="2"/>
  <c r="BB12" i="2"/>
  <c r="BA12" i="2"/>
  <c r="AZ12" i="2"/>
  <c r="AY12" i="2"/>
  <c r="AX12" i="2"/>
  <c r="AW12" i="2"/>
  <c r="AV12" i="2"/>
  <c r="AU12" i="2"/>
  <c r="AT12" i="2"/>
  <c r="AS12" i="2"/>
  <c r="AR12" i="2"/>
  <c r="AQ12" i="2"/>
  <c r="BG11" i="2"/>
  <c r="BF11" i="2"/>
  <c r="BE11" i="2"/>
  <c r="BD11" i="2"/>
  <c r="BC11" i="2"/>
  <c r="BB11" i="2"/>
  <c r="BA11" i="2"/>
  <c r="AZ11" i="2"/>
  <c r="AY11" i="2"/>
  <c r="AX11" i="2"/>
  <c r="AW11" i="2"/>
  <c r="AV11" i="2"/>
  <c r="AU11" i="2"/>
  <c r="AT11" i="2"/>
  <c r="AS11" i="2"/>
  <c r="AR11" i="2"/>
  <c r="AQ11" i="2"/>
  <c r="BG10" i="2"/>
  <c r="BF10" i="2"/>
  <c r="BE10" i="2"/>
  <c r="BD10" i="2"/>
  <c r="BC10" i="2"/>
  <c r="BB10" i="2"/>
  <c r="BA10" i="2"/>
  <c r="AZ10" i="2"/>
  <c r="AY10" i="2"/>
  <c r="AX10" i="2"/>
  <c r="AW10" i="2"/>
  <c r="AV10" i="2"/>
  <c r="AU10" i="2"/>
  <c r="AT10" i="2"/>
  <c r="AS10" i="2"/>
  <c r="AR10" i="2"/>
  <c r="AQ10" i="2"/>
  <c r="BG18" i="2"/>
  <c r="BH14" i="2"/>
  <c r="CF6" i="2"/>
  <c r="CE6" i="2"/>
  <c r="CD6" i="2"/>
  <c r="CC6" i="2"/>
  <c r="CB6" i="2"/>
  <c r="CF5" i="2"/>
  <c r="CE5" i="2"/>
  <c r="CD5" i="2"/>
  <c r="CC5" i="2"/>
  <c r="CB5" i="2"/>
  <c r="CF4" i="2"/>
  <c r="CE4" i="2"/>
  <c r="CD4" i="2"/>
  <c r="CC4" i="2"/>
  <c r="CB4" i="2"/>
  <c r="BT3" i="2"/>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CB38" i="2" l="1"/>
  <c r="CB37" i="2"/>
  <c r="CB36" i="2"/>
  <c r="CB35" i="2"/>
  <c r="CD30" i="2"/>
  <c r="CC30" i="2"/>
  <c r="CC37" i="2"/>
  <c r="CD29" i="2"/>
  <c r="CC29" i="2"/>
  <c r="CC36" i="2"/>
  <c r="CD28" i="2"/>
  <c r="CC28" i="2"/>
  <c r="CC35" i="2"/>
  <c r="CD27" i="2"/>
  <c r="CC34" i="2"/>
  <c r="CC27" i="2"/>
  <c r="C61" i="2"/>
  <c r="AN57" i="2"/>
  <c r="CE16" i="2"/>
  <c r="CG4" i="2"/>
  <c r="C62" i="2"/>
  <c r="CE17" i="2"/>
  <c r="D61" i="2"/>
  <c r="CG5" i="2"/>
  <c r="CH5" i="2" s="1"/>
  <c r="CI5" i="2" s="1"/>
  <c r="CJ5" i="2" s="1"/>
  <c r="CK5" i="2" s="1"/>
  <c r="CL5" i="2" s="1"/>
  <c r="CM5" i="2" s="1"/>
  <c r="CN5" i="2" s="1"/>
  <c r="CO5" i="2" s="1"/>
  <c r="CP5" i="2" s="1"/>
  <c r="AJ53" i="2"/>
  <c r="AJ55" i="2" s="1"/>
  <c r="AJ101" i="2"/>
  <c r="BH96" i="2"/>
  <c r="T53" i="2"/>
  <c r="T55" i="2" s="1"/>
  <c r="T101" i="2"/>
  <c r="T61" i="2"/>
  <c r="T63" i="2"/>
  <c r="AF61" i="2"/>
  <c r="D53" i="2"/>
  <c r="D55" i="2" s="1"/>
  <c r="D101" i="2"/>
  <c r="CF94" i="2"/>
  <c r="CF93" i="2"/>
  <c r="CF92" i="2"/>
  <c r="BH60" i="2"/>
  <c r="BH95" i="2"/>
  <c r="BH110" i="2"/>
  <c r="BH108" i="2"/>
  <c r="C53" i="2"/>
  <c r="C55" i="2" s="1"/>
  <c r="C101" i="2"/>
  <c r="AG106" i="2"/>
  <c r="AG109" i="2"/>
  <c r="AJ106" i="2"/>
  <c r="AJ109" i="2"/>
  <c r="H106" i="2"/>
  <c r="H109" i="2"/>
  <c r="P106" i="2"/>
  <c r="P109" i="2"/>
  <c r="X106" i="2"/>
  <c r="X109" i="2"/>
  <c r="AF106" i="2"/>
  <c r="AF109" i="2"/>
  <c r="AN106" i="2"/>
  <c r="AN109" i="2"/>
  <c r="AV106" i="2"/>
  <c r="AV109" i="2"/>
  <c r="BD106" i="2"/>
  <c r="AO106" i="2"/>
  <c r="AO109" i="2"/>
  <c r="R106" i="2"/>
  <c r="R109" i="2"/>
  <c r="Z106" i="2"/>
  <c r="Z109" i="2"/>
  <c r="AH106" i="2"/>
  <c r="AH109" i="2"/>
  <c r="AP106" i="2"/>
  <c r="AX106" i="2"/>
  <c r="BF106" i="2"/>
  <c r="C106" i="2"/>
  <c r="C109" i="2"/>
  <c r="K106" i="2"/>
  <c r="K109" i="2"/>
  <c r="S106" i="2"/>
  <c r="S109" i="2"/>
  <c r="AA106" i="2"/>
  <c r="AA109" i="2"/>
  <c r="AI106" i="2"/>
  <c r="AI109" i="2"/>
  <c r="AQ106" i="2"/>
  <c r="AQ109" i="2"/>
  <c r="AY106" i="2"/>
  <c r="AY109" i="2"/>
  <c r="BG106" i="2"/>
  <c r="Y106" i="2"/>
  <c r="Y109" i="2"/>
  <c r="T106" i="2"/>
  <c r="T109" i="2"/>
  <c r="E106" i="2"/>
  <c r="E109" i="2"/>
  <c r="M106" i="2"/>
  <c r="M109" i="2"/>
  <c r="U106" i="2"/>
  <c r="U109" i="2"/>
  <c r="AC106" i="2"/>
  <c r="AC109" i="2"/>
  <c r="AK106" i="2"/>
  <c r="AK109" i="2"/>
  <c r="AS106" i="2"/>
  <c r="AS109" i="2"/>
  <c r="BA106" i="2"/>
  <c r="BA109" i="2"/>
  <c r="I106" i="2"/>
  <c r="I109" i="2"/>
  <c r="BE106" i="2"/>
  <c r="J106" i="2"/>
  <c r="J109" i="2"/>
  <c r="L106" i="2"/>
  <c r="L109" i="2"/>
  <c r="AR106" i="2"/>
  <c r="AR109" i="2"/>
  <c r="F106" i="2"/>
  <c r="F109" i="2"/>
  <c r="N106" i="2"/>
  <c r="N109" i="2"/>
  <c r="V106" i="2"/>
  <c r="V109" i="2"/>
  <c r="AD106" i="2"/>
  <c r="AD109" i="2"/>
  <c r="AL106" i="2"/>
  <c r="AL109" i="2"/>
  <c r="AT106" i="2"/>
  <c r="BB106" i="2"/>
  <c r="Q106" i="2"/>
  <c r="Q109" i="2"/>
  <c r="AW106" i="2"/>
  <c r="AW109" i="2"/>
  <c r="D106" i="2"/>
  <c r="D109" i="2"/>
  <c r="AB106" i="2"/>
  <c r="AB109" i="2"/>
  <c r="AZ106" i="2"/>
  <c r="AZ109" i="2"/>
  <c r="G106" i="2"/>
  <c r="G109" i="2"/>
  <c r="O106" i="2"/>
  <c r="O109" i="2"/>
  <c r="W106" i="2"/>
  <c r="W109" i="2"/>
  <c r="AE106" i="2"/>
  <c r="AE109" i="2"/>
  <c r="AM106" i="2"/>
  <c r="AM109" i="2"/>
  <c r="AU106" i="2"/>
  <c r="AU109" i="2"/>
  <c r="BC106" i="2"/>
  <c r="D62" i="2"/>
  <c r="AJ63" i="2"/>
  <c r="AK61" i="2"/>
  <c r="AK49" i="2"/>
  <c r="E49" i="2"/>
  <c r="E61" i="2"/>
  <c r="U51" i="2"/>
  <c r="U101" i="2" s="1"/>
  <c r="U62" i="2"/>
  <c r="AH53" i="2"/>
  <c r="AH55" i="2" s="1"/>
  <c r="AH63" i="2"/>
  <c r="AF51" i="2"/>
  <c r="AF101" i="2" s="1"/>
  <c r="AF62" i="2"/>
  <c r="M49" i="2"/>
  <c r="M61" i="2"/>
  <c r="Y51" i="2"/>
  <c r="Y101" i="2" s="1"/>
  <c r="Y62" i="2"/>
  <c r="O51" i="2"/>
  <c r="O101" i="2" s="1"/>
  <c r="O62" i="2"/>
  <c r="G61" i="2"/>
  <c r="G49" i="2"/>
  <c r="AA49" i="2"/>
  <c r="AA61" i="2"/>
  <c r="AL51" i="2"/>
  <c r="AL101" i="2" s="1"/>
  <c r="AL62" i="2"/>
  <c r="X62" i="2"/>
  <c r="X51" i="2"/>
  <c r="X101" i="2" s="1"/>
  <c r="AD61" i="2"/>
  <c r="AD49" i="2"/>
  <c r="N49" i="2"/>
  <c r="N61" i="2"/>
  <c r="AE51" i="2"/>
  <c r="AE101" i="2" s="1"/>
  <c r="AE62" i="2"/>
  <c r="AC51" i="2"/>
  <c r="AC101" i="2" s="1"/>
  <c r="AC62" i="2"/>
  <c r="AG51" i="2"/>
  <c r="AG101" i="2" s="1"/>
  <c r="AG62" i="2"/>
  <c r="K49" i="2"/>
  <c r="K61" i="2"/>
  <c r="P62" i="2"/>
  <c r="P51" i="2"/>
  <c r="P101" i="2" s="1"/>
  <c r="Z62" i="2"/>
  <c r="Z51" i="2"/>
  <c r="Z101" i="2" s="1"/>
  <c r="I51" i="2"/>
  <c r="I101" i="2" s="1"/>
  <c r="I62" i="2"/>
  <c r="W61" i="2"/>
  <c r="W49" i="2"/>
  <c r="H62" i="2"/>
  <c r="H51" i="2"/>
  <c r="H101" i="2" s="1"/>
  <c r="J51" i="2"/>
  <c r="J101" i="2" s="1"/>
  <c r="J62" i="2"/>
  <c r="AB49" i="2"/>
  <c r="AB61" i="2"/>
  <c r="L49" i="2"/>
  <c r="L61" i="2"/>
  <c r="Q53" i="2"/>
  <c r="Q55" i="2" s="1"/>
  <c r="Q63" i="2"/>
  <c r="R51" i="2"/>
  <c r="R101" i="2" s="1"/>
  <c r="R62" i="2"/>
  <c r="F51" i="2"/>
  <c r="F101" i="2" s="1"/>
  <c r="F62" i="2"/>
  <c r="V51" i="2"/>
  <c r="V101" i="2" s="1"/>
  <c r="V62" i="2"/>
  <c r="AM57" i="2"/>
  <c r="AM46" i="2"/>
  <c r="AQ57" i="2"/>
  <c r="AQ46" i="2"/>
  <c r="AN62" i="2"/>
  <c r="AN51" i="2"/>
  <c r="AN101" i="2" s="1"/>
  <c r="AR49" i="2"/>
  <c r="AR61" i="2"/>
  <c r="AO57" i="2"/>
  <c r="AO46" i="2"/>
  <c r="AS46" i="2"/>
  <c r="AS57" i="2"/>
  <c r="BB37" i="2"/>
  <c r="BB38" i="2"/>
  <c r="BB34" i="2"/>
  <c r="BB35" i="2"/>
  <c r="AU57" i="2"/>
  <c r="AU46" i="2"/>
  <c r="AY57" i="2"/>
  <c r="AY46" i="2"/>
  <c r="AV57" i="2"/>
  <c r="AV46" i="2"/>
  <c r="AW46" i="2"/>
  <c r="AW57" i="2"/>
  <c r="AZ57" i="2"/>
  <c r="AZ46" i="2"/>
  <c r="BA49" i="2"/>
  <c r="BA61" i="2"/>
  <c r="BF36" i="2"/>
  <c r="BF32" i="2"/>
  <c r="BF35" i="2"/>
  <c r="BF34" i="2"/>
  <c r="BF37" i="2"/>
  <c r="AX35" i="2"/>
  <c r="AX32" i="2"/>
  <c r="BB32" i="2"/>
  <c r="AX38" i="2"/>
  <c r="AX37" i="2"/>
  <c r="AX34" i="2"/>
  <c r="BH42" i="2"/>
  <c r="BH59" i="2"/>
  <c r="BH58" i="2"/>
  <c r="CF11" i="2"/>
  <c r="AO18" i="2"/>
  <c r="AO17" i="2"/>
  <c r="AO16" i="2"/>
  <c r="BE40" i="2"/>
  <c r="BE17" i="2"/>
  <c r="BE16" i="2"/>
  <c r="BE18" i="2"/>
  <c r="AX40" i="2"/>
  <c r="AX109" i="2" s="1"/>
  <c r="AX18" i="2"/>
  <c r="AX17" i="2"/>
  <c r="AX16" i="2"/>
  <c r="AQ17" i="2"/>
  <c r="AQ18" i="2"/>
  <c r="AQ16" i="2"/>
  <c r="AY16" i="2"/>
  <c r="AY17" i="2"/>
  <c r="AY18" i="2"/>
  <c r="AR17" i="2"/>
  <c r="AR18" i="2"/>
  <c r="AR16" i="2"/>
  <c r="BA18" i="2"/>
  <c r="BA16" i="2"/>
  <c r="BA17" i="2"/>
  <c r="AT40" i="2"/>
  <c r="AT109" i="2" s="1"/>
  <c r="AT17" i="2"/>
  <c r="AT16" i="2"/>
  <c r="AT18" i="2"/>
  <c r="BB40" i="2"/>
  <c r="BB109" i="2" s="1"/>
  <c r="BB18" i="2"/>
  <c r="BB16" i="2"/>
  <c r="BB17" i="2"/>
  <c r="AM18" i="2"/>
  <c r="AM16" i="2"/>
  <c r="AM17" i="2"/>
  <c r="AU18" i="2"/>
  <c r="AU16" i="2"/>
  <c r="AU17" i="2"/>
  <c r="BC17" i="2"/>
  <c r="BC18" i="2"/>
  <c r="BC16" i="2"/>
  <c r="AW17" i="2"/>
  <c r="AW16" i="2"/>
  <c r="AW18" i="2"/>
  <c r="AP40" i="2"/>
  <c r="AP16" i="2"/>
  <c r="AP18" i="2"/>
  <c r="AP17" i="2"/>
  <c r="BF16" i="2"/>
  <c r="BF17" i="2"/>
  <c r="BF18" i="2"/>
  <c r="AZ17" i="2"/>
  <c r="AZ16" i="2"/>
  <c r="AZ18" i="2"/>
  <c r="AS16" i="2"/>
  <c r="AS18" i="2"/>
  <c r="AS17" i="2"/>
  <c r="AN18" i="2"/>
  <c r="AN16" i="2"/>
  <c r="AN17" i="2"/>
  <c r="AV18" i="2"/>
  <c r="AV16" i="2"/>
  <c r="AV17" i="2"/>
  <c r="BD40" i="2"/>
  <c r="BD109" i="2" s="1"/>
  <c r="BD18" i="2"/>
  <c r="BD16" i="2"/>
  <c r="BD17" i="2"/>
  <c r="AW14" i="2"/>
  <c r="BE14" i="2"/>
  <c r="CC10" i="2"/>
  <c r="CC11" i="2"/>
  <c r="BD14" i="2"/>
  <c r="AV14" i="2"/>
  <c r="CD10" i="2"/>
  <c r="AX14" i="2"/>
  <c r="CA40" i="2"/>
  <c r="CD11" i="2"/>
  <c r="CC8" i="2"/>
  <c r="CC18" i="2" s="1"/>
  <c r="BF14" i="2"/>
  <c r="CC12" i="2"/>
  <c r="CD12" i="2"/>
  <c r="AR14" i="2"/>
  <c r="AZ14" i="2"/>
  <c r="AT14" i="2"/>
  <c r="AU14" i="2"/>
  <c r="CE10" i="2"/>
  <c r="CE12" i="2"/>
  <c r="CE11" i="2"/>
  <c r="CD8" i="2"/>
  <c r="CD16" i="2" s="1"/>
  <c r="CF10" i="2"/>
  <c r="BF40" i="2"/>
  <c r="BF109" i="2" s="1"/>
  <c r="BC14" i="2"/>
  <c r="BC40" i="2"/>
  <c r="CF12" i="2"/>
  <c r="AQ14" i="2"/>
  <c r="CE8" i="2"/>
  <c r="CE18" i="2" s="1"/>
  <c r="AY14" i="2"/>
  <c r="BG17" i="2"/>
  <c r="BG14" i="2"/>
  <c r="CF8" i="2"/>
  <c r="CF16" i="2" s="1"/>
  <c r="BG40" i="2"/>
  <c r="BG109" i="2" s="1"/>
  <c r="AS14" i="2"/>
  <c r="BA14" i="2"/>
  <c r="BB14" i="2"/>
  <c r="BG16" i="2"/>
  <c r="CB8" i="2"/>
  <c r="CB18" i="2" s="1"/>
  <c r="CG6" i="2"/>
  <c r="G225" i="3"/>
  <c r="T300" i="3"/>
  <c r="T298" i="3"/>
  <c r="O225" i="3"/>
  <c r="S243" i="3" s="1"/>
  <c r="C5" i="1"/>
  <c r="CU70" i="2" s="1"/>
  <c r="CU72" i="2" l="1"/>
  <c r="CU71" i="2"/>
  <c r="CH4" i="2"/>
  <c r="CG8" i="2"/>
  <c r="T297" i="3"/>
  <c r="U298" i="3"/>
  <c r="T301" i="3"/>
  <c r="U300" i="3"/>
  <c r="CB16" i="2"/>
  <c r="CF17" i="2"/>
  <c r="CD17" i="2"/>
  <c r="CB17" i="2"/>
  <c r="CC16" i="2"/>
  <c r="CC17" i="2"/>
  <c r="CF18" i="2"/>
  <c r="CD18" i="2"/>
  <c r="BC110" i="2"/>
  <c r="BC108" i="2"/>
  <c r="BC95" i="2"/>
  <c r="BC58" i="2"/>
  <c r="BC59" i="2"/>
  <c r="BC60" i="2"/>
  <c r="BC96" i="2"/>
  <c r="BC109" i="2"/>
  <c r="BG96" i="2"/>
  <c r="AP108" i="2"/>
  <c r="AP110" i="2"/>
  <c r="BB110" i="2"/>
  <c r="BB108" i="2"/>
  <c r="BB95" i="2"/>
  <c r="BB96" i="2"/>
  <c r="BE95" i="2"/>
  <c r="BE110" i="2"/>
  <c r="BE108" i="2"/>
  <c r="BE96" i="2"/>
  <c r="BF95" i="2"/>
  <c r="BF108" i="2"/>
  <c r="BF110" i="2"/>
  <c r="BE109" i="2"/>
  <c r="AT110" i="2"/>
  <c r="AT108" i="2"/>
  <c r="AX95" i="2"/>
  <c r="AX108" i="2"/>
  <c r="AX110" i="2"/>
  <c r="AX96" i="2"/>
  <c r="AP109" i="2"/>
  <c r="BG110" i="2"/>
  <c r="BG108" i="2"/>
  <c r="BG95" i="2"/>
  <c r="BG58" i="2"/>
  <c r="BG60" i="2"/>
  <c r="BG59" i="2"/>
  <c r="BD108" i="2"/>
  <c r="BD95" i="2"/>
  <c r="BD110" i="2"/>
  <c r="BD96" i="2"/>
  <c r="BD59" i="2"/>
  <c r="BD58" i="2"/>
  <c r="BD60" i="2"/>
  <c r="BF96" i="2"/>
  <c r="U53" i="2"/>
  <c r="U55" i="2" s="1"/>
  <c r="U63" i="2"/>
  <c r="E51" i="2"/>
  <c r="E101" i="2" s="1"/>
  <c r="E62" i="2"/>
  <c r="AK62" i="2"/>
  <c r="AK51" i="2"/>
  <c r="AK101" i="2" s="1"/>
  <c r="P63" i="2"/>
  <c r="P53" i="2"/>
  <c r="P55" i="2" s="1"/>
  <c r="V53" i="2"/>
  <c r="V55" i="2" s="1"/>
  <c r="V63" i="2"/>
  <c r="AE53" i="2"/>
  <c r="AE55" i="2" s="1"/>
  <c r="AE63" i="2"/>
  <c r="Y53" i="2"/>
  <c r="Y55" i="2" s="1"/>
  <c r="Y63" i="2"/>
  <c r="L51" i="2"/>
  <c r="L101" i="2" s="1"/>
  <c r="L62" i="2"/>
  <c r="K51" i="2"/>
  <c r="K101" i="2" s="1"/>
  <c r="K62" i="2"/>
  <c r="N51" i="2"/>
  <c r="N101" i="2" s="1"/>
  <c r="N62" i="2"/>
  <c r="M51" i="2"/>
  <c r="M101" i="2" s="1"/>
  <c r="M62" i="2"/>
  <c r="G51" i="2"/>
  <c r="G101" i="2" s="1"/>
  <c r="G62" i="2"/>
  <c r="AB51" i="2"/>
  <c r="AB101" i="2" s="1"/>
  <c r="AB62" i="2"/>
  <c r="AG53" i="2"/>
  <c r="AG55" i="2" s="1"/>
  <c r="AG63" i="2"/>
  <c r="X63" i="2"/>
  <c r="X53" i="2"/>
  <c r="X55" i="2" s="1"/>
  <c r="H63" i="2"/>
  <c r="H53" i="2"/>
  <c r="H55" i="2" s="1"/>
  <c r="AL53" i="2"/>
  <c r="AL55" i="2" s="1"/>
  <c r="AL63" i="2"/>
  <c r="W51" i="2"/>
  <c r="W101" i="2" s="1"/>
  <c r="W62" i="2"/>
  <c r="F53" i="2"/>
  <c r="F55" i="2" s="1"/>
  <c r="F63" i="2"/>
  <c r="AA51" i="2"/>
  <c r="AA101" i="2" s="1"/>
  <c r="AA62" i="2"/>
  <c r="AD51" i="2"/>
  <c r="AD101" i="2" s="1"/>
  <c r="AD62" i="2"/>
  <c r="I53" i="2"/>
  <c r="I55" i="2" s="1"/>
  <c r="I63" i="2"/>
  <c r="AF53" i="2"/>
  <c r="AF55" i="2" s="1"/>
  <c r="AF63" i="2"/>
  <c r="Z53" i="2"/>
  <c r="Z55" i="2" s="1"/>
  <c r="Z63" i="2"/>
  <c r="R53" i="2"/>
  <c r="R55" i="2" s="1"/>
  <c r="R63" i="2"/>
  <c r="J53" i="2"/>
  <c r="J55" i="2" s="1"/>
  <c r="J63" i="2"/>
  <c r="AC53" i="2"/>
  <c r="AC55" i="2" s="1"/>
  <c r="AC63" i="2"/>
  <c r="O53" i="2"/>
  <c r="O55" i="2" s="1"/>
  <c r="O63" i="2"/>
  <c r="AM49" i="2"/>
  <c r="AM61" i="2"/>
  <c r="AQ49" i="2"/>
  <c r="AQ61" i="2"/>
  <c r="AN63" i="2"/>
  <c r="AN53" i="2"/>
  <c r="AN55" i="2" s="1"/>
  <c r="AR51" i="2"/>
  <c r="AR101" i="2" s="1"/>
  <c r="AR62" i="2"/>
  <c r="AO61" i="2"/>
  <c r="AO49" i="2"/>
  <c r="AS49" i="2"/>
  <c r="AS61" i="2"/>
  <c r="AP42" i="2"/>
  <c r="AP58" i="2"/>
  <c r="AP59" i="2"/>
  <c r="AP60" i="2"/>
  <c r="AT42" i="2"/>
  <c r="AT59" i="2"/>
  <c r="AT58" i="2"/>
  <c r="AT60" i="2"/>
  <c r="AU49" i="2"/>
  <c r="AU61" i="2"/>
  <c r="AY49" i="2"/>
  <c r="AY61" i="2"/>
  <c r="AV61" i="2"/>
  <c r="AV49" i="2"/>
  <c r="AW49" i="2"/>
  <c r="AW61" i="2"/>
  <c r="AZ49" i="2"/>
  <c r="AZ61" i="2"/>
  <c r="BA62" i="2"/>
  <c r="BA51" i="2"/>
  <c r="BE60" i="2"/>
  <c r="BE58" i="2"/>
  <c r="BE59" i="2"/>
  <c r="AX42" i="2"/>
  <c r="AX58" i="2"/>
  <c r="AX59" i="2"/>
  <c r="AX60" i="2"/>
  <c r="BB42" i="2"/>
  <c r="BB60" i="2"/>
  <c r="BB59" i="2"/>
  <c r="BB58" i="2"/>
  <c r="BF60" i="2"/>
  <c r="BF59" i="2"/>
  <c r="BF58" i="2"/>
  <c r="BD42" i="2"/>
  <c r="BE42" i="2"/>
  <c r="BF42" i="2"/>
  <c r="BF57" i="2" s="1"/>
  <c r="BG42" i="2"/>
  <c r="BG57" i="2" s="1"/>
  <c r="BH57" i="2"/>
  <c r="BH46" i="2"/>
  <c r="BH49" i="2" s="1"/>
  <c r="CD14" i="2"/>
  <c r="CF14" i="2"/>
  <c r="CH6" i="2"/>
  <c r="CF40" i="2"/>
  <c r="BC42" i="2"/>
  <c r="CD40" i="2"/>
  <c r="CC14" i="2"/>
  <c r="CE40" i="2"/>
  <c r="CE14" i="2"/>
  <c r="CB40" i="2"/>
  <c r="CC40" i="2"/>
  <c r="C8" i="1"/>
  <c r="X260" i="3"/>
  <c r="CU86" i="2" l="1"/>
  <c r="CI4" i="2"/>
  <c r="CH8" i="2"/>
  <c r="CG14" i="2"/>
  <c r="CG40" i="2"/>
  <c r="T302" i="3"/>
  <c r="U301" i="3"/>
  <c r="T296" i="3"/>
  <c r="U297" i="3"/>
  <c r="CF95" i="2"/>
  <c r="CF96" i="2"/>
  <c r="BA99" i="2"/>
  <c r="BA98" i="2"/>
  <c r="BA101" i="2"/>
  <c r="BD46" i="2"/>
  <c r="BD57" i="2"/>
  <c r="BC46" i="2"/>
  <c r="BC57" i="2"/>
  <c r="AK53" i="2"/>
  <c r="AK55" i="2" s="1"/>
  <c r="AK63" i="2"/>
  <c r="E53" i="2"/>
  <c r="E55" i="2" s="1"/>
  <c r="E63" i="2"/>
  <c r="M53" i="2"/>
  <c r="M55" i="2" s="1"/>
  <c r="M63" i="2"/>
  <c r="N53" i="2"/>
  <c r="N55" i="2" s="1"/>
  <c r="N63" i="2"/>
  <c r="AD53" i="2"/>
  <c r="AD55" i="2" s="1"/>
  <c r="AD63" i="2"/>
  <c r="AB53" i="2"/>
  <c r="AB55" i="2" s="1"/>
  <c r="AB63" i="2"/>
  <c r="K53" i="2"/>
  <c r="K55" i="2" s="1"/>
  <c r="K63" i="2"/>
  <c r="W53" i="2"/>
  <c r="W55" i="2" s="1"/>
  <c r="W63" i="2"/>
  <c r="AA53" i="2"/>
  <c r="AA55" i="2" s="1"/>
  <c r="AA63" i="2"/>
  <c r="G53" i="2"/>
  <c r="G55" i="2" s="1"/>
  <c r="G63" i="2"/>
  <c r="L53" i="2"/>
  <c r="L55" i="2" s="1"/>
  <c r="L63" i="2"/>
  <c r="AM62" i="2"/>
  <c r="AM51" i="2"/>
  <c r="AM101" i="2" s="1"/>
  <c r="AQ51" i="2"/>
  <c r="AQ101" i="2" s="1"/>
  <c r="AQ62" i="2"/>
  <c r="AR53" i="2"/>
  <c r="AR55" i="2" s="1"/>
  <c r="AR63" i="2"/>
  <c r="AO51" i="2"/>
  <c r="AO101" i="2" s="1"/>
  <c r="AO62" i="2"/>
  <c r="AS51" i="2"/>
  <c r="AS101" i="2" s="1"/>
  <c r="AS62" i="2"/>
  <c r="AP46" i="2"/>
  <c r="AP57" i="2"/>
  <c r="AT46" i="2"/>
  <c r="AT57" i="2"/>
  <c r="AU62" i="2"/>
  <c r="AU51" i="2"/>
  <c r="AU101" i="2" s="1"/>
  <c r="AY51" i="2"/>
  <c r="AY62" i="2"/>
  <c r="AV51" i="2"/>
  <c r="AV101" i="2" s="1"/>
  <c r="AV62" i="2"/>
  <c r="AW62" i="2"/>
  <c r="AW51" i="2"/>
  <c r="AW101" i="2" s="1"/>
  <c r="AZ51" i="2"/>
  <c r="AZ62" i="2"/>
  <c r="BA53" i="2"/>
  <c r="BA55" i="2" s="1"/>
  <c r="BA63" i="2"/>
  <c r="BE46" i="2"/>
  <c r="BE57" i="2"/>
  <c r="AX46" i="2"/>
  <c r="AX57" i="2"/>
  <c r="BB57" i="2"/>
  <c r="BB46" i="2"/>
  <c r="BF46" i="2"/>
  <c r="BH61" i="2"/>
  <c r="BG46" i="2"/>
  <c r="CI6" i="2"/>
  <c r="X250" i="3"/>
  <c r="X249" i="3"/>
  <c r="X252" i="3"/>
  <c r="X259" i="3"/>
  <c r="X251" i="3"/>
  <c r="X262" i="3"/>
  <c r="X258" i="3"/>
  <c r="X254" i="3"/>
  <c r="X257" i="3"/>
  <c r="X261" i="3"/>
  <c r="X256" i="3"/>
  <c r="X253" i="3"/>
  <c r="X255" i="3"/>
  <c r="CI8" i="2" l="1"/>
  <c r="CJ4" i="2"/>
  <c r="CH14" i="2"/>
  <c r="CH40" i="2"/>
  <c r="CG45" i="2"/>
  <c r="CG41" i="2"/>
  <c r="CG42" i="2" s="1"/>
  <c r="CG44" i="2"/>
  <c r="CG43" i="2"/>
  <c r="T295" i="3"/>
  <c r="U296" i="3"/>
  <c r="T303" i="3"/>
  <c r="U302" i="3"/>
  <c r="BC49" i="2"/>
  <c r="BC61" i="2"/>
  <c r="AZ101" i="2"/>
  <c r="AZ98" i="2"/>
  <c r="AZ99" i="2"/>
  <c r="BD61" i="2"/>
  <c r="BD49" i="2"/>
  <c r="AY101" i="2"/>
  <c r="AY99" i="2"/>
  <c r="AY98" i="2"/>
  <c r="BG49" i="2"/>
  <c r="BG62" i="2" s="1"/>
  <c r="BG61" i="2"/>
  <c r="AM53" i="2"/>
  <c r="AM55" i="2" s="1"/>
  <c r="AM63" i="2"/>
  <c r="AQ53" i="2"/>
  <c r="AQ55" i="2" s="1"/>
  <c r="AQ63" i="2"/>
  <c r="AO53" i="2"/>
  <c r="AO55" i="2" s="1"/>
  <c r="AO63" i="2"/>
  <c r="AS53" i="2"/>
  <c r="AS55" i="2" s="1"/>
  <c r="AS63" i="2"/>
  <c r="AP61" i="2"/>
  <c r="AP49" i="2"/>
  <c r="AT49" i="2"/>
  <c r="AT61" i="2"/>
  <c r="AU53" i="2"/>
  <c r="AU55" i="2" s="1"/>
  <c r="AU63" i="2"/>
  <c r="AY53" i="2"/>
  <c r="AY55" i="2" s="1"/>
  <c r="AY63" i="2"/>
  <c r="AV53" i="2"/>
  <c r="AV55" i="2" s="1"/>
  <c r="AV63" i="2"/>
  <c r="AW53" i="2"/>
  <c r="AW55" i="2" s="1"/>
  <c r="AW63" i="2"/>
  <c r="AZ53" i="2"/>
  <c r="AZ55" i="2" s="1"/>
  <c r="AZ63" i="2"/>
  <c r="BE61" i="2"/>
  <c r="BE49" i="2"/>
  <c r="AX49" i="2"/>
  <c r="AX61" i="2"/>
  <c r="BB61" i="2"/>
  <c r="BB49" i="2"/>
  <c r="BF49" i="2"/>
  <c r="BF62" i="2" s="1"/>
  <c r="BF61" i="2"/>
  <c r="BH51" i="2"/>
  <c r="BH62" i="2"/>
  <c r="CJ6" i="2"/>
  <c r="CG46" i="2" l="1"/>
  <c r="CJ8" i="2"/>
  <c r="CK4" i="2"/>
  <c r="CH43" i="2"/>
  <c r="CH45" i="2"/>
  <c r="CH44" i="2"/>
  <c r="CH41" i="2"/>
  <c r="CH42" i="2" s="1"/>
  <c r="CI14" i="2"/>
  <c r="CI40" i="2"/>
  <c r="T304" i="3"/>
  <c r="U303" i="3"/>
  <c r="T294" i="3"/>
  <c r="U295" i="3"/>
  <c r="BD62" i="2"/>
  <c r="BD51" i="2"/>
  <c r="BH53" i="2"/>
  <c r="BH55" i="2" s="1"/>
  <c r="BH98" i="2"/>
  <c r="BH99" i="2"/>
  <c r="BC51" i="2"/>
  <c r="BC62" i="2"/>
  <c r="AP51" i="2"/>
  <c r="AP101" i="2" s="1"/>
  <c r="AP62" i="2"/>
  <c r="AT62" i="2"/>
  <c r="AT51" i="2"/>
  <c r="AT101" i="2" s="1"/>
  <c r="BE51" i="2"/>
  <c r="BE62" i="2"/>
  <c r="AX51" i="2"/>
  <c r="AX62" i="2"/>
  <c r="BB62" i="2"/>
  <c r="BB51" i="2"/>
  <c r="BG51" i="2"/>
  <c r="BF51" i="2"/>
  <c r="BH63" i="2"/>
  <c r="BH101" i="2"/>
  <c r="CK6" i="2"/>
  <c r="CG49" i="2" l="1"/>
  <c r="CG50" i="2" s="1"/>
  <c r="CG51" i="2" s="1"/>
  <c r="CG61" i="2"/>
  <c r="CW67" i="2"/>
  <c r="CW68" i="2" s="1"/>
  <c r="CK8" i="2"/>
  <c r="CL4" i="2"/>
  <c r="CH46" i="2"/>
  <c r="CH61" i="2" s="1"/>
  <c r="CJ14" i="2"/>
  <c r="CJ40" i="2"/>
  <c r="CI45" i="2"/>
  <c r="CI44" i="2"/>
  <c r="CI41" i="2"/>
  <c r="CI42" i="2" s="1"/>
  <c r="CI43" i="2"/>
  <c r="T293" i="3"/>
  <c r="U294" i="3"/>
  <c r="T305" i="3"/>
  <c r="U304" i="3"/>
  <c r="BC53" i="2"/>
  <c r="BC55" i="2" s="1"/>
  <c r="BC99" i="2"/>
  <c r="BC98" i="2"/>
  <c r="BC101" i="2"/>
  <c r="BC63" i="2"/>
  <c r="AX99" i="2"/>
  <c r="AX98" i="2"/>
  <c r="AX101" i="2"/>
  <c r="BF98" i="2"/>
  <c r="BF101" i="2"/>
  <c r="BF99" i="2"/>
  <c r="BE98" i="2"/>
  <c r="BE101" i="2"/>
  <c r="BE99" i="2"/>
  <c r="BG53" i="2"/>
  <c r="BG55" i="2" s="1"/>
  <c r="BG99" i="2"/>
  <c r="BG98" i="2"/>
  <c r="BG63" i="2"/>
  <c r="BD99" i="2"/>
  <c r="BD98" i="2"/>
  <c r="BD101" i="2"/>
  <c r="BD53" i="2"/>
  <c r="BD55" i="2" s="1"/>
  <c r="BD63" i="2"/>
  <c r="BB99" i="2"/>
  <c r="BB101" i="2"/>
  <c r="BB98" i="2"/>
  <c r="AP53" i="2"/>
  <c r="AP55" i="2" s="1"/>
  <c r="AP63" i="2"/>
  <c r="AT53" i="2"/>
  <c r="AT55" i="2" s="1"/>
  <c r="AT63" i="2"/>
  <c r="BE53" i="2"/>
  <c r="BE55" i="2" s="1"/>
  <c r="BE63" i="2"/>
  <c r="AX53" i="2"/>
  <c r="AX55" i="2" s="1"/>
  <c r="AX63" i="2"/>
  <c r="BB53" i="2"/>
  <c r="BB55" i="2" s="1"/>
  <c r="BB63" i="2"/>
  <c r="BF53" i="2"/>
  <c r="BF55" i="2" s="1"/>
  <c r="BF63" i="2"/>
  <c r="BG101" i="2"/>
  <c r="CL6" i="2"/>
  <c r="CG65" i="2" l="1"/>
  <c r="CH47" i="2" s="1"/>
  <c r="CH49" i="2" s="1"/>
  <c r="CH50" i="2" s="1"/>
  <c r="CH51" i="2" s="1"/>
  <c r="CG63" i="2"/>
  <c r="CL8" i="2"/>
  <c r="CM4" i="2"/>
  <c r="CK14" i="2"/>
  <c r="CK40" i="2"/>
  <c r="CJ44" i="2"/>
  <c r="CJ45" i="2"/>
  <c r="CJ41" i="2"/>
  <c r="CJ42" i="2" s="1"/>
  <c r="CJ43" i="2"/>
  <c r="CI46" i="2"/>
  <c r="CI61" i="2" s="1"/>
  <c r="T306" i="3"/>
  <c r="U305" i="3"/>
  <c r="T292" i="3"/>
  <c r="U293" i="3"/>
  <c r="CM6" i="2"/>
  <c r="CH65" i="2" l="1"/>
  <c r="CI47" i="2" s="1"/>
  <c r="CI49" i="2" s="1"/>
  <c r="CH63" i="2"/>
  <c r="CM8" i="2"/>
  <c r="CN4" i="2"/>
  <c r="CL14" i="2"/>
  <c r="CL40" i="2"/>
  <c r="CJ46" i="2"/>
  <c r="CJ61" i="2" s="1"/>
  <c r="CK41" i="2"/>
  <c r="CK42" i="2" s="1"/>
  <c r="CK44" i="2"/>
  <c r="CK45" i="2"/>
  <c r="CK43" i="2"/>
  <c r="T291" i="3"/>
  <c r="U292" i="3"/>
  <c r="T307" i="3"/>
  <c r="U306" i="3"/>
  <c r="CN6" i="2"/>
  <c r="CN8" i="2" l="1"/>
  <c r="CO4" i="2"/>
  <c r="CK46" i="2"/>
  <c r="CK61" i="2" s="1"/>
  <c r="CL43" i="2"/>
  <c r="CL45" i="2"/>
  <c r="CL44" i="2"/>
  <c r="CL41" i="2"/>
  <c r="CL42" i="2" s="1"/>
  <c r="CM14" i="2"/>
  <c r="CM40" i="2"/>
  <c r="CI50" i="2"/>
  <c r="CI51" i="2" s="1"/>
  <c r="CI63" i="2" s="1"/>
  <c r="T308" i="3"/>
  <c r="U307" i="3"/>
  <c r="T290" i="3"/>
  <c r="U291" i="3"/>
  <c r="CO6" i="2"/>
  <c r="CL46" i="2" l="1"/>
  <c r="CL61" i="2" s="1"/>
  <c r="CO8" i="2"/>
  <c r="CP4" i="2"/>
  <c r="CN14" i="2"/>
  <c r="CN40" i="2"/>
  <c r="CM45" i="2"/>
  <c r="CM44" i="2"/>
  <c r="CM41" i="2"/>
  <c r="CM42" i="2" s="1"/>
  <c r="CM43" i="2"/>
  <c r="CI65" i="2"/>
  <c r="T289" i="3"/>
  <c r="U290" i="3"/>
  <c r="T309" i="3"/>
  <c r="U308" i="3"/>
  <c r="CP6" i="2"/>
  <c r="CP8" i="2" l="1"/>
  <c r="CP40" i="2" s="1"/>
  <c r="CP43" i="2" s="1"/>
  <c r="CM46" i="2"/>
  <c r="CM61" i="2" s="1"/>
  <c r="CO14" i="2"/>
  <c r="CO40" i="2"/>
  <c r="CN44" i="2"/>
  <c r="CN41" i="2"/>
  <c r="CN42" i="2" s="1"/>
  <c r="CN43" i="2"/>
  <c r="CN45" i="2"/>
  <c r="CJ47" i="2"/>
  <c r="CJ49" i="2" s="1"/>
  <c r="CJ50" i="2" s="1"/>
  <c r="CJ51" i="2" s="1"/>
  <c r="T310" i="3"/>
  <c r="U309" i="3"/>
  <c r="T288" i="3"/>
  <c r="U289" i="3"/>
  <c r="CJ65" i="2" l="1"/>
  <c r="CK47" i="2" s="1"/>
  <c r="CK49" i="2" s="1"/>
  <c r="CK50" i="2" s="1"/>
  <c r="CK51" i="2" s="1"/>
  <c r="CJ63" i="2"/>
  <c r="CP14" i="2"/>
  <c r="CP41" i="2"/>
  <c r="CP42" i="2" s="1"/>
  <c r="CP44" i="2"/>
  <c r="CP45" i="2"/>
  <c r="CO43" i="2"/>
  <c r="CO41" i="2"/>
  <c r="CO42" i="2" s="1"/>
  <c r="CO45" i="2"/>
  <c r="CO44" i="2"/>
  <c r="CN46" i="2"/>
  <c r="CN61" i="2" s="1"/>
  <c r="T287" i="3"/>
  <c r="U288" i="3"/>
  <c r="T311" i="3"/>
  <c r="U310" i="3"/>
  <c r="CK65" i="2" l="1"/>
  <c r="CL47" i="2" s="1"/>
  <c r="CL49" i="2" s="1"/>
  <c r="CL50" i="2" s="1"/>
  <c r="CL51" i="2" s="1"/>
  <c r="CK63" i="2"/>
  <c r="CP46" i="2"/>
  <c r="CP61" i="2" s="1"/>
  <c r="CO46" i="2"/>
  <c r="CO61" i="2" s="1"/>
  <c r="T312" i="3"/>
  <c r="U311" i="3"/>
  <c r="T286" i="3"/>
  <c r="U287" i="3"/>
  <c r="CL65" i="2" l="1"/>
  <c r="CM47" i="2" s="1"/>
  <c r="CM49" i="2" s="1"/>
  <c r="CM50" i="2" s="1"/>
  <c r="CM51" i="2" s="1"/>
  <c r="CL63" i="2"/>
  <c r="T285" i="3"/>
  <c r="U286" i="3"/>
  <c r="T313" i="3"/>
  <c r="U312" i="3"/>
  <c r="CM65" i="2" l="1"/>
  <c r="CN47" i="2" s="1"/>
  <c r="CN49" i="2" s="1"/>
  <c r="CN50" i="2" s="1"/>
  <c r="CN51" i="2" s="1"/>
  <c r="CM63" i="2"/>
  <c r="T314" i="3"/>
  <c r="U313" i="3"/>
  <c r="T284" i="3"/>
  <c r="U285" i="3"/>
  <c r="CN65" i="2" l="1"/>
  <c r="CO47" i="2" s="1"/>
  <c r="CO49" i="2" s="1"/>
  <c r="CO50" i="2" s="1"/>
  <c r="CO51" i="2" s="1"/>
  <c r="CN63" i="2"/>
  <c r="T283" i="3"/>
  <c r="U284" i="3"/>
  <c r="T315" i="3"/>
  <c r="U314" i="3"/>
  <c r="CO65" i="2" l="1"/>
  <c r="CO63" i="2"/>
  <c r="T316" i="3"/>
  <c r="U315" i="3"/>
  <c r="T282" i="3"/>
  <c r="U283" i="3"/>
  <c r="CP47" i="2" l="1"/>
  <c r="CP49" i="2" s="1"/>
  <c r="CP50" i="2" s="1"/>
  <c r="CP51" i="2" s="1"/>
  <c r="CP65" i="2" s="1"/>
  <c r="T281" i="3"/>
  <c r="U282" i="3"/>
  <c r="T317" i="3"/>
  <c r="U316" i="3"/>
  <c r="CQ51" i="2" l="1"/>
  <c r="CR51" i="2" s="1"/>
  <c r="CS51" i="2" s="1"/>
  <c r="CT51" i="2" s="1"/>
  <c r="CU51" i="2" s="1"/>
  <c r="CV51" i="2" s="1"/>
  <c r="CW51" i="2" s="1"/>
  <c r="CX51" i="2" s="1"/>
  <c r="CY51" i="2" s="1"/>
  <c r="CZ51" i="2" s="1"/>
  <c r="DA51" i="2" s="1"/>
  <c r="DB51" i="2" s="1"/>
  <c r="DC51" i="2" s="1"/>
  <c r="DD51" i="2" s="1"/>
  <c r="DE51" i="2" s="1"/>
  <c r="DF51" i="2" s="1"/>
  <c r="DG51" i="2" s="1"/>
  <c r="DH51" i="2" s="1"/>
  <c r="DI51" i="2" s="1"/>
  <c r="DJ51" i="2" s="1"/>
  <c r="DK51" i="2" s="1"/>
  <c r="DL51" i="2" s="1"/>
  <c r="DM51" i="2" s="1"/>
  <c r="DN51" i="2" s="1"/>
  <c r="DO51" i="2" s="1"/>
  <c r="DP51" i="2" s="1"/>
  <c r="DQ51" i="2" s="1"/>
  <c r="DR51" i="2" s="1"/>
  <c r="DS51" i="2" s="1"/>
  <c r="DT51" i="2" s="1"/>
  <c r="DU51" i="2" s="1"/>
  <c r="DV51" i="2" s="1"/>
  <c r="DW51" i="2" s="1"/>
  <c r="DX51" i="2" s="1"/>
  <c r="DY51" i="2" s="1"/>
  <c r="DZ51" i="2" s="1"/>
  <c r="EA51" i="2" s="1"/>
  <c r="EB51" i="2" s="1"/>
  <c r="EC51" i="2" s="1"/>
  <c r="ED51" i="2" s="1"/>
  <c r="EE51" i="2" s="1"/>
  <c r="EF51" i="2" s="1"/>
  <c r="EG51" i="2" s="1"/>
  <c r="EH51" i="2" s="1"/>
  <c r="EI51" i="2" s="1"/>
  <c r="EJ51" i="2" s="1"/>
  <c r="EK51" i="2" s="1"/>
  <c r="EL51" i="2" s="1"/>
  <c r="EM51" i="2" s="1"/>
  <c r="EN51" i="2" s="1"/>
  <c r="CZ72" i="2" s="1"/>
  <c r="CZ74" i="2" s="1"/>
  <c r="CP63" i="2"/>
  <c r="T318" i="3"/>
  <c r="U317" i="3"/>
  <c r="T280" i="3"/>
  <c r="U281" i="3"/>
  <c r="CZ76" i="2" l="1"/>
  <c r="T279" i="3"/>
  <c r="U280" i="3"/>
  <c r="T319" i="3"/>
  <c r="U318" i="3"/>
  <c r="DA76" i="2" l="1"/>
  <c r="CY77" i="2" a="1"/>
  <c r="T320" i="3"/>
  <c r="U319" i="3"/>
  <c r="T278" i="3"/>
  <c r="U279" i="3"/>
  <c r="T277" i="3" l="1"/>
  <c r="U278" i="3"/>
  <c r="T321" i="3"/>
  <c r="U320" i="3"/>
  <c r="T322" i="3" l="1"/>
  <c r="U321" i="3"/>
  <c r="T276" i="3"/>
  <c r="U277" i="3"/>
  <c r="T275" i="3" l="1"/>
  <c r="U276" i="3"/>
  <c r="T323" i="3"/>
  <c r="U322" i="3"/>
  <c r="T324" i="3" l="1"/>
  <c r="U323" i="3"/>
  <c r="T274" i="3"/>
  <c r="U275" i="3"/>
  <c r="T273" i="3" l="1"/>
  <c r="U274" i="3"/>
  <c r="T325" i="3"/>
  <c r="U324" i="3"/>
  <c r="T326" i="3" l="1"/>
  <c r="U325" i="3"/>
  <c r="T272" i="3"/>
  <c r="U273" i="3"/>
  <c r="T271" i="3" l="1"/>
  <c r="U272" i="3"/>
  <c r="T327" i="3"/>
  <c r="U326" i="3"/>
  <c r="T328" i="3" l="1"/>
  <c r="U327" i="3"/>
  <c r="T270" i="3"/>
  <c r="U271" i="3"/>
  <c r="T269" i="3" l="1"/>
  <c r="U270" i="3"/>
  <c r="T329" i="3"/>
  <c r="U328" i="3"/>
  <c r="T330" i="3" l="1"/>
  <c r="U329" i="3"/>
  <c r="T268" i="3"/>
  <c r="U269" i="3"/>
  <c r="T267" i="3" l="1"/>
  <c r="U268" i="3"/>
  <c r="T331" i="3"/>
  <c r="U330" i="3"/>
  <c r="T332" i="3" l="1"/>
  <c r="U331" i="3"/>
  <c r="T266" i="3"/>
  <c r="U267" i="3"/>
  <c r="T265" i="3" l="1"/>
  <c r="U266" i="3"/>
  <c r="T333" i="3"/>
  <c r="U332" i="3"/>
  <c r="T334" i="3" l="1"/>
  <c r="U333" i="3"/>
  <c r="T264" i="3"/>
  <c r="U265" i="3"/>
  <c r="T263" i="3" l="1"/>
  <c r="U264" i="3"/>
  <c r="T335" i="3"/>
  <c r="U334" i="3"/>
  <c r="T336" i="3" l="1"/>
  <c r="U335" i="3"/>
  <c r="T262" i="3"/>
  <c r="U263" i="3"/>
  <c r="T261" i="3" l="1"/>
  <c r="U262" i="3"/>
  <c r="T337" i="3"/>
  <c r="U336" i="3"/>
  <c r="T338" i="3" l="1"/>
  <c r="U337" i="3"/>
  <c r="T260" i="3"/>
  <c r="U261" i="3"/>
  <c r="T259" i="3" l="1"/>
  <c r="U260" i="3"/>
  <c r="T339" i="3"/>
  <c r="U338" i="3"/>
  <c r="T340" i="3" l="1"/>
  <c r="U339" i="3"/>
  <c r="T258" i="3"/>
  <c r="U259" i="3"/>
  <c r="T257" i="3" l="1"/>
  <c r="U258" i="3"/>
  <c r="T341" i="3"/>
  <c r="U340" i="3"/>
  <c r="T342" i="3" l="1"/>
  <c r="U341" i="3"/>
  <c r="T256" i="3"/>
  <c r="U257" i="3"/>
  <c r="T255" i="3" l="1"/>
  <c r="U256" i="3"/>
  <c r="T343" i="3"/>
  <c r="U342" i="3"/>
  <c r="T344" i="3" l="1"/>
  <c r="U343" i="3"/>
  <c r="T254" i="3"/>
  <c r="U255" i="3"/>
  <c r="U254" i="3" l="1"/>
  <c r="T253" i="3"/>
  <c r="T345" i="3"/>
  <c r="U344" i="3"/>
  <c r="T346" i="3" l="1"/>
  <c r="U345" i="3"/>
  <c r="T252" i="3"/>
  <c r="U253" i="3"/>
  <c r="T251" i="3" l="1"/>
  <c r="U252" i="3"/>
  <c r="T347" i="3"/>
  <c r="U346" i="3"/>
  <c r="T348" i="3" l="1"/>
  <c r="U347" i="3"/>
  <c r="T250" i="3"/>
  <c r="U251" i="3"/>
  <c r="T249" i="3" l="1"/>
  <c r="U249" i="3" s="1"/>
  <c r="U250" i="3"/>
  <c r="T349" i="3"/>
  <c r="U349" i="3" s="1"/>
  <c r="U34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<sst xmlns="http://schemas.openxmlformats.org/spreadsheetml/2006/main" count="3300" uniqueCount="1745">
  <si>
    <t xml:space="preserve">Price </t>
  </si>
  <si>
    <t>SO</t>
  </si>
  <si>
    <t>MC</t>
  </si>
  <si>
    <t>Cash</t>
  </si>
  <si>
    <t>Debt</t>
  </si>
  <si>
    <t>EV</t>
  </si>
  <si>
    <t>Investor Relations Contact:</t>
  </si>
  <si>
    <t>SEC filings</t>
  </si>
  <si>
    <t>Godel Terminal</t>
  </si>
  <si>
    <t>Company Overview:</t>
  </si>
  <si>
    <t>[Bold Title]</t>
  </si>
  <si>
    <t>Line Titles</t>
  </si>
  <si>
    <t>&lt;-- General</t>
  </si>
  <si>
    <t>&lt;-- Info</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</si>
  <si>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</si>
  <si>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</si>
  <si>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</si>
  <si>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</si>
  <si>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</si>
  <si>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</si>
  <si>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</si>
  <si>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</si>
  <si>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</si>
  <si>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</si>
  <si>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</si>
  <si>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</si>
  <si>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</si>
  <si>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</si>
  <si>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</si>
  <si>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</si>
  <si>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</si>
  <si>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</si>
  <si>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</si>
  <si>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</si>
  <si>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</si>
  <si>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</si>
  <si>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</si>
  <si>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</si>
  <si>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</si>
  <si>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</si>
  <si>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</si>
  <si>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</si>
  <si>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</si>
  <si>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2020</t>
  </si>
  <si>
    <t>Q1 2021</t>
  </si>
  <si>
    <t>Q1 2022</t>
  </si>
  <si>
    <t>Q1 2023</t>
  </si>
  <si>
    <t>Q1 2024</t>
  </si>
  <si>
    <t>Q1 2025</t>
  </si>
  <si>
    <t>[Use for Graphing]</t>
  </si>
  <si>
    <t>Quarterly</t>
  </si>
  <si>
    <t>Revenues</t>
  </si>
  <si>
    <t>Ttl Revenues</t>
  </si>
  <si>
    <t>U.S. % of Revenues</t>
  </si>
  <si>
    <t>COGS</t>
  </si>
  <si>
    <t>GP</t>
  </si>
  <si>
    <t>Gross Profit Margin</t>
  </si>
  <si>
    <t>R&amp;D as % of Revenue</t>
  </si>
  <si>
    <t>SG&amp;A as % of Revenue</t>
  </si>
  <si>
    <t>Effective Tax Rate</t>
  </si>
  <si>
    <t>Net Profit Margin</t>
  </si>
  <si>
    <t xml:space="preserve">Cash &amp; CEs </t>
  </si>
  <si>
    <t>Current Ratio</t>
  </si>
  <si>
    <t>Quick Ratio</t>
  </si>
  <si>
    <t>Cash Ratio</t>
  </si>
  <si>
    <t>Inventory Turnover Ratio</t>
  </si>
  <si>
    <t>Return on Assets</t>
  </si>
  <si>
    <t>Return on Equity</t>
  </si>
  <si>
    <t>Net Income</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</si>
  <si>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</si>
  <si>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</si>
  <si>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</si>
  <si>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</si>
  <si>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</si>
  <si>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</si>
  <si>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</si>
  <si>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</si>
  <si>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</si>
  <si>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</si>
  <si>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</si>
  <si>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</si>
  <si>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</si>
  <si>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</si>
  <si>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</si>
  <si>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</si>
  <si>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</si>
  <si>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</si>
  <si>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</si>
  <si>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</si>
  <si>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</si>
  <si>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</si>
  <si>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Investors Relation Department</t>
  </si>
  <si>
    <t>Business Segments and Geographical Info:</t>
  </si>
  <si>
    <t xml:space="preserve">[Begin researching fundamentals / core business … begin with SEC filings, but expand and use all public resources available] </t>
  </si>
  <si>
    <t>Employee Scope:</t>
  </si>
  <si>
    <t>Resources:</t>
  </si>
  <si>
    <t>Y/y Total Revenues, Net Income, FCF</t>
  </si>
  <si>
    <t>Q/q Total Revenues, Net Income, FCF</t>
  </si>
  <si>
    <t>Company IR Page</t>
  </si>
  <si>
    <t>Company Homepage</t>
  </si>
  <si>
    <t>MacroTrends</t>
  </si>
  <si>
    <t>ROIC, WACC</t>
  </si>
  <si>
    <t>Ttl Revenue Growth Y/y</t>
  </si>
  <si>
    <t>Projected ROIC:</t>
  </si>
  <si>
    <t>Invested Capital</t>
  </si>
  <si>
    <t>ROIC</t>
  </si>
  <si>
    <t>Terminal</t>
  </si>
  <si>
    <t>RFR (10-year yield)</t>
  </si>
  <si>
    <t>ERP 
(Avg. market return - (less) RFR)</t>
  </si>
  <si>
    <t>Equity β (1-year avg.)</t>
  </si>
  <si>
    <t>NPV</t>
  </si>
  <si>
    <t>FV</t>
  </si>
  <si>
    <t>CP</t>
  </si>
  <si>
    <t>Change Δ</t>
  </si>
  <si>
    <t>VOO Historical Returns</t>
  </si>
  <si>
    <t>Cost of Equity</t>
  </si>
  <si>
    <t>Debt to Ttl Mkt Cap</t>
  </si>
  <si>
    <t>Mkt Equity to Ttl Mkt Cap</t>
  </si>
  <si>
    <t>Market Return(1-year avg.)</t>
  </si>
  <si>
    <t xml:space="preserve">Cost of Equity </t>
  </si>
  <si>
    <t>Cost of Debt</t>
  </si>
  <si>
    <t>Tax Rate</t>
  </si>
  <si>
    <t>After Tax Cost of Debt</t>
  </si>
  <si>
    <t>2024-2025</t>
  </si>
  <si>
    <r>
      <rPr>
        <b/>
        <sz val="11"/>
        <color rgb="FF0070C0"/>
        <rFont val="Calibre"/>
      </rPr>
      <t>Avg.</t>
    </r>
    <r>
      <rPr>
        <sz val="11"/>
        <color rgb="FF0070C0"/>
        <rFont val="Calibre"/>
      </rPr>
      <t xml:space="preserve"> (2024-2025)</t>
    </r>
  </si>
  <si>
    <t>Ttl Assets</t>
  </si>
  <si>
    <t>Ttl Liabilities</t>
  </si>
  <si>
    <t>Ttl SE</t>
  </si>
  <si>
    <t>Ttl L + SE</t>
  </si>
  <si>
    <t>EPS</t>
  </si>
  <si>
    <t>Fixed Asset Turnover Ratio</t>
  </si>
  <si>
    <t>Ttl Asset Turnover Ratio</t>
  </si>
  <si>
    <t>LT Debt / Equity</t>
  </si>
  <si>
    <t>CFFO Margin</t>
  </si>
  <si>
    <t>FCF Margin</t>
  </si>
  <si>
    <t>CapEx as % of Revenue</t>
  </si>
  <si>
    <t>RTX</t>
  </si>
  <si>
    <t xml:space="preserve">Institutional Ownership </t>
  </si>
  <si>
    <t xml:space="preserve">Revenue Breakdown by Segment </t>
  </si>
  <si>
    <t>RTX Corporation (RTX)</t>
  </si>
  <si>
    <t>Founder(s): Vannevar Bush, Laurence K. Marshall, Charles G. Smith</t>
  </si>
  <si>
    <t>Founded: 1922</t>
  </si>
  <si>
    <t>Headquarters: Arlington, VA</t>
  </si>
  <si>
    <t>Current CEO: Christopher Calio</t>
  </si>
  <si>
    <t>Employees: 180,000</t>
  </si>
  <si>
    <t>Industry: Aerospace &amp; Defense</t>
  </si>
  <si>
    <t>Sector: Industrials</t>
  </si>
  <si>
    <t>IPO: September 15, 1952</t>
  </si>
  <si>
    <t>Fiscal Year: [January - December]</t>
  </si>
  <si>
    <t>Registered Exchange: NYSE</t>
  </si>
  <si>
    <t>Address: 1000 Wilson Boulevard, Arlington, VA 22209 U.S.</t>
  </si>
  <si>
    <t>(781) 522 - 3000</t>
  </si>
  <si>
    <t>https://www.sec.gov/edgar/browse/?CIK=101829&amp;owner=exclude</t>
  </si>
  <si>
    <t>https://www.rtx.com/</t>
  </si>
  <si>
    <t>https://investors.rtx.com/#Investors</t>
  </si>
  <si>
    <t>https://seekingalpha.com/symbol/RTX/earnings/transcripts</t>
  </si>
  <si>
    <t>https://stockanalysis.com/stocks/rtx/company/</t>
  </si>
  <si>
    <t>https://www.macrotrends.net/stocks/charts/RTX/rtx/income-statement</t>
  </si>
  <si>
    <t>https://www.gurufocus.com/term/wacc/RTX</t>
  </si>
  <si>
    <t>RTX Corporation, an aerospace and defense company, provides systems and services for commercial, military, and government customers worldwide</t>
  </si>
  <si>
    <t>The Company operates through three segments: Collins Aerospace (Collins), Pratt &amp; Whitney, and Raytheon</t>
  </si>
  <si>
    <t>This segment designs, manufactures, and supplies electric power generation and management and distribution, environmental control, flight control, air data and aircraft sensing, engine control, and engine nacelle systems, as well as engine components</t>
  </si>
  <si>
    <t>cabin interiors, including seating, oxygen, food and beverage preparation, storage and galley, lavatory, and wastewater management systems; connected aviation solutions and services; and systems solutions for connected battlespace, test and training range systems, crew escape systems, and simulation and training</t>
  </si>
  <si>
    <t>It also provides spare parts, overhaul and repair, engineering and technical support, training and fleet management solutions, and asset and information management services</t>
  </si>
  <si>
    <t>This segment offers sensors, mission orchestration and satellite control products, and software. The company was formerly known as Raytheon Technologies Corporation and changed its name to RTX Corporation in July 2023</t>
  </si>
  <si>
    <t>RTX Corporation was incorporated in 1934 and is headquartered in Arlington, Virginia</t>
  </si>
  <si>
    <r>
      <t xml:space="preserve">The </t>
    </r>
    <r>
      <rPr>
        <b/>
        <sz val="11"/>
        <color theme="1"/>
        <rFont val="Calibre"/>
      </rPr>
      <t xml:space="preserve">Pratt &amp; Whitney </t>
    </r>
    <r>
      <rPr>
        <sz val="11"/>
        <color theme="1"/>
        <rFont val="Calibre"/>
      </rPr>
      <t>segment supplies</t>
    </r>
    <r>
      <rPr>
        <b/>
        <sz val="11"/>
        <color theme="1"/>
        <rFont val="Calibre"/>
      </rPr>
      <t xml:space="preserve"> aircraft engines</t>
    </r>
    <r>
      <rPr>
        <sz val="11"/>
        <color theme="1"/>
        <rFont val="Calibre"/>
      </rPr>
      <t xml:space="preserve"> for commercial, military, business jet, and general aviation customers; and produces, sells, and services military and commercial auxiliary power units, as well as offers fleet management and aftermarket maintenance, repair, and overhaul services</t>
    </r>
  </si>
  <si>
    <r>
      <t xml:space="preserve">The </t>
    </r>
    <r>
      <rPr>
        <b/>
        <sz val="11"/>
        <color theme="1"/>
        <rFont val="Calibre"/>
      </rPr>
      <t>Collins</t>
    </r>
    <r>
      <rPr>
        <sz val="11"/>
        <color theme="1"/>
        <rFont val="Calibre"/>
      </rPr>
      <t xml:space="preserve"> segment offers </t>
    </r>
    <r>
      <rPr>
        <b/>
        <sz val="11"/>
        <color theme="1"/>
        <rFont val="Calibre"/>
      </rPr>
      <t>aerospace and defense products</t>
    </r>
    <r>
      <rPr>
        <sz val="11"/>
        <color theme="1"/>
        <rFont val="Calibre"/>
      </rPr>
      <t>, and aftermarket services for civil and military aircraft manufacturers and commercial airlines, as well as regional, business, and general aviation, defense, and commercial space operations</t>
    </r>
  </si>
  <si>
    <r>
      <t xml:space="preserve">The </t>
    </r>
    <r>
      <rPr>
        <b/>
        <sz val="11"/>
        <color theme="1"/>
        <rFont val="Calibre"/>
      </rPr>
      <t xml:space="preserve">Raytheon </t>
    </r>
    <r>
      <rPr>
        <sz val="11"/>
        <color theme="1"/>
        <rFont val="Calibre"/>
      </rPr>
      <t xml:space="preserve">segment provides </t>
    </r>
    <r>
      <rPr>
        <b/>
        <sz val="11"/>
        <color theme="1"/>
        <rFont val="Calibre"/>
      </rPr>
      <t>defensive and offensive threat detection, tracking, and mitigation capabilities</t>
    </r>
    <r>
      <rPr>
        <sz val="11"/>
        <color theme="1"/>
        <rFont val="Calibre"/>
      </rPr>
      <t xml:space="preserve"> for government and commercial customers</t>
    </r>
  </si>
  <si>
    <t>Collins Aerospace</t>
  </si>
  <si>
    <t>Pratt &amp; Whitney</t>
  </si>
  <si>
    <t>Collins Aerospace Growth Y/y</t>
  </si>
  <si>
    <t>Pratt &amp; Whitney Growth Y/y</t>
  </si>
  <si>
    <t>Raytheon Growth Y/y</t>
  </si>
  <si>
    <t>Collins Aerospace % of Ttl Revenues</t>
  </si>
  <si>
    <t>Pratt &amp; Whitney % of Ttl Revenues</t>
  </si>
  <si>
    <t>Raytheon % of Ttl Revenues</t>
  </si>
  <si>
    <t>U.S.</t>
  </si>
  <si>
    <t>Europe</t>
  </si>
  <si>
    <t>APAC</t>
  </si>
  <si>
    <t>Mid-East</t>
  </si>
  <si>
    <t>Other regions</t>
  </si>
  <si>
    <t>Europe % of Revenues</t>
  </si>
  <si>
    <t>APAC % of Revenues</t>
  </si>
  <si>
    <t>Mid-East % of Revenues</t>
  </si>
  <si>
    <t>Other regions % of Revenues</t>
  </si>
  <si>
    <t>U.S. Growth Y/y</t>
  </si>
  <si>
    <t>Europe Growth Y/y</t>
  </si>
  <si>
    <t>APAC Growth Y/y</t>
  </si>
  <si>
    <t>Mid-East Growth Y/y</t>
  </si>
  <si>
    <t>Other regions Growth Y/y</t>
  </si>
  <si>
    <t>Ttl Revenue Growth</t>
  </si>
  <si>
    <t>R&amp;D</t>
  </si>
  <si>
    <t>SG&amp;A</t>
  </si>
  <si>
    <t>OI</t>
  </si>
  <si>
    <t>Interest Expense</t>
  </si>
  <si>
    <t>Pretax Income</t>
  </si>
  <si>
    <t>Taxes</t>
  </si>
  <si>
    <t>A/R</t>
  </si>
  <si>
    <t>Contract Assets</t>
  </si>
  <si>
    <t>Inventories</t>
  </si>
  <si>
    <t>Other ST Assets</t>
  </si>
  <si>
    <t>LT Customer Financing Assets</t>
  </si>
  <si>
    <t>PP&amp;E, net</t>
  </si>
  <si>
    <t>LT Operating Lease Assets</t>
  </si>
  <si>
    <t>Goodwill</t>
  </si>
  <si>
    <t>Intangibles</t>
  </si>
  <si>
    <t>Other LT Assets</t>
  </si>
  <si>
    <t>ST Debt</t>
  </si>
  <si>
    <t>A/P</t>
  </si>
  <si>
    <t>ST Employee Comp</t>
  </si>
  <si>
    <t>Other ST Liabilities</t>
  </si>
  <si>
    <t>Contract Liabilities</t>
  </si>
  <si>
    <t>Current Portion of LT Debt</t>
  </si>
  <si>
    <t>LT Debt</t>
  </si>
  <si>
    <t>LT Operating Lease Liabilities</t>
  </si>
  <si>
    <t>LT Employee Comp Liabilities</t>
  </si>
  <si>
    <t>Other LT Liabilities</t>
  </si>
  <si>
    <t>Other as % of Revenue</t>
  </si>
  <si>
    <t>Intersegment Eliminations</t>
  </si>
  <si>
    <t>Other (Income), net</t>
  </si>
  <si>
    <t>Non-controlling Interest</t>
  </si>
  <si>
    <t>Net Income to RTX</t>
  </si>
  <si>
    <t>Q1 2026</t>
  </si>
  <si>
    <t>Raytheon
Intelligence &amp; Space + Missiles &amp; Defense</t>
  </si>
  <si>
    <t>Other Income</t>
  </si>
  <si>
    <t xml:space="preserve">Revenue Breakdown by Geography </t>
  </si>
  <si>
    <t xml:space="preserve">Financial Stmts. Notes/Observations </t>
  </si>
  <si>
    <t>General Notes/Observations</t>
  </si>
  <si>
    <t>RTX Historical Returns</t>
  </si>
  <si>
    <t>Fri, 18 Sep 2026 00:00:00 GMT</t>
  </si>
  <si>
    <t>Thu, 17 Sep 2026 00:00:00 GMT</t>
  </si>
  <si>
    <t>Wed, 16 Sep 2026 00:00:00 GMT</t>
  </si>
  <si>
    <t>Tue, 15 Sep 2026 00:00:00 GMT</t>
  </si>
  <si>
    <t>Mon, 14 Sep 2026 00:00:00 GMT</t>
  </si>
  <si>
    <t>Fri, 11 Sep 2026 00:00:00 GMT</t>
  </si>
  <si>
    <t>Thu, 10 Sep 2026 00:00:00 GMT</t>
  </si>
  <si>
    <t>Wed, 09 Sep 2026 00:00:00 GMT</t>
  </si>
  <si>
    <t>Tue, 08 Sep 2026 00:00:00 GMT</t>
  </si>
  <si>
    <t>Fri, 04 Sep 2026 00:00:00 GMT</t>
  </si>
  <si>
    <t>Thu, 03 Sep 2026 00:00:00 GMT</t>
  </si>
  <si>
    <t>Wed, 02 Sep 2026 00:00:00 GMT</t>
  </si>
  <si>
    <t>Tue, 01 Sep 2026 00:00:00 GMT</t>
  </si>
  <si>
    <t>Mon, 31 Aug 2026 00:00:00 GMT</t>
  </si>
  <si>
    <t>Fri, 28 Aug 2026 00:00:00 GMT</t>
  </si>
  <si>
    <t>Thu, 27 Aug 2026 00:00:00 GMT</t>
  </si>
  <si>
    <t>Wed, 26 Aug 2026 00:00:00 GMT</t>
  </si>
  <si>
    <t>Tue, 25 Aug 2026 00:00:00 GMT</t>
  </si>
  <si>
    <t>Mon, 24 Aug 2026 00:00:00 GMT</t>
  </si>
  <si>
    <t>Fri, 21 Aug 2026 00:00:00 GMT</t>
  </si>
  <si>
    <t>Thu, 20 Aug 2026 00:00:00 GMT</t>
  </si>
  <si>
    <t>Wed, 19 Aug 2026 00:00:00 GMT</t>
  </si>
  <si>
    <t>Tue, 18 Aug 2026 00:00:00 GMT</t>
  </si>
  <si>
    <t>Mon, 17 Aug 2026 00:00:00 GMT</t>
  </si>
  <si>
    <t>Fri, 14 Aug 2026 00:00:00 GMT</t>
  </si>
  <si>
    <t>Thu, 13 Aug 2026 00:00:00 GMT</t>
  </si>
  <si>
    <t>Wed, 12 Aug 2026 00:00:00 GMT</t>
  </si>
  <si>
    <t>Tue, 11 Aug 2026 00:00:00 GMT</t>
  </si>
  <si>
    <t>Mon, 10 Aug 2026 00:00:00 GMT</t>
  </si>
  <si>
    <t>Fri, 07 Aug 2026 00:00:00 GMT</t>
  </si>
  <si>
    <t>Thu, 06 Aug 2026 00:00:00 GMT</t>
  </si>
  <si>
    <t>Wed, 05 Aug 2026 00:00:00 GMT</t>
  </si>
  <si>
    <t>Tue, 04 Aug 2026 00:00:00 GMT</t>
  </si>
  <si>
    <t>Mon, 03 Aug 2026 00:00:00 GMT</t>
  </si>
  <si>
    <t>Fri, 31 Jul 2026 00:00:00 GMT</t>
  </si>
  <si>
    <t>Thu, 30 Jul 2026 00:00:00 GMT</t>
  </si>
  <si>
    <t>Wed, 29 Jul 2026 00:00:00 GMT</t>
  </si>
  <si>
    <t>Tue, 28 Jul 2026 00:00:00 GMT</t>
  </si>
  <si>
    <t>Mon, 27 Jul 2026 00:00:00 GMT</t>
  </si>
  <si>
    <t>Fri, 24 Jul 2026 00:00:00 GMT</t>
  </si>
  <si>
    <t>Thu, 23 Jul 2026 00:00:00 GMT</t>
  </si>
  <si>
    <t>Wed, 22 Jul 2026 00:00:00 GMT</t>
  </si>
  <si>
    <t>Tue, 21 Jul 2026 00:00:00 GMT</t>
  </si>
  <si>
    <t>Mon, 20 Jul 2026 00:00:00 GMT</t>
  </si>
  <si>
    <t>Fri, 17 Jul 2026 00:00:00 GMT</t>
  </si>
  <si>
    <t>Thu, 16 Jul 2026 00:00:00 GMT</t>
  </si>
  <si>
    <t>Wed, 15 Jul 2026 00:00:00 GMT</t>
  </si>
  <si>
    <t>Tue, 14 Jul 2026 00:00:00 GMT</t>
  </si>
  <si>
    <t>Mon, 13 Jul 2026 00:00:00 GMT</t>
  </si>
  <si>
    <t>Fri, 10 Jul 2026 00:00:00 GMT</t>
  </si>
  <si>
    <t>Thu, 09 Jul 2026 00:00:00 GMT</t>
  </si>
  <si>
    <t>Wed, 08 Jul 2026 00:00:00 GMT</t>
  </si>
  <si>
    <t>Tue, 07 Jul 2026 00:00:00 GMT</t>
  </si>
  <si>
    <t>Mon, 06 Jul 2026 00:00:00 GMT</t>
  </si>
  <si>
    <t>Thu, 02 Jul 2026 00:00:00 GMT</t>
  </si>
  <si>
    <t>Wed, 01 Jul 2026 00:00:00 GMT</t>
  </si>
  <si>
    <t>Tue, 30 Jun 2026 00:00:00 GMT</t>
  </si>
  <si>
    <t>Mon, 29 Jun 2026 00:00:00 GMT</t>
  </si>
  <si>
    <t>Fri, 26 Jun 2026 00:00:00 GMT</t>
  </si>
  <si>
    <t>Thu, 25 Jun 2026 00:00:00 GMT</t>
  </si>
  <si>
    <t>Wed, 24 Jun 2026 00:00:00 GMT</t>
  </si>
  <si>
    <t>Tue, 23 Jun 2026 00:00:00 GMT</t>
  </si>
  <si>
    <t>Mon, 22 Jun 2026 00:00:00 GMT</t>
  </si>
  <si>
    <t>Thu, 18 Jun 2026 00:00:00 GMT</t>
  </si>
  <si>
    <t>Wed, 17 Jun 2026 00:00:00 GMT</t>
  </si>
  <si>
    <t>Tue, 16 Jun 2026 00:00:00 GMT</t>
  </si>
  <si>
    <t>Mon, 15 Jun 2026 00:00:00 GMT</t>
  </si>
  <si>
    <t>Fri, 12 Jun 2026 00:00:00 GMT</t>
  </si>
  <si>
    <t>Thu, 11 Jun 2026 00:00:00 GMT</t>
  </si>
  <si>
    <t>Wed, 10 Jun 2026 00:00:00 GMT</t>
  </si>
  <si>
    <t>Tue, 09 Jun 2026 00:00:00 GMT</t>
  </si>
  <si>
    <t>Mon, 08 Jun 2026 00:00:00 GMT</t>
  </si>
  <si>
    <t>Fri, 05 Jun 2026 00:00:00 GMT</t>
  </si>
  <si>
    <t>Thu, 04 Jun 2026 00:00:00 GMT</t>
  </si>
  <si>
    <t>Wed, 03 Jun 2026 00:00:00 GMT</t>
  </si>
  <si>
    <t>Tue, 02 Jun 2026 00:00:00 GMT</t>
  </si>
  <si>
    <t>Mon, 01 Jun 2026 00:00:00 GMT</t>
  </si>
  <si>
    <t>Fri, 29 May 2026 00:00:00 GMT</t>
  </si>
  <si>
    <t>Thu, 28 May 2026 00:00:00 GMT</t>
  </si>
  <si>
    <t>Wed, 27 May 2026 00:00:00 GMT</t>
  </si>
  <si>
    <t>Tue, 26 May 2026 00:00:00 GMT</t>
  </si>
  <si>
    <t>Fri, 22 May 2026 00:00:00 GMT</t>
  </si>
  <si>
    <t>Thu, 21 May 2026 00:00:00 GMT</t>
  </si>
  <si>
    <t>Wed, 20 May 2026 00:00:00 GMT</t>
  </si>
  <si>
    <t>Tue, 19 May 2026 00:00:00 GMT</t>
  </si>
  <si>
    <t>Mon, 18 May 2026 00:00:00 GMT</t>
  </si>
  <si>
    <t>Fri, 15 May 2026 00:00:00 GMT</t>
  </si>
  <si>
    <t>Thu, 14 May 2026 00:00:00 GMT</t>
  </si>
  <si>
    <t>Wed, 13 May 2026 00:00:00 GMT</t>
  </si>
  <si>
    <t>Tue, 12 May 2026 00:00:00 GMT</t>
  </si>
  <si>
    <t>Mon, 11 May 2026 00:00:00 GMT</t>
  </si>
  <si>
    <t>Fri, 08 May 2026 00:00:00 GMT</t>
  </si>
  <si>
    <t>Thu, 07 May 2026 00:00:00 GMT</t>
  </si>
  <si>
    <t>Wed, 06 May 2026 00:00:00 GMT</t>
  </si>
  <si>
    <t>Tue, 05 May 2026 00:00:00 GMT</t>
  </si>
  <si>
    <t>Mon, 04 May 2026 00:00:00 GMT</t>
  </si>
  <si>
    <t>Fri, 01 May 2026 00:00:00 GMT</t>
  </si>
  <si>
    <t>Thu, 30 Apr 2026 00:00:00 GMT</t>
  </si>
  <si>
    <t>Wed, 29 Apr 2026 00:00:00 GMT</t>
  </si>
  <si>
    <t>Tue, 28 Apr 2026 00:00:00 GMT</t>
  </si>
  <si>
    <t>Mon, 27 Apr 2026 00:00:00 GMT</t>
  </si>
  <si>
    <t>Fri, 24 Apr 2026 00:00:00 GMT</t>
  </si>
  <si>
    <t>Thu, 23 Apr 2026 00:00:00 GMT</t>
  </si>
  <si>
    <t>Wed, 22 Apr 2026 00:00:00 GMT</t>
  </si>
  <si>
    <t>Tue, 21 Apr 2026 00:00:00 GMT</t>
  </si>
  <si>
    <t>Mon, 20 Apr 2026 00:00:00 GMT</t>
  </si>
  <si>
    <t>Fri, 17 Apr 2026 00:00:00 GMT</t>
  </si>
  <si>
    <t>Thu, 16 Apr 2026 00:00:00 GMT</t>
  </si>
  <si>
    <t>Wed, 15 Apr 2026 00:00:00 GMT</t>
  </si>
  <si>
    <t>Tue, 14 Apr 2026 00:00:00 GMT</t>
  </si>
  <si>
    <t>Mon, 13 Apr 2026 00:00:00 GMT</t>
  </si>
  <si>
    <t>Fri, 10 Apr 2026 00:00:00 GMT</t>
  </si>
  <si>
    <t>Thu, 09 Apr 2026 00:00:00 GMT</t>
  </si>
  <si>
    <t>Wed, 08 Apr 2026 00:00:00 GMT</t>
  </si>
  <si>
    <t>Tue, 07 Apr 2026 00:00:00 GMT</t>
  </si>
  <si>
    <t>Mon, 06 Apr 2026 00:00:00 GMT</t>
  </si>
  <si>
    <t>Thu, 02 Apr 2026 00:00:00 GMT</t>
  </si>
  <si>
    <t>Wed, 01 Apr 2026 00:00:00 GMT</t>
  </si>
  <si>
    <t>Tue, 31 Mar 2026 00:00:00 GMT</t>
  </si>
  <si>
    <t>Mon, 30 Mar 2026 00:00:00 GMT</t>
  </si>
  <si>
    <t>Fri, 27 Mar 2026 00:00:00 GMT</t>
  </si>
  <si>
    <t>Thu, 26 Mar 2026 00:00:00 GMT</t>
  </si>
  <si>
    <t>Wed, 25 Mar 2026 00:00:00 GMT</t>
  </si>
  <si>
    <t>Tue, 24 Mar 2026 00:00:00 GMT</t>
  </si>
  <si>
    <t>Mon, 23 Mar 2026 00:00:00 GMT</t>
  </si>
  <si>
    <t>Fri, 20 Mar 2026 00:00:00 GMT</t>
  </si>
  <si>
    <t>Thu, 19 Mar 2026 00:00:00 GMT</t>
  </si>
  <si>
    <t>Wed, 18 Mar 2026 00:00:00 GMT</t>
  </si>
  <si>
    <t>Tue, 17 Mar 2026 00:00:00 GMT</t>
  </si>
  <si>
    <t>Mon, 16 Mar 2026 00:00:00 GMT</t>
  </si>
  <si>
    <t>Fri, 13 Mar 2026 00:00:00 GMT</t>
  </si>
  <si>
    <t>Thu, 12 Mar 2026 00:00:00 GMT</t>
  </si>
  <si>
    <t>Wed, 11 Mar 2026 00:00:00 GMT</t>
  </si>
  <si>
    <t>Tue, 10 Mar 2026 00:00:00 GMT</t>
  </si>
  <si>
    <t>Mon, 09 Mar 2026 00:00:00 GMT</t>
  </si>
  <si>
    <t>Fri, 06 Mar 2026 00:00:00 GMT</t>
  </si>
  <si>
    <t>Thu, 05 Mar 2026 00:00:00 GMT</t>
  </si>
  <si>
    <t>Wed, 04 Mar 2026 00:00:00 GMT</t>
  </si>
  <si>
    <t>Tue, 03 Mar 2026 00:00:00 GMT</t>
  </si>
  <si>
    <t>Mon, 02 Mar 2026 00:00:00 GMT</t>
  </si>
  <si>
    <t>Fri, 27 Feb 2026 00:00:00 GMT</t>
  </si>
  <si>
    <t>Thu, 26 Feb 2026 00:00:00 GMT</t>
  </si>
  <si>
    <t>Wed, 25 Feb 2026 00:00:00 GMT</t>
  </si>
  <si>
    <t>Tue, 24 Feb 2026 00:00:00 GMT</t>
  </si>
  <si>
    <t>Mon, 23 Feb 2026 00:00:00 GMT</t>
  </si>
  <si>
    <t>Fri, 20 Feb 2026 00:00:00 GMT</t>
  </si>
  <si>
    <t>Thu, 19 Feb 2026 00:00:00 GMT</t>
  </si>
  <si>
    <t>Wed, 18 Feb 2026 00:00:00 GMT</t>
  </si>
  <si>
    <t>Tue, 17 Feb 2026 00:00:00 GMT</t>
  </si>
  <si>
    <t>Fri, 13 Feb 2026 00:00:00 GMT</t>
  </si>
  <si>
    <t>Thu, 12 Feb 2026 00:00:00 GMT</t>
  </si>
  <si>
    <t>Wed, 11 Feb 2026 00:00:00 GMT</t>
  </si>
  <si>
    <t>Tue, 10 Feb 2026 00:00:00 GMT</t>
  </si>
  <si>
    <t>Mon, 09 Feb 2026 00:00:00 GMT</t>
  </si>
  <si>
    <t>Fri, 06 Feb 2026 00:00:00 GMT</t>
  </si>
  <si>
    <t>Thu, 05 Feb 2026 00:00:00 GMT</t>
  </si>
  <si>
    <t>Wed, 04 Feb 2026 00:00:00 GMT</t>
  </si>
  <si>
    <t>Tue, 03 Feb 2026 00:00:00 GMT</t>
  </si>
  <si>
    <t>Mon, 02 Feb 2026 00:00:00 GMT</t>
  </si>
  <si>
    <t>Fri, 30 Jan 2026 00:00:00 GMT</t>
  </si>
  <si>
    <t>Thu, 29 Jan 2026 00:00:00 GMT</t>
  </si>
  <si>
    <t>Wed, 28 Jan 2026 00:00:00 GMT</t>
  </si>
  <si>
    <t>Tue, 27 Jan 2026 00:00:00 GMT</t>
  </si>
  <si>
    <t>Mon, 26 Jan 2026 00:00:00 GMT</t>
  </si>
  <si>
    <t>Fri, 23 Jan 2026 00:00:00 GMT</t>
  </si>
  <si>
    <t>Thu, 22 Jan 2026 00:00:00 GMT</t>
  </si>
  <si>
    <t>Wed, 21 Jan 2026 00:00:00 GMT</t>
  </si>
  <si>
    <t>Tue, 20 Jan 2026 00:00:00 GMT</t>
  </si>
  <si>
    <t>Fri, 16 Jan 2026 00:00:00 GMT</t>
  </si>
  <si>
    <t>Thu, 15 Jan 2026 00:00:00 GMT</t>
  </si>
  <si>
    <t>Wed, 14 Jan 2026 00:00:00 GMT</t>
  </si>
  <si>
    <t>Tue, 13 Jan 2026 00:00:00 GMT</t>
  </si>
  <si>
    <t>Mon, 12 Jan 2026 00:00:00 GMT</t>
  </si>
  <si>
    <t>Fri, 09 Jan 2026 00:00:00 GMT</t>
  </si>
  <si>
    <t>Thu, 08 Jan 2026 00:00:00 GMT</t>
  </si>
  <si>
    <t>Wed, 07 Jan 2026 00:00:00 GMT</t>
  </si>
  <si>
    <t>Tue, 06 Jan 2026 00:00:00 GMT</t>
  </si>
  <si>
    <t>Mon, 05 Jan 2026 00:00:00 GMT</t>
  </si>
  <si>
    <t>Fri, 02 Jan 2026 00:00:00 GMT</t>
  </si>
  <si>
    <t>Wed, 31 Dec 2025 00:00:00 GMT</t>
  </si>
  <si>
    <t>Tue, 30 Dec 2025 00:00:00 GMT</t>
  </si>
  <si>
    <t>Mon, 29 Dec 2025 00:00:00 GMT</t>
  </si>
  <si>
    <t>Fri, 26 Dec 2025 00:00:00 GMT</t>
  </si>
  <si>
    <t>Wed, 24 Dec 2025 00:00:00 GMT</t>
  </si>
  <si>
    <t>Tue, 23 Dec 2025 00:00:00 GMT</t>
  </si>
  <si>
    <t>Mon, 22 Dec 2025 00:00:00 GMT</t>
  </si>
  <si>
    <t>Fri, 19 Dec 2025 00:00:00 GMT</t>
  </si>
  <si>
    <t>Thu, 18 Dec 2025 00:00:00 GMT</t>
  </si>
  <si>
    <t>Wed, 17 Dec 2025 00:00:00 GMT</t>
  </si>
  <si>
    <t>Tue, 16 Dec 2025 00:00:00 GMT</t>
  </si>
  <si>
    <t>Mon, 15 Dec 2025 00:00:00 GMT</t>
  </si>
  <si>
    <t>Fri, 12 Dec 2025 00:00:00 GMT</t>
  </si>
  <si>
    <t>Thu, 11 Dec 2025 00:00:00 GMT</t>
  </si>
  <si>
    <t>Wed, 10 Dec 2025 00:00:00 GMT</t>
  </si>
  <si>
    <t>Tue, 09 Dec 2025 00:00:00 GMT</t>
  </si>
  <si>
    <t>Mon, 08 Dec 2025 00:00:00 GMT</t>
  </si>
  <si>
    <t>Fri, 05 Dec 2025 00:00:00 GMT</t>
  </si>
  <si>
    <t>Thu, 04 Dec 2025 00:00:00 GMT</t>
  </si>
  <si>
    <t>Wed, 03 Dec 2025 00:00:00 GMT</t>
  </si>
  <si>
    <t>Tue, 02 Dec 2025 00:00:00 GMT</t>
  </si>
  <si>
    <t>Mon, 01 Dec 2025 00:00:00 GMT</t>
  </si>
  <si>
    <t>Fri, 28 Nov 2025 00:00:00 GMT</t>
  </si>
  <si>
    <t>Wed, 26 Nov 2025 00:00:00 GMT</t>
  </si>
  <si>
    <t>Tue, 25 Nov 2025 00:00:00 GMT</t>
  </si>
  <si>
    <t>Mon, 24 Nov 2025 00:00:00 GMT</t>
  </si>
  <si>
    <t>Fri, 21 Nov 2025 00:00:00 GMT</t>
  </si>
  <si>
    <t>Thu, 20 Nov 2025 00:00:00 GMT</t>
  </si>
  <si>
    <t>Wed, 19 Nov 2025 00:00:00 GMT</t>
  </si>
  <si>
    <t>Tue, 18 Nov 2025 00:00:00 GMT</t>
  </si>
  <si>
    <t>Mon, 17 Nov 2025 00:00:00 GMT</t>
  </si>
  <si>
    <t>Fri, 14 Nov 2025 00:00:00 GMT</t>
  </si>
  <si>
    <t>Thu, 13 Nov 2025 00:00:00 GMT</t>
  </si>
  <si>
    <t>Wed, 12 Nov 2025 00:00:00 GMT</t>
  </si>
  <si>
    <t>Tue, 11 Nov 2025 00:00:00 GMT</t>
  </si>
  <si>
    <t>Mon, 10 Nov 2025 00:00:00 GMT</t>
  </si>
  <si>
    <t>Fri, 07 Nov 2025 00:00:00 GMT</t>
  </si>
  <si>
    <t>Thu, 06 Nov 2025 00:00:00 GMT</t>
  </si>
  <si>
    <t>Wed, 05 Nov 2025 00:00:00 GMT</t>
  </si>
  <si>
    <t>Tue, 04 Nov 2025 00:00:00 GMT</t>
  </si>
  <si>
    <t>Mon, 03 Nov 2025 00:00:00 GMT</t>
  </si>
  <si>
    <t>Fri, 31 Oct 2025 00:00:00 GMT</t>
  </si>
  <si>
    <t>Thu, 30 Oct 2025 00:00:00 GMT</t>
  </si>
  <si>
    <t>Wed, 29 Oct 2025 00:00:00 GMT</t>
  </si>
  <si>
    <t>Tue, 28 Oct 2025 00:00:00 GMT</t>
  </si>
  <si>
    <t>Mon, 27 Oct 2025 00:00:00 GMT</t>
  </si>
  <si>
    <t>Fri, 24 Oct 2025 00:00:00 GMT</t>
  </si>
  <si>
    <t>Thu, 23 Oct 2025 00:00:00 GMT</t>
  </si>
  <si>
    <t>Wed, 22 Oct 2025 00:00:00 GMT</t>
  </si>
  <si>
    <t>Tue, 21 Oct 2025 00:00:00 GMT</t>
  </si>
  <si>
    <t>Mon, 20 Oct 2025 00:00:00 GMT</t>
  </si>
  <si>
    <t>Fri, 17 Oct 2025 00:00:00 GMT</t>
  </si>
  <si>
    <t>Thu, 16 Oct 2025 00:00:00 GMT</t>
  </si>
  <si>
    <t>Wed, 15 Oct 2025 00:00:00 GMT</t>
  </si>
  <si>
    <t>Tue, 14 Oct 2025 00:00:00 GMT</t>
  </si>
  <si>
    <t>Mon, 13 Oct 2025 00:00:00 GMT</t>
  </si>
  <si>
    <t>Fri, 10 Oct 2025 00:00:00 GMT</t>
  </si>
  <si>
    <t>Thu, 09 Oct 2025 00:00:00 GMT</t>
  </si>
  <si>
    <t>Wed, 08 Oct 2025 00:00:00 GMT</t>
  </si>
  <si>
    <t>Tue, 07 Oct 2025 00:00:00 GMT</t>
  </si>
  <si>
    <t>Mon, 06 Oct 2025 00:00:00 GMT</t>
  </si>
  <si>
    <t>Fri, 03 Oct 2025 00:00:00 GMT</t>
  </si>
  <si>
    <t>Thu, 02 Oct 2025 00:00:00 GMT</t>
  </si>
  <si>
    <t>Wed, 01 Oct 2025 00:00:00 GMT</t>
  </si>
  <si>
    <t>Tue, 30 Sep 2025 00:00:00 GMT</t>
  </si>
  <si>
    <t>Mon, 29 Sep 2025 00:00:00 GMT</t>
  </si>
  <si>
    <t>Fri, 26 Sep 2025 00:00:00 GMT</t>
  </si>
  <si>
    <t>Thu, 25 Sep 2025 00:00:00 GMT</t>
  </si>
  <si>
    <t>Wed, 24 Sep 2025 00:00:00 GMT</t>
  </si>
  <si>
    <t>Tue, 23 Sep 2025 00:00:00 GMT</t>
  </si>
  <si>
    <t>Mon, 22 Sep 2025 00:00:00 GMT</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</si>
  <si>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</si>
  <si>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</si>
  <si>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</si>
  <si>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</si>
  <si>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</si>
  <si>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</si>
  <si>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</si>
  <si>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</si>
  <si>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</si>
  <si>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</si>
  <si>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</si>
  <si>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</si>
  <si>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</si>
  <si>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</si>
  <si>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</si>
  <si>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</si>
  <si>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</si>
  <si>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</si>
  <si>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</si>
  <si>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</si>
  <si>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</si>
  <si>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</si>
  <si>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</si>
  <si>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</si>
  <si>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</si>
  <si>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</si>
  <si>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</si>
  <si>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</si>
  <si>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</si>
  <si>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</si>
  <si>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</si>
  <si>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</si>
  <si>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</si>
  <si>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</si>
  <si>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</si>
  <si>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</si>
  <si>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</si>
  <si>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</si>
  <si>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</si>
  <si>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</si>
  <si>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</si>
  <si>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</si>
  <si>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</si>
  <si>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</si>
  <si>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</si>
  <si>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</si>
  <si>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</si>
  <si>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</si>
  <si>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</si>
  <si>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</si>
  <si>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</si>
  <si>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</si>
  <si>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</si>
  <si>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</si>
  <si>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</si>
  <si>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</si>
  <si>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</si>
  <si>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</si>
  <si>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</si>
  <si>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</si>
  <si>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</si>
  <si>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</si>
  <si>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</si>
  <si>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</si>
  <si>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</si>
  <si>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</si>
  <si>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</si>
  <si>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</si>
  <si>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</si>
  <si>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</si>
  <si>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</si>
  <si>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</si>
  <si>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</si>
  <si>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</si>
  <si>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</si>
  <si>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</si>
  <si>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</si>
  <si>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</si>
  <si>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</si>
  <si>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</si>
  <si>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</si>
  <si>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</si>
  <si>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</si>
  <si>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</si>
  <si>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</si>
  <si>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</si>
  <si>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</si>
  <si>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</si>
  <si>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</si>
  <si>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</si>
  <si>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</si>
  <si>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</si>
  <si>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</si>
  <si>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</si>
  <si>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</si>
  <si>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</si>
  <si>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</si>
  <si>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</si>
  <si>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</si>
  <si>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</si>
  <si>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</si>
  <si>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</si>
  <si>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</si>
  <si>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</si>
  <si>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</si>
  <si>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</si>
  <si>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</si>
  <si>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</si>
  <si>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</si>
  <si>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</si>
  <si>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</si>
  <si>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</si>
  <si>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</si>
  <si>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</si>
  <si>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</si>
  <si>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</si>
  <si>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</si>
  <si>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</si>
  <si>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</si>
  <si>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</si>
  <si>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</si>
  <si>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</si>
  <si>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</si>
  <si>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</si>
  <si>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</si>
  <si>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</si>
  <si>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</si>
  <si>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</si>
  <si>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</si>
  <si>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</si>
  <si>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</si>
  <si>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</si>
  <si>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</si>
  <si>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</si>
  <si>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</si>
  <si>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</si>
  <si>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</si>
  <si>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</si>
  <si>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</si>
  <si>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</si>
  <si>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</si>
  <si>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</si>
  <si>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</si>
  <si>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</si>
  <si>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</si>
  <si>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</si>
  <si>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</si>
  <si>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</si>
  <si>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</si>
  <si>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</si>
  <si>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</si>
  <si>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</si>
  <si>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</si>
  <si>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</si>
  <si>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</si>
  <si>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</si>
  <si>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</si>
  <si>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</si>
  <si>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</si>
  <si>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</si>
  <si>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</si>
  <si>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</si>
  <si>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</si>
  <si>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</si>
  <si>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</si>
  <si>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</si>
  <si>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</si>
  <si>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</si>
  <si>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</si>
  <si>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</si>
  <si>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</si>
  <si>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</si>
  <si>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</si>
  <si>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</si>
  <si>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</si>
  <si>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</si>
  <si>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</si>
  <si>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</si>
  <si>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</si>
  <si>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</si>
  <si>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</si>
  <si>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</si>
  <si>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</si>
  <si>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</si>
  <si>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</si>
  <si>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</si>
  <si>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</si>
  <si>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</si>
  <si>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</si>
  <si>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</si>
  <si>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</si>
  <si>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</si>
  <si>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</si>
  <si>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</si>
  <si>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</si>
  <si>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</si>
  <si>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</si>
  <si>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</si>
  <si>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</si>
  <si>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</si>
  <si>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</si>
  <si>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</si>
  <si>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</si>
  <si>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</si>
  <si>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</si>
  <si>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</si>
  <si>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</si>
  <si>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</si>
  <si>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</si>
  <si>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</si>
  <si>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</si>
  <si>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</si>
  <si>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</si>
  <si>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</si>
  <si>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</si>
  <si>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</si>
  <si>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</si>
  <si>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</si>
  <si>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</si>
  <si>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</si>
  <si>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</si>
  <si>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</si>
  <si>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</si>
  <si>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</si>
  <si>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</si>
  <si>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</si>
  <si>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</si>
  <si>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</si>
  <si>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</si>
  <si>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</si>
  <si>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</si>
  <si>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</si>
  <si>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</si>
  <si>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</si>
  <si>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</si>
  <si>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</si>
  <si>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</si>
  <si>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</si>
  <si>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</si>
  <si>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</si>
  <si>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</si>
  <si>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</si>
  <si>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</si>
  <si>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</si>
  <si>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</si>
  <si>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</si>
  <si>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</si>
  <si>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</si>
  <si>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</si>
  <si>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</si>
  <si>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</si>
  <si>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</si>
  <si>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</si>
  <si>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</si>
  <si>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</si>
  <si>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</si>
  <si>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</si>
  <si>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</si>
  <si>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</si>
  <si>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</si>
  <si>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</si>
  <si>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</si>
  <si>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</si>
  <si>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</si>
  <si>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</si>
  <si>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</si>
  <si>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</si>
  <si>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</si>
  <si>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</si>
  <si>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</si>
  <si>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</si>
  <si>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</si>
  <si>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</si>
  <si>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</si>
  <si>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</si>
  <si>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</si>
  <si>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</si>
  <si>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</si>
  <si>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</si>
  <si>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</si>
  <si>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</si>
  <si>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</si>
  <si>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</si>
  <si>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</si>
  <si>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</si>
  <si>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</si>
  <si>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</si>
  <si>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</si>
  <si>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</si>
  <si>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</si>
  <si>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</si>
  <si>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</si>
  <si>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</si>
  <si>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</si>
  <si>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</si>
  <si>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</si>
  <si>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</si>
  <si>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</si>
  <si>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</si>
  <si>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</si>
  <si>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</si>
  <si>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</si>
  <si>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</si>
  <si>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</si>
  <si>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</si>
  <si>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</si>
  <si>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</si>
  <si>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</si>
  <si>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</si>
  <si>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</si>
  <si>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</si>
  <si>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</si>
  <si>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</si>
  <si>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</si>
  <si>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</si>
  <si>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</si>
  <si>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</si>
  <si>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</si>
  <si>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</si>
  <si>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</si>
  <si>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</si>
  <si>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</si>
  <si>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</si>
  <si>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</si>
  <si>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</si>
  <si>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</si>
  <si>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</si>
  <si>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</si>
  <si>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</si>
  <si>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</si>
  <si>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</si>
  <si>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</si>
  <si>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</si>
  <si>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</si>
  <si>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</si>
  <si>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</si>
  <si>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</si>
  <si>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</si>
  <si>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</si>
  <si>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</si>
  <si>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</si>
  <si>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</si>
  <si>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</si>
  <si>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</si>
  <si>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</si>
  <si>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</si>
  <si>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</si>
  <si>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</si>
  <si>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</si>
  <si>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</si>
  <si>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</si>
  <si>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</si>
  <si>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</si>
  <si>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</si>
  <si>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</si>
  <si>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</si>
  <si>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</si>
  <si>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</si>
  <si>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</si>
  <si>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</si>
  <si>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</si>
  <si>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</si>
  <si>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</si>
  <si>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</si>
  <si>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</si>
  <si>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</si>
  <si>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</si>
  <si>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</si>
  <si>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</si>
  <si>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</si>
  <si>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</si>
  <si>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</si>
  <si>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</si>
  <si>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</si>
  <si>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</si>
  <si>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</si>
  <si>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</si>
  <si>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</si>
  <si>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</si>
  <si>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</si>
  <si>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</si>
  <si>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</si>
  <si>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</si>
  <si>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</si>
  <si>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</si>
  <si>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</si>
  <si>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</si>
  <si>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</si>
  <si>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</si>
  <si>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</si>
  <si>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</si>
  <si>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</si>
  <si>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</si>
  <si>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</si>
  <si>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</si>
  <si>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</si>
  <si>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</si>
  <si>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</si>
  <si>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</si>
  <si>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</si>
  <si>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</si>
  <si>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</si>
  <si>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</si>
  <si>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</si>
  <si>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</si>
  <si>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</si>
  <si>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</si>
  <si>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</si>
  <si>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</si>
  <si>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</si>
  <si>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</si>
  <si>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</si>
  <si>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</si>
  <si>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</si>
  <si>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</si>
  <si>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</si>
  <si>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</si>
  <si>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</si>
  <si>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</si>
  <si>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</si>
  <si>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</si>
  <si>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</si>
  <si>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</si>
  <si>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</si>
  <si>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</si>
  <si>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</si>
  <si>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</si>
  <si>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</si>
  <si>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</si>
  <si>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</si>
  <si>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</si>
  <si>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</si>
  <si>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</si>
  <si>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</si>
  <si>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</si>
  <si>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</si>
  <si>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</si>
  <si>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</si>
  <si>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</si>
  <si>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</si>
  <si>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</si>
  <si>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</si>
  <si>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</si>
  <si>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</si>
  <si>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</si>
  <si>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</si>
  <si>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</si>
  <si>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</si>
  <si>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</si>
  <si>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</si>
  <si>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</si>
  <si>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</si>
  <si>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</si>
  <si>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</si>
  <si>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</si>
  <si>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</si>
  <si>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</si>
  <si>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</si>
  <si>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</si>
  <si>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</si>
  <si>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</si>
  <si>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</si>
  <si>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</si>
  <si>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</si>
  <si>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</si>
  <si>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</si>
  <si>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</si>
  <si>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</si>
  <si>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</si>
  <si>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</si>
  <si>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</si>
  <si>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</si>
  <si>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</si>
  <si>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</si>
  <si>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</si>
  <si>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</si>
  <si>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</si>
  <si>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</si>
  <si>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</si>
  <si>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</si>
  <si>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</si>
  <si>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</si>
  <si>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</si>
  <si>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</si>
  <si>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</si>
  <si>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</si>
  <si>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</si>
  <si>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</si>
  <si>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</si>
  <si>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</si>
  <si>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</si>
  <si>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</si>
  <si>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</si>
  <si>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</si>
  <si>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</si>
  <si>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</si>
  <si>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</si>
  <si>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</si>
  <si>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</si>
  <si>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</si>
  <si>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</si>
  <si>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</si>
  <si>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</si>
  <si>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</si>
  <si>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</si>
  <si>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</si>
  <si>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</si>
  <si>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</si>
  <si>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</si>
  <si>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</si>
  <si>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</si>
  <si>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</si>
  <si>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</si>
  <si>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</si>
  <si>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</si>
  <si>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</si>
  <si>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</si>
  <si>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</si>
  <si>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</si>
  <si>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</si>
  <si>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</si>
  <si>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</si>
  <si>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</si>
  <si>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</si>
  <si>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</si>
  <si>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</si>
  <si>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</si>
  <si>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</si>
  <si>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</si>
  <si>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</si>
  <si>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</si>
  <si>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</si>
  <si>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</si>
  <si>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</si>
  <si>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</si>
  <si>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</si>
  <si>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</si>
  <si>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</si>
  <si>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</si>
  <si>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</si>
  <si>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</si>
  <si>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</si>
  <si>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</si>
  <si>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</si>
  <si>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</si>
  <si>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</si>
  <si>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</si>
  <si>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</si>
  <si>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</si>
  <si>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</si>
  <si>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</si>
  <si>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</si>
  <si>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</si>
  <si>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</si>
  <si>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</si>
  <si>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</si>
  <si>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</si>
  <si>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</si>
  <si>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</si>
  <si>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</si>
  <si>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</si>
  <si>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</si>
  <si>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</si>
  <si>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</si>
  <si>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</si>
  <si>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</si>
  <si>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</si>
  <si>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</si>
  <si>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</si>
  <si>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</si>
  <si>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</si>
  <si>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</si>
  <si>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</si>
  <si>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</si>
  <si>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</si>
  <si>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</si>
  <si>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</si>
  <si>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</si>
  <si>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</si>
  <si>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</si>
  <si>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</si>
  <si>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</si>
  <si>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</si>
  <si>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</si>
  <si>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</si>
  <si>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</si>
  <si>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</si>
  <si>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</si>
  <si>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</si>
  <si>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</si>
  <si>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</si>
  <si>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</si>
  <si>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</si>
  <si>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</si>
  <si>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</si>
  <si>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</si>
  <si>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</si>
  <si>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</si>
  <si>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</si>
  <si>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</si>
  <si>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</si>
  <si>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</si>
  <si>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</si>
  <si>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</si>
  <si>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</si>
  <si>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</si>
  <si>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</si>
  <si>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</si>
  <si>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</si>
  <si>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</si>
  <si>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</si>
  <si>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</si>
  <si>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</si>
  <si>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</si>
  <si>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</si>
  <si>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</si>
  <si>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</si>
  <si>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</si>
  <si>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</si>
  <si>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</si>
  <si>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</si>
  <si>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</si>
  <si>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</si>
  <si>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</si>
  <si>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</si>
  <si>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</si>
  <si>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</si>
  <si>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</si>
  <si>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</si>
  <si>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</si>
  <si>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</si>
  <si>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</si>
  <si>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</si>
  <si>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</si>
  <si>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</si>
  <si>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</si>
  <si>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</si>
  <si>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</si>
  <si>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</si>
  <si>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</si>
  <si>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</si>
  <si>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</si>
  <si>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</si>
  <si>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</si>
  <si>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</si>
  <si>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</si>
  <si>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</si>
  <si>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</si>
  <si>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</si>
  <si>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</si>
  <si>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</si>
  <si>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</si>
  <si>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</si>
  <si>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</si>
  <si>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</si>
  <si>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</si>
  <si>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</si>
  <si>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</si>
  <si>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</si>
  <si>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</si>
  <si>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</si>
  <si>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</si>
  <si>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</si>
  <si>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</si>
  <si>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</si>
  <si>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</si>
  <si>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</si>
  <si>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</si>
  <si>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</si>
  <si>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</si>
  <si>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</si>
  <si>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</si>
  <si>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</si>
  <si>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</si>
  <si>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</si>
  <si>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</si>
  <si>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</si>
  <si>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</si>
  <si>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</si>
  <si>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</si>
  <si>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</si>
  <si>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</si>
  <si>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</si>
  <si>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</si>
  <si>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</si>
  <si>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</si>
  <si>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</si>
  <si>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</si>
  <si>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</si>
  <si>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</si>
  <si>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</si>
  <si>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</si>
  <si>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</si>
  <si>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</si>
  <si>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</si>
  <si>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</si>
  <si>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</si>
  <si>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</si>
  <si>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</si>
  <si>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</si>
  <si>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</si>
  <si>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</si>
  <si>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</si>
  <si>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</si>
  <si>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</si>
  <si>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</si>
  <si>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</si>
  <si>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</si>
  <si>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</si>
  <si>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</si>
  <si>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</si>
  <si>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</si>
  <si>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</si>
  <si>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</si>
  <si>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</si>
  <si>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</si>
  <si>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</si>
  <si>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</si>
  <si>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</si>
  <si>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</si>
  <si>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</si>
  <si>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</si>
  <si>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</si>
  <si>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</si>
  <si>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</si>
  <si>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</si>
  <si>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</si>
  <si>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</si>
  <si>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</si>
  <si>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</si>
  <si>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</si>
  <si>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</si>
  <si>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</si>
  <si>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</si>
  <si>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</si>
  <si>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</si>
  <si>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</si>
  <si>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</si>
  <si>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</si>
  <si>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</si>
  <si>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</si>
  <si>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</si>
  <si>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</si>
  <si>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</si>
  <si>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</si>
  <si>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</si>
  <si>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</si>
  <si>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</si>
  <si>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</si>
  <si>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</si>
  <si>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</si>
  <si>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</si>
  <si>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</si>
  <si>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</si>
  <si>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</si>
  <si>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</si>
  <si>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</si>
  <si>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</si>
  <si>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</si>
  <si>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</si>
  <si>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</si>
  <si>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</si>
  <si>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</si>
  <si>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</si>
  <si>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</si>
  <si>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</si>
  <si>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</si>
  <si>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</si>
  <si>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</si>
  <si>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</si>
  <si>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</si>
  <si>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</si>
  <si>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</si>
  <si>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</si>
  <si>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</si>
  <si>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</si>
  <si>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</si>
  <si>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</si>
  <si>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</si>
  <si>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</si>
  <si>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</si>
  <si>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</si>
  <si>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</si>
  <si>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</si>
  <si>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</si>
  <si>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</si>
  <si>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</si>
  <si>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</si>
  <si>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</si>
  <si>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</si>
  <si>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</si>
  <si>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</si>
  <si>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</si>
  <si>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</si>
  <si>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</si>
  <si>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</si>
  <si>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</si>
  <si>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</si>
  <si>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</si>
  <si>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</si>
  <si>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</si>
  <si>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</si>
  <si>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</si>
  <si>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</si>
  <si>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</si>
  <si>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</si>
  <si>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</si>
  <si>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</si>
  <si>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</si>
  <si>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</si>
  <si>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</si>
  <si>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</si>
  <si>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</si>
  <si>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</si>
  <si>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</si>
  <si>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</si>
  <si>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</si>
  <si>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</si>
  <si>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</si>
  <si>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</si>
  <si>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</si>
  <si>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</si>
  <si>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</si>
  <si>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</si>
  <si>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</si>
  <si>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</si>
  <si>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</si>
  <si>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</si>
  <si>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</si>
  <si>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</si>
  <si>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</si>
  <si>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</si>
  <si>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</si>
  <si>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</si>
  <si>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</si>
  <si>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</si>
  <si>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</si>
  <si>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</si>
  <si>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</si>
  <si>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</si>
  <si>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</si>
  <si>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</si>
  <si>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</si>
  <si>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</si>
  <si>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</si>
  <si>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</si>
  <si>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</si>
  <si>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</si>
  <si>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</si>
  <si>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</si>
  <si>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</si>
  <si>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</si>
  <si>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</si>
  <si>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</si>
  <si>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</si>
  <si>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</si>
  <si>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</si>
  <si>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</si>
  <si>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</si>
  <si>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</si>
  <si>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</si>
  <si>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</si>
  <si>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</si>
  <si>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</si>
  <si>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</si>
  <si>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</si>
  <si>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</si>
  <si>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</si>
  <si>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</si>
  <si>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</si>
  <si>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</si>
  <si>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</si>
  <si>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</si>
  <si>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</si>
  <si>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</si>
  <si>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</si>
  <si>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</si>
  <si>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</si>
  <si>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</si>
  <si>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</si>
  <si>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</si>
  <si>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</si>
  <si>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</si>
  <si>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</si>
  <si>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</si>
  <si>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</si>
  <si>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</si>
  <si>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</si>
  <si>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</si>
  <si>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</si>
  <si>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</si>
  <si>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</si>
  <si>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</si>
  <si>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</si>
  <si>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</si>
  <si>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</si>
  <si>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</si>
  <si>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</si>
  <si>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</si>
  <si>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</si>
  <si>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</si>
  <si>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</si>
  <si>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</si>
  <si>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</si>
  <si>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</si>
  <si>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</si>
  <si>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</si>
  <si>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</si>
  <si>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</si>
  <si>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</si>
  <si>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</si>
  <si>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</si>
  <si>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</si>
  <si>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</si>
  <si>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</si>
  <si>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</si>
  <si>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</si>
  <si>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</si>
  <si>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</si>
  <si>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</si>
  <si>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</si>
  <si>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</si>
  <si>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</si>
  <si>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</si>
  <si>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</si>
  <si>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</si>
  <si>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</si>
  <si>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</si>
  <si>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</si>
  <si>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</si>
  <si>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</si>
  <si>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</si>
  <si>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</si>
  <si>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</si>
  <si>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</si>
  <si>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</si>
  <si>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</si>
  <si>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</si>
  <si>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</si>
  <si>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</si>
  <si>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</si>
  <si>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</si>
  <si>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</si>
  <si>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</si>
  <si>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</si>
  <si>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</si>
  <si>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</si>
  <si>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</si>
  <si>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</si>
  <si>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</si>
  <si>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</si>
  <si>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</si>
  <si>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</si>
  <si>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</si>
  <si>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</si>
  <si>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</si>
  <si>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</si>
  <si>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</si>
  <si>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</si>
  <si>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</si>
  <si>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</si>
  <si>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</si>
  <si>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</si>
  <si>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</si>
  <si>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</si>
  <si>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</si>
  <si>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</si>
  <si>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</si>
  <si>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</si>
  <si>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</si>
  <si>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</si>
  <si>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</si>
  <si>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</si>
  <si>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</si>
  <si>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</si>
  <si>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</si>
  <si>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</si>
  <si>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</si>
  <si>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</si>
  <si>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</si>
  <si>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</si>
  <si>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</si>
  <si>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</si>
  <si>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</si>
  <si>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</si>
  <si>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</si>
  <si>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</si>
  <si>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</si>
  <si>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</si>
  <si>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</si>
  <si>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</si>
  <si>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</si>
  <si>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</si>
  <si>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</si>
  <si>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</si>
  <si>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</si>
  <si>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</si>
  <si>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</si>
  <si>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</si>
  <si>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</si>
  <si>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</si>
  <si>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</si>
  <si>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</si>
  <si>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</si>
  <si>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</si>
  <si>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</si>
  <si>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</si>
  <si>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</si>
  <si>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</si>
  <si>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</si>
  <si>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</si>
  <si>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</si>
  <si>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</si>
  <si>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</si>
  <si>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</si>
  <si>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</si>
  <si>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</si>
  <si>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</si>
  <si>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</si>
  <si>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</si>
  <si>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</si>
  <si>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</si>
  <si>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</si>
  <si>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</si>
  <si>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</si>
  <si>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</si>
  <si>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</si>
  <si>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</si>
  <si>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</si>
  <si>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</si>
  <si>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</si>
  <si>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</si>
  <si>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</si>
  <si>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</si>
  <si>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</si>
  <si>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</si>
  <si>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</si>
  <si>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</si>
  <si>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</si>
  <si>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</si>
  <si>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</si>
  <si>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</si>
  <si>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</si>
  <si>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</si>
  <si>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</si>
  <si>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</si>
  <si>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</si>
  <si>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</si>
  <si>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</si>
  <si>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</si>
  <si>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</si>
  <si>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</si>
  <si>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</si>
  <si>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</si>
  <si>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</si>
  <si>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</si>
  <si>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</si>
  <si>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</si>
  <si>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</si>
  <si>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</si>
  <si>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</si>
  <si>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</si>
  <si>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</si>
  <si>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</si>
  <si>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</si>
  <si>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</si>
  <si>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</si>
  <si>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</si>
  <si>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</si>
  <si>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</si>
  <si>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</si>
  <si>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</si>
  <si>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</si>
  <si>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</si>
  <si>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</si>
  <si>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</si>
  <si>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</si>
  <si>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</si>
  <si>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</si>
  <si>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</si>
  <si>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</si>
  <si>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</si>
  <si>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</si>
  <si>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</si>
  <si>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</si>
  <si>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</si>
  <si>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</si>
  <si>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</si>
  <si>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</si>
  <si>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</si>
  <si>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</si>
  <si>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</si>
  <si>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</si>
  <si>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</si>
  <si>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</si>
  <si>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</si>
  <si>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</si>
  <si>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</si>
  <si>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</si>
  <si>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</si>
  <si>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</si>
  <si>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</si>
  <si>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</si>
  <si>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</si>
  <si>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</si>
  <si>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</si>
  <si>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</si>
  <si>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</si>
  <si>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</si>
  <si>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</si>
  <si>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</si>
  <si>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</si>
  <si>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</si>
  <si>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</si>
  <si>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</si>
  <si>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</si>
  <si>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</si>
  <si>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</si>
  <si>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</si>
  <si>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</si>
  <si>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</si>
  <si>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</si>
  <si>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</si>
  <si>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</si>
  <si>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</si>
  <si>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</si>
  <si>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</si>
  <si>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</si>
  <si>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</si>
  <si>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</si>
  <si>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</si>
  <si>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</si>
  <si>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</si>
  <si>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</si>
  <si>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</si>
  <si>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</si>
  <si>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</si>
  <si>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</si>
  <si>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</si>
  <si>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</si>
  <si>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</si>
  <si>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</si>
  <si>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</si>
  <si>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</si>
  <si>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</si>
  <si>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</si>
  <si>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</si>
  <si>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</si>
  <si>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</si>
  <si>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</si>
  <si>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</si>
  <si>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</si>
  <si>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</si>
  <si>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</si>
  <si>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</si>
  <si>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</si>
  <si>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</si>
  <si>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</si>
  <si>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</si>
  <si>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</si>
  <si>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</si>
  <si>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</si>
  <si>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</si>
  <si>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</si>
  <si>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</si>
  <si>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</si>
  <si>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</si>
  <si>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</si>
  <si>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</si>
  <si>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</si>
  <si>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</si>
  <si>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</si>
  <si>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</si>
  <si>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</si>
  <si>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</si>
  <si>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</si>
  <si>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</si>
  <si>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</si>
  <si>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</si>
  <si>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</si>
  <si>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</si>
  <si>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</si>
  <si>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</si>
  <si>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</si>
  <si>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</si>
  <si>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</si>
  <si>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</si>
  <si>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</si>
  <si>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</si>
  <si>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</si>
  <si>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</si>
  <si>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</si>
  <si>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</si>
  <si>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</si>
  <si>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</si>
  <si>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</si>
  <si>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</si>
  <si>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</si>
  <si>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</si>
  <si>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</si>
  <si>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</si>
  <si>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</si>
  <si>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</si>
  <si>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</si>
  <si>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</si>
  <si>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</si>
  <si>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</si>
  <si>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</si>
  <si>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</si>
  <si>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</si>
  <si>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</si>
  <si>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</si>
  <si>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</si>
  <si>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</si>
  <si>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</si>
  <si>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</si>
  <si>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</si>
  <si>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</si>
  <si>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</si>
  <si>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</si>
  <si>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</si>
  <si>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</si>
  <si>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</si>
  <si>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</si>
  <si>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</si>
  <si>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</si>
  <si>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</si>
  <si>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</si>
  <si>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</si>
  <si>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</si>
  <si>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</si>
  <si>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</si>
  <si>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</si>
  <si>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</si>
  <si>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</si>
  <si>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</si>
  <si>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</si>
  <si>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</si>
  <si>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</si>
  <si>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</si>
  <si>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</si>
  <si>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</si>
  <si>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</si>
  <si>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</si>
  <si>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</si>
  <si>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</si>
  <si>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</si>
  <si>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</si>
  <si>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</si>
  <si>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</si>
  <si>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</si>
  <si>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</si>
  <si>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</si>
  <si>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</si>
  <si>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</si>
  <si>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</si>
  <si>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r>
      <rPr>
        <i/>
        <sz val="11"/>
        <color theme="1"/>
        <rFont val="Calibre"/>
      </rPr>
      <t xml:space="preserve">1506 </t>
    </r>
    <r>
      <rPr>
        <sz val="11"/>
        <color theme="1"/>
        <rFont val="Calibre"/>
      </rPr>
      <t xml:space="preserve">Trading Days? (From: </t>
    </r>
    <r>
      <rPr>
        <i/>
        <sz val="11"/>
        <color theme="1"/>
        <rFont val="Calibre"/>
      </rPr>
      <t>9/19/2020 - 9/19/2026</t>
    </r>
    <r>
      <rPr>
        <sz val="11"/>
        <color theme="1"/>
        <rFont val="Calibre"/>
      </rPr>
      <t>)</t>
    </r>
  </si>
  <si>
    <t>More</t>
  </si>
  <si>
    <t>Capital Structure</t>
  </si>
  <si>
    <t>Mkt Cap</t>
  </si>
  <si>
    <t>Discount (Cost of Equity)</t>
  </si>
  <si>
    <t>WACC</t>
  </si>
  <si>
    <t>Operating Margin</t>
  </si>
  <si>
    <t>10/21/2026</t>
  </si>
  <si>
    <t>Q3'26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</si>
</sst>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0_);_(* \(#,##0.0\);_(* &quot;-&quot;??_);_(@_)"/>
    <numFmt numFmtId="167" formatCode="_(* #,##0_);_(* \(#,##0\);_(* &quot;-&quot;??_);_(@_)"/>
  </numFmts>
  <fonts count="19">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color theme="1"/>
      <name val="Arial"/>
      <family val="2"/>
    </font>
    <font>
      <sz val="11"/>
      <color theme="4" tint="-0.249977111117893"/>
      <name val="Calibre"/>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5">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xf numFmtId="0" fontId="17" fillId="0" borderId="0"/>
  </cellStyleXfs>
  <cellXfs count="92">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0" fontId="12" fillId="0" borderId="0" xfId="0" applyFont="1" applyAlignment="1">
      <alignment vertical="top"/>
    </xf>
    <xf numFmtId="2" fontId="13" fillId="0" borderId="0" xfId="0" applyNumberFormat="1" applyFont="1" applyAlignment="1">
      <alignment vertical="top"/>
    </xf>
    <xf numFmtId="49" fontId="13" fillId="0" borderId="0" xfId="0" applyNumberFormat="1" applyFont="1" applyAlignment="1">
      <alignment horizontal="right" vertical="top"/>
    </xf>
    <xf numFmtId="10" fontId="2" fillId="0" borderId="0" xfId="1" applyNumberFormat="1" applyFont="1"/>
    <xf numFmtId="2" fontId="8" fillId="5" borderId="0" xfId="0" applyNumberFormat="1" applyFont="1" applyFill="1" applyAlignment="1">
      <alignment horizontal="center" vertical="center"/>
    </xf>
    <xf numFmtId="9" fontId="13" fillId="0" borderId="0" xfId="1" applyFont="1"/>
    <xf numFmtId="10" fontId="13" fillId="0" borderId="0" xfId="1" applyNumberFormat="1" applyFont="1"/>
    <xf numFmtId="0" fontId="13" fillId="0" borderId="0" xfId="0" applyFont="1" applyAlignment="1">
      <alignment horizontal="left" indent="1"/>
    </xf>
    <xf numFmtId="0" fontId="12" fillId="0" borderId="0" xfId="0" applyFont="1" applyAlignment="1">
      <alignment horizontal="left" indent="1"/>
    </xf>
    <xf numFmtId="10" fontId="12" fillId="0" borderId="0" xfId="1" applyNumberFormat="1" applyFont="1"/>
    <xf numFmtId="14" fontId="13" fillId="0" borderId="0" xfId="0" applyNumberFormat="1" applyFont="1" applyAlignment="1">
      <alignment horizontal="right" vertical="top"/>
    </xf>
    <xf numFmtId="0" fontId="13" fillId="0" borderId="0" xfId="0" applyFont="1" applyAlignment="1">
      <alignment horizontal="left" vertical="top" indent="1"/>
    </xf>
    <xf numFmtId="0" fontId="13" fillId="0" borderId="0" xfId="0" applyFont="1" applyAlignment="1">
      <alignment horizontal="center"/>
    </xf>
    <xf numFmtId="1" fontId="13" fillId="0" borderId="0" xfId="0" applyNumberFormat="1" applyFont="1"/>
    <xf numFmtId="2" fontId="13" fillId="0" borderId="0" xfId="0" applyNumberFormat="1" applyFont="1"/>
    <xf numFmtId="10" fontId="13" fillId="0" borderId="0" xfId="1" applyNumberFormat="1" applyFont="1" applyAlignment="1">
      <alignment horizontal="left" indent="1"/>
    </xf>
    <xf numFmtId="10" fontId="13" fillId="0" borderId="0" xfId="1" applyNumberFormat="1" applyFont="1" applyAlignment="1">
      <alignment horizontal="right"/>
    </xf>
    <xf numFmtId="1" fontId="12" fillId="0" borderId="0" xfId="0" applyNumberFormat="1" applyFont="1" applyAlignment="1">
      <alignment horizontal="left" indent="1"/>
    </xf>
    <xf numFmtId="0" fontId="12" fillId="0" borderId="0" xfId="0" applyFont="1" applyAlignment="1">
      <alignment horizontal="left" vertical="top" indent="1"/>
    </xf>
    <xf numFmtId="0" fontId="12" fillId="0" borderId="0" xfId="0" applyFont="1" applyAlignment="1">
      <alignment horizontal="right" vertical="center"/>
    </xf>
    <xf numFmtId="0" fontId="12" fillId="0" borderId="0" xfId="0" applyFont="1" applyAlignment="1">
      <alignment vertical="top" wrapText="1"/>
    </xf>
    <xf numFmtId="2" fontId="2" fillId="0" borderId="0" xfId="0" applyNumberFormat="1" applyFont="1" applyAlignment="1">
      <alignment vertical="center"/>
    </xf>
    <xf numFmtId="10" fontId="2" fillId="0" borderId="0" xfId="0" applyNumberFormat="1" applyFont="1" applyAlignment="1">
      <alignment vertical="center"/>
    </xf>
    <xf numFmtId="43" fontId="2" fillId="0" borderId="0" xfId="3" applyFont="1" applyAlignment="1">
      <alignment horizontal="left"/>
    </xf>
    <xf numFmtId="166" fontId="2" fillId="0" borderId="0" xfId="3" applyNumberFormat="1" applyFont="1" applyAlignment="1">
      <alignment horizontal="left"/>
    </xf>
    <xf numFmtId="167" fontId="2" fillId="0" borderId="0" xfId="3" applyNumberFormat="1" applyFont="1" applyAlignment="1">
      <alignment horizontal="left"/>
    </xf>
    <xf numFmtId="165" fontId="2" fillId="0" borderId="0" xfId="1" applyNumberFormat="1" applyFont="1"/>
    <xf numFmtId="0" fontId="14" fillId="0" borderId="0" xfId="0" applyFont="1" applyAlignment="1">
      <alignment horizontal="left" vertical="top" wrapText="1" indent="1"/>
    </xf>
    <xf numFmtId="43" fontId="2" fillId="0" borderId="0" xfId="3" applyFont="1"/>
    <xf numFmtId="165" fontId="3" fillId="0" borderId="0" xfId="1" applyNumberFormat="1" applyFont="1"/>
    <xf numFmtId="165" fontId="13" fillId="0" borderId="0" xfId="1" applyNumberFormat="1" applyFont="1"/>
    <xf numFmtId="165" fontId="12" fillId="0" borderId="0" xfId="1" applyNumberFormat="1" applyFont="1"/>
    <xf numFmtId="1" fontId="12" fillId="0" borderId="0" xfId="0" applyNumberFormat="1" applyFont="1"/>
    <xf numFmtId="164" fontId="2" fillId="0" borderId="0" xfId="0" applyNumberFormat="1" applyFont="1"/>
    <xf numFmtId="0" fontId="17" fillId="0" borderId="0" xfId="4"/>
    <xf numFmtId="4" fontId="17" fillId="0" borderId="0" xfId="4" applyNumberFormat="1"/>
    <xf numFmtId="3" fontId="17" fillId="0" borderId="0" xfId="4" applyNumberFormat="1"/>
    <xf numFmtId="10" fontId="0" fillId="0" borderId="0" xfId="0" applyNumberFormat="1"/>
    <xf numFmtId="0" fontId="0" fillId="0" borderId="18" xfId="0" applyBorder="1"/>
    <xf numFmtId="0" fontId="9" fillId="0" borderId="17" xfId="0" applyFont="1" applyBorder="1" applyAlignment="1">
      <alignment horizontal="center"/>
    </xf>
    <xf numFmtId="10" fontId="13" fillId="0" borderId="0" xfId="0" applyNumberFormat="1" applyFont="1"/>
    <xf numFmtId="0" fontId="13" fillId="0" borderId="0" xfId="0" applyFont="1" applyAlignment="1">
      <alignment horizontal="left"/>
    </xf>
    <xf numFmtId="0" fontId="18" fillId="0" borderId="0" xfId="0" applyFont="1" applyAlignment="1">
      <alignment horizontal="center"/>
    </xf>
  </cellXfs>
  <cellStyles count="5">
    <cellStyle name="Comma" xfId="3" builtinId="3"/>
    <cellStyle name="Hyperlink" xfId="2" builtinId="8"/>
    <cellStyle name="Normal" xfId="0" builtinId="0"/>
    <cellStyle name="Normal 2" xfId="4" xr:uid="{BC94B509-8EC6-41F0-B102-3A9D9397F84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FF99CC"/>
      <color rgb="FFFF66CC"/>
      <color rgb="FFFF53B7"/>
      <color rgb="FFFF5399"/>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(RTX)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6"/>
          <c:order val="0"/>
          <c:tx>
            <c:strRef>
              <c:f>Model!$B$4</c:f>
              <c:strCache>
                <c:ptCount val="1"/>
                <c:pt idx="0">
                  <c:v>Collins Aerospace</c:v>
                </c:pt>
              </c:strCache>
            </c:strRef>
          </c:tx>
          <c:spPr>
            <a:solidFill>
              <a:schemeClr val="accent1">
                <a:lumMod val="60000"/>
                <a:lumOff val="40000"/>
              </a:schemeClr>
            </a:solidFill>
            <a:ln>
              <a:noFill/>
            </a:ln>
            <a:effectLst/>
          </c:spPr>
          <c:invertIfNegative val="0"/>
          <c:cat>
            <c:strRef>
              <c:f>Model!$AM$1:$BH$1</c:f>
              <c:strCache>
                <c:ptCount val="21"/>
                <c:pt idx="0">
                  <c:v>Q1 2021</c:v>
                </c:pt>
                <c:pt idx="4">
                  <c:v>Q1 2022</c:v>
                </c:pt>
                <c:pt idx="8">
                  <c:v>Q1 2023</c:v>
                </c:pt>
                <c:pt idx="12">
                  <c:v>Q1 2024</c:v>
                </c:pt>
                <c:pt idx="16">
                  <c:v>Q1 2025</c:v>
                </c:pt>
                <c:pt idx="20">
                  <c:v>Q1 2026</c:v>
                </c:pt>
              </c:strCache>
            </c:strRef>
          </c:cat>
          <c:val>
            <c:numRef>
              <c:f>Model!$AM$4:$BI$4</c:f>
              <c:numCache>
                <c:formatCode>General</c:formatCode>
                <c:ptCount val="23"/>
                <c:pt idx="0">
                  <c:v>4370</c:v>
                </c:pt>
                <c:pt idx="1">
                  <c:v>4545</c:v>
                </c:pt>
                <c:pt idx="2">
                  <c:v>4592</c:v>
                </c:pt>
                <c:pt idx="3">
                  <c:v>4942</c:v>
                </c:pt>
                <c:pt idx="4">
                  <c:v>4824</c:v>
                </c:pt>
                <c:pt idx="5">
                  <c:v>5011</c:v>
                </c:pt>
                <c:pt idx="6">
                  <c:v>5718</c:v>
                </c:pt>
                <c:pt idx="7">
                  <c:v>5044</c:v>
                </c:pt>
                <c:pt idx="8">
                  <c:v>6120</c:v>
                </c:pt>
                <c:pt idx="9">
                  <c:v>6384</c:v>
                </c:pt>
                <c:pt idx="10">
                  <c:v>6629</c:v>
                </c:pt>
                <c:pt idx="11">
                  <c:v>7120</c:v>
                </c:pt>
                <c:pt idx="12">
                  <c:v>6673</c:v>
                </c:pt>
                <c:pt idx="13">
                  <c:v>6999</c:v>
                </c:pt>
                <c:pt idx="14">
                  <c:v>7075</c:v>
                </c:pt>
                <c:pt idx="15">
                  <c:v>7537</c:v>
                </c:pt>
                <c:pt idx="16">
                  <c:v>7217</c:v>
                </c:pt>
                <c:pt idx="17">
                  <c:v>7622</c:v>
                </c:pt>
                <c:pt idx="18">
                  <c:v>7621</c:v>
                </c:pt>
                <c:pt idx="19">
                  <c:v>7736</c:v>
                </c:pt>
                <c:pt idx="20">
                  <c:v>7602</c:v>
                </c:pt>
                <c:pt idx="21">
                  <c:v>8210</c:v>
                </c:pt>
                <c:pt idx="22">
                  <c:v>8382</c:v>
                </c:pt>
              </c:numCache>
            </c:numRef>
          </c:val>
          <c:extLst>
            <c:ext xmlns:c16="http://schemas.microsoft.com/office/drawing/2014/chart" uri="{C3380CC4-5D6E-409C-BE32-E72D297353CC}">
              <c16:uniqueId val="{00000006-763E-43B3-B662-D76C6E829219}"/>
            </c:ext>
          </c:extLst>
        </c:ser>
        <c:ser>
          <c:idx val="7"/>
          <c:order val="1"/>
          <c:tx>
            <c:strRef>
              <c:f>Model!$B$5</c:f>
              <c:strCache>
                <c:ptCount val="1"/>
                <c:pt idx="0">
                  <c:v>Pratt &amp; Whitney</c:v>
                </c:pt>
              </c:strCache>
            </c:strRef>
          </c:tx>
          <c:spPr>
            <a:solidFill>
              <a:srgbClr val="5881CC"/>
            </a:solidFill>
            <a:ln>
              <a:noFill/>
            </a:ln>
            <a:effectLst/>
          </c:spPr>
          <c:invertIfNegative val="0"/>
          <c:cat>
            <c:strRef>
              <c:f>Model!$AM$1:$BH$1</c:f>
              <c:strCache>
                <c:ptCount val="21"/>
                <c:pt idx="0">
                  <c:v>Q1 2021</c:v>
                </c:pt>
                <c:pt idx="4">
                  <c:v>Q1 2022</c:v>
                </c:pt>
                <c:pt idx="8">
                  <c:v>Q1 2023</c:v>
                </c:pt>
                <c:pt idx="12">
                  <c:v>Q1 2024</c:v>
                </c:pt>
                <c:pt idx="16">
                  <c:v>Q1 2025</c:v>
                </c:pt>
                <c:pt idx="20">
                  <c:v>Q1 2026</c:v>
                </c:pt>
              </c:strCache>
            </c:strRef>
          </c:cat>
          <c:val>
            <c:numRef>
              <c:f>Model!$AM$5:$BI$5</c:f>
              <c:numCache>
                <c:formatCode>General</c:formatCode>
                <c:ptCount val="23"/>
                <c:pt idx="0">
                  <c:v>4030</c:v>
                </c:pt>
                <c:pt idx="1">
                  <c:v>4280</c:v>
                </c:pt>
                <c:pt idx="2">
                  <c:v>4725</c:v>
                </c:pt>
                <c:pt idx="3">
                  <c:v>5115</c:v>
                </c:pt>
                <c:pt idx="4">
                  <c:v>4529</c:v>
                </c:pt>
                <c:pt idx="5">
                  <c:v>4969</c:v>
                </c:pt>
                <c:pt idx="6">
                  <c:v>5380</c:v>
                </c:pt>
                <c:pt idx="7">
                  <c:v>5652</c:v>
                </c:pt>
                <c:pt idx="8">
                  <c:v>5230</c:v>
                </c:pt>
                <c:pt idx="9">
                  <c:v>5701</c:v>
                </c:pt>
                <c:pt idx="10">
                  <c:v>926</c:v>
                </c:pt>
                <c:pt idx="11">
                  <c:v>6439</c:v>
                </c:pt>
                <c:pt idx="12">
                  <c:v>6456</c:v>
                </c:pt>
                <c:pt idx="13">
                  <c:v>6802</c:v>
                </c:pt>
                <c:pt idx="14">
                  <c:v>7239</c:v>
                </c:pt>
                <c:pt idx="15">
                  <c:v>7569</c:v>
                </c:pt>
                <c:pt idx="16">
                  <c:v>7366</c:v>
                </c:pt>
                <c:pt idx="17">
                  <c:v>7631</c:v>
                </c:pt>
                <c:pt idx="18">
                  <c:v>8423</c:v>
                </c:pt>
                <c:pt idx="19">
                  <c:v>9496</c:v>
                </c:pt>
                <c:pt idx="20">
                  <c:v>8173</c:v>
                </c:pt>
                <c:pt idx="21">
                  <c:v>8889</c:v>
                </c:pt>
                <c:pt idx="22">
                  <c:v>9231</c:v>
                </c:pt>
              </c:numCache>
            </c:numRef>
          </c:val>
          <c:extLst>
            <c:ext xmlns:c16="http://schemas.microsoft.com/office/drawing/2014/chart" uri="{C3380CC4-5D6E-409C-BE32-E72D297353CC}">
              <c16:uniqueId val="{00000007-763E-43B3-B662-D76C6E829219}"/>
            </c:ext>
          </c:extLst>
        </c:ser>
        <c:ser>
          <c:idx val="8"/>
          <c:order val="2"/>
          <c:tx>
            <c:v>Raytheon</c:v>
          </c:tx>
          <c:spPr>
            <a:solidFill>
              <a:schemeClr val="accent5">
                <a:lumMod val="50000"/>
              </a:schemeClr>
            </a:solidFill>
            <a:ln>
              <a:noFill/>
            </a:ln>
            <a:effectLst/>
          </c:spPr>
          <c:invertIfNegative val="0"/>
          <c:cat>
            <c:strRef>
              <c:f>Model!$AM$1:$BH$1</c:f>
              <c:strCache>
                <c:ptCount val="21"/>
                <c:pt idx="0">
                  <c:v>Q1 2021</c:v>
                </c:pt>
                <c:pt idx="4">
                  <c:v>Q1 2022</c:v>
                </c:pt>
                <c:pt idx="8">
                  <c:v>Q1 2023</c:v>
                </c:pt>
                <c:pt idx="12">
                  <c:v>Q1 2024</c:v>
                </c:pt>
                <c:pt idx="16">
                  <c:v>Q1 2025</c:v>
                </c:pt>
                <c:pt idx="20">
                  <c:v>Q1 2026</c:v>
                </c:pt>
              </c:strCache>
            </c:strRef>
          </c:cat>
          <c:val>
            <c:numRef>
              <c:f>Model!$AM$6:$BI$6</c:f>
              <c:numCache>
                <c:formatCode>General</c:formatCode>
                <c:ptCount val="23"/>
                <c:pt idx="0">
                  <c:v>7558</c:v>
                </c:pt>
                <c:pt idx="1">
                  <c:v>7790</c:v>
                </c:pt>
                <c:pt idx="2">
                  <c:v>7642</c:v>
                </c:pt>
                <c:pt idx="3">
                  <c:v>7729</c:v>
                </c:pt>
                <c:pt idx="4">
                  <c:v>7099</c:v>
                </c:pt>
                <c:pt idx="5">
                  <c:v>7128</c:v>
                </c:pt>
                <c:pt idx="6">
                  <c:v>6308</c:v>
                </c:pt>
                <c:pt idx="7">
                  <c:v>8640</c:v>
                </c:pt>
                <c:pt idx="8">
                  <c:v>6292</c:v>
                </c:pt>
                <c:pt idx="9">
                  <c:v>6700</c:v>
                </c:pt>
                <c:pt idx="10">
                  <c:v>6472</c:v>
                </c:pt>
                <c:pt idx="11">
                  <c:v>6886</c:v>
                </c:pt>
                <c:pt idx="12">
                  <c:v>6659</c:v>
                </c:pt>
                <c:pt idx="13">
                  <c:v>6511</c:v>
                </c:pt>
                <c:pt idx="14">
                  <c:v>6386</c:v>
                </c:pt>
                <c:pt idx="15">
                  <c:v>7157</c:v>
                </c:pt>
                <c:pt idx="16">
                  <c:v>6340</c:v>
                </c:pt>
                <c:pt idx="17">
                  <c:v>7001</c:v>
                </c:pt>
                <c:pt idx="18">
                  <c:v>7045</c:v>
                </c:pt>
                <c:pt idx="19">
                  <c:v>7657</c:v>
                </c:pt>
                <c:pt idx="20">
                  <c:v>6945</c:v>
                </c:pt>
                <c:pt idx="21">
                  <c:v>8269</c:v>
                </c:pt>
                <c:pt idx="22">
                  <c:v>8031</c:v>
                </c:pt>
              </c:numCache>
            </c:numRef>
          </c:val>
          <c:extLst>
            <c:ext xmlns:c16="http://schemas.microsoft.com/office/drawing/2014/chart" uri="{C3380CC4-5D6E-409C-BE32-E72D297353CC}">
              <c16:uniqueId val="{00000008-763E-43B3-B662-D76C6E829219}"/>
            </c:ext>
          </c:extLst>
        </c:ser>
        <c:ser>
          <c:idx val="9"/>
          <c:order val="3"/>
          <c:tx>
            <c:strRef>
              <c:f>Model!$B$7</c:f>
              <c:strCache>
                <c:ptCount val="1"/>
                <c:pt idx="0">
                  <c:v>Intersegment Eliminations</c:v>
                </c:pt>
              </c:strCache>
            </c:strRef>
          </c:tx>
          <c:spPr>
            <a:solidFill>
              <a:srgbClr val="CF73AA"/>
            </a:solidFill>
            <a:ln>
              <a:noFill/>
            </a:ln>
            <a:effectLst/>
          </c:spPr>
          <c:invertIfNegative val="0"/>
          <c:cat>
            <c:strRef>
              <c:f>Model!$AM$1:$BH$1</c:f>
              <c:strCache>
                <c:ptCount val="21"/>
                <c:pt idx="0">
                  <c:v>Q1 2021</c:v>
                </c:pt>
                <c:pt idx="4">
                  <c:v>Q1 2022</c:v>
                </c:pt>
                <c:pt idx="8">
                  <c:v>Q1 2023</c:v>
                </c:pt>
                <c:pt idx="12">
                  <c:v>Q1 2024</c:v>
                </c:pt>
                <c:pt idx="16">
                  <c:v>Q1 2025</c:v>
                </c:pt>
                <c:pt idx="20">
                  <c:v>Q1 2026</c:v>
                </c:pt>
              </c:strCache>
            </c:strRef>
          </c:cat>
          <c:val>
            <c:numRef>
              <c:f>Model!$AM$7:$BI$7</c:f>
              <c:numCache>
                <c:formatCode>General</c:formatCode>
                <c:ptCount val="23"/>
                <c:pt idx="0">
                  <c:v>-707</c:v>
                </c:pt>
                <c:pt idx="1">
                  <c:v>-735</c:v>
                </c:pt>
                <c:pt idx="2">
                  <c:v>-746</c:v>
                </c:pt>
                <c:pt idx="3">
                  <c:v>-742</c:v>
                </c:pt>
                <c:pt idx="4">
                  <c:v>-736</c:v>
                </c:pt>
                <c:pt idx="5">
                  <c:v>-794</c:v>
                </c:pt>
                <c:pt idx="6">
                  <c:v>-455</c:v>
                </c:pt>
                <c:pt idx="7">
                  <c:v>-1243</c:v>
                </c:pt>
                <c:pt idx="8">
                  <c:v>-428</c:v>
                </c:pt>
                <c:pt idx="9">
                  <c:v>-470</c:v>
                </c:pt>
                <c:pt idx="10">
                  <c:v>-563</c:v>
                </c:pt>
                <c:pt idx="11">
                  <c:v>-518</c:v>
                </c:pt>
                <c:pt idx="12">
                  <c:v>-483</c:v>
                </c:pt>
                <c:pt idx="13">
                  <c:v>-591</c:v>
                </c:pt>
                <c:pt idx="14">
                  <c:v>-611</c:v>
                </c:pt>
                <c:pt idx="15">
                  <c:v>-640</c:v>
                </c:pt>
                <c:pt idx="16">
                  <c:v>-617</c:v>
                </c:pt>
                <c:pt idx="17">
                  <c:v>-673</c:v>
                </c:pt>
                <c:pt idx="18">
                  <c:v>-611</c:v>
                </c:pt>
                <c:pt idx="19">
                  <c:v>-651</c:v>
                </c:pt>
                <c:pt idx="20">
                  <c:v>-644</c:v>
                </c:pt>
                <c:pt idx="21">
                  <c:v>-660</c:v>
                </c:pt>
                <c:pt idx="22">
                  <c:v>-679</c:v>
                </c:pt>
              </c:numCache>
            </c:numRef>
          </c:val>
          <c:extLst>
            <c:ext xmlns:c16="http://schemas.microsoft.com/office/drawing/2014/chart" uri="{C3380CC4-5D6E-409C-BE32-E72D297353CC}">
              <c16:uniqueId val="{00000009-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(RTX)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solidFill>
                <a:srgbClr val="00B050"/>
              </a:solid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Model!$AM$51:$BI$51</c:f>
              <c:numCache>
                <c:formatCode>General</c:formatCode>
                <c:ptCount val="23"/>
                <c:pt idx="0">
                  <c:v>813</c:v>
                </c:pt>
                <c:pt idx="1">
                  <c:v>1088</c:v>
                </c:pt>
                <c:pt idx="2">
                  <c:v>1473</c:v>
                </c:pt>
                <c:pt idx="3">
                  <c:v>-3257</c:v>
                </c:pt>
                <c:pt idx="4">
                  <c:v>1126</c:v>
                </c:pt>
                <c:pt idx="5">
                  <c:v>1338</c:v>
                </c:pt>
                <c:pt idx="6">
                  <c:v>1395</c:v>
                </c:pt>
                <c:pt idx="7">
                  <c:v>1468</c:v>
                </c:pt>
                <c:pt idx="8">
                  <c:v>1481</c:v>
                </c:pt>
                <c:pt idx="9">
                  <c:v>1359</c:v>
                </c:pt>
                <c:pt idx="10">
                  <c:v>-933</c:v>
                </c:pt>
                <c:pt idx="11">
                  <c:v>1473</c:v>
                </c:pt>
                <c:pt idx="12">
                  <c:v>1743</c:v>
                </c:pt>
                <c:pt idx="13">
                  <c:v>175</c:v>
                </c:pt>
                <c:pt idx="14">
                  <c:v>1535</c:v>
                </c:pt>
                <c:pt idx="15">
                  <c:v>1560</c:v>
                </c:pt>
                <c:pt idx="16">
                  <c:v>1625</c:v>
                </c:pt>
                <c:pt idx="17">
                  <c:v>1725</c:v>
                </c:pt>
                <c:pt idx="18">
                  <c:v>2006</c:v>
                </c:pt>
                <c:pt idx="19">
                  <c:v>1713</c:v>
                </c:pt>
                <c:pt idx="20">
                  <c:v>2157</c:v>
                </c:pt>
                <c:pt idx="21">
                  <c:v>2249</c:v>
                </c:pt>
                <c:pt idx="22">
                  <c:v>2708</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Model!$AM$104:$BI$104</c:f>
              <c:numCache>
                <c:formatCode>General</c:formatCode>
                <c:ptCount val="23"/>
                <c:pt idx="0">
                  <c:v>336</c:v>
                </c:pt>
                <c:pt idx="1">
                  <c:v>966</c:v>
                </c:pt>
                <c:pt idx="2">
                  <c:v>1499</c:v>
                </c:pt>
                <c:pt idx="3">
                  <c:v>2207</c:v>
                </c:pt>
                <c:pt idx="4">
                  <c:v>37</c:v>
                </c:pt>
                <c:pt idx="5">
                  <c:v>807</c:v>
                </c:pt>
                <c:pt idx="6">
                  <c:v>263</c:v>
                </c:pt>
                <c:pt idx="7">
                  <c:v>3773</c:v>
                </c:pt>
                <c:pt idx="8">
                  <c:v>-1383</c:v>
                </c:pt>
                <c:pt idx="9">
                  <c:v>193</c:v>
                </c:pt>
                <c:pt idx="10">
                  <c:v>2752</c:v>
                </c:pt>
                <c:pt idx="11">
                  <c:v>3906</c:v>
                </c:pt>
                <c:pt idx="12">
                  <c:v>-125</c:v>
                </c:pt>
                <c:pt idx="13">
                  <c:v>2196</c:v>
                </c:pt>
                <c:pt idx="14">
                  <c:v>1971</c:v>
                </c:pt>
                <c:pt idx="15">
                  <c:v>492</c:v>
                </c:pt>
                <c:pt idx="16">
                  <c:v>792</c:v>
                </c:pt>
                <c:pt idx="17">
                  <c:v>-72</c:v>
                </c:pt>
                <c:pt idx="18">
                  <c:v>4025</c:v>
                </c:pt>
                <c:pt idx="19">
                  <c:v>3195</c:v>
                </c:pt>
                <c:pt idx="20">
                  <c:v>1309</c:v>
                </c:pt>
                <c:pt idx="21">
                  <c:v>2878</c:v>
                </c:pt>
                <c:pt idx="22">
                  <c:v>2119</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strRef>
              <c:f>Model!$AM$1:$BH$1</c:f>
              <c:strCache>
                <c:ptCount val="21"/>
                <c:pt idx="0">
                  <c:v>Q1 2021</c:v>
                </c:pt>
                <c:pt idx="4">
                  <c:v>Q1 2022</c:v>
                </c:pt>
                <c:pt idx="8">
                  <c:v>Q1 2023</c:v>
                </c:pt>
                <c:pt idx="12">
                  <c:v>Q1 2024</c:v>
                </c:pt>
                <c:pt idx="16">
                  <c:v>Q1 2025</c:v>
                </c:pt>
                <c:pt idx="20">
                  <c:v>Q1 2026</c:v>
                </c:pt>
              </c:strCache>
            </c:strRef>
          </c:cat>
          <c:val>
            <c:numRef>
              <c:f>Model!$AM$40:$BI$40</c:f>
              <c:numCache>
                <c:formatCode>General</c:formatCode>
                <c:ptCount val="23"/>
                <c:pt idx="0">
                  <c:v>15251</c:v>
                </c:pt>
                <c:pt idx="1">
                  <c:v>15880</c:v>
                </c:pt>
                <c:pt idx="2">
                  <c:v>16213</c:v>
                </c:pt>
                <c:pt idx="3">
                  <c:v>17044</c:v>
                </c:pt>
                <c:pt idx="4">
                  <c:v>15716</c:v>
                </c:pt>
                <c:pt idx="5">
                  <c:v>16314</c:v>
                </c:pt>
                <c:pt idx="6">
                  <c:v>16951</c:v>
                </c:pt>
                <c:pt idx="7">
                  <c:v>18093</c:v>
                </c:pt>
                <c:pt idx="8">
                  <c:v>17214</c:v>
                </c:pt>
                <c:pt idx="9">
                  <c:v>18315</c:v>
                </c:pt>
                <c:pt idx="10">
                  <c:v>13464</c:v>
                </c:pt>
                <c:pt idx="11">
                  <c:v>19927</c:v>
                </c:pt>
                <c:pt idx="12">
                  <c:v>19305</c:v>
                </c:pt>
                <c:pt idx="13">
                  <c:v>19721</c:v>
                </c:pt>
                <c:pt idx="14">
                  <c:v>20089</c:v>
                </c:pt>
                <c:pt idx="15">
                  <c:v>21623</c:v>
                </c:pt>
                <c:pt idx="16">
                  <c:v>20306</c:v>
                </c:pt>
                <c:pt idx="17">
                  <c:v>21581</c:v>
                </c:pt>
                <c:pt idx="18">
                  <c:v>22478</c:v>
                </c:pt>
                <c:pt idx="19">
                  <c:v>24238</c:v>
                </c:pt>
                <c:pt idx="20">
                  <c:v>22076</c:v>
                </c:pt>
                <c:pt idx="21">
                  <c:v>24708</c:v>
                </c:pt>
                <c:pt idx="22">
                  <c:v>24965</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(RTX) 1-Day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29455704201E-2"/>
          <c:y val="6.9219462951746413E-2"/>
          <c:w val="0.93313376105764534"/>
          <c:h val="0.87215756826816704"/>
        </c:manualLayout>
      </c:layout>
      <c:scatterChart>
        <c:scatterStyle val="smoothMarker"/>
        <c:varyColors val="0"/>
        <c:ser>
          <c:idx val="0"/>
          <c:order val="0"/>
          <c:tx>
            <c:strRef>
              <c:f>'Notes | Quant Analysis'!$Q$247</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Analysis'!$Q$249:$Q$339</c:f>
              <c:numCache>
                <c:formatCode>0.00%</c:formatCode>
                <c:ptCount val="91"/>
                <c:pt idx="0">
                  <c:v>-4.5000000000000033E-2</c:v>
                </c:pt>
                <c:pt idx="1">
                  <c:v>-4.4000000000000032E-2</c:v>
                </c:pt>
                <c:pt idx="2">
                  <c:v>-4.3000000000000031E-2</c:v>
                </c:pt>
                <c:pt idx="3">
                  <c:v>-4.200000000000003E-2</c:v>
                </c:pt>
                <c:pt idx="4">
                  <c:v>-4.1000000000000029E-2</c:v>
                </c:pt>
                <c:pt idx="5">
                  <c:v>-4.0000000000000029E-2</c:v>
                </c:pt>
                <c:pt idx="6">
                  <c:v>-3.9000000000000028E-2</c:v>
                </c:pt>
                <c:pt idx="7">
                  <c:v>-3.8000000000000027E-2</c:v>
                </c:pt>
                <c:pt idx="8">
                  <c:v>-3.7000000000000026E-2</c:v>
                </c:pt>
                <c:pt idx="9">
                  <c:v>-3.6000000000000025E-2</c:v>
                </c:pt>
                <c:pt idx="10">
                  <c:v>-3.5000000000000024E-2</c:v>
                </c:pt>
                <c:pt idx="11">
                  <c:v>-3.4000000000000023E-2</c:v>
                </c:pt>
                <c:pt idx="12">
                  <c:v>-3.3000000000000022E-2</c:v>
                </c:pt>
                <c:pt idx="13">
                  <c:v>-3.2000000000000021E-2</c:v>
                </c:pt>
                <c:pt idx="14">
                  <c:v>-3.1000000000000021E-2</c:v>
                </c:pt>
                <c:pt idx="15">
                  <c:v>-3.000000000000002E-2</c:v>
                </c:pt>
                <c:pt idx="16">
                  <c:v>-2.9000000000000019E-2</c:v>
                </c:pt>
                <c:pt idx="17">
                  <c:v>-2.8000000000000018E-2</c:v>
                </c:pt>
                <c:pt idx="18">
                  <c:v>-2.7000000000000017E-2</c:v>
                </c:pt>
                <c:pt idx="19">
                  <c:v>-2.6000000000000016E-2</c:v>
                </c:pt>
                <c:pt idx="20">
                  <c:v>-2.5000000000000015E-2</c:v>
                </c:pt>
                <c:pt idx="21">
                  <c:v>-2.4000000000000014E-2</c:v>
                </c:pt>
                <c:pt idx="22">
                  <c:v>-2.3000000000000013E-2</c:v>
                </c:pt>
                <c:pt idx="23">
                  <c:v>-2.2000000000000013E-2</c:v>
                </c:pt>
                <c:pt idx="24">
                  <c:v>-2.1000000000000012E-2</c:v>
                </c:pt>
                <c:pt idx="25">
                  <c:v>-2.0000000000000011E-2</c:v>
                </c:pt>
                <c:pt idx="26">
                  <c:v>-1.900000000000001E-2</c:v>
                </c:pt>
                <c:pt idx="27">
                  <c:v>-1.8000000000000009E-2</c:v>
                </c:pt>
                <c:pt idx="28">
                  <c:v>-1.7000000000000008E-2</c:v>
                </c:pt>
                <c:pt idx="29">
                  <c:v>-1.6000000000000007E-2</c:v>
                </c:pt>
                <c:pt idx="30">
                  <c:v>-1.5000000000000006E-2</c:v>
                </c:pt>
                <c:pt idx="31">
                  <c:v>-1.4000000000000005E-2</c:v>
                </c:pt>
                <c:pt idx="32">
                  <c:v>-1.3000000000000005E-2</c:v>
                </c:pt>
                <c:pt idx="33">
                  <c:v>-1.2000000000000004E-2</c:v>
                </c:pt>
                <c:pt idx="34">
                  <c:v>-1.1000000000000003E-2</c:v>
                </c:pt>
                <c:pt idx="35">
                  <c:v>-1.0000000000000002E-2</c:v>
                </c:pt>
                <c:pt idx="36">
                  <c:v>-9.0000000000000011E-3</c:v>
                </c:pt>
                <c:pt idx="37">
                  <c:v>-8.0000000000000002E-3</c:v>
                </c:pt>
                <c:pt idx="38">
                  <c:v>-7.0000000000000001E-3</c:v>
                </c:pt>
                <c:pt idx="39">
                  <c:v>-6.0000000000000001E-3</c:v>
                </c:pt>
                <c:pt idx="40">
                  <c:v>-5.0000000000000001E-3</c:v>
                </c:pt>
                <c:pt idx="41">
                  <c:v>-4.0000000000000001E-3</c:v>
                </c:pt>
                <c:pt idx="42">
                  <c:v>-3.0000000000000001E-3</c:v>
                </c:pt>
                <c:pt idx="43">
                  <c:v>-2E-3</c:v>
                </c:pt>
                <c:pt idx="44">
                  <c:v>-1E-3</c:v>
                </c:pt>
                <c:pt idx="45">
                  <c:v>0</c:v>
                </c:pt>
                <c:pt idx="46">
                  <c:v>1E-3</c:v>
                </c:pt>
                <c:pt idx="47">
                  <c:v>2E-3</c:v>
                </c:pt>
                <c:pt idx="48">
                  <c:v>3.0000000000000001E-3</c:v>
                </c:pt>
                <c:pt idx="49">
                  <c:v>4.0000000000000001E-3</c:v>
                </c:pt>
                <c:pt idx="50">
                  <c:v>5.0000000000000001E-3</c:v>
                </c:pt>
                <c:pt idx="51">
                  <c:v>6.0000000000000001E-3</c:v>
                </c:pt>
                <c:pt idx="52">
                  <c:v>7.0000000000000001E-3</c:v>
                </c:pt>
                <c:pt idx="53">
                  <c:v>8.0000000000000002E-3</c:v>
                </c:pt>
                <c:pt idx="54">
                  <c:v>9.0000000000000011E-3</c:v>
                </c:pt>
                <c:pt idx="55">
                  <c:v>1.0000000000000002E-2</c:v>
                </c:pt>
                <c:pt idx="56">
                  <c:v>1.1000000000000003E-2</c:v>
                </c:pt>
                <c:pt idx="57">
                  <c:v>1.2000000000000004E-2</c:v>
                </c:pt>
                <c:pt idx="58">
                  <c:v>1.3000000000000005E-2</c:v>
                </c:pt>
                <c:pt idx="59">
                  <c:v>1.4000000000000005E-2</c:v>
                </c:pt>
                <c:pt idx="60">
                  <c:v>1.5000000000000006E-2</c:v>
                </c:pt>
                <c:pt idx="61">
                  <c:v>1.6000000000000007E-2</c:v>
                </c:pt>
                <c:pt idx="62">
                  <c:v>1.7000000000000008E-2</c:v>
                </c:pt>
                <c:pt idx="63">
                  <c:v>1.8000000000000009E-2</c:v>
                </c:pt>
                <c:pt idx="64">
                  <c:v>1.900000000000001E-2</c:v>
                </c:pt>
                <c:pt idx="65">
                  <c:v>2.0000000000000011E-2</c:v>
                </c:pt>
                <c:pt idx="66">
                  <c:v>2.1000000000000012E-2</c:v>
                </c:pt>
                <c:pt idx="67">
                  <c:v>2.2000000000000013E-2</c:v>
                </c:pt>
                <c:pt idx="68">
                  <c:v>2.3000000000000013E-2</c:v>
                </c:pt>
                <c:pt idx="69">
                  <c:v>2.4000000000000014E-2</c:v>
                </c:pt>
                <c:pt idx="70">
                  <c:v>2.5000000000000015E-2</c:v>
                </c:pt>
                <c:pt idx="71">
                  <c:v>2.6000000000000016E-2</c:v>
                </c:pt>
                <c:pt idx="72">
                  <c:v>2.7000000000000017E-2</c:v>
                </c:pt>
                <c:pt idx="73">
                  <c:v>2.8000000000000018E-2</c:v>
                </c:pt>
                <c:pt idx="74">
                  <c:v>2.9000000000000019E-2</c:v>
                </c:pt>
                <c:pt idx="75">
                  <c:v>3.000000000000002E-2</c:v>
                </c:pt>
                <c:pt idx="76">
                  <c:v>3.1000000000000021E-2</c:v>
                </c:pt>
                <c:pt idx="77">
                  <c:v>3.2000000000000021E-2</c:v>
                </c:pt>
                <c:pt idx="78">
                  <c:v>3.3000000000000022E-2</c:v>
                </c:pt>
                <c:pt idx="79">
                  <c:v>3.4000000000000023E-2</c:v>
                </c:pt>
                <c:pt idx="80">
                  <c:v>3.5000000000000024E-2</c:v>
                </c:pt>
                <c:pt idx="81">
                  <c:v>3.6000000000000025E-2</c:v>
                </c:pt>
                <c:pt idx="82">
                  <c:v>3.7000000000000026E-2</c:v>
                </c:pt>
                <c:pt idx="83">
                  <c:v>3.8000000000000027E-2</c:v>
                </c:pt>
                <c:pt idx="84">
                  <c:v>3.9000000000000028E-2</c:v>
                </c:pt>
                <c:pt idx="85">
                  <c:v>4.0000000000000029E-2</c:v>
                </c:pt>
                <c:pt idx="86">
                  <c:v>4.1000000000000029E-2</c:v>
                </c:pt>
                <c:pt idx="87">
                  <c:v>4.200000000000003E-2</c:v>
                </c:pt>
                <c:pt idx="88">
                  <c:v>4.3000000000000031E-2</c:v>
                </c:pt>
                <c:pt idx="89">
                  <c:v>4.4000000000000032E-2</c:v>
                </c:pt>
                <c:pt idx="90">
                  <c:v>4.5000000000000033E-2</c:v>
                </c:pt>
              </c:numCache>
            </c:numRef>
          </c:xVal>
          <c:yVal>
            <c:numRef>
              <c:f>'Notes | Quant Analysis'!$R$249:$R$339</c:f>
              <c:numCache>
                <c:formatCode>General</c:formatCode>
                <c:ptCount val="91"/>
                <c:pt idx="0">
                  <c:v>3</c:v>
                </c:pt>
                <c:pt idx="1">
                  <c:v>0</c:v>
                </c:pt>
                <c:pt idx="2">
                  <c:v>2</c:v>
                </c:pt>
                <c:pt idx="3">
                  <c:v>1</c:v>
                </c:pt>
                <c:pt idx="4">
                  <c:v>2</c:v>
                </c:pt>
                <c:pt idx="5">
                  <c:v>1</c:v>
                </c:pt>
                <c:pt idx="6">
                  <c:v>0</c:v>
                </c:pt>
                <c:pt idx="7">
                  <c:v>2</c:v>
                </c:pt>
                <c:pt idx="8">
                  <c:v>1</c:v>
                </c:pt>
                <c:pt idx="9">
                  <c:v>3</c:v>
                </c:pt>
                <c:pt idx="10">
                  <c:v>3</c:v>
                </c:pt>
                <c:pt idx="11">
                  <c:v>1</c:v>
                </c:pt>
                <c:pt idx="12">
                  <c:v>1</c:v>
                </c:pt>
                <c:pt idx="13">
                  <c:v>5</c:v>
                </c:pt>
                <c:pt idx="14">
                  <c:v>0</c:v>
                </c:pt>
                <c:pt idx="15">
                  <c:v>5</c:v>
                </c:pt>
                <c:pt idx="16">
                  <c:v>3</c:v>
                </c:pt>
                <c:pt idx="17">
                  <c:v>3</c:v>
                </c:pt>
                <c:pt idx="18">
                  <c:v>2</c:v>
                </c:pt>
                <c:pt idx="19">
                  <c:v>6</c:v>
                </c:pt>
                <c:pt idx="20">
                  <c:v>4</c:v>
                </c:pt>
                <c:pt idx="21">
                  <c:v>6</c:v>
                </c:pt>
                <c:pt idx="22">
                  <c:v>3</c:v>
                </c:pt>
                <c:pt idx="23">
                  <c:v>6</c:v>
                </c:pt>
                <c:pt idx="24">
                  <c:v>8</c:v>
                </c:pt>
                <c:pt idx="25">
                  <c:v>13</c:v>
                </c:pt>
                <c:pt idx="26">
                  <c:v>3</c:v>
                </c:pt>
                <c:pt idx="27">
                  <c:v>14</c:v>
                </c:pt>
                <c:pt idx="28">
                  <c:v>10</c:v>
                </c:pt>
                <c:pt idx="29">
                  <c:v>11</c:v>
                </c:pt>
                <c:pt idx="30">
                  <c:v>23</c:v>
                </c:pt>
                <c:pt idx="31">
                  <c:v>16</c:v>
                </c:pt>
                <c:pt idx="32">
                  <c:v>15</c:v>
                </c:pt>
                <c:pt idx="33">
                  <c:v>26</c:v>
                </c:pt>
                <c:pt idx="34">
                  <c:v>26</c:v>
                </c:pt>
                <c:pt idx="35">
                  <c:v>30</c:v>
                </c:pt>
                <c:pt idx="36">
                  <c:v>41</c:v>
                </c:pt>
                <c:pt idx="37">
                  <c:v>34</c:v>
                </c:pt>
                <c:pt idx="38">
                  <c:v>32</c:v>
                </c:pt>
                <c:pt idx="39">
                  <c:v>59</c:v>
                </c:pt>
                <c:pt idx="40">
                  <c:v>56</c:v>
                </c:pt>
                <c:pt idx="41">
                  <c:v>44</c:v>
                </c:pt>
                <c:pt idx="42">
                  <c:v>60</c:v>
                </c:pt>
                <c:pt idx="43">
                  <c:v>58</c:v>
                </c:pt>
                <c:pt idx="44">
                  <c:v>59</c:v>
                </c:pt>
                <c:pt idx="45">
                  <c:v>51</c:v>
                </c:pt>
                <c:pt idx="46">
                  <c:v>48</c:v>
                </c:pt>
                <c:pt idx="47">
                  <c:v>58</c:v>
                </c:pt>
                <c:pt idx="48">
                  <c:v>49</c:v>
                </c:pt>
                <c:pt idx="49">
                  <c:v>57</c:v>
                </c:pt>
                <c:pt idx="50">
                  <c:v>57</c:v>
                </c:pt>
                <c:pt idx="51">
                  <c:v>46</c:v>
                </c:pt>
                <c:pt idx="52">
                  <c:v>50</c:v>
                </c:pt>
                <c:pt idx="53">
                  <c:v>41</c:v>
                </c:pt>
                <c:pt idx="54">
                  <c:v>33</c:v>
                </c:pt>
                <c:pt idx="55">
                  <c:v>44</c:v>
                </c:pt>
                <c:pt idx="56">
                  <c:v>39</c:v>
                </c:pt>
                <c:pt idx="57">
                  <c:v>30</c:v>
                </c:pt>
                <c:pt idx="58">
                  <c:v>16</c:v>
                </c:pt>
                <c:pt idx="59">
                  <c:v>21</c:v>
                </c:pt>
                <c:pt idx="60">
                  <c:v>19</c:v>
                </c:pt>
                <c:pt idx="61">
                  <c:v>16</c:v>
                </c:pt>
                <c:pt idx="62">
                  <c:v>13</c:v>
                </c:pt>
                <c:pt idx="63">
                  <c:v>8</c:v>
                </c:pt>
                <c:pt idx="64">
                  <c:v>14</c:v>
                </c:pt>
                <c:pt idx="65">
                  <c:v>7</c:v>
                </c:pt>
                <c:pt idx="66">
                  <c:v>13</c:v>
                </c:pt>
                <c:pt idx="67">
                  <c:v>10</c:v>
                </c:pt>
                <c:pt idx="68">
                  <c:v>5</c:v>
                </c:pt>
                <c:pt idx="69">
                  <c:v>8</c:v>
                </c:pt>
                <c:pt idx="70">
                  <c:v>11</c:v>
                </c:pt>
                <c:pt idx="71">
                  <c:v>5</c:v>
                </c:pt>
                <c:pt idx="72">
                  <c:v>5</c:v>
                </c:pt>
                <c:pt idx="73">
                  <c:v>7</c:v>
                </c:pt>
                <c:pt idx="74">
                  <c:v>2</c:v>
                </c:pt>
                <c:pt idx="75">
                  <c:v>3</c:v>
                </c:pt>
                <c:pt idx="76">
                  <c:v>0</c:v>
                </c:pt>
                <c:pt idx="77">
                  <c:v>0</c:v>
                </c:pt>
                <c:pt idx="78">
                  <c:v>2</c:v>
                </c:pt>
                <c:pt idx="79">
                  <c:v>1</c:v>
                </c:pt>
                <c:pt idx="80">
                  <c:v>3</c:v>
                </c:pt>
                <c:pt idx="81">
                  <c:v>1</c:v>
                </c:pt>
                <c:pt idx="82">
                  <c:v>1</c:v>
                </c:pt>
                <c:pt idx="83">
                  <c:v>1</c:v>
                </c:pt>
                <c:pt idx="84">
                  <c:v>0</c:v>
                </c:pt>
                <c:pt idx="85">
                  <c:v>1</c:v>
                </c:pt>
                <c:pt idx="86">
                  <c:v>0</c:v>
                </c:pt>
                <c:pt idx="87">
                  <c:v>1</c:v>
                </c:pt>
                <c:pt idx="88">
                  <c:v>1</c:v>
                </c:pt>
                <c:pt idx="89">
                  <c:v>2</c:v>
                </c:pt>
                <c:pt idx="90">
                  <c:v>0</c:v>
                </c:pt>
              </c:numCache>
            </c:numRef>
          </c:yVal>
          <c:smooth val="1"/>
          <c:extLst>
            <c:ext xmlns:c16="http://schemas.microsoft.com/office/drawing/2014/chart" uri="{C3380CC4-5D6E-409C-BE32-E72D297353CC}">
              <c16:uniqueId val="{00000000-28C7-4862-86E9-AF862A5BA0AD}"/>
            </c:ext>
          </c:extLst>
        </c:ser>
        <c:ser>
          <c:idx val="1"/>
          <c:order val="1"/>
          <c:tx>
            <c:strRef>
              <c:f>'Notes | Quant Analysis'!$T$247</c:f>
              <c:strCache>
                <c:ptCount val="1"/>
                <c:pt idx="0">
                  <c:v>Distribution Overlay</c:v>
                </c:pt>
              </c:strCache>
            </c:strRef>
          </c:tx>
          <c:spPr>
            <a:ln w="19050" cap="rnd">
              <a:solidFill>
                <a:srgbClr val="FFC000"/>
              </a:solidFill>
              <a:round/>
            </a:ln>
            <a:effectLst/>
          </c:spPr>
          <c:marker>
            <c:symbol val="none"/>
          </c:marker>
          <c:xVal>
            <c:numRef>
              <c:f>'Notes | Quant Analysis'!$T$249:$T$349</c:f>
              <c:numCache>
                <c:formatCode>0.00%</c:formatCode>
                <c:ptCount val="101"/>
                <c:pt idx="0">
                  <c:v>-5.0000000000000037E-2</c:v>
                </c:pt>
                <c:pt idx="1">
                  <c:v>-4.9000000000000037E-2</c:v>
                </c:pt>
                <c:pt idx="2">
                  <c:v>-4.8000000000000036E-2</c:v>
                </c:pt>
                <c:pt idx="3">
                  <c:v>-4.7000000000000035E-2</c:v>
                </c:pt>
                <c:pt idx="4">
                  <c:v>-4.6000000000000034E-2</c:v>
                </c:pt>
                <c:pt idx="5">
                  <c:v>-4.5000000000000033E-2</c:v>
                </c:pt>
                <c:pt idx="6">
                  <c:v>-4.4000000000000032E-2</c:v>
                </c:pt>
                <c:pt idx="7">
                  <c:v>-4.3000000000000031E-2</c:v>
                </c:pt>
                <c:pt idx="8">
                  <c:v>-4.200000000000003E-2</c:v>
                </c:pt>
                <c:pt idx="9">
                  <c:v>-4.1000000000000029E-2</c:v>
                </c:pt>
                <c:pt idx="10">
                  <c:v>-4.0000000000000029E-2</c:v>
                </c:pt>
                <c:pt idx="11">
                  <c:v>-3.9000000000000028E-2</c:v>
                </c:pt>
                <c:pt idx="12">
                  <c:v>-3.8000000000000027E-2</c:v>
                </c:pt>
                <c:pt idx="13">
                  <c:v>-3.7000000000000026E-2</c:v>
                </c:pt>
                <c:pt idx="14">
                  <c:v>-3.6000000000000025E-2</c:v>
                </c:pt>
                <c:pt idx="15">
                  <c:v>-3.5000000000000024E-2</c:v>
                </c:pt>
                <c:pt idx="16">
                  <c:v>-3.4000000000000023E-2</c:v>
                </c:pt>
                <c:pt idx="17">
                  <c:v>-3.3000000000000022E-2</c:v>
                </c:pt>
                <c:pt idx="18">
                  <c:v>-3.2000000000000021E-2</c:v>
                </c:pt>
                <c:pt idx="19">
                  <c:v>-3.1000000000000021E-2</c:v>
                </c:pt>
                <c:pt idx="20">
                  <c:v>-3.000000000000002E-2</c:v>
                </c:pt>
                <c:pt idx="21">
                  <c:v>-2.9000000000000019E-2</c:v>
                </c:pt>
                <c:pt idx="22">
                  <c:v>-2.8000000000000018E-2</c:v>
                </c:pt>
                <c:pt idx="23">
                  <c:v>-2.7000000000000017E-2</c:v>
                </c:pt>
                <c:pt idx="24">
                  <c:v>-2.6000000000000016E-2</c:v>
                </c:pt>
                <c:pt idx="25">
                  <c:v>-2.5000000000000015E-2</c:v>
                </c:pt>
                <c:pt idx="26">
                  <c:v>-2.4000000000000014E-2</c:v>
                </c:pt>
                <c:pt idx="27">
                  <c:v>-2.3000000000000013E-2</c:v>
                </c:pt>
                <c:pt idx="28">
                  <c:v>-2.2000000000000013E-2</c:v>
                </c:pt>
                <c:pt idx="29">
                  <c:v>-2.1000000000000012E-2</c:v>
                </c:pt>
                <c:pt idx="30">
                  <c:v>-2.0000000000000011E-2</c:v>
                </c:pt>
                <c:pt idx="31">
                  <c:v>-1.900000000000001E-2</c:v>
                </c:pt>
                <c:pt idx="32">
                  <c:v>-1.8000000000000009E-2</c:v>
                </c:pt>
                <c:pt idx="33">
                  <c:v>-1.7000000000000008E-2</c:v>
                </c:pt>
                <c:pt idx="34">
                  <c:v>-1.6000000000000007E-2</c:v>
                </c:pt>
                <c:pt idx="35">
                  <c:v>-1.5000000000000006E-2</c:v>
                </c:pt>
                <c:pt idx="36">
                  <c:v>-1.4000000000000005E-2</c:v>
                </c:pt>
                <c:pt idx="37">
                  <c:v>-1.3000000000000005E-2</c:v>
                </c:pt>
                <c:pt idx="38">
                  <c:v>-1.2000000000000004E-2</c:v>
                </c:pt>
                <c:pt idx="39">
                  <c:v>-1.1000000000000003E-2</c:v>
                </c:pt>
                <c:pt idx="40">
                  <c:v>-1.0000000000000002E-2</c:v>
                </c:pt>
                <c:pt idx="41">
                  <c:v>-9.0000000000000011E-3</c:v>
                </c:pt>
                <c:pt idx="42">
                  <c:v>-8.0000000000000002E-3</c:v>
                </c:pt>
                <c:pt idx="43">
                  <c:v>-7.0000000000000001E-3</c:v>
                </c:pt>
                <c:pt idx="44">
                  <c:v>-6.0000000000000001E-3</c:v>
                </c:pt>
                <c:pt idx="45">
                  <c:v>-5.0000000000000001E-3</c:v>
                </c:pt>
                <c:pt idx="46">
                  <c:v>-4.0000000000000001E-3</c:v>
                </c:pt>
                <c:pt idx="47">
                  <c:v>-3.0000000000000001E-3</c:v>
                </c:pt>
                <c:pt idx="48">
                  <c:v>-2E-3</c:v>
                </c:pt>
                <c:pt idx="49">
                  <c:v>-1E-3</c:v>
                </c:pt>
                <c:pt idx="50">
                  <c:v>0</c:v>
                </c:pt>
                <c:pt idx="51">
                  <c:v>1E-3</c:v>
                </c:pt>
                <c:pt idx="52">
                  <c:v>2E-3</c:v>
                </c:pt>
                <c:pt idx="53">
                  <c:v>3.0000000000000001E-3</c:v>
                </c:pt>
                <c:pt idx="54">
                  <c:v>4.0000000000000001E-3</c:v>
                </c:pt>
                <c:pt idx="55">
                  <c:v>5.0000000000000001E-3</c:v>
                </c:pt>
                <c:pt idx="56">
                  <c:v>6.0000000000000001E-3</c:v>
                </c:pt>
                <c:pt idx="57">
                  <c:v>7.0000000000000001E-3</c:v>
                </c:pt>
                <c:pt idx="58">
                  <c:v>8.0000000000000002E-3</c:v>
                </c:pt>
                <c:pt idx="59">
                  <c:v>9.0000000000000011E-3</c:v>
                </c:pt>
                <c:pt idx="60">
                  <c:v>1.0000000000000002E-2</c:v>
                </c:pt>
                <c:pt idx="61">
                  <c:v>1.1000000000000003E-2</c:v>
                </c:pt>
                <c:pt idx="62">
                  <c:v>1.2000000000000004E-2</c:v>
                </c:pt>
                <c:pt idx="63">
                  <c:v>1.3000000000000005E-2</c:v>
                </c:pt>
                <c:pt idx="64">
                  <c:v>1.4000000000000005E-2</c:v>
                </c:pt>
                <c:pt idx="65">
                  <c:v>1.5000000000000006E-2</c:v>
                </c:pt>
                <c:pt idx="66">
                  <c:v>1.6000000000000007E-2</c:v>
                </c:pt>
                <c:pt idx="67">
                  <c:v>1.7000000000000008E-2</c:v>
                </c:pt>
                <c:pt idx="68">
                  <c:v>1.8000000000000009E-2</c:v>
                </c:pt>
                <c:pt idx="69">
                  <c:v>1.900000000000001E-2</c:v>
                </c:pt>
                <c:pt idx="70">
                  <c:v>2.0000000000000011E-2</c:v>
                </c:pt>
                <c:pt idx="71">
                  <c:v>2.1000000000000012E-2</c:v>
                </c:pt>
                <c:pt idx="72">
                  <c:v>2.2000000000000013E-2</c:v>
                </c:pt>
                <c:pt idx="73">
                  <c:v>2.3000000000000013E-2</c:v>
                </c:pt>
                <c:pt idx="74">
                  <c:v>2.4000000000000014E-2</c:v>
                </c:pt>
                <c:pt idx="75">
                  <c:v>2.5000000000000015E-2</c:v>
                </c:pt>
                <c:pt idx="76">
                  <c:v>2.6000000000000016E-2</c:v>
                </c:pt>
                <c:pt idx="77">
                  <c:v>2.7000000000000017E-2</c:v>
                </c:pt>
                <c:pt idx="78">
                  <c:v>2.8000000000000018E-2</c:v>
                </c:pt>
                <c:pt idx="79">
                  <c:v>2.9000000000000019E-2</c:v>
                </c:pt>
                <c:pt idx="80">
                  <c:v>3.000000000000002E-2</c:v>
                </c:pt>
                <c:pt idx="81">
                  <c:v>3.1000000000000021E-2</c:v>
                </c:pt>
                <c:pt idx="82">
                  <c:v>3.2000000000000021E-2</c:v>
                </c:pt>
                <c:pt idx="83">
                  <c:v>3.3000000000000022E-2</c:v>
                </c:pt>
                <c:pt idx="84">
                  <c:v>3.4000000000000023E-2</c:v>
                </c:pt>
                <c:pt idx="85">
                  <c:v>3.5000000000000024E-2</c:v>
                </c:pt>
                <c:pt idx="86">
                  <c:v>3.6000000000000025E-2</c:v>
                </c:pt>
                <c:pt idx="87">
                  <c:v>3.7000000000000026E-2</c:v>
                </c:pt>
                <c:pt idx="88">
                  <c:v>3.8000000000000027E-2</c:v>
                </c:pt>
                <c:pt idx="89">
                  <c:v>3.9000000000000028E-2</c:v>
                </c:pt>
                <c:pt idx="90">
                  <c:v>4.0000000000000029E-2</c:v>
                </c:pt>
                <c:pt idx="91">
                  <c:v>4.1000000000000029E-2</c:v>
                </c:pt>
                <c:pt idx="92">
                  <c:v>4.200000000000003E-2</c:v>
                </c:pt>
                <c:pt idx="93">
                  <c:v>4.3000000000000031E-2</c:v>
                </c:pt>
                <c:pt idx="94">
                  <c:v>4.4000000000000032E-2</c:v>
                </c:pt>
                <c:pt idx="95">
                  <c:v>4.5000000000000033E-2</c:v>
                </c:pt>
                <c:pt idx="96">
                  <c:v>4.6000000000000034E-2</c:v>
                </c:pt>
                <c:pt idx="97">
                  <c:v>4.7000000000000035E-2</c:v>
                </c:pt>
                <c:pt idx="98">
                  <c:v>4.8000000000000036E-2</c:v>
                </c:pt>
                <c:pt idx="99">
                  <c:v>4.9000000000000037E-2</c:v>
                </c:pt>
                <c:pt idx="100">
                  <c:v>5.0000000000000037E-2</c:v>
                </c:pt>
              </c:numCache>
            </c:numRef>
          </c:xVal>
          <c:yVal>
            <c:numRef>
              <c:f>'Notes | Quant Analysis'!$U$249:$U$349</c:f>
              <c:numCache>
                <c:formatCode>General</c:formatCode>
                <c:ptCount val="101"/>
                <c:pt idx="0">
                  <c:v>1.7056933837853172E-2</c:v>
                </c:pt>
                <c:pt idx="1">
                  <c:v>2.2941086238139348E-2</c:v>
                </c:pt>
                <c:pt idx="2">
                  <c:v>3.0671307647602279E-2</c:v>
                </c:pt>
                <c:pt idx="3">
                  <c:v>4.0762039830494312E-2</c:v>
                </c:pt>
                <c:pt idx="4">
                  <c:v>5.3849890926151785E-2</c:v>
                </c:pt>
                <c:pt idx="5">
                  <c:v>7.0716221755197192E-2</c:v>
                </c:pt>
                <c:pt idx="6">
                  <c:v>9.2312087543228172E-2</c:v>
                </c:pt>
                <c:pt idx="7">
                  <c:v>0.11978526486170103</c:v>
                </c:pt>
                <c:pt idx="8">
                  <c:v>0.15450890862828479</c:v>
                </c:pt>
                <c:pt idx="9">
                  <c:v>0.19811116616672403</c:v>
                </c:pt>
                <c:pt idx="10">
                  <c:v>0.25250482778919514</c:v>
                </c:pt>
                <c:pt idx="11">
                  <c:v>0.31991582230146343</c:v>
                </c:pt>
                <c:pt idx="12">
                  <c:v>0.40290908082568955</c:v>
                </c:pt>
                <c:pt idx="13">
                  <c:v>0.50441000667076596</c:v>
                </c:pt>
                <c:pt idx="14">
                  <c:v>0.62771951971070672</c:v>
                </c:pt>
                <c:pt idx="15">
                  <c:v>0.77652041147299111</c:v>
                </c:pt>
                <c:pt idx="16">
                  <c:v>0.95487257551166471</c:v>
                </c:pt>
                <c:pt idx="17">
                  <c:v>1.1671945923292322</c:v>
                </c:pt>
                <c:pt idx="18">
                  <c:v>1.4182291755174075</c:v>
                </c:pt>
                <c:pt idx="19">
                  <c:v>1.7129901512832013</c:v>
                </c:pt>
                <c:pt idx="20">
                  <c:v>2.0566889693756032</c:v>
                </c:pt>
                <c:pt idx="21">
                  <c:v>2.45463924644972</c:v>
                </c:pt>
                <c:pt idx="22">
                  <c:v>2.9121385320444575</c:v>
                </c:pt>
                <c:pt idx="23">
                  <c:v>3.4343273613215235</c:v>
                </c:pt>
                <c:pt idx="24">
                  <c:v>4.0260267039443942</c:v>
                </c:pt>
                <c:pt idx="25">
                  <c:v>4.6915561075784362</c:v>
                </c:pt>
                <c:pt idx="26">
                  <c:v>5.4345361255085489</c:v>
                </c:pt>
                <c:pt idx="27">
                  <c:v>6.2576799544930113</c:v>
                </c:pt>
                <c:pt idx="28">
                  <c:v>7.1625805219233536</c:v>
                </c:pt>
                <c:pt idx="29">
                  <c:v>8.1495004710068653</c:v>
                </c:pt>
                <c:pt idx="30">
                  <c:v>9.2171735129005707</c:v>
                </c:pt>
                <c:pt idx="31">
                  <c:v>10.36262635786759</c:v>
                </c:pt>
                <c:pt idx="32">
                  <c:v>11.581030820347012</c:v>
                </c:pt>
                <c:pt idx="33">
                  <c:v>12.865595642901889</c:v>
                </c:pt>
                <c:pt idx="34">
                  <c:v>14.207507046288388</c:v>
                </c:pt>
                <c:pt idx="35">
                  <c:v>15.595925955831975</c:v>
                </c:pt>
                <c:pt idx="36">
                  <c:v>17.018048275031287</c:v>
                </c:pt>
                <c:pt idx="37">
                  <c:v>18.459232505277459</c:v>
                </c:pt>
                <c:pt idx="38">
                  <c:v>19.903196509178212</c:v>
                </c:pt>
                <c:pt idx="39">
                  <c:v>21.332282380876507</c:v>
                </c:pt>
                <c:pt idx="40">
                  <c:v>22.727785346624685</c:v>
                </c:pt>
                <c:pt idx="41">
                  <c:v>24.070339523608425</c:v>
                </c:pt>
                <c:pt idx="42">
                  <c:v>25.340350381606896</c:v>
                </c:pt>
                <c:pt idx="43">
                  <c:v>26.518461053653382</c:v>
                </c:pt>
                <c:pt idx="44">
                  <c:v>27.586037396471522</c:v>
                </c:pt>
                <c:pt idx="45">
                  <c:v>28.525655060443228</c:v>
                </c:pt>
                <c:pt idx="46">
                  <c:v>29.321570915672009</c:v>
                </c:pt>
                <c:pt idx="47">
                  <c:v>29.960161081124451</c:v>
                </c:pt>
                <c:pt idx="48">
                  <c:v>30.430308558405969</c:v>
                </c:pt>
                <c:pt idx="49">
                  <c:v>30.723725071114789</c:v>
                </c:pt>
                <c:pt idx="50">
                  <c:v>30.83519409447225</c:v>
                </c:pt>
                <c:pt idx="51">
                  <c:v>30.762725118903752</c:v>
                </c:pt>
                <c:pt idx="52">
                  <c:v>30.507612773582387</c:v>
                </c:pt>
                <c:pt idx="53">
                  <c:v>30.074398356225956</c:v>
                </c:pt>
                <c:pt idx="54">
                  <c:v>29.470735366385739</c:v>
                </c:pt>
                <c:pt idx="55">
                  <c:v>28.707164605318692</c:v>
                </c:pt>
                <c:pt idx="56">
                  <c:v>27.796808076061943</c:v>
                </c:pt>
                <c:pt idx="57">
                  <c:v>26.75499410142195</c:v>
                </c:pt>
                <c:pt idx="58">
                  <c:v>25.598828615398684</c:v>
                </c:pt>
                <c:pt idx="59">
                  <c:v>24.346729356259694</c:v>
                </c:pt>
                <c:pt idx="60">
                  <c:v>23.017940625946352</c:v>
                </c:pt>
                <c:pt idx="61">
                  <c:v>21.632046360523709</c:v>
                </c:pt>
                <c:pt idx="62">
                  <c:v>20.208498510206738</c:v>
                </c:pt>
                <c:pt idx="63">
                  <c:v>18.766176231830169</c:v>
                </c:pt>
                <c:pt idx="64">
                  <c:v>17.322989267691479</c:v>
                </c:pt>
                <c:pt idx="65">
                  <c:v>15.89553626880349</c:v>
                </c:pt>
                <c:pt idx="66">
                  <c:v>14.498825883216375</c:v>
                </c:pt>
                <c:pt idx="67">
                  <c:v>13.146065344219746</c:v>
                </c:pt>
                <c:pt idx="68">
                  <c:v>11.848518228100543</c:v>
                </c:pt>
                <c:pt idx="69">
                  <c:v>10.615430161771226</c:v>
                </c:pt>
                <c:pt idx="70">
                  <c:v>9.4540186793778016</c:v>
                </c:pt>
                <c:pt idx="71">
                  <c:v>8.3695212573434521</c:v>
                </c:pt>
                <c:pt idx="72">
                  <c:v>7.3652938698091557</c:v>
                </c:pt>
                <c:pt idx="73">
                  <c:v>6.4429512376857421</c:v>
                </c:pt>
                <c:pt idx="74">
                  <c:v>5.6025392982775575</c:v>
                </c:pt>
                <c:pt idx="75">
                  <c:v>4.8427302728341433</c:v>
                </c:pt>
                <c:pt idx="76">
                  <c:v>4.1610310058880167</c:v>
                </c:pt>
                <c:pt idx="77">
                  <c:v>3.553995923566696</c:v>
                </c:pt>
                <c:pt idx="78">
                  <c:v>3.0174369267229149</c:v>
                </c:pt>
                <c:pt idx="79">
                  <c:v>2.5466237114865335</c:v>
                </c:pt>
                <c:pt idx="80">
                  <c:v>2.136469307803178</c:v>
                </c:pt>
                <c:pt idx="81">
                  <c:v>1.7816969643120257</c:v>
                </c:pt>
                <c:pt idx="82">
                  <c:v>1.4769858137898746</c:v>
                </c:pt>
                <c:pt idx="83">
                  <c:v>1.2170939681345536</c:v>
                </c:pt>
                <c:pt idx="84">
                  <c:v>0.99695877041721204</c:v>
                </c:pt>
                <c:pt idx="85">
                  <c:v>0.81177484345154238</c:v>
                </c:pt>
                <c:pt idx="86">
                  <c:v>0.65705130320733829</c:v>
                </c:pt>
                <c:pt idx="87">
                  <c:v>0.52865004749932287</c:v>
                </c:pt>
                <c:pt idx="88">
                  <c:v>0.42280739267296064</c:v>
                </c:pt>
                <c:pt idx="89">
                  <c:v>0.33614152883901094</c:v>
                </c:pt>
                <c:pt idx="90">
                  <c:v>0.2656483188853197</c:v>
                </c:pt>
                <c:pt idx="91">
                  <c:v>0.20868790291503317</c:v>
                </c:pt>
                <c:pt idx="92">
                  <c:v>0.1629644142658048</c:v>
                </c:pt>
                <c:pt idx="93">
                  <c:v>0.12650089181799862</c:v>
                </c:pt>
                <c:pt idx="94">
                  <c:v>9.7611210052722136E-2</c:v>
                </c:pt>
                <c:pt idx="95">
                  <c:v>7.4870564585024849E-2</c:v>
                </c:pt>
                <c:pt idx="96">
                  <c:v>5.7085764513240538E-2</c:v>
                </c:pt>
                <c:pt idx="97">
                  <c:v>4.3266307979004721E-2</c:v>
                </c:pt>
                <c:pt idx="98">
                  <c:v>3.2596964174735864E-2</c:v>
                </c:pt>
                <c:pt idx="99">
                  <c:v>2.4412360528028483E-2</c:v>
                </c:pt>
                <c:pt idx="100">
                  <c:v>1.8173881716599803E-2</c:v>
                </c:pt>
              </c:numCache>
            </c:numRef>
          </c:yVal>
          <c:smooth val="1"/>
          <c:extLst>
            <c:ext xmlns:c16="http://schemas.microsoft.com/office/drawing/2014/chart" uri="{C3380CC4-5D6E-409C-BE32-E72D297353CC}">
              <c16:uniqueId val="{00000001-28C7-4862-86E9-AF862A5BA0AD}"/>
            </c:ext>
          </c:extLst>
        </c:ser>
        <c:ser>
          <c:idx val="2"/>
          <c:order val="2"/>
          <c:tx>
            <c:strRef>
              <c:f>'Notes | Quant Analysis'!$W$249</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5.3073368695663162E-2"/>
                  <c:y val="-2.7103188664998154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9.7926326628355251E-2"/>
                      <c:h val="7.7448362996124329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Analysis'!$X$249:$X$250</c:f>
              <c:numCache>
                <c:formatCode>0.00%</c:formatCode>
                <c:ptCount val="2"/>
                <c:pt idx="0">
                  <c:v>1.0616547091063573E-4</c:v>
                </c:pt>
                <c:pt idx="1">
                  <c:v>1.0616547091063573E-4</c:v>
                </c:pt>
              </c:numCache>
            </c:numRef>
          </c:xVal>
          <c:yVal>
            <c:numRef>
              <c:f>'Notes | Quant Analysis'!$Y$249:$Y$250</c:f>
              <c:numCache>
                <c:formatCode>General</c:formatCode>
                <c:ptCount val="2"/>
                <c:pt idx="0">
                  <c:v>0</c:v>
                </c:pt>
                <c:pt idx="1">
                  <c:v>30.5</c:v>
                </c:pt>
              </c:numCache>
            </c:numRef>
          </c:yVal>
          <c:smooth val="1"/>
          <c:extLst>
            <c:ext xmlns:c16="http://schemas.microsoft.com/office/drawing/2014/chart" uri="{C3380CC4-5D6E-409C-BE32-E72D297353CC}">
              <c16:uniqueId val="{00000004-28C7-4862-86E9-AF862A5BA0AD}"/>
            </c:ext>
          </c:extLst>
        </c:ser>
        <c:ser>
          <c:idx val="3"/>
          <c:order val="3"/>
          <c:tx>
            <c:strRef>
              <c:f>'Notes | Quant Analysis'!$W$251</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Analysis'!$X$251:$X$252</c:f>
              <c:numCache>
                <c:formatCode>0.00%</c:formatCode>
                <c:ptCount val="2"/>
                <c:pt idx="0">
                  <c:v>-3.870619100174668E-2</c:v>
                </c:pt>
                <c:pt idx="1">
                  <c:v>-3.870619100174668E-2</c:v>
                </c:pt>
              </c:numCache>
            </c:numRef>
          </c:xVal>
          <c:yVal>
            <c:numRef>
              <c:f>'Notes | Quant Analysis'!$Y$251:$Y$252</c:f>
              <c:numCache>
                <c:formatCode>General</c:formatCode>
                <c:ptCount val="2"/>
                <c:pt idx="0">
                  <c:v>0</c:v>
                </c:pt>
                <c:pt idx="1">
                  <c:v>1</c:v>
                </c:pt>
              </c:numCache>
            </c:numRef>
          </c:yVal>
          <c:smooth val="1"/>
          <c:extLst>
            <c:ext xmlns:c16="http://schemas.microsoft.com/office/drawing/2014/chart" uri="{C3380CC4-5D6E-409C-BE32-E72D297353CC}">
              <c16:uniqueId val="{00000007-28C7-4862-86E9-AF862A5BA0AD}"/>
            </c:ext>
          </c:extLst>
        </c:ser>
        <c:ser>
          <c:idx val="4"/>
          <c:order val="4"/>
          <c:tx>
            <c:strRef>
              <c:f>'Notes | Quant Analysis'!$W$253</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3.739825861686296E-2"/>
                  <c:y val="-6.8775312938889027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Analysis'!$X$253:$X$254</c:f>
              <c:numCache>
                <c:formatCode>0.00%</c:formatCode>
                <c:ptCount val="2"/>
                <c:pt idx="0">
                  <c:v>-2.5768738844194242E-2</c:v>
                </c:pt>
                <c:pt idx="1">
                  <c:v>-2.5768738844194242E-2</c:v>
                </c:pt>
              </c:numCache>
            </c:numRef>
          </c:xVal>
          <c:yVal>
            <c:numRef>
              <c:f>'Notes | Quant Analysis'!$Y$253:$Y$254</c:f>
              <c:numCache>
                <c:formatCode>General</c:formatCode>
                <c:ptCount val="2"/>
                <c:pt idx="0">
                  <c:v>0</c:v>
                </c:pt>
                <c:pt idx="1">
                  <c:v>5</c:v>
                </c:pt>
              </c:numCache>
            </c:numRef>
          </c:yVal>
          <c:smooth val="1"/>
          <c:extLst>
            <c:ext xmlns:c16="http://schemas.microsoft.com/office/drawing/2014/chart" uri="{C3380CC4-5D6E-409C-BE32-E72D297353CC}">
              <c16:uniqueId val="{0000000A-28C7-4862-86E9-AF862A5BA0AD}"/>
            </c:ext>
          </c:extLst>
        </c:ser>
        <c:ser>
          <c:idx val="5"/>
          <c:order val="5"/>
          <c:tx>
            <c:strRef>
              <c:f>'Notes | Quant Analysis'!$W$255</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4.8110558889884046E-2"/>
                  <c:y val="-4.005543568403144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Analysis'!$X$255:$X$256</c:f>
              <c:numCache>
                <c:formatCode>0.00%</c:formatCode>
                <c:ptCount val="2"/>
                <c:pt idx="0">
                  <c:v>-1.2831286686641803E-2</c:v>
                </c:pt>
                <c:pt idx="1">
                  <c:v>-1.2831286686641803E-2</c:v>
                </c:pt>
              </c:numCache>
            </c:numRef>
          </c:xVal>
          <c:yVal>
            <c:numRef>
              <c:f>'Notes | Quant Analysis'!$Y$255:$Y$256</c:f>
              <c:numCache>
                <c:formatCode>General</c:formatCode>
                <c:ptCount val="2"/>
                <c:pt idx="0">
                  <c:v>0</c:v>
                </c:pt>
                <c:pt idx="1">
                  <c:v>15</c:v>
                </c:pt>
              </c:numCache>
            </c:numRef>
          </c:yVal>
          <c:smooth val="1"/>
          <c:extLst>
            <c:ext xmlns:c16="http://schemas.microsoft.com/office/drawing/2014/chart" uri="{C3380CC4-5D6E-409C-BE32-E72D297353CC}">
              <c16:uniqueId val="{0000000D-28C7-4862-86E9-AF862A5BA0AD}"/>
            </c:ext>
          </c:extLst>
        </c:ser>
        <c:ser>
          <c:idx val="6"/>
          <c:order val="6"/>
          <c:tx>
            <c:strRef>
              <c:f>'Notes | Quant Analysis'!$W$257</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2560802582794495E-2"/>
                  <c:y val="-4.005543568403144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Analysis'!$X$257:$X$258</c:f>
              <c:numCache>
                <c:formatCode>0.00%</c:formatCode>
                <c:ptCount val="2"/>
                <c:pt idx="0">
                  <c:v>1.3043617628463074E-2</c:v>
                </c:pt>
                <c:pt idx="1">
                  <c:v>1.3043617628463074E-2</c:v>
                </c:pt>
              </c:numCache>
            </c:numRef>
          </c:xVal>
          <c:yVal>
            <c:numRef>
              <c:f>'Notes | Quant Analysis'!$Y$257:$Y$258</c:f>
              <c:numCache>
                <c:formatCode>General</c:formatCode>
                <c:ptCount val="2"/>
                <c:pt idx="0">
                  <c:v>0</c:v>
                </c:pt>
                <c:pt idx="1">
                  <c:v>15</c:v>
                </c:pt>
              </c:numCache>
            </c:numRef>
          </c:yVal>
          <c:smooth val="1"/>
          <c:extLst>
            <c:ext xmlns:c16="http://schemas.microsoft.com/office/drawing/2014/chart" uri="{C3380CC4-5D6E-409C-BE32-E72D297353CC}">
              <c16:uniqueId val="{0000000F-28C7-4862-86E9-AF862A5BA0AD}"/>
            </c:ext>
          </c:extLst>
        </c:ser>
        <c:ser>
          <c:idx val="7"/>
          <c:order val="7"/>
          <c:tx>
            <c:strRef>
              <c:f>'Notes | Quant Analysis'!$W$259</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1034437194905201E-2"/>
                  <c:y val="-6.8922436424287067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Analysis'!$X$259:$X$260</c:f>
              <c:numCache>
                <c:formatCode>0.00%</c:formatCode>
                <c:ptCount val="2"/>
                <c:pt idx="0">
                  <c:v>2.5981069786015512E-2</c:v>
                </c:pt>
                <c:pt idx="1">
                  <c:v>2.5981069786015512E-2</c:v>
                </c:pt>
              </c:numCache>
            </c:numRef>
          </c:xVal>
          <c:yVal>
            <c:numRef>
              <c:f>'Notes | Quant Analysis'!$Y$259:$Y$260</c:f>
              <c:numCache>
                <c:formatCode>General</c:formatCode>
                <c:ptCount val="2"/>
                <c:pt idx="0">
                  <c:v>0</c:v>
                </c:pt>
                <c:pt idx="1">
                  <c:v>5</c:v>
                </c:pt>
              </c:numCache>
            </c:numRef>
          </c:yVal>
          <c:smooth val="1"/>
          <c:extLst>
            <c:ext xmlns:c16="http://schemas.microsoft.com/office/drawing/2014/chart" uri="{C3380CC4-5D6E-409C-BE32-E72D297353CC}">
              <c16:uniqueId val="{00000012-28C7-4862-86E9-AF862A5BA0AD}"/>
            </c:ext>
          </c:extLst>
        </c:ser>
        <c:ser>
          <c:idx val="8"/>
          <c:order val="8"/>
          <c:tx>
            <c:strRef>
              <c:f>'Notes | Quant Analysis'!$W$261</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863129629385E-2"/>
                  <c:y val="-2.66577365988686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Analysis'!$X$261:$X$262</c:f>
              <c:numCache>
                <c:formatCode>0.00%</c:formatCode>
                <c:ptCount val="2"/>
                <c:pt idx="0">
                  <c:v>3.8918521943567951E-2</c:v>
                </c:pt>
                <c:pt idx="1">
                  <c:v>3.8918521943567951E-2</c:v>
                </c:pt>
              </c:numCache>
            </c:numRef>
          </c:xVal>
          <c:yVal>
            <c:numRef>
              <c:f>'Notes | Quant Analysis'!$Y$261:$Y$262</c:f>
              <c:numCache>
                <c:formatCode>General</c:formatCode>
                <c:ptCount val="2"/>
                <c:pt idx="0">
                  <c:v>0</c:v>
                </c:pt>
                <c:pt idx="1">
                  <c:v>1</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5.000000000000001E-2"/>
          <c:min val="-5.000000000000001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(RTX)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Model!$BS$51:$CF$51</c:f>
              <c:numCache>
                <c:formatCode>General</c:formatCode>
                <c:ptCount val="14"/>
                <c:pt idx="0">
                  <c:v>6746</c:v>
                </c:pt>
                <c:pt idx="1">
                  <c:v>7445</c:v>
                </c:pt>
                <c:pt idx="2">
                  <c:v>8230</c:v>
                </c:pt>
                <c:pt idx="3">
                  <c:v>6004</c:v>
                </c:pt>
                <c:pt idx="4">
                  <c:v>7612</c:v>
                </c:pt>
                <c:pt idx="5">
                  <c:v>5670</c:v>
                </c:pt>
                <c:pt idx="6">
                  <c:v>2152</c:v>
                </c:pt>
                <c:pt idx="7">
                  <c:v>5255</c:v>
                </c:pt>
                <c:pt idx="8">
                  <c:v>5230</c:v>
                </c:pt>
                <c:pt idx="9">
                  <c:v>117</c:v>
                </c:pt>
                <c:pt idx="10">
                  <c:v>5327</c:v>
                </c:pt>
                <c:pt idx="11">
                  <c:v>3380</c:v>
                </c:pt>
                <c:pt idx="12">
                  <c:v>5013</c:v>
                </c:pt>
                <c:pt idx="13">
                  <c:v>7069</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Model!$BS$104:$CF$104</c:f>
              <c:numCache>
                <c:formatCode>General</c:formatCode>
                <c:ptCount val="14"/>
                <c:pt idx="0">
                  <c:v>15546</c:v>
                </c:pt>
                <c:pt idx="1">
                  <c:v>5745</c:v>
                </c:pt>
                <c:pt idx="2">
                  <c:v>5385</c:v>
                </c:pt>
                <c:pt idx="3">
                  <c:v>5103</c:v>
                </c:pt>
                <c:pt idx="4">
                  <c:v>4713</c:v>
                </c:pt>
                <c:pt idx="5">
                  <c:v>3617</c:v>
                </c:pt>
                <c:pt idx="6">
                  <c:v>1203</c:v>
                </c:pt>
                <c:pt idx="7">
                  <c:v>3953</c:v>
                </c:pt>
                <c:pt idx="8">
                  <c:v>2539</c:v>
                </c:pt>
                <c:pt idx="9">
                  <c:v>5008</c:v>
                </c:pt>
                <c:pt idx="10">
                  <c:v>4880</c:v>
                </c:pt>
                <c:pt idx="11">
                  <c:v>5468</c:v>
                </c:pt>
                <c:pt idx="12">
                  <c:v>4534</c:v>
                </c:pt>
                <c:pt idx="13">
                  <c:v>7940</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numRef>
              <c:f>Model!$BS$3:$CF$3</c:f>
              <c:numCache>
                <c:formatCode>General</c:formatCod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numCache>
            </c:numRef>
          </c:cat>
          <c:val>
            <c:numRef>
              <c:f>Model!$BS$40:$CF$40</c:f>
              <c:numCache>
                <c:formatCode>General</c:formatCode>
                <c:ptCount val="14"/>
                <c:pt idx="0">
                  <c:v>57708</c:v>
                </c:pt>
                <c:pt idx="1">
                  <c:v>56600</c:v>
                </c:pt>
                <c:pt idx="2">
                  <c:v>57900</c:v>
                </c:pt>
                <c:pt idx="3">
                  <c:v>56098</c:v>
                </c:pt>
                <c:pt idx="4">
                  <c:v>57244</c:v>
                </c:pt>
                <c:pt idx="5">
                  <c:v>59837</c:v>
                </c:pt>
                <c:pt idx="6">
                  <c:v>34701</c:v>
                </c:pt>
                <c:pt idx="7">
                  <c:v>45349</c:v>
                </c:pt>
                <c:pt idx="8">
                  <c:v>63817</c:v>
                </c:pt>
                <c:pt idx="9">
                  <c:v>64388</c:v>
                </c:pt>
                <c:pt idx="10">
                  <c:v>67074</c:v>
                </c:pt>
                <c:pt idx="11">
                  <c:v>68920</c:v>
                </c:pt>
                <c:pt idx="12">
                  <c:v>80738</c:v>
                </c:pt>
                <c:pt idx="13">
                  <c:v>88603</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(RTX) Revenue by Geography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6"/>
          <c:order val="0"/>
          <c:tx>
            <c:strRef>
              <c:f>Model!$B$21</c:f>
              <c:strCache>
                <c:ptCount val="1"/>
                <c:pt idx="0">
                  <c:v>Europe</c:v>
                </c:pt>
              </c:strCache>
            </c:strRef>
          </c:tx>
          <c:spPr>
            <a:solidFill>
              <a:srgbClr val="FF99CC"/>
            </a:solidFill>
            <a:ln>
              <a:noFill/>
            </a:ln>
            <a:effectLst/>
          </c:spPr>
          <c:invertIfNegative val="0"/>
          <c:cat>
            <c:strRef>
              <c:f>Model!$AM$1:$BI$1</c:f>
              <c:strCache>
                <c:ptCount val="21"/>
                <c:pt idx="0">
                  <c:v>Q1 2021</c:v>
                </c:pt>
                <c:pt idx="4">
                  <c:v>Q1 2022</c:v>
                </c:pt>
                <c:pt idx="8">
                  <c:v>Q1 2023</c:v>
                </c:pt>
                <c:pt idx="12">
                  <c:v>Q1 2024</c:v>
                </c:pt>
                <c:pt idx="16">
                  <c:v>Q1 2025</c:v>
                </c:pt>
                <c:pt idx="20">
                  <c:v>Q1 2026</c:v>
                </c:pt>
              </c:strCache>
            </c:strRef>
          </c:cat>
          <c:val>
            <c:numRef>
              <c:f>Model!$AM$21:$BI$21</c:f>
              <c:numCache>
                <c:formatCode>General</c:formatCode>
                <c:ptCount val="23"/>
                <c:pt idx="0">
                  <c:v>2147</c:v>
                </c:pt>
                <c:pt idx="1">
                  <c:v>2316</c:v>
                </c:pt>
                <c:pt idx="2">
                  <c:v>2408</c:v>
                </c:pt>
                <c:pt idx="3">
                  <c:v>2727</c:v>
                </c:pt>
                <c:pt idx="4">
                  <c:v>2572</c:v>
                </c:pt>
                <c:pt idx="5">
                  <c:v>2678</c:v>
                </c:pt>
                <c:pt idx="6">
                  <c:v>2663</c:v>
                </c:pt>
                <c:pt idx="7">
                  <c:v>3198</c:v>
                </c:pt>
                <c:pt idx="8">
                  <c:v>2990</c:v>
                </c:pt>
                <c:pt idx="9">
                  <c:v>3286</c:v>
                </c:pt>
                <c:pt idx="10">
                  <c:v>3514</c:v>
                </c:pt>
                <c:pt idx="11">
                  <c:v>3711</c:v>
                </c:pt>
                <c:pt idx="12">
                  <c:v>3833</c:v>
                </c:pt>
                <c:pt idx="13">
                  <c:v>3589</c:v>
                </c:pt>
                <c:pt idx="14">
                  <c:v>4120</c:v>
                </c:pt>
                <c:pt idx="15">
                  <c:v>4433</c:v>
                </c:pt>
                <c:pt idx="16">
                  <c:v>4413</c:v>
                </c:pt>
                <c:pt idx="17">
                  <c:v>4205</c:v>
                </c:pt>
                <c:pt idx="18">
                  <c:v>5225</c:v>
                </c:pt>
                <c:pt idx="19">
                  <c:v>4956</c:v>
                </c:pt>
                <c:pt idx="20">
                  <c:v>4882</c:v>
                </c:pt>
                <c:pt idx="21">
                  <c:v>5350</c:v>
                </c:pt>
                <c:pt idx="22">
                  <c:v>5670</c:v>
                </c:pt>
              </c:numCache>
            </c:numRef>
          </c:val>
          <c:extLst>
            <c:ext xmlns:c16="http://schemas.microsoft.com/office/drawing/2014/chart" uri="{C3380CC4-5D6E-409C-BE32-E72D297353CC}">
              <c16:uniqueId val="{00000006-7108-4F48-9726-92FE5104EB79}"/>
            </c:ext>
          </c:extLst>
        </c:ser>
        <c:ser>
          <c:idx val="7"/>
          <c:order val="1"/>
          <c:tx>
            <c:strRef>
              <c:f>Model!$B$22</c:f>
              <c:strCache>
                <c:ptCount val="1"/>
                <c:pt idx="0">
                  <c:v>APAC</c:v>
                </c:pt>
              </c:strCache>
            </c:strRef>
          </c:tx>
          <c:spPr>
            <a:solidFill>
              <a:srgbClr val="70AD47">
                <a:lumMod val="60000"/>
                <a:lumOff val="40000"/>
              </a:srgbClr>
            </a:solidFill>
            <a:ln>
              <a:noFill/>
            </a:ln>
            <a:effectLst/>
          </c:spPr>
          <c:invertIfNegative val="0"/>
          <c:cat>
            <c:strRef>
              <c:f>Model!$AM$1:$BI$1</c:f>
              <c:strCache>
                <c:ptCount val="21"/>
                <c:pt idx="0">
                  <c:v>Q1 2021</c:v>
                </c:pt>
                <c:pt idx="4">
                  <c:v>Q1 2022</c:v>
                </c:pt>
                <c:pt idx="8">
                  <c:v>Q1 2023</c:v>
                </c:pt>
                <c:pt idx="12">
                  <c:v>Q1 2024</c:v>
                </c:pt>
                <c:pt idx="16">
                  <c:v>Q1 2025</c:v>
                </c:pt>
                <c:pt idx="20">
                  <c:v>Q1 2026</c:v>
                </c:pt>
              </c:strCache>
            </c:strRef>
          </c:cat>
          <c:val>
            <c:numRef>
              <c:f>Model!$AM$22:$BI$22</c:f>
              <c:numCache>
                <c:formatCode>General</c:formatCode>
                <c:ptCount val="23"/>
                <c:pt idx="0">
                  <c:v>1772</c:v>
                </c:pt>
                <c:pt idx="1">
                  <c:v>2002</c:v>
                </c:pt>
                <c:pt idx="2">
                  <c:v>2006</c:v>
                </c:pt>
                <c:pt idx="3">
                  <c:v>2189</c:v>
                </c:pt>
                <c:pt idx="4">
                  <c:v>1857</c:v>
                </c:pt>
                <c:pt idx="5">
                  <c:v>1808</c:v>
                </c:pt>
                <c:pt idx="6">
                  <c:v>2160</c:v>
                </c:pt>
                <c:pt idx="7">
                  <c:v>2232</c:v>
                </c:pt>
                <c:pt idx="8">
                  <c:v>2050</c:v>
                </c:pt>
                <c:pt idx="9">
                  <c:v>2109</c:v>
                </c:pt>
                <c:pt idx="10">
                  <c:v>2414</c:v>
                </c:pt>
                <c:pt idx="11">
                  <c:v>2476</c:v>
                </c:pt>
                <c:pt idx="12">
                  <c:v>2427</c:v>
                </c:pt>
                <c:pt idx="13">
                  <c:v>2661</c:v>
                </c:pt>
                <c:pt idx="14">
                  <c:v>2789</c:v>
                </c:pt>
                <c:pt idx="15">
                  <c:v>3016</c:v>
                </c:pt>
                <c:pt idx="16">
                  <c:v>2592</c:v>
                </c:pt>
                <c:pt idx="17">
                  <c:v>3410</c:v>
                </c:pt>
                <c:pt idx="18">
                  <c:v>3567</c:v>
                </c:pt>
                <c:pt idx="19">
                  <c:v>4213</c:v>
                </c:pt>
                <c:pt idx="20">
                  <c:v>2804</c:v>
                </c:pt>
                <c:pt idx="21">
                  <c:v>3656</c:v>
                </c:pt>
                <c:pt idx="22">
                  <c:v>3521</c:v>
                </c:pt>
              </c:numCache>
            </c:numRef>
          </c:val>
          <c:extLst>
            <c:ext xmlns:c16="http://schemas.microsoft.com/office/drawing/2014/chart" uri="{C3380CC4-5D6E-409C-BE32-E72D297353CC}">
              <c16:uniqueId val="{00000007-7108-4F48-9726-92FE5104EB79}"/>
            </c:ext>
          </c:extLst>
        </c:ser>
        <c:ser>
          <c:idx val="8"/>
          <c:order val="2"/>
          <c:tx>
            <c:strRef>
              <c:f>Model!$B$23</c:f>
              <c:strCache>
                <c:ptCount val="1"/>
                <c:pt idx="0">
                  <c:v>Mid-East</c:v>
                </c:pt>
              </c:strCache>
            </c:strRef>
          </c:tx>
          <c:spPr>
            <a:solidFill>
              <a:srgbClr val="FFC000"/>
            </a:solidFill>
            <a:ln>
              <a:noFill/>
            </a:ln>
            <a:effectLst/>
          </c:spPr>
          <c:invertIfNegative val="0"/>
          <c:cat>
            <c:strRef>
              <c:f>Model!$AM$1:$BI$1</c:f>
              <c:strCache>
                <c:ptCount val="21"/>
                <c:pt idx="0">
                  <c:v>Q1 2021</c:v>
                </c:pt>
                <c:pt idx="4">
                  <c:v>Q1 2022</c:v>
                </c:pt>
                <c:pt idx="8">
                  <c:v>Q1 2023</c:v>
                </c:pt>
                <c:pt idx="12">
                  <c:v>Q1 2024</c:v>
                </c:pt>
                <c:pt idx="16">
                  <c:v>Q1 2025</c:v>
                </c:pt>
                <c:pt idx="20">
                  <c:v>Q1 2026</c:v>
                </c:pt>
              </c:strCache>
            </c:strRef>
          </c:cat>
          <c:val>
            <c:numRef>
              <c:f>Model!$AM$23:$BI$23</c:f>
              <c:numCache>
                <c:formatCode>General</c:formatCode>
                <c:ptCount val="23"/>
                <c:pt idx="0">
                  <c:v>992</c:v>
                </c:pt>
                <c:pt idx="1">
                  <c:v>1167</c:v>
                </c:pt>
                <c:pt idx="2">
                  <c:v>1140</c:v>
                </c:pt>
                <c:pt idx="3">
                  <c:v>1080</c:v>
                </c:pt>
                <c:pt idx="4">
                  <c:v>829</c:v>
                </c:pt>
                <c:pt idx="5">
                  <c:v>869</c:v>
                </c:pt>
                <c:pt idx="6">
                  <c:v>978</c:v>
                </c:pt>
                <c:pt idx="7">
                  <c:v>923</c:v>
                </c:pt>
                <c:pt idx="8">
                  <c:v>763</c:v>
                </c:pt>
                <c:pt idx="9">
                  <c:v>851</c:v>
                </c:pt>
                <c:pt idx="10">
                  <c:v>824</c:v>
                </c:pt>
                <c:pt idx="11">
                  <c:v>799</c:v>
                </c:pt>
                <c:pt idx="12">
                  <c:v>849</c:v>
                </c:pt>
                <c:pt idx="13">
                  <c:v>791</c:v>
                </c:pt>
                <c:pt idx="14">
                  <c:v>628</c:v>
                </c:pt>
                <c:pt idx="15">
                  <c:v>1190</c:v>
                </c:pt>
                <c:pt idx="16">
                  <c:v>848</c:v>
                </c:pt>
                <c:pt idx="17">
                  <c:v>904</c:v>
                </c:pt>
                <c:pt idx="18">
                  <c:v>732</c:v>
                </c:pt>
                <c:pt idx="19">
                  <c:v>1137</c:v>
                </c:pt>
                <c:pt idx="20">
                  <c:v>930</c:v>
                </c:pt>
                <c:pt idx="21">
                  <c:v>1042</c:v>
                </c:pt>
                <c:pt idx="22">
                  <c:v>975</c:v>
                </c:pt>
              </c:numCache>
            </c:numRef>
          </c:val>
          <c:extLst>
            <c:ext xmlns:c16="http://schemas.microsoft.com/office/drawing/2014/chart" uri="{C3380CC4-5D6E-409C-BE32-E72D297353CC}">
              <c16:uniqueId val="{00000008-7108-4F48-9726-92FE5104EB79}"/>
            </c:ext>
          </c:extLst>
        </c:ser>
        <c:ser>
          <c:idx val="9"/>
          <c:order val="3"/>
          <c:tx>
            <c:strRef>
              <c:f>Model!$B$24</c:f>
              <c:strCache>
                <c:ptCount val="1"/>
                <c:pt idx="0">
                  <c:v>Other regions</c:v>
                </c:pt>
              </c:strCache>
            </c:strRef>
          </c:tx>
          <c:spPr>
            <a:solidFill>
              <a:srgbClr val="E7E6E6">
                <a:lumMod val="75000"/>
              </a:srgbClr>
            </a:solidFill>
            <a:ln>
              <a:noFill/>
            </a:ln>
            <a:effectLst/>
          </c:spPr>
          <c:invertIfNegative val="0"/>
          <c:cat>
            <c:strRef>
              <c:f>Model!$AM$1:$BI$1</c:f>
              <c:strCache>
                <c:ptCount val="21"/>
                <c:pt idx="0">
                  <c:v>Q1 2021</c:v>
                </c:pt>
                <c:pt idx="4">
                  <c:v>Q1 2022</c:v>
                </c:pt>
                <c:pt idx="8">
                  <c:v>Q1 2023</c:v>
                </c:pt>
                <c:pt idx="12">
                  <c:v>Q1 2024</c:v>
                </c:pt>
                <c:pt idx="16">
                  <c:v>Q1 2025</c:v>
                </c:pt>
                <c:pt idx="20">
                  <c:v>Q1 2026</c:v>
                </c:pt>
              </c:strCache>
            </c:strRef>
          </c:cat>
          <c:val>
            <c:numRef>
              <c:f>Model!$AM$24:$BI$24</c:f>
              <c:numCache>
                <c:formatCode>General</c:formatCode>
                <c:ptCount val="23"/>
                <c:pt idx="0">
                  <c:v>610</c:v>
                </c:pt>
                <c:pt idx="1">
                  <c:v>524</c:v>
                </c:pt>
                <c:pt idx="2">
                  <c:v>563</c:v>
                </c:pt>
                <c:pt idx="3">
                  <c:v>734</c:v>
                </c:pt>
                <c:pt idx="4">
                  <c:v>728</c:v>
                </c:pt>
                <c:pt idx="5">
                  <c:v>774</c:v>
                </c:pt>
                <c:pt idx="6">
                  <c:v>728</c:v>
                </c:pt>
                <c:pt idx="7">
                  <c:v>887</c:v>
                </c:pt>
                <c:pt idx="8">
                  <c:v>863</c:v>
                </c:pt>
                <c:pt idx="9">
                  <c:v>842</c:v>
                </c:pt>
                <c:pt idx="10">
                  <c:v>958</c:v>
                </c:pt>
                <c:pt idx="11">
                  <c:v>990</c:v>
                </c:pt>
                <c:pt idx="12">
                  <c:v>835</c:v>
                </c:pt>
                <c:pt idx="13">
                  <c:v>1055</c:v>
                </c:pt>
                <c:pt idx="14">
                  <c:v>1141</c:v>
                </c:pt>
                <c:pt idx="15">
                  <c:v>1294</c:v>
                </c:pt>
                <c:pt idx="16">
                  <c:v>1187</c:v>
                </c:pt>
                <c:pt idx="17">
                  <c:v>1325</c:v>
                </c:pt>
                <c:pt idx="18">
                  <c:v>1220</c:v>
                </c:pt>
                <c:pt idx="19">
                  <c:v>1378</c:v>
                </c:pt>
                <c:pt idx="20">
                  <c:v>1547</c:v>
                </c:pt>
                <c:pt idx="21">
                  <c:v>1567</c:v>
                </c:pt>
                <c:pt idx="22">
                  <c:v>1558</c:v>
                </c:pt>
              </c:numCache>
            </c:numRef>
          </c:val>
          <c:extLst>
            <c:ext xmlns:c16="http://schemas.microsoft.com/office/drawing/2014/chart" uri="{C3380CC4-5D6E-409C-BE32-E72D297353CC}">
              <c16:uniqueId val="{00000009-7108-4F48-9726-92FE5104EB79}"/>
            </c:ext>
          </c:extLst>
        </c:ser>
        <c:ser>
          <c:idx val="5"/>
          <c:order val="4"/>
          <c:tx>
            <c:strRef>
              <c:f>Model!$B$20</c:f>
              <c:strCache>
                <c:ptCount val="1"/>
                <c:pt idx="0">
                  <c:v>U.S.</c:v>
                </c:pt>
              </c:strCache>
            </c:strRef>
          </c:tx>
          <c:spPr>
            <a:solidFill>
              <a:srgbClr val="00B0F0"/>
            </a:solidFill>
            <a:ln>
              <a:noFill/>
            </a:ln>
            <a:effectLst/>
          </c:spPr>
          <c:invertIfNegative val="0"/>
          <c:cat>
            <c:strRef>
              <c:f>Model!$AM$1:$BI$1</c:f>
              <c:strCache>
                <c:ptCount val="21"/>
                <c:pt idx="0">
                  <c:v>Q1 2021</c:v>
                </c:pt>
                <c:pt idx="4">
                  <c:v>Q1 2022</c:v>
                </c:pt>
                <c:pt idx="8">
                  <c:v>Q1 2023</c:v>
                </c:pt>
                <c:pt idx="12">
                  <c:v>Q1 2024</c:v>
                </c:pt>
                <c:pt idx="16">
                  <c:v>Q1 2025</c:v>
                </c:pt>
                <c:pt idx="20">
                  <c:v>Q1 2026</c:v>
                </c:pt>
              </c:strCache>
            </c:strRef>
          </c:cat>
          <c:val>
            <c:numRef>
              <c:f>Model!$AM$20:$BI$20</c:f>
              <c:numCache>
                <c:formatCode>General</c:formatCode>
                <c:ptCount val="23"/>
                <c:pt idx="0">
                  <c:v>9730</c:v>
                </c:pt>
                <c:pt idx="1">
                  <c:v>9871</c:v>
                </c:pt>
                <c:pt idx="2">
                  <c:v>10096</c:v>
                </c:pt>
                <c:pt idx="3">
                  <c:v>10314</c:v>
                </c:pt>
                <c:pt idx="4">
                  <c:v>9730</c:v>
                </c:pt>
                <c:pt idx="5">
                  <c:v>10185</c:v>
                </c:pt>
                <c:pt idx="6">
                  <c:v>10422</c:v>
                </c:pt>
                <c:pt idx="7">
                  <c:v>10853</c:v>
                </c:pt>
                <c:pt idx="8">
                  <c:v>10548</c:v>
                </c:pt>
                <c:pt idx="9">
                  <c:v>11227</c:v>
                </c:pt>
                <c:pt idx="10">
                  <c:v>11155</c:v>
                </c:pt>
                <c:pt idx="11">
                  <c:v>11951</c:v>
                </c:pt>
                <c:pt idx="12">
                  <c:v>11361</c:v>
                </c:pt>
                <c:pt idx="13">
                  <c:v>11625</c:v>
                </c:pt>
                <c:pt idx="14">
                  <c:v>11411</c:v>
                </c:pt>
                <c:pt idx="15">
                  <c:v>11690</c:v>
                </c:pt>
                <c:pt idx="16">
                  <c:v>11266</c:v>
                </c:pt>
                <c:pt idx="17">
                  <c:v>11737</c:v>
                </c:pt>
                <c:pt idx="18">
                  <c:v>11734</c:v>
                </c:pt>
                <c:pt idx="19">
                  <c:v>12554</c:v>
                </c:pt>
                <c:pt idx="20">
                  <c:v>11913</c:v>
                </c:pt>
                <c:pt idx="21">
                  <c:v>13093</c:v>
                </c:pt>
                <c:pt idx="22">
                  <c:v>13241</c:v>
                </c:pt>
              </c:numCache>
            </c:numRef>
          </c:val>
          <c:extLst>
            <c:ext xmlns:c16="http://schemas.microsoft.com/office/drawing/2014/chart" uri="{C3380CC4-5D6E-409C-BE32-E72D297353CC}">
              <c16:uniqueId val="{00000005-7108-4F48-9726-92FE5104EB7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84</xdr:col>
      <xdr:colOff>0</xdr:colOff>
      <xdr:row>0</xdr:row>
      <xdr:rowOff>0</xdr:rowOff>
    </xdr:from>
    <xdr:to>
      <xdr:col>84</xdr:col>
      <xdr:colOff>0</xdr:colOff>
      <xdr:row>113</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1</xdr:colOff>
      <xdr:row>0</xdr:row>
      <xdr:rowOff>0</xdr:rowOff>
    </xdr:from>
    <xdr:to>
      <xdr:col>61</xdr:col>
      <xdr:colOff>1</xdr:colOff>
      <xdr:row>114</xdr:row>
      <xdr:rowOff>152400</xdr:rowOff>
    </xdr:to>
    <xdr:cxnSp macro="">
      <xdr:nvCxnSpPr>
        <xdr:cNvPr id="4" name="Straight Connector 3">
          <a:extLst>
            <a:ext uri="{FF2B5EF4-FFF2-40B4-BE49-F238E27FC236}">
              <a16:creationId xmlns:a16="http://schemas.microsoft.com/office/drawing/2014/main" id="{614DC56E-7C85-4EF4-8617-C4514B24AB43}"/>
            </a:ext>
          </a:extLst>
        </xdr:cNvPr>
        <xdr:cNvCxnSpPr/>
      </xdr:nvCxnSpPr>
      <xdr:spPr>
        <a:xfrm>
          <a:off x="38346530" y="0"/>
          <a:ext cx="0" cy="205134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84</xdr:col>
      <xdr:colOff>0</xdr:colOff>
      <xdr:row>0</xdr:row>
      <xdr:rowOff>0</xdr:rowOff>
    </xdr:from>
    <xdr:to>
      <xdr:col>84</xdr:col>
      <xdr:colOff>0</xdr:colOff>
      <xdr:row>113</xdr:row>
      <xdr:rowOff>76200</xdr:rowOff>
    </xdr:to>
    <xdr:cxnSp macro="">
      <xdr:nvCxnSpPr>
        <xdr:cNvPr id="5" name="Straight Connector 4">
          <a:extLst>
            <a:ext uri="{FF2B5EF4-FFF2-40B4-BE49-F238E27FC236}">
              <a16:creationId xmlns:a16="http://schemas.microsoft.com/office/drawing/2014/main" id="{FC4AFF18-29DB-4735-A826-5A97D834DFC0}"/>
            </a:ext>
          </a:extLst>
        </xdr:cNvPr>
        <xdr:cNvCxnSpPr/>
      </xdr:nvCxnSpPr>
      <xdr:spPr>
        <a:xfrm>
          <a:off x="64817625" y="0"/>
          <a:ext cx="0" cy="23374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70</xdr:row>
      <xdr:rowOff>190499</xdr:rowOff>
    </xdr:from>
    <xdr:to>
      <xdr:col>31</xdr:col>
      <xdr:colOff>0</xdr:colOff>
      <xdr:row>101</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143</xdr:row>
      <xdr:rowOff>0</xdr:rowOff>
    </xdr:from>
    <xdr:to>
      <xdr:col>31</xdr:col>
      <xdr:colOff>0</xdr:colOff>
      <xdr:row>171</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208</xdr:row>
      <xdr:rowOff>0</xdr:rowOff>
    </xdr:from>
    <xdr:to>
      <xdr:col>31</xdr:col>
      <xdr:colOff>0</xdr:colOff>
      <xdr:row>236</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176</xdr:row>
      <xdr:rowOff>0</xdr:rowOff>
    </xdr:from>
    <xdr:to>
      <xdr:col>31</xdr:col>
      <xdr:colOff>0</xdr:colOff>
      <xdr:row>204</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17315</xdr:colOff>
      <xdr:row>1</xdr:row>
      <xdr:rowOff>173182</xdr:rowOff>
    </xdr:from>
    <xdr:to>
      <xdr:col>37</xdr:col>
      <xdr:colOff>606132</xdr:colOff>
      <xdr:row>32</xdr:row>
      <xdr:rowOff>0</xdr:rowOff>
    </xdr:to>
    <xdr:pic>
      <xdr:nvPicPr>
        <xdr:cNvPr id="6" name="Picture 5">
          <a:extLst>
            <a:ext uri="{FF2B5EF4-FFF2-40B4-BE49-F238E27FC236}">
              <a16:creationId xmlns:a16="http://schemas.microsoft.com/office/drawing/2014/main" id="{5DE729BB-515E-CB42-9420-CCBF67DCD946}"/>
            </a:ext>
          </a:extLst>
        </xdr:cNvPr>
        <xdr:cNvPicPr>
          <a:picLocks noChangeAspect="1"/>
        </xdr:cNvPicPr>
      </xdr:nvPicPr>
      <xdr:blipFill>
        <a:blip xmlns:r="http://schemas.openxmlformats.org/officeDocument/2006/relationships" r:embed="rId5"/>
        <a:stretch>
          <a:fillRect/>
        </a:stretch>
      </xdr:blipFill>
      <xdr:spPr>
        <a:xfrm>
          <a:off x="15676415" y="354157"/>
          <a:ext cx="6684817" cy="5446568"/>
        </a:xfrm>
        <a:prstGeom prst="rect">
          <a:avLst/>
        </a:prstGeom>
      </xdr:spPr>
    </xdr:pic>
    <xdr:clientData/>
  </xdr:twoCellAnchor>
  <xdr:twoCellAnchor editAs="oneCell">
    <xdr:from>
      <xdr:col>16</xdr:col>
      <xdr:colOff>17318</xdr:colOff>
      <xdr:row>2</xdr:row>
      <xdr:rowOff>17318</xdr:rowOff>
    </xdr:from>
    <xdr:to>
      <xdr:col>27</xdr:col>
      <xdr:colOff>103909</xdr:colOff>
      <xdr:row>32</xdr:row>
      <xdr:rowOff>0</xdr:rowOff>
    </xdr:to>
    <xdr:pic>
      <xdr:nvPicPr>
        <xdr:cNvPr id="7" name="Picture 6">
          <a:extLst>
            <a:ext uri="{FF2B5EF4-FFF2-40B4-BE49-F238E27FC236}">
              <a16:creationId xmlns:a16="http://schemas.microsoft.com/office/drawing/2014/main" id="{9DD0E6C3-99B9-188D-4722-4474177B8995}"/>
            </a:ext>
          </a:extLst>
        </xdr:cNvPr>
        <xdr:cNvPicPr>
          <a:picLocks noChangeAspect="1"/>
        </xdr:cNvPicPr>
      </xdr:nvPicPr>
      <xdr:blipFill>
        <a:blip xmlns:r="http://schemas.openxmlformats.org/officeDocument/2006/relationships" r:embed="rId6"/>
        <a:stretch>
          <a:fillRect/>
        </a:stretch>
      </xdr:blipFill>
      <xdr:spPr>
        <a:xfrm>
          <a:off x="8970818" y="388793"/>
          <a:ext cx="6792191" cy="5411932"/>
        </a:xfrm>
        <a:prstGeom prst="rect">
          <a:avLst/>
        </a:prstGeom>
      </xdr:spPr>
    </xdr:pic>
    <xdr:clientData/>
  </xdr:twoCellAnchor>
  <xdr:twoCellAnchor editAs="oneCell">
    <xdr:from>
      <xdr:col>16</xdr:col>
      <xdr:colOff>13607</xdr:colOff>
      <xdr:row>37</xdr:row>
      <xdr:rowOff>0</xdr:rowOff>
    </xdr:from>
    <xdr:to>
      <xdr:col>24</xdr:col>
      <xdr:colOff>0</xdr:colOff>
      <xdr:row>66</xdr:row>
      <xdr:rowOff>1</xdr:rowOff>
    </xdr:to>
    <xdr:pic>
      <xdr:nvPicPr>
        <xdr:cNvPr id="8" name="Picture 7">
          <a:extLst>
            <a:ext uri="{FF2B5EF4-FFF2-40B4-BE49-F238E27FC236}">
              <a16:creationId xmlns:a16="http://schemas.microsoft.com/office/drawing/2014/main" id="{BB4B8B92-BF4C-1E05-6230-D842FFCEA600}"/>
            </a:ext>
          </a:extLst>
        </xdr:cNvPr>
        <xdr:cNvPicPr>
          <a:picLocks noChangeAspect="1"/>
        </xdr:cNvPicPr>
      </xdr:nvPicPr>
      <xdr:blipFill>
        <a:blip xmlns:r="http://schemas.openxmlformats.org/officeDocument/2006/relationships" r:embed="rId7"/>
        <a:stretch>
          <a:fillRect/>
        </a:stretch>
      </xdr:blipFill>
      <xdr:spPr>
        <a:xfrm>
          <a:off x="8994321" y="6585857"/>
          <a:ext cx="4884965" cy="5129894"/>
        </a:xfrm>
        <a:prstGeom prst="rect">
          <a:avLst/>
        </a:prstGeom>
      </xdr:spPr>
    </xdr:pic>
    <xdr:clientData/>
  </xdr:twoCellAnchor>
  <xdr:twoCellAnchor>
    <xdr:from>
      <xdr:col>16</xdr:col>
      <xdr:colOff>0</xdr:colOff>
      <xdr:row>106</xdr:row>
      <xdr:rowOff>190499</xdr:rowOff>
    </xdr:from>
    <xdr:to>
      <xdr:col>31</xdr:col>
      <xdr:colOff>0</xdr:colOff>
      <xdr:row>137</xdr:row>
      <xdr:rowOff>180974</xdr:rowOff>
    </xdr:to>
    <xdr:graphicFrame macro="">
      <xdr:nvGraphicFramePr>
        <xdr:cNvPr id="9" name="Chart 8">
          <a:extLst>
            <a:ext uri="{FF2B5EF4-FFF2-40B4-BE49-F238E27FC236}">
              <a16:creationId xmlns:a16="http://schemas.microsoft.com/office/drawing/2014/main" id="{C27FBAEE-6DA5-4BE7-AF27-240EA9283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stockanalysis.com/stocks/rtx/company/" TargetMode="External"/><Relationship Id="rId2" Type="http://schemas.openxmlformats.org/officeDocument/2006/relationships/hyperlink" Target="https://www.rtx.com/" TargetMode="External"/><Relationship Id="rId1" Type="http://schemas.openxmlformats.org/officeDocument/2006/relationships/hyperlink" Target="https://app.godelterminal.com/" TargetMode="External"/><Relationship Id="rId5" Type="http://schemas.openxmlformats.org/officeDocument/2006/relationships/hyperlink" Target="https://www.sec.gov/edgar/browse/?CIK=101829&amp;owner=exclude" TargetMode="External"/><Relationship Id="rId4" Type="http://schemas.openxmlformats.org/officeDocument/2006/relationships/hyperlink" Target="https://www.macrotrends.net/stocks/charts/RTX/rtx/income-statemen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35"/>
  <sheetViews>
    <sheetView zoomScale="70" zoomScaleNormal="70" workbookViewId="0">
      <selection activeCell="C8" sqref="C8"/>
    </sheetView>
  </sheetViews>
  <sheetFormatPr defaultColWidth="9.140625" defaultRowHeight="14.25"/>
  <cols>
    <col min="1" max="1" width="3.42578125" style="1" customWidth="1"/>
    <col min="2" max="2" width="9.140625" style="1" customWidth="1"/>
    <col min="3" max="3" width="11.5703125" style="1" customWidth="1"/>
    <col min="4" max="4" width="9.140625" style="1" customWidth="1"/>
    <col min="5" max="16384" width="9.140625" style="1"/>
  </cols>
  <sheetData>
    <row r="2" spans="2:18" ht="15">
      <c r="B2" s="2" t="s">
        <v>136</v>
      </c>
    </row>
    <row r="3" spans="2:18">
      <c r="B3" s="1" t="s">
        <v>0</v>
      </c>
      <c r="C3" s="72">
        <v>192.23</v>
      </c>
      <c r="D3" s="42" t="s">
        <v>1743</v>
      </c>
    </row>
    <row r="4" spans="2:18">
      <c r="B4" s="1" t="s">
        <v>1</v>
      </c>
      <c r="C4" s="73">
        <v>1347.758</v>
      </c>
      <c r="D4" s="1" t="s">
        <v>1744</v>
      </c>
    </row>
    <row r="5" spans="2:18">
      <c r="B5" s="1" t="s">
        <v>2</v>
      </c>
      <c r="C5" s="74">
        <f>C3*C4</f>
        <v>259079.52033999999</v>
      </c>
    </row>
    <row r="6" spans="2:18">
      <c r="B6" s="1" t="s">
        <v>3</v>
      </c>
      <c r="C6" s="74">
        <v>9173</v>
      </c>
      <c r="D6" s="1" t="s">
        <v>1744</v>
      </c>
    </row>
    <row r="7" spans="2:18">
      <c r="B7" s="1" t="s">
        <v>4</v>
      </c>
      <c r="C7" s="74">
        <f>210+5679+31490</f>
        <v>37379</v>
      </c>
      <c r="D7" s="1" t="s">
        <v>1744</v>
      </c>
    </row>
    <row r="8" spans="2:18">
      <c r="B8" s="1" t="s">
        <v>5</v>
      </c>
      <c r="C8" s="74">
        <f>C5-C6+C7</f>
        <v>287285.52033999999</v>
      </c>
    </row>
    <row r="10" spans="2:18" ht="15">
      <c r="B10" s="2" t="s">
        <v>139</v>
      </c>
    </row>
    <row r="12" spans="2:18" ht="15">
      <c r="B12" s="1" t="s">
        <v>140</v>
      </c>
      <c r="F12" s="1" t="s">
        <v>149</v>
      </c>
      <c r="N12" s="1" t="s">
        <v>95</v>
      </c>
      <c r="Q12" s="2"/>
    </row>
    <row r="13" spans="2:18">
      <c r="B13" s="1" t="s">
        <v>141</v>
      </c>
      <c r="F13" s="1" t="s">
        <v>150</v>
      </c>
      <c r="N13" s="1" t="s">
        <v>7</v>
      </c>
      <c r="Q13" s="43" t="s">
        <v>152</v>
      </c>
    </row>
    <row r="14" spans="2:18">
      <c r="B14" s="1" t="s">
        <v>142</v>
      </c>
      <c r="F14" s="1" t="s">
        <v>6</v>
      </c>
      <c r="N14" s="1" t="s">
        <v>99</v>
      </c>
      <c r="Q14" s="43" t="s">
        <v>153</v>
      </c>
    </row>
    <row r="15" spans="2:18">
      <c r="B15" s="1" t="s">
        <v>143</v>
      </c>
      <c r="F15" s="1" t="s">
        <v>91</v>
      </c>
      <c r="O15" s="1" t="s">
        <v>98</v>
      </c>
      <c r="R15" s="43" t="s">
        <v>154</v>
      </c>
    </row>
    <row r="16" spans="2:18">
      <c r="B16" s="1" t="s">
        <v>144</v>
      </c>
      <c r="F16" s="1" t="s">
        <v>85</v>
      </c>
      <c r="G16" s="1" t="s">
        <v>151</v>
      </c>
      <c r="I16" s="1" t="s">
        <v>86</v>
      </c>
      <c r="N16" s="1" t="s">
        <v>88</v>
      </c>
      <c r="Q16" s="43" t="s">
        <v>155</v>
      </c>
    </row>
    <row r="17" spans="1:17">
      <c r="B17" s="1" t="s">
        <v>145</v>
      </c>
      <c r="N17" s="1" t="s">
        <v>89</v>
      </c>
      <c r="Q17" s="43" t="s">
        <v>156</v>
      </c>
    </row>
    <row r="18" spans="1:17">
      <c r="B18" s="1" t="s">
        <v>146</v>
      </c>
      <c r="N18" s="1" t="s">
        <v>100</v>
      </c>
      <c r="Q18" s="43" t="s">
        <v>157</v>
      </c>
    </row>
    <row r="19" spans="1:17">
      <c r="B19" s="1" t="s">
        <v>147</v>
      </c>
      <c r="N19" s="1" t="s">
        <v>101</v>
      </c>
      <c r="Q19" s="43" t="s">
        <v>158</v>
      </c>
    </row>
    <row r="20" spans="1:17">
      <c r="B20" s="1" t="s">
        <v>148</v>
      </c>
      <c r="N20" s="1" t="s">
        <v>8</v>
      </c>
      <c r="Q20" s="43" t="s">
        <v>90</v>
      </c>
    </row>
    <row r="21" spans="1:17">
      <c r="Q21" s="43"/>
    </row>
    <row r="22" spans="1:17" ht="15">
      <c r="A22" s="2" t="s">
        <v>9</v>
      </c>
      <c r="N22" s="2"/>
    </row>
    <row r="23" spans="1:17">
      <c r="B23" s="1" t="s">
        <v>159</v>
      </c>
    </row>
    <row r="24" spans="1:17">
      <c r="B24" s="1" t="s">
        <v>160</v>
      </c>
    </row>
    <row r="25" spans="1:17" ht="15">
      <c r="C25" s="1" t="s">
        <v>167</v>
      </c>
    </row>
    <row r="26" spans="1:17">
      <c r="D26" s="1" t="s">
        <v>161</v>
      </c>
    </row>
    <row r="27" spans="1:17">
      <c r="D27" s="1" t="s">
        <v>162</v>
      </c>
    </row>
    <row r="28" spans="1:17">
      <c r="D28" s="1" t="s">
        <v>163</v>
      </c>
    </row>
    <row r="29" spans="1:17" ht="15">
      <c r="C29" s="1" t="s">
        <v>166</v>
      </c>
    </row>
    <row r="30" spans="1:17" ht="15">
      <c r="C30" s="1" t="s">
        <v>168</v>
      </c>
    </row>
    <row r="31" spans="1:17">
      <c r="D31" s="1" t="s">
        <v>164</v>
      </c>
    </row>
    <row r="32" spans="1:17">
      <c r="B32" s="1" t="s">
        <v>165</v>
      </c>
    </row>
    <row r="34" spans="1:2" ht="15">
      <c r="A34" s="2" t="s">
        <v>92</v>
      </c>
    </row>
    <row r="35" spans="1:2">
      <c r="B35" s="1" t="s">
        <v>93</v>
      </c>
    </row>
  </sheetData>
  <hyperlinks>
    <hyperlink ref="Q20" r:id="rId1" xr:uid="{14375537-5C3D-4253-9650-337AB6789785}"/>
    <hyperlink ref="Q14" r:id="rId2" xr:uid="{5C88362A-8DCA-4029-9880-F9B92D897D50}"/>
    <hyperlink ref="Q17" r:id="rId3" xr:uid="{B95B45B7-35B0-43F4-8BBD-5614A71507F4}"/>
    <hyperlink ref="Q18" r:id="rId4" xr:uid="{46E84427-55FC-4F45-A5D0-03EA9B537889}"/>
    <hyperlink ref="Q13" r:id="rId5" xr:uid="{C6168A58-644C-41BC-8438-B044A3FB9F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EQ110"/>
  <sheetViews>
    <sheetView zoomScale="85" zoomScaleNormal="85" workbookViewId="0">
      <pane xSplit="2" ySplit="3" topLeftCell="AW4" activePane="bottomRight" state="frozen"/>
      <selection pane="topRight" activeCell="C1" sqref="C1"/>
      <selection pane="bottomLeft" activeCell="A4" sqref="A4"/>
      <selection pane="bottomRight" activeCell="BI20" sqref="BI20"/>
    </sheetView>
  </sheetViews>
  <sheetFormatPr defaultColWidth="9.140625" defaultRowHeight="14.25"/>
  <cols>
    <col min="1" max="1" width="3.140625" style="1" customWidth="1"/>
    <col min="2" max="2" width="36.42578125" style="1" customWidth="1"/>
    <col min="3" max="60" width="9.140625" style="1"/>
    <col min="61" max="62" width="9.140625" style="35"/>
    <col min="63" max="84" width="9.140625" style="1"/>
    <col min="85" max="146" width="9.140625" style="35"/>
    <col min="147" max="16384" width="9.140625" style="1"/>
  </cols>
  <sheetData>
    <row r="1" spans="2:147" ht="15">
      <c r="B1" s="1" t="s">
        <v>49</v>
      </c>
      <c r="AI1" s="33" t="s">
        <v>43</v>
      </c>
      <c r="AM1" s="33" t="s">
        <v>44</v>
      </c>
      <c r="AQ1" s="33" t="s">
        <v>45</v>
      </c>
      <c r="AU1" s="33" t="s">
        <v>46</v>
      </c>
      <c r="AY1" s="33" t="s">
        <v>47</v>
      </c>
      <c r="BC1" s="33" t="s">
        <v>48</v>
      </c>
      <c r="BG1" s="33" t="s">
        <v>223</v>
      </c>
    </row>
    <row r="2" spans="2:147">
      <c r="B2" s="1" t="s">
        <v>50</v>
      </c>
    </row>
    <row r="3" spans="2:147" ht="15">
      <c r="B3" s="2" t="s">
        <v>51</v>
      </c>
      <c r="C3" s="2" t="str" cm="1">
        <f t="array" ref="C3:BJ3">"Q"&amp;MOD(_xlfn.SEQUENCE(1,60)-1,4)+1&amp;" "&amp;(2012+INT((_xlfn.SEQUENCE(1,60)-1)/4))</f>
        <v>Q1 2012</v>
      </c>
      <c r="D3" s="33" t="str">
        <v>Q2 2012</v>
      </c>
      <c r="E3" s="33" t="str">
        <v>Q3 2012</v>
      </c>
      <c r="F3" s="33" t="str">
        <v>Q4 2012</v>
      </c>
      <c r="G3" s="33" t="str">
        <v>Q1 2013</v>
      </c>
      <c r="H3" s="33" t="str">
        <v>Q2 2013</v>
      </c>
      <c r="I3" s="33" t="str">
        <v>Q3 2013</v>
      </c>
      <c r="J3" s="33" t="str">
        <v>Q4 2013</v>
      </c>
      <c r="K3" s="33" t="str">
        <v>Q1 2014</v>
      </c>
      <c r="L3" s="33" t="str">
        <v>Q2 2014</v>
      </c>
      <c r="M3" s="33" t="str">
        <v>Q3 2014</v>
      </c>
      <c r="N3" s="33" t="str">
        <v>Q4 2014</v>
      </c>
      <c r="O3" s="33" t="str">
        <v>Q1 2015</v>
      </c>
      <c r="P3" s="33" t="str">
        <v>Q2 2015</v>
      </c>
      <c r="Q3" s="33" t="str">
        <v>Q3 2015</v>
      </c>
      <c r="R3" s="33" t="str">
        <v>Q4 2015</v>
      </c>
      <c r="S3" s="33" t="str">
        <v>Q1 2016</v>
      </c>
      <c r="T3" s="33" t="str">
        <v>Q2 2016</v>
      </c>
      <c r="U3" s="33" t="str">
        <v>Q3 2016</v>
      </c>
      <c r="V3" s="33" t="str">
        <v>Q4 2016</v>
      </c>
      <c r="W3" s="33" t="str">
        <v>Q1 2017</v>
      </c>
      <c r="X3" s="33" t="str">
        <v>Q2 2017</v>
      </c>
      <c r="Y3" s="33" t="str">
        <v>Q3 2017</v>
      </c>
      <c r="Z3" s="33" t="str">
        <v>Q4 2017</v>
      </c>
      <c r="AA3" s="33" t="str">
        <v>Q1 2018</v>
      </c>
      <c r="AB3" s="33" t="str">
        <v>Q2 2018</v>
      </c>
      <c r="AC3" s="33" t="str">
        <v>Q3 2018</v>
      </c>
      <c r="AD3" s="33" t="str">
        <v>Q4 2018</v>
      </c>
      <c r="AE3" s="33" t="str">
        <v>Q1 2019</v>
      </c>
      <c r="AF3" s="33" t="str">
        <v>Q2 2019</v>
      </c>
      <c r="AG3" s="33" t="str">
        <v>Q3 2019</v>
      </c>
      <c r="AH3" s="33" t="str">
        <v>Q4 2019</v>
      </c>
      <c r="AI3" s="33" t="str">
        <v>Q1 2020</v>
      </c>
      <c r="AJ3" s="33" t="str">
        <v>Q2 2020</v>
      </c>
      <c r="AK3" s="33" t="str">
        <v>Q3 2020</v>
      </c>
      <c r="AL3" s="33" t="str">
        <v>Q4 2020</v>
      </c>
      <c r="AM3" s="33" t="str">
        <v>Q1 2021</v>
      </c>
      <c r="AN3" s="33" t="str">
        <v>Q2 2021</v>
      </c>
      <c r="AO3" s="33" t="str">
        <v>Q3 2021</v>
      </c>
      <c r="AP3" s="33" t="str">
        <v>Q4 2021</v>
      </c>
      <c r="AQ3" s="33" t="str">
        <v>Q1 2022</v>
      </c>
      <c r="AR3" s="33" t="str">
        <v>Q2 2022</v>
      </c>
      <c r="AS3" s="33" t="str">
        <v>Q3 2022</v>
      </c>
      <c r="AT3" s="33" t="str">
        <v>Q4 2022</v>
      </c>
      <c r="AU3" s="33" t="str">
        <v>Q1 2023</v>
      </c>
      <c r="AV3" s="33" t="str">
        <v>Q2 2023</v>
      </c>
      <c r="AW3" s="33" t="str">
        <v>Q3 2023</v>
      </c>
      <c r="AX3" s="33" t="str">
        <v>Q4 2023</v>
      </c>
      <c r="AY3" s="33" t="str">
        <v>Q1 2024</v>
      </c>
      <c r="AZ3" s="33" t="str">
        <v>Q2 2024</v>
      </c>
      <c r="BA3" s="33" t="str">
        <v>Q3 2024</v>
      </c>
      <c r="BB3" s="33" t="str">
        <v>Q4 2024</v>
      </c>
      <c r="BC3" s="33" t="str">
        <v>Q1 2025</v>
      </c>
      <c r="BD3" s="33" t="str">
        <v>Q2 2025</v>
      </c>
      <c r="BE3" s="33" t="str">
        <v>Q3 2025</v>
      </c>
      <c r="BF3" s="33" t="str">
        <v>Q4 2025</v>
      </c>
      <c r="BG3" s="33" t="str">
        <v>Q1 2026</v>
      </c>
      <c r="BH3" s="33" t="str">
        <v>Q2 2026</v>
      </c>
      <c r="BI3" s="33" t="str">
        <v>Q3 2026</v>
      </c>
      <c r="BJ3" s="34" t="str">
        <v>Q4 2026</v>
      </c>
      <c r="BS3" s="2">
        <v>2012</v>
      </c>
      <c r="BT3" s="2">
        <f t="shared" ref="BT3:EB3" si="0">BS3+1</f>
        <v>2013</v>
      </c>
      <c r="BU3" s="2">
        <f t="shared" si="0"/>
        <v>2014</v>
      </c>
      <c r="BV3" s="2">
        <f t="shared" si="0"/>
        <v>2015</v>
      </c>
      <c r="BW3" s="2">
        <f t="shared" si="0"/>
        <v>2016</v>
      </c>
      <c r="BX3" s="2">
        <f t="shared" si="0"/>
        <v>2017</v>
      </c>
      <c r="BY3" s="2">
        <f t="shared" si="0"/>
        <v>2018</v>
      </c>
      <c r="BZ3" s="2">
        <f t="shared" si="0"/>
        <v>2019</v>
      </c>
      <c r="CA3" s="2">
        <f t="shared" si="0"/>
        <v>2020</v>
      </c>
      <c r="CB3" s="2">
        <f t="shared" si="0"/>
        <v>2021</v>
      </c>
      <c r="CC3" s="2">
        <f t="shared" si="0"/>
        <v>2022</v>
      </c>
      <c r="CD3" s="2">
        <f t="shared" si="0"/>
        <v>2023</v>
      </c>
      <c r="CE3" s="2">
        <f t="shared" si="0"/>
        <v>2024</v>
      </c>
      <c r="CF3" s="2">
        <f t="shared" si="0"/>
        <v>2025</v>
      </c>
      <c r="CG3" s="34">
        <f>CF3+1</f>
        <v>2026</v>
      </c>
      <c r="CH3" s="34">
        <f t="shared" si="0"/>
        <v>2027</v>
      </c>
      <c r="CI3" s="34">
        <f t="shared" si="0"/>
        <v>2028</v>
      </c>
      <c r="CJ3" s="34">
        <f t="shared" si="0"/>
        <v>2029</v>
      </c>
      <c r="CK3" s="34">
        <f t="shared" si="0"/>
        <v>2030</v>
      </c>
      <c r="CL3" s="34">
        <f t="shared" si="0"/>
        <v>2031</v>
      </c>
      <c r="CM3" s="34">
        <f t="shared" si="0"/>
        <v>2032</v>
      </c>
      <c r="CN3" s="34">
        <f t="shared" si="0"/>
        <v>2033</v>
      </c>
      <c r="CO3" s="34">
        <f t="shared" si="0"/>
        <v>2034</v>
      </c>
      <c r="CP3" s="34">
        <f t="shared" si="0"/>
        <v>2035</v>
      </c>
      <c r="CQ3" s="34">
        <f t="shared" si="0"/>
        <v>2036</v>
      </c>
      <c r="CR3" s="34">
        <f t="shared" si="0"/>
        <v>2037</v>
      </c>
      <c r="CS3" s="34">
        <f t="shared" si="0"/>
        <v>2038</v>
      </c>
      <c r="CT3" s="34">
        <f t="shared" si="0"/>
        <v>2039</v>
      </c>
      <c r="CU3" s="34">
        <f t="shared" si="0"/>
        <v>2040</v>
      </c>
      <c r="CV3" s="34">
        <f t="shared" si="0"/>
        <v>2041</v>
      </c>
      <c r="CW3" s="34">
        <f t="shared" si="0"/>
        <v>2042</v>
      </c>
      <c r="CX3" s="34">
        <f t="shared" si="0"/>
        <v>2043</v>
      </c>
      <c r="CY3" s="34">
        <f t="shared" si="0"/>
        <v>2044</v>
      </c>
      <c r="CZ3" s="34">
        <f t="shared" si="0"/>
        <v>2045</v>
      </c>
      <c r="DA3" s="34">
        <f t="shared" si="0"/>
        <v>2046</v>
      </c>
      <c r="DB3" s="34">
        <f t="shared" si="0"/>
        <v>2047</v>
      </c>
      <c r="DC3" s="34">
        <f t="shared" si="0"/>
        <v>2048</v>
      </c>
      <c r="DD3" s="34">
        <f t="shared" si="0"/>
        <v>2049</v>
      </c>
      <c r="DE3" s="34">
        <f t="shared" si="0"/>
        <v>2050</v>
      </c>
      <c r="DF3" s="34">
        <f t="shared" si="0"/>
        <v>2051</v>
      </c>
      <c r="DG3" s="34">
        <f t="shared" si="0"/>
        <v>2052</v>
      </c>
      <c r="DH3" s="34">
        <f t="shared" si="0"/>
        <v>2053</v>
      </c>
      <c r="DI3" s="34">
        <f t="shared" si="0"/>
        <v>2054</v>
      </c>
      <c r="DJ3" s="34">
        <f t="shared" si="0"/>
        <v>2055</v>
      </c>
      <c r="DK3" s="34">
        <f t="shared" si="0"/>
        <v>2056</v>
      </c>
      <c r="DL3" s="34">
        <f t="shared" si="0"/>
        <v>2057</v>
      </c>
      <c r="DM3" s="34">
        <f t="shared" si="0"/>
        <v>2058</v>
      </c>
      <c r="DN3" s="34">
        <f t="shared" si="0"/>
        <v>2059</v>
      </c>
      <c r="DO3" s="34">
        <f t="shared" si="0"/>
        <v>2060</v>
      </c>
      <c r="DP3" s="34">
        <f t="shared" si="0"/>
        <v>2061</v>
      </c>
      <c r="DQ3" s="34">
        <f t="shared" si="0"/>
        <v>2062</v>
      </c>
      <c r="DR3" s="34">
        <f t="shared" si="0"/>
        <v>2063</v>
      </c>
      <c r="DS3" s="34">
        <f t="shared" si="0"/>
        <v>2064</v>
      </c>
      <c r="DT3" s="34">
        <f t="shared" si="0"/>
        <v>2065</v>
      </c>
      <c r="DU3" s="34">
        <f t="shared" si="0"/>
        <v>2066</v>
      </c>
      <c r="DV3" s="34">
        <f t="shared" si="0"/>
        <v>2067</v>
      </c>
      <c r="DW3" s="34">
        <f t="shared" si="0"/>
        <v>2068</v>
      </c>
      <c r="DX3" s="34">
        <f t="shared" si="0"/>
        <v>2069</v>
      </c>
      <c r="DY3" s="34">
        <f t="shared" si="0"/>
        <v>2070</v>
      </c>
      <c r="DZ3" s="34">
        <f t="shared" si="0"/>
        <v>2071</v>
      </c>
      <c r="EA3" s="34">
        <f t="shared" si="0"/>
        <v>2072</v>
      </c>
      <c r="EB3" s="34">
        <f t="shared" si="0"/>
        <v>2073</v>
      </c>
      <c r="EC3" s="34">
        <f t="shared" ref="EC3:EN3" si="1">EB3+1</f>
        <v>2074</v>
      </c>
      <c r="ED3" s="34">
        <f t="shared" si="1"/>
        <v>2075</v>
      </c>
      <c r="EE3" s="34">
        <f t="shared" si="1"/>
        <v>2076</v>
      </c>
      <c r="EF3" s="34">
        <f t="shared" si="1"/>
        <v>2077</v>
      </c>
      <c r="EG3" s="34">
        <f t="shared" si="1"/>
        <v>2078</v>
      </c>
      <c r="EH3" s="34">
        <f t="shared" si="1"/>
        <v>2079</v>
      </c>
      <c r="EI3" s="34">
        <f t="shared" si="1"/>
        <v>2080</v>
      </c>
      <c r="EJ3" s="34">
        <f t="shared" si="1"/>
        <v>2081</v>
      </c>
      <c r="EK3" s="34">
        <f t="shared" si="1"/>
        <v>2082</v>
      </c>
      <c r="EL3" s="34">
        <f t="shared" si="1"/>
        <v>2083</v>
      </c>
      <c r="EM3" s="34">
        <f t="shared" si="1"/>
        <v>2084</v>
      </c>
      <c r="EN3" s="34">
        <f t="shared" si="1"/>
        <v>2085</v>
      </c>
      <c r="EO3" s="34"/>
      <c r="EP3" s="34"/>
      <c r="EQ3" s="2"/>
    </row>
    <row r="4" spans="2:147">
      <c r="B4" s="36" t="s">
        <v>169</v>
      </c>
      <c r="AM4" s="1">
        <v>4370</v>
      </c>
      <c r="AN4" s="1">
        <v>4545</v>
      </c>
      <c r="AO4" s="1">
        <v>4592</v>
      </c>
      <c r="AP4" s="1">
        <f>18449-SUM(AM4:AO4)</f>
        <v>4942</v>
      </c>
      <c r="AQ4" s="1">
        <v>4824</v>
      </c>
      <c r="AR4" s="1">
        <v>5011</v>
      </c>
      <c r="AS4" s="1">
        <v>5718</v>
      </c>
      <c r="AT4" s="1">
        <f>20597-SUM(AQ4:AS4)</f>
        <v>5044</v>
      </c>
      <c r="AU4" s="1">
        <v>6120</v>
      </c>
      <c r="AV4" s="1">
        <v>6384</v>
      </c>
      <c r="AW4" s="1">
        <v>6629</v>
      </c>
      <c r="AX4" s="1">
        <f>26253-SUM(AU4:AW4)</f>
        <v>7120</v>
      </c>
      <c r="AY4" s="1">
        <v>6673</v>
      </c>
      <c r="AZ4" s="1">
        <v>6999</v>
      </c>
      <c r="BA4" s="1">
        <v>7075</v>
      </c>
      <c r="BB4" s="1">
        <f>28284-SUM(AY4:BA4)</f>
        <v>7537</v>
      </c>
      <c r="BC4" s="1">
        <v>7217</v>
      </c>
      <c r="BD4" s="1">
        <v>7622</v>
      </c>
      <c r="BE4" s="1">
        <v>7621</v>
      </c>
      <c r="BF4" s="1">
        <f>30196-SUM(BC4:BE4)</f>
        <v>7736</v>
      </c>
      <c r="BG4" s="1">
        <v>7602</v>
      </c>
      <c r="BH4" s="1">
        <v>8210</v>
      </c>
      <c r="BI4" s="1">
        <v>8382</v>
      </c>
      <c r="BJ4" s="62"/>
      <c r="CB4" s="1">
        <f>SUM(AM4:AP4)</f>
        <v>18449</v>
      </c>
      <c r="CC4" s="1">
        <f>SUM(AQ4:AT4)</f>
        <v>20597</v>
      </c>
      <c r="CD4" s="1">
        <f>SUM(AU4:AX4)</f>
        <v>26253</v>
      </c>
      <c r="CE4" s="1">
        <f>SUM(AY4:BB4)</f>
        <v>28284</v>
      </c>
      <c r="CF4" s="1">
        <f>SUM(BC4:BF4)</f>
        <v>30196</v>
      </c>
      <c r="CG4" s="62">
        <f t="shared" ref="CG4:CP4" si="2">CF4*(1+CG10)</f>
        <v>32460.699999999997</v>
      </c>
      <c r="CH4" s="62">
        <f t="shared" si="2"/>
        <v>35382.163</v>
      </c>
      <c r="CI4" s="62">
        <f t="shared" si="2"/>
        <v>39097.290115000003</v>
      </c>
      <c r="CJ4" s="62">
        <f t="shared" si="2"/>
        <v>42811.532675925002</v>
      </c>
      <c r="CK4" s="62">
        <f t="shared" si="2"/>
        <v>46236.455289999009</v>
      </c>
      <c r="CL4" s="62">
        <f t="shared" si="2"/>
        <v>49010.64260739895</v>
      </c>
      <c r="CM4" s="62">
        <f t="shared" si="2"/>
        <v>51706.227950805885</v>
      </c>
      <c r="CN4" s="62">
        <f t="shared" si="2"/>
        <v>54291.539348346181</v>
      </c>
      <c r="CO4" s="62">
        <f t="shared" si="2"/>
        <v>56734.658619021757</v>
      </c>
      <c r="CP4" s="62">
        <f t="shared" si="2"/>
        <v>59004.044963782631</v>
      </c>
    </row>
    <row r="5" spans="2:147">
      <c r="B5" s="36" t="s">
        <v>170</v>
      </c>
      <c r="AM5" s="1">
        <v>4030</v>
      </c>
      <c r="AN5" s="1">
        <v>4280</v>
      </c>
      <c r="AO5" s="1">
        <v>4725</v>
      </c>
      <c r="AP5" s="1">
        <f>18150-SUM(AM5:AO5)</f>
        <v>5115</v>
      </c>
      <c r="AQ5" s="1">
        <v>4529</v>
      </c>
      <c r="AR5" s="1">
        <v>4969</v>
      </c>
      <c r="AS5" s="1">
        <v>5380</v>
      </c>
      <c r="AT5" s="1">
        <f>20530-SUM(AQ5:AS5)</f>
        <v>5652</v>
      </c>
      <c r="AU5" s="1">
        <v>5230</v>
      </c>
      <c r="AV5" s="1">
        <v>5701</v>
      </c>
      <c r="AW5" s="1">
        <v>926</v>
      </c>
      <c r="AX5" s="1">
        <f>18296-SUM(AU5:AW5)</f>
        <v>6439</v>
      </c>
      <c r="AY5" s="1">
        <v>6456</v>
      </c>
      <c r="AZ5" s="1">
        <v>6802</v>
      </c>
      <c r="BA5" s="1">
        <v>7239</v>
      </c>
      <c r="BB5" s="1">
        <f>28066-SUM(AY5:BA5)</f>
        <v>7569</v>
      </c>
      <c r="BC5" s="1">
        <v>7366</v>
      </c>
      <c r="BD5" s="1">
        <v>7631</v>
      </c>
      <c r="BE5" s="1">
        <v>8423</v>
      </c>
      <c r="BF5" s="1">
        <f>32916-SUM(BC5:BE5)</f>
        <v>9496</v>
      </c>
      <c r="BG5" s="1">
        <v>8173</v>
      </c>
      <c r="BH5" s="1">
        <v>8889</v>
      </c>
      <c r="BI5" s="1">
        <v>9231</v>
      </c>
      <c r="BJ5" s="62"/>
      <c r="CB5" s="1">
        <f>SUM(AM5:AP5)</f>
        <v>18150</v>
      </c>
      <c r="CC5" s="1">
        <f>SUM(AQ5:AT5)</f>
        <v>20530</v>
      </c>
      <c r="CD5" s="1">
        <f>SUM(AU5:AX5)</f>
        <v>18296</v>
      </c>
      <c r="CE5" s="1">
        <f>SUM(AY5:BB5)</f>
        <v>28066</v>
      </c>
      <c r="CF5" s="1">
        <f>SUM(BC5:BF5)</f>
        <v>32916</v>
      </c>
      <c r="CG5" s="62">
        <f t="shared" ref="CG5:CP5" si="3">CF5*(1+CG11)</f>
        <v>37030.5</v>
      </c>
      <c r="CH5" s="62">
        <f t="shared" si="3"/>
        <v>42214.770000000004</v>
      </c>
      <c r="CI5" s="62">
        <f t="shared" si="3"/>
        <v>48546.985500000003</v>
      </c>
      <c r="CJ5" s="62">
        <f t="shared" si="3"/>
        <v>54858.093614999998</v>
      </c>
      <c r="CK5" s="62">
        <f t="shared" si="3"/>
        <v>60892.483912650001</v>
      </c>
      <c r="CL5" s="62">
        <f t="shared" si="3"/>
        <v>66372.807464788508</v>
      </c>
      <c r="CM5" s="62">
        <f t="shared" si="3"/>
        <v>71018.903987323705</v>
      </c>
      <c r="CN5" s="62">
        <f t="shared" si="3"/>
        <v>75280.038226563134</v>
      </c>
      <c r="CO5" s="62">
        <f t="shared" si="3"/>
        <v>79044.040137891294</v>
      </c>
      <c r="CP5" s="62">
        <f t="shared" si="3"/>
        <v>82205.801743406948</v>
      </c>
    </row>
    <row r="6" spans="2:147" ht="14.25" customHeight="1">
      <c r="B6" s="76" t="s">
        <v>224</v>
      </c>
      <c r="AM6" s="1">
        <f>3765+3793</f>
        <v>7558</v>
      </c>
      <c r="AN6" s="1">
        <f>3805+3985</f>
        <v>7790</v>
      </c>
      <c r="AO6" s="1">
        <f>3740+3902</f>
        <v>7642</v>
      </c>
      <c r="AP6" s="1">
        <f>15180+15539-SUM(AM6:AO6)</f>
        <v>7729</v>
      </c>
      <c r="AQ6" s="1">
        <f>3572+3527</f>
        <v>7099</v>
      </c>
      <c r="AR6" s="1">
        <f>3570+3558</f>
        <v>7128</v>
      </c>
      <c r="AS6" s="1">
        <v>6308</v>
      </c>
      <c r="AT6" s="1">
        <f>14312+14863-SUM(AQ6:AS6)</f>
        <v>8640</v>
      </c>
      <c r="AU6" s="1">
        <v>6292</v>
      </c>
      <c r="AV6" s="1">
        <v>6700</v>
      </c>
      <c r="AW6" s="1">
        <v>6472</v>
      </c>
      <c r="AX6" s="1">
        <f>26350-SUM(AU6:AW6)</f>
        <v>6886</v>
      </c>
      <c r="AY6" s="1">
        <v>6659</v>
      </c>
      <c r="AZ6" s="1">
        <v>6511</v>
      </c>
      <c r="BA6" s="1">
        <v>6386</v>
      </c>
      <c r="BB6" s="1">
        <f>26713-SUM(AY6:BA6)</f>
        <v>7157</v>
      </c>
      <c r="BC6" s="1">
        <v>6340</v>
      </c>
      <c r="BD6" s="1">
        <v>7001</v>
      </c>
      <c r="BE6" s="1">
        <v>7045</v>
      </c>
      <c r="BF6" s="1">
        <f>28043-SUM(BC6:BE6)</f>
        <v>7657</v>
      </c>
      <c r="BG6" s="1">
        <v>6945</v>
      </c>
      <c r="BH6" s="1">
        <v>8269</v>
      </c>
      <c r="BI6" s="1">
        <v>8031</v>
      </c>
      <c r="BJ6" s="62"/>
      <c r="CB6" s="1">
        <f>SUM(AM6:AP6)</f>
        <v>30719</v>
      </c>
      <c r="CC6" s="1">
        <f>SUM(AQ6:AT6)</f>
        <v>29175</v>
      </c>
      <c r="CD6" s="1">
        <f>SUM(AU6:AX6)</f>
        <v>26350</v>
      </c>
      <c r="CE6" s="1">
        <f>SUM(AY6:BB6)</f>
        <v>26713</v>
      </c>
      <c r="CF6" s="1">
        <f>SUM(BC6:BF6)</f>
        <v>28043</v>
      </c>
      <c r="CG6" s="62">
        <f t="shared" ref="CG6:CP6" si="4">CF6*(1+CG12)</f>
        <v>31688.589999999997</v>
      </c>
      <c r="CH6" s="62">
        <f t="shared" si="4"/>
        <v>36441.878499999992</v>
      </c>
      <c r="CI6" s="62">
        <f t="shared" si="4"/>
        <v>40450.485134999995</v>
      </c>
      <c r="CJ6" s="62">
        <f t="shared" si="4"/>
        <v>44091.02879715</v>
      </c>
      <c r="CK6" s="62">
        <f t="shared" si="4"/>
        <v>47618.311100922001</v>
      </c>
      <c r="CL6" s="62">
        <f t="shared" si="4"/>
        <v>49999.226655968101</v>
      </c>
      <c r="CM6" s="62">
        <f t="shared" si="4"/>
        <v>51499.203455647148</v>
      </c>
      <c r="CN6" s="62">
        <f t="shared" si="4"/>
        <v>52529.187524760091</v>
      </c>
      <c r="CO6" s="62">
        <f t="shared" si="4"/>
        <v>53448.448306443395</v>
      </c>
      <c r="CP6" s="62">
        <f t="shared" si="4"/>
        <v>54250.175031040038</v>
      </c>
    </row>
    <row r="7" spans="2:147">
      <c r="B7" s="36" t="s">
        <v>219</v>
      </c>
      <c r="AM7" s="1">
        <v>-707</v>
      </c>
      <c r="AN7" s="1">
        <v>-735</v>
      </c>
      <c r="AO7" s="1">
        <v>-746</v>
      </c>
      <c r="AP7" s="1">
        <f>-2930-SUM(AM7:AO7)</f>
        <v>-742</v>
      </c>
      <c r="AQ7" s="1">
        <v>-736</v>
      </c>
      <c r="AR7" s="1">
        <v>-794</v>
      </c>
      <c r="AS7" s="1">
        <v>-455</v>
      </c>
      <c r="AT7" s="1">
        <f>-3228-SUM(AQ7:AS7)</f>
        <v>-1243</v>
      </c>
      <c r="AU7" s="1">
        <v>-428</v>
      </c>
      <c r="AV7" s="1">
        <v>-470</v>
      </c>
      <c r="AW7" s="1">
        <v>-563</v>
      </c>
      <c r="AX7" s="1">
        <f>-1979-SUM(AU7:AW7)</f>
        <v>-518</v>
      </c>
      <c r="AY7" s="1">
        <v>-483</v>
      </c>
      <c r="AZ7" s="1">
        <v>-591</v>
      </c>
      <c r="BA7" s="1">
        <v>-611</v>
      </c>
      <c r="BB7" s="1">
        <f>-2325-SUM(AY7:BA7)</f>
        <v>-640</v>
      </c>
      <c r="BC7" s="1">
        <v>-617</v>
      </c>
      <c r="BD7" s="1">
        <v>-673</v>
      </c>
      <c r="BE7" s="1">
        <v>-611</v>
      </c>
      <c r="BF7" s="1">
        <f>-2552-SUM(BC7:BE7)</f>
        <v>-651</v>
      </c>
      <c r="BG7" s="1">
        <v>-644</v>
      </c>
      <c r="BH7" s="1">
        <v>-660</v>
      </c>
      <c r="BI7" s="1">
        <v>-679</v>
      </c>
      <c r="BJ7" s="62"/>
      <c r="CB7" s="1">
        <f>SUM(AM7:AP7)</f>
        <v>-2930</v>
      </c>
      <c r="CC7" s="1">
        <f>SUM(AQ7:AT7)</f>
        <v>-3228</v>
      </c>
      <c r="CD7" s="1">
        <f>SUM(AU7:AX7)</f>
        <v>-1979</v>
      </c>
      <c r="CE7" s="1">
        <f>SUM(AY7:BB7)</f>
        <v>-2325</v>
      </c>
      <c r="CF7" s="1">
        <f>SUM(BC7:BF7)</f>
        <v>-2552</v>
      </c>
      <c r="CG7" s="62">
        <f>CF7*(1+CG13)</f>
        <v>-2603.04</v>
      </c>
      <c r="CH7" s="62">
        <f t="shared" ref="CH7:CP7" si="5">CG7*(1+CH13)</f>
        <v>-2707.1615999999999</v>
      </c>
      <c r="CI7" s="62">
        <f t="shared" si="5"/>
        <v>-2815.4480640000002</v>
      </c>
      <c r="CJ7" s="62">
        <f t="shared" si="5"/>
        <v>-2871.7570252800001</v>
      </c>
      <c r="CK7" s="62">
        <f t="shared" si="5"/>
        <v>-2929.1921657856001</v>
      </c>
      <c r="CL7" s="62">
        <f t="shared" si="5"/>
        <v>-2987.776009101312</v>
      </c>
      <c r="CM7" s="62">
        <f t="shared" si="5"/>
        <v>-3047.5315292833384</v>
      </c>
      <c r="CN7" s="62">
        <f t="shared" si="5"/>
        <v>-3108.482159869005</v>
      </c>
      <c r="CO7" s="62">
        <f t="shared" si="5"/>
        <v>-3170.6518030663851</v>
      </c>
      <c r="CP7" s="62">
        <f t="shared" si="5"/>
        <v>-3234.0648391277127</v>
      </c>
    </row>
    <row r="8" spans="2:147" s="2" customFormat="1" ht="15">
      <c r="B8" s="33" t="s">
        <v>52</v>
      </c>
      <c r="AM8" s="2">
        <f t="shared" ref="AM8:BC8" si="6">SUM(AM4:AM7)</f>
        <v>15251</v>
      </c>
      <c r="AN8" s="2">
        <f t="shared" si="6"/>
        <v>15880</v>
      </c>
      <c r="AO8" s="2">
        <f t="shared" si="6"/>
        <v>16213</v>
      </c>
      <c r="AP8" s="2">
        <f t="shared" si="6"/>
        <v>17044</v>
      </c>
      <c r="AQ8" s="2">
        <f t="shared" si="6"/>
        <v>15716</v>
      </c>
      <c r="AR8" s="2">
        <f t="shared" si="6"/>
        <v>16314</v>
      </c>
      <c r="AS8" s="2">
        <f t="shared" si="6"/>
        <v>16951</v>
      </c>
      <c r="AT8" s="2">
        <f t="shared" si="6"/>
        <v>18093</v>
      </c>
      <c r="AU8" s="2">
        <f t="shared" si="6"/>
        <v>17214</v>
      </c>
      <c r="AV8" s="2">
        <f t="shared" si="6"/>
        <v>18315</v>
      </c>
      <c r="AW8" s="2">
        <f t="shared" si="6"/>
        <v>13464</v>
      </c>
      <c r="AX8" s="2">
        <f t="shared" si="6"/>
        <v>19927</v>
      </c>
      <c r="AY8" s="2">
        <f t="shared" si="6"/>
        <v>19305</v>
      </c>
      <c r="AZ8" s="2">
        <f t="shared" si="6"/>
        <v>19721</v>
      </c>
      <c r="BA8" s="2">
        <f t="shared" si="6"/>
        <v>20089</v>
      </c>
      <c r="BB8" s="2">
        <f t="shared" si="6"/>
        <v>21623</v>
      </c>
      <c r="BC8" s="2">
        <f t="shared" si="6"/>
        <v>20306</v>
      </c>
      <c r="BD8" s="2">
        <f>SUM(BD4:BD7)</f>
        <v>21581</v>
      </c>
      <c r="BE8" s="2">
        <f t="shared" ref="BE8:BH8" si="7">SUM(BE4:BE7)</f>
        <v>22478</v>
      </c>
      <c r="BF8" s="2">
        <f t="shared" si="7"/>
        <v>24238</v>
      </c>
      <c r="BG8" s="2">
        <f t="shared" si="7"/>
        <v>22076</v>
      </c>
      <c r="BH8" s="2">
        <f t="shared" si="7"/>
        <v>24708</v>
      </c>
      <c r="BI8" s="2">
        <f t="shared" ref="BI8" si="8">SUM(BI4:BI7)</f>
        <v>24965</v>
      </c>
      <c r="BJ8" s="81"/>
      <c r="CB8" s="2">
        <f>SUM(AM8:AP8)</f>
        <v>64388</v>
      </c>
      <c r="CC8" s="2">
        <f>SUM(AQ8:AT8)</f>
        <v>67074</v>
      </c>
      <c r="CD8" s="2">
        <f>SUM(AU8:AX8)</f>
        <v>68920</v>
      </c>
      <c r="CE8" s="2">
        <f>SUM(AY8:BB8)</f>
        <v>80738</v>
      </c>
      <c r="CF8" s="2">
        <f>SUM(BC8:BF8)</f>
        <v>88603</v>
      </c>
      <c r="CG8" s="81">
        <f>SUM(CG4:CG7)</f>
        <v>98576.75</v>
      </c>
      <c r="CH8" s="81">
        <f t="shared" ref="CH8:CP8" si="9">SUM(CH4:CH7)</f>
        <v>111331.64989999999</v>
      </c>
      <c r="CI8" s="81">
        <f t="shared" si="9"/>
        <v>125279.312686</v>
      </c>
      <c r="CJ8" s="81">
        <f t="shared" si="9"/>
        <v>138888.89806279499</v>
      </c>
      <c r="CK8" s="81">
        <f t="shared" si="9"/>
        <v>151818.05813778541</v>
      </c>
      <c r="CL8" s="81">
        <f t="shared" si="9"/>
        <v>162394.90071905428</v>
      </c>
      <c r="CM8" s="81">
        <f t="shared" si="9"/>
        <v>171176.80386449341</v>
      </c>
      <c r="CN8" s="81">
        <f t="shared" si="9"/>
        <v>178992.28293980038</v>
      </c>
      <c r="CO8" s="81">
        <f t="shared" si="9"/>
        <v>186056.49526029007</v>
      </c>
      <c r="CP8" s="81">
        <f t="shared" si="9"/>
        <v>192225.9568991019</v>
      </c>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c r="EL8" s="34"/>
      <c r="EM8" s="34"/>
      <c r="EN8" s="34"/>
      <c r="EO8" s="34"/>
      <c r="EP8" s="34"/>
    </row>
    <row r="9" spans="2:147">
      <c r="B9" s="36"/>
      <c r="BI9" s="1"/>
    </row>
    <row r="10" spans="2:147">
      <c r="B10" s="36" t="s">
        <v>171</v>
      </c>
      <c r="AQ10" s="75">
        <f t="shared" ref="AQ10:AZ12" si="10">AQ4/AM4-1</f>
        <v>0.1038901601830664</v>
      </c>
      <c r="AR10" s="75">
        <f t="shared" si="10"/>
        <v>0.1025302530253025</v>
      </c>
      <c r="AS10" s="75">
        <f t="shared" si="10"/>
        <v>0.24520905923344949</v>
      </c>
      <c r="AT10" s="75">
        <f t="shared" si="10"/>
        <v>2.0639417239983748E-2</v>
      </c>
      <c r="AU10" s="75">
        <f t="shared" si="10"/>
        <v>0.26865671641791056</v>
      </c>
      <c r="AV10" s="75">
        <f t="shared" si="10"/>
        <v>0.27399720614647771</v>
      </c>
      <c r="AW10" s="75">
        <f t="shared" si="10"/>
        <v>0.15932144106330881</v>
      </c>
      <c r="AX10" s="75">
        <f t="shared" si="10"/>
        <v>0.41157811260904054</v>
      </c>
      <c r="AY10" s="75">
        <f t="shared" si="10"/>
        <v>9.0359477124182908E-2</v>
      </c>
      <c r="AZ10" s="75">
        <f t="shared" si="10"/>
        <v>9.6334586466165328E-2</v>
      </c>
      <c r="BA10" s="75">
        <f t="shared" ref="BA10:BI12" si="11">BA4/AW4-1</f>
        <v>6.7280132750037636E-2</v>
      </c>
      <c r="BB10" s="75">
        <f t="shared" si="11"/>
        <v>5.856741573033708E-2</v>
      </c>
      <c r="BC10" s="75">
        <f t="shared" si="11"/>
        <v>8.152255357410465E-2</v>
      </c>
      <c r="BD10" s="75">
        <f t="shared" si="11"/>
        <v>8.9012716102300438E-2</v>
      </c>
      <c r="BE10" s="75">
        <f t="shared" si="11"/>
        <v>7.7173144876325095E-2</v>
      </c>
      <c r="BF10" s="75">
        <f t="shared" si="11"/>
        <v>2.6403078147804182E-2</v>
      </c>
      <c r="BG10" s="75">
        <f t="shared" si="11"/>
        <v>5.3346265761396783E-2</v>
      </c>
      <c r="BH10" s="75">
        <f t="shared" si="11"/>
        <v>7.7145106271319763E-2</v>
      </c>
      <c r="BI10" s="75">
        <f t="shared" si="11"/>
        <v>9.9855661986615996E-2</v>
      </c>
      <c r="BJ10" s="79"/>
      <c r="CC10" s="75">
        <f t="shared" ref="CC10:CF10" si="12">CC4/CB4-1</f>
        <v>0.1164290747465988</v>
      </c>
      <c r="CD10" s="75">
        <f t="shared" si="12"/>
        <v>0.27460309753847656</v>
      </c>
      <c r="CE10" s="75">
        <f t="shared" si="12"/>
        <v>7.7362587132899119E-2</v>
      </c>
      <c r="CF10" s="75">
        <f t="shared" si="12"/>
        <v>6.7600056569085076E-2</v>
      </c>
      <c r="CG10" s="79">
        <v>7.4999999999999997E-2</v>
      </c>
      <c r="CH10" s="79">
        <v>0.09</v>
      </c>
      <c r="CI10" s="79">
        <v>0.105</v>
      </c>
      <c r="CJ10" s="79">
        <v>9.5000000000000001E-2</v>
      </c>
      <c r="CK10" s="79">
        <v>0.08</v>
      </c>
      <c r="CL10" s="79">
        <v>0.06</v>
      </c>
      <c r="CM10" s="79">
        <v>5.5E-2</v>
      </c>
      <c r="CN10" s="79">
        <v>0.05</v>
      </c>
      <c r="CO10" s="79">
        <v>4.4999999999999998E-2</v>
      </c>
      <c r="CP10" s="79">
        <v>0.04</v>
      </c>
    </row>
    <row r="11" spans="2:147">
      <c r="B11" s="36" t="s">
        <v>172</v>
      </c>
      <c r="AQ11" s="75">
        <f t="shared" si="10"/>
        <v>0.12382133995037226</v>
      </c>
      <c r="AR11" s="75">
        <f t="shared" si="10"/>
        <v>0.16098130841121505</v>
      </c>
      <c r="AS11" s="75">
        <f t="shared" si="10"/>
        <v>0.13862433862433865</v>
      </c>
      <c r="AT11" s="75">
        <f t="shared" si="10"/>
        <v>0.10498533724340176</v>
      </c>
      <c r="AU11" s="75">
        <f t="shared" si="10"/>
        <v>0.15478030470302495</v>
      </c>
      <c r="AV11" s="75">
        <f t="shared" si="10"/>
        <v>0.14731334272489427</v>
      </c>
      <c r="AW11" s="75">
        <f t="shared" si="10"/>
        <v>-0.82788104089219328</v>
      </c>
      <c r="AX11" s="75">
        <f t="shared" si="10"/>
        <v>0.13924274593064401</v>
      </c>
      <c r="AY11" s="75">
        <f t="shared" si="10"/>
        <v>0.23441682600382419</v>
      </c>
      <c r="AZ11" s="75">
        <f t="shared" si="10"/>
        <v>0.1931240133309946</v>
      </c>
      <c r="BA11" s="75">
        <f t="shared" si="11"/>
        <v>6.8174946004319654</v>
      </c>
      <c r="BB11" s="75">
        <f t="shared" si="11"/>
        <v>0.17549308898897342</v>
      </c>
      <c r="BC11" s="75">
        <f t="shared" si="11"/>
        <v>0.14095415117719945</v>
      </c>
      <c r="BD11" s="75">
        <f t="shared" si="11"/>
        <v>0.1218759188473979</v>
      </c>
      <c r="BE11" s="75">
        <f t="shared" si="11"/>
        <v>0.16355850255560167</v>
      </c>
      <c r="BF11" s="75">
        <f t="shared" si="11"/>
        <v>0.25459109525696921</v>
      </c>
      <c r="BG11" s="75">
        <f t="shared" si="11"/>
        <v>0.10955742601140384</v>
      </c>
      <c r="BH11" s="75">
        <f t="shared" si="11"/>
        <v>0.16485388546717328</v>
      </c>
      <c r="BI11" s="75">
        <f t="shared" si="11"/>
        <v>9.5927816692389811E-2</v>
      </c>
      <c r="BJ11" s="79"/>
      <c r="CC11" s="75">
        <f t="shared" ref="CC11:CF11" si="13">CC5/CB5-1</f>
        <v>0.13112947658402208</v>
      </c>
      <c r="CD11" s="75">
        <f t="shared" si="13"/>
        <v>-0.10881636629322944</v>
      </c>
      <c r="CE11" s="75">
        <f t="shared" si="13"/>
        <v>0.53399650196764314</v>
      </c>
      <c r="CF11" s="75">
        <f t="shared" si="13"/>
        <v>0.17280695503456145</v>
      </c>
      <c r="CG11" s="79">
        <v>0.125</v>
      </c>
      <c r="CH11" s="79">
        <v>0.14000000000000001</v>
      </c>
      <c r="CI11" s="79">
        <v>0.15</v>
      </c>
      <c r="CJ11" s="79">
        <v>0.13</v>
      </c>
      <c r="CK11" s="79">
        <v>0.11</v>
      </c>
      <c r="CL11" s="79">
        <v>0.09</v>
      </c>
      <c r="CM11" s="79">
        <v>7.0000000000000007E-2</v>
      </c>
      <c r="CN11" s="79">
        <v>0.06</v>
      </c>
      <c r="CO11" s="79">
        <v>0.05</v>
      </c>
      <c r="CP11" s="79">
        <v>0.04</v>
      </c>
    </row>
    <row r="12" spans="2:147">
      <c r="B12" s="36" t="s">
        <v>173</v>
      </c>
      <c r="AQ12" s="75">
        <f t="shared" si="10"/>
        <v>-6.0730351944959016E-2</v>
      </c>
      <c r="AR12" s="75">
        <f t="shared" si="10"/>
        <v>-8.4980744544287501E-2</v>
      </c>
      <c r="AS12" s="75">
        <f t="shared" si="10"/>
        <v>-0.17456163308034545</v>
      </c>
      <c r="AT12" s="75">
        <f t="shared" si="10"/>
        <v>0.11786777073360066</v>
      </c>
      <c r="AU12" s="75">
        <f t="shared" si="10"/>
        <v>-0.11367798281448094</v>
      </c>
      <c r="AV12" s="75">
        <f t="shared" si="10"/>
        <v>-6.0044893378226716E-2</v>
      </c>
      <c r="AW12" s="75">
        <f t="shared" si="10"/>
        <v>2.5998731769181882E-2</v>
      </c>
      <c r="AX12" s="75">
        <f t="shared" si="10"/>
        <v>-0.20300925925925928</v>
      </c>
      <c r="AY12" s="75">
        <f t="shared" si="10"/>
        <v>5.832803560076294E-2</v>
      </c>
      <c r="AZ12" s="75">
        <f t="shared" si="10"/>
        <v>-2.8208955223880561E-2</v>
      </c>
      <c r="BA12" s="75">
        <f t="shared" si="11"/>
        <v>-1.3288009888751562E-2</v>
      </c>
      <c r="BB12" s="75">
        <f t="shared" si="11"/>
        <v>3.93552134766193E-2</v>
      </c>
      <c r="BC12" s="75">
        <f t="shared" si="11"/>
        <v>-4.790509085448269E-2</v>
      </c>
      <c r="BD12" s="75">
        <f t="shared" si="11"/>
        <v>7.5257256949777362E-2</v>
      </c>
      <c r="BE12" s="75">
        <f t="shared" si="11"/>
        <v>0.10319448794237385</v>
      </c>
      <c r="BF12" s="75">
        <f t="shared" si="11"/>
        <v>6.9861673885706299E-2</v>
      </c>
      <c r="BG12" s="75">
        <f t="shared" si="11"/>
        <v>9.5425867507886508E-2</v>
      </c>
      <c r="BH12" s="75">
        <f t="shared" si="11"/>
        <v>0.18111698328810166</v>
      </c>
      <c r="BI12" s="75">
        <f t="shared" si="11"/>
        <v>0.13995741660752303</v>
      </c>
      <c r="BJ12" s="79"/>
      <c r="CC12" s="75">
        <f t="shared" ref="CC12:CF12" si="14">CC6/CB6-1</f>
        <v>-5.0262052801197998E-2</v>
      </c>
      <c r="CD12" s="75">
        <f t="shared" si="14"/>
        <v>-9.682947729220226E-2</v>
      </c>
      <c r="CE12" s="75">
        <f t="shared" si="14"/>
        <v>1.3776091081593833E-2</v>
      </c>
      <c r="CF12" s="75">
        <f t="shared" si="14"/>
        <v>4.978849249429107E-2</v>
      </c>
      <c r="CG12" s="79">
        <v>0.13</v>
      </c>
      <c r="CH12" s="79">
        <v>0.15</v>
      </c>
      <c r="CI12" s="79">
        <v>0.11</v>
      </c>
      <c r="CJ12" s="79">
        <v>0.09</v>
      </c>
      <c r="CK12" s="79">
        <v>0.08</v>
      </c>
      <c r="CL12" s="79">
        <v>0.05</v>
      </c>
      <c r="CM12" s="79">
        <v>0.03</v>
      </c>
      <c r="CN12" s="79">
        <v>0.02</v>
      </c>
      <c r="CO12" s="79">
        <v>1.7500000000000002E-2</v>
      </c>
      <c r="CP12" s="79">
        <v>1.4999999999999999E-2</v>
      </c>
    </row>
    <row r="13" spans="2:147">
      <c r="B13" s="36" t="s">
        <v>219</v>
      </c>
      <c r="AQ13" s="75">
        <f t="shared" ref="AQ13:BG13" si="15">AQ7/AM7-1</f>
        <v>4.1018387553040991E-2</v>
      </c>
      <c r="AR13" s="75">
        <f t="shared" si="15"/>
        <v>8.0272108843537415E-2</v>
      </c>
      <c r="AS13" s="75">
        <f t="shared" si="15"/>
        <v>-0.39008042895442363</v>
      </c>
      <c r="AT13" s="75">
        <f t="shared" si="15"/>
        <v>0.67520215633423186</v>
      </c>
      <c r="AU13" s="75">
        <f t="shared" si="15"/>
        <v>-0.41847826086956519</v>
      </c>
      <c r="AV13" s="75">
        <f t="shared" si="15"/>
        <v>-0.40806045340050379</v>
      </c>
      <c r="AW13" s="75">
        <f t="shared" si="15"/>
        <v>0.23736263736263741</v>
      </c>
      <c r="AX13" s="75">
        <f t="shared" si="15"/>
        <v>-0.58326629123089302</v>
      </c>
      <c r="AY13" s="75">
        <f t="shared" si="15"/>
        <v>0.12850467289719636</v>
      </c>
      <c r="AZ13" s="75">
        <f t="shared" si="15"/>
        <v>0.25744680851063828</v>
      </c>
      <c r="BA13" s="75">
        <f t="shared" si="15"/>
        <v>8.5257548845470765E-2</v>
      </c>
      <c r="BB13" s="75">
        <f t="shared" si="15"/>
        <v>0.23552123552123549</v>
      </c>
      <c r="BC13" s="75">
        <f t="shared" si="15"/>
        <v>0.27743271221532084</v>
      </c>
      <c r="BD13" s="75">
        <f t="shared" si="15"/>
        <v>0.13874788494077839</v>
      </c>
      <c r="BE13" s="75">
        <f t="shared" si="15"/>
        <v>0</v>
      </c>
      <c r="BF13" s="75">
        <f t="shared" si="15"/>
        <v>1.7187499999999911E-2</v>
      </c>
      <c r="BG13" s="75">
        <f t="shared" si="15"/>
        <v>4.3760129659643487E-2</v>
      </c>
      <c r="BH13" s="75">
        <f>BH7/BD7-1</f>
        <v>-1.9316493313521588E-2</v>
      </c>
      <c r="BI13" s="75">
        <f>BI7/BE7-1</f>
        <v>0.1112929623567922</v>
      </c>
      <c r="BJ13" s="79"/>
      <c r="CC13" s="75">
        <f t="shared" ref="CC13" si="16">CC7/CB7-1</f>
        <v>0.10170648464163823</v>
      </c>
      <c r="CD13" s="75">
        <f t="shared" ref="CD13" si="17">CD7/CC7-1</f>
        <v>-0.38692688971499378</v>
      </c>
      <c r="CE13" s="75">
        <f t="shared" ref="CE13" si="18">CE7/CD7-1</f>
        <v>0.17483577564426489</v>
      </c>
      <c r="CF13" s="75">
        <f t="shared" ref="CF13" si="19">CF7/CE7-1</f>
        <v>9.7634408602150557E-2</v>
      </c>
      <c r="CG13" s="79">
        <v>0.02</v>
      </c>
      <c r="CH13" s="79">
        <v>0.04</v>
      </c>
      <c r="CI13" s="79">
        <v>0.04</v>
      </c>
      <c r="CJ13" s="79">
        <v>0.02</v>
      </c>
      <c r="CK13" s="79">
        <v>0.02</v>
      </c>
      <c r="CL13" s="79">
        <v>0.02</v>
      </c>
      <c r="CM13" s="79">
        <v>0.02</v>
      </c>
      <c r="CN13" s="79">
        <v>0.02</v>
      </c>
      <c r="CO13" s="79">
        <v>0.02</v>
      </c>
      <c r="CP13" s="79">
        <v>0.02</v>
      </c>
    </row>
    <row r="14" spans="2:147" s="2" customFormat="1" ht="15">
      <c r="B14" s="33" t="s">
        <v>102</v>
      </c>
      <c r="AM14" s="1"/>
      <c r="AN14" s="1"/>
      <c r="AO14" s="1"/>
      <c r="AP14" s="1"/>
      <c r="AQ14" s="78">
        <f t="shared" ref="AQ14:BI14" si="20">AQ8/AM8-1</f>
        <v>3.0489803947282068E-2</v>
      </c>
      <c r="AR14" s="78">
        <f t="shared" si="20"/>
        <v>2.7329974811083124E-2</v>
      </c>
      <c r="AS14" s="78">
        <f t="shared" si="20"/>
        <v>4.5519027940541523E-2</v>
      </c>
      <c r="AT14" s="78">
        <f t="shared" si="20"/>
        <v>6.1546585308613011E-2</v>
      </c>
      <c r="AU14" s="78">
        <f t="shared" si="20"/>
        <v>9.531687452277926E-2</v>
      </c>
      <c r="AV14" s="78">
        <f t="shared" si="20"/>
        <v>0.12265538801029785</v>
      </c>
      <c r="AW14" s="78">
        <f t="shared" si="20"/>
        <v>-0.20571057754704736</v>
      </c>
      <c r="AX14" s="78">
        <f t="shared" si="20"/>
        <v>0.10136516884983138</v>
      </c>
      <c r="AY14" s="78">
        <f t="shared" si="20"/>
        <v>0.12147089578250259</v>
      </c>
      <c r="AZ14" s="78">
        <f t="shared" si="20"/>
        <v>7.6767676767676818E-2</v>
      </c>
      <c r="BA14" s="78">
        <f t="shared" si="20"/>
        <v>0.49205288175876416</v>
      </c>
      <c r="BB14" s="78">
        <f t="shared" si="20"/>
        <v>8.5110653886686372E-2</v>
      </c>
      <c r="BC14" s="78">
        <f t="shared" si="20"/>
        <v>5.1851851851851816E-2</v>
      </c>
      <c r="BD14" s="78">
        <f t="shared" si="20"/>
        <v>9.4315704071801676E-2</v>
      </c>
      <c r="BE14" s="78">
        <f t="shared" si="20"/>
        <v>0.11892080242919012</v>
      </c>
      <c r="BF14" s="78">
        <f t="shared" si="20"/>
        <v>0.12093604032742911</v>
      </c>
      <c r="BG14" s="78">
        <f t="shared" si="20"/>
        <v>8.716635477198853E-2</v>
      </c>
      <c r="BH14" s="78">
        <f t="shared" si="20"/>
        <v>0.14489597330985582</v>
      </c>
      <c r="BI14" s="78">
        <f t="shared" si="20"/>
        <v>0.11064151614912365</v>
      </c>
      <c r="BJ14" s="80"/>
      <c r="CC14" s="78">
        <f t="shared" ref="CC14:CP14" si="21">CC8/CB8-1</f>
        <v>4.1715847673479578E-2</v>
      </c>
      <c r="CD14" s="78">
        <f t="shared" si="21"/>
        <v>2.7521841548140857E-2</v>
      </c>
      <c r="CE14" s="78">
        <f t="shared" si="21"/>
        <v>0.17147417295414979</v>
      </c>
      <c r="CF14" s="78">
        <f t="shared" si="21"/>
        <v>9.7413857167628626E-2</v>
      </c>
      <c r="CG14" s="80">
        <f t="shared" si="21"/>
        <v>0.11256673024615416</v>
      </c>
      <c r="CH14" s="80">
        <f t="shared" si="21"/>
        <v>0.12939055000291644</v>
      </c>
      <c r="CI14" s="80">
        <f t="shared" si="21"/>
        <v>0.12528030257818012</v>
      </c>
      <c r="CJ14" s="80">
        <f t="shared" si="21"/>
        <v>0.10863394031308293</v>
      </c>
      <c r="CK14" s="80">
        <f t="shared" si="21"/>
        <v>9.308994639114232E-2</v>
      </c>
      <c r="CL14" s="80">
        <f t="shared" si="21"/>
        <v>6.9667882141330351E-2</v>
      </c>
      <c r="CM14" s="80">
        <f t="shared" si="21"/>
        <v>5.4077456290527071E-2</v>
      </c>
      <c r="CN14" s="80">
        <f t="shared" si="21"/>
        <v>4.565734900327878E-2</v>
      </c>
      <c r="CO14" s="80">
        <f t="shared" si="21"/>
        <v>3.9466574784487118E-2</v>
      </c>
      <c r="CP14" s="80">
        <f t="shared" si="21"/>
        <v>3.3159076925429742E-2</v>
      </c>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row>
    <row r="15" spans="2:147">
      <c r="AQ15" s="75"/>
      <c r="AR15" s="75"/>
      <c r="AS15" s="75"/>
      <c r="AT15" s="75"/>
      <c r="AU15" s="75"/>
      <c r="AV15" s="75"/>
      <c r="AW15" s="75"/>
      <c r="AX15" s="75"/>
      <c r="AY15" s="75"/>
      <c r="AZ15" s="75"/>
      <c r="BA15" s="75"/>
      <c r="BB15" s="75"/>
      <c r="BC15" s="75"/>
      <c r="BD15" s="75"/>
      <c r="BE15" s="75"/>
      <c r="BF15" s="75"/>
      <c r="BG15" s="75"/>
      <c r="BH15" s="75"/>
      <c r="BI15" s="75"/>
    </row>
    <row r="16" spans="2:147">
      <c r="B16" s="36" t="s">
        <v>174</v>
      </c>
      <c r="AM16" s="75">
        <f t="shared" ref="AM16:BF16" si="22">AM4/AM8</f>
        <v>0.2865385876335978</v>
      </c>
      <c r="AN16" s="75">
        <f t="shared" si="22"/>
        <v>0.28620906801007556</v>
      </c>
      <c r="AO16" s="75">
        <f t="shared" si="22"/>
        <v>0.28322950718559181</v>
      </c>
      <c r="AP16" s="75">
        <f t="shared" si="22"/>
        <v>0.28995540952827975</v>
      </c>
      <c r="AQ16" s="75">
        <f t="shared" si="22"/>
        <v>0.3069483329091372</v>
      </c>
      <c r="AR16" s="75">
        <f t="shared" si="22"/>
        <v>0.30715949491234523</v>
      </c>
      <c r="AS16" s="75">
        <f t="shared" si="22"/>
        <v>0.33732523154976107</v>
      </c>
      <c r="AT16" s="75">
        <f t="shared" si="22"/>
        <v>0.27878184933399658</v>
      </c>
      <c r="AU16" s="75">
        <f t="shared" si="22"/>
        <v>0.35552457302195889</v>
      </c>
      <c r="AV16" s="75">
        <f t="shared" si="22"/>
        <v>0.34856674856674857</v>
      </c>
      <c r="AW16" s="75">
        <f t="shared" si="22"/>
        <v>0.49234997029114674</v>
      </c>
      <c r="AX16" s="75">
        <f t="shared" si="22"/>
        <v>0.35730416018467404</v>
      </c>
      <c r="AY16" s="75">
        <f t="shared" si="22"/>
        <v>0.34566174566174568</v>
      </c>
      <c r="AZ16" s="75">
        <f t="shared" si="22"/>
        <v>0.35490086709598906</v>
      </c>
      <c r="BA16" s="75">
        <f t="shared" si="22"/>
        <v>0.35218278659963165</v>
      </c>
      <c r="BB16" s="75">
        <f t="shared" si="22"/>
        <v>0.34856402904314848</v>
      </c>
      <c r="BC16" s="75">
        <f t="shared" si="22"/>
        <v>0.35541219344036246</v>
      </c>
      <c r="BD16" s="75">
        <f t="shared" si="22"/>
        <v>0.35318103887678975</v>
      </c>
      <c r="BE16" s="75">
        <f t="shared" si="22"/>
        <v>0.33904261945012903</v>
      </c>
      <c r="BF16" s="75">
        <f t="shared" si="22"/>
        <v>0.31916824820529749</v>
      </c>
      <c r="BG16" s="75">
        <f>BG4/BG8</f>
        <v>0.34435586156912484</v>
      </c>
      <c r="BH16" s="75">
        <f>BH4/BH8</f>
        <v>0.3322810425773029</v>
      </c>
      <c r="BI16" s="75">
        <f>BI4/BI8</f>
        <v>0.33575005007009812</v>
      </c>
      <c r="BS16" s="75"/>
      <c r="BT16" s="75"/>
      <c r="BU16" s="75"/>
      <c r="BV16" s="75"/>
      <c r="BW16" s="75"/>
      <c r="BX16" s="75"/>
      <c r="BY16" s="75"/>
      <c r="BZ16" s="75"/>
      <c r="CA16" s="75"/>
      <c r="CB16" s="75">
        <f t="shared" ref="CB16:CF16" si="23">CB4/CB8</f>
        <v>0.2865285456917438</v>
      </c>
      <c r="CC16" s="75">
        <f t="shared" si="23"/>
        <v>0.30707874884455971</v>
      </c>
      <c r="CD16" s="75">
        <f t="shared" si="23"/>
        <v>0.38091990713871154</v>
      </c>
      <c r="CE16" s="75">
        <f t="shared" si="23"/>
        <v>0.3503183135574327</v>
      </c>
      <c r="CF16" s="75">
        <f t="shared" si="23"/>
        <v>0.34080110154283716</v>
      </c>
    </row>
    <row r="17" spans="2:146">
      <c r="B17" s="36" t="s">
        <v>175</v>
      </c>
      <c r="AM17" s="75">
        <f t="shared" ref="AM17:BF17" si="24">AM5/AM8</f>
        <v>0.26424496754311194</v>
      </c>
      <c r="AN17" s="75">
        <f t="shared" si="24"/>
        <v>0.26952141057934509</v>
      </c>
      <c r="AO17" s="75">
        <f t="shared" si="24"/>
        <v>0.29143280083883305</v>
      </c>
      <c r="AP17" s="75">
        <f t="shared" si="24"/>
        <v>0.30010560901196903</v>
      </c>
      <c r="AQ17" s="75">
        <f t="shared" si="24"/>
        <v>0.28817765334690759</v>
      </c>
      <c r="AR17" s="75">
        <f t="shared" si="24"/>
        <v>0.30458501900208412</v>
      </c>
      <c r="AS17" s="75">
        <f t="shared" si="24"/>
        <v>0.31738540499085599</v>
      </c>
      <c r="AT17" s="75">
        <f t="shared" si="24"/>
        <v>0.31238600563753938</v>
      </c>
      <c r="AU17" s="75">
        <f t="shared" si="24"/>
        <v>0.30382247008249097</v>
      </c>
      <c r="AV17" s="75">
        <f t="shared" si="24"/>
        <v>0.31127491127491125</v>
      </c>
      <c r="AW17" s="75">
        <f t="shared" si="24"/>
        <v>6.8775995246583482E-2</v>
      </c>
      <c r="AX17" s="75">
        <f t="shared" si="24"/>
        <v>0.32312942239172981</v>
      </c>
      <c r="AY17" s="75">
        <f t="shared" si="24"/>
        <v>0.33442113442113441</v>
      </c>
      <c r="AZ17" s="75">
        <f t="shared" si="24"/>
        <v>0.34491151564322298</v>
      </c>
      <c r="BA17" s="75">
        <f t="shared" si="24"/>
        <v>0.36034645826073969</v>
      </c>
      <c r="BB17" s="75">
        <f t="shared" si="24"/>
        <v>0.35004393469916295</v>
      </c>
      <c r="BC17" s="75">
        <f t="shared" si="24"/>
        <v>0.36274992613020784</v>
      </c>
      <c r="BD17" s="75">
        <f t="shared" si="24"/>
        <v>0.35359807237848107</v>
      </c>
      <c r="BE17" s="75">
        <f t="shared" si="24"/>
        <v>0.37472195035145478</v>
      </c>
      <c r="BF17" s="75">
        <f t="shared" si="24"/>
        <v>0.39178150012377261</v>
      </c>
      <c r="BG17" s="75">
        <f>BG5/BG8</f>
        <v>0.37022105453886572</v>
      </c>
      <c r="BH17" s="75">
        <f>BH5/BH8</f>
        <v>0.35976202039825156</v>
      </c>
      <c r="BI17" s="75">
        <f>BI5/BI8</f>
        <v>0.36975766072501504</v>
      </c>
      <c r="BS17" s="75"/>
      <c r="BT17" s="75"/>
      <c r="BU17" s="75"/>
      <c r="BV17" s="75"/>
      <c r="BW17" s="75"/>
      <c r="BX17" s="75"/>
      <c r="BY17" s="75"/>
      <c r="BZ17" s="75"/>
      <c r="CA17" s="75"/>
      <c r="CB17" s="75">
        <f t="shared" ref="CB17:CF17" si="25">CB5/CB8</f>
        <v>0.28188482325899233</v>
      </c>
      <c r="CC17" s="75">
        <f t="shared" si="25"/>
        <v>0.30607985210364674</v>
      </c>
      <c r="CD17" s="75">
        <f t="shared" si="25"/>
        <v>0.26546720835751597</v>
      </c>
      <c r="CE17" s="75">
        <f t="shared" si="25"/>
        <v>0.34761822190294533</v>
      </c>
      <c r="CF17" s="75">
        <f t="shared" si="25"/>
        <v>0.37149983634865635</v>
      </c>
    </row>
    <row r="18" spans="2:146">
      <c r="B18" s="36" t="s">
        <v>176</v>
      </c>
      <c r="AM18" s="75">
        <f t="shared" ref="AM18:BF18" si="26">AM6/AM8</f>
        <v>0.49557406071733001</v>
      </c>
      <c r="AN18" s="75">
        <f t="shared" si="26"/>
        <v>0.49055415617128462</v>
      </c>
      <c r="AO18" s="75">
        <f t="shared" si="26"/>
        <v>0.47135015111330414</v>
      </c>
      <c r="AP18" s="75">
        <f t="shared" si="26"/>
        <v>0.45347336306031449</v>
      </c>
      <c r="AQ18" s="75">
        <f t="shared" si="26"/>
        <v>0.45170526851616188</v>
      </c>
      <c r="AR18" s="75">
        <f t="shared" si="26"/>
        <v>0.43692534019860241</v>
      </c>
      <c r="AS18" s="75">
        <f t="shared" si="26"/>
        <v>0.3721314376732936</v>
      </c>
      <c r="AT18" s="75">
        <f t="shared" si="26"/>
        <v>0.47753274747139779</v>
      </c>
      <c r="AU18" s="75">
        <f t="shared" si="26"/>
        <v>0.36551644010688972</v>
      </c>
      <c r="AV18" s="75">
        <f t="shared" si="26"/>
        <v>0.36582036582036581</v>
      </c>
      <c r="AW18" s="75">
        <f t="shared" si="26"/>
        <v>0.48068924539512775</v>
      </c>
      <c r="AX18" s="75">
        <f t="shared" si="26"/>
        <v>0.34556129874040248</v>
      </c>
      <c r="AY18" s="75">
        <f t="shared" si="26"/>
        <v>0.34493654493654491</v>
      </c>
      <c r="AZ18" s="75">
        <f t="shared" si="26"/>
        <v>0.33015567161908627</v>
      </c>
      <c r="BA18" s="75">
        <f t="shared" si="26"/>
        <v>0.31788540992583003</v>
      </c>
      <c r="BB18" s="75">
        <f t="shared" si="26"/>
        <v>0.33099014937797716</v>
      </c>
      <c r="BC18" s="75">
        <f t="shared" si="26"/>
        <v>0.31222298827932632</v>
      </c>
      <c r="BD18" s="75">
        <f t="shared" si="26"/>
        <v>0.32440572726008987</v>
      </c>
      <c r="BE18" s="75">
        <f t="shared" si="26"/>
        <v>0.31341756384019931</v>
      </c>
      <c r="BF18" s="75">
        <f t="shared" si="26"/>
        <v>0.31590890337486593</v>
      </c>
      <c r="BG18" s="75">
        <f>BG6/BG8</f>
        <v>0.31459503533248778</v>
      </c>
      <c r="BH18" s="75">
        <f>BH6/BH8</f>
        <v>0.33466893313906426</v>
      </c>
      <c r="BI18" s="75">
        <f>BI6/BI8</f>
        <v>0.32169036651311839</v>
      </c>
      <c r="BS18" s="75"/>
      <c r="BT18" s="75"/>
      <c r="BU18" s="75"/>
      <c r="BV18" s="75"/>
      <c r="BW18" s="75"/>
      <c r="BX18" s="75"/>
      <c r="BY18" s="75"/>
      <c r="BZ18" s="75"/>
      <c r="CA18" s="75"/>
      <c r="CB18" s="75">
        <f t="shared" ref="CB18:CF18" si="27">CB6/CB8</f>
        <v>0.47709200472137664</v>
      </c>
      <c r="CC18" s="75">
        <f t="shared" si="27"/>
        <v>0.43496734949458804</v>
      </c>
      <c r="CD18" s="75">
        <f t="shared" si="27"/>
        <v>0.38232733604178759</v>
      </c>
      <c r="CE18" s="75">
        <f t="shared" si="27"/>
        <v>0.33086031360697565</v>
      </c>
      <c r="CF18" s="75">
        <f t="shared" si="27"/>
        <v>0.31650169858808391</v>
      </c>
    </row>
    <row r="19" spans="2:146">
      <c r="BI19" s="1"/>
    </row>
    <row r="20" spans="2:146">
      <c r="B20" s="1" t="s">
        <v>177</v>
      </c>
      <c r="AM20" s="1">
        <v>9730</v>
      </c>
      <c r="AN20" s="1">
        <v>9871</v>
      </c>
      <c r="AO20" s="1">
        <v>10096</v>
      </c>
      <c r="AP20" s="1">
        <f>40011-SUM(AM20:AO20)</f>
        <v>10314</v>
      </c>
      <c r="AQ20" s="1">
        <v>9730</v>
      </c>
      <c r="AR20" s="1">
        <v>10185</v>
      </c>
      <c r="AS20" s="1">
        <v>10422</v>
      </c>
      <c r="AT20" s="1">
        <f>41190-SUM(AQ20:AS20)</f>
        <v>10853</v>
      </c>
      <c r="AU20" s="1">
        <v>10548</v>
      </c>
      <c r="AV20" s="1">
        <v>11227</v>
      </c>
      <c r="AW20" s="1">
        <v>11155</v>
      </c>
      <c r="AX20" s="1">
        <f>44881-SUM(AU20:AW20)</f>
        <v>11951</v>
      </c>
      <c r="AY20" s="1">
        <v>11361</v>
      </c>
      <c r="AZ20" s="1">
        <v>11625</v>
      </c>
      <c r="BA20" s="1">
        <v>11411</v>
      </c>
      <c r="BB20" s="1">
        <f>46087-SUM(AY20:BA20)</f>
        <v>11690</v>
      </c>
      <c r="BC20" s="1">
        <v>11266</v>
      </c>
      <c r="BD20" s="1">
        <v>11737</v>
      </c>
      <c r="BE20" s="1">
        <v>11734</v>
      </c>
      <c r="BF20" s="1">
        <f>47291-SUM(BC20:BE20)</f>
        <v>12554</v>
      </c>
      <c r="BG20" s="1">
        <v>11913</v>
      </c>
      <c r="BH20" s="1">
        <v>13093</v>
      </c>
      <c r="BI20" s="1">
        <v>13241</v>
      </c>
      <c r="CB20" s="1">
        <f t="shared" ref="CB20:CB25" si="28">SUM(AM20:AP20)</f>
        <v>40011</v>
      </c>
      <c r="CC20" s="1">
        <f t="shared" ref="CC20:CC25" si="29">SUM(AQ20:AT20)</f>
        <v>41190</v>
      </c>
      <c r="CD20" s="1">
        <f t="shared" ref="CD20:CD25" si="30">SUM(AU20:AX20)</f>
        <v>44881</v>
      </c>
      <c r="CE20" s="1">
        <f t="shared" ref="CE20:CE25" si="31">SUM(AY20:BB20)</f>
        <v>46087</v>
      </c>
      <c r="CF20" s="1">
        <f t="shared" ref="CF20:CF25" si="32">SUM(BC20:BF20)</f>
        <v>47291</v>
      </c>
    </row>
    <row r="21" spans="2:146">
      <c r="B21" s="1" t="s">
        <v>178</v>
      </c>
      <c r="AM21" s="1">
        <v>2147</v>
      </c>
      <c r="AN21" s="1">
        <v>2316</v>
      </c>
      <c r="AO21" s="1">
        <v>2408</v>
      </c>
      <c r="AP21" s="1">
        <f>9598-SUM(AM21:AO21)</f>
        <v>2727</v>
      </c>
      <c r="AQ21" s="1">
        <v>2572</v>
      </c>
      <c r="AR21" s="1">
        <v>2678</v>
      </c>
      <c r="AS21" s="1">
        <v>2663</v>
      </c>
      <c r="AT21" s="1">
        <f>11111-SUM(AQ21:AS21)</f>
        <v>3198</v>
      </c>
      <c r="AU21" s="1">
        <v>2990</v>
      </c>
      <c r="AV21" s="1">
        <v>3286</v>
      </c>
      <c r="AW21" s="1">
        <v>3514</v>
      </c>
      <c r="AX21" s="1">
        <f>13501-SUM(AU21:AW21)</f>
        <v>3711</v>
      </c>
      <c r="AY21" s="1">
        <v>3833</v>
      </c>
      <c r="AZ21" s="1">
        <v>3589</v>
      </c>
      <c r="BA21" s="1">
        <v>4120</v>
      </c>
      <c r="BB21" s="1">
        <f>15975-SUM(AY21:BA21)</f>
        <v>4433</v>
      </c>
      <c r="BC21" s="1">
        <v>4413</v>
      </c>
      <c r="BD21" s="1">
        <v>4205</v>
      </c>
      <c r="BE21" s="1">
        <v>5225</v>
      </c>
      <c r="BF21" s="1">
        <f>18799-SUM(BC21:BE21)</f>
        <v>4956</v>
      </c>
      <c r="BG21" s="1">
        <v>4882</v>
      </c>
      <c r="BH21" s="1">
        <v>5350</v>
      </c>
      <c r="BI21" s="1">
        <v>5670</v>
      </c>
      <c r="CB21" s="1">
        <f t="shared" si="28"/>
        <v>9598</v>
      </c>
      <c r="CC21" s="1">
        <f t="shared" si="29"/>
        <v>11111</v>
      </c>
      <c r="CD21" s="1">
        <f t="shared" si="30"/>
        <v>13501</v>
      </c>
      <c r="CE21" s="1">
        <f t="shared" si="31"/>
        <v>15975</v>
      </c>
      <c r="CF21" s="1">
        <f t="shared" si="32"/>
        <v>18799</v>
      </c>
    </row>
    <row r="22" spans="2:146">
      <c r="B22" s="1" t="s">
        <v>179</v>
      </c>
      <c r="AM22" s="1">
        <v>1772</v>
      </c>
      <c r="AN22" s="1">
        <v>2002</v>
      </c>
      <c r="AO22" s="1">
        <v>2006</v>
      </c>
      <c r="AP22" s="1">
        <f>7969-SUM(AM22:AO22)</f>
        <v>2189</v>
      </c>
      <c r="AQ22" s="1">
        <v>1857</v>
      </c>
      <c r="AR22" s="1">
        <v>1808</v>
      </c>
      <c r="AS22" s="1">
        <v>2160</v>
      </c>
      <c r="AT22" s="1">
        <f>8057-SUM(AQ22:AS22)</f>
        <v>2232</v>
      </c>
      <c r="AU22" s="1">
        <v>2050</v>
      </c>
      <c r="AV22" s="1">
        <v>2109</v>
      </c>
      <c r="AW22" s="1">
        <v>2414</v>
      </c>
      <c r="AX22" s="1">
        <f>9049-SUM(AU22:AW22)</f>
        <v>2476</v>
      </c>
      <c r="AY22" s="1">
        <v>2427</v>
      </c>
      <c r="AZ22" s="1">
        <v>2661</v>
      </c>
      <c r="BA22" s="1">
        <v>2789</v>
      </c>
      <c r="BB22" s="1">
        <f>10893-SUM(AY22:BA22)</f>
        <v>3016</v>
      </c>
      <c r="BC22" s="1">
        <v>2592</v>
      </c>
      <c r="BD22" s="1">
        <v>3410</v>
      </c>
      <c r="BE22" s="1">
        <v>3567</v>
      </c>
      <c r="BF22" s="1">
        <f>13782-SUM(BC22:BE22)</f>
        <v>4213</v>
      </c>
      <c r="BG22" s="1">
        <v>2804</v>
      </c>
      <c r="BH22" s="1">
        <v>3656</v>
      </c>
      <c r="BI22" s="1">
        <v>3521</v>
      </c>
      <c r="CB22" s="1">
        <f t="shared" si="28"/>
        <v>7969</v>
      </c>
      <c r="CC22" s="1">
        <f t="shared" si="29"/>
        <v>8057</v>
      </c>
      <c r="CD22" s="1">
        <f t="shared" si="30"/>
        <v>9049</v>
      </c>
      <c r="CE22" s="1">
        <f t="shared" si="31"/>
        <v>10893</v>
      </c>
      <c r="CF22" s="1">
        <f t="shared" si="32"/>
        <v>13782</v>
      </c>
    </row>
    <row r="23" spans="2:146">
      <c r="B23" s="1" t="s">
        <v>180</v>
      </c>
      <c r="AM23" s="1">
        <v>992</v>
      </c>
      <c r="AN23" s="1">
        <v>1167</v>
      </c>
      <c r="AO23" s="1">
        <v>1140</v>
      </c>
      <c r="AP23" s="1">
        <f>4379-SUM(AM23:AO23)</f>
        <v>1080</v>
      </c>
      <c r="AQ23" s="1">
        <v>829</v>
      </c>
      <c r="AR23" s="1">
        <v>869</v>
      </c>
      <c r="AS23" s="1">
        <v>978</v>
      </c>
      <c r="AT23" s="1">
        <f>3599-SUM(AQ23:AS23)</f>
        <v>923</v>
      </c>
      <c r="AU23" s="1">
        <v>763</v>
      </c>
      <c r="AV23" s="1">
        <v>851</v>
      </c>
      <c r="AW23" s="1">
        <v>824</v>
      </c>
      <c r="AX23" s="1">
        <f>3237-SUM(AU23:AW23)</f>
        <v>799</v>
      </c>
      <c r="AY23" s="1">
        <v>849</v>
      </c>
      <c r="AZ23" s="1">
        <v>791</v>
      </c>
      <c r="BA23" s="1">
        <v>628</v>
      </c>
      <c r="BB23" s="1">
        <f>3458-SUM(AY23:BA23)</f>
        <v>1190</v>
      </c>
      <c r="BC23" s="1">
        <v>848</v>
      </c>
      <c r="BD23" s="1">
        <v>904</v>
      </c>
      <c r="BE23" s="1">
        <v>732</v>
      </c>
      <c r="BF23" s="1">
        <f>3621-SUM(BC23:BE23)</f>
        <v>1137</v>
      </c>
      <c r="BG23" s="1">
        <v>930</v>
      </c>
      <c r="BH23" s="1">
        <v>1042</v>
      </c>
      <c r="BI23" s="1">
        <v>975</v>
      </c>
      <c r="CB23" s="1">
        <f t="shared" si="28"/>
        <v>4379</v>
      </c>
      <c r="CC23" s="1">
        <f t="shared" si="29"/>
        <v>3599</v>
      </c>
      <c r="CD23" s="1">
        <f t="shared" si="30"/>
        <v>3237</v>
      </c>
      <c r="CE23" s="1">
        <f t="shared" si="31"/>
        <v>3458</v>
      </c>
      <c r="CF23" s="1">
        <f t="shared" si="32"/>
        <v>3621</v>
      </c>
    </row>
    <row r="24" spans="2:146">
      <c r="B24" s="1" t="s">
        <v>181</v>
      </c>
      <c r="AM24" s="1">
        <v>610</v>
      </c>
      <c r="AN24" s="1">
        <v>524</v>
      </c>
      <c r="AO24" s="1">
        <v>563</v>
      </c>
      <c r="AP24" s="1">
        <f>2431-SUM(AM24:AO24)</f>
        <v>734</v>
      </c>
      <c r="AQ24" s="1">
        <v>728</v>
      </c>
      <c r="AR24" s="1">
        <v>774</v>
      </c>
      <c r="AS24" s="1">
        <v>728</v>
      </c>
      <c r="AT24" s="1">
        <f>3117-SUM(AQ24:AS24)</f>
        <v>887</v>
      </c>
      <c r="AU24" s="1">
        <v>863</v>
      </c>
      <c r="AV24" s="1">
        <v>842</v>
      </c>
      <c r="AW24" s="1">
        <v>958</v>
      </c>
      <c r="AX24" s="1">
        <f>3653-SUM(AU24:AW24)</f>
        <v>990</v>
      </c>
      <c r="AY24" s="1">
        <v>835</v>
      </c>
      <c r="AZ24" s="1">
        <v>1055</v>
      </c>
      <c r="BA24" s="1">
        <v>1141</v>
      </c>
      <c r="BB24" s="1">
        <f>4325-SUM(AY24:BA24)</f>
        <v>1294</v>
      </c>
      <c r="BC24" s="1">
        <v>1187</v>
      </c>
      <c r="BD24" s="1">
        <v>1325</v>
      </c>
      <c r="BE24" s="1">
        <v>1220</v>
      </c>
      <c r="BF24" s="1">
        <f>5110-SUM(BC24:BE24)</f>
        <v>1378</v>
      </c>
      <c r="BG24" s="1">
        <v>1547</v>
      </c>
      <c r="BH24" s="1">
        <v>1567</v>
      </c>
      <c r="BI24" s="1">
        <v>1558</v>
      </c>
      <c r="CB24" s="1">
        <f t="shared" si="28"/>
        <v>2431</v>
      </c>
      <c r="CC24" s="1">
        <f t="shared" si="29"/>
        <v>3117</v>
      </c>
      <c r="CD24" s="1">
        <f t="shared" si="30"/>
        <v>3653</v>
      </c>
      <c r="CE24" s="1">
        <f t="shared" si="31"/>
        <v>4325</v>
      </c>
      <c r="CF24" s="1">
        <f t="shared" si="32"/>
        <v>5110</v>
      </c>
    </row>
    <row r="25" spans="2:146" s="2" customFormat="1" ht="15">
      <c r="B25" s="2" t="s">
        <v>52</v>
      </c>
      <c r="AM25" s="2">
        <f>SUM(AM20:AM24)</f>
        <v>15251</v>
      </c>
      <c r="AN25" s="2">
        <f t="shared" ref="AN25:AV25" si="33">SUM(AN20:AN24)</f>
        <v>15880</v>
      </c>
      <c r="AO25" s="2">
        <f t="shared" si="33"/>
        <v>16213</v>
      </c>
      <c r="AP25" s="2">
        <f t="shared" si="33"/>
        <v>17044</v>
      </c>
      <c r="AQ25" s="2">
        <f t="shared" si="33"/>
        <v>15716</v>
      </c>
      <c r="AR25" s="2">
        <f t="shared" si="33"/>
        <v>16314</v>
      </c>
      <c r="AS25" s="2">
        <f t="shared" si="33"/>
        <v>16951</v>
      </c>
      <c r="AT25" s="2">
        <f t="shared" si="33"/>
        <v>18093</v>
      </c>
      <c r="AU25" s="2">
        <f t="shared" si="33"/>
        <v>17214</v>
      </c>
      <c r="AV25" s="2">
        <f t="shared" si="33"/>
        <v>18315</v>
      </c>
      <c r="AW25" s="2">
        <f>SUM(AW19:AW24)-5401</f>
        <v>13464</v>
      </c>
      <c r="AX25" s="2">
        <f t="shared" ref="AX25:BH25" si="34">SUM(AX20:AX24)</f>
        <v>19927</v>
      </c>
      <c r="AY25" s="2">
        <f t="shared" si="34"/>
        <v>19305</v>
      </c>
      <c r="AZ25" s="2">
        <f t="shared" si="34"/>
        <v>19721</v>
      </c>
      <c r="BA25" s="2">
        <f t="shared" si="34"/>
        <v>20089</v>
      </c>
      <c r="BB25" s="2">
        <f t="shared" si="34"/>
        <v>21623</v>
      </c>
      <c r="BC25" s="2">
        <f t="shared" si="34"/>
        <v>20306</v>
      </c>
      <c r="BD25" s="2">
        <f t="shared" si="34"/>
        <v>21581</v>
      </c>
      <c r="BE25" s="2">
        <f t="shared" si="34"/>
        <v>22478</v>
      </c>
      <c r="BF25" s="2">
        <f t="shared" si="34"/>
        <v>24238</v>
      </c>
      <c r="BG25" s="2">
        <f t="shared" si="34"/>
        <v>22076</v>
      </c>
      <c r="BH25" s="2">
        <f t="shared" si="34"/>
        <v>24708</v>
      </c>
      <c r="BI25" s="2">
        <f t="shared" ref="BI25" si="35">SUM(BI20:BI24)</f>
        <v>24965</v>
      </c>
      <c r="BJ25" s="34"/>
      <c r="CB25" s="2">
        <f t="shared" si="28"/>
        <v>64388</v>
      </c>
      <c r="CC25" s="2">
        <f t="shared" si="29"/>
        <v>67074</v>
      </c>
      <c r="CD25" s="2">
        <f t="shared" si="30"/>
        <v>68920</v>
      </c>
      <c r="CE25" s="2">
        <f t="shared" si="31"/>
        <v>80738</v>
      </c>
      <c r="CF25" s="2">
        <f t="shared" si="32"/>
        <v>88603</v>
      </c>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row>
    <row r="26" spans="2:146">
      <c r="BI26" s="1"/>
    </row>
    <row r="27" spans="2:146">
      <c r="B27" s="1" t="s">
        <v>186</v>
      </c>
      <c r="AM27" s="75"/>
      <c r="AN27" s="75"/>
      <c r="AO27" s="75"/>
      <c r="AP27" s="75"/>
      <c r="AQ27" s="75">
        <f t="shared" ref="AQ27:BF27" si="36">AQ20/AM20-1</f>
        <v>0</v>
      </c>
      <c r="AR27" s="75">
        <f t="shared" si="36"/>
        <v>3.1810353560935978E-2</v>
      </c>
      <c r="AS27" s="75">
        <f t="shared" si="36"/>
        <v>3.2290015847860509E-2</v>
      </c>
      <c r="AT27" s="75">
        <f t="shared" si="36"/>
        <v>5.2259065348070566E-2</v>
      </c>
      <c r="AU27" s="75">
        <f t="shared" si="36"/>
        <v>8.4069886947584882E-2</v>
      </c>
      <c r="AV27" s="75">
        <f t="shared" si="36"/>
        <v>0.10230731467844878</v>
      </c>
      <c r="AW27" s="75">
        <f t="shared" si="36"/>
        <v>7.0331990021109236E-2</v>
      </c>
      <c r="AX27" s="75">
        <f t="shared" si="36"/>
        <v>0.10117018335943984</v>
      </c>
      <c r="AY27" s="75">
        <f t="shared" si="36"/>
        <v>7.7076222980659859E-2</v>
      </c>
      <c r="AZ27" s="75">
        <f t="shared" si="36"/>
        <v>3.5450253852320257E-2</v>
      </c>
      <c r="BA27" s="75">
        <f t="shared" si="36"/>
        <v>2.294935006723442E-2</v>
      </c>
      <c r="BB27" s="75">
        <f t="shared" si="36"/>
        <v>-2.1839176637938218E-2</v>
      </c>
      <c r="BC27" s="75">
        <f t="shared" si="36"/>
        <v>-8.3619399700730623E-3</v>
      </c>
      <c r="BD27" s="75">
        <f t="shared" si="36"/>
        <v>9.6344086021504793E-3</v>
      </c>
      <c r="BE27" s="75">
        <f t="shared" si="36"/>
        <v>2.8306020506528862E-2</v>
      </c>
      <c r="BF27" s="75">
        <f t="shared" si="36"/>
        <v>7.3909324208725424E-2</v>
      </c>
      <c r="BG27" s="75">
        <f t="shared" ref="BG27:BI30" si="37">BG20/BC20-1</f>
        <v>5.7429433694301535E-2</v>
      </c>
      <c r="BH27" s="75">
        <f t="shared" si="37"/>
        <v>0.11553207804379317</v>
      </c>
      <c r="BI27" s="75">
        <f t="shared" si="37"/>
        <v>0.12843020282938467</v>
      </c>
      <c r="CB27" s="75"/>
      <c r="CC27" s="75">
        <f t="shared" ref="CC27:CE32" si="38">CC20/CB20-1</f>
        <v>2.9466896603434156E-2</v>
      </c>
      <c r="CD27" s="75">
        <f t="shared" si="38"/>
        <v>8.9609128429230411E-2</v>
      </c>
      <c r="CE27" s="75">
        <f t="shared" si="38"/>
        <v>2.6871059022749E-2</v>
      </c>
      <c r="CF27" s="75">
        <f>CF20/CE20-1</f>
        <v>2.6124503656128617E-2</v>
      </c>
    </row>
    <row r="28" spans="2:146">
      <c r="B28" s="1" t="s">
        <v>187</v>
      </c>
      <c r="AM28" s="75"/>
      <c r="AN28" s="75"/>
      <c r="AO28" s="75"/>
      <c r="AP28" s="75"/>
      <c r="AQ28" s="75">
        <f t="shared" ref="AQ28:BF28" si="39">AQ21/AM21-1</f>
        <v>0.19795062878435021</v>
      </c>
      <c r="AR28" s="75">
        <f t="shared" si="39"/>
        <v>0.15630397236614857</v>
      </c>
      <c r="AS28" s="75">
        <f t="shared" si="39"/>
        <v>0.10589700996677731</v>
      </c>
      <c r="AT28" s="75">
        <f t="shared" si="39"/>
        <v>0.17271727172717277</v>
      </c>
      <c r="AU28" s="75">
        <f t="shared" si="39"/>
        <v>0.16251944012441677</v>
      </c>
      <c r="AV28" s="75">
        <f t="shared" si="39"/>
        <v>0.22703510082150857</v>
      </c>
      <c r="AW28" s="75">
        <f t="shared" si="39"/>
        <v>0.31956440105144579</v>
      </c>
      <c r="AX28" s="75">
        <f t="shared" si="39"/>
        <v>0.16041275797373356</v>
      </c>
      <c r="AY28" s="75">
        <f t="shared" si="39"/>
        <v>0.28193979933110369</v>
      </c>
      <c r="AZ28" s="75">
        <f t="shared" si="39"/>
        <v>9.2209373097991376E-2</v>
      </c>
      <c r="BA28" s="75">
        <f t="shared" si="39"/>
        <v>0.17245304496300506</v>
      </c>
      <c r="BB28" s="75">
        <f t="shared" si="39"/>
        <v>0.19455672325518725</v>
      </c>
      <c r="BC28" s="75">
        <f t="shared" si="39"/>
        <v>0.15131750587007575</v>
      </c>
      <c r="BD28" s="75">
        <f t="shared" si="39"/>
        <v>0.17163555307885203</v>
      </c>
      <c r="BE28" s="75">
        <f t="shared" si="39"/>
        <v>0.26820388349514568</v>
      </c>
      <c r="BF28" s="75">
        <f t="shared" si="39"/>
        <v>0.11797879539815015</v>
      </c>
      <c r="BG28" s="75">
        <f t="shared" si="37"/>
        <v>0.10627690913210963</v>
      </c>
      <c r="BH28" s="75">
        <f t="shared" si="37"/>
        <v>0.27229488703923899</v>
      </c>
      <c r="BI28" s="75">
        <f t="shared" si="37"/>
        <v>8.5167464114832558E-2</v>
      </c>
      <c r="CB28" s="75"/>
      <c r="CC28" s="75">
        <f t="shared" si="38"/>
        <v>0.1576370077099396</v>
      </c>
      <c r="CD28" s="75">
        <f t="shared" si="38"/>
        <v>0.21510215102151031</v>
      </c>
      <c r="CE28" s="75">
        <f t="shared" si="38"/>
        <v>0.18324568550477749</v>
      </c>
      <c r="CF28" s="75">
        <f t="shared" ref="CF28:CF32" si="40">CF21/CE21-1</f>
        <v>0.17677621283255096</v>
      </c>
    </row>
    <row r="29" spans="2:146">
      <c r="B29" s="1" t="s">
        <v>188</v>
      </c>
      <c r="AM29" s="75"/>
      <c r="AN29" s="75"/>
      <c r="AO29" s="75"/>
      <c r="AP29" s="75"/>
      <c r="AQ29" s="75">
        <f t="shared" ref="AQ29:BF29" si="41">AQ22/AM22-1</f>
        <v>4.7968397291196396E-2</v>
      </c>
      <c r="AR29" s="75">
        <f t="shared" si="41"/>
        <v>-9.6903096903096952E-2</v>
      </c>
      <c r="AS29" s="75">
        <f t="shared" si="41"/>
        <v>7.6769690927218415E-2</v>
      </c>
      <c r="AT29" s="75">
        <f t="shared" si="41"/>
        <v>1.9643672910004462E-2</v>
      </c>
      <c r="AU29" s="75">
        <f t="shared" si="41"/>
        <v>0.10393107162089388</v>
      </c>
      <c r="AV29" s="75">
        <f t="shared" si="41"/>
        <v>0.16648230088495586</v>
      </c>
      <c r="AW29" s="75">
        <f t="shared" si="41"/>
        <v>0.11759259259259269</v>
      </c>
      <c r="AX29" s="75">
        <f t="shared" si="41"/>
        <v>0.10931899641577059</v>
      </c>
      <c r="AY29" s="75">
        <f t="shared" si="41"/>
        <v>0.18390243902439019</v>
      </c>
      <c r="AZ29" s="75">
        <f t="shared" si="41"/>
        <v>0.26173541963015645</v>
      </c>
      <c r="BA29" s="75">
        <f t="shared" si="41"/>
        <v>0.1553438276719139</v>
      </c>
      <c r="BB29" s="75">
        <f t="shared" si="41"/>
        <v>0.21809369951534729</v>
      </c>
      <c r="BC29" s="75">
        <f t="shared" si="41"/>
        <v>6.7985166872682301E-2</v>
      </c>
      <c r="BD29" s="75">
        <f t="shared" si="41"/>
        <v>0.28147313040210453</v>
      </c>
      <c r="BE29" s="75">
        <f t="shared" si="41"/>
        <v>0.27895302975977043</v>
      </c>
      <c r="BF29" s="75">
        <f t="shared" si="41"/>
        <v>0.39688328912466853</v>
      </c>
      <c r="BG29" s="75">
        <f t="shared" si="37"/>
        <v>8.1790123456790154E-2</v>
      </c>
      <c r="BH29" s="75">
        <f t="shared" si="37"/>
        <v>7.2140762463343E-2</v>
      </c>
      <c r="BI29" s="75">
        <f t="shared" si="37"/>
        <v>-1.2895991028875842E-2</v>
      </c>
      <c r="CB29" s="75"/>
      <c r="CC29" s="75">
        <f t="shared" si="38"/>
        <v>1.1042790814405734E-2</v>
      </c>
      <c r="CD29" s="75">
        <f t="shared" si="38"/>
        <v>0.12312275040337584</v>
      </c>
      <c r="CE29" s="75">
        <f t="shared" si="38"/>
        <v>0.20377942314067843</v>
      </c>
      <c r="CF29" s="75">
        <f t="shared" si="40"/>
        <v>0.26521619388598183</v>
      </c>
    </row>
    <row r="30" spans="2:146">
      <c r="B30" s="1" t="s">
        <v>189</v>
      </c>
      <c r="AM30" s="75"/>
      <c r="AN30" s="75"/>
      <c r="AO30" s="75"/>
      <c r="AP30" s="75"/>
      <c r="AQ30" s="75">
        <f t="shared" ref="AQ30:BF32" si="42">AQ23/AM23-1</f>
        <v>-0.16431451612903225</v>
      </c>
      <c r="AR30" s="75">
        <f t="shared" si="42"/>
        <v>-0.25535561268209084</v>
      </c>
      <c r="AS30" s="75">
        <f t="shared" si="42"/>
        <v>-0.14210526315789473</v>
      </c>
      <c r="AT30" s="75">
        <f t="shared" si="42"/>
        <v>-0.14537037037037037</v>
      </c>
      <c r="AU30" s="75">
        <f t="shared" si="42"/>
        <v>-7.961399276236425E-2</v>
      </c>
      <c r="AV30" s="75">
        <f t="shared" si="42"/>
        <v>-2.0713463751438455E-2</v>
      </c>
      <c r="AW30" s="75">
        <f t="shared" si="42"/>
        <v>-0.15746421267893662</v>
      </c>
      <c r="AX30" s="75">
        <f t="shared" si="42"/>
        <v>-0.13434452871072589</v>
      </c>
      <c r="AY30" s="75">
        <f t="shared" si="42"/>
        <v>0.11271297509829625</v>
      </c>
      <c r="AZ30" s="75">
        <f t="shared" si="42"/>
        <v>-7.0505287896592272E-2</v>
      </c>
      <c r="BA30" s="75">
        <f t="shared" si="42"/>
        <v>-0.23786407766990292</v>
      </c>
      <c r="BB30" s="75">
        <f t="shared" si="42"/>
        <v>0.4893617021276595</v>
      </c>
      <c r="BC30" s="75">
        <f t="shared" si="42"/>
        <v>-1.1778563015312216E-3</v>
      </c>
      <c r="BD30" s="75">
        <f t="shared" si="42"/>
        <v>0.14285714285714279</v>
      </c>
      <c r="BE30" s="75">
        <f t="shared" si="42"/>
        <v>0.16560509554140124</v>
      </c>
      <c r="BF30" s="75">
        <f t="shared" si="42"/>
        <v>-4.4537815126050373E-2</v>
      </c>
      <c r="BG30" s="75">
        <f t="shared" si="37"/>
        <v>9.6698113207547065E-2</v>
      </c>
      <c r="BH30" s="75">
        <f t="shared" si="37"/>
        <v>0.15265486725663724</v>
      </c>
      <c r="BI30" s="75">
        <f t="shared" si="37"/>
        <v>0.33196721311475419</v>
      </c>
      <c r="CB30" s="75"/>
      <c r="CC30" s="75">
        <f t="shared" si="38"/>
        <v>-0.17812285910025116</v>
      </c>
      <c r="CD30" s="75">
        <f t="shared" si="38"/>
        <v>-0.10058349541539313</v>
      </c>
      <c r="CE30" s="75">
        <f t="shared" si="38"/>
        <v>6.8273092369477872E-2</v>
      </c>
      <c r="CF30" s="75">
        <f t="shared" si="40"/>
        <v>4.7137073452862888E-2</v>
      </c>
    </row>
    <row r="31" spans="2:146">
      <c r="B31" s="1" t="s">
        <v>190</v>
      </c>
      <c r="AM31" s="75"/>
      <c r="AN31" s="75"/>
      <c r="AO31" s="75"/>
      <c r="AP31" s="75"/>
      <c r="AQ31" s="75">
        <f t="shared" si="42"/>
        <v>0.19344262295081971</v>
      </c>
      <c r="AR31" s="75">
        <f t="shared" si="42"/>
        <v>0.47709923664122145</v>
      </c>
      <c r="AS31" s="75">
        <f t="shared" si="42"/>
        <v>0.29307282415630542</v>
      </c>
      <c r="AT31" s="75">
        <f t="shared" si="42"/>
        <v>0.20844686648501365</v>
      </c>
      <c r="AU31" s="75">
        <f t="shared" si="42"/>
        <v>0.18543956043956045</v>
      </c>
      <c r="AV31" s="75">
        <f t="shared" si="42"/>
        <v>8.7855297157622747E-2</v>
      </c>
      <c r="AW31" s="75">
        <f t="shared" si="42"/>
        <v>0.31593406593406592</v>
      </c>
      <c r="AX31" s="75">
        <f t="shared" si="42"/>
        <v>0.11612175873731689</v>
      </c>
      <c r="AY31" s="75">
        <f t="shared" si="42"/>
        <v>-3.2444959443800658E-2</v>
      </c>
      <c r="AZ31" s="75">
        <f t="shared" si="42"/>
        <v>0.25296912114014258</v>
      </c>
      <c r="BA31" s="75">
        <f t="shared" si="42"/>
        <v>0.1910229645093946</v>
      </c>
      <c r="BB31" s="75">
        <f t="shared" si="42"/>
        <v>0.30707070707070705</v>
      </c>
      <c r="BC31" s="75">
        <f t="shared" si="42"/>
        <v>0.42155688622754495</v>
      </c>
      <c r="BD31" s="75">
        <f t="shared" si="42"/>
        <v>0.25592417061611372</v>
      </c>
      <c r="BE31" s="75">
        <f t="shared" si="42"/>
        <v>6.9237510955302284E-2</v>
      </c>
      <c r="BF31" s="75">
        <f t="shared" si="42"/>
        <v>6.4914992272024685E-2</v>
      </c>
      <c r="BG31" s="75">
        <f t="shared" ref="BG31:BI32" si="43">BG24/BC24-1</f>
        <v>0.30328559393428822</v>
      </c>
      <c r="BH31" s="75">
        <f t="shared" si="43"/>
        <v>0.18264150943396218</v>
      </c>
      <c r="BI31" s="75">
        <f t="shared" si="43"/>
        <v>0.27704918032786896</v>
      </c>
      <c r="CB31" s="75"/>
      <c r="CC31" s="75">
        <f t="shared" si="38"/>
        <v>0.28218839983545863</v>
      </c>
      <c r="CD31" s="75">
        <f t="shared" si="38"/>
        <v>0.17196021815848583</v>
      </c>
      <c r="CE31" s="75">
        <f t="shared" si="38"/>
        <v>0.18395839036408423</v>
      </c>
      <c r="CF31" s="75">
        <f t="shared" si="40"/>
        <v>0.18150289017341037</v>
      </c>
    </row>
    <row r="32" spans="2:146">
      <c r="B32" s="1" t="s">
        <v>191</v>
      </c>
      <c r="AM32" s="75"/>
      <c r="AN32" s="75"/>
      <c r="AO32" s="75"/>
      <c r="AP32" s="75"/>
      <c r="AQ32" s="75">
        <f t="shared" si="42"/>
        <v>3.0489803947282068E-2</v>
      </c>
      <c r="AR32" s="75">
        <f t="shared" si="42"/>
        <v>2.7329974811083124E-2</v>
      </c>
      <c r="AS32" s="75">
        <f t="shared" si="42"/>
        <v>4.5519027940541523E-2</v>
      </c>
      <c r="AT32" s="75">
        <f t="shared" si="42"/>
        <v>6.1546585308613011E-2</v>
      </c>
      <c r="AU32" s="75">
        <f t="shared" si="42"/>
        <v>9.531687452277926E-2</v>
      </c>
      <c r="AV32" s="75">
        <f t="shared" si="42"/>
        <v>0.12265538801029785</v>
      </c>
      <c r="AW32" s="75">
        <f t="shared" si="42"/>
        <v>-0.20571057754704736</v>
      </c>
      <c r="AX32" s="75">
        <f t="shared" si="42"/>
        <v>0.10136516884983138</v>
      </c>
      <c r="AY32" s="75">
        <f t="shared" si="42"/>
        <v>0.12147089578250259</v>
      </c>
      <c r="AZ32" s="75">
        <f t="shared" si="42"/>
        <v>7.6767676767676818E-2</v>
      </c>
      <c r="BA32" s="75">
        <f t="shared" si="42"/>
        <v>0.49205288175876416</v>
      </c>
      <c r="BB32" s="75">
        <f t="shared" si="42"/>
        <v>8.5110653886686372E-2</v>
      </c>
      <c r="BC32" s="75">
        <f t="shared" si="42"/>
        <v>5.1851851851851816E-2</v>
      </c>
      <c r="BD32" s="75">
        <f t="shared" si="42"/>
        <v>9.4315704071801676E-2</v>
      </c>
      <c r="BE32" s="75">
        <f t="shared" si="42"/>
        <v>0.11892080242919012</v>
      </c>
      <c r="BF32" s="75">
        <f t="shared" si="42"/>
        <v>0.12093604032742911</v>
      </c>
      <c r="BG32" s="75">
        <f t="shared" si="43"/>
        <v>8.716635477198853E-2</v>
      </c>
      <c r="BH32" s="75">
        <f t="shared" si="43"/>
        <v>0.14489597330985582</v>
      </c>
      <c r="BI32" s="75">
        <f t="shared" si="43"/>
        <v>0.11064151614912365</v>
      </c>
      <c r="CB32" s="75"/>
      <c r="CC32" s="75">
        <f t="shared" si="38"/>
        <v>4.1715847673479578E-2</v>
      </c>
      <c r="CD32" s="75">
        <f t="shared" si="38"/>
        <v>2.7521841548140857E-2</v>
      </c>
      <c r="CE32" s="75">
        <f t="shared" si="38"/>
        <v>0.17147417295414979</v>
      </c>
      <c r="CF32" s="75">
        <f t="shared" si="40"/>
        <v>9.7413857167628626E-2</v>
      </c>
    </row>
    <row r="33" spans="2:146">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CB33" s="75"/>
      <c r="CC33" s="75"/>
      <c r="CD33" s="75"/>
      <c r="CE33" s="75"/>
      <c r="CF33" s="75"/>
    </row>
    <row r="34" spans="2:146">
      <c r="B34" s="1" t="s">
        <v>53</v>
      </c>
      <c r="AM34" s="75">
        <f t="shared" ref="AM34:BF34" si="44">AM20/AM25</f>
        <v>0.63799095141302209</v>
      </c>
      <c r="AN34" s="75">
        <f t="shared" si="44"/>
        <v>0.62159949622166244</v>
      </c>
      <c r="AO34" s="75">
        <f t="shared" si="44"/>
        <v>0.62271017085055203</v>
      </c>
      <c r="AP34" s="75">
        <f t="shared" si="44"/>
        <v>0.60513963858249242</v>
      </c>
      <c r="AQ34" s="75">
        <f t="shared" si="44"/>
        <v>0.61911427844235178</v>
      </c>
      <c r="AR34" s="75">
        <f t="shared" si="44"/>
        <v>0.62431040823832296</v>
      </c>
      <c r="AS34" s="75">
        <f t="shared" si="44"/>
        <v>0.61483098342280695</v>
      </c>
      <c r="AT34" s="75">
        <f t="shared" si="44"/>
        <v>0.5998452440170231</v>
      </c>
      <c r="AU34" s="75">
        <f t="shared" si="44"/>
        <v>0.61275705820843496</v>
      </c>
      <c r="AV34" s="75">
        <f t="shared" si="44"/>
        <v>0.61299481299481295</v>
      </c>
      <c r="AW34" s="75">
        <f t="shared" si="44"/>
        <v>0.82850564468211529</v>
      </c>
      <c r="AX34" s="75">
        <f t="shared" si="44"/>
        <v>0.59973904752346063</v>
      </c>
      <c r="AY34" s="75">
        <f t="shared" si="44"/>
        <v>0.58850038850038855</v>
      </c>
      <c r="AZ34" s="75">
        <f t="shared" si="44"/>
        <v>0.58947315044876025</v>
      </c>
      <c r="BA34" s="75">
        <f t="shared" si="44"/>
        <v>0.56802230076161087</v>
      </c>
      <c r="BB34" s="75">
        <f t="shared" si="44"/>
        <v>0.54062803496277112</v>
      </c>
      <c r="BC34" s="75">
        <f t="shared" si="44"/>
        <v>0.55481138579730127</v>
      </c>
      <c r="BD34" s="75">
        <f t="shared" si="44"/>
        <v>0.54385802326120203</v>
      </c>
      <c r="BE34" s="75">
        <f t="shared" si="44"/>
        <v>0.52202153216478331</v>
      </c>
      <c r="BF34" s="75">
        <f t="shared" si="44"/>
        <v>0.51794702533212311</v>
      </c>
      <c r="BG34" s="75">
        <f>BG20/BG25</f>
        <v>0.53963580358760643</v>
      </c>
      <c r="BH34" s="75">
        <f>BH20/BH25</f>
        <v>0.52990934110409582</v>
      </c>
      <c r="BI34" s="75">
        <f>BI20/BI25</f>
        <v>0.53038253554976966</v>
      </c>
      <c r="CB34" s="75">
        <f t="shared" ref="CB34:CF34" si="45">CB20/CB25</f>
        <v>0.62140460955457544</v>
      </c>
      <c r="CC34" s="75">
        <f t="shared" si="45"/>
        <v>0.61409786206279626</v>
      </c>
      <c r="CD34" s="75">
        <f t="shared" si="45"/>
        <v>0.65120429483459086</v>
      </c>
      <c r="CE34" s="75">
        <f t="shared" si="45"/>
        <v>0.57082167009338847</v>
      </c>
      <c r="CF34" s="75">
        <f t="shared" si="45"/>
        <v>0.53374039253749872</v>
      </c>
    </row>
    <row r="35" spans="2:146">
      <c r="B35" s="1" t="s">
        <v>182</v>
      </c>
      <c r="AM35" s="75">
        <f t="shared" ref="AM35:BF35" si="46">AM21/AM25</f>
        <v>0.14077765392433284</v>
      </c>
      <c r="AN35" s="75">
        <f t="shared" si="46"/>
        <v>0.14584382871536525</v>
      </c>
      <c r="AO35" s="75">
        <f t="shared" si="46"/>
        <v>0.14852279035342009</v>
      </c>
      <c r="AP35" s="75">
        <f t="shared" si="46"/>
        <v>0.15999765313306735</v>
      </c>
      <c r="AQ35" s="75">
        <f t="shared" si="46"/>
        <v>0.16365487401374396</v>
      </c>
      <c r="AR35" s="75">
        <f t="shared" si="46"/>
        <v>0.16415348780188796</v>
      </c>
      <c r="AS35" s="75">
        <f t="shared" si="46"/>
        <v>0.15709987611350362</v>
      </c>
      <c r="AT35" s="75">
        <f t="shared" si="46"/>
        <v>0.17675344055712153</v>
      </c>
      <c r="AU35" s="75">
        <f t="shared" si="46"/>
        <v>0.17369582897641456</v>
      </c>
      <c r="AV35" s="75">
        <f t="shared" si="46"/>
        <v>0.17941577941577941</v>
      </c>
      <c r="AW35" s="75">
        <f t="shared" si="46"/>
        <v>0.26099227569815803</v>
      </c>
      <c r="AX35" s="75">
        <f t="shared" si="46"/>
        <v>0.18622973854569178</v>
      </c>
      <c r="AY35" s="75">
        <f t="shared" si="46"/>
        <v>0.19854959854959855</v>
      </c>
      <c r="AZ35" s="75">
        <f t="shared" si="46"/>
        <v>0.18198874296435272</v>
      </c>
      <c r="BA35" s="75">
        <f t="shared" si="46"/>
        <v>0.20508736124247101</v>
      </c>
      <c r="BB35" s="75">
        <f t="shared" si="46"/>
        <v>0.20501318040974889</v>
      </c>
      <c r="BC35" s="75">
        <f t="shared" si="46"/>
        <v>0.21732492859253422</v>
      </c>
      <c r="BD35" s="75">
        <f t="shared" si="46"/>
        <v>0.19484731940132524</v>
      </c>
      <c r="BE35" s="75">
        <f t="shared" si="46"/>
        <v>0.23244950618382418</v>
      </c>
      <c r="BF35" s="75">
        <f t="shared" si="46"/>
        <v>0.20447231619770609</v>
      </c>
      <c r="BG35" s="75">
        <f>BG21/BG25</f>
        <v>0.2211451349882225</v>
      </c>
      <c r="BH35" s="75">
        <f>BH21/BH25</f>
        <v>0.21652905941395501</v>
      </c>
      <c r="BI35" s="75">
        <f>BI21/BI25</f>
        <v>0.22711796515121169</v>
      </c>
      <c r="CB35" s="75">
        <f t="shared" ref="CB35:CF35" si="47">CB21/CB25</f>
        <v>0.14906504317574704</v>
      </c>
      <c r="CC35" s="75">
        <f t="shared" si="47"/>
        <v>0.16565286101917284</v>
      </c>
      <c r="CD35" s="75">
        <f t="shared" si="47"/>
        <v>0.19589378990133488</v>
      </c>
      <c r="CE35" s="75">
        <f t="shared" si="47"/>
        <v>0.19786222101117193</v>
      </c>
      <c r="CF35" s="75">
        <f t="shared" si="47"/>
        <v>0.21217114544654245</v>
      </c>
    </row>
    <row r="36" spans="2:146">
      <c r="B36" s="1" t="s">
        <v>183</v>
      </c>
      <c r="AM36" s="75">
        <f t="shared" ref="AM36:BF36" si="48">AM22/AM25</f>
        <v>0.116189102353944</v>
      </c>
      <c r="AN36" s="75">
        <f t="shared" si="48"/>
        <v>0.1260705289672544</v>
      </c>
      <c r="AO36" s="75">
        <f t="shared" si="48"/>
        <v>0.12372787269475112</v>
      </c>
      <c r="AP36" s="75">
        <f t="shared" si="48"/>
        <v>0.12843229288899319</v>
      </c>
      <c r="AQ36" s="75">
        <f t="shared" si="48"/>
        <v>0.11815983710867906</v>
      </c>
      <c r="AR36" s="75">
        <f t="shared" si="48"/>
        <v>0.11082505823219321</v>
      </c>
      <c r="AS36" s="75">
        <f t="shared" si="48"/>
        <v>0.12742611055394962</v>
      </c>
      <c r="AT36" s="75">
        <f t="shared" si="48"/>
        <v>0.12336262643011109</v>
      </c>
      <c r="AU36" s="75">
        <f t="shared" si="48"/>
        <v>0.11908911351225747</v>
      </c>
      <c r="AV36" s="75">
        <f t="shared" si="48"/>
        <v>0.11515151515151516</v>
      </c>
      <c r="AW36" s="75">
        <f t="shared" si="48"/>
        <v>0.17929292929292928</v>
      </c>
      <c r="AX36" s="75">
        <f t="shared" si="48"/>
        <v>0.12425352536759171</v>
      </c>
      <c r="AY36" s="75">
        <f t="shared" si="48"/>
        <v>0.12571872571872572</v>
      </c>
      <c r="AZ36" s="75">
        <f t="shared" si="48"/>
        <v>0.13493230566401299</v>
      </c>
      <c r="BA36" s="75">
        <f t="shared" si="48"/>
        <v>0.13883219672457564</v>
      </c>
      <c r="BB36" s="75">
        <f t="shared" si="48"/>
        <v>0.13948110807935993</v>
      </c>
      <c r="BC36" s="75">
        <f t="shared" si="48"/>
        <v>0.12764700088643752</v>
      </c>
      <c r="BD36" s="75">
        <f t="shared" si="48"/>
        <v>0.15800936008526018</v>
      </c>
      <c r="BE36" s="75">
        <f t="shared" si="48"/>
        <v>0.1586884954177418</v>
      </c>
      <c r="BF36" s="75">
        <f t="shared" si="48"/>
        <v>0.17381797177984981</v>
      </c>
      <c r="BG36" s="75">
        <f>BG22/BG25</f>
        <v>0.12701576372531256</v>
      </c>
      <c r="BH36" s="75">
        <f>BH22/BH25</f>
        <v>0.14796826938643354</v>
      </c>
      <c r="BI36" s="75">
        <f>BI22/BI25</f>
        <v>0.14103745243340676</v>
      </c>
      <c r="CB36" s="75">
        <f t="shared" ref="CB36:CF36" si="49">CB22/CB25</f>
        <v>0.12376529788159284</v>
      </c>
      <c r="CC36" s="75">
        <f t="shared" si="49"/>
        <v>0.12012106032143603</v>
      </c>
      <c r="CD36" s="75">
        <f t="shared" si="49"/>
        <v>0.13129715612304121</v>
      </c>
      <c r="CE36" s="75">
        <f t="shared" si="49"/>
        <v>0.1349178825336273</v>
      </c>
      <c r="CF36" s="75">
        <f t="shared" si="49"/>
        <v>0.15554778054919133</v>
      </c>
    </row>
    <row r="37" spans="2:146">
      <c r="B37" s="1" t="s">
        <v>184</v>
      </c>
      <c r="AM37" s="75">
        <f t="shared" ref="AM37:BF37" si="50">AM23/AM25</f>
        <v>6.5044915087535238E-2</v>
      </c>
      <c r="AN37" s="75">
        <f t="shared" si="50"/>
        <v>7.3488664987405541E-2</v>
      </c>
      <c r="AO37" s="75">
        <f t="shared" si="50"/>
        <v>7.0313945599210503E-2</v>
      </c>
      <c r="AP37" s="75">
        <f t="shared" si="50"/>
        <v>6.3365407181412814E-2</v>
      </c>
      <c r="AQ37" s="75">
        <f t="shared" si="50"/>
        <v>5.274879104097735E-2</v>
      </c>
      <c r="AR37" s="75">
        <f t="shared" si="50"/>
        <v>5.3267132524212335E-2</v>
      </c>
      <c r="AS37" s="75">
        <f t="shared" si="50"/>
        <v>5.7695711167482747E-2</v>
      </c>
      <c r="AT37" s="75">
        <f t="shared" si="50"/>
        <v>5.1014204388437519E-2</v>
      </c>
      <c r="AU37" s="75">
        <f t="shared" si="50"/>
        <v>4.4324387126757292E-2</v>
      </c>
      <c r="AV37" s="75">
        <f t="shared" si="50"/>
        <v>4.6464646464646465E-2</v>
      </c>
      <c r="AW37" s="75">
        <f t="shared" si="50"/>
        <v>6.1200237670825906E-2</v>
      </c>
      <c r="AX37" s="75">
        <f t="shared" si="50"/>
        <v>4.0096351683645302E-2</v>
      </c>
      <c r="AY37" s="75">
        <f t="shared" si="50"/>
        <v>4.3978243978243979E-2</v>
      </c>
      <c r="AZ37" s="75">
        <f t="shared" si="50"/>
        <v>4.0109527914405967E-2</v>
      </c>
      <c r="BA37" s="75">
        <f t="shared" si="50"/>
        <v>3.1260889043755291E-2</v>
      </c>
      <c r="BB37" s="75">
        <f t="shared" si="50"/>
        <v>5.5033991583036582E-2</v>
      </c>
      <c r="BC37" s="75">
        <f t="shared" si="50"/>
        <v>4.1761055845562889E-2</v>
      </c>
      <c r="BD37" s="75">
        <f t="shared" si="50"/>
        <v>4.1888698392104164E-2</v>
      </c>
      <c r="BE37" s="75">
        <f t="shared" si="50"/>
        <v>3.2565174837619004E-2</v>
      </c>
      <c r="BF37" s="75">
        <f t="shared" si="50"/>
        <v>4.6909811040514893E-2</v>
      </c>
      <c r="BG37" s="75">
        <f>BG23/BG25</f>
        <v>4.2127196955970288E-2</v>
      </c>
      <c r="BH37" s="75">
        <f>BH23/BH25</f>
        <v>4.2172575683988994E-2</v>
      </c>
      <c r="BI37" s="75">
        <f>BI23/BI25</f>
        <v>3.9054676547166031E-2</v>
      </c>
      <c r="CB37" s="75">
        <f t="shared" ref="CB37:CF37" si="51">CB23/CB25</f>
        <v>6.8009567000062124E-2</v>
      </c>
      <c r="CC37" s="75">
        <f t="shared" si="51"/>
        <v>5.3657154784268121E-2</v>
      </c>
      <c r="CD37" s="75">
        <f t="shared" si="51"/>
        <v>4.696749854904237E-2</v>
      </c>
      <c r="CE37" s="75">
        <f t="shared" si="51"/>
        <v>4.2829894225767294E-2</v>
      </c>
      <c r="CF37" s="75">
        <f t="shared" si="51"/>
        <v>4.0867690710246832E-2</v>
      </c>
    </row>
    <row r="38" spans="2:146">
      <c r="B38" s="1" t="s">
        <v>185</v>
      </c>
      <c r="AM38" s="75">
        <f t="shared" ref="AM38:BF38" si="52">AM24/AM25</f>
        <v>3.9997377221165822E-2</v>
      </c>
      <c r="AN38" s="75">
        <f t="shared" si="52"/>
        <v>3.299748110831234E-2</v>
      </c>
      <c r="AO38" s="75">
        <f t="shared" si="52"/>
        <v>3.4725220502066244E-2</v>
      </c>
      <c r="AP38" s="75">
        <f t="shared" si="52"/>
        <v>4.3065008214034264E-2</v>
      </c>
      <c r="AQ38" s="75">
        <f t="shared" si="52"/>
        <v>4.6322219394247903E-2</v>
      </c>
      <c r="AR38" s="75">
        <f t="shared" si="52"/>
        <v>4.7443913203383599E-2</v>
      </c>
      <c r="AS38" s="75">
        <f t="shared" si="52"/>
        <v>4.2947318742257094E-2</v>
      </c>
      <c r="AT38" s="75">
        <f t="shared" si="52"/>
        <v>4.9024484607306691E-2</v>
      </c>
      <c r="AU38" s="75">
        <f t="shared" si="52"/>
        <v>5.0133612176135704E-2</v>
      </c>
      <c r="AV38" s="75">
        <f t="shared" si="52"/>
        <v>4.5973245973245973E-2</v>
      </c>
      <c r="AW38" s="75">
        <f t="shared" si="52"/>
        <v>7.1152703505644677E-2</v>
      </c>
      <c r="AX38" s="75">
        <f t="shared" si="52"/>
        <v>4.9681336879610578E-2</v>
      </c>
      <c r="AY38" s="75">
        <f t="shared" si="52"/>
        <v>4.3253043253043251E-2</v>
      </c>
      <c r="AZ38" s="75">
        <f t="shared" si="52"/>
        <v>5.3496273008468133E-2</v>
      </c>
      <c r="BA38" s="75">
        <f t="shared" si="52"/>
        <v>5.679725222758724E-2</v>
      </c>
      <c r="BB38" s="75">
        <f t="shared" si="52"/>
        <v>5.9843684965083473E-2</v>
      </c>
      <c r="BC38" s="75">
        <f t="shared" si="52"/>
        <v>5.8455628878164093E-2</v>
      </c>
      <c r="BD38" s="75">
        <f t="shared" si="52"/>
        <v>6.1396598860108426E-2</v>
      </c>
      <c r="BE38" s="75">
        <f t="shared" si="52"/>
        <v>5.4275291396031676E-2</v>
      </c>
      <c r="BF38" s="75">
        <f t="shared" si="52"/>
        <v>5.6852875649806088E-2</v>
      </c>
      <c r="BG38" s="75">
        <f>BG24/BG25</f>
        <v>7.0076100742888198E-2</v>
      </c>
      <c r="BH38" s="75">
        <f>BH24/BH25</f>
        <v>6.3420754411526628E-2</v>
      </c>
      <c r="BI38" s="75">
        <f>BI24/BI25</f>
        <v>6.2407370318445822E-2</v>
      </c>
      <c r="CB38" s="75">
        <f t="shared" ref="CB38:CF38" si="53">CB24/CB25</f>
        <v>3.7755482388022614E-2</v>
      </c>
      <c r="CC38" s="75">
        <f t="shared" si="53"/>
        <v>4.6471061812326686E-2</v>
      </c>
      <c r="CD38" s="75">
        <f t="shared" si="53"/>
        <v>5.300348229831689E-2</v>
      </c>
      <c r="CE38" s="75">
        <f t="shared" si="53"/>
        <v>5.3568332136044984E-2</v>
      </c>
      <c r="CF38" s="75">
        <f t="shared" si="53"/>
        <v>5.7672990756520659E-2</v>
      </c>
    </row>
    <row r="39" spans="2:146">
      <c r="BI39" s="1"/>
    </row>
    <row r="40" spans="2:146" s="2" customFormat="1" ht="15">
      <c r="B40" s="2" t="s">
        <v>51</v>
      </c>
      <c r="C40" s="2">
        <v>12416</v>
      </c>
      <c r="D40" s="2">
        <v>13807</v>
      </c>
      <c r="E40" s="2">
        <v>15042</v>
      </c>
      <c r="F40" s="2">
        <v>16443</v>
      </c>
      <c r="G40" s="2">
        <v>14399</v>
      </c>
      <c r="H40" s="2">
        <v>16006</v>
      </c>
      <c r="I40" s="2">
        <v>15462</v>
      </c>
      <c r="J40" s="2">
        <v>10733</v>
      </c>
      <c r="K40" s="2">
        <v>14745</v>
      </c>
      <c r="L40" s="2">
        <v>17191</v>
      </c>
      <c r="M40" s="2">
        <v>14613</v>
      </c>
      <c r="N40" s="2">
        <v>11351</v>
      </c>
      <c r="O40" s="2">
        <v>13320</v>
      </c>
      <c r="P40" s="2">
        <v>14690</v>
      </c>
      <c r="Q40" s="2">
        <v>13788</v>
      </c>
      <c r="R40" s="2">
        <v>14300</v>
      </c>
      <c r="S40" s="2">
        <v>13357</v>
      </c>
      <c r="T40" s="2">
        <v>14874</v>
      </c>
      <c r="U40" s="2">
        <v>14354</v>
      </c>
      <c r="V40" s="2">
        <v>14659</v>
      </c>
      <c r="W40" s="2">
        <v>13815</v>
      </c>
      <c r="X40" s="2">
        <v>15280</v>
      </c>
      <c r="Y40" s="2">
        <v>15062</v>
      </c>
      <c r="Z40" s="2">
        <v>15680</v>
      </c>
      <c r="AA40" s="2">
        <v>15242</v>
      </c>
      <c r="AB40" s="2">
        <v>16705</v>
      </c>
      <c r="AC40" s="2">
        <v>16510</v>
      </c>
      <c r="AD40" s="2">
        <v>-13756</v>
      </c>
      <c r="AE40" s="2">
        <v>18365</v>
      </c>
      <c r="AF40" s="2">
        <v>11329</v>
      </c>
      <c r="AG40" s="2">
        <v>11373</v>
      </c>
      <c r="AH40" s="2">
        <v>4282</v>
      </c>
      <c r="AI40" s="2">
        <v>18210</v>
      </c>
      <c r="AJ40" s="2">
        <v>14277</v>
      </c>
      <c r="AK40" s="2">
        <v>14747</v>
      </c>
      <c r="AL40" s="2">
        <v>16583</v>
      </c>
      <c r="AM40" s="2">
        <f t="shared" ref="AM40:AO40" si="54">AM8</f>
        <v>15251</v>
      </c>
      <c r="AN40" s="2">
        <f t="shared" si="54"/>
        <v>15880</v>
      </c>
      <c r="AO40" s="2">
        <f t="shared" si="54"/>
        <v>16213</v>
      </c>
      <c r="AP40" s="2">
        <f>AP8</f>
        <v>17044</v>
      </c>
      <c r="AQ40" s="2">
        <f t="shared" ref="AQ40:AS40" si="55">AQ8</f>
        <v>15716</v>
      </c>
      <c r="AR40" s="2">
        <f t="shared" si="55"/>
        <v>16314</v>
      </c>
      <c r="AS40" s="2">
        <f t="shared" si="55"/>
        <v>16951</v>
      </c>
      <c r="AT40" s="2">
        <f>AT8</f>
        <v>18093</v>
      </c>
      <c r="AU40" s="2">
        <f t="shared" ref="AU40:AW40" si="56">AU8</f>
        <v>17214</v>
      </c>
      <c r="AV40" s="2">
        <f t="shared" si="56"/>
        <v>18315</v>
      </c>
      <c r="AW40" s="2">
        <f t="shared" si="56"/>
        <v>13464</v>
      </c>
      <c r="AX40" s="2">
        <f>AX8</f>
        <v>19927</v>
      </c>
      <c r="AY40" s="2">
        <f t="shared" ref="AY40:AZ40" si="57">AY8</f>
        <v>19305</v>
      </c>
      <c r="AZ40" s="2">
        <f t="shared" si="57"/>
        <v>19721</v>
      </c>
      <c r="BA40" s="2">
        <f t="shared" ref="BA40:BH40" si="58">BA8</f>
        <v>20089</v>
      </c>
      <c r="BB40" s="2">
        <f t="shared" si="58"/>
        <v>21623</v>
      </c>
      <c r="BC40" s="2">
        <f t="shared" si="58"/>
        <v>20306</v>
      </c>
      <c r="BD40" s="2">
        <f t="shared" si="58"/>
        <v>21581</v>
      </c>
      <c r="BE40" s="2">
        <f t="shared" si="58"/>
        <v>22478</v>
      </c>
      <c r="BF40" s="2">
        <f t="shared" si="58"/>
        <v>24238</v>
      </c>
      <c r="BG40" s="2">
        <f t="shared" si="58"/>
        <v>22076</v>
      </c>
      <c r="BH40" s="2">
        <f t="shared" si="58"/>
        <v>24708</v>
      </c>
      <c r="BI40" s="2">
        <f t="shared" ref="BI40" si="59">BI8</f>
        <v>24965</v>
      </c>
      <c r="BJ40" s="81"/>
      <c r="BS40" s="2">
        <f>SUM(C40:F40)</f>
        <v>57708</v>
      </c>
      <c r="BT40" s="2">
        <f>SUM(G40:J40)</f>
        <v>56600</v>
      </c>
      <c r="BU40" s="2">
        <f>SUM(K40:N40)</f>
        <v>57900</v>
      </c>
      <c r="BV40" s="2">
        <f>SUM(O40:R40)</f>
        <v>56098</v>
      </c>
      <c r="BW40" s="2">
        <f>SUM(S40:V40)</f>
        <v>57244</v>
      </c>
      <c r="BX40" s="2">
        <f>SUM(W40:Z40)</f>
        <v>59837</v>
      </c>
      <c r="BY40" s="2">
        <f>SUM(AA40:AD40)</f>
        <v>34701</v>
      </c>
      <c r="BZ40" s="2">
        <f>SUM(AE40:AH40)</f>
        <v>45349</v>
      </c>
      <c r="CA40" s="2">
        <f>SUM(AI40:AL40)</f>
        <v>63817</v>
      </c>
      <c r="CB40" s="2">
        <f>SUM(AM40:AP40)</f>
        <v>64388</v>
      </c>
      <c r="CC40" s="2">
        <f>SUM(AQ40:AT40)</f>
        <v>67074</v>
      </c>
      <c r="CD40" s="2">
        <f>SUM(AU40:AX40)</f>
        <v>68920</v>
      </c>
      <c r="CE40" s="2">
        <f>SUM(AY40:BB40)</f>
        <v>80738</v>
      </c>
      <c r="CF40" s="2">
        <f>SUM(BC40:BF40)</f>
        <v>88603</v>
      </c>
      <c r="CG40" s="81">
        <f>CG8</f>
        <v>98576.75</v>
      </c>
      <c r="CH40" s="81">
        <f t="shared" ref="CH40:CP40" si="60">CH8</f>
        <v>111331.64989999999</v>
      </c>
      <c r="CI40" s="81">
        <f t="shared" si="60"/>
        <v>125279.312686</v>
      </c>
      <c r="CJ40" s="81">
        <f t="shared" si="60"/>
        <v>138888.89806279499</v>
      </c>
      <c r="CK40" s="81">
        <f t="shared" si="60"/>
        <v>151818.05813778541</v>
      </c>
      <c r="CL40" s="81">
        <f t="shared" si="60"/>
        <v>162394.90071905428</v>
      </c>
      <c r="CM40" s="81">
        <f t="shared" si="60"/>
        <v>171176.80386449341</v>
      </c>
      <c r="CN40" s="81">
        <f t="shared" si="60"/>
        <v>178992.28293980038</v>
      </c>
      <c r="CO40" s="81">
        <f t="shared" si="60"/>
        <v>186056.49526029007</v>
      </c>
      <c r="CP40" s="81">
        <f t="shared" si="60"/>
        <v>192225.9568991019</v>
      </c>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c r="EJ40" s="34"/>
      <c r="EK40" s="34"/>
      <c r="EL40" s="34"/>
      <c r="EM40" s="34"/>
      <c r="EN40" s="34"/>
      <c r="EO40" s="34"/>
      <c r="EP40" s="34"/>
    </row>
    <row r="41" spans="2:146">
      <c r="B41" s="1" t="s">
        <v>54</v>
      </c>
      <c r="C41" s="1">
        <v>8930</v>
      </c>
      <c r="D41" s="1">
        <v>9934</v>
      </c>
      <c r="E41" s="1">
        <v>11003</v>
      </c>
      <c r="F41" s="1">
        <v>12286</v>
      </c>
      <c r="G41" s="1">
        <v>10465</v>
      </c>
      <c r="H41" s="1">
        <v>11552</v>
      </c>
      <c r="I41" s="1">
        <v>11020</v>
      </c>
      <c r="J41" s="1">
        <v>7431</v>
      </c>
      <c r="K41" s="1">
        <v>10690</v>
      </c>
      <c r="L41" s="1">
        <v>12931</v>
      </c>
      <c r="M41" s="1">
        <v>10165</v>
      </c>
      <c r="N41" s="1">
        <v>7112</v>
      </c>
      <c r="O41" s="1">
        <v>9506</v>
      </c>
      <c r="P41" s="1">
        <v>10472</v>
      </c>
      <c r="Q41" s="1">
        <v>9800</v>
      </c>
      <c r="R41" s="1">
        <v>10653</v>
      </c>
      <c r="S41" s="1">
        <v>9654</v>
      </c>
      <c r="T41" s="1">
        <v>10741</v>
      </c>
      <c r="U41" s="1">
        <v>10342</v>
      </c>
      <c r="V41" s="1">
        <v>10734</v>
      </c>
      <c r="W41" s="1">
        <v>10136</v>
      </c>
      <c r="X41" s="1">
        <v>11164</v>
      </c>
      <c r="Y41" s="1">
        <v>11106</v>
      </c>
      <c r="Z41" s="1">
        <v>11795</v>
      </c>
      <c r="AA41" s="1">
        <v>11280</v>
      </c>
      <c r="AB41" s="1">
        <v>12422</v>
      </c>
      <c r="AC41" s="1">
        <v>12536</v>
      </c>
      <c r="AD41" s="1">
        <v>-8773</v>
      </c>
      <c r="AE41" s="1">
        <v>13707</v>
      </c>
      <c r="AF41" s="1">
        <v>8554</v>
      </c>
      <c r="AG41" s="1">
        <v>8509</v>
      </c>
      <c r="AH41" s="1">
        <v>3828</v>
      </c>
      <c r="AI41" s="1">
        <v>8572</v>
      </c>
      <c r="AJ41" s="1">
        <v>12214</v>
      </c>
      <c r="AK41" s="1">
        <v>13004</v>
      </c>
      <c r="AL41" s="1">
        <v>14266</v>
      </c>
      <c r="AM41" s="1">
        <f>9974+2563</f>
        <v>12537</v>
      </c>
      <c r="AN41" s="1">
        <f>9997+2658</f>
        <v>12655</v>
      </c>
      <c r="AO41" s="1">
        <f>10296+2793</f>
        <v>13089</v>
      </c>
      <c r="AP41" s="1">
        <f>41095+10802-SUM(AM41:AO41)</f>
        <v>13616</v>
      </c>
      <c r="AQ41" s="1">
        <f>9820+2740</f>
        <v>12560</v>
      </c>
      <c r="AR41" s="1">
        <f>10040+2816</f>
        <v>12856</v>
      </c>
      <c r="AS41" s="1">
        <f>10493+2971</f>
        <v>13464</v>
      </c>
      <c r="AT41" s="1">
        <f>41927+11479-SUM(AQ41:AS41)</f>
        <v>14526</v>
      </c>
      <c r="AU41" s="1">
        <f>10700+2945</f>
        <v>13645</v>
      </c>
      <c r="AV41" s="1">
        <f>11089+3429</f>
        <v>14518</v>
      </c>
      <c r="AW41" s="1">
        <f>9289+3461</f>
        <v>12750</v>
      </c>
      <c r="AX41" s="1">
        <f>43425+13406-SUM(AU41:AW41)</f>
        <v>15918</v>
      </c>
      <c r="AY41" s="1">
        <f>12216+3528</f>
        <v>15744</v>
      </c>
      <c r="AZ41" s="1">
        <f>12625+3516</f>
        <v>16141</v>
      </c>
      <c r="BA41" s="1">
        <f>12336+3719</f>
        <v>16055</v>
      </c>
      <c r="BB41" s="1">
        <f>50768+14560-SUM(AY41:BA41)</f>
        <v>17388</v>
      </c>
      <c r="BC41" s="1">
        <f>12283+3907</f>
        <v>16190</v>
      </c>
      <c r="BD41" s="1">
        <f>12989+4216</f>
        <v>17205</v>
      </c>
      <c r="BE41" s="1">
        <f>13593+4305</f>
        <v>17898</v>
      </c>
      <c r="BF41" s="1">
        <f>53780+17034-SUM(BC41:BE41)</f>
        <v>19521</v>
      </c>
      <c r="BG41" s="1">
        <f>13000+4482</f>
        <v>17482</v>
      </c>
      <c r="BH41" s="1">
        <f>14802+4773</f>
        <v>19575</v>
      </c>
      <c r="BI41" s="1">
        <v>19160</v>
      </c>
      <c r="BJ41" s="62"/>
      <c r="BS41" s="1">
        <f>SUM(C41:F41)</f>
        <v>42153</v>
      </c>
      <c r="BT41" s="1">
        <f>SUM(G41:J41)</f>
        <v>40468</v>
      </c>
      <c r="BU41" s="1">
        <f>SUM(K41:N41)</f>
        <v>40898</v>
      </c>
      <c r="BV41" s="1">
        <f>SUM(O41:R41)</f>
        <v>40431</v>
      </c>
      <c r="BW41" s="1">
        <f>SUM(S41:V41)</f>
        <v>41471</v>
      </c>
      <c r="BX41" s="1">
        <f>SUM(W41:Z41)</f>
        <v>44201</v>
      </c>
      <c r="BY41" s="1">
        <f>SUM(AA41:AD41)</f>
        <v>27465</v>
      </c>
      <c r="BZ41" s="1">
        <f>SUM(AE41:AH41)</f>
        <v>34598</v>
      </c>
      <c r="CA41" s="1">
        <f>SUM(AI41:AL41)</f>
        <v>48056</v>
      </c>
      <c r="CB41" s="1">
        <f>SUM(AM41:AP41)</f>
        <v>51897</v>
      </c>
      <c r="CC41" s="1">
        <f>SUM(AQ41:AT41)</f>
        <v>53406</v>
      </c>
      <c r="CD41" s="1">
        <f>SUM(AU41:AX41)</f>
        <v>56831</v>
      </c>
      <c r="CE41" s="1">
        <f>SUM(AY41:BB41)</f>
        <v>65328</v>
      </c>
      <c r="CF41" s="1">
        <f>SUM(BC41:BF41)</f>
        <v>70814</v>
      </c>
      <c r="CG41" s="62">
        <f>CG40*(1-CG57)</f>
        <v>77875.632500000007</v>
      </c>
      <c r="CH41" s="62">
        <f t="shared" ref="CH41:CP41" si="61">CH40*(1-CH57)</f>
        <v>87673.674296249985</v>
      </c>
      <c r="CI41" s="62">
        <f t="shared" si="61"/>
        <v>98344.260458510005</v>
      </c>
      <c r="CJ41" s="62">
        <f t="shared" si="61"/>
        <v>108333.3404889801</v>
      </c>
      <c r="CK41" s="62">
        <f t="shared" si="61"/>
        <v>118266.26728933484</v>
      </c>
      <c r="CL41" s="62">
        <f t="shared" si="61"/>
        <v>126343.23275942424</v>
      </c>
      <c r="CM41" s="62">
        <f t="shared" si="61"/>
        <v>133004.37660271139</v>
      </c>
      <c r="CN41" s="62">
        <f t="shared" si="61"/>
        <v>138898.01156128509</v>
      </c>
      <c r="CO41" s="62">
        <f t="shared" si="61"/>
        <v>144193.7838267248</v>
      </c>
      <c r="CP41" s="62">
        <f t="shared" si="61"/>
        <v>148975.11659680397</v>
      </c>
    </row>
    <row r="42" spans="2:146">
      <c r="B42" s="1" t="s">
        <v>55</v>
      </c>
      <c r="C42" s="1">
        <f t="shared" ref="C42:AO42" si="62">C40-C41</f>
        <v>3486</v>
      </c>
      <c r="D42" s="1">
        <f t="shared" si="62"/>
        <v>3873</v>
      </c>
      <c r="E42" s="1">
        <f t="shared" si="62"/>
        <v>4039</v>
      </c>
      <c r="F42" s="1">
        <f t="shared" si="62"/>
        <v>4157</v>
      </c>
      <c r="G42" s="1">
        <f t="shared" si="62"/>
        <v>3934</v>
      </c>
      <c r="H42" s="1">
        <f t="shared" si="62"/>
        <v>4454</v>
      </c>
      <c r="I42" s="1">
        <f t="shared" si="62"/>
        <v>4442</v>
      </c>
      <c r="J42" s="1">
        <f t="shared" si="62"/>
        <v>3302</v>
      </c>
      <c r="K42" s="1">
        <f t="shared" si="62"/>
        <v>4055</v>
      </c>
      <c r="L42" s="1">
        <f t="shared" si="62"/>
        <v>4260</v>
      </c>
      <c r="M42" s="1">
        <f t="shared" si="62"/>
        <v>4448</v>
      </c>
      <c r="N42" s="1">
        <f t="shared" si="62"/>
        <v>4239</v>
      </c>
      <c r="O42" s="1">
        <f t="shared" si="62"/>
        <v>3814</v>
      </c>
      <c r="P42" s="1">
        <f t="shared" si="62"/>
        <v>4218</v>
      </c>
      <c r="Q42" s="1">
        <f t="shared" si="62"/>
        <v>3988</v>
      </c>
      <c r="R42" s="1">
        <f t="shared" si="62"/>
        <v>3647</v>
      </c>
      <c r="S42" s="1">
        <f t="shared" si="62"/>
        <v>3703</v>
      </c>
      <c r="T42" s="1">
        <f t="shared" si="62"/>
        <v>4133</v>
      </c>
      <c r="U42" s="1">
        <f t="shared" si="62"/>
        <v>4012</v>
      </c>
      <c r="V42" s="1">
        <f t="shared" si="62"/>
        <v>3925</v>
      </c>
      <c r="W42" s="1">
        <f t="shared" si="62"/>
        <v>3679</v>
      </c>
      <c r="X42" s="1">
        <f t="shared" si="62"/>
        <v>4116</v>
      </c>
      <c r="Y42" s="1">
        <f t="shared" si="62"/>
        <v>3956</v>
      </c>
      <c r="Z42" s="1">
        <f t="shared" si="62"/>
        <v>3885</v>
      </c>
      <c r="AA42" s="1">
        <f t="shared" si="62"/>
        <v>3962</v>
      </c>
      <c r="AB42" s="1">
        <f t="shared" si="62"/>
        <v>4283</v>
      </c>
      <c r="AC42" s="1">
        <f t="shared" si="62"/>
        <v>3974</v>
      </c>
      <c r="AD42" s="1">
        <f t="shared" si="62"/>
        <v>-4983</v>
      </c>
      <c r="AE42" s="1">
        <f t="shared" si="62"/>
        <v>4658</v>
      </c>
      <c r="AF42" s="1">
        <f t="shared" si="62"/>
        <v>2775</v>
      </c>
      <c r="AG42" s="1">
        <f t="shared" si="62"/>
        <v>2864</v>
      </c>
      <c r="AH42" s="1">
        <f t="shared" si="62"/>
        <v>454</v>
      </c>
      <c r="AI42" s="1">
        <f t="shared" si="62"/>
        <v>9638</v>
      </c>
      <c r="AJ42" s="1">
        <f t="shared" si="62"/>
        <v>2063</v>
      </c>
      <c r="AK42" s="1">
        <f t="shared" si="62"/>
        <v>1743</v>
      </c>
      <c r="AL42" s="1">
        <f t="shared" si="62"/>
        <v>2317</v>
      </c>
      <c r="AM42" s="1">
        <f t="shared" si="62"/>
        <v>2714</v>
      </c>
      <c r="AN42" s="1">
        <f t="shared" si="62"/>
        <v>3225</v>
      </c>
      <c r="AO42" s="1">
        <f t="shared" si="62"/>
        <v>3124</v>
      </c>
      <c r="AP42" s="1">
        <f t="shared" ref="AP42:BB42" si="63">AP40-AP41</f>
        <v>3428</v>
      </c>
      <c r="AQ42" s="1">
        <f t="shared" si="63"/>
        <v>3156</v>
      </c>
      <c r="AR42" s="1">
        <f t="shared" si="63"/>
        <v>3458</v>
      </c>
      <c r="AS42" s="1">
        <f t="shared" si="63"/>
        <v>3487</v>
      </c>
      <c r="AT42" s="1">
        <f t="shared" si="63"/>
        <v>3567</v>
      </c>
      <c r="AU42" s="1">
        <f t="shared" si="63"/>
        <v>3569</v>
      </c>
      <c r="AV42" s="1">
        <f t="shared" si="63"/>
        <v>3797</v>
      </c>
      <c r="AW42" s="1">
        <f t="shared" si="63"/>
        <v>714</v>
      </c>
      <c r="AX42" s="1">
        <f t="shared" si="63"/>
        <v>4009</v>
      </c>
      <c r="AY42" s="1">
        <f t="shared" si="63"/>
        <v>3561</v>
      </c>
      <c r="AZ42" s="1">
        <f t="shared" si="63"/>
        <v>3580</v>
      </c>
      <c r="BA42" s="1">
        <f>BA40-BA41</f>
        <v>4034</v>
      </c>
      <c r="BB42" s="1">
        <f t="shared" si="63"/>
        <v>4235</v>
      </c>
      <c r="BC42" s="1">
        <f>BC40-BC41</f>
        <v>4116</v>
      </c>
      <c r="BD42" s="1">
        <f t="shared" ref="BD42:BG42" si="64">BD40-BD41</f>
        <v>4376</v>
      </c>
      <c r="BE42" s="1">
        <f t="shared" si="64"/>
        <v>4580</v>
      </c>
      <c r="BF42" s="1">
        <f t="shared" si="64"/>
        <v>4717</v>
      </c>
      <c r="BG42" s="1">
        <f t="shared" si="64"/>
        <v>4594</v>
      </c>
      <c r="BH42" s="1">
        <f t="shared" ref="BH42:BI42" si="65">BH40-BH41</f>
        <v>5133</v>
      </c>
      <c r="BI42" s="1">
        <f t="shared" si="65"/>
        <v>5805</v>
      </c>
      <c r="BJ42" s="62"/>
      <c r="BS42" s="1">
        <f t="shared" ref="BS42:BS55" si="66">SUM(C42:F42)</f>
        <v>15555</v>
      </c>
      <c r="BT42" s="1">
        <f t="shared" ref="BT42:BT55" si="67">SUM(G42:J42)</f>
        <v>16132</v>
      </c>
      <c r="BU42" s="1">
        <f t="shared" ref="BU42:BU55" si="68">SUM(K42:N42)</f>
        <v>17002</v>
      </c>
      <c r="BV42" s="1">
        <f t="shared" ref="BV42:BV55" si="69">SUM(O42:R42)</f>
        <v>15667</v>
      </c>
      <c r="BW42" s="1">
        <f t="shared" ref="BW42:BW55" si="70">SUM(S42:V42)</f>
        <v>15773</v>
      </c>
      <c r="BX42" s="1">
        <f t="shared" ref="BX42:BX55" si="71">SUM(W42:Z42)</f>
        <v>15636</v>
      </c>
      <c r="BY42" s="1">
        <f t="shared" ref="BY42:BY55" si="72">SUM(AA42:AD42)</f>
        <v>7236</v>
      </c>
      <c r="BZ42" s="1">
        <f t="shared" ref="BZ42:BZ55" si="73">SUM(AE42:AH42)</f>
        <v>10751</v>
      </c>
      <c r="CA42" s="1">
        <f t="shared" ref="CA42:CA55" si="74">SUM(AI42:AL42)</f>
        <v>15761</v>
      </c>
      <c r="CB42" s="1">
        <f t="shared" ref="CB42:CB55" si="75">SUM(AM42:AP42)</f>
        <v>12491</v>
      </c>
      <c r="CC42" s="1">
        <f t="shared" ref="CC42:CC55" si="76">SUM(AQ42:AT42)</f>
        <v>13668</v>
      </c>
      <c r="CD42" s="1">
        <f t="shared" ref="CD42:CD55" si="77">SUM(AU42:AX42)</f>
        <v>12089</v>
      </c>
      <c r="CE42" s="1">
        <f t="shared" ref="CE42:CE55" si="78">SUM(AY42:BB42)</f>
        <v>15410</v>
      </c>
      <c r="CF42" s="1">
        <f t="shared" ref="CF42:CF55" si="79">SUM(BC42:BF42)</f>
        <v>17789</v>
      </c>
      <c r="CG42" s="62">
        <f>CG40-CG41</f>
        <v>20701.117499999993</v>
      </c>
      <c r="CH42" s="62">
        <f t="shared" ref="CH42:CP42" si="80">CH40-CH41</f>
        <v>23657.975603750005</v>
      </c>
      <c r="CI42" s="62">
        <f t="shared" si="80"/>
        <v>26935.052227489999</v>
      </c>
      <c r="CJ42" s="62">
        <f t="shared" si="80"/>
        <v>30555.557573814891</v>
      </c>
      <c r="CK42" s="62">
        <f t="shared" si="80"/>
        <v>33551.790848450575</v>
      </c>
      <c r="CL42" s="62">
        <f t="shared" si="80"/>
        <v>36051.667959630038</v>
      </c>
      <c r="CM42" s="62">
        <f t="shared" si="80"/>
        <v>38172.427261782024</v>
      </c>
      <c r="CN42" s="62">
        <f t="shared" si="80"/>
        <v>40094.271378515288</v>
      </c>
      <c r="CO42" s="62">
        <f t="shared" si="80"/>
        <v>41862.711433565273</v>
      </c>
      <c r="CP42" s="62">
        <f t="shared" si="80"/>
        <v>43250.840302297933</v>
      </c>
    </row>
    <row r="43" spans="2:146">
      <c r="B43" s="1" t="s">
        <v>192</v>
      </c>
      <c r="C43" s="1">
        <v>544</v>
      </c>
      <c r="D43" s="1">
        <v>525</v>
      </c>
      <c r="E43" s="1">
        <v>590</v>
      </c>
      <c r="F43" s="1">
        <v>712</v>
      </c>
      <c r="G43" s="1">
        <v>610</v>
      </c>
      <c r="H43" s="1">
        <v>631</v>
      </c>
      <c r="I43" s="1">
        <v>630</v>
      </c>
      <c r="J43" s="1">
        <v>471</v>
      </c>
      <c r="K43" s="1">
        <v>624</v>
      </c>
      <c r="L43" s="1">
        <v>666</v>
      </c>
      <c r="M43" s="1">
        <v>640</v>
      </c>
      <c r="N43" s="1">
        <v>545</v>
      </c>
      <c r="O43" s="1">
        <v>564</v>
      </c>
      <c r="P43" s="1">
        <v>558</v>
      </c>
      <c r="Q43" s="1">
        <v>546</v>
      </c>
      <c r="R43" s="1">
        <v>611</v>
      </c>
      <c r="S43" s="1">
        <v>541</v>
      </c>
      <c r="T43" s="1">
        <v>588</v>
      </c>
      <c r="U43" s="1">
        <v>582</v>
      </c>
      <c r="V43" s="1">
        <v>665</v>
      </c>
      <c r="W43" s="1">
        <v>586</v>
      </c>
      <c r="X43" s="1">
        <v>619</v>
      </c>
      <c r="Y43" s="1">
        <v>592</v>
      </c>
      <c r="Z43" s="1">
        <v>630</v>
      </c>
      <c r="AA43" s="1">
        <v>554</v>
      </c>
      <c r="AB43" s="1">
        <v>589</v>
      </c>
      <c r="AC43" s="1">
        <v>586</v>
      </c>
      <c r="AD43" s="1">
        <v>149</v>
      </c>
      <c r="AE43" s="1">
        <v>728</v>
      </c>
      <c r="AF43" s="1">
        <v>605</v>
      </c>
      <c r="AG43" s="1">
        <v>592</v>
      </c>
      <c r="AH43" s="1">
        <v>527</v>
      </c>
      <c r="AI43" s="1">
        <v>535</v>
      </c>
      <c r="AJ43" s="1">
        <v>695</v>
      </c>
      <c r="AK43" s="1">
        <v>642</v>
      </c>
      <c r="AL43" s="1">
        <v>710</v>
      </c>
      <c r="AM43" s="1">
        <v>589</v>
      </c>
      <c r="AN43" s="1">
        <v>657</v>
      </c>
      <c r="AO43" s="1">
        <v>676</v>
      </c>
      <c r="AP43" s="1">
        <f>2711-SUM(AM43:AO43)</f>
        <v>789</v>
      </c>
      <c r="AQ43" s="1">
        <v>635</v>
      </c>
      <c r="AR43" s="1">
        <v>698</v>
      </c>
      <c r="AS43" s="1">
        <v>662</v>
      </c>
      <c r="AT43" s="1">
        <f>2711-SUM(AQ43:AS43)</f>
        <v>716</v>
      </c>
      <c r="AU43" s="1">
        <v>607</v>
      </c>
      <c r="AV43" s="1">
        <v>729</v>
      </c>
      <c r="AW43" s="1">
        <v>712</v>
      </c>
      <c r="AX43" s="1">
        <f>2805-SUM(AU43:AW43)</f>
        <v>757</v>
      </c>
      <c r="AY43" s="1">
        <v>669</v>
      </c>
      <c r="AZ43" s="1">
        <v>706</v>
      </c>
      <c r="BA43" s="1">
        <v>751</v>
      </c>
      <c r="BB43" s="1">
        <f>2934-SUM(AY43:BA43)</f>
        <v>808</v>
      </c>
      <c r="BC43" s="1">
        <v>637</v>
      </c>
      <c r="BD43" s="1">
        <v>697</v>
      </c>
      <c r="BE43" s="1">
        <v>684</v>
      </c>
      <c r="BF43" s="1">
        <f>2807-SUM(BC43:BE43)</f>
        <v>789</v>
      </c>
      <c r="BG43" s="1">
        <v>627</v>
      </c>
      <c r="BH43" s="1">
        <v>726</v>
      </c>
      <c r="BI43" s="1">
        <v>711</v>
      </c>
      <c r="BJ43" s="62"/>
      <c r="BS43" s="1">
        <f t="shared" si="66"/>
        <v>2371</v>
      </c>
      <c r="BT43" s="1">
        <f t="shared" si="67"/>
        <v>2342</v>
      </c>
      <c r="BU43" s="1">
        <f t="shared" si="68"/>
        <v>2475</v>
      </c>
      <c r="BV43" s="1">
        <f t="shared" si="69"/>
        <v>2279</v>
      </c>
      <c r="BW43" s="1">
        <f t="shared" si="70"/>
        <v>2376</v>
      </c>
      <c r="BX43" s="1">
        <f t="shared" si="71"/>
        <v>2427</v>
      </c>
      <c r="BY43" s="1">
        <f t="shared" si="72"/>
        <v>1878</v>
      </c>
      <c r="BZ43" s="1">
        <f t="shared" si="73"/>
        <v>2452</v>
      </c>
      <c r="CA43" s="1">
        <f t="shared" si="74"/>
        <v>2582</v>
      </c>
      <c r="CB43" s="1">
        <f t="shared" si="75"/>
        <v>2711</v>
      </c>
      <c r="CC43" s="1">
        <f t="shared" si="76"/>
        <v>2711</v>
      </c>
      <c r="CD43" s="1">
        <f t="shared" si="77"/>
        <v>2805</v>
      </c>
      <c r="CE43" s="1">
        <f t="shared" si="78"/>
        <v>2934</v>
      </c>
      <c r="CF43" s="1">
        <f t="shared" si="79"/>
        <v>2807</v>
      </c>
      <c r="CG43" s="62">
        <f>CG40*CG58</f>
        <v>2760.1489999999999</v>
      </c>
      <c r="CH43" s="62">
        <f t="shared" ref="CH43:CP43" si="81">CH40*CH58</f>
        <v>3228.6178470999998</v>
      </c>
      <c r="CI43" s="62">
        <f t="shared" si="81"/>
        <v>3758.3793805800001</v>
      </c>
      <c r="CJ43" s="62">
        <f t="shared" si="81"/>
        <v>4305.5558399466445</v>
      </c>
      <c r="CK43" s="62">
        <f t="shared" si="81"/>
        <v>4858.1778604091332</v>
      </c>
      <c r="CL43" s="62">
        <f t="shared" si="81"/>
        <v>5196.6368230097369</v>
      </c>
      <c r="CM43" s="62">
        <f t="shared" si="81"/>
        <v>5306.4809197992954</v>
      </c>
      <c r="CN43" s="62">
        <f t="shared" si="81"/>
        <v>5369.7684881940113</v>
      </c>
      <c r="CO43" s="62">
        <f t="shared" si="81"/>
        <v>5395.6383625484123</v>
      </c>
      <c r="CP43" s="62">
        <f t="shared" si="81"/>
        <v>5382.3267931748533</v>
      </c>
    </row>
    <row r="44" spans="2:146">
      <c r="B44" s="1" t="s">
        <v>193</v>
      </c>
      <c r="C44" s="1">
        <v>1529</v>
      </c>
      <c r="D44" s="1">
        <v>1509</v>
      </c>
      <c r="E44" s="1">
        <v>1619</v>
      </c>
      <c r="F44" s="1">
        <v>1795</v>
      </c>
      <c r="G44" s="1">
        <v>1627</v>
      </c>
      <c r="H44" s="1">
        <v>1737</v>
      </c>
      <c r="I44" s="1">
        <v>1633</v>
      </c>
      <c r="J44" s="1">
        <v>1367</v>
      </c>
      <c r="K44" s="1">
        <v>1596</v>
      </c>
      <c r="L44" s="1">
        <v>1623</v>
      </c>
      <c r="M44" s="1">
        <v>1501</v>
      </c>
      <c r="N44" s="1">
        <v>1452</v>
      </c>
      <c r="O44" s="1">
        <v>1476</v>
      </c>
      <c r="P44" s="1">
        <v>1426</v>
      </c>
      <c r="Q44" s="1">
        <v>1359</v>
      </c>
      <c r="R44" s="1">
        <v>1836</v>
      </c>
      <c r="S44" s="1">
        <v>1363</v>
      </c>
      <c r="T44" s="1">
        <v>1451</v>
      </c>
      <c r="U44" s="1">
        <v>1390</v>
      </c>
      <c r="V44" s="1">
        <v>1754</v>
      </c>
      <c r="W44" s="1">
        <v>1537</v>
      </c>
      <c r="X44" s="1">
        <v>1590</v>
      </c>
      <c r="Y44" s="1">
        <v>1582</v>
      </c>
      <c r="Z44" s="1">
        <v>1720</v>
      </c>
      <c r="AA44" s="1">
        <v>1711</v>
      </c>
      <c r="AB44" s="1">
        <v>1759</v>
      </c>
      <c r="AC44" s="1">
        <v>1681</v>
      </c>
      <c r="AD44" s="1">
        <v>-2287</v>
      </c>
      <c r="AE44" s="1">
        <v>1997</v>
      </c>
      <c r="AF44" s="1">
        <v>902</v>
      </c>
      <c r="AG44" s="1">
        <v>902</v>
      </c>
      <c r="AH44" s="1">
        <v>-90</v>
      </c>
      <c r="AI44" s="1">
        <v>977</v>
      </c>
      <c r="AJ44" s="1">
        <v>1811</v>
      </c>
      <c r="AK44" s="1">
        <v>1401</v>
      </c>
      <c r="AL44" s="1">
        <v>1351</v>
      </c>
      <c r="AM44" s="1">
        <v>1220</v>
      </c>
      <c r="AN44" s="1">
        <v>1368</v>
      </c>
      <c r="AO44" s="1">
        <v>1229</v>
      </c>
      <c r="AP44" s="1">
        <f>5663-SUM(AM44:AO44)</f>
        <v>1846</v>
      </c>
      <c r="AQ44" s="1">
        <v>1469</v>
      </c>
      <c r="AR44" s="1">
        <v>1424</v>
      </c>
      <c r="AS44" s="1">
        <v>1351</v>
      </c>
      <c r="AT44" s="1">
        <f>5663-SUM(AQ44:AS44)</f>
        <v>1419</v>
      </c>
      <c r="AU44" s="1">
        <v>1363</v>
      </c>
      <c r="AV44" s="1">
        <v>1600</v>
      </c>
      <c r="AW44" s="1">
        <v>1401</v>
      </c>
      <c r="AX44" s="1">
        <f>5809-SUM(AU44:AW44)</f>
        <v>1445</v>
      </c>
      <c r="AY44" s="1">
        <v>1394</v>
      </c>
      <c r="AZ44" s="1">
        <v>1449</v>
      </c>
      <c r="BA44" s="1">
        <v>1389</v>
      </c>
      <c r="BB44" s="1">
        <f>5806-SUM(AY44:BA44)</f>
        <v>1574</v>
      </c>
      <c r="BC44" s="1">
        <v>1448</v>
      </c>
      <c r="BD44" s="1">
        <v>1573</v>
      </c>
      <c r="BE44" s="1">
        <v>1436</v>
      </c>
      <c r="BF44" s="1">
        <f>6095-SUM(BC44:BE44)</f>
        <v>1638</v>
      </c>
      <c r="BG44" s="1">
        <v>1476</v>
      </c>
      <c r="BH44" s="1">
        <v>1658</v>
      </c>
      <c r="BI44" s="1">
        <v>1918</v>
      </c>
      <c r="BJ44" s="62"/>
      <c r="BS44" s="1">
        <f t="shared" si="66"/>
        <v>6452</v>
      </c>
      <c r="BT44" s="1">
        <f t="shared" si="67"/>
        <v>6364</v>
      </c>
      <c r="BU44" s="1">
        <f t="shared" si="68"/>
        <v>6172</v>
      </c>
      <c r="BV44" s="1">
        <f t="shared" si="69"/>
        <v>6097</v>
      </c>
      <c r="BW44" s="1">
        <f t="shared" si="70"/>
        <v>5958</v>
      </c>
      <c r="BX44" s="1">
        <f t="shared" si="71"/>
        <v>6429</v>
      </c>
      <c r="BY44" s="1">
        <f t="shared" si="72"/>
        <v>2864</v>
      </c>
      <c r="BZ44" s="1">
        <f t="shared" si="73"/>
        <v>3711</v>
      </c>
      <c r="CA44" s="1">
        <f t="shared" si="74"/>
        <v>5540</v>
      </c>
      <c r="CB44" s="1">
        <f t="shared" si="75"/>
        <v>5663</v>
      </c>
      <c r="CC44" s="1">
        <f t="shared" si="76"/>
        <v>5663</v>
      </c>
      <c r="CD44" s="1">
        <f t="shared" si="77"/>
        <v>5809</v>
      </c>
      <c r="CE44" s="1">
        <f t="shared" si="78"/>
        <v>5806</v>
      </c>
      <c r="CF44" s="1">
        <f t="shared" si="79"/>
        <v>6095</v>
      </c>
      <c r="CG44" s="62">
        <f>CG40*CG59</f>
        <v>6604.6422500000008</v>
      </c>
      <c r="CH44" s="62">
        <f t="shared" ref="CH44:CP44" si="82">CH40*CH59</f>
        <v>7793.2154929999997</v>
      </c>
      <c r="CI44" s="62">
        <f t="shared" si="82"/>
        <v>9020.1105133919991</v>
      </c>
      <c r="CJ44" s="62">
        <f t="shared" si="82"/>
        <v>9722.2228643956496</v>
      </c>
      <c r="CK44" s="62">
        <f t="shared" si="82"/>
        <v>10247.718924300516</v>
      </c>
      <c r="CL44" s="62">
        <f t="shared" si="82"/>
        <v>10555.668546738529</v>
      </c>
      <c r="CM44" s="62">
        <f t="shared" si="82"/>
        <v>10698.550241530838</v>
      </c>
      <c r="CN44" s="62">
        <f t="shared" si="82"/>
        <v>11097.521542267623</v>
      </c>
      <c r="CO44" s="62">
        <f t="shared" si="82"/>
        <v>11349.446210877693</v>
      </c>
      <c r="CP44" s="62">
        <f t="shared" si="82"/>
        <v>11533.557413946113</v>
      </c>
    </row>
    <row r="45" spans="2:146">
      <c r="B45" s="1" t="s">
        <v>220</v>
      </c>
      <c r="C45" s="1">
        <v>-300</v>
      </c>
      <c r="D45" s="1">
        <v>-340</v>
      </c>
      <c r="E45" s="1">
        <v>-211</v>
      </c>
      <c r="F45" s="1">
        <v>-101</v>
      </c>
      <c r="G45" s="1">
        <v>-309</v>
      </c>
      <c r="H45" s="1">
        <v>-421</v>
      </c>
      <c r="I45" s="1">
        <v>-187</v>
      </c>
      <c r="J45" s="1">
        <v>-206</v>
      </c>
      <c r="K45" s="1">
        <v>-263</v>
      </c>
      <c r="L45" s="1">
        <v>-384</v>
      </c>
      <c r="M45" s="1">
        <v>-305</v>
      </c>
      <c r="N45" s="1">
        <v>-286</v>
      </c>
      <c r="O45" s="1">
        <v>-408</v>
      </c>
      <c r="P45" s="1">
        <v>-181</v>
      </c>
      <c r="Q45" s="1">
        <v>-219</v>
      </c>
      <c r="R45" s="1">
        <v>808</v>
      </c>
      <c r="S45" s="1">
        <v>-146</v>
      </c>
      <c r="T45" s="1">
        <v>-243</v>
      </c>
      <c r="U45" s="1">
        <v>-211</v>
      </c>
      <c r="V45" s="1">
        <v>-182</v>
      </c>
      <c r="W45" s="1">
        <v>-588</v>
      </c>
      <c r="X45" s="1">
        <v>-257</v>
      </c>
      <c r="Y45" s="1">
        <v>-250</v>
      </c>
      <c r="Z45" s="1">
        <v>-263</v>
      </c>
      <c r="AA45" s="1">
        <v>-231</v>
      </c>
      <c r="AB45" s="1">
        <v>-941</v>
      </c>
      <c r="AC45" s="1">
        <v>-131</v>
      </c>
      <c r="AD45" s="1">
        <v>920</v>
      </c>
      <c r="AE45" s="1">
        <v>-112</v>
      </c>
      <c r="AF45" s="1">
        <v>-118</v>
      </c>
      <c r="AG45" s="1">
        <v>-60</v>
      </c>
      <c r="AH45" s="1">
        <v>-36</v>
      </c>
      <c r="AI45" s="1">
        <v>-19</v>
      </c>
      <c r="AJ45" s="1">
        <v>3101</v>
      </c>
      <c r="AK45" s="1">
        <v>-734</v>
      </c>
      <c r="AL45" s="1">
        <v>-50</v>
      </c>
      <c r="AM45" s="1">
        <v>-108</v>
      </c>
      <c r="AN45" s="1">
        <v>-82</v>
      </c>
      <c r="AO45" s="1">
        <v>-124</v>
      </c>
      <c r="AP45" s="1">
        <f>1000-SUM(AM45:AO45)</f>
        <v>1314</v>
      </c>
      <c r="AQ45" s="1">
        <v>-28</v>
      </c>
      <c r="AR45" s="1">
        <v>-17</v>
      </c>
      <c r="AS45" s="1">
        <v>-46</v>
      </c>
      <c r="AT45" s="1">
        <f>-120-SUM(AQ45:AS45)</f>
        <v>-29</v>
      </c>
      <c r="AU45" s="1">
        <v>-88</v>
      </c>
      <c r="AV45" s="1">
        <v>-25</v>
      </c>
      <c r="AW45" s="1">
        <v>-3</v>
      </c>
      <c r="AX45" s="1">
        <f>-86-SUM(AU45:AW45)</f>
        <v>30</v>
      </c>
      <c r="AY45" s="1">
        <v>-372</v>
      </c>
      <c r="AZ45" s="1">
        <v>896</v>
      </c>
      <c r="BA45" s="1">
        <v>-134</v>
      </c>
      <c r="BB45" s="1">
        <f>132-SUM(AY45:BA45)</f>
        <v>-258</v>
      </c>
      <c r="BC45" s="1">
        <v>-4</v>
      </c>
      <c r="BD45" s="1">
        <v>-40</v>
      </c>
      <c r="BE45" s="1">
        <v>-63</v>
      </c>
      <c r="BF45" s="1">
        <f>-413-SUM(BC45:BE45)</f>
        <v>-306</v>
      </c>
      <c r="BG45" s="1">
        <v>-64</v>
      </c>
      <c r="BH45" s="1">
        <v>-62</v>
      </c>
      <c r="BI45" s="1">
        <v>-161</v>
      </c>
      <c r="BJ45" s="62"/>
      <c r="BS45" s="1">
        <f t="shared" si="66"/>
        <v>-952</v>
      </c>
      <c r="BT45" s="1">
        <f t="shared" si="67"/>
        <v>-1123</v>
      </c>
      <c r="BU45" s="1">
        <f t="shared" si="68"/>
        <v>-1238</v>
      </c>
      <c r="BV45" s="1">
        <f t="shared" si="69"/>
        <v>0</v>
      </c>
      <c r="BW45" s="1">
        <f t="shared" si="70"/>
        <v>-782</v>
      </c>
      <c r="BX45" s="1">
        <f t="shared" si="71"/>
        <v>-1358</v>
      </c>
      <c r="BY45" s="1">
        <f t="shared" si="72"/>
        <v>-383</v>
      </c>
      <c r="BZ45" s="1">
        <f t="shared" si="73"/>
        <v>-326</v>
      </c>
      <c r="CA45" s="1">
        <f t="shared" si="74"/>
        <v>2298</v>
      </c>
      <c r="CB45" s="1">
        <f t="shared" si="75"/>
        <v>1000</v>
      </c>
      <c r="CC45" s="1">
        <f t="shared" si="76"/>
        <v>-120</v>
      </c>
      <c r="CD45" s="1">
        <f t="shared" si="77"/>
        <v>-86</v>
      </c>
      <c r="CE45" s="1">
        <f t="shared" si="78"/>
        <v>132</v>
      </c>
      <c r="CF45" s="1">
        <f t="shared" si="79"/>
        <v>-413</v>
      </c>
      <c r="CG45" s="62">
        <f>CG40*CG60</f>
        <v>-295.73025000000001</v>
      </c>
      <c r="CH45" s="62">
        <f t="shared" ref="CH45:CP45" si="83">CH40*CH60</f>
        <v>-333.99494969999995</v>
      </c>
      <c r="CI45" s="62">
        <f t="shared" si="83"/>
        <v>-375.83793805800002</v>
      </c>
      <c r="CJ45" s="62">
        <f t="shared" si="83"/>
        <v>-416.66669418838501</v>
      </c>
      <c r="CK45" s="62">
        <f t="shared" si="83"/>
        <v>-455.45417441335621</v>
      </c>
      <c r="CL45" s="62">
        <f t="shared" si="83"/>
        <v>-487.18470215716286</v>
      </c>
      <c r="CM45" s="62">
        <f t="shared" si="83"/>
        <v>-513.53041159348027</v>
      </c>
      <c r="CN45" s="62">
        <f t="shared" si="83"/>
        <v>-536.9768488194012</v>
      </c>
      <c r="CO45" s="62">
        <f t="shared" si="83"/>
        <v>-558.16948578087022</v>
      </c>
      <c r="CP45" s="62">
        <f t="shared" si="83"/>
        <v>-576.67787069730571</v>
      </c>
    </row>
    <row r="46" spans="2:146">
      <c r="B46" s="1" t="s">
        <v>194</v>
      </c>
      <c r="C46" s="1">
        <f t="shared" ref="C46" si="84">C42-SUM(C43:C45)</f>
        <v>1713</v>
      </c>
      <c r="D46" s="1">
        <f t="shared" ref="D46" si="85">D42-SUM(D43:D45)</f>
        <v>2179</v>
      </c>
      <c r="E46" s="1">
        <f t="shared" ref="E46" si="86">E42-SUM(E43:E45)</f>
        <v>2041</v>
      </c>
      <c r="F46" s="1">
        <f t="shared" ref="F46" si="87">F42-SUM(F43:F45)</f>
        <v>1751</v>
      </c>
      <c r="G46" s="1">
        <f t="shared" ref="G46" si="88">G42-SUM(G43:G45)</f>
        <v>2006</v>
      </c>
      <c r="H46" s="1">
        <f t="shared" ref="H46" si="89">H42-SUM(H43:H45)</f>
        <v>2507</v>
      </c>
      <c r="I46" s="1">
        <f t="shared" ref="I46" si="90">I42-SUM(I43:I45)</f>
        <v>2366</v>
      </c>
      <c r="J46" s="1">
        <f t="shared" ref="J46" si="91">J42-SUM(J43:J45)</f>
        <v>1670</v>
      </c>
      <c r="K46" s="1">
        <f t="shared" ref="K46" si="92">K42-SUM(K43:K45)</f>
        <v>2098</v>
      </c>
      <c r="L46" s="1">
        <f t="shared" ref="L46" si="93">L42-SUM(L43:L45)</f>
        <v>2355</v>
      </c>
      <c r="M46" s="1">
        <f t="shared" ref="M46" si="94">M42-SUM(M43:M45)</f>
        <v>2612</v>
      </c>
      <c r="N46" s="1">
        <f t="shared" ref="N46" si="95">N42-SUM(N43:N45)</f>
        <v>2528</v>
      </c>
      <c r="O46" s="1">
        <f t="shared" ref="O46" si="96">O42-SUM(O43:O45)</f>
        <v>2182</v>
      </c>
      <c r="P46" s="1">
        <f t="shared" ref="P46" si="97">P42-SUM(P43:P45)</f>
        <v>2415</v>
      </c>
      <c r="Q46" s="1">
        <f t="shared" ref="Q46" si="98">Q42-SUM(Q43:Q45)</f>
        <v>2302</v>
      </c>
      <c r="R46" s="1">
        <f t="shared" ref="R46" si="99">R42-SUM(R43:R45)</f>
        <v>392</v>
      </c>
      <c r="S46" s="1">
        <f t="shared" ref="S46" si="100">S42-SUM(S43:S45)</f>
        <v>1945</v>
      </c>
      <c r="T46" s="1">
        <f t="shared" ref="T46" si="101">T42-SUM(T43:T45)</f>
        <v>2337</v>
      </c>
      <c r="U46" s="1">
        <f t="shared" ref="U46" si="102">U42-SUM(U43:U45)</f>
        <v>2251</v>
      </c>
      <c r="V46" s="1">
        <f t="shared" ref="V46" si="103">V42-SUM(V43:V45)</f>
        <v>1688</v>
      </c>
      <c r="W46" s="1">
        <f t="shared" ref="W46" si="104">W42-SUM(W43:W45)</f>
        <v>2144</v>
      </c>
      <c r="X46" s="1">
        <f t="shared" ref="X46" si="105">X42-SUM(X43:X45)</f>
        <v>2164</v>
      </c>
      <c r="Y46" s="1">
        <f t="shared" ref="Y46" si="106">Y42-SUM(Y43:Y45)</f>
        <v>2032</v>
      </c>
      <c r="Z46" s="1">
        <f t="shared" ref="Z46" si="107">Z42-SUM(Z43:Z45)</f>
        <v>1798</v>
      </c>
      <c r="AA46" s="1">
        <f t="shared" ref="AA46" si="108">AA42-SUM(AA43:AA45)</f>
        <v>1928</v>
      </c>
      <c r="AB46" s="1">
        <f t="shared" ref="AB46" si="109">AB42-SUM(AB43:AB45)</f>
        <v>2876</v>
      </c>
      <c r="AC46" s="1">
        <f t="shared" ref="AC46" si="110">AC42-SUM(AC43:AC45)</f>
        <v>1838</v>
      </c>
      <c r="AD46" s="1">
        <f t="shared" ref="AD46" si="111">AD42-SUM(AD43:AD45)</f>
        <v>-3765</v>
      </c>
      <c r="AE46" s="1">
        <f t="shared" ref="AE46" si="112">AE42-SUM(AE43:AE45)</f>
        <v>2045</v>
      </c>
      <c r="AF46" s="1">
        <f t="shared" ref="AF46" si="113">AF42-SUM(AF43:AF45)</f>
        <v>1386</v>
      </c>
      <c r="AG46" s="1">
        <f t="shared" ref="AG46" si="114">AG42-SUM(AG43:AG45)</f>
        <v>1430</v>
      </c>
      <c r="AH46" s="1">
        <f t="shared" ref="AH46" si="115">AH42-SUM(AH43:AH45)</f>
        <v>53</v>
      </c>
      <c r="AI46" s="1">
        <f t="shared" ref="AI46" si="116">AI42-SUM(AI43:AI45)</f>
        <v>8145</v>
      </c>
      <c r="AJ46" s="1">
        <f t="shared" ref="AJ46" si="117">AJ42-SUM(AJ43:AJ45)</f>
        <v>-3544</v>
      </c>
      <c r="AK46" s="1">
        <f t="shared" ref="AK46" si="118">AK42-SUM(AK43:AK45)</f>
        <v>434</v>
      </c>
      <c r="AL46" s="1">
        <f t="shared" ref="AL46" si="119">AL42-SUM(AL43:AL45)</f>
        <v>306</v>
      </c>
      <c r="AM46" s="1">
        <f t="shared" ref="AM46" si="120">AM42-SUM(AM43:AM45)</f>
        <v>1013</v>
      </c>
      <c r="AN46" s="1">
        <f t="shared" ref="AN46" si="121">AN42-SUM(AN43:AN45)</f>
        <v>1282</v>
      </c>
      <c r="AO46" s="1">
        <f t="shared" ref="AO46" si="122">AO42-SUM(AO43:AO45)</f>
        <v>1343</v>
      </c>
      <c r="AP46" s="1">
        <f t="shared" ref="AP46" si="123">AP42-SUM(AP43:AP45)</f>
        <v>-521</v>
      </c>
      <c r="AQ46" s="1">
        <f t="shared" ref="AQ46" si="124">AQ42-SUM(AQ43:AQ45)</f>
        <v>1080</v>
      </c>
      <c r="AR46" s="1">
        <f t="shared" ref="AR46" si="125">AR42-SUM(AR43:AR45)</f>
        <v>1353</v>
      </c>
      <c r="AS46" s="1">
        <f t="shared" ref="AS46" si="126">AS42-SUM(AS43:AS45)</f>
        <v>1520</v>
      </c>
      <c r="AT46" s="1">
        <f t="shared" ref="AT46" si="127">AT42-SUM(AT43:AT45)</f>
        <v>1461</v>
      </c>
      <c r="AU46" s="1">
        <f t="shared" ref="AU46" si="128">AU42-SUM(AU43:AU45)</f>
        <v>1687</v>
      </c>
      <c r="AV46" s="1">
        <f t="shared" ref="AV46" si="129">AV42-SUM(AV43:AV45)</f>
        <v>1493</v>
      </c>
      <c r="AW46" s="1">
        <f t="shared" ref="AW46" si="130">AW42-SUM(AW43:AW45)</f>
        <v>-1396</v>
      </c>
      <c r="AX46" s="1">
        <f t="shared" ref="AX46" si="131">AX42-SUM(AX43:AX45)</f>
        <v>1777</v>
      </c>
      <c r="AY46" s="1">
        <f t="shared" ref="AY46" si="132">AY42-SUM(AY43:AY45)</f>
        <v>1870</v>
      </c>
      <c r="AZ46" s="1">
        <f t="shared" ref="AZ46" si="133">AZ42-SUM(AZ43:AZ45)</f>
        <v>529</v>
      </c>
      <c r="BA46" s="1">
        <f t="shared" ref="BA46" si="134">BA42-SUM(BA43:BA45)</f>
        <v>2028</v>
      </c>
      <c r="BB46" s="1">
        <f t="shared" ref="BB46" si="135">BB42-SUM(BB43:BB45)</f>
        <v>2111</v>
      </c>
      <c r="BC46" s="1">
        <f t="shared" ref="BC46" si="136">BC42-SUM(BC43:BC45)</f>
        <v>2035</v>
      </c>
      <c r="BD46" s="1">
        <f t="shared" ref="BD46" si="137">BD42-SUM(BD43:BD45)</f>
        <v>2146</v>
      </c>
      <c r="BE46" s="1">
        <f t="shared" ref="BE46" si="138">BE42-SUM(BE43:BE45)</f>
        <v>2523</v>
      </c>
      <c r="BF46" s="1">
        <f t="shared" ref="BF46:BG46" si="139">BF42-SUM(BF43:BF45)</f>
        <v>2596</v>
      </c>
      <c r="BG46" s="1">
        <f t="shared" si="139"/>
        <v>2555</v>
      </c>
      <c r="BH46" s="1">
        <f>BH42-SUM(BH43:BH45)</f>
        <v>2811</v>
      </c>
      <c r="BI46" s="1">
        <f>BI42-SUM(BI43:BI45)</f>
        <v>3337</v>
      </c>
      <c r="BJ46" s="62"/>
      <c r="BS46" s="1">
        <f t="shared" si="66"/>
        <v>7684</v>
      </c>
      <c r="BT46" s="1">
        <f t="shared" si="67"/>
        <v>8549</v>
      </c>
      <c r="BU46" s="1">
        <f t="shared" si="68"/>
        <v>9593</v>
      </c>
      <c r="BV46" s="1">
        <f t="shared" si="69"/>
        <v>7291</v>
      </c>
      <c r="BW46" s="1">
        <f t="shared" si="70"/>
        <v>8221</v>
      </c>
      <c r="BX46" s="1">
        <f t="shared" si="71"/>
        <v>8138</v>
      </c>
      <c r="BY46" s="1">
        <f t="shared" si="72"/>
        <v>2877</v>
      </c>
      <c r="BZ46" s="1">
        <f t="shared" si="73"/>
        <v>4914</v>
      </c>
      <c r="CA46" s="1">
        <f t="shared" si="74"/>
        <v>5341</v>
      </c>
      <c r="CB46" s="1">
        <f t="shared" si="75"/>
        <v>3117</v>
      </c>
      <c r="CC46" s="1">
        <f t="shared" si="76"/>
        <v>5414</v>
      </c>
      <c r="CD46" s="1">
        <f t="shared" si="77"/>
        <v>3561</v>
      </c>
      <c r="CE46" s="1">
        <f t="shared" si="78"/>
        <v>6538</v>
      </c>
      <c r="CF46" s="1">
        <f t="shared" si="79"/>
        <v>9300</v>
      </c>
      <c r="CG46" s="62">
        <f>CG42-SUM(CG43:CG45)</f>
        <v>11632.056499999993</v>
      </c>
      <c r="CH46" s="62">
        <f t="shared" ref="CH46:CP46" si="140">CH42-SUM(CH43:CH45)</f>
        <v>12970.137213350004</v>
      </c>
      <c r="CI46" s="62">
        <f t="shared" si="140"/>
        <v>14532.400271576002</v>
      </c>
      <c r="CJ46" s="62">
        <f t="shared" si="140"/>
        <v>16944.445563660982</v>
      </c>
      <c r="CK46" s="62">
        <f t="shared" si="140"/>
        <v>18901.348238154282</v>
      </c>
      <c r="CL46" s="62">
        <f t="shared" si="140"/>
        <v>20786.547292038937</v>
      </c>
      <c r="CM46" s="62">
        <f t="shared" si="140"/>
        <v>22680.926512045371</v>
      </c>
      <c r="CN46" s="62">
        <f t="shared" si="140"/>
        <v>24163.958196873056</v>
      </c>
      <c r="CO46" s="62">
        <f t="shared" si="140"/>
        <v>25675.79634592004</v>
      </c>
      <c r="CP46" s="62">
        <f t="shared" si="140"/>
        <v>26911.633965874273</v>
      </c>
    </row>
    <row r="47" spans="2:146">
      <c r="B47" s="1" t="s">
        <v>225</v>
      </c>
      <c r="C47" s="1">
        <v>-129</v>
      </c>
      <c r="D47" s="1">
        <v>-168</v>
      </c>
      <c r="E47" s="1">
        <v>-216</v>
      </c>
      <c r="F47" s="1">
        <v>-260</v>
      </c>
      <c r="G47" s="1">
        <v>-236</v>
      </c>
      <c r="H47" s="1">
        <v>-217</v>
      </c>
      <c r="I47" s="1">
        <v>-226</v>
      </c>
      <c r="J47" s="1">
        <v>-216</v>
      </c>
      <c r="K47" s="1">
        <v>-225</v>
      </c>
      <c r="L47" s="1">
        <v>-206</v>
      </c>
      <c r="M47" s="1">
        <v>-185</v>
      </c>
      <c r="N47" s="1">
        <v>-265</v>
      </c>
      <c r="O47" s="1">
        <v>-217</v>
      </c>
      <c r="P47" s="1">
        <v>-217</v>
      </c>
      <c r="Q47" s="1">
        <v>-184</v>
      </c>
      <c r="R47" s="1">
        <v>-206</v>
      </c>
      <c r="S47" s="1">
        <v>-223</v>
      </c>
      <c r="T47" s="1">
        <v>-225</v>
      </c>
      <c r="U47" s="1">
        <v>-225</v>
      </c>
      <c r="V47" s="1">
        <v>-415</v>
      </c>
      <c r="W47" s="1">
        <v>-90</v>
      </c>
      <c r="X47" s="1">
        <v>-100</v>
      </c>
      <c r="Y47" s="1">
        <v>-92</v>
      </c>
      <c r="Z47" s="1">
        <v>-93</v>
      </c>
      <c r="AA47" s="1">
        <v>-38</v>
      </c>
      <c r="AB47" s="1">
        <v>-42</v>
      </c>
      <c r="AC47" s="1">
        <v>-70</v>
      </c>
      <c r="AD47" s="1">
        <v>-223</v>
      </c>
      <c r="AE47" s="1">
        <v>-223</v>
      </c>
      <c r="AF47" s="1">
        <v>-152</v>
      </c>
      <c r="AG47" s="1">
        <v>-113</v>
      </c>
      <c r="AH47" s="1">
        <v>-274</v>
      </c>
      <c r="AI47" s="1">
        <v>-164</v>
      </c>
      <c r="AJ47" s="1">
        <v>-98</v>
      </c>
      <c r="AK47" s="1">
        <v>-97</v>
      </c>
      <c r="AL47" s="1">
        <v>-105</v>
      </c>
      <c r="AM47" s="1">
        <v>-491</v>
      </c>
      <c r="AN47" s="1">
        <v>-490</v>
      </c>
      <c r="AO47" s="1">
        <v>-491</v>
      </c>
      <c r="AP47" s="1">
        <f t="shared" ref="AP47:AP52" si="141">1000-SUM(AM47:AO47)</f>
        <v>2472</v>
      </c>
      <c r="AQ47" s="1">
        <v>-480</v>
      </c>
      <c r="AR47" s="1">
        <v>-474</v>
      </c>
      <c r="AS47" s="1">
        <v>-468</v>
      </c>
      <c r="AT47" s="1">
        <f>-1889-SUM(AQ47:AS47)</f>
        <v>-467</v>
      </c>
      <c r="AU47" s="1">
        <v>-444</v>
      </c>
      <c r="AV47" s="1">
        <v>-447</v>
      </c>
      <c r="AW47" s="1">
        <v>-443</v>
      </c>
      <c r="AX47" s="1">
        <f>-1780-SUM(AU47:AW47)</f>
        <v>-446</v>
      </c>
      <c r="AY47" s="1">
        <v>-386</v>
      </c>
      <c r="AZ47" s="1">
        <v>-374</v>
      </c>
      <c r="BA47" s="1">
        <v>-374</v>
      </c>
      <c r="BB47" s="1">
        <f>-1518-SUM(AY47:BA47)</f>
        <v>-384</v>
      </c>
      <c r="BC47" s="1">
        <v>-366</v>
      </c>
      <c r="BD47" s="1">
        <v>-351</v>
      </c>
      <c r="BE47" s="1">
        <v>-364</v>
      </c>
      <c r="BF47" s="1">
        <f>-1182-SUM(BC47:BE47)</f>
        <v>-101</v>
      </c>
      <c r="BG47" s="1">
        <v>-355</v>
      </c>
      <c r="BH47" s="1">
        <v>-348</v>
      </c>
      <c r="BI47" s="1">
        <v>-345</v>
      </c>
      <c r="BJ47" s="62"/>
      <c r="BS47" s="1">
        <f t="shared" si="66"/>
        <v>-773</v>
      </c>
      <c r="BT47" s="1">
        <f t="shared" si="67"/>
        <v>-895</v>
      </c>
      <c r="BU47" s="1">
        <f t="shared" si="68"/>
        <v>-881</v>
      </c>
      <c r="BV47" s="1">
        <f t="shared" si="69"/>
        <v>-824</v>
      </c>
      <c r="BW47" s="1">
        <f t="shared" si="70"/>
        <v>-1088</v>
      </c>
      <c r="BX47" s="1">
        <f t="shared" si="71"/>
        <v>-375</v>
      </c>
      <c r="BY47" s="1">
        <f t="shared" si="72"/>
        <v>-373</v>
      </c>
      <c r="BZ47" s="1">
        <f t="shared" si="73"/>
        <v>-762</v>
      </c>
      <c r="CA47" s="1">
        <f t="shared" si="74"/>
        <v>-464</v>
      </c>
      <c r="CB47" s="1">
        <f t="shared" si="75"/>
        <v>1000</v>
      </c>
      <c r="CC47" s="1">
        <f t="shared" si="76"/>
        <v>-1889</v>
      </c>
      <c r="CD47" s="1">
        <f t="shared" si="77"/>
        <v>-1780</v>
      </c>
      <c r="CE47" s="1">
        <f t="shared" si="78"/>
        <v>-1518</v>
      </c>
      <c r="CF47" s="1">
        <f t="shared" si="79"/>
        <v>-1182</v>
      </c>
      <c r="CG47" s="62">
        <f t="shared" ref="CG47:CP47" si="142">CF65*(-$CZ$65)</f>
        <v>-322.3125</v>
      </c>
      <c r="CH47" s="62">
        <f t="shared" si="142"/>
        <v>-839.2822018749996</v>
      </c>
      <c r="CI47" s="62">
        <f t="shared" si="142"/>
        <v>-1465.2997194143122</v>
      </c>
      <c r="CJ47" s="62">
        <f t="shared" si="142"/>
        <v>-2202.4672349411749</v>
      </c>
      <c r="CK47" s="62">
        <f t="shared" si="142"/>
        <v>-3096.9133700843336</v>
      </c>
      <c r="CL47" s="62">
        <f t="shared" si="142"/>
        <v>-4135.6339364898868</v>
      </c>
      <c r="CM47" s="62">
        <f t="shared" si="142"/>
        <v>-5320.2337400691667</v>
      </c>
      <c r="CN47" s="62">
        <f t="shared" si="142"/>
        <v>-6656.4160400713408</v>
      </c>
      <c r="CO47" s="62">
        <f t="shared" si="142"/>
        <v>-8129.0128694113737</v>
      </c>
      <c r="CP47" s="62">
        <f t="shared" si="142"/>
        <v>-9734.0721791092583</v>
      </c>
    </row>
    <row r="48" spans="2:146">
      <c r="B48" s="1" t="s">
        <v>195</v>
      </c>
      <c r="C48" s="77">
        <v>0</v>
      </c>
      <c r="D48" s="77">
        <v>0</v>
      </c>
      <c r="E48" s="77">
        <v>0</v>
      </c>
      <c r="F48" s="77">
        <v>0</v>
      </c>
      <c r="G48" s="77">
        <v>0</v>
      </c>
      <c r="H48" s="77">
        <v>0</v>
      </c>
      <c r="I48" s="77">
        <v>0</v>
      </c>
      <c r="J48" s="77">
        <v>0</v>
      </c>
      <c r="K48" s="77">
        <v>0</v>
      </c>
      <c r="L48" s="77">
        <v>0</v>
      </c>
      <c r="M48" s="77">
        <v>0</v>
      </c>
      <c r="N48" s="77">
        <v>0</v>
      </c>
      <c r="O48" s="77">
        <v>0</v>
      </c>
      <c r="P48" s="77">
        <v>0</v>
      </c>
      <c r="Q48" s="77">
        <v>0</v>
      </c>
      <c r="R48" s="77">
        <v>0</v>
      </c>
      <c r="S48" s="77">
        <v>0</v>
      </c>
      <c r="T48" s="77">
        <v>0</v>
      </c>
      <c r="U48" s="77">
        <v>0</v>
      </c>
      <c r="V48" s="77">
        <v>0</v>
      </c>
      <c r="W48" s="77">
        <v>0</v>
      </c>
      <c r="X48" s="77">
        <v>0</v>
      </c>
      <c r="Y48" s="77">
        <v>0</v>
      </c>
      <c r="Z48" s="77">
        <v>0</v>
      </c>
      <c r="AA48" s="77">
        <v>0</v>
      </c>
      <c r="AB48" s="77">
        <v>0</v>
      </c>
      <c r="AC48" s="77">
        <v>0</v>
      </c>
      <c r="AD48" s="77">
        <v>0</v>
      </c>
      <c r="AE48" s="77">
        <v>0</v>
      </c>
      <c r="AF48" s="77">
        <v>0</v>
      </c>
      <c r="AG48" s="77">
        <v>0</v>
      </c>
      <c r="AH48" s="77">
        <v>0</v>
      </c>
      <c r="AI48" s="77">
        <v>0</v>
      </c>
      <c r="AJ48" s="77">
        <v>0</v>
      </c>
      <c r="AK48" s="77">
        <v>0</v>
      </c>
      <c r="AL48" s="77">
        <v>0</v>
      </c>
      <c r="AM48" s="1">
        <v>346</v>
      </c>
      <c r="AN48" s="1">
        <v>342</v>
      </c>
      <c r="AO48" s="1">
        <v>358</v>
      </c>
      <c r="AP48" s="1">
        <f t="shared" si="141"/>
        <v>-46</v>
      </c>
      <c r="AQ48" s="1">
        <v>318</v>
      </c>
      <c r="AR48" s="1">
        <v>329</v>
      </c>
      <c r="AS48" s="1">
        <v>311</v>
      </c>
      <c r="AT48" s="1">
        <f>1276-SUM(AQ48:AS48)</f>
        <v>318</v>
      </c>
      <c r="AU48" s="1">
        <v>315</v>
      </c>
      <c r="AV48" s="1">
        <v>333</v>
      </c>
      <c r="AW48" s="1">
        <v>369</v>
      </c>
      <c r="AX48" s="1">
        <f>1505-SUM(AU48:AW48)</f>
        <v>488</v>
      </c>
      <c r="AY48" s="1">
        <v>405</v>
      </c>
      <c r="AZ48" s="1">
        <v>475</v>
      </c>
      <c r="BA48" s="1">
        <v>496</v>
      </c>
      <c r="BB48" s="1">
        <f>1862-SUM(AY48:BA48)</f>
        <v>486</v>
      </c>
      <c r="BC48" s="1">
        <v>443</v>
      </c>
      <c r="BD48" s="1">
        <v>457</v>
      </c>
      <c r="BE48" s="1">
        <v>449</v>
      </c>
      <c r="BF48" s="1">
        <f>1749-SUM(BC48:BE48)</f>
        <v>400</v>
      </c>
      <c r="BG48" s="1">
        <v>390</v>
      </c>
      <c r="BH48" s="1">
        <v>417</v>
      </c>
      <c r="BI48" s="1">
        <v>381</v>
      </c>
      <c r="BJ48" s="62"/>
      <c r="BS48" s="1">
        <f t="shared" si="66"/>
        <v>0</v>
      </c>
      <c r="BT48" s="1">
        <f t="shared" si="67"/>
        <v>0</v>
      </c>
      <c r="BU48" s="1">
        <f t="shared" si="68"/>
        <v>0</v>
      </c>
      <c r="BV48" s="1">
        <f t="shared" si="69"/>
        <v>0</v>
      </c>
      <c r="BW48" s="1">
        <f t="shared" si="70"/>
        <v>0</v>
      </c>
      <c r="BX48" s="1">
        <f t="shared" si="71"/>
        <v>0</v>
      </c>
      <c r="BY48" s="1">
        <f t="shared" si="72"/>
        <v>0</v>
      </c>
      <c r="BZ48" s="1">
        <f t="shared" si="73"/>
        <v>0</v>
      </c>
      <c r="CA48" s="1">
        <f t="shared" si="74"/>
        <v>0</v>
      </c>
      <c r="CB48" s="1">
        <f t="shared" si="75"/>
        <v>1000</v>
      </c>
      <c r="CC48" s="1">
        <f t="shared" si="76"/>
        <v>1276</v>
      </c>
      <c r="CD48" s="1">
        <f t="shared" si="77"/>
        <v>1505</v>
      </c>
      <c r="CE48" s="1">
        <f t="shared" si="78"/>
        <v>1862</v>
      </c>
      <c r="CF48" s="1">
        <f t="shared" si="79"/>
        <v>1749</v>
      </c>
      <c r="CG48" s="62">
        <f>CF84*$CU$82</f>
        <v>1988.6879999999999</v>
      </c>
      <c r="CH48" s="62">
        <f t="shared" ref="CH48:CP48" si="143">CG84*$CU$82</f>
        <v>1885.2762239999997</v>
      </c>
      <c r="CI48" s="62">
        <f t="shared" si="143"/>
        <v>1787.2418603519998</v>
      </c>
      <c r="CJ48" s="62">
        <f t="shared" si="143"/>
        <v>1694.3052836136958</v>
      </c>
      <c r="CK48" s="62">
        <f t="shared" si="143"/>
        <v>1606.2014088657836</v>
      </c>
      <c r="CL48" s="62">
        <f t="shared" si="143"/>
        <v>1522.678935604763</v>
      </c>
      <c r="CM48" s="62">
        <f t="shared" si="143"/>
        <v>1443.4996309533151</v>
      </c>
      <c r="CN48" s="62">
        <f t="shared" si="143"/>
        <v>1368.4376501437428</v>
      </c>
      <c r="CO48" s="62">
        <f t="shared" si="143"/>
        <v>1297.278892336268</v>
      </c>
      <c r="CP48" s="62">
        <f t="shared" si="143"/>
        <v>1229.8203899347823</v>
      </c>
    </row>
    <row r="49" spans="2:146">
      <c r="B49" s="1" t="s">
        <v>196</v>
      </c>
      <c r="C49" s="1">
        <f t="shared" ref="C49" si="144">C46-SUM(C47:C48)</f>
        <v>1842</v>
      </c>
      <c r="D49" s="1">
        <f t="shared" ref="D49" si="145">D46-SUM(D47:D48)</f>
        <v>2347</v>
      </c>
      <c r="E49" s="1">
        <f t="shared" ref="E49" si="146">E46-SUM(E47:E48)</f>
        <v>2257</v>
      </c>
      <c r="F49" s="1">
        <f t="shared" ref="F49" si="147">F46-SUM(F47:F48)</f>
        <v>2011</v>
      </c>
      <c r="G49" s="1">
        <f t="shared" ref="G49" si="148">G46-SUM(G47:G48)</f>
        <v>2242</v>
      </c>
      <c r="H49" s="1">
        <f t="shared" ref="H49" si="149">H46-SUM(H47:H48)</f>
        <v>2724</v>
      </c>
      <c r="I49" s="1">
        <f t="shared" ref="I49" si="150">I46-SUM(I47:I48)</f>
        <v>2592</v>
      </c>
      <c r="J49" s="1">
        <f t="shared" ref="J49" si="151">J46-SUM(J47:J48)</f>
        <v>1886</v>
      </c>
      <c r="K49" s="1">
        <f t="shared" ref="K49" si="152">K46-SUM(K47:K48)</f>
        <v>2323</v>
      </c>
      <c r="L49" s="1">
        <f t="shared" ref="L49" si="153">L46-SUM(L47:L48)</f>
        <v>2561</v>
      </c>
      <c r="M49" s="1">
        <f t="shared" ref="M49" si="154">M46-SUM(M47:M48)</f>
        <v>2797</v>
      </c>
      <c r="N49" s="1">
        <f t="shared" ref="N49" si="155">N46-SUM(N47:N48)</f>
        <v>2793</v>
      </c>
      <c r="O49" s="1">
        <f t="shared" ref="O49" si="156">O46-SUM(O47:O48)</f>
        <v>2399</v>
      </c>
      <c r="P49" s="1">
        <f t="shared" ref="P49" si="157">P46-SUM(P47:P48)</f>
        <v>2632</v>
      </c>
      <c r="Q49" s="1">
        <f t="shared" ref="Q49" si="158">Q46-SUM(Q47:Q48)</f>
        <v>2486</v>
      </c>
      <c r="R49" s="1">
        <f t="shared" ref="R49" si="159">R46-SUM(R47:R48)</f>
        <v>598</v>
      </c>
      <c r="S49" s="1">
        <f t="shared" ref="S49" si="160">S46-SUM(S47:S48)</f>
        <v>2168</v>
      </c>
      <c r="T49" s="1">
        <f t="shared" ref="T49" si="161">T46-SUM(T47:T48)</f>
        <v>2562</v>
      </c>
      <c r="U49" s="1">
        <f t="shared" ref="U49" si="162">U46-SUM(U47:U48)</f>
        <v>2476</v>
      </c>
      <c r="V49" s="1">
        <f t="shared" ref="V49" si="163">V46-SUM(V47:V48)</f>
        <v>2103</v>
      </c>
      <c r="W49" s="1">
        <f t="shared" ref="W49" si="164">W46-SUM(W47:W48)</f>
        <v>2234</v>
      </c>
      <c r="X49" s="1">
        <f t="shared" ref="X49" si="165">X46-SUM(X47:X48)</f>
        <v>2264</v>
      </c>
      <c r="Y49" s="1">
        <f t="shared" ref="Y49" si="166">Y46-SUM(Y47:Y48)</f>
        <v>2124</v>
      </c>
      <c r="Z49" s="1">
        <f t="shared" ref="Z49" si="167">Z46-SUM(Z47:Z48)</f>
        <v>1891</v>
      </c>
      <c r="AA49" s="1">
        <f t="shared" ref="AA49" si="168">AA46-SUM(AA47:AA48)</f>
        <v>1966</v>
      </c>
      <c r="AB49" s="1">
        <f t="shared" ref="AB49" si="169">AB46-SUM(AB47:AB48)</f>
        <v>2918</v>
      </c>
      <c r="AC49" s="1">
        <f t="shared" ref="AC49" si="170">AC46-SUM(AC47:AC48)</f>
        <v>1908</v>
      </c>
      <c r="AD49" s="1">
        <f t="shared" ref="AD49" si="171">AD46-SUM(AD47:AD48)</f>
        <v>-3542</v>
      </c>
      <c r="AE49" s="1">
        <f t="shared" ref="AE49" si="172">AE46-SUM(AE47:AE48)</f>
        <v>2268</v>
      </c>
      <c r="AF49" s="1">
        <f t="shared" ref="AF49" si="173">AF46-SUM(AF47:AF48)</f>
        <v>1538</v>
      </c>
      <c r="AG49" s="1">
        <f t="shared" ref="AG49" si="174">AG46-SUM(AG47:AG48)</f>
        <v>1543</v>
      </c>
      <c r="AH49" s="1">
        <f t="shared" ref="AH49" si="175">AH46-SUM(AH47:AH48)</f>
        <v>327</v>
      </c>
      <c r="AI49" s="1">
        <f t="shared" ref="AI49" si="176">AI46-SUM(AI47:AI48)</f>
        <v>8309</v>
      </c>
      <c r="AJ49" s="1">
        <f t="shared" ref="AJ49" si="177">AJ46-SUM(AJ47:AJ48)</f>
        <v>-3446</v>
      </c>
      <c r="AK49" s="1">
        <f t="shared" ref="AK49" si="178">AK46-SUM(AK47:AK48)</f>
        <v>531</v>
      </c>
      <c r="AL49" s="1">
        <f t="shared" ref="AL49" si="179">AL46-SUM(AL47:AL48)</f>
        <v>411</v>
      </c>
      <c r="AM49" s="1">
        <f t="shared" ref="AM49" si="180">AM46-SUM(AM47:AM48)</f>
        <v>1158</v>
      </c>
      <c r="AN49" s="1">
        <f t="shared" ref="AN49" si="181">AN46-SUM(AN47:AN48)</f>
        <v>1430</v>
      </c>
      <c r="AO49" s="1">
        <f t="shared" ref="AO49" si="182">AO46-SUM(AO47:AO48)</f>
        <v>1476</v>
      </c>
      <c r="AP49" s="1">
        <f t="shared" ref="AP49" si="183">AP46-SUM(AP47:AP48)</f>
        <v>-2947</v>
      </c>
      <c r="AQ49" s="1">
        <f t="shared" ref="AQ49" si="184">AQ46-SUM(AQ47:AQ48)</f>
        <v>1242</v>
      </c>
      <c r="AR49" s="1">
        <f t="shared" ref="AR49" si="185">AR46-SUM(AR47:AR48)</f>
        <v>1498</v>
      </c>
      <c r="AS49" s="1">
        <f t="shared" ref="AS49" si="186">AS46-SUM(AS47:AS48)</f>
        <v>1677</v>
      </c>
      <c r="AT49" s="1">
        <f t="shared" ref="AT49" si="187">AT46-SUM(AT47:AT48)</f>
        <v>1610</v>
      </c>
      <c r="AU49" s="1">
        <f t="shared" ref="AU49" si="188">AU46-SUM(AU47:AU48)</f>
        <v>1816</v>
      </c>
      <c r="AV49" s="1">
        <f t="shared" ref="AV49" si="189">AV46-SUM(AV47:AV48)</f>
        <v>1607</v>
      </c>
      <c r="AW49" s="1">
        <f t="shared" ref="AW49" si="190">AW46-SUM(AW47:AW48)</f>
        <v>-1322</v>
      </c>
      <c r="AX49" s="1">
        <f t="shared" ref="AX49" si="191">AX46-SUM(AX47:AX48)</f>
        <v>1735</v>
      </c>
      <c r="AY49" s="1">
        <f t="shared" ref="AY49" si="192">AY46-SUM(AY47:AY48)</f>
        <v>1851</v>
      </c>
      <c r="AZ49" s="1">
        <f t="shared" ref="AZ49" si="193">AZ46-SUM(AZ47:AZ48)</f>
        <v>428</v>
      </c>
      <c r="BA49" s="1">
        <f t="shared" ref="BA49" si="194">BA46-SUM(BA47:BA48)</f>
        <v>1906</v>
      </c>
      <c r="BB49" s="1">
        <f t="shared" ref="BB49" si="195">BB46-SUM(BB47:BB48)</f>
        <v>2009</v>
      </c>
      <c r="BC49" s="1">
        <f t="shared" ref="BC49" si="196">BC46-SUM(BC47:BC48)</f>
        <v>1958</v>
      </c>
      <c r="BD49" s="1">
        <f t="shared" ref="BD49" si="197">BD46-SUM(BD47:BD48)</f>
        <v>2040</v>
      </c>
      <c r="BE49" s="1">
        <f t="shared" ref="BE49" si="198">BE46-SUM(BE47:BE48)</f>
        <v>2438</v>
      </c>
      <c r="BF49" s="1">
        <f t="shared" ref="BF49:BG49" si="199">BF46-SUM(BF47:BF48)</f>
        <v>2297</v>
      </c>
      <c r="BG49" s="1">
        <f t="shared" si="199"/>
        <v>2520</v>
      </c>
      <c r="BH49" s="1">
        <f>BH46-SUM(BH47:BH48)</f>
        <v>2742</v>
      </c>
      <c r="BI49" s="1">
        <f>BI46-SUM(BI47:BI48)</f>
        <v>3301</v>
      </c>
      <c r="BJ49" s="62"/>
      <c r="BS49" s="1">
        <f t="shared" si="66"/>
        <v>8457</v>
      </c>
      <c r="BT49" s="1">
        <f t="shared" si="67"/>
        <v>9444</v>
      </c>
      <c r="BU49" s="1">
        <f t="shared" si="68"/>
        <v>10474</v>
      </c>
      <c r="BV49" s="1">
        <f t="shared" si="69"/>
        <v>8115</v>
      </c>
      <c r="BW49" s="1">
        <f t="shared" si="70"/>
        <v>9309</v>
      </c>
      <c r="BX49" s="1">
        <f t="shared" si="71"/>
        <v>8513</v>
      </c>
      <c r="BY49" s="1">
        <f t="shared" si="72"/>
        <v>3250</v>
      </c>
      <c r="BZ49" s="1">
        <f t="shared" si="73"/>
        <v>5676</v>
      </c>
      <c r="CA49" s="1">
        <f t="shared" si="74"/>
        <v>5805</v>
      </c>
      <c r="CB49" s="1">
        <f t="shared" si="75"/>
        <v>1117</v>
      </c>
      <c r="CC49" s="1">
        <f t="shared" si="76"/>
        <v>6027</v>
      </c>
      <c r="CD49" s="1">
        <f t="shared" si="77"/>
        <v>3836</v>
      </c>
      <c r="CE49" s="1">
        <f t="shared" si="78"/>
        <v>6194</v>
      </c>
      <c r="CF49" s="1">
        <f t="shared" si="79"/>
        <v>8733</v>
      </c>
      <c r="CG49" s="62">
        <f>CG46-SUM(CG47:CG48)</f>
        <v>9965.6809999999932</v>
      </c>
      <c r="CH49" s="62">
        <f t="shared" ref="CH49:CP49" si="200">CH46-SUM(CH47:CH48)</f>
        <v>11924.143191225005</v>
      </c>
      <c r="CI49" s="62">
        <f t="shared" si="200"/>
        <v>14210.458130638313</v>
      </c>
      <c r="CJ49" s="62">
        <f t="shared" si="200"/>
        <v>17452.60751498846</v>
      </c>
      <c r="CK49" s="62">
        <f t="shared" si="200"/>
        <v>20392.060199372831</v>
      </c>
      <c r="CL49" s="62">
        <f t="shared" si="200"/>
        <v>23399.502292924059</v>
      </c>
      <c r="CM49" s="62">
        <f t="shared" si="200"/>
        <v>26557.660621161223</v>
      </c>
      <c r="CN49" s="62">
        <f t="shared" si="200"/>
        <v>29451.936586800653</v>
      </c>
      <c r="CO49" s="62">
        <f t="shared" si="200"/>
        <v>32507.530322995146</v>
      </c>
      <c r="CP49" s="62">
        <f t="shared" si="200"/>
        <v>35415.885755048745</v>
      </c>
    </row>
    <row r="50" spans="2:146">
      <c r="B50" s="1" t="s">
        <v>197</v>
      </c>
      <c r="C50" s="1">
        <v>320</v>
      </c>
      <c r="D50" s="1">
        <v>453</v>
      </c>
      <c r="E50" s="1">
        <v>484</v>
      </c>
      <c r="F50" s="1">
        <v>454</v>
      </c>
      <c r="G50" s="1">
        <v>418</v>
      </c>
      <c r="H50" s="1">
        <v>645</v>
      </c>
      <c r="I50" s="1">
        <v>614</v>
      </c>
      <c r="J50" s="1">
        <v>322</v>
      </c>
      <c r="K50" s="1">
        <v>567</v>
      </c>
      <c r="L50" s="1">
        <v>359</v>
      </c>
      <c r="M50" s="1">
        <v>575</v>
      </c>
      <c r="N50" s="1">
        <v>743</v>
      </c>
      <c r="O50" s="1">
        <v>530</v>
      </c>
      <c r="P50" s="1">
        <v>626</v>
      </c>
      <c r="Q50" s="1">
        <v>592</v>
      </c>
      <c r="R50" s="1">
        <v>363</v>
      </c>
      <c r="S50" s="1">
        <v>469</v>
      </c>
      <c r="T50" s="1">
        <v>587</v>
      </c>
      <c r="U50" s="1">
        <v>492</v>
      </c>
      <c r="V50" s="1">
        <v>149</v>
      </c>
      <c r="W50" s="1">
        <v>586</v>
      </c>
      <c r="X50" s="1">
        <v>532</v>
      </c>
      <c r="Y50" s="1">
        <v>506</v>
      </c>
      <c r="Z50" s="1">
        <v>1219</v>
      </c>
      <c r="AA50" s="1">
        <v>522</v>
      </c>
      <c r="AB50" s="1">
        <v>695</v>
      </c>
      <c r="AC50" s="1">
        <v>419</v>
      </c>
      <c r="AD50" s="1">
        <v>-538</v>
      </c>
      <c r="AE50" s="1">
        <v>397</v>
      </c>
      <c r="AF50" s="1">
        <v>6</v>
      </c>
      <c r="AG50" s="1">
        <v>306</v>
      </c>
      <c r="AH50" s="1">
        <v>-288</v>
      </c>
      <c r="AI50" s="1">
        <v>639</v>
      </c>
      <c r="AJ50" s="1">
        <v>-38</v>
      </c>
      <c r="AK50" s="1">
        <v>152</v>
      </c>
      <c r="AL50" s="1">
        <v>-178</v>
      </c>
      <c r="AM50" s="1">
        <v>345</v>
      </c>
      <c r="AN50" s="1">
        <v>342</v>
      </c>
      <c r="AO50" s="1">
        <v>3</v>
      </c>
      <c r="AP50" s="1">
        <f t="shared" si="141"/>
        <v>310</v>
      </c>
      <c r="AQ50" s="1">
        <v>116</v>
      </c>
      <c r="AR50" s="1">
        <v>160</v>
      </c>
      <c r="AS50" s="1">
        <v>282</v>
      </c>
      <c r="AT50" s="1">
        <f>700-SUM(AQ50:AS50)</f>
        <v>142</v>
      </c>
      <c r="AU50" s="1">
        <v>335</v>
      </c>
      <c r="AV50" s="1">
        <v>248</v>
      </c>
      <c r="AW50" s="1">
        <v>-389</v>
      </c>
      <c r="AX50" s="1">
        <f>456-SUM(AU50:AW50)</f>
        <v>262</v>
      </c>
      <c r="AY50" s="1">
        <v>108</v>
      </c>
      <c r="AZ50" s="1">
        <v>253</v>
      </c>
      <c r="BA50" s="1">
        <v>371</v>
      </c>
      <c r="BB50" s="1">
        <f>1181-SUM(AY50:BA50)</f>
        <v>449</v>
      </c>
      <c r="BC50" s="1">
        <v>333</v>
      </c>
      <c r="BD50" s="1">
        <v>315</v>
      </c>
      <c r="BE50" s="1">
        <v>432</v>
      </c>
      <c r="BF50" s="1">
        <f>1664-SUM(BC50:BE50)</f>
        <v>584</v>
      </c>
      <c r="BG50" s="1">
        <v>363</v>
      </c>
      <c r="BH50" s="1">
        <v>493</v>
      </c>
      <c r="BI50" s="1">
        <v>593</v>
      </c>
      <c r="BJ50" s="62"/>
      <c r="BS50" s="1">
        <f t="shared" si="66"/>
        <v>1711</v>
      </c>
      <c r="BT50" s="1">
        <f t="shared" si="67"/>
        <v>1999</v>
      </c>
      <c r="BU50" s="1">
        <f t="shared" si="68"/>
        <v>2244</v>
      </c>
      <c r="BV50" s="1">
        <f t="shared" si="69"/>
        <v>2111</v>
      </c>
      <c r="BW50" s="1">
        <f t="shared" si="70"/>
        <v>1697</v>
      </c>
      <c r="BX50" s="1">
        <f t="shared" si="71"/>
        <v>2843</v>
      </c>
      <c r="BY50" s="1">
        <f t="shared" si="72"/>
        <v>1098</v>
      </c>
      <c r="BZ50" s="1">
        <f t="shared" si="73"/>
        <v>421</v>
      </c>
      <c r="CA50" s="1">
        <f t="shared" si="74"/>
        <v>575</v>
      </c>
      <c r="CB50" s="1">
        <f t="shared" si="75"/>
        <v>1000</v>
      </c>
      <c r="CC50" s="1">
        <f t="shared" si="76"/>
        <v>700</v>
      </c>
      <c r="CD50" s="1">
        <f t="shared" si="77"/>
        <v>456</v>
      </c>
      <c r="CE50" s="1">
        <f t="shared" si="78"/>
        <v>1181</v>
      </c>
      <c r="CF50" s="1">
        <f t="shared" si="79"/>
        <v>1664</v>
      </c>
      <c r="CG50" s="62">
        <f>CG49*CG62</f>
        <v>1694.1657699999989</v>
      </c>
      <c r="CH50" s="62">
        <f t="shared" ref="CH50:CP50" si="201">CH49*CH62</f>
        <v>1907.8629105960008</v>
      </c>
      <c r="CI50" s="62">
        <f t="shared" si="201"/>
        <v>2415.7778822085133</v>
      </c>
      <c r="CJ50" s="62">
        <f t="shared" si="201"/>
        <v>3141.4693526979227</v>
      </c>
      <c r="CK50" s="62">
        <f t="shared" si="201"/>
        <v>3772.5311368839734</v>
      </c>
      <c r="CL50" s="62">
        <f t="shared" si="201"/>
        <v>4445.9054356555707</v>
      </c>
      <c r="CM50" s="62">
        <f t="shared" si="201"/>
        <v>5178.7438211264389</v>
      </c>
      <c r="CN50" s="62">
        <f t="shared" si="201"/>
        <v>5890.3873173601314</v>
      </c>
      <c r="CO50" s="62">
        <f t="shared" si="201"/>
        <v>6826.5813678289805</v>
      </c>
      <c r="CP50" s="62">
        <f t="shared" si="201"/>
        <v>7791.4948661107237</v>
      </c>
    </row>
    <row r="51" spans="2:146" s="2" customFormat="1" ht="15">
      <c r="B51" s="2" t="s">
        <v>68</v>
      </c>
      <c r="C51" s="2">
        <f t="shared" ref="C51" si="202">C49-C50</f>
        <v>1522</v>
      </c>
      <c r="D51" s="2">
        <f t="shared" ref="D51" si="203">D49-D50</f>
        <v>1894</v>
      </c>
      <c r="E51" s="2">
        <f t="shared" ref="E51" si="204">E49-E50</f>
        <v>1773</v>
      </c>
      <c r="F51" s="2">
        <f t="shared" ref="F51" si="205">F49-F50</f>
        <v>1557</v>
      </c>
      <c r="G51" s="2">
        <f t="shared" ref="G51" si="206">G49-G50</f>
        <v>1824</v>
      </c>
      <c r="H51" s="2">
        <f t="shared" ref="H51" si="207">H49-H50</f>
        <v>2079</v>
      </c>
      <c r="I51" s="2">
        <f t="shared" ref="I51" si="208">I49-I50</f>
        <v>1978</v>
      </c>
      <c r="J51" s="2">
        <f t="shared" ref="J51" si="209">J49-J50</f>
        <v>1564</v>
      </c>
      <c r="K51" s="2">
        <f t="shared" ref="K51" si="210">K49-K50</f>
        <v>1756</v>
      </c>
      <c r="L51" s="2">
        <f t="shared" ref="L51" si="211">L49-L50</f>
        <v>2202</v>
      </c>
      <c r="M51" s="2">
        <f t="shared" ref="M51" si="212">M49-M50</f>
        <v>2222</v>
      </c>
      <c r="N51" s="2">
        <f t="shared" ref="N51" si="213">N49-N50</f>
        <v>2050</v>
      </c>
      <c r="O51" s="2">
        <f t="shared" ref="O51" si="214">O49-O50</f>
        <v>1869</v>
      </c>
      <c r="P51" s="2">
        <f t="shared" ref="P51" si="215">P49-P50</f>
        <v>2006</v>
      </c>
      <c r="Q51" s="2">
        <f t="shared" ref="Q51" si="216">Q49-Q50</f>
        <v>1894</v>
      </c>
      <c r="R51" s="2">
        <f t="shared" ref="R51" si="217">R49-R50</f>
        <v>235</v>
      </c>
      <c r="S51" s="2">
        <f t="shared" ref="S51" si="218">S49-S50</f>
        <v>1699</v>
      </c>
      <c r="T51" s="2">
        <f t="shared" ref="T51" si="219">T49-T50</f>
        <v>1975</v>
      </c>
      <c r="U51" s="2">
        <f t="shared" ref="U51" si="220">U49-U50</f>
        <v>1984</v>
      </c>
      <c r="V51" s="2">
        <f t="shared" ref="V51" si="221">V49-V50</f>
        <v>1954</v>
      </c>
      <c r="W51" s="2">
        <f t="shared" ref="W51" si="222">W49-W50</f>
        <v>1648</v>
      </c>
      <c r="X51" s="2">
        <f t="shared" ref="X51" si="223">X49-X50</f>
        <v>1732</v>
      </c>
      <c r="Y51" s="2">
        <f t="shared" ref="Y51" si="224">Y49-Y50</f>
        <v>1618</v>
      </c>
      <c r="Z51" s="2">
        <f t="shared" ref="Z51" si="225">Z49-Z50</f>
        <v>672</v>
      </c>
      <c r="AA51" s="2">
        <f t="shared" ref="AA51" si="226">AA49-AA50</f>
        <v>1444</v>
      </c>
      <c r="AB51" s="2">
        <f t="shared" ref="AB51" si="227">AB49-AB50</f>
        <v>2223</v>
      </c>
      <c r="AC51" s="2">
        <f t="shared" ref="AC51" si="228">AC49-AC50</f>
        <v>1489</v>
      </c>
      <c r="AD51" s="2">
        <f t="shared" ref="AD51" si="229">AD49-AD50</f>
        <v>-3004</v>
      </c>
      <c r="AE51" s="2">
        <f t="shared" ref="AE51" si="230">AE49-AE50</f>
        <v>1871</v>
      </c>
      <c r="AF51" s="2">
        <f t="shared" ref="AF51" si="231">AF49-AF50</f>
        <v>1532</v>
      </c>
      <c r="AG51" s="2">
        <f t="shared" ref="AG51" si="232">AG49-AG50</f>
        <v>1237</v>
      </c>
      <c r="AH51" s="2">
        <f t="shared" ref="AH51" si="233">AH49-AH50</f>
        <v>615</v>
      </c>
      <c r="AI51" s="2">
        <f t="shared" ref="AI51" si="234">AI49-AI50</f>
        <v>7670</v>
      </c>
      <c r="AJ51" s="2">
        <f t="shared" ref="AJ51" si="235">AJ49-AJ50</f>
        <v>-3408</v>
      </c>
      <c r="AK51" s="2">
        <f t="shared" ref="AK51" si="236">AK49-AK50</f>
        <v>379</v>
      </c>
      <c r="AL51" s="2">
        <f t="shared" ref="AL51" si="237">AL49-AL50</f>
        <v>589</v>
      </c>
      <c r="AM51" s="2">
        <f t="shared" ref="AM51" si="238">AM49-AM50</f>
        <v>813</v>
      </c>
      <c r="AN51" s="2">
        <f t="shared" ref="AN51" si="239">AN49-AN50</f>
        <v>1088</v>
      </c>
      <c r="AO51" s="2">
        <f t="shared" ref="AO51" si="240">AO49-AO50</f>
        <v>1473</v>
      </c>
      <c r="AP51" s="2">
        <f t="shared" ref="AP51" si="241">AP49-AP50</f>
        <v>-3257</v>
      </c>
      <c r="AQ51" s="2">
        <f t="shared" ref="AQ51" si="242">AQ49-AQ50</f>
        <v>1126</v>
      </c>
      <c r="AR51" s="2">
        <f t="shared" ref="AR51" si="243">AR49-AR50</f>
        <v>1338</v>
      </c>
      <c r="AS51" s="2">
        <f t="shared" ref="AS51" si="244">AS49-AS50</f>
        <v>1395</v>
      </c>
      <c r="AT51" s="2">
        <f t="shared" ref="AT51" si="245">AT49-AT50</f>
        <v>1468</v>
      </c>
      <c r="AU51" s="2">
        <f t="shared" ref="AU51" si="246">AU49-AU50</f>
        <v>1481</v>
      </c>
      <c r="AV51" s="2">
        <f t="shared" ref="AV51" si="247">AV49-AV50</f>
        <v>1359</v>
      </c>
      <c r="AW51" s="2">
        <f t="shared" ref="AW51" si="248">AW49-AW50</f>
        <v>-933</v>
      </c>
      <c r="AX51" s="2">
        <f t="shared" ref="AX51" si="249">AX49-AX50</f>
        <v>1473</v>
      </c>
      <c r="AY51" s="2">
        <f t="shared" ref="AY51" si="250">AY49-AY50</f>
        <v>1743</v>
      </c>
      <c r="AZ51" s="2">
        <f t="shared" ref="AZ51" si="251">AZ49-AZ50</f>
        <v>175</v>
      </c>
      <c r="BA51" s="2">
        <f t="shared" ref="BA51" si="252">BA49-BA50</f>
        <v>1535</v>
      </c>
      <c r="BB51" s="2">
        <f t="shared" ref="BB51" si="253">BB49-BB50</f>
        <v>1560</v>
      </c>
      <c r="BC51" s="2">
        <f t="shared" ref="BC51" si="254">BC49-BC50</f>
        <v>1625</v>
      </c>
      <c r="BD51" s="2">
        <f t="shared" ref="BD51" si="255">BD49-BD50</f>
        <v>1725</v>
      </c>
      <c r="BE51" s="2">
        <f t="shared" ref="BE51" si="256">BE49-BE50</f>
        <v>2006</v>
      </c>
      <c r="BF51" s="2">
        <f t="shared" ref="BF51:BG51" si="257">BF49-BF50</f>
        <v>1713</v>
      </c>
      <c r="BG51" s="2">
        <f t="shared" si="257"/>
        <v>2157</v>
      </c>
      <c r="BH51" s="2">
        <f>BH49-BH50</f>
        <v>2249</v>
      </c>
      <c r="BI51" s="2">
        <f>BI49-BI50</f>
        <v>2708</v>
      </c>
      <c r="BJ51" s="81"/>
      <c r="BS51" s="2">
        <f t="shared" si="66"/>
        <v>6746</v>
      </c>
      <c r="BT51" s="2">
        <f t="shared" si="67"/>
        <v>7445</v>
      </c>
      <c r="BU51" s="2">
        <f t="shared" si="68"/>
        <v>8230</v>
      </c>
      <c r="BV51" s="2">
        <f t="shared" si="69"/>
        <v>6004</v>
      </c>
      <c r="BW51" s="2">
        <f t="shared" si="70"/>
        <v>7612</v>
      </c>
      <c r="BX51" s="2">
        <f t="shared" si="71"/>
        <v>5670</v>
      </c>
      <c r="BY51" s="2">
        <f t="shared" si="72"/>
        <v>2152</v>
      </c>
      <c r="BZ51" s="2">
        <f t="shared" si="73"/>
        <v>5255</v>
      </c>
      <c r="CA51" s="2">
        <f t="shared" si="74"/>
        <v>5230</v>
      </c>
      <c r="CB51" s="2">
        <f t="shared" si="75"/>
        <v>117</v>
      </c>
      <c r="CC51" s="2">
        <f t="shared" si="76"/>
        <v>5327</v>
      </c>
      <c r="CD51" s="2">
        <f t="shared" si="77"/>
        <v>3380</v>
      </c>
      <c r="CE51" s="2">
        <f t="shared" si="78"/>
        <v>5013</v>
      </c>
      <c r="CF51" s="2">
        <f t="shared" si="79"/>
        <v>7069</v>
      </c>
      <c r="CG51" s="81">
        <f>CG49-CG50</f>
        <v>8271.5152299999936</v>
      </c>
      <c r="CH51" s="81">
        <f t="shared" ref="CH51:CP51" si="258">CH49-CH50</f>
        <v>10016.280280629004</v>
      </c>
      <c r="CI51" s="81">
        <f t="shared" si="258"/>
        <v>11794.6802484298</v>
      </c>
      <c r="CJ51" s="81">
        <f t="shared" si="258"/>
        <v>14311.138162290537</v>
      </c>
      <c r="CK51" s="81">
        <f t="shared" si="258"/>
        <v>16619.529062488858</v>
      </c>
      <c r="CL51" s="81">
        <f t="shared" si="258"/>
        <v>18953.596857268487</v>
      </c>
      <c r="CM51" s="81">
        <f t="shared" si="258"/>
        <v>21378.916800034785</v>
      </c>
      <c r="CN51" s="81">
        <f t="shared" si="258"/>
        <v>23561.549269440522</v>
      </c>
      <c r="CO51" s="81">
        <f t="shared" si="258"/>
        <v>25680.948955166165</v>
      </c>
      <c r="CP51" s="81">
        <f t="shared" si="258"/>
        <v>27624.390888938022</v>
      </c>
      <c r="CQ51" s="81">
        <f>CP51*(1+$CZ$66)</f>
        <v>27762.512843382709</v>
      </c>
      <c r="CR51" s="81">
        <f t="shared" ref="CR51:EN51" si="259">CQ51*(1+$CZ$66)</f>
        <v>27901.325407599619</v>
      </c>
      <c r="CS51" s="81">
        <f t="shared" si="259"/>
        <v>28040.832034637613</v>
      </c>
      <c r="CT51" s="81">
        <f t="shared" si="259"/>
        <v>28181.036194810797</v>
      </c>
      <c r="CU51" s="81">
        <f t="shared" si="259"/>
        <v>28321.941375784849</v>
      </c>
      <c r="CV51" s="81">
        <f t="shared" si="259"/>
        <v>28463.551082663769</v>
      </c>
      <c r="CW51" s="81">
        <f t="shared" si="259"/>
        <v>28605.868838077084</v>
      </c>
      <c r="CX51" s="81">
        <f t="shared" si="259"/>
        <v>28748.898182267465</v>
      </c>
      <c r="CY51" s="81">
        <f t="shared" si="259"/>
        <v>28892.642673178798</v>
      </c>
      <c r="CZ51" s="81">
        <f t="shared" si="259"/>
        <v>29037.10588654469</v>
      </c>
      <c r="DA51" s="81">
        <f t="shared" si="259"/>
        <v>29182.291415977412</v>
      </c>
      <c r="DB51" s="81">
        <f t="shared" si="259"/>
        <v>29328.202873057297</v>
      </c>
      <c r="DC51" s="81">
        <f t="shared" si="259"/>
        <v>29474.843887422579</v>
      </c>
      <c r="DD51" s="81">
        <f t="shared" si="259"/>
        <v>29622.218106859687</v>
      </c>
      <c r="DE51" s="81">
        <f t="shared" si="259"/>
        <v>29770.329197393981</v>
      </c>
      <c r="DF51" s="81">
        <f t="shared" si="259"/>
        <v>29919.180843380949</v>
      </c>
      <c r="DG51" s="81">
        <f t="shared" si="259"/>
        <v>30068.776747597851</v>
      </c>
      <c r="DH51" s="81">
        <f t="shared" si="259"/>
        <v>30219.120631335838</v>
      </c>
      <c r="DI51" s="81">
        <f t="shared" si="259"/>
        <v>30370.216234492513</v>
      </c>
      <c r="DJ51" s="81">
        <f t="shared" si="259"/>
        <v>30522.067315664972</v>
      </c>
      <c r="DK51" s="81">
        <f t="shared" si="259"/>
        <v>30674.677652243292</v>
      </c>
      <c r="DL51" s="81">
        <f t="shared" si="259"/>
        <v>30828.051040504506</v>
      </c>
      <c r="DM51" s="81">
        <f t="shared" si="259"/>
        <v>30982.191295707024</v>
      </c>
      <c r="DN51" s="81">
        <f t="shared" si="259"/>
        <v>31137.102252185556</v>
      </c>
      <c r="DO51" s="81">
        <f t="shared" si="259"/>
        <v>31292.787763446478</v>
      </c>
      <c r="DP51" s="81">
        <f t="shared" si="259"/>
        <v>31449.251702263708</v>
      </c>
      <c r="DQ51" s="81">
        <f t="shared" si="259"/>
        <v>31606.497960775021</v>
      </c>
      <c r="DR51" s="81">
        <f t="shared" si="259"/>
        <v>31764.530450578892</v>
      </c>
      <c r="DS51" s="81">
        <f t="shared" si="259"/>
        <v>31923.353102831781</v>
      </c>
      <c r="DT51" s="81">
        <f t="shared" si="259"/>
        <v>32082.969868345936</v>
      </c>
      <c r="DU51" s="81">
        <f t="shared" si="259"/>
        <v>32243.384717687662</v>
      </c>
      <c r="DV51" s="81">
        <f t="shared" si="259"/>
        <v>32404.601641276098</v>
      </c>
      <c r="DW51" s="81">
        <f t="shared" si="259"/>
        <v>32566.624649482474</v>
      </c>
      <c r="DX51" s="81">
        <f t="shared" si="259"/>
        <v>32729.457772729882</v>
      </c>
      <c r="DY51" s="81">
        <f t="shared" si="259"/>
        <v>32893.105061593531</v>
      </c>
      <c r="DZ51" s="81">
        <f t="shared" si="259"/>
        <v>33057.570586901493</v>
      </c>
      <c r="EA51" s="81">
        <f t="shared" si="259"/>
        <v>33222.858439835996</v>
      </c>
      <c r="EB51" s="81">
        <f t="shared" si="259"/>
        <v>33388.972732035174</v>
      </c>
      <c r="EC51" s="81">
        <f t="shared" si="259"/>
        <v>33555.917595695348</v>
      </c>
      <c r="ED51" s="81">
        <f t="shared" si="259"/>
        <v>33723.697183673823</v>
      </c>
      <c r="EE51" s="81">
        <f t="shared" si="259"/>
        <v>33892.315669592186</v>
      </c>
      <c r="EF51" s="81">
        <f t="shared" si="259"/>
        <v>34061.777247940146</v>
      </c>
      <c r="EG51" s="81">
        <f t="shared" si="259"/>
        <v>34232.086134179845</v>
      </c>
      <c r="EH51" s="81">
        <f t="shared" si="259"/>
        <v>34403.246564850742</v>
      </c>
      <c r="EI51" s="81">
        <f t="shared" si="259"/>
        <v>34575.262797674994</v>
      </c>
      <c r="EJ51" s="81">
        <f t="shared" si="259"/>
        <v>34748.139111663368</v>
      </c>
      <c r="EK51" s="81">
        <f t="shared" si="259"/>
        <v>34921.879807221681</v>
      </c>
      <c r="EL51" s="81">
        <f t="shared" si="259"/>
        <v>35096.489206257786</v>
      </c>
      <c r="EM51" s="81">
        <f t="shared" si="259"/>
        <v>35271.971652289074</v>
      </c>
      <c r="EN51" s="81">
        <f t="shared" si="259"/>
        <v>35448.331510550517</v>
      </c>
      <c r="EO51" s="34"/>
      <c r="EP51" s="34"/>
    </row>
    <row r="52" spans="2:146">
      <c r="B52" s="1" t="s">
        <v>221</v>
      </c>
      <c r="C52" s="77">
        <v>0</v>
      </c>
      <c r="D52" s="77">
        <v>0</v>
      </c>
      <c r="E52" s="77">
        <v>0</v>
      </c>
      <c r="F52" s="77">
        <v>0</v>
      </c>
      <c r="G52" s="77">
        <v>0</v>
      </c>
      <c r="H52" s="77">
        <v>0</v>
      </c>
      <c r="I52" s="77">
        <v>0</v>
      </c>
      <c r="J52" s="77">
        <v>0</v>
      </c>
      <c r="K52" s="77">
        <v>0</v>
      </c>
      <c r="L52" s="77">
        <v>0</v>
      </c>
      <c r="M52" s="77">
        <v>0</v>
      </c>
      <c r="N52" s="77">
        <v>0</v>
      </c>
      <c r="O52" s="77">
        <v>0</v>
      </c>
      <c r="P52" s="77">
        <v>0</v>
      </c>
      <c r="Q52" s="77">
        <v>0</v>
      </c>
      <c r="R52" s="77">
        <v>0</v>
      </c>
      <c r="S52" s="77">
        <v>0</v>
      </c>
      <c r="T52" s="77">
        <v>0</v>
      </c>
      <c r="U52" s="77">
        <v>0</v>
      </c>
      <c r="V52" s="77">
        <v>0</v>
      </c>
      <c r="W52" s="77">
        <v>0</v>
      </c>
      <c r="X52" s="77">
        <v>0</v>
      </c>
      <c r="Y52" s="77">
        <v>0</v>
      </c>
      <c r="Z52" s="77">
        <v>0</v>
      </c>
      <c r="AA52" s="77">
        <v>0</v>
      </c>
      <c r="AB52" s="77">
        <v>0</v>
      </c>
      <c r="AC52" s="77">
        <v>0</v>
      </c>
      <c r="AD52" s="77">
        <v>0</v>
      </c>
      <c r="AE52" s="77">
        <v>0</v>
      </c>
      <c r="AF52" s="77">
        <v>0</v>
      </c>
      <c r="AG52" s="77">
        <v>0</v>
      </c>
      <c r="AH52" s="77">
        <v>0</v>
      </c>
      <c r="AI52" s="77">
        <v>0</v>
      </c>
      <c r="AJ52" s="77">
        <v>0</v>
      </c>
      <c r="AK52" s="77">
        <v>0</v>
      </c>
      <c r="AL52" s="77">
        <v>0</v>
      </c>
      <c r="AM52" s="1">
        <v>41</v>
      </c>
      <c r="AN52" s="1">
        <v>48</v>
      </c>
      <c r="AO52" s="1">
        <v>73</v>
      </c>
      <c r="AP52" s="1">
        <f t="shared" si="141"/>
        <v>838</v>
      </c>
      <c r="AQ52" s="1">
        <v>23</v>
      </c>
      <c r="AR52" s="1">
        <v>34</v>
      </c>
      <c r="AS52" s="1">
        <v>8</v>
      </c>
      <c r="AT52" s="1">
        <f>111-SUM(AQ52:AS52)</f>
        <v>46</v>
      </c>
      <c r="AU52" s="1">
        <v>55</v>
      </c>
      <c r="AV52" s="1">
        <v>32</v>
      </c>
      <c r="AW52" s="1">
        <v>51</v>
      </c>
      <c r="AX52" s="1">
        <f>185-SUM(AU52:AW52)</f>
        <v>47</v>
      </c>
      <c r="AY52" s="1">
        <v>34</v>
      </c>
      <c r="AZ52" s="1">
        <v>64</v>
      </c>
      <c r="BA52" s="1">
        <v>63</v>
      </c>
      <c r="BB52" s="1">
        <f>239-SUM(AY52:BA52)</f>
        <v>78</v>
      </c>
      <c r="BC52" s="1">
        <v>90</v>
      </c>
      <c r="BD52" s="1">
        <v>68</v>
      </c>
      <c r="BE52" s="1">
        <v>88</v>
      </c>
      <c r="BF52" s="1">
        <f>337-SUM(BC52:BE52)</f>
        <v>91</v>
      </c>
      <c r="BG52" s="1">
        <v>98</v>
      </c>
      <c r="BH52" s="1">
        <v>110</v>
      </c>
      <c r="BI52" s="1">
        <v>125</v>
      </c>
      <c r="BS52" s="1">
        <f t="shared" si="66"/>
        <v>0</v>
      </c>
      <c r="BT52" s="1">
        <f t="shared" si="67"/>
        <v>0</v>
      </c>
      <c r="BU52" s="1">
        <f t="shared" si="68"/>
        <v>0</v>
      </c>
      <c r="BV52" s="1">
        <f t="shared" si="69"/>
        <v>0</v>
      </c>
      <c r="BW52" s="1">
        <f t="shared" si="70"/>
        <v>0</v>
      </c>
      <c r="BX52" s="1">
        <f t="shared" si="71"/>
        <v>0</v>
      </c>
      <c r="BY52" s="1">
        <f t="shared" si="72"/>
        <v>0</v>
      </c>
      <c r="BZ52" s="1">
        <f t="shared" si="73"/>
        <v>0</v>
      </c>
      <c r="CA52" s="1">
        <f t="shared" si="74"/>
        <v>0</v>
      </c>
      <c r="CB52" s="1">
        <f t="shared" si="75"/>
        <v>1000</v>
      </c>
      <c r="CC52" s="1">
        <f t="shared" si="76"/>
        <v>111</v>
      </c>
      <c r="CD52" s="1">
        <f t="shared" si="77"/>
        <v>185</v>
      </c>
      <c r="CE52" s="1">
        <f t="shared" si="78"/>
        <v>239</v>
      </c>
      <c r="CF52" s="1">
        <f t="shared" si="79"/>
        <v>337</v>
      </c>
    </row>
    <row r="53" spans="2:146">
      <c r="B53" s="1" t="s">
        <v>222</v>
      </c>
      <c r="C53" s="1">
        <f t="shared" ref="C53" si="260">C51-C52</f>
        <v>1522</v>
      </c>
      <c r="D53" s="1">
        <f t="shared" ref="D53" si="261">D51-D52</f>
        <v>1894</v>
      </c>
      <c r="E53" s="1">
        <f t="shared" ref="E53" si="262">E51-E52</f>
        <v>1773</v>
      </c>
      <c r="F53" s="1">
        <f t="shared" ref="F53" si="263">F51-F52</f>
        <v>1557</v>
      </c>
      <c r="G53" s="1">
        <f t="shared" ref="G53" si="264">G51-G52</f>
        <v>1824</v>
      </c>
      <c r="H53" s="1">
        <f t="shared" ref="H53" si="265">H51-H52</f>
        <v>2079</v>
      </c>
      <c r="I53" s="1">
        <f t="shared" ref="I53" si="266">I51-I52</f>
        <v>1978</v>
      </c>
      <c r="J53" s="1">
        <f t="shared" ref="J53" si="267">J51-J52</f>
        <v>1564</v>
      </c>
      <c r="K53" s="1">
        <f t="shared" ref="K53" si="268">K51-K52</f>
        <v>1756</v>
      </c>
      <c r="L53" s="1">
        <f t="shared" ref="L53" si="269">L51-L52</f>
        <v>2202</v>
      </c>
      <c r="M53" s="1">
        <f t="shared" ref="M53" si="270">M51-M52</f>
        <v>2222</v>
      </c>
      <c r="N53" s="1">
        <f t="shared" ref="N53" si="271">N51-N52</f>
        <v>2050</v>
      </c>
      <c r="O53" s="1">
        <f t="shared" ref="O53" si="272">O51-O52</f>
        <v>1869</v>
      </c>
      <c r="P53" s="1">
        <f t="shared" ref="P53" si="273">P51-P52</f>
        <v>2006</v>
      </c>
      <c r="Q53" s="1">
        <f t="shared" ref="Q53" si="274">Q51-Q52</f>
        <v>1894</v>
      </c>
      <c r="R53" s="1">
        <f t="shared" ref="R53" si="275">R51-R52</f>
        <v>235</v>
      </c>
      <c r="S53" s="1">
        <f t="shared" ref="S53" si="276">S51-S52</f>
        <v>1699</v>
      </c>
      <c r="T53" s="1">
        <f t="shared" ref="T53" si="277">T51-T52</f>
        <v>1975</v>
      </c>
      <c r="U53" s="1">
        <f t="shared" ref="U53" si="278">U51-U52</f>
        <v>1984</v>
      </c>
      <c r="V53" s="1">
        <f t="shared" ref="V53" si="279">V51-V52</f>
        <v>1954</v>
      </c>
      <c r="W53" s="1">
        <f t="shared" ref="W53" si="280">W51-W52</f>
        <v>1648</v>
      </c>
      <c r="X53" s="1">
        <f t="shared" ref="X53" si="281">X51-X52</f>
        <v>1732</v>
      </c>
      <c r="Y53" s="1">
        <f t="shared" ref="Y53" si="282">Y51-Y52</f>
        <v>1618</v>
      </c>
      <c r="Z53" s="1">
        <f t="shared" ref="Z53" si="283">Z51-Z52</f>
        <v>672</v>
      </c>
      <c r="AA53" s="1">
        <f t="shared" ref="AA53" si="284">AA51-AA52</f>
        <v>1444</v>
      </c>
      <c r="AB53" s="1">
        <f t="shared" ref="AB53" si="285">AB51-AB52</f>
        <v>2223</v>
      </c>
      <c r="AC53" s="1">
        <f t="shared" ref="AC53" si="286">AC51-AC52</f>
        <v>1489</v>
      </c>
      <c r="AD53" s="1">
        <f t="shared" ref="AD53" si="287">AD51-AD52</f>
        <v>-3004</v>
      </c>
      <c r="AE53" s="1">
        <f t="shared" ref="AE53" si="288">AE51-AE52</f>
        <v>1871</v>
      </c>
      <c r="AF53" s="1">
        <f t="shared" ref="AF53" si="289">AF51-AF52</f>
        <v>1532</v>
      </c>
      <c r="AG53" s="1">
        <f t="shared" ref="AG53" si="290">AG51-AG52</f>
        <v>1237</v>
      </c>
      <c r="AH53" s="1">
        <f t="shared" ref="AH53" si="291">AH51-AH52</f>
        <v>615</v>
      </c>
      <c r="AI53" s="1">
        <f t="shared" ref="AI53" si="292">AI51-AI52</f>
        <v>7670</v>
      </c>
      <c r="AJ53" s="1">
        <f t="shared" ref="AJ53" si="293">AJ51-AJ52</f>
        <v>-3408</v>
      </c>
      <c r="AK53" s="1">
        <f t="shared" ref="AK53" si="294">AK51-AK52</f>
        <v>379</v>
      </c>
      <c r="AL53" s="1">
        <f t="shared" ref="AL53" si="295">AL51-AL52</f>
        <v>589</v>
      </c>
      <c r="AM53" s="1">
        <f t="shared" ref="AM53" si="296">AM51-AM52</f>
        <v>772</v>
      </c>
      <c r="AN53" s="1">
        <f t="shared" ref="AN53" si="297">AN51-AN52</f>
        <v>1040</v>
      </c>
      <c r="AO53" s="1">
        <f t="shared" ref="AO53" si="298">AO51-AO52</f>
        <v>1400</v>
      </c>
      <c r="AP53" s="1">
        <f t="shared" ref="AP53" si="299">AP51-AP52</f>
        <v>-4095</v>
      </c>
      <c r="AQ53" s="1">
        <f t="shared" ref="AQ53" si="300">AQ51-AQ52</f>
        <v>1103</v>
      </c>
      <c r="AR53" s="1">
        <f t="shared" ref="AR53" si="301">AR51-AR52</f>
        <v>1304</v>
      </c>
      <c r="AS53" s="1">
        <f t="shared" ref="AS53" si="302">AS51-AS52</f>
        <v>1387</v>
      </c>
      <c r="AT53" s="1">
        <f t="shared" ref="AT53" si="303">AT51-AT52</f>
        <v>1422</v>
      </c>
      <c r="AU53" s="1">
        <f t="shared" ref="AU53" si="304">AU51-AU52</f>
        <v>1426</v>
      </c>
      <c r="AV53" s="1">
        <f t="shared" ref="AV53" si="305">AV51-AV52</f>
        <v>1327</v>
      </c>
      <c r="AW53" s="1">
        <f t="shared" ref="AW53" si="306">AW51-AW52</f>
        <v>-984</v>
      </c>
      <c r="AX53" s="1">
        <f t="shared" ref="AX53" si="307">AX51-AX52</f>
        <v>1426</v>
      </c>
      <c r="AY53" s="1">
        <f t="shared" ref="AY53" si="308">AY51-AY52</f>
        <v>1709</v>
      </c>
      <c r="AZ53" s="1">
        <f t="shared" ref="AZ53" si="309">AZ51-AZ52</f>
        <v>111</v>
      </c>
      <c r="BA53" s="1">
        <f t="shared" ref="BA53" si="310">BA51-BA52</f>
        <v>1472</v>
      </c>
      <c r="BB53" s="1">
        <f t="shared" ref="BB53" si="311">BB51-BB52</f>
        <v>1482</v>
      </c>
      <c r="BC53" s="1">
        <f t="shared" ref="BC53" si="312">BC51-BC52</f>
        <v>1535</v>
      </c>
      <c r="BD53" s="1">
        <f t="shared" ref="BD53" si="313">BD51-BD52</f>
        <v>1657</v>
      </c>
      <c r="BE53" s="1">
        <f t="shared" ref="BE53" si="314">BE51-BE52</f>
        <v>1918</v>
      </c>
      <c r="BF53" s="1">
        <f t="shared" ref="BF53:BG53" si="315">BF51-BF52</f>
        <v>1622</v>
      </c>
      <c r="BG53" s="1">
        <f t="shared" si="315"/>
        <v>2059</v>
      </c>
      <c r="BH53" s="1">
        <f>BH51-BH52</f>
        <v>2139</v>
      </c>
      <c r="BI53" s="1">
        <f>BI51-BI52</f>
        <v>2583</v>
      </c>
      <c r="BS53" s="1">
        <f t="shared" si="66"/>
        <v>6746</v>
      </c>
      <c r="BT53" s="1">
        <f t="shared" si="67"/>
        <v>7445</v>
      </c>
      <c r="BU53" s="1">
        <f t="shared" si="68"/>
        <v>8230</v>
      </c>
      <c r="BV53" s="1">
        <f t="shared" si="69"/>
        <v>6004</v>
      </c>
      <c r="BW53" s="1">
        <f t="shared" si="70"/>
        <v>7612</v>
      </c>
      <c r="BX53" s="1">
        <f t="shared" si="71"/>
        <v>5670</v>
      </c>
      <c r="BY53" s="1">
        <f t="shared" si="72"/>
        <v>2152</v>
      </c>
      <c r="BZ53" s="1">
        <f t="shared" si="73"/>
        <v>5255</v>
      </c>
      <c r="CA53" s="1">
        <f t="shared" si="74"/>
        <v>5230</v>
      </c>
      <c r="CB53" s="1">
        <f t="shared" si="75"/>
        <v>-883</v>
      </c>
      <c r="CC53" s="1">
        <f t="shared" si="76"/>
        <v>5216</v>
      </c>
      <c r="CD53" s="1">
        <f t="shared" si="77"/>
        <v>3195</v>
      </c>
      <c r="CE53" s="1">
        <f t="shared" si="78"/>
        <v>4774</v>
      </c>
      <c r="CF53" s="1">
        <f t="shared" si="79"/>
        <v>6732</v>
      </c>
    </row>
    <row r="54" spans="2:146">
      <c r="B54" s="1" t="s">
        <v>72</v>
      </c>
      <c r="C54" s="1">
        <v>891</v>
      </c>
      <c r="D54" s="1">
        <v>893</v>
      </c>
      <c r="E54" s="1">
        <v>896</v>
      </c>
      <c r="F54" s="1">
        <v>895</v>
      </c>
      <c r="G54" s="1">
        <v>901</v>
      </c>
      <c r="H54" s="1">
        <v>901</v>
      </c>
      <c r="I54" s="1">
        <v>901</v>
      </c>
      <c r="J54" s="1">
        <v>901</v>
      </c>
      <c r="K54" s="1">
        <v>901</v>
      </c>
      <c r="L54" s="1">
        <v>900</v>
      </c>
      <c r="M54" s="1">
        <v>900</v>
      </c>
      <c r="N54" s="1">
        <v>898</v>
      </c>
      <c r="O54" s="1">
        <v>890</v>
      </c>
      <c r="P54" s="1">
        <v>877</v>
      </c>
      <c r="Q54" s="1">
        <v>876</v>
      </c>
      <c r="R54" s="1">
        <v>873</v>
      </c>
      <c r="S54" s="1">
        <v>825</v>
      </c>
      <c r="T54" s="1">
        <v>825</v>
      </c>
      <c r="U54" s="1">
        <v>822</v>
      </c>
      <c r="V54" s="1">
        <v>818</v>
      </c>
      <c r="W54" s="1">
        <v>794</v>
      </c>
      <c r="X54" s="1">
        <v>789</v>
      </c>
      <c r="Y54" s="1">
        <v>788</v>
      </c>
      <c r="Z54" s="1">
        <v>790</v>
      </c>
      <c r="AA54" s="1">
        <v>790</v>
      </c>
      <c r="AB54" s="1">
        <v>791</v>
      </c>
      <c r="AC54" s="1">
        <v>791</v>
      </c>
      <c r="AD54" s="1">
        <v>800</v>
      </c>
      <c r="AE54" s="1">
        <v>853</v>
      </c>
      <c r="AF54" s="1">
        <v>854</v>
      </c>
      <c r="AG54" s="1">
        <v>855</v>
      </c>
      <c r="AH54" s="1">
        <v>855</v>
      </c>
      <c r="AI54" s="1">
        <v>858</v>
      </c>
      <c r="AJ54" s="1">
        <v>1504</v>
      </c>
      <c r="AK54" s="1">
        <v>1509</v>
      </c>
      <c r="AL54" s="1">
        <v>1511</v>
      </c>
      <c r="AM54" s="1">
        <v>1507</v>
      </c>
      <c r="AN54" s="1">
        <v>1505</v>
      </c>
      <c r="AO54" s="1">
        <v>1497</v>
      </c>
      <c r="AP54" s="1">
        <v>1492</v>
      </c>
      <c r="AQ54" s="1">
        <v>1488</v>
      </c>
      <c r="AR54" s="1">
        <v>1476</v>
      </c>
      <c r="AS54" s="1">
        <v>1470</v>
      </c>
      <c r="AT54" s="1">
        <v>1468</v>
      </c>
      <c r="AU54" s="1">
        <v>1463</v>
      </c>
      <c r="AV54" s="1">
        <v>1462</v>
      </c>
      <c r="AW54" s="1">
        <v>1448</v>
      </c>
      <c r="AX54" s="1">
        <v>1347</v>
      </c>
      <c r="AY54" s="1">
        <v>1326</v>
      </c>
      <c r="AZ54" s="1">
        <v>1327</v>
      </c>
      <c r="BA54" s="1">
        <v>1330</v>
      </c>
      <c r="BB54" s="1">
        <v>1332</v>
      </c>
      <c r="BC54" s="1">
        <v>1335</v>
      </c>
      <c r="BD54" s="1">
        <v>1336</v>
      </c>
      <c r="BE54" s="1">
        <v>1342</v>
      </c>
      <c r="BF54" s="1">
        <v>1342</v>
      </c>
      <c r="BG54" s="1">
        <v>1349</v>
      </c>
      <c r="BH54" s="1">
        <v>1347.8</v>
      </c>
      <c r="BI54" s="1">
        <v>1352.2</v>
      </c>
      <c r="BS54" s="82">
        <f>AVERAGE(C54:F54)</f>
        <v>893.75</v>
      </c>
      <c r="BT54" s="82">
        <f>AVERAGE(G54:J54)</f>
        <v>901</v>
      </c>
      <c r="BU54" s="82">
        <f>AVERAGE(K54:N54)</f>
        <v>899.75</v>
      </c>
      <c r="BV54" s="82">
        <f>AVERAGE(O54:R54)</f>
        <v>879</v>
      </c>
      <c r="BW54" s="82">
        <f>AVERAGE(S54:V54)</f>
        <v>822.5</v>
      </c>
      <c r="BX54" s="82">
        <f>AVERAGE(W54:Z54)</f>
        <v>790.25</v>
      </c>
      <c r="BY54" s="82">
        <f>AVERAGE(AA54:AD54)</f>
        <v>793</v>
      </c>
      <c r="BZ54" s="82">
        <f>AVERAGE(AE54:AH54)</f>
        <v>854.25</v>
      </c>
      <c r="CA54" s="82">
        <f>AVERAGE(AI54:AL54)</f>
        <v>1345.5</v>
      </c>
      <c r="CB54" s="82">
        <f>AVERAGE(AM54:AP54)</f>
        <v>1500.25</v>
      </c>
      <c r="CC54" s="82">
        <f>AVERAGE(AQ54:AT54)</f>
        <v>1475.5</v>
      </c>
      <c r="CD54" s="82">
        <f>AVERAGE(AU54:AX54)</f>
        <v>1430</v>
      </c>
      <c r="CE54" s="82">
        <f>AVERAGE(AY54:BB54)</f>
        <v>1328.75</v>
      </c>
      <c r="CF54" s="82">
        <f>AVERAGE(BC54:BF54)</f>
        <v>1338.75</v>
      </c>
    </row>
    <row r="55" spans="2:146">
      <c r="B55" s="39" t="s">
        <v>129</v>
      </c>
      <c r="C55" s="39">
        <f t="shared" ref="C55:BG55" si="316">C53/C54</f>
        <v>1.7081930415263749</v>
      </c>
      <c r="D55" s="39">
        <f t="shared" si="316"/>
        <v>2.1209406494960805</v>
      </c>
      <c r="E55" s="39">
        <f t="shared" si="316"/>
        <v>1.9787946428571428</v>
      </c>
      <c r="F55" s="39">
        <f t="shared" si="316"/>
        <v>1.7396648044692737</v>
      </c>
      <c r="G55" s="39">
        <f t="shared" si="316"/>
        <v>2.0244173140954493</v>
      </c>
      <c r="H55" s="39">
        <f t="shared" si="316"/>
        <v>2.3074361820199778</v>
      </c>
      <c r="I55" s="39">
        <f t="shared" si="316"/>
        <v>2.195338512763596</v>
      </c>
      <c r="J55" s="39">
        <f t="shared" si="316"/>
        <v>1.7358490566037736</v>
      </c>
      <c r="K55" s="39">
        <f t="shared" si="316"/>
        <v>1.948945615982242</v>
      </c>
      <c r="L55" s="39">
        <f t="shared" si="316"/>
        <v>2.4466666666666668</v>
      </c>
      <c r="M55" s="39">
        <f t="shared" si="316"/>
        <v>2.4688888888888889</v>
      </c>
      <c r="N55" s="39">
        <f t="shared" si="316"/>
        <v>2.2828507795100221</v>
      </c>
      <c r="O55" s="39">
        <f t="shared" si="316"/>
        <v>2.1</v>
      </c>
      <c r="P55" s="39">
        <f t="shared" si="316"/>
        <v>2.2873432155074118</v>
      </c>
      <c r="Q55" s="39">
        <f t="shared" si="316"/>
        <v>2.1621004566210047</v>
      </c>
      <c r="R55" s="39">
        <f t="shared" si="316"/>
        <v>0.26918671248568155</v>
      </c>
      <c r="S55" s="39">
        <f t="shared" si="316"/>
        <v>2.0593939393939396</v>
      </c>
      <c r="T55" s="39">
        <f t="shared" si="316"/>
        <v>2.393939393939394</v>
      </c>
      <c r="U55" s="39">
        <f t="shared" si="316"/>
        <v>2.4136253041362532</v>
      </c>
      <c r="V55" s="39">
        <f t="shared" si="316"/>
        <v>2.388753056234719</v>
      </c>
      <c r="W55" s="39">
        <f t="shared" si="316"/>
        <v>2.0755667506297231</v>
      </c>
      <c r="X55" s="39">
        <f t="shared" si="316"/>
        <v>2.1951837769328262</v>
      </c>
      <c r="Y55" s="39">
        <f t="shared" si="316"/>
        <v>2.0532994923857868</v>
      </c>
      <c r="Z55" s="39">
        <f t="shared" si="316"/>
        <v>0.85063291139240504</v>
      </c>
      <c r="AA55" s="39">
        <f t="shared" si="316"/>
        <v>1.8278481012658228</v>
      </c>
      <c r="AB55" s="39">
        <f t="shared" si="316"/>
        <v>2.8103666245259165</v>
      </c>
      <c r="AC55" s="39">
        <f t="shared" si="316"/>
        <v>1.8824273072060682</v>
      </c>
      <c r="AD55" s="39">
        <f t="shared" si="316"/>
        <v>-3.7549999999999999</v>
      </c>
      <c r="AE55" s="39">
        <f t="shared" si="316"/>
        <v>2.193434935521688</v>
      </c>
      <c r="AF55" s="39">
        <f t="shared" si="316"/>
        <v>1.7939110070257611</v>
      </c>
      <c r="AG55" s="39">
        <f t="shared" si="316"/>
        <v>1.4467836257309941</v>
      </c>
      <c r="AH55" s="39">
        <f t="shared" si="316"/>
        <v>0.7192982456140351</v>
      </c>
      <c r="AI55" s="39">
        <f t="shared" si="316"/>
        <v>8.9393939393939394</v>
      </c>
      <c r="AJ55" s="39">
        <f t="shared" si="316"/>
        <v>-2.2659574468085109</v>
      </c>
      <c r="AK55" s="39">
        <f t="shared" si="316"/>
        <v>0.25115970841616964</v>
      </c>
      <c r="AL55" s="39">
        <f t="shared" si="316"/>
        <v>0.38980807412309726</v>
      </c>
      <c r="AM55" s="39">
        <f t="shared" si="316"/>
        <v>0.51227604512276048</v>
      </c>
      <c r="AN55" s="39">
        <f t="shared" si="316"/>
        <v>0.69102990033222589</v>
      </c>
      <c r="AO55" s="39">
        <f t="shared" si="316"/>
        <v>0.93520374081496327</v>
      </c>
      <c r="AP55" s="39">
        <f t="shared" si="316"/>
        <v>-2.7446380697050938</v>
      </c>
      <c r="AQ55" s="39">
        <f t="shared" si="316"/>
        <v>0.74126344086021501</v>
      </c>
      <c r="AR55" s="39">
        <f t="shared" si="316"/>
        <v>0.88346883468834692</v>
      </c>
      <c r="AS55" s="39">
        <f t="shared" si="316"/>
        <v>0.94353741496598642</v>
      </c>
      <c r="AT55" s="39">
        <f t="shared" si="316"/>
        <v>0.96866485013623982</v>
      </c>
      <c r="AU55" s="39">
        <f t="shared" si="316"/>
        <v>0.97470950102529053</v>
      </c>
      <c r="AV55" s="39">
        <f t="shared" si="316"/>
        <v>0.90766073871409025</v>
      </c>
      <c r="AW55" s="39">
        <f t="shared" si="316"/>
        <v>-0.6795580110497238</v>
      </c>
      <c r="AX55" s="39">
        <f t="shared" si="316"/>
        <v>1.058648849294729</v>
      </c>
      <c r="AY55" s="39">
        <f t="shared" si="316"/>
        <v>1.2888386123680242</v>
      </c>
      <c r="AZ55" s="39">
        <f t="shared" si="316"/>
        <v>8.364732479276564E-2</v>
      </c>
      <c r="BA55" s="39">
        <f t="shared" si="316"/>
        <v>1.1067669172932331</v>
      </c>
      <c r="BB55" s="39">
        <f t="shared" si="316"/>
        <v>1.1126126126126126</v>
      </c>
      <c r="BC55" s="39">
        <f t="shared" si="316"/>
        <v>1.1498127340823969</v>
      </c>
      <c r="BD55" s="39">
        <f t="shared" si="316"/>
        <v>1.2402694610778444</v>
      </c>
      <c r="BE55" s="39">
        <f t="shared" si="316"/>
        <v>1.4292101341281669</v>
      </c>
      <c r="BF55" s="39">
        <f t="shared" si="316"/>
        <v>1.2086438152011922</v>
      </c>
      <c r="BG55" s="39">
        <f t="shared" si="316"/>
        <v>1.5263157894736843</v>
      </c>
      <c r="BH55" s="39">
        <f>BH53/BH54</f>
        <v>1.5870307167235496</v>
      </c>
      <c r="BI55" s="39">
        <f>BI53/BI54</f>
        <v>1.9102203816003549</v>
      </c>
      <c r="BS55" s="39">
        <f t="shared" si="66"/>
        <v>7.5475931383488719</v>
      </c>
      <c r="BT55" s="39">
        <f t="shared" si="67"/>
        <v>8.2630410654827973</v>
      </c>
      <c r="BU55" s="39">
        <f t="shared" si="68"/>
        <v>9.1473519510478205</v>
      </c>
      <c r="BV55" s="39">
        <f t="shared" si="69"/>
        <v>6.8186303846140985</v>
      </c>
      <c r="BW55" s="39">
        <f t="shared" si="70"/>
        <v>9.2557116937043062</v>
      </c>
      <c r="BX55" s="39">
        <f t="shared" si="71"/>
        <v>7.1746829313407412</v>
      </c>
      <c r="BY55" s="39">
        <f t="shared" si="72"/>
        <v>2.7656420329978078</v>
      </c>
      <c r="BZ55" s="39">
        <f t="shared" si="73"/>
        <v>6.1534278138924785</v>
      </c>
      <c r="CA55" s="39">
        <f t="shared" si="74"/>
        <v>7.314404275124696</v>
      </c>
      <c r="CB55" s="39">
        <f t="shared" si="75"/>
        <v>-0.60612838343514408</v>
      </c>
      <c r="CC55" s="39">
        <f t="shared" si="76"/>
        <v>3.5369345406507886</v>
      </c>
      <c r="CD55" s="39">
        <f t="shared" si="77"/>
        <v>2.2614610779843858</v>
      </c>
      <c r="CE55" s="39">
        <f t="shared" si="78"/>
        <v>3.5918654670666355</v>
      </c>
      <c r="CF55" s="39">
        <f t="shared" si="79"/>
        <v>5.0279361444896002</v>
      </c>
    </row>
    <row r="56" spans="2:146">
      <c r="BI56" s="1"/>
    </row>
    <row r="57" spans="2:146">
      <c r="B57" s="37" t="s">
        <v>56</v>
      </c>
      <c r="C57" s="75">
        <f t="shared" ref="C57:BG57" si="317">C42/C40</f>
        <v>0.28076675257731959</v>
      </c>
      <c r="D57" s="75">
        <f t="shared" si="317"/>
        <v>0.28050988628956325</v>
      </c>
      <c r="E57" s="75">
        <f t="shared" si="317"/>
        <v>0.26851482515622921</v>
      </c>
      <c r="F57" s="75">
        <f t="shared" si="317"/>
        <v>0.25281274706562062</v>
      </c>
      <c r="G57" s="75">
        <f t="shared" si="317"/>
        <v>0.27321341759844436</v>
      </c>
      <c r="H57" s="75">
        <f t="shared" si="317"/>
        <v>0.27827064850680994</v>
      </c>
      <c r="I57" s="75">
        <f t="shared" si="317"/>
        <v>0.28728495666796017</v>
      </c>
      <c r="J57" s="75">
        <f t="shared" si="317"/>
        <v>0.30764930587906458</v>
      </c>
      <c r="K57" s="75">
        <f t="shared" si="317"/>
        <v>0.27500847744998302</v>
      </c>
      <c r="L57" s="75">
        <f t="shared" si="317"/>
        <v>0.24780408353208075</v>
      </c>
      <c r="M57" s="75">
        <f t="shared" si="317"/>
        <v>0.30438650516663246</v>
      </c>
      <c r="N57" s="75">
        <f t="shared" si="317"/>
        <v>0.37344727336798522</v>
      </c>
      <c r="O57" s="75">
        <f t="shared" si="317"/>
        <v>0.28633633633633632</v>
      </c>
      <c r="P57" s="75">
        <f t="shared" si="317"/>
        <v>0.28713410483321988</v>
      </c>
      <c r="Q57" s="75">
        <f t="shared" si="317"/>
        <v>0.28923701769654775</v>
      </c>
      <c r="R57" s="75">
        <f t="shared" si="317"/>
        <v>0.25503496503496503</v>
      </c>
      <c r="S57" s="75">
        <f t="shared" si="317"/>
        <v>0.27723291158194208</v>
      </c>
      <c r="T57" s="75">
        <f t="shared" si="317"/>
        <v>0.27786741965846445</v>
      </c>
      <c r="U57" s="75">
        <f t="shared" si="317"/>
        <v>0.27950397101853142</v>
      </c>
      <c r="V57" s="75">
        <f t="shared" si="317"/>
        <v>0.26775359847192853</v>
      </c>
      <c r="W57" s="75">
        <f t="shared" si="317"/>
        <v>0.26630474122330799</v>
      </c>
      <c r="X57" s="75">
        <f t="shared" si="317"/>
        <v>0.26937172774869111</v>
      </c>
      <c r="Y57" s="75">
        <f t="shared" si="317"/>
        <v>0.26264772274598325</v>
      </c>
      <c r="Z57" s="75">
        <f t="shared" si="317"/>
        <v>0.24776785714285715</v>
      </c>
      <c r="AA57" s="75">
        <f t="shared" si="317"/>
        <v>0.25993964046713031</v>
      </c>
      <c r="AB57" s="75">
        <f t="shared" si="317"/>
        <v>0.25639030230469917</v>
      </c>
      <c r="AC57" s="75">
        <f t="shared" si="317"/>
        <v>0.24070260448213204</v>
      </c>
      <c r="AD57" s="75">
        <f t="shared" si="317"/>
        <v>0.36224193079383543</v>
      </c>
      <c r="AE57" s="75">
        <f t="shared" si="317"/>
        <v>0.25363463109175061</v>
      </c>
      <c r="AF57" s="75">
        <f t="shared" si="317"/>
        <v>0.24494659722835202</v>
      </c>
      <c r="AG57" s="75">
        <f t="shared" si="317"/>
        <v>0.25182449661478939</v>
      </c>
      <c r="AH57" s="75">
        <f t="shared" si="317"/>
        <v>0.10602522185894442</v>
      </c>
      <c r="AI57" s="75">
        <f t="shared" si="317"/>
        <v>0.5292696320702911</v>
      </c>
      <c r="AJ57" s="75">
        <f t="shared" si="317"/>
        <v>0.14449814386775933</v>
      </c>
      <c r="AK57" s="75">
        <f t="shared" si="317"/>
        <v>0.11819353088763816</v>
      </c>
      <c r="AL57" s="75">
        <f t="shared" si="317"/>
        <v>0.13972140143520473</v>
      </c>
      <c r="AM57" s="75">
        <f t="shared" si="317"/>
        <v>0.17795554389876073</v>
      </c>
      <c r="AN57" s="75">
        <f t="shared" si="317"/>
        <v>0.20308564231738035</v>
      </c>
      <c r="AO57" s="75">
        <f t="shared" si="317"/>
        <v>0.19268488250169616</v>
      </c>
      <c r="AP57" s="75">
        <f t="shared" si="317"/>
        <v>0.20112649612766956</v>
      </c>
      <c r="AQ57" s="75">
        <f t="shared" si="317"/>
        <v>0.20081445660473402</v>
      </c>
      <c r="AR57" s="75">
        <f t="shared" si="317"/>
        <v>0.21196518327816599</v>
      </c>
      <c r="AS57" s="75">
        <f t="shared" si="317"/>
        <v>0.20571057754704739</v>
      </c>
      <c r="AT57" s="75">
        <f t="shared" si="317"/>
        <v>0.19714806831371248</v>
      </c>
      <c r="AU57" s="75">
        <f t="shared" si="317"/>
        <v>0.20733124201231556</v>
      </c>
      <c r="AV57" s="75">
        <f t="shared" si="317"/>
        <v>0.20731640731640733</v>
      </c>
      <c r="AW57" s="75">
        <f t="shared" si="317"/>
        <v>5.3030303030303032E-2</v>
      </c>
      <c r="AX57" s="75">
        <f t="shared" si="317"/>
        <v>0.20118432277814022</v>
      </c>
      <c r="AY57" s="75">
        <f t="shared" si="317"/>
        <v>0.18445998445998446</v>
      </c>
      <c r="AZ57" s="75">
        <f t="shared" si="317"/>
        <v>0.18153237665432786</v>
      </c>
      <c r="BA57" s="75">
        <f t="shared" si="317"/>
        <v>0.20080641146896311</v>
      </c>
      <c r="BB57" s="75">
        <f t="shared" si="317"/>
        <v>0.1958562641631596</v>
      </c>
      <c r="BC57" s="75">
        <f t="shared" si="317"/>
        <v>0.20269870974096327</v>
      </c>
      <c r="BD57" s="75">
        <f t="shared" si="317"/>
        <v>0.20277095593345998</v>
      </c>
      <c r="BE57" s="75">
        <f t="shared" si="317"/>
        <v>0.20375478245395498</v>
      </c>
      <c r="BF57" s="75">
        <f t="shared" si="317"/>
        <v>0.19461176664741314</v>
      </c>
      <c r="BG57" s="75">
        <f t="shared" si="317"/>
        <v>0.2080992933502446</v>
      </c>
      <c r="BH57" s="75">
        <f>BH42/BH40</f>
        <v>0.20774647887323944</v>
      </c>
      <c r="BI57" s="75">
        <f>BI42/BI40</f>
        <v>0.23252553575005008</v>
      </c>
      <c r="BJ57" s="79"/>
      <c r="BS57" s="75">
        <f t="shared" ref="BS57:CF57" si="318">BS42/BS40</f>
        <v>0.26954668330214182</v>
      </c>
      <c r="BT57" s="75">
        <f t="shared" si="318"/>
        <v>0.28501766784452298</v>
      </c>
      <c r="BU57" s="75">
        <f t="shared" si="318"/>
        <v>0.29364421416234887</v>
      </c>
      <c r="BV57" s="75">
        <f t="shared" si="318"/>
        <v>0.27927911868515809</v>
      </c>
      <c r="BW57" s="75">
        <f t="shared" si="318"/>
        <v>0.27553979456362238</v>
      </c>
      <c r="BX57" s="75">
        <f t="shared" si="318"/>
        <v>0.26130989187292142</v>
      </c>
      <c r="BY57" s="75">
        <f t="shared" si="318"/>
        <v>0.20852425002161321</v>
      </c>
      <c r="BZ57" s="75">
        <f t="shared" si="318"/>
        <v>0.23707248230390968</v>
      </c>
      <c r="CA57" s="75">
        <f t="shared" si="318"/>
        <v>0.24697181001927387</v>
      </c>
      <c r="CB57" s="75">
        <f t="shared" si="318"/>
        <v>0.19399577561036219</v>
      </c>
      <c r="CC57" s="75">
        <f t="shared" si="318"/>
        <v>0.20377493514625639</v>
      </c>
      <c r="CD57" s="75">
        <f t="shared" si="318"/>
        <v>0.17540626813697041</v>
      </c>
      <c r="CE57" s="75">
        <f t="shared" si="318"/>
        <v>0.19086427704426664</v>
      </c>
      <c r="CF57" s="75">
        <f t="shared" si="318"/>
        <v>0.20077198288996986</v>
      </c>
      <c r="CG57" s="79">
        <v>0.21</v>
      </c>
      <c r="CH57" s="79">
        <v>0.21249999999999999</v>
      </c>
      <c r="CI57" s="79">
        <v>0.215</v>
      </c>
      <c r="CJ57" s="79">
        <v>0.22</v>
      </c>
      <c r="CK57" s="79">
        <v>0.221</v>
      </c>
      <c r="CL57" s="79">
        <v>0.222</v>
      </c>
      <c r="CM57" s="79">
        <v>0.223</v>
      </c>
      <c r="CN57" s="79">
        <v>0.224</v>
      </c>
      <c r="CO57" s="79">
        <v>0.22500000000000001</v>
      </c>
      <c r="CP57" s="79">
        <v>0.22500000000000001</v>
      </c>
    </row>
    <row r="58" spans="2:146">
      <c r="B58" s="37" t="s">
        <v>57</v>
      </c>
      <c r="C58" s="75">
        <f t="shared" ref="C58:BG58" si="319">C43/C40</f>
        <v>4.3814432989690719E-2</v>
      </c>
      <c r="D58" s="75">
        <f t="shared" si="319"/>
        <v>3.802419062794235E-2</v>
      </c>
      <c r="E58" s="75">
        <f t="shared" si="319"/>
        <v>3.9223507512298895E-2</v>
      </c>
      <c r="F58" s="75">
        <f t="shared" si="319"/>
        <v>4.3301100772365139E-2</v>
      </c>
      <c r="G58" s="75">
        <f t="shared" si="319"/>
        <v>4.2364053059240223E-2</v>
      </c>
      <c r="H58" s="75">
        <f t="shared" si="319"/>
        <v>3.9422716481319509E-2</v>
      </c>
      <c r="I58" s="75">
        <f t="shared" si="319"/>
        <v>4.0745052386495922E-2</v>
      </c>
      <c r="J58" s="75">
        <f t="shared" si="319"/>
        <v>4.3883350414609147E-2</v>
      </c>
      <c r="K58" s="75">
        <f t="shared" si="319"/>
        <v>4.2319430315361138E-2</v>
      </c>
      <c r="L58" s="75">
        <f t="shared" si="319"/>
        <v>3.8741201791635156E-2</v>
      </c>
      <c r="M58" s="75">
        <f t="shared" si="319"/>
        <v>4.3796619448436325E-2</v>
      </c>
      <c r="N58" s="75">
        <f t="shared" si="319"/>
        <v>4.8013390890670422E-2</v>
      </c>
      <c r="O58" s="75">
        <f t="shared" si="319"/>
        <v>4.234234234234234E-2</v>
      </c>
      <c r="P58" s="75">
        <f t="shared" si="319"/>
        <v>3.7985023825731788E-2</v>
      </c>
      <c r="Q58" s="75">
        <f t="shared" si="319"/>
        <v>3.959965187119234E-2</v>
      </c>
      <c r="R58" s="75">
        <f t="shared" si="319"/>
        <v>4.2727272727272725E-2</v>
      </c>
      <c r="S58" s="75">
        <f t="shared" si="319"/>
        <v>4.0503106985101442E-2</v>
      </c>
      <c r="T58" s="75">
        <f t="shared" si="319"/>
        <v>3.953206938281565E-2</v>
      </c>
      <c r="U58" s="75">
        <f t="shared" si="319"/>
        <v>4.0546189215549672E-2</v>
      </c>
      <c r="V58" s="75">
        <f t="shared" si="319"/>
        <v>4.5364622416263045E-2</v>
      </c>
      <c r="W58" s="75">
        <f t="shared" si="319"/>
        <v>4.2417661961635905E-2</v>
      </c>
      <c r="X58" s="75">
        <f t="shared" si="319"/>
        <v>4.0510471204188485E-2</v>
      </c>
      <c r="Y58" s="75">
        <f t="shared" si="319"/>
        <v>3.9304209268357454E-2</v>
      </c>
      <c r="Z58" s="75">
        <f t="shared" si="319"/>
        <v>4.0178571428571432E-2</v>
      </c>
      <c r="AA58" s="75">
        <f t="shared" si="319"/>
        <v>3.6346936097624981E-2</v>
      </c>
      <c r="AB58" s="75">
        <f t="shared" si="319"/>
        <v>3.5258904519604908E-2</v>
      </c>
      <c r="AC58" s="75">
        <f t="shared" si="319"/>
        <v>3.5493640218049669E-2</v>
      </c>
      <c r="AD58" s="75">
        <f t="shared" si="319"/>
        <v>-1.0831637103809248E-2</v>
      </c>
      <c r="AE58" s="75">
        <f t="shared" si="319"/>
        <v>3.9640620745984206E-2</v>
      </c>
      <c r="AF58" s="75">
        <f t="shared" si="319"/>
        <v>5.3402771647983051E-2</v>
      </c>
      <c r="AG58" s="75">
        <f t="shared" si="319"/>
        <v>5.2053108238811222E-2</v>
      </c>
      <c r="AH58" s="75">
        <f t="shared" si="319"/>
        <v>0.12307333021952359</v>
      </c>
      <c r="AI58" s="75">
        <f t="shared" si="319"/>
        <v>2.9379461834157055E-2</v>
      </c>
      <c r="AJ58" s="75">
        <f t="shared" si="319"/>
        <v>4.8679694613714367E-2</v>
      </c>
      <c r="AK58" s="75">
        <f t="shared" si="319"/>
        <v>4.3534278158269477E-2</v>
      </c>
      <c r="AL58" s="75">
        <f t="shared" si="319"/>
        <v>4.2814930953385996E-2</v>
      </c>
      <c r="AM58" s="75">
        <f t="shared" si="319"/>
        <v>3.8620418333224049E-2</v>
      </c>
      <c r="AN58" s="75">
        <f t="shared" si="319"/>
        <v>4.13727959697733E-2</v>
      </c>
      <c r="AO58" s="75">
        <f t="shared" si="319"/>
        <v>4.1694936162338866E-2</v>
      </c>
      <c r="AP58" s="75">
        <f t="shared" si="319"/>
        <v>4.6291950246421028E-2</v>
      </c>
      <c r="AQ58" s="75">
        <f t="shared" si="319"/>
        <v>4.0404683125477223E-2</v>
      </c>
      <c r="AR58" s="75">
        <f t="shared" si="319"/>
        <v>4.2785337746720609E-2</v>
      </c>
      <c r="AS58" s="75">
        <f t="shared" si="319"/>
        <v>3.905374314199752E-2</v>
      </c>
      <c r="AT58" s="75">
        <f t="shared" si="319"/>
        <v>3.9573315646935281E-2</v>
      </c>
      <c r="AU58" s="75">
        <f t="shared" si="319"/>
        <v>3.5261996049726969E-2</v>
      </c>
      <c r="AV58" s="75">
        <f t="shared" si="319"/>
        <v>3.9803439803439804E-2</v>
      </c>
      <c r="AW58" s="75">
        <f t="shared" si="319"/>
        <v>5.2881758764111705E-2</v>
      </c>
      <c r="AX58" s="75">
        <f t="shared" si="319"/>
        <v>3.7988658603904248E-2</v>
      </c>
      <c r="AY58" s="75">
        <f t="shared" si="319"/>
        <v>3.4654234654234652E-2</v>
      </c>
      <c r="AZ58" s="75">
        <f t="shared" si="319"/>
        <v>3.5799401653060191E-2</v>
      </c>
      <c r="BA58" s="75">
        <f t="shared" si="319"/>
        <v>3.7383642789586342E-2</v>
      </c>
      <c r="BB58" s="75">
        <f t="shared" si="319"/>
        <v>3.7367617814364332E-2</v>
      </c>
      <c r="BC58" s="75">
        <f t="shared" si="319"/>
        <v>3.1370038412291933E-2</v>
      </c>
      <c r="BD58" s="75">
        <f t="shared" si="319"/>
        <v>3.2296927853204205E-2</v>
      </c>
      <c r="BE58" s="75">
        <f t="shared" si="319"/>
        <v>3.0429753536791528E-2</v>
      </c>
      <c r="BF58" s="75">
        <f t="shared" si="319"/>
        <v>3.2552190774816407E-2</v>
      </c>
      <c r="BG58" s="75">
        <f t="shared" si="319"/>
        <v>2.8401884399347706E-2</v>
      </c>
      <c r="BH58" s="75">
        <f>BH43/BH40</f>
        <v>2.938319572608062E-2</v>
      </c>
      <c r="BI58" s="75">
        <f>BI43/BI40</f>
        <v>2.8479871820548768E-2</v>
      </c>
      <c r="BJ58" s="79"/>
      <c r="BS58" s="75">
        <f t="shared" ref="BS58:CF58" si="320">BS43/BS40</f>
        <v>4.1086157898384976E-2</v>
      </c>
      <c r="BT58" s="75">
        <f t="shared" si="320"/>
        <v>4.1378091872791518E-2</v>
      </c>
      <c r="BU58" s="75">
        <f t="shared" si="320"/>
        <v>4.2746113989637305E-2</v>
      </c>
      <c r="BV58" s="75">
        <f t="shared" si="320"/>
        <v>4.0625334236514668E-2</v>
      </c>
      <c r="BW58" s="75">
        <f t="shared" si="320"/>
        <v>4.1506533435818602E-2</v>
      </c>
      <c r="BX58" s="75">
        <f t="shared" si="320"/>
        <v>4.0560188512124604E-2</v>
      </c>
      <c r="BY58" s="75">
        <f t="shared" si="320"/>
        <v>5.4119477824846544E-2</v>
      </c>
      <c r="BZ58" s="75">
        <f t="shared" si="320"/>
        <v>5.4069549493924896E-2</v>
      </c>
      <c r="CA58" s="75">
        <f t="shared" si="320"/>
        <v>4.0459438707554411E-2</v>
      </c>
      <c r="CB58" s="75">
        <f t="shared" si="320"/>
        <v>4.2104118779896872E-2</v>
      </c>
      <c r="CC58" s="75">
        <f t="shared" si="320"/>
        <v>4.0418045740525391E-2</v>
      </c>
      <c r="CD58" s="75">
        <f t="shared" si="320"/>
        <v>4.0699361578641902E-2</v>
      </c>
      <c r="CE58" s="75">
        <f t="shared" si="320"/>
        <v>3.6339765661770169E-2</v>
      </c>
      <c r="CF58" s="75">
        <f t="shared" si="320"/>
        <v>3.1680642867622989E-2</v>
      </c>
      <c r="CG58" s="79">
        <v>2.8000000000000001E-2</v>
      </c>
      <c r="CH58" s="79">
        <v>2.9000000000000001E-2</v>
      </c>
      <c r="CI58" s="79">
        <v>0.03</v>
      </c>
      <c r="CJ58" s="79">
        <v>3.1E-2</v>
      </c>
      <c r="CK58" s="79">
        <v>3.2000000000000001E-2</v>
      </c>
      <c r="CL58" s="79">
        <v>3.2000000000000001E-2</v>
      </c>
      <c r="CM58" s="79">
        <v>3.1E-2</v>
      </c>
      <c r="CN58" s="79">
        <v>0.03</v>
      </c>
      <c r="CO58" s="79">
        <v>2.9000000000000001E-2</v>
      </c>
      <c r="CP58" s="79">
        <v>2.8000000000000001E-2</v>
      </c>
    </row>
    <row r="59" spans="2:146">
      <c r="B59" s="37" t="s">
        <v>58</v>
      </c>
      <c r="C59" s="75">
        <f t="shared" ref="C59:BG59" si="321">C44/C40</f>
        <v>0.12314755154639176</v>
      </c>
      <c r="D59" s="75">
        <f t="shared" si="321"/>
        <v>0.10929238791917144</v>
      </c>
      <c r="E59" s="75">
        <f t="shared" si="321"/>
        <v>0.10763196383459646</v>
      </c>
      <c r="F59" s="75">
        <f t="shared" si="321"/>
        <v>0.10916499422246549</v>
      </c>
      <c r="G59" s="75">
        <f t="shared" si="321"/>
        <v>0.112993957913744</v>
      </c>
      <c r="H59" s="75">
        <f t="shared" si="321"/>
        <v>0.10852180432337873</v>
      </c>
      <c r="I59" s="75">
        <f t="shared" si="321"/>
        <v>0.10561376277325055</v>
      </c>
      <c r="J59" s="75">
        <f t="shared" si="321"/>
        <v>0.12736420385726266</v>
      </c>
      <c r="K59" s="75">
        <f t="shared" si="321"/>
        <v>0.10824008138351984</v>
      </c>
      <c r="L59" s="75">
        <f t="shared" si="321"/>
        <v>9.4409865627363157E-2</v>
      </c>
      <c r="M59" s="75">
        <f t="shared" si="321"/>
        <v>0.10271675905016081</v>
      </c>
      <c r="N59" s="75">
        <f t="shared" si="321"/>
        <v>0.12791824508853847</v>
      </c>
      <c r="O59" s="75">
        <f t="shared" si="321"/>
        <v>0.11081081081081082</v>
      </c>
      <c r="P59" s="75">
        <f t="shared" si="321"/>
        <v>9.7072838665759026E-2</v>
      </c>
      <c r="Q59" s="75">
        <f t="shared" si="321"/>
        <v>9.8563968668407317E-2</v>
      </c>
      <c r="R59" s="75">
        <f t="shared" si="321"/>
        <v>0.1283916083916084</v>
      </c>
      <c r="S59" s="75">
        <f t="shared" si="321"/>
        <v>0.10204387212697462</v>
      </c>
      <c r="T59" s="75">
        <f t="shared" si="321"/>
        <v>9.7552776657254273E-2</v>
      </c>
      <c r="U59" s="75">
        <f t="shared" si="321"/>
        <v>9.6837118573220013E-2</v>
      </c>
      <c r="V59" s="75">
        <f t="shared" si="321"/>
        <v>0.11965345521522613</v>
      </c>
      <c r="W59" s="75">
        <f t="shared" si="321"/>
        <v>0.11125588128845458</v>
      </c>
      <c r="X59" s="75">
        <f t="shared" si="321"/>
        <v>0.10405759162303665</v>
      </c>
      <c r="Y59" s="75">
        <f t="shared" si="321"/>
        <v>0.10503253220023902</v>
      </c>
      <c r="Z59" s="75">
        <f t="shared" si="321"/>
        <v>0.10969387755102041</v>
      </c>
      <c r="AA59" s="75">
        <f t="shared" si="321"/>
        <v>0.11225560950006561</v>
      </c>
      <c r="AB59" s="75">
        <f t="shared" si="321"/>
        <v>0.10529781502544149</v>
      </c>
      <c r="AC59" s="75">
        <f t="shared" si="321"/>
        <v>0.10181708055723804</v>
      </c>
      <c r="AD59" s="75">
        <f t="shared" si="321"/>
        <v>0.16625472521081711</v>
      </c>
      <c r="AE59" s="75">
        <f t="shared" si="321"/>
        <v>0.10873945004083856</v>
      </c>
      <c r="AF59" s="75">
        <f t="shared" si="321"/>
        <v>7.9618677729720186E-2</v>
      </c>
      <c r="AG59" s="75">
        <f t="shared" si="321"/>
        <v>7.9310648026026553E-2</v>
      </c>
      <c r="AH59" s="75">
        <f t="shared" si="321"/>
        <v>-2.1018215787015414E-2</v>
      </c>
      <c r="AI59" s="75">
        <f t="shared" si="321"/>
        <v>5.3651839648544752E-2</v>
      </c>
      <c r="AJ59" s="75">
        <f t="shared" si="321"/>
        <v>0.12684737689990894</v>
      </c>
      <c r="AK59" s="75">
        <f t="shared" si="321"/>
        <v>9.500237336407405E-2</v>
      </c>
      <c r="AL59" s="75">
        <f t="shared" si="321"/>
        <v>8.1468974250738707E-2</v>
      </c>
      <c r="AM59" s="75">
        <f t="shared" si="321"/>
        <v>7.9994754442331645E-2</v>
      </c>
      <c r="AN59" s="75">
        <f t="shared" si="321"/>
        <v>8.6146095717884133E-2</v>
      </c>
      <c r="AO59" s="75">
        <f t="shared" si="321"/>
        <v>7.5803367667920799E-2</v>
      </c>
      <c r="AP59" s="75">
        <f t="shared" si="321"/>
        <v>0.10830790894156302</v>
      </c>
      <c r="AQ59" s="75">
        <f t="shared" si="321"/>
        <v>9.3471621277678801E-2</v>
      </c>
      <c r="AR59" s="75">
        <f t="shared" si="321"/>
        <v>8.7286992766948637E-2</v>
      </c>
      <c r="AS59" s="75">
        <f t="shared" si="321"/>
        <v>7.9700312665919412E-2</v>
      </c>
      <c r="AT59" s="75">
        <f t="shared" si="321"/>
        <v>7.8428121372906653E-2</v>
      </c>
      <c r="AU59" s="75">
        <f t="shared" si="321"/>
        <v>7.9179737423027766E-2</v>
      </c>
      <c r="AV59" s="75">
        <f t="shared" si="321"/>
        <v>8.7360087360087366E-2</v>
      </c>
      <c r="AW59" s="75">
        <f t="shared" si="321"/>
        <v>0.10405525846702317</v>
      </c>
      <c r="AX59" s="75">
        <f t="shared" si="321"/>
        <v>7.2514678576805339E-2</v>
      </c>
      <c r="AY59" s="75">
        <f t="shared" si="321"/>
        <v>7.2209272209272216E-2</v>
      </c>
      <c r="AZ59" s="75">
        <f t="shared" si="321"/>
        <v>7.3474975914000304E-2</v>
      </c>
      <c r="BA59" s="75">
        <f t="shared" si="321"/>
        <v>6.9142316690726263E-2</v>
      </c>
      <c r="BB59" s="75">
        <f t="shared" si="321"/>
        <v>7.2792859455209732E-2</v>
      </c>
      <c r="BC59" s="75">
        <f t="shared" si="321"/>
        <v>7.1308972717423424E-2</v>
      </c>
      <c r="BD59" s="75">
        <f t="shared" si="321"/>
        <v>7.2888188684490984E-2</v>
      </c>
      <c r="BE59" s="75">
        <f t="shared" si="321"/>
        <v>6.3884687249755323E-2</v>
      </c>
      <c r="BF59" s="75">
        <f t="shared" si="321"/>
        <v>6.7579833319580826E-2</v>
      </c>
      <c r="BG59" s="75">
        <f t="shared" si="321"/>
        <v>6.6859938394636706E-2</v>
      </c>
      <c r="BH59" s="75">
        <f>BH44/BH40</f>
        <v>6.7103772057633154E-2</v>
      </c>
      <c r="BI59" s="75">
        <f>BI44/BI40</f>
        <v>7.6827558582014815E-2</v>
      </c>
      <c r="BJ59" s="79"/>
      <c r="BS59" s="75">
        <f t="shared" ref="BS59:CF59" si="322">BS44/BS40</f>
        <v>0.1118042559090594</v>
      </c>
      <c r="BT59" s="75">
        <f t="shared" si="322"/>
        <v>0.11243816254416961</v>
      </c>
      <c r="BU59" s="75">
        <f t="shared" si="322"/>
        <v>0.10659758203799655</v>
      </c>
      <c r="BV59" s="75">
        <f t="shared" si="322"/>
        <v>0.10868480159720489</v>
      </c>
      <c r="BW59" s="75">
        <f t="shared" si="322"/>
        <v>0.10408077702466634</v>
      </c>
      <c r="BX59" s="75">
        <f t="shared" si="322"/>
        <v>0.10744188378428063</v>
      </c>
      <c r="BY59" s="75">
        <f t="shared" si="322"/>
        <v>8.2533644563557246E-2</v>
      </c>
      <c r="BZ59" s="75">
        <f t="shared" si="322"/>
        <v>8.1832013936360234E-2</v>
      </c>
      <c r="CA59" s="75">
        <f t="shared" si="322"/>
        <v>8.6810724415124496E-2</v>
      </c>
      <c r="CB59" s="75">
        <f t="shared" si="322"/>
        <v>8.7951171025656957E-2</v>
      </c>
      <c r="CC59" s="75">
        <f t="shared" si="322"/>
        <v>8.4429137967021492E-2</v>
      </c>
      <c r="CD59" s="75">
        <f t="shared" si="322"/>
        <v>8.4286128845037722E-2</v>
      </c>
      <c r="CE59" s="75">
        <f t="shared" si="322"/>
        <v>7.1911615348410909E-2</v>
      </c>
      <c r="CF59" s="75">
        <f t="shared" si="322"/>
        <v>6.8789995824069167E-2</v>
      </c>
      <c r="CG59" s="79">
        <v>6.7000000000000004E-2</v>
      </c>
      <c r="CH59" s="79">
        <v>7.0000000000000007E-2</v>
      </c>
      <c r="CI59" s="79">
        <v>7.1999999999999995E-2</v>
      </c>
      <c r="CJ59" s="79">
        <v>7.0000000000000007E-2</v>
      </c>
      <c r="CK59" s="79">
        <v>6.7500000000000004E-2</v>
      </c>
      <c r="CL59" s="79">
        <v>6.5000000000000002E-2</v>
      </c>
      <c r="CM59" s="79">
        <v>6.25E-2</v>
      </c>
      <c r="CN59" s="79">
        <v>6.2E-2</v>
      </c>
      <c r="CO59" s="79">
        <v>6.0999999999999999E-2</v>
      </c>
      <c r="CP59" s="79">
        <v>0.06</v>
      </c>
    </row>
    <row r="60" spans="2:146">
      <c r="B60" s="37" t="s">
        <v>218</v>
      </c>
      <c r="C60" s="75">
        <f t="shared" ref="C60:BG60" si="323">C45/C40</f>
        <v>-2.4162371134020619E-2</v>
      </c>
      <c r="D60" s="75">
        <f t="shared" si="323"/>
        <v>-2.4625190120953138E-2</v>
      </c>
      <c r="E60" s="75">
        <f t="shared" si="323"/>
        <v>-1.4027389974737401E-2</v>
      </c>
      <c r="F60" s="75">
        <f t="shared" si="323"/>
        <v>-6.1424314297877517E-3</v>
      </c>
      <c r="G60" s="75">
        <f t="shared" si="323"/>
        <v>-2.1459823598861033E-2</v>
      </c>
      <c r="H60" s="75">
        <f t="shared" si="323"/>
        <v>-2.630263651130826E-2</v>
      </c>
      <c r="I60" s="75">
        <f t="shared" si="323"/>
        <v>-1.2094166343293236E-2</v>
      </c>
      <c r="J60" s="75">
        <f t="shared" si="323"/>
        <v>-1.9193142644181496E-2</v>
      </c>
      <c r="K60" s="75">
        <f t="shared" si="323"/>
        <v>-1.7836554764326891E-2</v>
      </c>
      <c r="L60" s="75">
        <f t="shared" si="323"/>
        <v>-2.2337269501483334E-2</v>
      </c>
      <c r="M60" s="75">
        <f t="shared" si="323"/>
        <v>-2.0871826455895436E-2</v>
      </c>
      <c r="N60" s="75">
        <f t="shared" si="323"/>
        <v>-2.5196017971984848E-2</v>
      </c>
      <c r="O60" s="75">
        <f t="shared" si="323"/>
        <v>-3.063063063063063E-2</v>
      </c>
      <c r="P60" s="75">
        <f t="shared" si="323"/>
        <v>-1.2321307011572498E-2</v>
      </c>
      <c r="Q60" s="75">
        <f t="shared" si="323"/>
        <v>-1.5883376849434291E-2</v>
      </c>
      <c r="R60" s="75">
        <f t="shared" si="323"/>
        <v>5.6503496503496502E-2</v>
      </c>
      <c r="S60" s="75">
        <f t="shared" si="323"/>
        <v>-1.0930598188215917E-2</v>
      </c>
      <c r="T60" s="75">
        <f t="shared" si="323"/>
        <v>-1.6337232755143202E-2</v>
      </c>
      <c r="U60" s="75">
        <f t="shared" si="323"/>
        <v>-1.4699735265431238E-2</v>
      </c>
      <c r="V60" s="75">
        <f t="shared" si="323"/>
        <v>-1.241558087181936E-2</v>
      </c>
      <c r="W60" s="75">
        <f t="shared" si="323"/>
        <v>-4.2562432138979367E-2</v>
      </c>
      <c r="X60" s="75">
        <f t="shared" si="323"/>
        <v>-1.6819371727748691E-2</v>
      </c>
      <c r="Y60" s="75">
        <f t="shared" si="323"/>
        <v>-1.6598061346434736E-2</v>
      </c>
      <c r="Z60" s="75">
        <f t="shared" si="323"/>
        <v>-1.6772959183673469E-2</v>
      </c>
      <c r="AA60" s="75">
        <f t="shared" si="323"/>
        <v>-1.5155491405327385E-2</v>
      </c>
      <c r="AB60" s="75">
        <f t="shared" si="323"/>
        <v>-5.6330439988027538E-2</v>
      </c>
      <c r="AC60" s="75">
        <f t="shared" si="323"/>
        <v>-7.9345850999394309E-3</v>
      </c>
      <c r="AD60" s="75">
        <f t="shared" si="323"/>
        <v>-6.6879906949694673E-2</v>
      </c>
      <c r="AE60" s="75">
        <f t="shared" si="323"/>
        <v>-6.0985570378437248E-3</v>
      </c>
      <c r="AF60" s="75">
        <f t="shared" si="323"/>
        <v>-1.0415747197457852E-2</v>
      </c>
      <c r="AG60" s="75">
        <f t="shared" si="323"/>
        <v>-5.2756528620416781E-3</v>
      </c>
      <c r="AH60" s="75">
        <f t="shared" si="323"/>
        <v>-8.4072863148061654E-3</v>
      </c>
      <c r="AI60" s="75">
        <f t="shared" si="323"/>
        <v>-1.043382756727073E-3</v>
      </c>
      <c r="AJ60" s="75">
        <f t="shared" si="323"/>
        <v>0.21720249352104784</v>
      </c>
      <c r="AK60" s="75">
        <f t="shared" si="323"/>
        <v>-4.9772835152912455E-2</v>
      </c>
      <c r="AL60" s="75">
        <f t="shared" si="323"/>
        <v>-3.0151359826328166E-3</v>
      </c>
      <c r="AM60" s="75">
        <f t="shared" si="323"/>
        <v>-7.0815028522719821E-3</v>
      </c>
      <c r="AN60" s="75">
        <f t="shared" si="323"/>
        <v>-5.1637279596977326E-3</v>
      </c>
      <c r="AO60" s="75">
        <f t="shared" si="323"/>
        <v>-7.6481835564053535E-3</v>
      </c>
      <c r="AP60" s="75">
        <f t="shared" si="323"/>
        <v>7.7094578737385594E-2</v>
      </c>
      <c r="AQ60" s="75">
        <f t="shared" si="323"/>
        <v>-1.7816238228556885E-3</v>
      </c>
      <c r="AR60" s="75">
        <f t="shared" si="323"/>
        <v>-1.0420497732009316E-3</v>
      </c>
      <c r="AS60" s="75">
        <f t="shared" si="323"/>
        <v>-2.7137042062415195E-3</v>
      </c>
      <c r="AT60" s="75">
        <f t="shared" si="323"/>
        <v>-1.6028298236887193E-3</v>
      </c>
      <c r="AU60" s="75">
        <f t="shared" si="323"/>
        <v>-5.112118043453003E-3</v>
      </c>
      <c r="AV60" s="75">
        <f t="shared" si="323"/>
        <v>-1.3650013650013651E-3</v>
      </c>
      <c r="AW60" s="75">
        <f t="shared" si="323"/>
        <v>-2.2281639928698751E-4</v>
      </c>
      <c r="AX60" s="75">
        <f t="shared" si="323"/>
        <v>1.5054950569578962E-3</v>
      </c>
      <c r="AY60" s="75">
        <f t="shared" si="323"/>
        <v>-1.926961926961927E-2</v>
      </c>
      <c r="AZ60" s="75">
        <f t="shared" si="323"/>
        <v>4.5433801531362505E-2</v>
      </c>
      <c r="BA60" s="75">
        <f t="shared" si="323"/>
        <v>-6.6703170889541542E-3</v>
      </c>
      <c r="BB60" s="75">
        <f t="shared" si="323"/>
        <v>-1.1931739351616335E-2</v>
      </c>
      <c r="BC60" s="75">
        <f t="shared" si="323"/>
        <v>-1.9698611247907023E-4</v>
      </c>
      <c r="BD60" s="75">
        <f t="shared" si="323"/>
        <v>-1.8534822297391223E-3</v>
      </c>
      <c r="BE60" s="75">
        <f t="shared" si="323"/>
        <v>-2.802740457336062E-3</v>
      </c>
      <c r="BF60" s="75">
        <f t="shared" si="323"/>
        <v>-1.262480402673488E-2</v>
      </c>
      <c r="BG60" s="75">
        <f t="shared" si="323"/>
        <v>-2.8990759195506432E-3</v>
      </c>
      <c r="BH60" s="75">
        <f>BH45/BH40</f>
        <v>-2.509308725918731E-3</v>
      </c>
      <c r="BI60" s="75">
        <f>BI45/BI40</f>
        <v>-6.4490286400961348E-3</v>
      </c>
      <c r="BJ60" s="79"/>
      <c r="BS60" s="75">
        <f t="shared" ref="BS60:CF60" si="324">BS45/BS40</f>
        <v>-1.6496846191169336E-2</v>
      </c>
      <c r="BT60" s="75">
        <f t="shared" si="324"/>
        <v>-1.9840989399293286E-2</v>
      </c>
      <c r="BU60" s="75">
        <f t="shared" si="324"/>
        <v>-2.1381692573402417E-2</v>
      </c>
      <c r="BV60" s="75">
        <f t="shared" si="324"/>
        <v>0</v>
      </c>
      <c r="BW60" s="75">
        <f t="shared" si="324"/>
        <v>-1.3660820347984068E-2</v>
      </c>
      <c r="BX60" s="75">
        <f t="shared" si="324"/>
        <v>-2.2694988050871535E-2</v>
      </c>
      <c r="BY60" s="75">
        <f t="shared" si="324"/>
        <v>-1.1037145903576266E-2</v>
      </c>
      <c r="BZ60" s="75">
        <f t="shared" si="324"/>
        <v>-7.1886921431564095E-3</v>
      </c>
      <c r="CA60" s="75">
        <f t="shared" si="324"/>
        <v>3.6009213845840451E-2</v>
      </c>
      <c r="CB60" s="75">
        <f t="shared" si="324"/>
        <v>1.5530844256693793E-2</v>
      </c>
      <c r="CC60" s="75">
        <f t="shared" si="324"/>
        <v>-1.7890687896949637E-3</v>
      </c>
      <c r="CD60" s="75">
        <f t="shared" si="324"/>
        <v>-1.2478235635519444E-3</v>
      </c>
      <c r="CE60" s="75">
        <f t="shared" si="324"/>
        <v>1.6349178825336274E-3</v>
      </c>
      <c r="CF60" s="75">
        <f t="shared" si="324"/>
        <v>-4.6612417186776972E-3</v>
      </c>
      <c r="CG60" s="79">
        <v>-3.0000000000000001E-3</v>
      </c>
      <c r="CH60" s="79">
        <v>-3.0000000000000001E-3</v>
      </c>
      <c r="CI60" s="79">
        <v>-3.0000000000000001E-3</v>
      </c>
      <c r="CJ60" s="79">
        <v>-3.0000000000000001E-3</v>
      </c>
      <c r="CK60" s="79">
        <v>-3.0000000000000001E-3</v>
      </c>
      <c r="CL60" s="79">
        <v>-3.0000000000000001E-3</v>
      </c>
      <c r="CM60" s="79">
        <v>-3.0000000000000001E-3</v>
      </c>
      <c r="CN60" s="79">
        <v>-3.0000000000000001E-3</v>
      </c>
      <c r="CO60" s="79">
        <v>-3.0000000000000001E-3</v>
      </c>
      <c r="CP60" s="79">
        <v>-3.0000000000000001E-3</v>
      </c>
    </row>
    <row r="61" spans="2:146">
      <c r="B61" s="37" t="s">
        <v>1742</v>
      </c>
      <c r="C61" s="75">
        <f t="shared" ref="C61:BG61" si="325">C46/C40</f>
        <v>0.13796713917525774</v>
      </c>
      <c r="D61" s="75">
        <f t="shared" si="325"/>
        <v>0.15781849786340263</v>
      </c>
      <c r="E61" s="75">
        <f t="shared" si="325"/>
        <v>0.13568674378407128</v>
      </c>
      <c r="F61" s="75">
        <f t="shared" si="325"/>
        <v>0.10648908350057776</v>
      </c>
      <c r="G61" s="75">
        <f t="shared" si="325"/>
        <v>0.13931523022432113</v>
      </c>
      <c r="H61" s="75">
        <f t="shared" si="325"/>
        <v>0.15662876421341998</v>
      </c>
      <c r="I61" s="75">
        <f t="shared" si="325"/>
        <v>0.15302030785150691</v>
      </c>
      <c r="J61" s="75">
        <f t="shared" si="325"/>
        <v>0.15559489425137427</v>
      </c>
      <c r="K61" s="75">
        <f t="shared" si="325"/>
        <v>0.14228552051542895</v>
      </c>
      <c r="L61" s="75">
        <f t="shared" si="325"/>
        <v>0.13699028561456575</v>
      </c>
      <c r="M61" s="75">
        <f t="shared" si="325"/>
        <v>0.17874495312393074</v>
      </c>
      <c r="N61" s="75">
        <f t="shared" si="325"/>
        <v>0.22271165536076118</v>
      </c>
      <c r="O61" s="75">
        <f t="shared" si="325"/>
        <v>0.16381381381381382</v>
      </c>
      <c r="P61" s="75">
        <f t="shared" si="325"/>
        <v>0.16439754935330156</v>
      </c>
      <c r="Q61" s="75">
        <f t="shared" si="325"/>
        <v>0.16695677400638237</v>
      </c>
      <c r="R61" s="75">
        <f t="shared" si="325"/>
        <v>2.7412587412587414E-2</v>
      </c>
      <c r="S61" s="75">
        <f t="shared" si="325"/>
        <v>0.14561653065808192</v>
      </c>
      <c r="T61" s="75">
        <f t="shared" si="325"/>
        <v>0.15711980637353773</v>
      </c>
      <c r="U61" s="75">
        <f t="shared" si="325"/>
        <v>0.15682039849519297</v>
      </c>
      <c r="V61" s="75">
        <f t="shared" si="325"/>
        <v>0.11515110171225867</v>
      </c>
      <c r="W61" s="75">
        <f t="shared" si="325"/>
        <v>0.15519363011219689</v>
      </c>
      <c r="X61" s="75">
        <f t="shared" si="325"/>
        <v>0.14162303664921466</v>
      </c>
      <c r="Y61" s="75">
        <f t="shared" si="325"/>
        <v>0.13490904262382153</v>
      </c>
      <c r="Z61" s="75">
        <f t="shared" si="325"/>
        <v>0.11466836734693878</v>
      </c>
      <c r="AA61" s="75">
        <f t="shared" si="325"/>
        <v>0.12649258627476709</v>
      </c>
      <c r="AB61" s="75">
        <f t="shared" si="325"/>
        <v>0.17216402274768033</v>
      </c>
      <c r="AC61" s="75">
        <f t="shared" si="325"/>
        <v>0.11132646880678376</v>
      </c>
      <c r="AD61" s="75">
        <f t="shared" si="325"/>
        <v>0.27369874963652224</v>
      </c>
      <c r="AE61" s="75">
        <f t="shared" si="325"/>
        <v>0.11135311734277158</v>
      </c>
      <c r="AF61" s="75">
        <f t="shared" si="325"/>
        <v>0.12234089504810663</v>
      </c>
      <c r="AG61" s="75">
        <f t="shared" si="325"/>
        <v>0.12573639321199331</v>
      </c>
      <c r="AH61" s="75">
        <f t="shared" si="325"/>
        <v>1.237739374124241E-2</v>
      </c>
      <c r="AI61" s="75">
        <f t="shared" si="325"/>
        <v>0.44728171334431632</v>
      </c>
      <c r="AJ61" s="75">
        <f t="shared" si="325"/>
        <v>-0.24823142116691183</v>
      </c>
      <c r="AK61" s="75">
        <f t="shared" si="325"/>
        <v>2.9429714518207094E-2</v>
      </c>
      <c r="AL61" s="75">
        <f t="shared" si="325"/>
        <v>1.8452632213712839E-2</v>
      </c>
      <c r="AM61" s="75">
        <f t="shared" si="325"/>
        <v>6.6421873975477011E-2</v>
      </c>
      <c r="AN61" s="75">
        <f t="shared" si="325"/>
        <v>8.0730478589420659E-2</v>
      </c>
      <c r="AO61" s="75">
        <f t="shared" si="325"/>
        <v>8.2834762227841849E-2</v>
      </c>
      <c r="AP61" s="75">
        <f t="shared" si="325"/>
        <v>-3.056794179770007E-2</v>
      </c>
      <c r="AQ61" s="75">
        <f t="shared" si="325"/>
        <v>6.8719776024433701E-2</v>
      </c>
      <c r="AR61" s="75">
        <f t="shared" si="325"/>
        <v>8.2934902537697683E-2</v>
      </c>
      <c r="AS61" s="75">
        <f t="shared" si="325"/>
        <v>8.9670225945371954E-2</v>
      </c>
      <c r="AT61" s="75">
        <f t="shared" si="325"/>
        <v>8.0749461117559276E-2</v>
      </c>
      <c r="AU61" s="75">
        <f t="shared" si="325"/>
        <v>9.8001626583013826E-2</v>
      </c>
      <c r="AV61" s="75">
        <f t="shared" si="325"/>
        <v>8.1517881517881516E-2</v>
      </c>
      <c r="AW61" s="75">
        <f t="shared" si="325"/>
        <v>-0.10368389780154486</v>
      </c>
      <c r="AX61" s="75">
        <f t="shared" si="325"/>
        <v>8.9175490540472732E-2</v>
      </c>
      <c r="AY61" s="75">
        <f t="shared" si="325"/>
        <v>9.686609686609686E-2</v>
      </c>
      <c r="AZ61" s="75">
        <f t="shared" si="325"/>
        <v>2.6824197555904872E-2</v>
      </c>
      <c r="BA61" s="75">
        <f t="shared" si="325"/>
        <v>0.10095076907760465</v>
      </c>
      <c r="BB61" s="75">
        <f t="shared" si="325"/>
        <v>9.7627526245201865E-2</v>
      </c>
      <c r="BC61" s="75">
        <f t="shared" si="325"/>
        <v>0.10021668472372698</v>
      </c>
      <c r="BD61" s="75">
        <f t="shared" si="325"/>
        <v>9.943932162550391E-2</v>
      </c>
      <c r="BE61" s="75">
        <f t="shared" si="325"/>
        <v>0.1122430821247442</v>
      </c>
      <c r="BF61" s="75">
        <f t="shared" si="325"/>
        <v>0.1071045465797508</v>
      </c>
      <c r="BG61" s="75">
        <f t="shared" si="325"/>
        <v>0.11573654647581083</v>
      </c>
      <c r="BH61" s="75">
        <f>BH46/BH40</f>
        <v>0.11376881981544439</v>
      </c>
      <c r="BI61" s="75">
        <f>BI46/BI40</f>
        <v>0.13366713398758262</v>
      </c>
      <c r="BJ61" s="79"/>
      <c r="BS61" s="75">
        <f t="shared" ref="BS61:CF61" si="326">BS46/BS40</f>
        <v>0.13315311568586677</v>
      </c>
      <c r="BT61" s="75">
        <f t="shared" si="326"/>
        <v>0.15104240282685513</v>
      </c>
      <c r="BU61" s="75">
        <f t="shared" si="326"/>
        <v>0.16568221070811745</v>
      </c>
      <c r="BV61" s="75">
        <f t="shared" si="326"/>
        <v>0.12996898285143854</v>
      </c>
      <c r="BW61" s="75">
        <f t="shared" si="326"/>
        <v>0.14361330445112153</v>
      </c>
      <c r="BX61" s="75">
        <f t="shared" si="326"/>
        <v>0.13600280762738773</v>
      </c>
      <c r="BY61" s="75">
        <f t="shared" si="326"/>
        <v>8.290827353678569E-2</v>
      </c>
      <c r="BZ61" s="75">
        <f t="shared" si="326"/>
        <v>0.10835961101678096</v>
      </c>
      <c r="CA61" s="75">
        <f t="shared" si="326"/>
        <v>8.3692433050754494E-2</v>
      </c>
      <c r="CB61" s="75">
        <f t="shared" si="326"/>
        <v>4.8409641548114557E-2</v>
      </c>
      <c r="CC61" s="75">
        <f t="shared" si="326"/>
        <v>8.0716820228404443E-2</v>
      </c>
      <c r="CD61" s="75">
        <f t="shared" si="326"/>
        <v>5.1668601276842717E-2</v>
      </c>
      <c r="CE61" s="75">
        <f t="shared" si="326"/>
        <v>8.097797815155193E-2</v>
      </c>
      <c r="CF61" s="75">
        <f t="shared" si="326"/>
        <v>0.10496258591695541</v>
      </c>
      <c r="CG61" s="79">
        <f>CG46/CG40</f>
        <v>0.11799999999999994</v>
      </c>
      <c r="CH61" s="79">
        <f t="shared" ref="CH61:CP61" si="327">CH46/CH40</f>
        <v>0.11650000000000005</v>
      </c>
      <c r="CI61" s="79">
        <f t="shared" si="327"/>
        <v>0.11600000000000001</v>
      </c>
      <c r="CJ61" s="79">
        <f t="shared" si="327"/>
        <v>0.12199999999999994</v>
      </c>
      <c r="CK61" s="79">
        <f t="shared" si="327"/>
        <v>0.12449999999999999</v>
      </c>
      <c r="CL61" s="79">
        <f t="shared" si="327"/>
        <v>0.12799999999999995</v>
      </c>
      <c r="CM61" s="79">
        <f t="shared" si="327"/>
        <v>0.13249999999999995</v>
      </c>
      <c r="CN61" s="79">
        <f t="shared" si="327"/>
        <v>0.13500000000000004</v>
      </c>
      <c r="CO61" s="79">
        <f t="shared" si="327"/>
        <v>0.13800000000000004</v>
      </c>
      <c r="CP61" s="79">
        <f t="shared" si="327"/>
        <v>0.14000000000000004</v>
      </c>
    </row>
    <row r="62" spans="2:146">
      <c r="B62" s="37" t="s">
        <v>59</v>
      </c>
      <c r="C62" s="75">
        <f t="shared" ref="C62:BG62" si="328">C50/C49</f>
        <v>0.17372421281216069</v>
      </c>
      <c r="D62" s="75">
        <f t="shared" si="328"/>
        <v>0.19301235619940349</v>
      </c>
      <c r="E62" s="75">
        <f t="shared" si="328"/>
        <v>0.21444395214887019</v>
      </c>
      <c r="F62" s="75">
        <f t="shared" si="328"/>
        <v>0.22575832918945798</v>
      </c>
      <c r="G62" s="75">
        <f t="shared" si="328"/>
        <v>0.1864406779661017</v>
      </c>
      <c r="H62" s="75">
        <f t="shared" si="328"/>
        <v>0.236784140969163</v>
      </c>
      <c r="I62" s="75">
        <f t="shared" si="328"/>
        <v>0.23688271604938271</v>
      </c>
      <c r="J62" s="75">
        <f t="shared" si="328"/>
        <v>0.17073170731707318</v>
      </c>
      <c r="K62" s="75">
        <f t="shared" si="328"/>
        <v>0.24408092983211366</v>
      </c>
      <c r="L62" s="75">
        <f t="shared" si="328"/>
        <v>0.14017961733697773</v>
      </c>
      <c r="M62" s="75">
        <f t="shared" si="328"/>
        <v>0.20557740436181624</v>
      </c>
      <c r="N62" s="75">
        <f t="shared" si="328"/>
        <v>0.26602219835302543</v>
      </c>
      <c r="O62" s="75">
        <f t="shared" si="328"/>
        <v>0.22092538557732389</v>
      </c>
      <c r="P62" s="75">
        <f t="shared" si="328"/>
        <v>0.2378419452887538</v>
      </c>
      <c r="Q62" s="75">
        <f t="shared" si="328"/>
        <v>0.23813354786806115</v>
      </c>
      <c r="R62" s="75">
        <f t="shared" si="328"/>
        <v>0.6070234113712375</v>
      </c>
      <c r="S62" s="75">
        <f t="shared" si="328"/>
        <v>0.21632841328413285</v>
      </c>
      <c r="T62" s="75">
        <f t="shared" si="328"/>
        <v>0.22911787665886027</v>
      </c>
      <c r="U62" s="75">
        <f t="shared" si="328"/>
        <v>0.1987075928917609</v>
      </c>
      <c r="V62" s="75">
        <f t="shared" si="328"/>
        <v>7.085116500237755E-2</v>
      </c>
      <c r="W62" s="75">
        <f t="shared" si="328"/>
        <v>0.26230975828111014</v>
      </c>
      <c r="X62" s="75">
        <f t="shared" si="328"/>
        <v>0.23498233215547704</v>
      </c>
      <c r="Y62" s="75">
        <f t="shared" si="328"/>
        <v>0.23822975517890771</v>
      </c>
      <c r="Z62" s="75">
        <f t="shared" si="328"/>
        <v>0.64463246959280807</v>
      </c>
      <c r="AA62" s="75">
        <f t="shared" si="328"/>
        <v>0.26551373346897256</v>
      </c>
      <c r="AB62" s="75">
        <f t="shared" si="328"/>
        <v>0.23817683344756682</v>
      </c>
      <c r="AC62" s="75">
        <f t="shared" si="328"/>
        <v>0.21960167714884696</v>
      </c>
      <c r="AD62" s="75">
        <f t="shared" si="328"/>
        <v>0.15189158667419536</v>
      </c>
      <c r="AE62" s="75">
        <f t="shared" si="328"/>
        <v>0.17504409171075838</v>
      </c>
      <c r="AF62" s="75">
        <f t="shared" si="328"/>
        <v>3.9011703511053317E-3</v>
      </c>
      <c r="AG62" s="75">
        <f t="shared" si="328"/>
        <v>0.19831497083603369</v>
      </c>
      <c r="AH62" s="75">
        <f t="shared" si="328"/>
        <v>-0.88073394495412849</v>
      </c>
      <c r="AI62" s="75">
        <f t="shared" si="328"/>
        <v>7.6904561319051629E-2</v>
      </c>
      <c r="AJ62" s="75">
        <f t="shared" si="328"/>
        <v>1.1027278003482298E-2</v>
      </c>
      <c r="AK62" s="75">
        <f t="shared" si="328"/>
        <v>0.28625235404896421</v>
      </c>
      <c r="AL62" s="75">
        <f t="shared" si="328"/>
        <v>-0.43309002433090027</v>
      </c>
      <c r="AM62" s="75">
        <f t="shared" si="328"/>
        <v>0.29792746113989638</v>
      </c>
      <c r="AN62" s="75">
        <f t="shared" si="328"/>
        <v>0.23916083916083916</v>
      </c>
      <c r="AO62" s="75">
        <f t="shared" si="328"/>
        <v>2.0325203252032522E-3</v>
      </c>
      <c r="AP62" s="75">
        <f t="shared" si="328"/>
        <v>-0.10519172039362062</v>
      </c>
      <c r="AQ62" s="75">
        <f t="shared" si="328"/>
        <v>9.3397745571658614E-2</v>
      </c>
      <c r="AR62" s="75">
        <f t="shared" si="328"/>
        <v>0.1068090787716956</v>
      </c>
      <c r="AS62" s="75">
        <f t="shared" si="328"/>
        <v>0.16815742397137745</v>
      </c>
      <c r="AT62" s="75">
        <f t="shared" si="328"/>
        <v>8.819875776397515E-2</v>
      </c>
      <c r="AU62" s="75">
        <f t="shared" si="328"/>
        <v>0.18447136563876651</v>
      </c>
      <c r="AV62" s="75">
        <f t="shared" si="328"/>
        <v>0.15432482887367766</v>
      </c>
      <c r="AW62" s="75">
        <f t="shared" si="328"/>
        <v>0.29425113464447805</v>
      </c>
      <c r="AX62" s="75">
        <f t="shared" si="328"/>
        <v>0.15100864553314122</v>
      </c>
      <c r="AY62" s="75">
        <f t="shared" si="328"/>
        <v>5.834683954619125E-2</v>
      </c>
      <c r="AZ62" s="75">
        <f t="shared" si="328"/>
        <v>0.59112149532710279</v>
      </c>
      <c r="BA62" s="75">
        <f t="shared" si="328"/>
        <v>0.19464847848898217</v>
      </c>
      <c r="BB62" s="75">
        <f t="shared" si="328"/>
        <v>0.22349427575908412</v>
      </c>
      <c r="BC62" s="75">
        <f t="shared" si="328"/>
        <v>0.17007150153217568</v>
      </c>
      <c r="BD62" s="75">
        <f t="shared" si="328"/>
        <v>0.15441176470588236</v>
      </c>
      <c r="BE62" s="75">
        <f t="shared" si="328"/>
        <v>0.17719442165709598</v>
      </c>
      <c r="BF62" s="75">
        <f t="shared" si="328"/>
        <v>0.25424466695690029</v>
      </c>
      <c r="BG62" s="75">
        <f t="shared" si="328"/>
        <v>0.14404761904761904</v>
      </c>
      <c r="BH62" s="75">
        <f>BH50/BH49</f>
        <v>0.1797957695113056</v>
      </c>
      <c r="BI62" s="75">
        <f>BI50/BI49</f>
        <v>0.17964253256588913</v>
      </c>
      <c r="BJ62" s="79"/>
      <c r="BS62" s="75">
        <f t="shared" ref="BS62:CF62" si="329">BS50/BS49</f>
        <v>0.20231760671632967</v>
      </c>
      <c r="BT62" s="75">
        <f t="shared" si="329"/>
        <v>0.21166878441338416</v>
      </c>
      <c r="BU62" s="75">
        <f t="shared" si="329"/>
        <v>0.2142447966392973</v>
      </c>
      <c r="BV62" s="75">
        <f t="shared" si="329"/>
        <v>0.26013555144793593</v>
      </c>
      <c r="BW62" s="75">
        <f t="shared" si="329"/>
        <v>0.18229670211623161</v>
      </c>
      <c r="BX62" s="75">
        <f t="shared" si="329"/>
        <v>0.33395982614824388</v>
      </c>
      <c r="BY62" s="75">
        <f t="shared" si="329"/>
        <v>0.33784615384615385</v>
      </c>
      <c r="BZ62" s="75">
        <f t="shared" si="329"/>
        <v>7.4171952078928821E-2</v>
      </c>
      <c r="CA62" s="75">
        <f t="shared" si="329"/>
        <v>9.9052540913006026E-2</v>
      </c>
      <c r="CB62" s="75">
        <f t="shared" si="329"/>
        <v>0.89525514771709935</v>
      </c>
      <c r="CC62" s="75">
        <f t="shared" si="329"/>
        <v>0.11614401858304298</v>
      </c>
      <c r="CD62" s="75">
        <f t="shared" si="329"/>
        <v>0.11887382690302398</v>
      </c>
      <c r="CE62" s="75">
        <f t="shared" si="329"/>
        <v>0.19066838876331935</v>
      </c>
      <c r="CF62" s="75">
        <f t="shared" si="329"/>
        <v>0.19054162372609643</v>
      </c>
      <c r="CG62" s="79">
        <v>0.17</v>
      </c>
      <c r="CH62" s="79">
        <v>0.16</v>
      </c>
      <c r="CI62" s="79">
        <v>0.17</v>
      </c>
      <c r="CJ62" s="79">
        <v>0.18</v>
      </c>
      <c r="CK62" s="79">
        <v>0.185</v>
      </c>
      <c r="CL62" s="79">
        <v>0.19</v>
      </c>
      <c r="CM62" s="79">
        <v>0.19500000000000001</v>
      </c>
      <c r="CN62" s="79">
        <v>0.2</v>
      </c>
      <c r="CO62" s="79">
        <v>0.21</v>
      </c>
      <c r="CP62" s="79">
        <v>0.22</v>
      </c>
    </row>
    <row r="63" spans="2:146">
      <c r="B63" s="37" t="s">
        <v>60</v>
      </c>
      <c r="C63" s="75">
        <f t="shared" ref="C63:BG63" si="330">C51/C40</f>
        <v>0.12258376288659793</v>
      </c>
      <c r="D63" s="75">
        <f t="shared" si="330"/>
        <v>0.13717679437966249</v>
      </c>
      <c r="E63" s="75">
        <f t="shared" si="330"/>
        <v>0.11786996410051855</v>
      </c>
      <c r="F63" s="75">
        <f t="shared" si="330"/>
        <v>9.4690749863163656E-2</v>
      </c>
      <c r="G63" s="75">
        <f t="shared" si="330"/>
        <v>0.12667546357385931</v>
      </c>
      <c r="H63" s="75">
        <f t="shared" si="330"/>
        <v>0.12988879170311132</v>
      </c>
      <c r="I63" s="75">
        <f t="shared" si="330"/>
        <v>0.12792652955633166</v>
      </c>
      <c r="J63" s="75">
        <f t="shared" si="330"/>
        <v>0.1457188111432032</v>
      </c>
      <c r="K63" s="75">
        <f t="shared" si="330"/>
        <v>0.11909121736181756</v>
      </c>
      <c r="L63" s="75">
        <f t="shared" si="330"/>
        <v>0.12809027979756848</v>
      </c>
      <c r="M63" s="75">
        <f t="shared" si="330"/>
        <v>0.15205638814753986</v>
      </c>
      <c r="N63" s="75">
        <f t="shared" si="330"/>
        <v>0.18060082812087042</v>
      </c>
      <c r="O63" s="75">
        <f t="shared" si="330"/>
        <v>0.14031531531531533</v>
      </c>
      <c r="P63" s="75">
        <f t="shared" si="330"/>
        <v>0.13655547991831177</v>
      </c>
      <c r="Q63" s="75">
        <f t="shared" si="330"/>
        <v>0.1373658253553815</v>
      </c>
      <c r="R63" s="75">
        <f t="shared" si="330"/>
        <v>1.6433566433566433E-2</v>
      </c>
      <c r="S63" s="75">
        <f t="shared" si="330"/>
        <v>0.12719922138204687</v>
      </c>
      <c r="T63" s="75">
        <f t="shared" si="330"/>
        <v>0.1327820357671104</v>
      </c>
      <c r="U63" s="75">
        <f t="shared" si="330"/>
        <v>0.13821931169012122</v>
      </c>
      <c r="V63" s="75">
        <f t="shared" si="330"/>
        <v>0.1332969506787639</v>
      </c>
      <c r="W63" s="75">
        <f t="shared" si="330"/>
        <v>0.11929062613101701</v>
      </c>
      <c r="X63" s="75">
        <f t="shared" si="330"/>
        <v>0.11335078534031413</v>
      </c>
      <c r="Y63" s="75">
        <f t="shared" si="330"/>
        <v>0.10742265303412561</v>
      </c>
      <c r="Z63" s="75">
        <f t="shared" si="330"/>
        <v>4.2857142857142858E-2</v>
      </c>
      <c r="AA63" s="75">
        <f t="shared" si="330"/>
        <v>9.4738223330271612E-2</v>
      </c>
      <c r="AB63" s="75">
        <f t="shared" si="330"/>
        <v>0.13307392996108949</v>
      </c>
      <c r="AC63" s="75">
        <f t="shared" si="330"/>
        <v>9.0187764990914604E-2</v>
      </c>
      <c r="AD63" s="75">
        <f t="shared" si="330"/>
        <v>0.21837743530095957</v>
      </c>
      <c r="AE63" s="75">
        <f t="shared" si="330"/>
        <v>0.10187857337326436</v>
      </c>
      <c r="AF63" s="75">
        <f t="shared" si="330"/>
        <v>0.13522817547885957</v>
      </c>
      <c r="AG63" s="75">
        <f t="shared" si="330"/>
        <v>0.10876637650575925</v>
      </c>
      <c r="AH63" s="75">
        <f t="shared" si="330"/>
        <v>0.14362447454460534</v>
      </c>
      <c r="AI63" s="75">
        <f t="shared" si="330"/>
        <v>0.42119714442613948</v>
      </c>
      <c r="AJ63" s="75">
        <f t="shared" si="330"/>
        <v>-0.23870561042235763</v>
      </c>
      <c r="AK63" s="75">
        <f t="shared" si="330"/>
        <v>2.5700142401844442E-2</v>
      </c>
      <c r="AL63" s="75">
        <f t="shared" si="330"/>
        <v>3.5518301875414583E-2</v>
      </c>
      <c r="AM63" s="75">
        <f t="shared" si="330"/>
        <v>5.330797980460298E-2</v>
      </c>
      <c r="AN63" s="75">
        <f t="shared" si="330"/>
        <v>6.8513853904282121E-2</v>
      </c>
      <c r="AO63" s="75">
        <f t="shared" si="330"/>
        <v>9.0853019182137784E-2</v>
      </c>
      <c r="AP63" s="75">
        <f t="shared" si="330"/>
        <v>-0.19109363999061255</v>
      </c>
      <c r="AQ63" s="75">
        <f t="shared" si="330"/>
        <v>7.1646729447696608E-2</v>
      </c>
      <c r="AR63" s="75">
        <f t="shared" si="330"/>
        <v>8.2015446855461568E-2</v>
      </c>
      <c r="AS63" s="75">
        <f t="shared" si="330"/>
        <v>8.2296029732759124E-2</v>
      </c>
      <c r="AT63" s="75">
        <f t="shared" si="330"/>
        <v>8.1136351075001376E-2</v>
      </c>
      <c r="AU63" s="75">
        <f t="shared" si="330"/>
        <v>8.6034622981294301E-2</v>
      </c>
      <c r="AV63" s="75">
        <f t="shared" si="330"/>
        <v>7.4201474201474202E-2</v>
      </c>
      <c r="AW63" s="75">
        <f t="shared" si="330"/>
        <v>-6.9295900178253114E-2</v>
      </c>
      <c r="AX63" s="75">
        <f t="shared" si="330"/>
        <v>7.3919807296632709E-2</v>
      </c>
      <c r="AY63" s="75">
        <f t="shared" si="330"/>
        <v>9.0287490287490293E-2</v>
      </c>
      <c r="AZ63" s="75">
        <f t="shared" si="330"/>
        <v>8.8737893615942389E-3</v>
      </c>
      <c r="BA63" s="75">
        <f t="shared" si="330"/>
        <v>7.6409975608541986E-2</v>
      </c>
      <c r="BB63" s="75">
        <f t="shared" si="330"/>
        <v>7.2145400730703413E-2</v>
      </c>
      <c r="BC63" s="75">
        <f t="shared" si="330"/>
        <v>8.0025608194622275E-2</v>
      </c>
      <c r="BD63" s="75">
        <f t="shared" si="330"/>
        <v>7.9931421157499655E-2</v>
      </c>
      <c r="BE63" s="75">
        <f t="shared" si="330"/>
        <v>8.924281519708159E-2</v>
      </c>
      <c r="BF63" s="75">
        <f t="shared" si="330"/>
        <v>7.0674148032015841E-2</v>
      </c>
      <c r="BG63" s="75">
        <f t="shared" si="330"/>
        <v>9.7707918101105268E-2</v>
      </c>
      <c r="BH63" s="75">
        <f>BH51/BH40</f>
        <v>9.1023150396632668E-2</v>
      </c>
      <c r="BI63" s="75">
        <f>BI51/BI40</f>
        <v>0.10847186060484679</v>
      </c>
      <c r="BJ63" s="79"/>
      <c r="BS63" s="75">
        <f t="shared" ref="BS63:CF63" si="331">BS51/BS40</f>
        <v>0.11689887017397935</v>
      </c>
      <c r="BT63" s="75">
        <f t="shared" si="331"/>
        <v>0.13153710247349823</v>
      </c>
      <c r="BU63" s="75">
        <f t="shared" si="331"/>
        <v>0.14214162348877374</v>
      </c>
      <c r="BV63" s="75">
        <f t="shared" si="331"/>
        <v>0.10702698848443795</v>
      </c>
      <c r="BW63" s="75">
        <f t="shared" si="331"/>
        <v>0.13297463489623368</v>
      </c>
      <c r="BX63" s="75">
        <f t="shared" si="331"/>
        <v>9.4757424336113102E-2</v>
      </c>
      <c r="BY63" s="75">
        <f t="shared" si="331"/>
        <v>6.2015503875968991E-2</v>
      </c>
      <c r="BZ63" s="75">
        <f t="shared" si="331"/>
        <v>0.11587907120333414</v>
      </c>
      <c r="CA63" s="75">
        <f t="shared" si="331"/>
        <v>8.1953084601281784E-2</v>
      </c>
      <c r="CB63" s="75">
        <f t="shared" si="331"/>
        <v>1.8171087780331739E-3</v>
      </c>
      <c r="CC63" s="75">
        <f t="shared" si="331"/>
        <v>7.9419745355875607E-2</v>
      </c>
      <c r="CD63" s="75">
        <f t="shared" si="331"/>
        <v>4.9042367962855486E-2</v>
      </c>
      <c r="CE63" s="75">
        <f t="shared" si="331"/>
        <v>6.2089722311674797E-2</v>
      </c>
      <c r="CF63" s="75">
        <f t="shared" si="331"/>
        <v>7.9782851596447074E-2</v>
      </c>
      <c r="CG63" s="79">
        <f>CG51/CG40</f>
        <v>8.3909392732058968E-2</v>
      </c>
      <c r="CH63" s="79">
        <f t="shared" ref="CH63:CP63" si="332">CH51/CH40</f>
        <v>8.9967949721627222E-2</v>
      </c>
      <c r="CI63" s="79">
        <f t="shared" si="332"/>
        <v>9.4147070218943335E-2</v>
      </c>
      <c r="CJ63" s="79">
        <f t="shared" si="332"/>
        <v>0.1030401879624686</v>
      </c>
      <c r="CK63" s="79">
        <f t="shared" si="332"/>
        <v>0.10947004108961454</v>
      </c>
      <c r="CL63" s="79">
        <f t="shared" si="332"/>
        <v>0.11671300498565843</v>
      </c>
      <c r="CM63" s="79">
        <f t="shared" si="332"/>
        <v>0.12489377250529057</v>
      </c>
      <c r="CN63" s="79">
        <f t="shared" si="332"/>
        <v>0.13163444190141352</v>
      </c>
      <c r="CO63" s="79">
        <f t="shared" si="332"/>
        <v>0.13802769378859323</v>
      </c>
      <c r="CP63" s="79">
        <f t="shared" si="332"/>
        <v>0.14370791195196325</v>
      </c>
    </row>
    <row r="64" spans="2:146">
      <c r="BI64" s="1"/>
    </row>
    <row r="65" spans="2:146" ht="15">
      <c r="B65" s="1" t="s">
        <v>61</v>
      </c>
      <c r="AX65" s="1">
        <v>6587</v>
      </c>
      <c r="AY65" s="1">
        <v>5607</v>
      </c>
      <c r="AZ65" s="1">
        <v>6011</v>
      </c>
      <c r="BA65" s="1">
        <v>6682</v>
      </c>
      <c r="BB65" s="1">
        <v>5578</v>
      </c>
      <c r="BC65" s="1">
        <v>5157</v>
      </c>
      <c r="BD65" s="1">
        <v>4782</v>
      </c>
      <c r="BE65" s="1">
        <v>5966</v>
      </c>
      <c r="BF65" s="1">
        <v>7435</v>
      </c>
      <c r="BG65" s="1">
        <v>6818</v>
      </c>
      <c r="BH65" s="1">
        <v>8305</v>
      </c>
      <c r="BI65" s="1">
        <v>9173</v>
      </c>
      <c r="BJ65" s="62"/>
      <c r="CD65" s="1">
        <f>AX65</f>
        <v>6587</v>
      </c>
      <c r="CE65" s="1">
        <f>BB65</f>
        <v>5578</v>
      </c>
      <c r="CF65" s="1">
        <f>BC65</f>
        <v>5157</v>
      </c>
      <c r="CG65" s="62">
        <f>CF65+CG51</f>
        <v>13428.515229999994</v>
      </c>
      <c r="CH65" s="62">
        <f t="shared" ref="CH65:CP65" si="333">CG65+CH51</f>
        <v>23444.795510628996</v>
      </c>
      <c r="CI65" s="62">
        <f t="shared" si="333"/>
        <v>35239.475759058798</v>
      </c>
      <c r="CJ65" s="62">
        <f t="shared" si="333"/>
        <v>49550.613921349337</v>
      </c>
      <c r="CK65" s="62">
        <f t="shared" si="333"/>
        <v>66170.142983838188</v>
      </c>
      <c r="CL65" s="62">
        <f t="shared" si="333"/>
        <v>85123.739841106668</v>
      </c>
      <c r="CM65" s="62">
        <f t="shared" si="333"/>
        <v>106502.65664114145</v>
      </c>
      <c r="CN65" s="62">
        <f t="shared" si="333"/>
        <v>130064.20591058198</v>
      </c>
      <c r="CO65" s="62">
        <f t="shared" si="333"/>
        <v>155745.15486574813</v>
      </c>
      <c r="CP65" s="62">
        <f t="shared" si="333"/>
        <v>183369.54575468614</v>
      </c>
      <c r="CR65" s="67" t="s">
        <v>104</v>
      </c>
      <c r="CU65" s="44" t="s">
        <v>124</v>
      </c>
      <c r="CV65" s="45"/>
      <c r="CW65" s="68" t="s">
        <v>103</v>
      </c>
      <c r="CX65" s="45"/>
      <c r="CY65" s="46" t="s">
        <v>105</v>
      </c>
      <c r="CZ65" s="55">
        <v>6.25E-2</v>
      </c>
      <c r="DA65" s="45"/>
    </row>
    <row r="66" spans="2:146">
      <c r="B66" s="1" t="s">
        <v>198</v>
      </c>
      <c r="AX66" s="1">
        <v>10838</v>
      </c>
      <c r="AY66" s="1">
        <v>10280</v>
      </c>
      <c r="AZ66" s="1">
        <v>10252</v>
      </c>
      <c r="BA66" s="1">
        <v>10097</v>
      </c>
      <c r="BB66" s="1">
        <v>10976</v>
      </c>
      <c r="BC66" s="1">
        <v>11426</v>
      </c>
      <c r="BD66" s="1">
        <v>12385</v>
      </c>
      <c r="BE66" s="1">
        <v>12837</v>
      </c>
      <c r="BF66" s="1">
        <v>14701</v>
      </c>
      <c r="BG66" s="1">
        <v>12945</v>
      </c>
      <c r="BH66" s="1">
        <v>13942</v>
      </c>
      <c r="BI66" s="1">
        <v>14681</v>
      </c>
      <c r="CD66" s="1">
        <f t="shared" ref="CD66:CD76" si="334">AX66</f>
        <v>10838</v>
      </c>
      <c r="CE66" s="1">
        <f t="shared" ref="CE66:CE76" si="335">BB66</f>
        <v>10976</v>
      </c>
      <c r="CF66" s="1">
        <f t="shared" ref="CF66:CF76" si="336">BC66</f>
        <v>11426</v>
      </c>
      <c r="CR66" s="45">
        <v>2024</v>
      </c>
      <c r="CS66" s="45">
        <v>2025</v>
      </c>
      <c r="CU66" s="44" t="s">
        <v>123</v>
      </c>
      <c r="CV66" s="45"/>
      <c r="CW66" s="45">
        <v>2025</v>
      </c>
      <c r="CX66" s="45"/>
      <c r="CY66" s="46" t="s">
        <v>106</v>
      </c>
      <c r="CZ66" s="89">
        <v>5.0000000000000001E-3</v>
      </c>
      <c r="DA66" s="45"/>
    </row>
    <row r="67" spans="2:146" ht="14.25" customHeight="1">
      <c r="B67" s="1" t="s">
        <v>199</v>
      </c>
      <c r="AX67" s="1">
        <v>12139</v>
      </c>
      <c r="AY67" s="1">
        <v>13104</v>
      </c>
      <c r="AZ67" s="1">
        <v>13581</v>
      </c>
      <c r="BA67" s="1">
        <v>14684</v>
      </c>
      <c r="BB67" s="1">
        <v>14570</v>
      </c>
      <c r="BC67" s="1">
        <v>15241</v>
      </c>
      <c r="BD67" s="1">
        <v>15686</v>
      </c>
      <c r="BE67" s="1">
        <v>16604</v>
      </c>
      <c r="BF67" s="1">
        <v>17092</v>
      </c>
      <c r="BG67" s="1">
        <v>18070</v>
      </c>
      <c r="BH67" s="1">
        <v>18980</v>
      </c>
      <c r="BI67" s="1">
        <v>18701</v>
      </c>
      <c r="CD67" s="1">
        <f t="shared" si="334"/>
        <v>12139</v>
      </c>
      <c r="CE67" s="1">
        <f t="shared" si="335"/>
        <v>14570</v>
      </c>
      <c r="CF67" s="1">
        <f t="shared" si="336"/>
        <v>15241</v>
      </c>
      <c r="CK67" s="44"/>
      <c r="CL67" s="45"/>
      <c r="CM67" s="44"/>
      <c r="CN67" s="45"/>
      <c r="CO67" s="46"/>
      <c r="CP67" s="47"/>
      <c r="CQ67" s="45"/>
      <c r="CR67" s="35">
        <f>SUM(CE65:CE69)-SUM(CE79)+CE71+CE74+CE73</f>
        <v>140557</v>
      </c>
      <c r="CS67" s="35">
        <f>SUM(CF65:CF69)-SUM(CF79)+CF71+CF74+CF73</f>
        <v>141768</v>
      </c>
      <c r="CU67" s="35">
        <f>AVERAGE(CR67:CS67)</f>
        <v>141162.5</v>
      </c>
      <c r="CV67" s="45"/>
      <c r="CW67" s="62">
        <f>CG46*(1-CG62)</f>
        <v>9654.6068949999935</v>
      </c>
      <c r="CX67" s="45"/>
      <c r="CY67" s="46" t="s">
        <v>107</v>
      </c>
      <c r="CZ67" s="89">
        <v>4.99E-2</v>
      </c>
      <c r="DA67" s="45"/>
    </row>
    <row r="68" spans="2:146" ht="13.5" customHeight="1">
      <c r="B68" s="1" t="s">
        <v>200</v>
      </c>
      <c r="AX68" s="1">
        <v>11777</v>
      </c>
      <c r="AY68" s="1">
        <v>12386</v>
      </c>
      <c r="AZ68" s="1">
        <v>13047</v>
      </c>
      <c r="BA68" s="1">
        <v>13465</v>
      </c>
      <c r="BB68" s="1">
        <v>12768</v>
      </c>
      <c r="BC68" s="1">
        <v>13618</v>
      </c>
      <c r="BD68" s="1">
        <v>14012</v>
      </c>
      <c r="BE68" s="1">
        <v>13806</v>
      </c>
      <c r="BF68" s="1">
        <v>13364</v>
      </c>
      <c r="BG68" s="1">
        <v>14153</v>
      </c>
      <c r="BH68" s="1">
        <v>14409</v>
      </c>
      <c r="BI68" s="1">
        <v>14953</v>
      </c>
      <c r="CD68" s="1">
        <f t="shared" si="334"/>
        <v>11777</v>
      </c>
      <c r="CE68" s="1">
        <f t="shared" si="335"/>
        <v>12768</v>
      </c>
      <c r="CF68" s="1">
        <f t="shared" si="336"/>
        <v>13618</v>
      </c>
      <c r="CS68" s="45"/>
      <c r="CT68" s="45"/>
      <c r="CU68" s="45"/>
      <c r="CV68" s="45"/>
      <c r="CW68" s="79">
        <f>CW67/CU67</f>
        <v>6.839356695297967E-2</v>
      </c>
      <c r="CX68" s="45"/>
      <c r="CY68" s="46" t="s">
        <v>108</v>
      </c>
      <c r="CZ68" s="89">
        <f>9.25%-CZ67</f>
        <v>4.2599999999999999E-2</v>
      </c>
      <c r="DA68" s="45"/>
    </row>
    <row r="69" spans="2:146" ht="13.5" customHeight="1">
      <c r="B69" s="1" t="s">
        <v>201</v>
      </c>
      <c r="AX69" s="1">
        <v>7076</v>
      </c>
      <c r="AY69" s="1">
        <v>6646</v>
      </c>
      <c r="AZ69" s="1">
        <v>6334</v>
      </c>
      <c r="BA69" s="1">
        <v>6836</v>
      </c>
      <c r="BB69" s="1">
        <v>7241</v>
      </c>
      <c r="BC69" s="1">
        <v>7474</v>
      </c>
      <c r="BD69" s="1">
        <v>7792</v>
      </c>
      <c r="BE69" s="1">
        <v>7905</v>
      </c>
      <c r="BF69" s="1">
        <v>7740</v>
      </c>
      <c r="BG69" s="1">
        <v>8023</v>
      </c>
      <c r="BH69" s="1">
        <v>8276</v>
      </c>
      <c r="BI69" s="1">
        <v>8561</v>
      </c>
      <c r="CD69" s="1">
        <f t="shared" si="334"/>
        <v>7076</v>
      </c>
      <c r="CE69" s="1">
        <f t="shared" si="335"/>
        <v>7241</v>
      </c>
      <c r="CF69" s="1">
        <f t="shared" si="336"/>
        <v>7474</v>
      </c>
      <c r="CR69" s="49" t="s">
        <v>1738</v>
      </c>
      <c r="CS69" s="45"/>
      <c r="CT69" s="45"/>
      <c r="CV69" s="45"/>
      <c r="CW69" s="45"/>
      <c r="CX69" s="45"/>
      <c r="CY69" s="46" t="s">
        <v>109</v>
      </c>
      <c r="CZ69" s="63">
        <f>'Notes | Quant Analysis'!S244</f>
        <v>0.48869047174480468</v>
      </c>
      <c r="DA69" s="45"/>
    </row>
    <row r="70" spans="2:146" ht="13.5" customHeight="1">
      <c r="B70" s="1" t="s">
        <v>202</v>
      </c>
      <c r="AX70" s="1">
        <v>2392</v>
      </c>
      <c r="AY70" s="1">
        <v>2359</v>
      </c>
      <c r="AZ70" s="1">
        <v>2320</v>
      </c>
      <c r="BA70" s="1">
        <v>2306</v>
      </c>
      <c r="BB70" s="1">
        <v>2246</v>
      </c>
      <c r="BC70" s="1">
        <v>2135</v>
      </c>
      <c r="BD70" s="1">
        <v>2104</v>
      </c>
      <c r="BE70" s="1">
        <v>2071</v>
      </c>
      <c r="BF70" s="1">
        <v>2132</v>
      </c>
      <c r="BG70" s="1">
        <v>2041</v>
      </c>
      <c r="BH70" s="1">
        <v>1902</v>
      </c>
      <c r="BI70" s="1">
        <v>1880</v>
      </c>
      <c r="CD70" s="1">
        <f t="shared" si="334"/>
        <v>2392</v>
      </c>
      <c r="CE70" s="1">
        <f t="shared" si="335"/>
        <v>2246</v>
      </c>
      <c r="CF70" s="1">
        <f t="shared" si="336"/>
        <v>2135</v>
      </c>
      <c r="CR70" s="56" t="s">
        <v>1739</v>
      </c>
      <c r="CU70" s="48">
        <f>Main!C5</f>
        <v>259079.52033999999</v>
      </c>
      <c r="CV70" s="45"/>
      <c r="CX70" s="45"/>
      <c r="CY70" s="46" t="s">
        <v>1740</v>
      </c>
      <c r="CZ70" s="89">
        <f>+CZ67+(CZ68*CZ69)</f>
        <v>7.0718214096328683E-2</v>
      </c>
      <c r="DA70" s="45"/>
    </row>
    <row r="71" spans="2:146" ht="13.5" customHeight="1">
      <c r="B71" s="1" t="s">
        <v>203</v>
      </c>
      <c r="AX71" s="1">
        <v>15748</v>
      </c>
      <c r="AY71" s="1">
        <v>15638</v>
      </c>
      <c r="AZ71" s="1">
        <v>15693</v>
      </c>
      <c r="BA71" s="1">
        <v>15886</v>
      </c>
      <c r="BB71" s="1">
        <v>16089</v>
      </c>
      <c r="BC71" s="1">
        <v>16135</v>
      </c>
      <c r="BD71" s="1">
        <v>16205</v>
      </c>
      <c r="BE71" s="1">
        <v>16325</v>
      </c>
      <c r="BF71" s="1">
        <v>16868</v>
      </c>
      <c r="BG71" s="1">
        <v>16842</v>
      </c>
      <c r="BH71" s="1">
        <v>16965</v>
      </c>
      <c r="BI71" s="1">
        <v>17235</v>
      </c>
      <c r="CD71" s="1">
        <f t="shared" si="334"/>
        <v>15748</v>
      </c>
      <c r="CE71" s="1">
        <f t="shared" si="335"/>
        <v>16089</v>
      </c>
      <c r="CF71" s="1">
        <f t="shared" si="336"/>
        <v>16135</v>
      </c>
      <c r="CR71" s="56" t="s">
        <v>116</v>
      </c>
      <c r="CU71" s="55">
        <f>Main!C7/(Main!C7+CU70)</f>
        <v>0.12608509263667331</v>
      </c>
      <c r="CV71" s="49"/>
      <c r="CX71" s="45"/>
      <c r="CY71" s="46"/>
      <c r="CZ71" s="45"/>
      <c r="DA71" s="45"/>
    </row>
    <row r="72" spans="2:146" ht="13.5" customHeight="1">
      <c r="B72" s="1" t="s">
        <v>204</v>
      </c>
      <c r="AX72" s="1">
        <v>1638</v>
      </c>
      <c r="AY72" s="1">
        <v>1639</v>
      </c>
      <c r="AZ72" s="1">
        <v>1664</v>
      </c>
      <c r="BA72" s="1">
        <v>1846</v>
      </c>
      <c r="BB72" s="1">
        <v>1864</v>
      </c>
      <c r="BC72" s="1">
        <v>1899</v>
      </c>
      <c r="BD72" s="1">
        <v>1869</v>
      </c>
      <c r="BE72" s="1">
        <v>1899</v>
      </c>
      <c r="BF72" s="1">
        <v>1887</v>
      </c>
      <c r="BG72" s="1">
        <v>1773</v>
      </c>
      <c r="BH72" s="1">
        <v>1727</v>
      </c>
      <c r="BI72" s="1">
        <v>1770</v>
      </c>
      <c r="CD72" s="1">
        <f t="shared" si="334"/>
        <v>1638</v>
      </c>
      <c r="CE72" s="1">
        <f t="shared" si="335"/>
        <v>1864</v>
      </c>
      <c r="CF72" s="1">
        <f t="shared" si="336"/>
        <v>1899</v>
      </c>
      <c r="CR72" s="56" t="s">
        <v>117</v>
      </c>
      <c r="CU72" s="55">
        <f>CU70/(CU70+Main!C7)</f>
        <v>0.87391490736332667</v>
      </c>
      <c r="CV72" s="45"/>
      <c r="CX72" s="45"/>
      <c r="CY72" s="46" t="s">
        <v>110</v>
      </c>
      <c r="CZ72" s="62">
        <f>NPV(CZ70,CG51:EO51)</f>
        <v>320401.36957112979</v>
      </c>
      <c r="DA72" s="45"/>
    </row>
    <row r="73" spans="2:146" ht="13.5" customHeight="1">
      <c r="B73" s="1" t="s">
        <v>205</v>
      </c>
      <c r="AX73" s="1">
        <v>53699</v>
      </c>
      <c r="AY73" s="1">
        <v>53644</v>
      </c>
      <c r="AZ73" s="1">
        <v>53347</v>
      </c>
      <c r="BA73" s="1">
        <v>53759</v>
      </c>
      <c r="BB73" s="1">
        <v>52789</v>
      </c>
      <c r="BC73" s="1">
        <v>53045</v>
      </c>
      <c r="BD73" s="1">
        <v>53327</v>
      </c>
      <c r="BE73" s="1">
        <v>53311</v>
      </c>
      <c r="BF73" s="1">
        <v>53343</v>
      </c>
      <c r="BG73" s="1">
        <v>53276</v>
      </c>
      <c r="BH73" s="1">
        <v>52928</v>
      </c>
      <c r="BI73" s="1">
        <v>52969</v>
      </c>
      <c r="CD73" s="1">
        <f t="shared" si="334"/>
        <v>53699</v>
      </c>
      <c r="CE73" s="1">
        <f t="shared" si="335"/>
        <v>52789</v>
      </c>
      <c r="CF73" s="1">
        <f t="shared" si="336"/>
        <v>53045</v>
      </c>
      <c r="CR73" s="57" t="s">
        <v>132</v>
      </c>
      <c r="CS73" s="34"/>
      <c r="CT73" s="34"/>
      <c r="CU73" s="58">
        <f>CF84/CF89</f>
        <v>0.60375094720889111</v>
      </c>
      <c r="CV73" s="45"/>
      <c r="CW73" s="45"/>
      <c r="CX73" s="45"/>
      <c r="CY73" s="46" t="s">
        <v>72</v>
      </c>
      <c r="CZ73" s="62">
        <f>Main!C4</f>
        <v>1347.758</v>
      </c>
      <c r="DA73" s="59"/>
      <c r="DB73" s="34"/>
    </row>
    <row r="74" spans="2:146" ht="13.5" customHeight="1">
      <c r="B74" s="1" t="s">
        <v>206</v>
      </c>
      <c r="AX74" s="1">
        <v>35399</v>
      </c>
      <c r="AY74" s="1">
        <v>34960</v>
      </c>
      <c r="AZ74" s="1">
        <v>34503</v>
      </c>
      <c r="BA74" s="1">
        <v>34159</v>
      </c>
      <c r="BB74" s="1">
        <v>33443</v>
      </c>
      <c r="BC74" s="1">
        <v>33116</v>
      </c>
      <c r="BD74" s="1">
        <v>32748</v>
      </c>
      <c r="BE74" s="1">
        <v>32260</v>
      </c>
      <c r="BF74" s="1">
        <v>31845</v>
      </c>
      <c r="BG74" s="1">
        <v>31482</v>
      </c>
      <c r="BH74" s="1">
        <v>31043</v>
      </c>
      <c r="BI74" s="1">
        <v>30652</v>
      </c>
      <c r="CD74" s="1">
        <f t="shared" si="334"/>
        <v>35399</v>
      </c>
      <c r="CE74" s="1">
        <f t="shared" si="335"/>
        <v>33443</v>
      </c>
      <c r="CF74" s="1">
        <f t="shared" si="336"/>
        <v>33116</v>
      </c>
      <c r="CV74" s="45"/>
      <c r="CW74" s="45"/>
      <c r="CX74" s="45"/>
      <c r="CY74" s="46" t="s">
        <v>111</v>
      </c>
      <c r="CZ74" s="63">
        <f>CZ72/CZ73</f>
        <v>237.72915432231142</v>
      </c>
      <c r="DA74" s="44"/>
    </row>
    <row r="75" spans="2:146" ht="13.5" customHeight="1">
      <c r="B75" s="1" t="s">
        <v>207</v>
      </c>
      <c r="AX75" s="1">
        <v>4576</v>
      </c>
      <c r="AY75" s="1">
        <v>3924</v>
      </c>
      <c r="AZ75" s="1">
        <v>4417</v>
      </c>
      <c r="BA75" s="1">
        <v>5102</v>
      </c>
      <c r="BB75" s="1">
        <v>5297</v>
      </c>
      <c r="BC75" s="1">
        <v>5618</v>
      </c>
      <c r="BD75" s="1">
        <v>6229</v>
      </c>
      <c r="BE75" s="1">
        <v>5688</v>
      </c>
      <c r="BF75" s="1">
        <v>4672</v>
      </c>
      <c r="BG75" s="1">
        <v>5008</v>
      </c>
      <c r="BH75" s="1">
        <v>5495</v>
      </c>
      <c r="BI75" s="1">
        <v>6021</v>
      </c>
      <c r="CD75" s="1">
        <f t="shared" si="334"/>
        <v>4576</v>
      </c>
      <c r="CE75" s="1">
        <f t="shared" si="335"/>
        <v>5297</v>
      </c>
      <c r="CF75" s="1">
        <f t="shared" si="336"/>
        <v>5618</v>
      </c>
      <c r="CR75" s="34" t="s">
        <v>115</v>
      </c>
      <c r="CU75" s="45"/>
      <c r="CV75" s="49"/>
      <c r="CW75" s="49"/>
      <c r="CX75" s="49"/>
      <c r="CY75" s="46" t="s">
        <v>112</v>
      </c>
      <c r="CZ75" s="63">
        <f>Main!C3</f>
        <v>192.23</v>
      </c>
      <c r="DA75" s="51"/>
    </row>
    <row r="76" spans="2:146" s="2" customFormat="1" ht="13.5" customHeight="1">
      <c r="B76" s="2" t="s">
        <v>125</v>
      </c>
      <c r="AX76" s="2">
        <f t="shared" ref="AX76:BE76" si="337">SUM(AX65:AX75)</f>
        <v>161869</v>
      </c>
      <c r="AY76" s="2">
        <f t="shared" si="337"/>
        <v>160187</v>
      </c>
      <c r="AZ76" s="2">
        <f t="shared" si="337"/>
        <v>161169</v>
      </c>
      <c r="BA76" s="2">
        <f t="shared" si="337"/>
        <v>164822</v>
      </c>
      <c r="BB76" s="2">
        <f t="shared" si="337"/>
        <v>162861</v>
      </c>
      <c r="BC76" s="2">
        <f t="shared" si="337"/>
        <v>164864</v>
      </c>
      <c r="BD76" s="2">
        <f t="shared" si="337"/>
        <v>167139</v>
      </c>
      <c r="BE76" s="2">
        <f t="shared" si="337"/>
        <v>168672</v>
      </c>
      <c r="BF76" s="2">
        <f>SUM(BF65:BF75)</f>
        <v>171079</v>
      </c>
      <c r="BG76" s="2">
        <f>SUM(BG65:BG75)</f>
        <v>170431</v>
      </c>
      <c r="BH76" s="2">
        <f>SUM(BH65:BH75)</f>
        <v>173972</v>
      </c>
      <c r="BI76" s="2">
        <f>SUM(BI65:BI75)</f>
        <v>176596</v>
      </c>
      <c r="BJ76" s="34"/>
      <c r="CD76" s="2">
        <f t="shared" si="334"/>
        <v>161869</v>
      </c>
      <c r="CE76" s="2">
        <f t="shared" si="335"/>
        <v>162861</v>
      </c>
      <c r="CF76" s="2">
        <f t="shared" si="336"/>
        <v>164864</v>
      </c>
      <c r="CG76" s="34"/>
      <c r="CR76" s="60" t="s">
        <v>107</v>
      </c>
      <c r="CS76" s="35"/>
      <c r="CT76" s="35"/>
      <c r="CU76" s="55">
        <v>5.1700000000000003E-2</v>
      </c>
      <c r="CV76" s="45"/>
      <c r="CW76" s="45"/>
      <c r="CX76" s="45"/>
      <c r="CY76" s="46" t="s">
        <v>113</v>
      </c>
      <c r="CZ76" s="89">
        <f>CZ74/CZ75-1</f>
        <v>0.23669122573121482</v>
      </c>
      <c r="DA76" s="90" t="str">
        <f>IF(CZ76&gt;0,"Upside","Downside")</f>
        <v>Upside</v>
      </c>
      <c r="DB76" s="35"/>
      <c r="DC76" s="34"/>
      <c r="DD76" s="34"/>
      <c r="DE76" s="34"/>
      <c r="DF76" s="34"/>
      <c r="DG76" s="34"/>
      <c r="DH76" s="34"/>
      <c r="DI76" s="34"/>
      <c r="DJ76" s="34"/>
      <c r="DK76" s="34"/>
      <c r="DL76" s="34"/>
      <c r="DM76" s="34"/>
      <c r="DN76" s="34"/>
      <c r="DO76" s="34"/>
      <c r="DP76" s="34"/>
      <c r="DQ76" s="34"/>
      <c r="DR76" s="34"/>
      <c r="DS76" s="34"/>
      <c r="DT76" s="34"/>
      <c r="DU76" s="34"/>
      <c r="DV76" s="34"/>
      <c r="DW76" s="34"/>
      <c r="DX76" s="34"/>
      <c r="DY76" s="34"/>
      <c r="DZ76" s="34"/>
      <c r="EA76" s="34"/>
      <c r="EB76" s="34"/>
      <c r="EC76" s="34"/>
      <c r="ED76" s="34"/>
      <c r="EE76" s="34"/>
      <c r="EF76" s="34"/>
      <c r="EG76" s="34"/>
      <c r="EH76" s="34"/>
      <c r="EI76" s="34"/>
      <c r="EJ76" s="34"/>
      <c r="EK76" s="34"/>
      <c r="EL76" s="34"/>
      <c r="EM76" s="34"/>
      <c r="EN76" s="34"/>
      <c r="EO76" s="34"/>
      <c r="EP76" s="34"/>
    </row>
    <row r="77" spans="2:146" ht="13.5" customHeight="1">
      <c r="BI77" s="1"/>
      <c r="CR77" s="60" t="s">
        <v>109</v>
      </c>
      <c r="CU77" s="50">
        <f>'Notes | Quant Analysis'!S244</f>
        <v>0.48869047174480468</v>
      </c>
      <c r="CY77" s="91" t="str" cm="1">
        <f t="array" ref="CY77">_xlfn.IFS(CZ76&gt;=25%,"Strong Buy",CZ76&gt;=10.00001%,"Buy",AND(CZ76&lt;=10%,CZ76&gt;=-4.9999%),"Hold",AND(CZ76&lt;=-5%,CZ76&gt;=-14.999999%),"Sell",CZ76&lt;=-15%,"Strong Sell")</f>
        <v>Buy</v>
      </c>
      <c r="CZ77" s="91"/>
    </row>
    <row r="78" spans="2:146" ht="13.5" customHeight="1">
      <c r="B78" s="1" t="s">
        <v>208</v>
      </c>
      <c r="AX78" s="1">
        <v>189</v>
      </c>
      <c r="AY78" s="1">
        <v>166</v>
      </c>
      <c r="AZ78" s="1">
        <v>231</v>
      </c>
      <c r="BA78" s="1">
        <v>220</v>
      </c>
      <c r="BB78" s="1">
        <v>183</v>
      </c>
      <c r="BC78" s="1">
        <v>212</v>
      </c>
      <c r="BD78" s="1">
        <v>1635</v>
      </c>
      <c r="BE78" s="1">
        <v>215</v>
      </c>
      <c r="BF78" s="1">
        <v>204</v>
      </c>
      <c r="BG78" s="1">
        <v>226</v>
      </c>
      <c r="BH78" s="1">
        <v>229</v>
      </c>
      <c r="BI78" s="1">
        <v>210</v>
      </c>
      <c r="CD78" s="1">
        <f t="shared" ref="CD78:CD90" si="338">AX78</f>
        <v>189</v>
      </c>
      <c r="CE78" s="1">
        <f t="shared" ref="CE78:CE90" si="339">BB78</f>
        <v>183</v>
      </c>
      <c r="CF78" s="1">
        <f t="shared" ref="CF78:CF90" si="340">BC78</f>
        <v>212</v>
      </c>
      <c r="CR78" s="56" t="s">
        <v>118</v>
      </c>
      <c r="CU78" s="55">
        <v>0.17</v>
      </c>
    </row>
    <row r="79" spans="2:146" ht="13.5" customHeight="1">
      <c r="B79" s="1" t="s">
        <v>209</v>
      </c>
      <c r="AX79" s="1">
        <v>10698</v>
      </c>
      <c r="AY79" s="1">
        <v>10522</v>
      </c>
      <c r="AZ79" s="1">
        <v>10939</v>
      </c>
      <c r="BA79" s="1">
        <v>11834</v>
      </c>
      <c r="BB79" s="1">
        <v>12897</v>
      </c>
      <c r="BC79" s="1">
        <v>13444</v>
      </c>
      <c r="BD79" s="1">
        <v>13433</v>
      </c>
      <c r="BE79" s="1">
        <v>14552</v>
      </c>
      <c r="BF79" s="1">
        <v>15895</v>
      </c>
      <c r="BG79" s="1">
        <v>15979</v>
      </c>
      <c r="BH79" s="1">
        <v>16998</v>
      </c>
      <c r="BI79" s="1">
        <v>17803</v>
      </c>
      <c r="CD79" s="1">
        <f t="shared" si="338"/>
        <v>10698</v>
      </c>
      <c r="CE79" s="1">
        <f t="shared" si="339"/>
        <v>12897</v>
      </c>
      <c r="CF79" s="1">
        <f t="shared" si="340"/>
        <v>13444</v>
      </c>
      <c r="CR79" s="57" t="s">
        <v>119</v>
      </c>
      <c r="CS79" s="45"/>
      <c r="CT79" s="2"/>
      <c r="CU79" s="58">
        <f>(CU76+CU77)*(CU78-CU76)</f>
        <v>6.3928192807410411E-2</v>
      </c>
    </row>
    <row r="80" spans="2:146" ht="13.5" customHeight="1">
      <c r="B80" s="1" t="s">
        <v>210</v>
      </c>
      <c r="AX80" s="1">
        <v>2491</v>
      </c>
      <c r="AY80" s="1">
        <v>1862</v>
      </c>
      <c r="AZ80" s="1">
        <v>2065</v>
      </c>
      <c r="BA80" s="1">
        <v>2673</v>
      </c>
      <c r="BB80" s="1">
        <v>2620</v>
      </c>
      <c r="BC80" s="1">
        <v>1867</v>
      </c>
      <c r="BD80" s="1">
        <v>2133</v>
      </c>
      <c r="BE80" s="1">
        <v>2937</v>
      </c>
      <c r="BF80" s="1">
        <v>3308</v>
      </c>
      <c r="BG80" s="1">
        <v>2004</v>
      </c>
      <c r="BH80" s="1">
        <v>2356</v>
      </c>
      <c r="BI80" s="1">
        <v>3155</v>
      </c>
      <c r="CD80" s="1">
        <f t="shared" si="338"/>
        <v>2491</v>
      </c>
      <c r="CE80" s="1">
        <f t="shared" si="339"/>
        <v>2620</v>
      </c>
      <c r="CF80" s="1">
        <f t="shared" si="340"/>
        <v>1867</v>
      </c>
      <c r="CR80" s="62"/>
    </row>
    <row r="81" spans="2:146" ht="13.5" customHeight="1">
      <c r="B81" s="1" t="s">
        <v>211</v>
      </c>
      <c r="AX81" s="1">
        <v>14917</v>
      </c>
      <c r="AY81" s="1">
        <v>15006</v>
      </c>
      <c r="AZ81" s="1">
        <v>17048</v>
      </c>
      <c r="BA81" s="1">
        <v>15971</v>
      </c>
      <c r="BB81" s="1">
        <v>14831</v>
      </c>
      <c r="BC81" s="1">
        <v>15219</v>
      </c>
      <c r="BD81" s="1">
        <v>15861</v>
      </c>
      <c r="BE81" s="1">
        <v>14835</v>
      </c>
      <c r="BF81" s="1">
        <v>14350</v>
      </c>
      <c r="BG81" s="1">
        <v>14217</v>
      </c>
      <c r="BH81" s="1">
        <v>15695</v>
      </c>
      <c r="BI81" s="1">
        <v>14801</v>
      </c>
      <c r="CD81" s="1">
        <f t="shared" si="338"/>
        <v>14917</v>
      </c>
      <c r="CE81" s="1">
        <f t="shared" si="339"/>
        <v>14831</v>
      </c>
      <c r="CF81" s="1">
        <f t="shared" si="340"/>
        <v>15219</v>
      </c>
      <c r="CR81" s="34" t="s">
        <v>120</v>
      </c>
      <c r="CS81" s="63"/>
      <c r="CU81" s="54"/>
    </row>
    <row r="82" spans="2:146" ht="13.5" customHeight="1">
      <c r="B82" s="1" t="s">
        <v>212</v>
      </c>
      <c r="AX82" s="1">
        <v>17183</v>
      </c>
      <c r="AY82" s="1">
        <v>17119</v>
      </c>
      <c r="AZ82" s="1">
        <v>17665</v>
      </c>
      <c r="BA82" s="1">
        <v>18436</v>
      </c>
      <c r="BB82" s="1">
        <v>18616</v>
      </c>
      <c r="BC82" s="1">
        <v>19038</v>
      </c>
      <c r="BD82" s="1">
        <v>19186</v>
      </c>
      <c r="BE82" s="1">
        <v>20111</v>
      </c>
      <c r="BF82" s="1">
        <v>21615</v>
      </c>
      <c r="BG82" s="1">
        <v>21940</v>
      </c>
      <c r="BH82" s="1">
        <v>22671</v>
      </c>
      <c r="BI82" s="1">
        <v>21550</v>
      </c>
      <c r="CD82" s="1">
        <f t="shared" si="338"/>
        <v>17183</v>
      </c>
      <c r="CE82" s="1">
        <f t="shared" si="339"/>
        <v>18616</v>
      </c>
      <c r="CF82" s="1">
        <f t="shared" si="340"/>
        <v>19038</v>
      </c>
      <c r="CR82" s="64" t="s">
        <v>120</v>
      </c>
      <c r="CU82" s="65">
        <v>5.1999999999999998E-2</v>
      </c>
      <c r="CW82" s="61"/>
      <c r="CY82" s="46"/>
    </row>
    <row r="83" spans="2:146" ht="13.5" customHeight="1">
      <c r="B83" s="1" t="s">
        <v>213</v>
      </c>
      <c r="AX83" s="1">
        <v>1283</v>
      </c>
      <c r="AY83" s="1">
        <v>344</v>
      </c>
      <c r="AZ83" s="1">
        <v>1617</v>
      </c>
      <c r="BA83" s="1">
        <v>3113</v>
      </c>
      <c r="BB83" s="1">
        <v>2352</v>
      </c>
      <c r="BC83" s="1">
        <v>2844</v>
      </c>
      <c r="BD83" s="1">
        <v>2084</v>
      </c>
      <c r="BE83" s="1">
        <v>584</v>
      </c>
      <c r="BF83" s="1">
        <v>3412</v>
      </c>
      <c r="BG83" s="1">
        <v>4213</v>
      </c>
      <c r="BH83" s="1">
        <v>5296</v>
      </c>
      <c r="BI83" s="1">
        <v>5679</v>
      </c>
      <c r="CD83" s="1">
        <f t="shared" si="338"/>
        <v>1283</v>
      </c>
      <c r="CE83" s="1">
        <f t="shared" si="339"/>
        <v>2352</v>
      </c>
      <c r="CF83" s="1">
        <f t="shared" si="340"/>
        <v>2844</v>
      </c>
      <c r="CR83" s="56" t="s">
        <v>121</v>
      </c>
      <c r="CU83" s="55">
        <v>0.17</v>
      </c>
      <c r="CW83" s="61"/>
      <c r="CX83" s="55"/>
      <c r="CY83" s="46"/>
      <c r="CZ83" s="2"/>
      <c r="DA83" s="2"/>
    </row>
    <row r="84" spans="2:146" ht="13.5" customHeight="1">
      <c r="B84" s="1" t="s">
        <v>214</v>
      </c>
      <c r="AX84" s="1">
        <v>42355</v>
      </c>
      <c r="AY84" s="1">
        <v>42334</v>
      </c>
      <c r="AZ84" s="1">
        <v>40303</v>
      </c>
      <c r="BA84" s="1">
        <v>38823</v>
      </c>
      <c r="BB84" s="1">
        <v>38726</v>
      </c>
      <c r="BC84" s="1">
        <v>38244</v>
      </c>
      <c r="BD84" s="1">
        <v>38259</v>
      </c>
      <c r="BE84" s="1">
        <v>38260</v>
      </c>
      <c r="BF84" s="1">
        <v>34288</v>
      </c>
      <c r="BG84" s="1">
        <v>32974</v>
      </c>
      <c r="BH84" s="1">
        <v>31858</v>
      </c>
      <c r="BI84" s="1">
        <v>31490</v>
      </c>
      <c r="BJ84" s="62"/>
      <c r="CD84" s="1">
        <f t="shared" si="338"/>
        <v>42355</v>
      </c>
      <c r="CE84" s="1">
        <f t="shared" si="339"/>
        <v>38726</v>
      </c>
      <c r="CF84" s="1">
        <f t="shared" si="340"/>
        <v>38244</v>
      </c>
      <c r="CG84" s="62">
        <f>CF84-CG48</f>
        <v>36255.311999999998</v>
      </c>
      <c r="CH84" s="62">
        <f t="shared" ref="CH84:CP84" si="341">CG84-CH48</f>
        <v>34370.035775999997</v>
      </c>
      <c r="CI84" s="62">
        <f t="shared" si="341"/>
        <v>32582.793915647999</v>
      </c>
      <c r="CJ84" s="62">
        <f t="shared" si="341"/>
        <v>30888.488632034303</v>
      </c>
      <c r="CK84" s="62">
        <f t="shared" si="341"/>
        <v>29282.287223168518</v>
      </c>
      <c r="CL84" s="62">
        <f t="shared" si="341"/>
        <v>27759.608287563755</v>
      </c>
      <c r="CM84" s="62">
        <f t="shared" si="341"/>
        <v>26316.108656610439</v>
      </c>
      <c r="CN84" s="62">
        <f t="shared" si="341"/>
        <v>24947.671006466695</v>
      </c>
      <c r="CO84" s="62">
        <f t="shared" si="341"/>
        <v>23650.392114130427</v>
      </c>
      <c r="CP84" s="62">
        <f t="shared" si="341"/>
        <v>22420.571724195644</v>
      </c>
      <c r="CR84" s="66" t="s">
        <v>122</v>
      </c>
      <c r="CU84" s="58">
        <f>CU82*(1-CU83)</f>
        <v>4.3159999999999997E-2</v>
      </c>
      <c r="CY84" s="46"/>
    </row>
    <row r="85" spans="2:146" ht="13.5" customHeight="1">
      <c r="B85" s="1" t="s">
        <v>215</v>
      </c>
      <c r="AX85" s="1">
        <v>1412</v>
      </c>
      <c r="AY85" s="1">
        <v>1410</v>
      </c>
      <c r="AZ85" s="1">
        <v>1415</v>
      </c>
      <c r="BA85" s="1">
        <v>1592</v>
      </c>
      <c r="BB85" s="1">
        <v>1632</v>
      </c>
      <c r="BC85" s="1">
        <v>1646</v>
      </c>
      <c r="BD85" s="1">
        <v>1617</v>
      </c>
      <c r="BE85" s="1">
        <v>1650</v>
      </c>
      <c r="BF85" s="1">
        <v>1602</v>
      </c>
      <c r="BG85" s="1">
        <v>1522</v>
      </c>
      <c r="BH85" s="1">
        <v>1473</v>
      </c>
      <c r="BI85" s="1">
        <v>1495</v>
      </c>
      <c r="CD85" s="1">
        <f t="shared" si="338"/>
        <v>1412</v>
      </c>
      <c r="CE85" s="1">
        <f t="shared" si="339"/>
        <v>1632</v>
      </c>
      <c r="CF85" s="1">
        <f t="shared" si="340"/>
        <v>1646</v>
      </c>
    </row>
    <row r="86" spans="2:146" ht="13.5" customHeight="1">
      <c r="B86" s="1" t="s">
        <v>216</v>
      </c>
      <c r="AX86" s="1">
        <v>2385</v>
      </c>
      <c r="AY86" s="1">
        <v>2320</v>
      </c>
      <c r="AZ86" s="1">
        <v>2264</v>
      </c>
      <c r="BA86" s="1">
        <v>2230</v>
      </c>
      <c r="BB86" s="1">
        <v>2104</v>
      </c>
      <c r="BC86" s="1">
        <v>2060</v>
      </c>
      <c r="BD86" s="1">
        <v>2038</v>
      </c>
      <c r="BE86" s="1">
        <v>1981</v>
      </c>
      <c r="BF86" s="1">
        <v>2067</v>
      </c>
      <c r="BG86" s="1">
        <v>2015</v>
      </c>
      <c r="BH86" s="1">
        <v>1956</v>
      </c>
      <c r="BI86" s="1">
        <v>1913</v>
      </c>
      <c r="CD86" s="1">
        <f t="shared" si="338"/>
        <v>2385</v>
      </c>
      <c r="CE86" s="1">
        <f t="shared" si="339"/>
        <v>2104</v>
      </c>
      <c r="CF86" s="1">
        <f t="shared" si="340"/>
        <v>2060</v>
      </c>
      <c r="CR86" s="34" t="s">
        <v>1741</v>
      </c>
      <c r="CU86" s="58">
        <f>(CU72*CU79)+(CU71*CU84*(1-CU83))</f>
        <v>6.0384521751697971E-2</v>
      </c>
    </row>
    <row r="87" spans="2:146">
      <c r="B87" s="1" t="s">
        <v>217</v>
      </c>
      <c r="AX87" s="1">
        <v>7511</v>
      </c>
      <c r="AY87" s="1">
        <v>6967</v>
      </c>
      <c r="AZ87" s="1">
        <v>6941</v>
      </c>
      <c r="BA87" s="1">
        <v>7071</v>
      </c>
      <c r="BB87" s="1">
        <v>6942</v>
      </c>
      <c r="BC87" s="1">
        <v>6946</v>
      </c>
      <c r="BD87" s="1">
        <v>6646</v>
      </c>
      <c r="BE87" s="1">
        <v>7154</v>
      </c>
      <c r="BF87" s="1">
        <v>7200</v>
      </c>
      <c r="BG87" s="1">
        <v>7307</v>
      </c>
      <c r="BH87" s="1">
        <v>7296</v>
      </c>
      <c r="BI87" s="1">
        <v>7508</v>
      </c>
      <c r="CD87" s="1">
        <f t="shared" si="338"/>
        <v>7511</v>
      </c>
      <c r="CE87" s="1">
        <f t="shared" si="339"/>
        <v>6942</v>
      </c>
      <c r="CF87" s="1">
        <f t="shared" si="340"/>
        <v>6946</v>
      </c>
    </row>
    <row r="88" spans="2:146" s="2" customFormat="1" ht="15">
      <c r="B88" s="2" t="s">
        <v>126</v>
      </c>
      <c r="AX88" s="2">
        <f t="shared" ref="AX88:BE88" si="342">SUM(AX78:AX87)</f>
        <v>100424</v>
      </c>
      <c r="AY88" s="2">
        <f t="shared" si="342"/>
        <v>98050</v>
      </c>
      <c r="AZ88" s="2">
        <f t="shared" si="342"/>
        <v>100488</v>
      </c>
      <c r="BA88" s="2">
        <f t="shared" si="342"/>
        <v>101963</v>
      </c>
      <c r="BB88" s="2">
        <f t="shared" si="342"/>
        <v>100903</v>
      </c>
      <c r="BC88" s="2">
        <f t="shared" si="342"/>
        <v>101520</v>
      </c>
      <c r="BD88" s="2">
        <f t="shared" si="342"/>
        <v>102892</v>
      </c>
      <c r="BE88" s="2">
        <f t="shared" si="342"/>
        <v>102279</v>
      </c>
      <c r="BF88" s="2">
        <f>SUM(BF78:BF87)</f>
        <v>103941</v>
      </c>
      <c r="BG88" s="2">
        <f>SUM(BG78:BG87)</f>
        <v>102397</v>
      </c>
      <c r="BH88" s="2">
        <f>SUM(BH78:BH87)</f>
        <v>105828</v>
      </c>
      <c r="BI88" s="2">
        <f>SUM(BI78:BI87)</f>
        <v>105604</v>
      </c>
      <c r="BJ88" s="34"/>
      <c r="CD88" s="2">
        <f t="shared" si="338"/>
        <v>100424</v>
      </c>
      <c r="CE88" s="2">
        <f t="shared" si="339"/>
        <v>100903</v>
      </c>
      <c r="CF88" s="2">
        <f t="shared" si="340"/>
        <v>101520</v>
      </c>
      <c r="CG88" s="34"/>
      <c r="CH88" s="35"/>
      <c r="CI88" s="35"/>
      <c r="CJ88" s="35"/>
      <c r="CK88" s="35"/>
      <c r="CL88" s="35"/>
      <c r="CM88" s="35"/>
      <c r="CN88" s="35"/>
      <c r="CO88" s="46"/>
      <c r="CP88" s="35"/>
      <c r="CQ88" s="35"/>
      <c r="CR88" s="34"/>
      <c r="CS88" s="34"/>
      <c r="CT88" s="34"/>
      <c r="CU88" s="34"/>
      <c r="CV88" s="34"/>
      <c r="CW88" s="34"/>
      <c r="CX88" s="34"/>
      <c r="CY88" s="34"/>
      <c r="CZ88" s="34"/>
      <c r="DA88" s="34"/>
      <c r="DB88" s="34"/>
      <c r="DC88" s="34"/>
      <c r="DD88" s="34"/>
      <c r="DE88" s="34"/>
      <c r="DF88" s="34"/>
      <c r="DG88" s="34"/>
      <c r="DH88" s="34"/>
      <c r="DI88" s="34"/>
      <c r="DJ88" s="34"/>
      <c r="DK88" s="34"/>
      <c r="DL88" s="34"/>
      <c r="DM88" s="34"/>
      <c r="DN88" s="34"/>
      <c r="DO88" s="34"/>
      <c r="DP88" s="34"/>
      <c r="DQ88" s="34"/>
      <c r="DR88" s="34"/>
      <c r="DS88" s="34"/>
      <c r="DT88" s="34"/>
      <c r="DU88" s="34"/>
      <c r="DV88" s="34"/>
      <c r="DW88" s="34"/>
      <c r="DX88" s="34"/>
      <c r="DY88" s="34"/>
      <c r="DZ88" s="34"/>
      <c r="EA88" s="34"/>
      <c r="EB88" s="34"/>
      <c r="EC88" s="34"/>
      <c r="ED88" s="34"/>
      <c r="EE88" s="34"/>
      <c r="EF88" s="34"/>
      <c r="EG88" s="34"/>
      <c r="EH88" s="34"/>
      <c r="EI88" s="34"/>
      <c r="EJ88" s="34"/>
      <c r="EK88" s="34"/>
      <c r="EL88" s="34"/>
      <c r="EM88" s="34"/>
      <c r="EN88" s="34"/>
      <c r="EO88" s="34"/>
      <c r="EP88" s="34"/>
    </row>
    <row r="89" spans="2:146">
      <c r="B89" s="1" t="s">
        <v>127</v>
      </c>
      <c r="AX89" s="1">
        <f>35+61410</f>
        <v>61445</v>
      </c>
      <c r="AY89" s="1">
        <f>37+62100</f>
        <v>62137</v>
      </c>
      <c r="AZ89" s="1">
        <f>31+60650</f>
        <v>60681</v>
      </c>
      <c r="BA89" s="1">
        <f>33+62826</f>
        <v>62859</v>
      </c>
      <c r="BB89" s="1">
        <f>35+61923</f>
        <v>61958</v>
      </c>
      <c r="BC89" s="1">
        <f>37+63307</f>
        <v>63344</v>
      </c>
      <c r="BD89" s="1">
        <f>41+64206</f>
        <v>64247</v>
      </c>
      <c r="BE89" s="1">
        <f>34+66359</f>
        <v>66393</v>
      </c>
      <c r="BF89" s="1">
        <f>36+67102</f>
        <v>67138</v>
      </c>
      <c r="BG89" s="1">
        <f>67997+37</f>
        <v>68034</v>
      </c>
      <c r="BH89" s="1">
        <f>28+68116</f>
        <v>68144</v>
      </c>
      <c r="BI89" s="1">
        <v>70992</v>
      </c>
      <c r="CD89" s="1">
        <f t="shared" si="338"/>
        <v>61445</v>
      </c>
      <c r="CE89" s="1">
        <f t="shared" si="339"/>
        <v>61958</v>
      </c>
      <c r="CF89" s="1">
        <f t="shared" si="340"/>
        <v>63344</v>
      </c>
      <c r="CO89" s="46"/>
      <c r="CP89" s="89"/>
    </row>
    <row r="90" spans="2:146" s="2" customFormat="1" ht="15">
      <c r="B90" s="2" t="s">
        <v>128</v>
      </c>
      <c r="AX90" s="2">
        <f t="shared" ref="AX90:BE90" si="343">AX88+AX89</f>
        <v>161869</v>
      </c>
      <c r="AY90" s="2">
        <f t="shared" si="343"/>
        <v>160187</v>
      </c>
      <c r="AZ90" s="2">
        <f t="shared" si="343"/>
        <v>161169</v>
      </c>
      <c r="BA90" s="2">
        <f t="shared" si="343"/>
        <v>164822</v>
      </c>
      <c r="BB90" s="2">
        <f t="shared" si="343"/>
        <v>162861</v>
      </c>
      <c r="BC90" s="2">
        <f t="shared" si="343"/>
        <v>164864</v>
      </c>
      <c r="BD90" s="2">
        <f t="shared" si="343"/>
        <v>167139</v>
      </c>
      <c r="BE90" s="2">
        <f t="shared" si="343"/>
        <v>168672</v>
      </c>
      <c r="BF90" s="2">
        <f>BF88+BF89</f>
        <v>171079</v>
      </c>
      <c r="BG90" s="2">
        <f>BG88+BG89</f>
        <v>170431</v>
      </c>
      <c r="BH90" s="2">
        <f>BH88+BH89</f>
        <v>173972</v>
      </c>
      <c r="BI90" s="2">
        <f>BI88+BI89</f>
        <v>176596</v>
      </c>
      <c r="BJ90" s="34"/>
      <c r="CD90" s="2">
        <f t="shared" si="338"/>
        <v>161869</v>
      </c>
      <c r="CE90" s="2">
        <f t="shared" si="339"/>
        <v>162861</v>
      </c>
      <c r="CF90" s="2">
        <f t="shared" si="340"/>
        <v>164864</v>
      </c>
      <c r="CG90" s="34"/>
      <c r="CH90" s="34"/>
      <c r="CI90" s="34"/>
      <c r="CJ90" s="34"/>
      <c r="CK90" s="34"/>
      <c r="CL90" s="34"/>
      <c r="CM90" s="34"/>
      <c r="CN90" s="34"/>
      <c r="CO90" s="69"/>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4"/>
      <c r="DN90" s="34"/>
      <c r="DO90" s="34"/>
      <c r="DP90" s="34"/>
      <c r="DQ90" s="34"/>
      <c r="DR90" s="34"/>
      <c r="DS90" s="34"/>
      <c r="DT90" s="34"/>
      <c r="DU90" s="34"/>
      <c r="DV90" s="34"/>
      <c r="DW90" s="34"/>
      <c r="DX90" s="34"/>
      <c r="DY90" s="34"/>
      <c r="DZ90" s="34"/>
      <c r="EA90" s="34"/>
      <c r="EB90" s="34"/>
      <c r="EC90" s="34"/>
      <c r="ED90" s="34"/>
      <c r="EE90" s="34"/>
      <c r="EF90" s="34"/>
      <c r="EG90" s="34"/>
      <c r="EH90" s="34"/>
      <c r="EI90" s="34"/>
      <c r="EJ90" s="34"/>
      <c r="EK90" s="34"/>
      <c r="EL90" s="34"/>
      <c r="EM90" s="34"/>
      <c r="EN90" s="34"/>
      <c r="EO90" s="34"/>
      <c r="EP90" s="34"/>
    </row>
    <row r="91" spans="2:146">
      <c r="BI91" s="1"/>
    </row>
    <row r="92" spans="2:146">
      <c r="B92" s="1" t="s">
        <v>62</v>
      </c>
      <c r="AX92" s="70">
        <f t="shared" ref="AX92:BG92" si="344">SUM(AX65:AX69)/SUM(AX78:AX83)</f>
        <v>1.0354141271572463</v>
      </c>
      <c r="AY92" s="70">
        <f t="shared" si="344"/>
        <v>1.0667273817721405</v>
      </c>
      <c r="AZ92" s="70">
        <f t="shared" si="344"/>
        <v>0.99314032079088066</v>
      </c>
      <c r="BA92" s="70">
        <f t="shared" si="344"/>
        <v>0.99075545007368848</v>
      </c>
      <c r="BB92" s="70">
        <f t="shared" si="344"/>
        <v>0.99289306588477444</v>
      </c>
      <c r="BC92" s="70">
        <f t="shared" si="344"/>
        <v>1.00554879902706</v>
      </c>
      <c r="BD92" s="70">
        <f t="shared" si="344"/>
        <v>1.0059817418832364</v>
      </c>
      <c r="BE92" s="70">
        <f t="shared" si="344"/>
        <v>1.0729608896569862</v>
      </c>
      <c r="BF92" s="70">
        <f t="shared" si="344"/>
        <v>1.0263336962438758</v>
      </c>
      <c r="BG92" s="70">
        <f t="shared" si="344"/>
        <v>1.0244114785161917</v>
      </c>
      <c r="BH92" s="70">
        <f>SUM(BH65:BH69)/SUM(BH78:BH83)</f>
        <v>1.0105462882441301</v>
      </c>
      <c r="BI92" s="70">
        <f>SUM(BI65:BI69)/SUM(BI78:BI83)</f>
        <v>1.0454286528054686</v>
      </c>
      <c r="CD92" s="70">
        <f t="shared" ref="CD92:CE92" si="345">SUM(CD65:CD69)/SUM(CD78:CD83)</f>
        <v>1.0354141271572463</v>
      </c>
      <c r="CE92" s="70">
        <f t="shared" si="345"/>
        <v>0.99289306588477444</v>
      </c>
      <c r="CF92" s="70">
        <f>SUM(CF65:CF69)/SUM(CF78:CF83)</f>
        <v>1.00554879902706</v>
      </c>
    </row>
    <row r="93" spans="2:146">
      <c r="B93" s="1" t="s">
        <v>63</v>
      </c>
      <c r="AX93" s="70">
        <f t="shared" ref="AX93:BG93" si="346">(SUM(AX65:AX69)-AX68)/SUM(AX78:AX83)</f>
        <v>0.7835589486965634</v>
      </c>
      <c r="AY93" s="70">
        <f t="shared" si="346"/>
        <v>0.79159910260112398</v>
      </c>
      <c r="AZ93" s="70">
        <f t="shared" si="346"/>
        <v>0.72991021890446883</v>
      </c>
      <c r="BA93" s="70">
        <f t="shared" si="346"/>
        <v>0.73303730357723884</v>
      </c>
      <c r="BB93" s="70">
        <f t="shared" si="346"/>
        <v>0.74496592166838194</v>
      </c>
      <c r="BC93" s="70">
        <f t="shared" si="346"/>
        <v>0.74676953481301311</v>
      </c>
      <c r="BD93" s="70">
        <f t="shared" si="346"/>
        <v>0.74808584259736433</v>
      </c>
      <c r="BE93" s="70">
        <f t="shared" si="346"/>
        <v>0.81361535860540257</v>
      </c>
      <c r="BF93" s="70">
        <f t="shared" si="346"/>
        <v>0.79899292324442028</v>
      </c>
      <c r="BG93" s="70">
        <f t="shared" si="346"/>
        <v>0.7828061250618823</v>
      </c>
      <c r="BH93" s="70">
        <f>(SUM(BH65:BH69)-BH68)/SUM(BH78:BH83)</f>
        <v>0.78271800142303738</v>
      </c>
      <c r="BI93" s="70">
        <f>(SUM(BI65:BI69)-BI68)/SUM(BI78:BI83)</f>
        <v>0.80882306402101334</v>
      </c>
      <c r="CD93" s="70">
        <f t="shared" ref="CD93:CE93" si="347">(SUM(CD65:CD69)-CD68)/SUM(CD78:CD83)</f>
        <v>0.7835589486965634</v>
      </c>
      <c r="CE93" s="70">
        <f t="shared" si="347"/>
        <v>0.74496592166838194</v>
      </c>
      <c r="CF93" s="70">
        <f>(SUM(CF65:CF69)-CF68)/SUM(CF78:CF83)</f>
        <v>0.74676953481301311</v>
      </c>
    </row>
    <row r="94" spans="2:146">
      <c r="B94" s="1" t="s">
        <v>64</v>
      </c>
      <c r="AX94" s="70">
        <f t="shared" ref="AX94:BG94" si="348">SUM(AX65)/SUM(AX78:AX83)</f>
        <v>0.14086525095699406</v>
      </c>
      <c r="AY94" s="70">
        <f t="shared" si="348"/>
        <v>0.12454741331437838</v>
      </c>
      <c r="AZ94" s="70">
        <f t="shared" si="348"/>
        <v>0.12127509331181277</v>
      </c>
      <c r="BA94" s="70">
        <f t="shared" si="348"/>
        <v>0.12789251057476983</v>
      </c>
      <c r="BB94" s="70">
        <f t="shared" si="348"/>
        <v>0.10831278277248102</v>
      </c>
      <c r="BC94" s="70">
        <f t="shared" si="348"/>
        <v>9.7997111584068111E-2</v>
      </c>
      <c r="BD94" s="70">
        <f t="shared" si="348"/>
        <v>8.8014429801958324E-2</v>
      </c>
      <c r="BE94" s="70">
        <f t="shared" si="348"/>
        <v>0.11207123267084945</v>
      </c>
      <c r="BF94" s="70">
        <f t="shared" si="348"/>
        <v>0.12647999455634187</v>
      </c>
      <c r="BG94" s="70">
        <f t="shared" si="348"/>
        <v>0.11638983253384319</v>
      </c>
      <c r="BH94" s="70">
        <f>SUM(BH65)/SUM(BH78:BH83)</f>
        <v>0.1313147284370306</v>
      </c>
      <c r="BI94" s="70">
        <f>SUM(BI65)/SUM(BI78:BI83)</f>
        <v>0.14514699832273173</v>
      </c>
      <c r="CD94" s="70">
        <f t="shared" ref="CD94:CE94" si="349">SUM(CD65)/SUM(CD78:CD83)</f>
        <v>0.14086525095699406</v>
      </c>
      <c r="CE94" s="70">
        <f t="shared" si="349"/>
        <v>0.10831278277248102</v>
      </c>
      <c r="CF94" s="70">
        <f>SUM(CF65)/SUM(CF78:CF83)</f>
        <v>9.7997111584068111E-2</v>
      </c>
    </row>
    <row r="95" spans="2:146">
      <c r="B95" s="1" t="s">
        <v>130</v>
      </c>
      <c r="AX95" s="70">
        <f t="shared" ref="AX95:BG95" si="350">AX40/AVERAGE(AU71:AX71)</f>
        <v>1.2653670307340614</v>
      </c>
      <c r="AY95" s="70">
        <f t="shared" si="350"/>
        <v>1.2301663161919327</v>
      </c>
      <c r="AZ95" s="70">
        <f t="shared" si="350"/>
        <v>1.256674950614924</v>
      </c>
      <c r="BA95" s="70">
        <f t="shared" si="350"/>
        <v>1.2762010640832209</v>
      </c>
      <c r="BB95" s="70">
        <f t="shared" si="350"/>
        <v>1.3662528038416579</v>
      </c>
      <c r="BC95" s="70">
        <f t="shared" si="350"/>
        <v>1.2730435872921335</v>
      </c>
      <c r="BD95" s="70">
        <f t="shared" si="350"/>
        <v>1.3422063282282515</v>
      </c>
      <c r="BE95" s="70">
        <f t="shared" si="350"/>
        <v>1.3885165395187942</v>
      </c>
      <c r="BF95" s="70">
        <f t="shared" si="350"/>
        <v>1.4794378404773167</v>
      </c>
      <c r="BG95" s="70">
        <f t="shared" si="350"/>
        <v>1.3330917874396135</v>
      </c>
      <c r="BH95" s="70">
        <f>BH40/AVERAGE(BE71:BH71)</f>
        <v>1.4751044776119402</v>
      </c>
      <c r="BI95" s="70">
        <f>BI40/AVERAGE(BF71:BI71)</f>
        <v>1.4704756295096451</v>
      </c>
      <c r="CD95" s="70">
        <f t="shared" ref="CD95:CE95" si="351">CD40/AVERAGE(CA71:CD71)</f>
        <v>4.3764287528575059</v>
      </c>
      <c r="CE95" s="70">
        <f t="shared" si="351"/>
        <v>5.0719602977667497</v>
      </c>
      <c r="CF95" s="70">
        <f>CF40/AVERAGE(CC71:CF71)</f>
        <v>5.5409197031601769</v>
      </c>
    </row>
    <row r="96" spans="2:146">
      <c r="B96" s="1" t="s">
        <v>131</v>
      </c>
      <c r="AX96" s="70">
        <f t="shared" ref="AX96:BG96" si="352">AX40/AX90</f>
        <v>0.12310572129314445</v>
      </c>
      <c r="AY96" s="70">
        <f t="shared" si="352"/>
        <v>0.12051539762902108</v>
      </c>
      <c r="AZ96" s="70">
        <f t="shared" si="352"/>
        <v>0.12236224087758812</v>
      </c>
      <c r="BA96" s="70">
        <f t="shared" si="352"/>
        <v>0.12188300105568431</v>
      </c>
      <c r="BB96" s="70">
        <f t="shared" si="352"/>
        <v>0.13276966247290634</v>
      </c>
      <c r="BC96" s="70">
        <f t="shared" si="352"/>
        <v>0.12316818711180125</v>
      </c>
      <c r="BD96" s="70">
        <f t="shared" si="352"/>
        <v>0.12912007371110273</v>
      </c>
      <c r="BE96" s="70">
        <f t="shared" si="352"/>
        <v>0.13326456080440144</v>
      </c>
      <c r="BF96" s="70">
        <f t="shared" si="352"/>
        <v>0.14167723683210681</v>
      </c>
      <c r="BG96" s="70">
        <f t="shared" si="352"/>
        <v>0.12953042580281757</v>
      </c>
      <c r="BH96" s="70">
        <f>BH40/BH90</f>
        <v>0.14202285425240843</v>
      </c>
      <c r="BI96" s="70">
        <f>BI40/BI90</f>
        <v>0.14136786790187772</v>
      </c>
      <c r="CD96" s="70">
        <f t="shared" ref="CD96:CE96" si="353">CD40/CD90</f>
        <v>0.42577639943411028</v>
      </c>
      <c r="CE96" s="70">
        <f t="shared" si="353"/>
        <v>0.4957479077249925</v>
      </c>
      <c r="CF96" s="70">
        <f>CF40/CF90</f>
        <v>0.53743085209627328</v>
      </c>
    </row>
    <row r="97" spans="2:146">
      <c r="B97" s="1" t="s">
        <v>65</v>
      </c>
      <c r="AX97" s="70">
        <f t="shared" ref="AX97:BG97" si="354">AX41/AVERAGE(AU68:AX68)</f>
        <v>1.3516175596501656</v>
      </c>
      <c r="AY97" s="70">
        <f t="shared" si="354"/>
        <v>1.3031494433638207</v>
      </c>
      <c r="AZ97" s="70">
        <f t="shared" si="354"/>
        <v>1.3013437248051598</v>
      </c>
      <c r="BA97" s="70">
        <f t="shared" si="354"/>
        <v>1.2672915638875184</v>
      </c>
      <c r="BB97" s="70">
        <f t="shared" si="354"/>
        <v>1.346185112065962</v>
      </c>
      <c r="BC97" s="70">
        <f t="shared" si="354"/>
        <v>1.22424288252864</v>
      </c>
      <c r="BD97" s="70">
        <f t="shared" si="354"/>
        <v>1.2776859811001986</v>
      </c>
      <c r="BE97" s="70">
        <f t="shared" si="354"/>
        <v>1.3207881337170688</v>
      </c>
      <c r="BF97" s="70">
        <f t="shared" si="354"/>
        <v>1.4248905109489052</v>
      </c>
      <c r="BG97" s="70">
        <f t="shared" si="354"/>
        <v>1.2637209722598717</v>
      </c>
      <c r="BH97" s="70">
        <f>BH41/AVERAGE(BE68:BH68)</f>
        <v>1.404937917175052</v>
      </c>
      <c r="BI97" s="70">
        <f>BI41/AVERAGE(BF68:BI68)</f>
        <v>1.3474217197911356</v>
      </c>
      <c r="CD97" s="70">
        <f t="shared" ref="CD97:CE97" si="355">CD41/AVERAGE(CA68:CD68)</f>
        <v>4.8255922560923832</v>
      </c>
      <c r="CE97" s="70">
        <f t="shared" si="355"/>
        <v>5.3231207985333064</v>
      </c>
      <c r="CF97" s="70">
        <f>CF41/AVERAGE(CC68:CF68)</f>
        <v>5.5667007310746008</v>
      </c>
    </row>
    <row r="98" spans="2:146">
      <c r="B98" s="1" t="s">
        <v>66</v>
      </c>
      <c r="AX98" s="71">
        <f>AX51/AX90</f>
        <v>9.0999511951022124E-3</v>
      </c>
      <c r="AY98" s="71">
        <f t="shared" ref="AY98:BH98" si="356">AY51/AY90</f>
        <v>1.0881032792923271E-2</v>
      </c>
      <c r="AZ98" s="71">
        <f t="shared" si="356"/>
        <v>1.0858167513603733E-3</v>
      </c>
      <c r="BA98" s="71">
        <f t="shared" si="356"/>
        <v>9.3130771377607363E-3</v>
      </c>
      <c r="BB98" s="71">
        <f t="shared" si="356"/>
        <v>9.5787205039880637E-3</v>
      </c>
      <c r="BC98" s="71">
        <f t="shared" si="356"/>
        <v>9.856609083850932E-3</v>
      </c>
      <c r="BD98" s="71">
        <f t="shared" si="356"/>
        <v>1.0320750991689552E-2</v>
      </c>
      <c r="BE98" s="71">
        <f t="shared" si="356"/>
        <v>1.1892904572187441E-2</v>
      </c>
      <c r="BF98" s="71">
        <f t="shared" si="356"/>
        <v>1.0012918008639283E-2</v>
      </c>
      <c r="BG98" s="71">
        <f t="shared" si="356"/>
        <v>1.2656148235942992E-2</v>
      </c>
      <c r="BH98" s="71">
        <f t="shared" si="356"/>
        <v>1.2927367622376014E-2</v>
      </c>
      <c r="BI98" s="71">
        <f t="shared" ref="BI98" si="357">BI51/BI90</f>
        <v>1.5334435661056876E-2</v>
      </c>
      <c r="CD98" s="71">
        <f t="shared" ref="CD98:CF98" si="358">CD51/CD90</f>
        <v>2.088108285094737E-2</v>
      </c>
      <c r="CE98" s="71">
        <f t="shared" si="358"/>
        <v>3.0780849927238566E-2</v>
      </c>
      <c r="CF98" s="71">
        <f t="shared" si="358"/>
        <v>4.2877765916149072E-2</v>
      </c>
    </row>
    <row r="99" spans="2:146">
      <c r="B99" s="1" t="s">
        <v>67</v>
      </c>
      <c r="AX99" s="71">
        <f>AX51/AX89</f>
        <v>2.3972658475058996E-2</v>
      </c>
      <c r="AY99" s="71">
        <f t="shared" ref="AY99:BH99" si="359">AY51/AY89</f>
        <v>2.8050919741860726E-2</v>
      </c>
      <c r="AZ99" s="71">
        <f t="shared" si="359"/>
        <v>2.8839340155897234E-3</v>
      </c>
      <c r="BA99" s="71">
        <f t="shared" si="359"/>
        <v>2.4419733053341604E-2</v>
      </c>
      <c r="BB99" s="71">
        <f t="shared" si="359"/>
        <v>2.517834662190516E-2</v>
      </c>
      <c r="BC99" s="71">
        <f t="shared" si="359"/>
        <v>2.5653574134882545E-2</v>
      </c>
      <c r="BD99" s="71">
        <f t="shared" si="359"/>
        <v>2.6849502700515199E-2</v>
      </c>
      <c r="BE99" s="71">
        <f t="shared" si="359"/>
        <v>3.0214028587351074E-2</v>
      </c>
      <c r="BF99" s="71">
        <f t="shared" si="359"/>
        <v>2.5514611695314129E-2</v>
      </c>
      <c r="BG99" s="71">
        <f t="shared" si="359"/>
        <v>3.1704735867360438E-2</v>
      </c>
      <c r="BH99" s="71">
        <f t="shared" si="359"/>
        <v>3.3003639351960552E-2</v>
      </c>
      <c r="BI99" s="71">
        <f t="shared" ref="BI99" si="360">BI51/BI89</f>
        <v>3.8145143114717152E-2</v>
      </c>
      <c r="CD99" s="71">
        <f t="shared" ref="CD99:CF99" si="361">CD51/CD89</f>
        <v>5.5008544226544061E-2</v>
      </c>
      <c r="CE99" s="71">
        <f t="shared" si="361"/>
        <v>8.0909648471545234E-2</v>
      </c>
      <c r="CF99" s="71">
        <f t="shared" si="361"/>
        <v>0.11159699419045213</v>
      </c>
    </row>
    <row r="100" spans="2:146">
      <c r="BI100" s="1"/>
    </row>
    <row r="101" spans="2:146">
      <c r="B101" s="1" t="s">
        <v>68</v>
      </c>
      <c r="C101" s="1">
        <f t="shared" ref="C101:BF101" si="362">C51</f>
        <v>1522</v>
      </c>
      <c r="D101" s="1">
        <f t="shared" si="362"/>
        <v>1894</v>
      </c>
      <c r="E101" s="1">
        <f t="shared" si="362"/>
        <v>1773</v>
      </c>
      <c r="F101" s="1">
        <f t="shared" si="362"/>
        <v>1557</v>
      </c>
      <c r="G101" s="1">
        <f t="shared" si="362"/>
        <v>1824</v>
      </c>
      <c r="H101" s="1">
        <f t="shared" si="362"/>
        <v>2079</v>
      </c>
      <c r="I101" s="1">
        <f t="shared" si="362"/>
        <v>1978</v>
      </c>
      <c r="J101" s="1">
        <f t="shared" si="362"/>
        <v>1564</v>
      </c>
      <c r="K101" s="1">
        <f t="shared" si="362"/>
        <v>1756</v>
      </c>
      <c r="L101" s="1">
        <f t="shared" si="362"/>
        <v>2202</v>
      </c>
      <c r="M101" s="1">
        <f t="shared" si="362"/>
        <v>2222</v>
      </c>
      <c r="N101" s="1">
        <f t="shared" si="362"/>
        <v>2050</v>
      </c>
      <c r="O101" s="1">
        <f t="shared" si="362"/>
        <v>1869</v>
      </c>
      <c r="P101" s="1">
        <f t="shared" si="362"/>
        <v>2006</v>
      </c>
      <c r="Q101" s="1">
        <f t="shared" si="362"/>
        <v>1894</v>
      </c>
      <c r="R101" s="1">
        <f t="shared" si="362"/>
        <v>235</v>
      </c>
      <c r="S101" s="1">
        <f t="shared" si="362"/>
        <v>1699</v>
      </c>
      <c r="T101" s="1">
        <f t="shared" si="362"/>
        <v>1975</v>
      </c>
      <c r="U101" s="1">
        <f t="shared" si="362"/>
        <v>1984</v>
      </c>
      <c r="V101" s="1">
        <f t="shared" si="362"/>
        <v>1954</v>
      </c>
      <c r="W101" s="1">
        <f t="shared" si="362"/>
        <v>1648</v>
      </c>
      <c r="X101" s="1">
        <f t="shared" si="362"/>
        <v>1732</v>
      </c>
      <c r="Y101" s="1">
        <f t="shared" si="362"/>
        <v>1618</v>
      </c>
      <c r="Z101" s="1">
        <f t="shared" si="362"/>
        <v>672</v>
      </c>
      <c r="AA101" s="1">
        <f t="shared" si="362"/>
        <v>1444</v>
      </c>
      <c r="AB101" s="1">
        <f t="shared" si="362"/>
        <v>2223</v>
      </c>
      <c r="AC101" s="1">
        <f t="shared" si="362"/>
        <v>1489</v>
      </c>
      <c r="AD101" s="1">
        <f t="shared" si="362"/>
        <v>-3004</v>
      </c>
      <c r="AE101" s="1">
        <f t="shared" si="362"/>
        <v>1871</v>
      </c>
      <c r="AF101" s="1">
        <f t="shared" si="362"/>
        <v>1532</v>
      </c>
      <c r="AG101" s="1">
        <f t="shared" si="362"/>
        <v>1237</v>
      </c>
      <c r="AH101" s="1">
        <f t="shared" si="362"/>
        <v>615</v>
      </c>
      <c r="AI101" s="1">
        <f t="shared" si="362"/>
        <v>7670</v>
      </c>
      <c r="AJ101" s="1">
        <f t="shared" si="362"/>
        <v>-3408</v>
      </c>
      <c r="AK101" s="1">
        <f t="shared" si="362"/>
        <v>379</v>
      </c>
      <c r="AL101" s="1">
        <f t="shared" si="362"/>
        <v>589</v>
      </c>
      <c r="AM101" s="1">
        <f t="shared" si="362"/>
        <v>813</v>
      </c>
      <c r="AN101" s="1">
        <f t="shared" si="362"/>
        <v>1088</v>
      </c>
      <c r="AO101" s="1">
        <f t="shared" si="362"/>
        <v>1473</v>
      </c>
      <c r="AP101" s="1">
        <f t="shared" si="362"/>
        <v>-3257</v>
      </c>
      <c r="AQ101" s="1">
        <f t="shared" si="362"/>
        <v>1126</v>
      </c>
      <c r="AR101" s="1">
        <f t="shared" si="362"/>
        <v>1338</v>
      </c>
      <c r="AS101" s="1">
        <f t="shared" si="362"/>
        <v>1395</v>
      </c>
      <c r="AT101" s="1">
        <f t="shared" si="362"/>
        <v>1468</v>
      </c>
      <c r="AU101" s="1">
        <f t="shared" si="362"/>
        <v>1481</v>
      </c>
      <c r="AV101" s="1">
        <f t="shared" si="362"/>
        <v>1359</v>
      </c>
      <c r="AW101" s="1">
        <f t="shared" si="362"/>
        <v>-933</v>
      </c>
      <c r="AX101" s="1">
        <f t="shared" si="362"/>
        <v>1473</v>
      </c>
      <c r="AY101" s="1">
        <f t="shared" si="362"/>
        <v>1743</v>
      </c>
      <c r="AZ101" s="1">
        <f t="shared" si="362"/>
        <v>175</v>
      </c>
      <c r="BA101" s="1">
        <f t="shared" si="362"/>
        <v>1535</v>
      </c>
      <c r="BB101" s="1">
        <f t="shared" si="362"/>
        <v>1560</v>
      </c>
      <c r="BC101" s="1">
        <f t="shared" si="362"/>
        <v>1625</v>
      </c>
      <c r="BD101" s="1">
        <f t="shared" si="362"/>
        <v>1725</v>
      </c>
      <c r="BE101" s="1">
        <f t="shared" si="362"/>
        <v>2006</v>
      </c>
      <c r="BF101" s="1">
        <f t="shared" si="362"/>
        <v>1713</v>
      </c>
      <c r="BG101" s="1">
        <f>BG51</f>
        <v>2157</v>
      </c>
      <c r="BH101" s="1">
        <f>BH51</f>
        <v>2249</v>
      </c>
      <c r="BI101" s="1">
        <f>BI51</f>
        <v>2708</v>
      </c>
      <c r="BS101" s="1">
        <f t="shared" ref="BS101:BS106" si="363">SUM(C101:F101)</f>
        <v>6746</v>
      </c>
      <c r="BT101" s="1">
        <f t="shared" ref="BT101:BT106" si="364">SUM(G101:J101)</f>
        <v>7445</v>
      </c>
      <c r="BU101" s="1">
        <f t="shared" ref="BU101:BU106" si="365">SUM(K101:N101)</f>
        <v>8230</v>
      </c>
      <c r="BV101" s="1">
        <f t="shared" ref="BV101:BV106" si="366">SUM(O101:R101)</f>
        <v>6004</v>
      </c>
      <c r="BW101" s="1">
        <f t="shared" ref="BW101:BW106" si="367">SUM(S101:V101)</f>
        <v>7612</v>
      </c>
      <c r="BX101" s="1">
        <f t="shared" ref="BX101:BX106" si="368">SUM(W101:Z101)</f>
        <v>5670</v>
      </c>
      <c r="BY101" s="1">
        <f t="shared" ref="BY101:BY106" si="369">SUM(AA101:AD101)</f>
        <v>2152</v>
      </c>
      <c r="BZ101" s="1">
        <f t="shared" ref="BZ101:BZ106" si="370">SUM(AE101:AH101)</f>
        <v>5255</v>
      </c>
      <c r="CA101" s="1">
        <f t="shared" ref="CA101:CA106" si="371">SUM(AI101:AL101)</f>
        <v>5230</v>
      </c>
      <c r="CB101" s="1">
        <f t="shared" ref="CB101:CB106" si="372">SUM(AM101:AP101)</f>
        <v>117</v>
      </c>
      <c r="CC101" s="1">
        <f t="shared" ref="CC101:CC106" si="373">SUM(AQ101:AT101)</f>
        <v>5327</v>
      </c>
      <c r="CD101" s="1">
        <f t="shared" ref="CD101:CD106" si="374">SUM(AU101:AX101)</f>
        <v>3380</v>
      </c>
      <c r="CE101" s="1">
        <f t="shared" ref="CE101:CE106" si="375">SUM(AY101:BB101)</f>
        <v>5013</v>
      </c>
      <c r="CF101" s="1">
        <f t="shared" ref="CF101:CF106" si="376">SUM(BC101:BF101)</f>
        <v>7069</v>
      </c>
    </row>
    <row r="102" spans="2:146" s="2" customFormat="1" ht="15">
      <c r="B102" s="2" t="s">
        <v>69</v>
      </c>
      <c r="C102" s="2">
        <v>1323</v>
      </c>
      <c r="D102" s="2">
        <v>1703</v>
      </c>
      <c r="E102" s="2">
        <v>1625</v>
      </c>
      <c r="F102" s="2">
        <v>12284</v>
      </c>
      <c r="G102" s="2">
        <v>1409</v>
      </c>
      <c r="H102" s="2">
        <v>1939</v>
      </c>
      <c r="I102" s="2">
        <v>1543</v>
      </c>
      <c r="J102" s="2">
        <v>2423</v>
      </c>
      <c r="K102" s="2">
        <v>1335</v>
      </c>
      <c r="L102" s="2">
        <v>1742</v>
      </c>
      <c r="M102" s="2">
        <v>1945</v>
      </c>
      <c r="N102" s="2">
        <v>1957</v>
      </c>
      <c r="O102" s="2">
        <v>1646</v>
      </c>
      <c r="P102" s="2">
        <v>1376</v>
      </c>
      <c r="Q102" s="2">
        <v>1022</v>
      </c>
      <c r="R102" s="2">
        <v>2711</v>
      </c>
      <c r="S102" s="2">
        <v>798</v>
      </c>
      <c r="T102" s="2">
        <v>1808</v>
      </c>
      <c r="U102" s="2">
        <v>1961</v>
      </c>
      <c r="V102" s="2">
        <v>1845</v>
      </c>
      <c r="W102" s="2">
        <v>993</v>
      </c>
      <c r="X102" s="2">
        <v>2146</v>
      </c>
      <c r="Y102" s="2">
        <v>-29</v>
      </c>
      <c r="Z102" s="2">
        <v>2521</v>
      </c>
      <c r="AA102" s="2">
        <v>453</v>
      </c>
      <c r="AB102" s="2">
        <v>2102</v>
      </c>
      <c r="AC102" s="2">
        <v>1762</v>
      </c>
      <c r="AD102" s="2">
        <v>-1647</v>
      </c>
      <c r="AE102" s="2">
        <v>1500</v>
      </c>
      <c r="AF102" s="2">
        <v>1269</v>
      </c>
      <c r="AG102" s="2">
        <v>1727</v>
      </c>
      <c r="AH102" s="2">
        <v>1325</v>
      </c>
      <c r="AI102" s="2">
        <v>1132</v>
      </c>
      <c r="AJ102" s="2">
        <v>210</v>
      </c>
      <c r="AK102" s="2">
        <v>1622</v>
      </c>
      <c r="AL102" s="2">
        <v>1370</v>
      </c>
      <c r="AM102" s="2">
        <v>723</v>
      </c>
      <c r="AN102" s="2">
        <v>1326</v>
      </c>
      <c r="AO102" s="2">
        <v>1932</v>
      </c>
      <c r="AP102" s="2">
        <v>3161</v>
      </c>
      <c r="AQ102" s="2">
        <v>476</v>
      </c>
      <c r="AR102" s="2">
        <v>1286</v>
      </c>
      <c r="AS102" s="2">
        <v>778</v>
      </c>
      <c r="AT102" s="2">
        <v>4628</v>
      </c>
      <c r="AU102" s="2">
        <v>-863</v>
      </c>
      <c r="AV102" s="2">
        <v>719</v>
      </c>
      <c r="AW102" s="2">
        <v>3316</v>
      </c>
      <c r="AX102" s="2">
        <v>4711</v>
      </c>
      <c r="AY102" s="2">
        <v>342</v>
      </c>
      <c r="AZ102" s="2">
        <v>2733</v>
      </c>
      <c r="BA102" s="2">
        <v>2523</v>
      </c>
      <c r="BB102" s="2">
        <v>1561</v>
      </c>
      <c r="BC102" s="2">
        <v>1305</v>
      </c>
      <c r="BD102" s="2">
        <v>458</v>
      </c>
      <c r="BE102" s="2">
        <v>4639</v>
      </c>
      <c r="BF102" s="2">
        <v>4165</v>
      </c>
      <c r="BG102" s="2">
        <v>1855</v>
      </c>
      <c r="BH102" s="2">
        <v>3547</v>
      </c>
      <c r="BI102" s="2">
        <v>2868</v>
      </c>
      <c r="BJ102" s="34"/>
      <c r="BS102" s="1">
        <f t="shared" si="363"/>
        <v>16935</v>
      </c>
      <c r="BT102" s="1">
        <f t="shared" si="364"/>
        <v>7314</v>
      </c>
      <c r="BU102" s="1">
        <f t="shared" si="365"/>
        <v>6979</v>
      </c>
      <c r="BV102" s="1">
        <f t="shared" si="366"/>
        <v>6755</v>
      </c>
      <c r="BW102" s="1">
        <f t="shared" si="367"/>
        <v>6412</v>
      </c>
      <c r="BX102" s="1">
        <f t="shared" si="368"/>
        <v>5631</v>
      </c>
      <c r="BY102" s="1">
        <f t="shared" si="369"/>
        <v>2670</v>
      </c>
      <c r="BZ102" s="1">
        <f t="shared" si="370"/>
        <v>5821</v>
      </c>
      <c r="CA102" s="1">
        <f t="shared" si="371"/>
        <v>4334</v>
      </c>
      <c r="CB102" s="1">
        <f t="shared" si="372"/>
        <v>7142</v>
      </c>
      <c r="CC102" s="1">
        <f t="shared" si="373"/>
        <v>7168</v>
      </c>
      <c r="CD102" s="1">
        <f t="shared" si="374"/>
        <v>7883</v>
      </c>
      <c r="CE102" s="1">
        <f t="shared" si="375"/>
        <v>7159</v>
      </c>
      <c r="CF102" s="1">
        <f t="shared" si="376"/>
        <v>10567</v>
      </c>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c r="DK102" s="34"/>
      <c r="DL102" s="34"/>
      <c r="DM102" s="34"/>
      <c r="DN102" s="34"/>
      <c r="DO102" s="34"/>
      <c r="DP102" s="34"/>
      <c r="DQ102" s="34"/>
      <c r="DR102" s="34"/>
      <c r="DS102" s="34"/>
      <c r="DT102" s="34"/>
      <c r="DU102" s="34"/>
      <c r="DV102" s="34"/>
      <c r="DW102" s="34"/>
      <c r="DX102" s="34"/>
      <c r="DY102" s="34"/>
      <c r="DZ102" s="34"/>
      <c r="EA102" s="34"/>
      <c r="EB102" s="34"/>
      <c r="EC102" s="34"/>
      <c r="ED102" s="34"/>
      <c r="EE102" s="34"/>
      <c r="EF102" s="34"/>
      <c r="EG102" s="34"/>
      <c r="EH102" s="34"/>
      <c r="EI102" s="34"/>
      <c r="EJ102" s="34"/>
      <c r="EK102" s="34"/>
      <c r="EL102" s="34"/>
      <c r="EM102" s="34"/>
      <c r="EN102" s="34"/>
      <c r="EO102" s="34"/>
      <c r="EP102" s="34"/>
    </row>
    <row r="103" spans="2:146">
      <c r="B103" s="1" t="s">
        <v>70</v>
      </c>
      <c r="C103" s="1">
        <v>-187</v>
      </c>
      <c r="D103" s="1">
        <v>-244</v>
      </c>
      <c r="E103" s="1">
        <v>-317</v>
      </c>
      <c r="F103" s="1">
        <v>-641</v>
      </c>
      <c r="G103" s="1">
        <v>-295</v>
      </c>
      <c r="H103" s="1">
        <v>-369</v>
      </c>
      <c r="I103" s="1">
        <v>-383</v>
      </c>
      <c r="J103" s="1">
        <v>-522</v>
      </c>
      <c r="K103" s="1">
        <v>-333</v>
      </c>
      <c r="L103" s="1">
        <v>-406</v>
      </c>
      <c r="M103" s="1">
        <v>-324</v>
      </c>
      <c r="N103" s="1">
        <v>-531</v>
      </c>
      <c r="O103" s="1">
        <v>-323</v>
      </c>
      <c r="P103" s="1">
        <v>-331</v>
      </c>
      <c r="Q103" s="1">
        <v>-390</v>
      </c>
      <c r="R103" s="1">
        <v>-608</v>
      </c>
      <c r="S103" s="1">
        <v>-286</v>
      </c>
      <c r="T103" s="1">
        <v>-363</v>
      </c>
      <c r="U103" s="1">
        <v>-394</v>
      </c>
      <c r="V103" s="1">
        <v>-656</v>
      </c>
      <c r="W103" s="1">
        <v>-325</v>
      </c>
      <c r="X103" s="1">
        <v>-446</v>
      </c>
      <c r="Y103" s="1">
        <v>-443</v>
      </c>
      <c r="Z103" s="1">
        <v>-800</v>
      </c>
      <c r="AA103" s="1">
        <v>-337</v>
      </c>
      <c r="AB103" s="1">
        <v>-372</v>
      </c>
      <c r="AC103" s="1">
        <v>-413</v>
      </c>
      <c r="AD103" s="1">
        <v>-345</v>
      </c>
      <c r="AE103" s="1">
        <v>-363</v>
      </c>
      <c r="AF103" s="1">
        <v>-315</v>
      </c>
      <c r="AG103" s="1">
        <v>-444</v>
      </c>
      <c r="AH103" s="1">
        <v>-746</v>
      </c>
      <c r="AI103" s="1">
        <v>-325</v>
      </c>
      <c r="AJ103" s="1">
        <v>-458</v>
      </c>
      <c r="AK103" s="1">
        <v>-389</v>
      </c>
      <c r="AL103" s="1">
        <v>-623</v>
      </c>
      <c r="AM103" s="1">
        <v>-387</v>
      </c>
      <c r="AN103" s="1">
        <v>-360</v>
      </c>
      <c r="AO103" s="1">
        <v>-433</v>
      </c>
      <c r="AP103" s="1">
        <v>-954</v>
      </c>
      <c r="AQ103" s="1">
        <v>-439</v>
      </c>
      <c r="AR103" s="1">
        <v>-479</v>
      </c>
      <c r="AS103" s="1">
        <v>-515</v>
      </c>
      <c r="AT103" s="1">
        <v>-855</v>
      </c>
      <c r="AU103" s="1">
        <v>-520</v>
      </c>
      <c r="AV103" s="1">
        <v>-526</v>
      </c>
      <c r="AW103" s="1">
        <v>-564</v>
      </c>
      <c r="AX103" s="1">
        <v>-805</v>
      </c>
      <c r="AY103" s="1">
        <v>-467</v>
      </c>
      <c r="AZ103" s="1">
        <v>-537</v>
      </c>
      <c r="BA103" s="1">
        <v>-552</v>
      </c>
      <c r="BB103" s="1">
        <v>-1069</v>
      </c>
      <c r="BC103" s="1">
        <v>-513</v>
      </c>
      <c r="BD103" s="1">
        <v>-530</v>
      </c>
      <c r="BE103" s="1">
        <v>-614</v>
      </c>
      <c r="BF103" s="1">
        <v>-970</v>
      </c>
      <c r="BG103" s="1">
        <v>-546</v>
      </c>
      <c r="BH103" s="1">
        <v>-669</v>
      </c>
      <c r="BI103" s="1">
        <v>-749</v>
      </c>
      <c r="BS103" s="1">
        <f t="shared" si="363"/>
        <v>-1389</v>
      </c>
      <c r="BT103" s="1">
        <f t="shared" si="364"/>
        <v>-1569</v>
      </c>
      <c r="BU103" s="1">
        <f t="shared" si="365"/>
        <v>-1594</v>
      </c>
      <c r="BV103" s="1">
        <f t="shared" si="366"/>
        <v>-1652</v>
      </c>
      <c r="BW103" s="1">
        <f t="shared" si="367"/>
        <v>-1699</v>
      </c>
      <c r="BX103" s="1">
        <f t="shared" si="368"/>
        <v>-2014</v>
      </c>
      <c r="BY103" s="1">
        <f t="shared" si="369"/>
        <v>-1467</v>
      </c>
      <c r="BZ103" s="1">
        <f t="shared" si="370"/>
        <v>-1868</v>
      </c>
      <c r="CA103" s="1">
        <f t="shared" si="371"/>
        <v>-1795</v>
      </c>
      <c r="CB103" s="1">
        <f t="shared" si="372"/>
        <v>-2134</v>
      </c>
      <c r="CC103" s="1">
        <f t="shared" si="373"/>
        <v>-2288</v>
      </c>
      <c r="CD103" s="1">
        <f t="shared" si="374"/>
        <v>-2415</v>
      </c>
      <c r="CE103" s="1">
        <f t="shared" si="375"/>
        <v>-2625</v>
      </c>
      <c r="CF103" s="1">
        <f t="shared" si="376"/>
        <v>-2627</v>
      </c>
    </row>
    <row r="104" spans="2:146" s="2" customFormat="1" ht="15">
      <c r="B104" s="2" t="s">
        <v>71</v>
      </c>
      <c r="C104" s="2">
        <f t="shared" ref="C104:AX104" si="377">C102+C103</f>
        <v>1136</v>
      </c>
      <c r="D104" s="2">
        <f t="shared" si="377"/>
        <v>1459</v>
      </c>
      <c r="E104" s="2">
        <f t="shared" si="377"/>
        <v>1308</v>
      </c>
      <c r="F104" s="2">
        <f t="shared" si="377"/>
        <v>11643</v>
      </c>
      <c r="G104" s="2">
        <f t="shared" si="377"/>
        <v>1114</v>
      </c>
      <c r="H104" s="2">
        <f t="shared" si="377"/>
        <v>1570</v>
      </c>
      <c r="I104" s="2">
        <f t="shared" si="377"/>
        <v>1160</v>
      </c>
      <c r="J104" s="2">
        <f t="shared" si="377"/>
        <v>1901</v>
      </c>
      <c r="K104" s="2">
        <f t="shared" si="377"/>
        <v>1002</v>
      </c>
      <c r="L104" s="2">
        <f t="shared" si="377"/>
        <v>1336</v>
      </c>
      <c r="M104" s="2">
        <f t="shared" si="377"/>
        <v>1621</v>
      </c>
      <c r="N104" s="2">
        <f t="shared" si="377"/>
        <v>1426</v>
      </c>
      <c r="O104" s="2">
        <f t="shared" si="377"/>
        <v>1323</v>
      </c>
      <c r="P104" s="2">
        <f t="shared" si="377"/>
        <v>1045</v>
      </c>
      <c r="Q104" s="2">
        <f t="shared" si="377"/>
        <v>632</v>
      </c>
      <c r="R104" s="2">
        <f t="shared" si="377"/>
        <v>2103</v>
      </c>
      <c r="S104" s="2">
        <f t="shared" si="377"/>
        <v>512</v>
      </c>
      <c r="T104" s="2">
        <f t="shared" si="377"/>
        <v>1445</v>
      </c>
      <c r="U104" s="2">
        <f t="shared" si="377"/>
        <v>1567</v>
      </c>
      <c r="V104" s="2">
        <f t="shared" si="377"/>
        <v>1189</v>
      </c>
      <c r="W104" s="2">
        <f t="shared" si="377"/>
        <v>668</v>
      </c>
      <c r="X104" s="2">
        <f t="shared" si="377"/>
        <v>1700</v>
      </c>
      <c r="Y104" s="2">
        <f t="shared" si="377"/>
        <v>-472</v>
      </c>
      <c r="Z104" s="2">
        <f t="shared" si="377"/>
        <v>1721</v>
      </c>
      <c r="AA104" s="2">
        <f t="shared" si="377"/>
        <v>116</v>
      </c>
      <c r="AB104" s="2">
        <f t="shared" si="377"/>
        <v>1730</v>
      </c>
      <c r="AC104" s="2">
        <f t="shared" si="377"/>
        <v>1349</v>
      </c>
      <c r="AD104" s="2">
        <f t="shared" si="377"/>
        <v>-1992</v>
      </c>
      <c r="AE104" s="2">
        <f t="shared" si="377"/>
        <v>1137</v>
      </c>
      <c r="AF104" s="2">
        <f t="shared" si="377"/>
        <v>954</v>
      </c>
      <c r="AG104" s="2">
        <f t="shared" si="377"/>
        <v>1283</v>
      </c>
      <c r="AH104" s="2">
        <f t="shared" si="377"/>
        <v>579</v>
      </c>
      <c r="AI104" s="2">
        <f t="shared" si="377"/>
        <v>807</v>
      </c>
      <c r="AJ104" s="2">
        <f t="shared" si="377"/>
        <v>-248</v>
      </c>
      <c r="AK104" s="2">
        <f t="shared" si="377"/>
        <v>1233</v>
      </c>
      <c r="AL104" s="2">
        <f t="shared" si="377"/>
        <v>747</v>
      </c>
      <c r="AM104" s="2">
        <f t="shared" si="377"/>
        <v>336</v>
      </c>
      <c r="AN104" s="2">
        <f t="shared" si="377"/>
        <v>966</v>
      </c>
      <c r="AO104" s="2">
        <f t="shared" si="377"/>
        <v>1499</v>
      </c>
      <c r="AP104" s="2">
        <f t="shared" si="377"/>
        <v>2207</v>
      </c>
      <c r="AQ104" s="2">
        <f t="shared" si="377"/>
        <v>37</v>
      </c>
      <c r="AR104" s="2">
        <f t="shared" si="377"/>
        <v>807</v>
      </c>
      <c r="AS104" s="2">
        <f t="shared" si="377"/>
        <v>263</v>
      </c>
      <c r="AT104" s="2">
        <f t="shared" si="377"/>
        <v>3773</v>
      </c>
      <c r="AU104" s="2">
        <f t="shared" si="377"/>
        <v>-1383</v>
      </c>
      <c r="AV104" s="2">
        <f t="shared" si="377"/>
        <v>193</v>
      </c>
      <c r="AW104" s="2">
        <f t="shared" si="377"/>
        <v>2752</v>
      </c>
      <c r="AX104" s="2">
        <f t="shared" si="377"/>
        <v>3906</v>
      </c>
      <c r="AY104" s="2">
        <f t="shared" ref="AY104:BE104" si="378">AY102+AY103</f>
        <v>-125</v>
      </c>
      <c r="AZ104" s="2">
        <f t="shared" si="378"/>
        <v>2196</v>
      </c>
      <c r="BA104" s="2">
        <f t="shared" si="378"/>
        <v>1971</v>
      </c>
      <c r="BB104" s="2">
        <f t="shared" si="378"/>
        <v>492</v>
      </c>
      <c r="BC104" s="2">
        <f t="shared" si="378"/>
        <v>792</v>
      </c>
      <c r="BD104" s="2">
        <f t="shared" si="378"/>
        <v>-72</v>
      </c>
      <c r="BE104" s="2">
        <f t="shared" si="378"/>
        <v>4025</v>
      </c>
      <c r="BF104" s="2">
        <f>BF102+BF103</f>
        <v>3195</v>
      </c>
      <c r="BG104" s="2">
        <f>BG102+BG103</f>
        <v>1309</v>
      </c>
      <c r="BH104" s="2">
        <f>BH102+BH103</f>
        <v>2878</v>
      </c>
      <c r="BI104" s="2">
        <f>BI102+BI103</f>
        <v>2119</v>
      </c>
      <c r="BJ104" s="34"/>
      <c r="BS104" s="1">
        <f t="shared" si="363"/>
        <v>15546</v>
      </c>
      <c r="BT104" s="1">
        <f t="shared" si="364"/>
        <v>5745</v>
      </c>
      <c r="BU104" s="1">
        <f t="shared" si="365"/>
        <v>5385</v>
      </c>
      <c r="BV104" s="1">
        <f t="shared" si="366"/>
        <v>5103</v>
      </c>
      <c r="BW104" s="1">
        <f t="shared" si="367"/>
        <v>4713</v>
      </c>
      <c r="BX104" s="1">
        <f t="shared" si="368"/>
        <v>3617</v>
      </c>
      <c r="BY104" s="1">
        <f t="shared" si="369"/>
        <v>1203</v>
      </c>
      <c r="BZ104" s="1">
        <f t="shared" si="370"/>
        <v>3953</v>
      </c>
      <c r="CA104" s="1">
        <f t="shared" si="371"/>
        <v>2539</v>
      </c>
      <c r="CB104" s="1">
        <f t="shared" si="372"/>
        <v>5008</v>
      </c>
      <c r="CC104" s="1">
        <f t="shared" si="373"/>
        <v>4880</v>
      </c>
      <c r="CD104" s="1">
        <f t="shared" si="374"/>
        <v>5468</v>
      </c>
      <c r="CE104" s="1">
        <f t="shared" si="375"/>
        <v>4534</v>
      </c>
      <c r="CF104" s="1">
        <f t="shared" si="376"/>
        <v>7940</v>
      </c>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c r="DI104" s="34"/>
      <c r="DJ104" s="34"/>
      <c r="DK104" s="34"/>
      <c r="DL104" s="34"/>
      <c r="DM104" s="34"/>
      <c r="DN104" s="34"/>
      <c r="DO104" s="34"/>
      <c r="DP104" s="34"/>
      <c r="DQ104" s="34"/>
      <c r="DR104" s="34"/>
      <c r="DS104" s="34"/>
      <c r="DT104" s="34"/>
      <c r="DU104" s="34"/>
      <c r="DV104" s="34"/>
      <c r="DW104" s="34"/>
      <c r="DX104" s="34"/>
      <c r="DY104" s="34"/>
      <c r="DZ104" s="34"/>
      <c r="EA104" s="34"/>
      <c r="EB104" s="34"/>
      <c r="EC104" s="34"/>
      <c r="ED104" s="34"/>
      <c r="EE104" s="34"/>
      <c r="EF104" s="34"/>
      <c r="EG104" s="34"/>
      <c r="EH104" s="34"/>
      <c r="EI104" s="34"/>
      <c r="EJ104" s="34"/>
      <c r="EK104" s="34"/>
      <c r="EL104" s="34"/>
      <c r="EM104" s="34"/>
      <c r="EN104" s="34"/>
      <c r="EO104" s="34"/>
      <c r="EP104" s="34"/>
    </row>
    <row r="105" spans="2:146">
      <c r="B105" s="1" t="s">
        <v>72</v>
      </c>
      <c r="C105" s="1">
        <f t="shared" ref="C105:BG105" si="379">C54</f>
        <v>891</v>
      </c>
      <c r="D105" s="1">
        <f t="shared" si="379"/>
        <v>893</v>
      </c>
      <c r="E105" s="1">
        <f t="shared" si="379"/>
        <v>896</v>
      </c>
      <c r="F105" s="1">
        <f t="shared" si="379"/>
        <v>895</v>
      </c>
      <c r="G105" s="1">
        <f t="shared" si="379"/>
        <v>901</v>
      </c>
      <c r="H105" s="1">
        <f t="shared" si="379"/>
        <v>901</v>
      </c>
      <c r="I105" s="1">
        <f t="shared" si="379"/>
        <v>901</v>
      </c>
      <c r="J105" s="1">
        <f t="shared" si="379"/>
        <v>901</v>
      </c>
      <c r="K105" s="1">
        <f t="shared" si="379"/>
        <v>901</v>
      </c>
      <c r="L105" s="1">
        <f t="shared" si="379"/>
        <v>900</v>
      </c>
      <c r="M105" s="1">
        <f t="shared" si="379"/>
        <v>900</v>
      </c>
      <c r="N105" s="1">
        <f t="shared" si="379"/>
        <v>898</v>
      </c>
      <c r="O105" s="1">
        <f t="shared" si="379"/>
        <v>890</v>
      </c>
      <c r="P105" s="1">
        <f t="shared" si="379"/>
        <v>877</v>
      </c>
      <c r="Q105" s="1">
        <f t="shared" si="379"/>
        <v>876</v>
      </c>
      <c r="R105" s="1">
        <f t="shared" si="379"/>
        <v>873</v>
      </c>
      <c r="S105" s="1">
        <f t="shared" si="379"/>
        <v>825</v>
      </c>
      <c r="T105" s="1">
        <f t="shared" si="379"/>
        <v>825</v>
      </c>
      <c r="U105" s="1">
        <f t="shared" si="379"/>
        <v>822</v>
      </c>
      <c r="V105" s="1">
        <f t="shared" si="379"/>
        <v>818</v>
      </c>
      <c r="W105" s="1">
        <f t="shared" si="379"/>
        <v>794</v>
      </c>
      <c r="X105" s="1">
        <f t="shared" si="379"/>
        <v>789</v>
      </c>
      <c r="Y105" s="1">
        <f t="shared" si="379"/>
        <v>788</v>
      </c>
      <c r="Z105" s="1">
        <f t="shared" si="379"/>
        <v>790</v>
      </c>
      <c r="AA105" s="1">
        <f t="shared" si="379"/>
        <v>790</v>
      </c>
      <c r="AB105" s="1">
        <f t="shared" si="379"/>
        <v>791</v>
      </c>
      <c r="AC105" s="1">
        <f t="shared" si="379"/>
        <v>791</v>
      </c>
      <c r="AD105" s="1">
        <f t="shared" si="379"/>
        <v>800</v>
      </c>
      <c r="AE105" s="1">
        <f t="shared" si="379"/>
        <v>853</v>
      </c>
      <c r="AF105" s="1">
        <f t="shared" si="379"/>
        <v>854</v>
      </c>
      <c r="AG105" s="1">
        <f t="shared" si="379"/>
        <v>855</v>
      </c>
      <c r="AH105" s="1">
        <f t="shared" si="379"/>
        <v>855</v>
      </c>
      <c r="AI105" s="1">
        <f t="shared" si="379"/>
        <v>858</v>
      </c>
      <c r="AJ105" s="1">
        <f t="shared" si="379"/>
        <v>1504</v>
      </c>
      <c r="AK105" s="1">
        <f t="shared" si="379"/>
        <v>1509</v>
      </c>
      <c r="AL105" s="1">
        <f t="shared" si="379"/>
        <v>1511</v>
      </c>
      <c r="AM105" s="1">
        <f t="shared" si="379"/>
        <v>1507</v>
      </c>
      <c r="AN105" s="1">
        <f t="shared" si="379"/>
        <v>1505</v>
      </c>
      <c r="AO105" s="1">
        <f t="shared" si="379"/>
        <v>1497</v>
      </c>
      <c r="AP105" s="1">
        <f t="shared" si="379"/>
        <v>1492</v>
      </c>
      <c r="AQ105" s="1">
        <f t="shared" si="379"/>
        <v>1488</v>
      </c>
      <c r="AR105" s="1">
        <f t="shared" si="379"/>
        <v>1476</v>
      </c>
      <c r="AS105" s="1">
        <f t="shared" si="379"/>
        <v>1470</v>
      </c>
      <c r="AT105" s="1">
        <f t="shared" si="379"/>
        <v>1468</v>
      </c>
      <c r="AU105" s="1">
        <f t="shared" si="379"/>
        <v>1463</v>
      </c>
      <c r="AV105" s="1">
        <f t="shared" si="379"/>
        <v>1462</v>
      </c>
      <c r="AW105" s="1">
        <f t="shared" si="379"/>
        <v>1448</v>
      </c>
      <c r="AX105" s="1">
        <f t="shared" si="379"/>
        <v>1347</v>
      </c>
      <c r="AY105" s="1">
        <f t="shared" si="379"/>
        <v>1326</v>
      </c>
      <c r="AZ105" s="1">
        <f t="shared" si="379"/>
        <v>1327</v>
      </c>
      <c r="BA105" s="1">
        <f t="shared" si="379"/>
        <v>1330</v>
      </c>
      <c r="BB105" s="1">
        <f t="shared" si="379"/>
        <v>1332</v>
      </c>
      <c r="BC105" s="1">
        <f t="shared" si="379"/>
        <v>1335</v>
      </c>
      <c r="BD105" s="1">
        <f t="shared" si="379"/>
        <v>1336</v>
      </c>
      <c r="BE105" s="1">
        <f t="shared" si="379"/>
        <v>1342</v>
      </c>
      <c r="BF105" s="1">
        <f t="shared" si="379"/>
        <v>1342</v>
      </c>
      <c r="BG105" s="1">
        <f t="shared" si="379"/>
        <v>1349</v>
      </c>
      <c r="BH105" s="1">
        <f>BH54</f>
        <v>1347.8</v>
      </c>
      <c r="BI105" s="1">
        <f>BI54</f>
        <v>1352.2</v>
      </c>
      <c r="BS105" s="82">
        <f>BS54</f>
        <v>893.75</v>
      </c>
      <c r="BT105" s="82">
        <f t="shared" ref="BT105:CF105" si="380">BT54</f>
        <v>901</v>
      </c>
      <c r="BU105" s="82">
        <f t="shared" si="380"/>
        <v>899.75</v>
      </c>
      <c r="BV105" s="82">
        <f t="shared" si="380"/>
        <v>879</v>
      </c>
      <c r="BW105" s="82">
        <f t="shared" si="380"/>
        <v>822.5</v>
      </c>
      <c r="BX105" s="82">
        <f t="shared" si="380"/>
        <v>790.25</v>
      </c>
      <c r="BY105" s="82">
        <f t="shared" si="380"/>
        <v>793</v>
      </c>
      <c r="BZ105" s="82">
        <f t="shared" si="380"/>
        <v>854.25</v>
      </c>
      <c r="CA105" s="82">
        <f t="shared" si="380"/>
        <v>1345.5</v>
      </c>
      <c r="CB105" s="82">
        <f t="shared" si="380"/>
        <v>1500.25</v>
      </c>
      <c r="CC105" s="82">
        <f t="shared" si="380"/>
        <v>1475.5</v>
      </c>
      <c r="CD105" s="82">
        <f t="shared" si="380"/>
        <v>1430</v>
      </c>
      <c r="CE105" s="82">
        <f t="shared" si="380"/>
        <v>1328.75</v>
      </c>
      <c r="CF105" s="82">
        <f t="shared" si="380"/>
        <v>1338.75</v>
      </c>
    </row>
    <row r="106" spans="2:146">
      <c r="B106" s="1" t="s">
        <v>73</v>
      </c>
      <c r="C106" s="39">
        <f t="shared" ref="C106:AX106" si="381">C104/C105</f>
        <v>1.2749719416386083</v>
      </c>
      <c r="D106" s="39">
        <f t="shared" si="381"/>
        <v>1.6338185890257559</v>
      </c>
      <c r="E106" s="39">
        <f t="shared" si="381"/>
        <v>1.4598214285714286</v>
      </c>
      <c r="F106" s="39">
        <f t="shared" si="381"/>
        <v>13.008938547486034</v>
      </c>
      <c r="G106" s="39">
        <f t="shared" si="381"/>
        <v>1.2364039955604884</v>
      </c>
      <c r="H106" s="39">
        <f t="shared" si="381"/>
        <v>1.7425083240843506</v>
      </c>
      <c r="I106" s="39">
        <f t="shared" si="381"/>
        <v>1.2874583795782464</v>
      </c>
      <c r="J106" s="39">
        <f t="shared" si="381"/>
        <v>2.1098779134295227</v>
      </c>
      <c r="K106" s="39">
        <f t="shared" si="381"/>
        <v>1.1120976692563818</v>
      </c>
      <c r="L106" s="39">
        <f t="shared" si="381"/>
        <v>1.4844444444444445</v>
      </c>
      <c r="M106" s="39">
        <f t="shared" si="381"/>
        <v>1.8011111111111111</v>
      </c>
      <c r="N106" s="39">
        <f t="shared" si="381"/>
        <v>1.5879732739420935</v>
      </c>
      <c r="O106" s="39">
        <f t="shared" si="381"/>
        <v>1.4865168539325844</v>
      </c>
      <c r="P106" s="39">
        <f t="shared" si="381"/>
        <v>1.1915621436716077</v>
      </c>
      <c r="Q106" s="39">
        <f t="shared" si="381"/>
        <v>0.72146118721461183</v>
      </c>
      <c r="R106" s="39">
        <f t="shared" si="381"/>
        <v>2.4089347079037799</v>
      </c>
      <c r="S106" s="39">
        <f t="shared" si="381"/>
        <v>0.62060606060606061</v>
      </c>
      <c r="T106" s="39">
        <f t="shared" si="381"/>
        <v>1.7515151515151515</v>
      </c>
      <c r="U106" s="39">
        <f t="shared" si="381"/>
        <v>1.9063260340632604</v>
      </c>
      <c r="V106" s="39">
        <f t="shared" si="381"/>
        <v>1.4535452322738387</v>
      </c>
      <c r="W106" s="39">
        <f t="shared" si="381"/>
        <v>0.84130982367758189</v>
      </c>
      <c r="X106" s="39">
        <f t="shared" si="381"/>
        <v>2.1546261089987326</v>
      </c>
      <c r="Y106" s="39">
        <f t="shared" si="381"/>
        <v>-0.59898477157360408</v>
      </c>
      <c r="Z106" s="39">
        <f t="shared" si="381"/>
        <v>2.1784810126582279</v>
      </c>
      <c r="AA106" s="39">
        <f t="shared" si="381"/>
        <v>0.14683544303797469</v>
      </c>
      <c r="AB106" s="39">
        <f t="shared" si="381"/>
        <v>2.1871049304677621</v>
      </c>
      <c r="AC106" s="39">
        <f t="shared" si="381"/>
        <v>1.7054361567635903</v>
      </c>
      <c r="AD106" s="39">
        <f t="shared" si="381"/>
        <v>-2.4900000000000002</v>
      </c>
      <c r="AE106" s="39">
        <f t="shared" si="381"/>
        <v>1.3329425556858148</v>
      </c>
      <c r="AF106" s="39">
        <f t="shared" si="381"/>
        <v>1.1170960187353629</v>
      </c>
      <c r="AG106" s="39">
        <f t="shared" si="381"/>
        <v>1.5005847953216374</v>
      </c>
      <c r="AH106" s="39">
        <f t="shared" si="381"/>
        <v>0.67719298245614035</v>
      </c>
      <c r="AI106" s="39">
        <f t="shared" si="381"/>
        <v>0.94055944055944052</v>
      </c>
      <c r="AJ106" s="39">
        <f t="shared" si="381"/>
        <v>-0.16489361702127658</v>
      </c>
      <c r="AK106" s="39">
        <f t="shared" si="381"/>
        <v>0.81709741550695825</v>
      </c>
      <c r="AL106" s="39">
        <f t="shared" si="381"/>
        <v>0.49437458636664461</v>
      </c>
      <c r="AM106" s="39">
        <f t="shared" si="381"/>
        <v>0.22295952222959523</v>
      </c>
      <c r="AN106" s="39">
        <f t="shared" si="381"/>
        <v>0.64186046511627903</v>
      </c>
      <c r="AO106" s="39">
        <f t="shared" si="381"/>
        <v>1.0013360053440215</v>
      </c>
      <c r="AP106" s="39">
        <f t="shared" si="381"/>
        <v>1.4792225201072386</v>
      </c>
      <c r="AQ106" s="39">
        <f t="shared" si="381"/>
        <v>2.4865591397849461E-2</v>
      </c>
      <c r="AR106" s="39">
        <f t="shared" si="381"/>
        <v>0.5467479674796748</v>
      </c>
      <c r="AS106" s="39">
        <f t="shared" si="381"/>
        <v>0.17891156462585034</v>
      </c>
      <c r="AT106" s="39">
        <f t="shared" si="381"/>
        <v>2.5701634877384194</v>
      </c>
      <c r="AU106" s="39">
        <f t="shared" si="381"/>
        <v>-0.94531784005468211</v>
      </c>
      <c r="AV106" s="39">
        <f t="shared" si="381"/>
        <v>0.13201094391244869</v>
      </c>
      <c r="AW106" s="39">
        <f t="shared" si="381"/>
        <v>1.9005524861878453</v>
      </c>
      <c r="AX106" s="39">
        <f t="shared" si="381"/>
        <v>2.8997772828507795</v>
      </c>
      <c r="AY106" s="39">
        <f t="shared" ref="AY106:BE106" si="382">AY104/AY105</f>
        <v>-9.4268476621417796E-2</v>
      </c>
      <c r="AZ106" s="39">
        <f t="shared" si="382"/>
        <v>1.654860587792012</v>
      </c>
      <c r="BA106" s="39">
        <f t="shared" si="382"/>
        <v>1.481954887218045</v>
      </c>
      <c r="BB106" s="39">
        <f t="shared" si="382"/>
        <v>0.36936936936936937</v>
      </c>
      <c r="BC106" s="39">
        <f t="shared" si="382"/>
        <v>0.59325842696629216</v>
      </c>
      <c r="BD106" s="39">
        <f t="shared" si="382"/>
        <v>-5.3892215568862277E-2</v>
      </c>
      <c r="BE106" s="39">
        <f t="shared" si="382"/>
        <v>2.9992548435171384</v>
      </c>
      <c r="BF106" s="39">
        <f>BF104/BF105</f>
        <v>2.3807749627421759</v>
      </c>
      <c r="BG106" s="39">
        <f>BG104/BG105</f>
        <v>0.97034840622683471</v>
      </c>
      <c r="BH106" s="39">
        <f>BH104/BH105</f>
        <v>2.1353316515803531</v>
      </c>
      <c r="BI106" s="39">
        <f>BI104/BI105</f>
        <v>1.5670758763496524</v>
      </c>
      <c r="BS106" s="39">
        <f t="shared" si="363"/>
        <v>17.377550506721825</v>
      </c>
      <c r="BT106" s="39">
        <f t="shared" si="364"/>
        <v>6.3762486126526081</v>
      </c>
      <c r="BU106" s="39">
        <f t="shared" si="365"/>
        <v>5.9856264987540309</v>
      </c>
      <c r="BV106" s="39">
        <f t="shared" si="366"/>
        <v>5.8084748927225842</v>
      </c>
      <c r="BW106" s="39">
        <f t="shared" si="367"/>
        <v>5.7319924784583112</v>
      </c>
      <c r="BX106" s="39">
        <f t="shared" si="368"/>
        <v>4.5754321737609382</v>
      </c>
      <c r="BY106" s="39">
        <f t="shared" si="369"/>
        <v>1.5493765302693268</v>
      </c>
      <c r="BZ106" s="39">
        <f t="shared" si="370"/>
        <v>4.6278163521989555</v>
      </c>
      <c r="CA106" s="39">
        <f t="shared" si="371"/>
        <v>2.0871378254117667</v>
      </c>
      <c r="CB106" s="39">
        <f t="shared" si="372"/>
        <v>3.3453785127971343</v>
      </c>
      <c r="CC106" s="39">
        <f t="shared" si="373"/>
        <v>3.3206886112417942</v>
      </c>
      <c r="CD106" s="39">
        <f t="shared" si="374"/>
        <v>3.9870228728963912</v>
      </c>
      <c r="CE106" s="39">
        <f t="shared" si="375"/>
        <v>3.4119163677580087</v>
      </c>
      <c r="CF106" s="39">
        <f t="shared" si="376"/>
        <v>5.9193960176567444</v>
      </c>
    </row>
    <row r="107" spans="2:146">
      <c r="BI107" s="1"/>
    </row>
    <row r="108" spans="2:146">
      <c r="B108" s="1" t="s">
        <v>133</v>
      </c>
      <c r="C108" s="75">
        <f t="shared" ref="C108:BG108" si="383">C102/C40</f>
        <v>0.10655605670103092</v>
      </c>
      <c r="D108" s="75">
        <f t="shared" si="383"/>
        <v>0.12334323169406823</v>
      </c>
      <c r="E108" s="75">
        <f t="shared" si="383"/>
        <v>0.10803084696184018</v>
      </c>
      <c r="F108" s="75">
        <f t="shared" si="383"/>
        <v>0.74706562062883897</v>
      </c>
      <c r="G108" s="75">
        <f t="shared" si="383"/>
        <v>9.7854017640113894E-2</v>
      </c>
      <c r="H108" s="75">
        <f t="shared" si="383"/>
        <v>0.12114207172310383</v>
      </c>
      <c r="I108" s="75">
        <f t="shared" si="383"/>
        <v>9.9793041003751137E-2</v>
      </c>
      <c r="J108" s="75">
        <f t="shared" si="383"/>
        <v>0.22575235255753284</v>
      </c>
      <c r="K108" s="75">
        <f t="shared" si="383"/>
        <v>9.0539165818921671E-2</v>
      </c>
      <c r="L108" s="75">
        <f t="shared" si="383"/>
        <v>0.10133209237391659</v>
      </c>
      <c r="M108" s="75">
        <f t="shared" si="383"/>
        <v>0.13310066379251351</v>
      </c>
      <c r="N108" s="75">
        <f t="shared" si="383"/>
        <v>0.17240771738172847</v>
      </c>
      <c r="O108" s="75">
        <f t="shared" si="383"/>
        <v>0.12357357357357357</v>
      </c>
      <c r="P108" s="75">
        <f t="shared" si="383"/>
        <v>9.3669162695711364E-2</v>
      </c>
      <c r="Q108" s="75">
        <f t="shared" si="383"/>
        <v>7.4122425297360017E-2</v>
      </c>
      <c r="R108" s="75">
        <f t="shared" si="383"/>
        <v>0.18958041958041957</v>
      </c>
      <c r="S108" s="75">
        <f t="shared" si="383"/>
        <v>5.9743954480796585E-2</v>
      </c>
      <c r="T108" s="75">
        <f t="shared" si="383"/>
        <v>0.12155439021110663</v>
      </c>
      <c r="U108" s="75">
        <f t="shared" si="383"/>
        <v>0.13661697087919744</v>
      </c>
      <c r="V108" s="75">
        <f t="shared" si="383"/>
        <v>0.12586124565113582</v>
      </c>
      <c r="W108" s="75">
        <f t="shared" si="383"/>
        <v>7.1878393051031483E-2</v>
      </c>
      <c r="X108" s="75">
        <f t="shared" si="383"/>
        <v>0.14044502617801047</v>
      </c>
      <c r="Y108" s="75">
        <f t="shared" si="383"/>
        <v>-1.9253751161864294E-3</v>
      </c>
      <c r="Z108" s="75">
        <f t="shared" si="383"/>
        <v>0.16077806122448979</v>
      </c>
      <c r="AA108" s="75">
        <f t="shared" si="383"/>
        <v>2.9720509119538118E-2</v>
      </c>
      <c r="AB108" s="75">
        <f t="shared" si="383"/>
        <v>0.12583058964381921</v>
      </c>
      <c r="AC108" s="75">
        <f t="shared" si="383"/>
        <v>0.10672319806178074</v>
      </c>
      <c r="AD108" s="75">
        <f t="shared" si="383"/>
        <v>0.11972957255015992</v>
      </c>
      <c r="AE108" s="75">
        <f t="shared" si="383"/>
        <v>8.1677103185407024E-2</v>
      </c>
      <c r="AF108" s="75">
        <f t="shared" si="383"/>
        <v>0.11201341689469503</v>
      </c>
      <c r="AG108" s="75">
        <f t="shared" si="383"/>
        <v>0.15185087487909962</v>
      </c>
      <c r="AH108" s="75">
        <f t="shared" si="383"/>
        <v>0.30943484353106027</v>
      </c>
      <c r="AI108" s="75">
        <f t="shared" si="383"/>
        <v>6.2163646348160351E-2</v>
      </c>
      <c r="AJ108" s="75">
        <f t="shared" si="383"/>
        <v>1.4708972473208657E-2</v>
      </c>
      <c r="AK108" s="75">
        <f t="shared" si="383"/>
        <v>0.10998847223164034</v>
      </c>
      <c r="AL108" s="75">
        <f t="shared" si="383"/>
        <v>8.2614725924139182E-2</v>
      </c>
      <c r="AM108" s="75">
        <f t="shared" si="383"/>
        <v>4.7406727427709655E-2</v>
      </c>
      <c r="AN108" s="75">
        <f t="shared" si="383"/>
        <v>8.3501259445843828E-2</v>
      </c>
      <c r="AO108" s="75">
        <f t="shared" si="383"/>
        <v>0.11916363412076729</v>
      </c>
      <c r="AP108" s="75">
        <f t="shared" si="383"/>
        <v>0.18546115935226473</v>
      </c>
      <c r="AQ108" s="75">
        <f t="shared" si="383"/>
        <v>3.0287604988546706E-2</v>
      </c>
      <c r="AR108" s="75">
        <f t="shared" si="383"/>
        <v>7.882800049037636E-2</v>
      </c>
      <c r="AS108" s="75">
        <f t="shared" si="383"/>
        <v>4.5896997227302221E-2</v>
      </c>
      <c r="AT108" s="75">
        <f t="shared" si="383"/>
        <v>0.25578953186315151</v>
      </c>
      <c r="AU108" s="75">
        <f t="shared" si="383"/>
        <v>-5.0133612176135704E-2</v>
      </c>
      <c r="AV108" s="75">
        <f t="shared" si="383"/>
        <v>3.9257439257439256E-2</v>
      </c>
      <c r="AW108" s="75">
        <f t="shared" si="383"/>
        <v>0.24628639334521688</v>
      </c>
      <c r="AX108" s="75">
        <f t="shared" si="383"/>
        <v>0.23641290711095497</v>
      </c>
      <c r="AY108" s="75">
        <f t="shared" si="383"/>
        <v>1.7715617715617717E-2</v>
      </c>
      <c r="AZ108" s="75">
        <f t="shared" si="383"/>
        <v>0.13858323614421175</v>
      </c>
      <c r="BA108" s="75">
        <f t="shared" si="383"/>
        <v>0.12559111951814425</v>
      </c>
      <c r="BB108" s="75">
        <f t="shared" si="383"/>
        <v>7.2191647782453863E-2</v>
      </c>
      <c r="BC108" s="75">
        <f t="shared" si="383"/>
        <v>6.4266719196296659E-2</v>
      </c>
      <c r="BD108" s="75">
        <f t="shared" si="383"/>
        <v>2.122237153051295E-2</v>
      </c>
      <c r="BE108" s="75">
        <f t="shared" si="383"/>
        <v>0.20637957113622207</v>
      </c>
      <c r="BF108" s="75">
        <f t="shared" si="383"/>
        <v>0.17183761036389142</v>
      </c>
      <c r="BG108" s="75">
        <f t="shared" si="383"/>
        <v>8.4027903605725679E-2</v>
      </c>
      <c r="BH108" s="75">
        <f>BH102/BH40</f>
        <v>0.14355674275538288</v>
      </c>
      <c r="BI108" s="75">
        <f>BI102/BI40</f>
        <v>0.11488083316643301</v>
      </c>
      <c r="BS108" s="75">
        <f t="shared" ref="BS108:CF108" si="384">BS102/BS40</f>
        <v>0.29346017883135789</v>
      </c>
      <c r="BT108" s="75">
        <f t="shared" si="384"/>
        <v>0.1292226148409894</v>
      </c>
      <c r="BU108" s="75">
        <f t="shared" si="384"/>
        <v>0.12053540587219344</v>
      </c>
      <c r="BV108" s="75">
        <f t="shared" si="384"/>
        <v>0.12041427501871725</v>
      </c>
      <c r="BW108" s="75">
        <f t="shared" si="384"/>
        <v>0.11201173922157781</v>
      </c>
      <c r="BX108" s="75">
        <f t="shared" si="384"/>
        <v>9.4105653692531377E-2</v>
      </c>
      <c r="BY108" s="75">
        <f t="shared" si="384"/>
        <v>7.6943027578455947E-2</v>
      </c>
      <c r="BZ108" s="75">
        <f t="shared" si="384"/>
        <v>0.12836005204083883</v>
      </c>
      <c r="CA108" s="75">
        <f t="shared" si="384"/>
        <v>6.7912938558691252E-2</v>
      </c>
      <c r="CB108" s="75">
        <f t="shared" si="384"/>
        <v>0.11092128968130707</v>
      </c>
      <c r="CC108" s="75">
        <f t="shared" si="384"/>
        <v>0.1068670423711125</v>
      </c>
      <c r="CD108" s="75">
        <f t="shared" si="384"/>
        <v>0.1143789901334881</v>
      </c>
      <c r="CE108" s="75">
        <f t="shared" si="384"/>
        <v>8.8669523644380591E-2</v>
      </c>
      <c r="CF108" s="75">
        <f t="shared" si="384"/>
        <v>0.11926232746069546</v>
      </c>
    </row>
    <row r="109" spans="2:146">
      <c r="B109" s="1" t="s">
        <v>134</v>
      </c>
      <c r="C109" s="75">
        <f t="shared" ref="C109:BG109" si="385">C104/C40</f>
        <v>9.1494845360824736E-2</v>
      </c>
      <c r="D109" s="75">
        <f t="shared" si="385"/>
        <v>0.10567103643079598</v>
      </c>
      <c r="E109" s="75">
        <f t="shared" si="385"/>
        <v>8.6956521739130432E-2</v>
      </c>
      <c r="F109" s="75">
        <f t="shared" si="385"/>
        <v>0.70808246670315633</v>
      </c>
      <c r="G109" s="75">
        <f t="shared" si="385"/>
        <v>7.7366483783596077E-2</v>
      </c>
      <c r="H109" s="75">
        <f t="shared" si="385"/>
        <v>9.8088216918655505E-2</v>
      </c>
      <c r="I109" s="75">
        <f t="shared" si="385"/>
        <v>7.5022636140214718E-2</v>
      </c>
      <c r="J109" s="75">
        <f t="shared" si="385"/>
        <v>0.17711730177955837</v>
      </c>
      <c r="K109" s="75">
        <f t="shared" si="385"/>
        <v>6.7955239064089526E-2</v>
      </c>
      <c r="L109" s="75">
        <f t="shared" si="385"/>
        <v>7.7715083473910762E-2</v>
      </c>
      <c r="M109" s="75">
        <f t="shared" si="385"/>
        <v>0.11092862519674263</v>
      </c>
      <c r="N109" s="75">
        <f t="shared" si="385"/>
        <v>0.1256276980001762</v>
      </c>
      <c r="O109" s="75">
        <f t="shared" si="385"/>
        <v>9.9324324324324323E-2</v>
      </c>
      <c r="P109" s="75">
        <f t="shared" si="385"/>
        <v>7.1136827773995909E-2</v>
      </c>
      <c r="Q109" s="75">
        <f t="shared" si="385"/>
        <v>4.583695967507978E-2</v>
      </c>
      <c r="R109" s="75">
        <f t="shared" si="385"/>
        <v>0.14706293706293705</v>
      </c>
      <c r="S109" s="75">
        <f t="shared" si="385"/>
        <v>3.8331960769633897E-2</v>
      </c>
      <c r="T109" s="75">
        <f t="shared" si="385"/>
        <v>9.7149388194164313E-2</v>
      </c>
      <c r="U109" s="75">
        <f t="shared" si="385"/>
        <v>0.10916817611815521</v>
      </c>
      <c r="V109" s="75">
        <f t="shared" si="385"/>
        <v>8.1110580530731974E-2</v>
      </c>
      <c r="W109" s="75">
        <f t="shared" si="385"/>
        <v>4.8353239232718059E-2</v>
      </c>
      <c r="X109" s="75">
        <f t="shared" si="385"/>
        <v>0.11125654450261781</v>
      </c>
      <c r="Y109" s="75">
        <f t="shared" si="385"/>
        <v>-3.1337139822068781E-2</v>
      </c>
      <c r="Z109" s="75">
        <f t="shared" si="385"/>
        <v>0.10975765306122449</v>
      </c>
      <c r="AA109" s="75">
        <f t="shared" si="385"/>
        <v>7.6105497966146175E-3</v>
      </c>
      <c r="AB109" s="75">
        <f t="shared" si="385"/>
        <v>0.10356180784196349</v>
      </c>
      <c r="AC109" s="75">
        <f t="shared" si="385"/>
        <v>8.1708055723803755E-2</v>
      </c>
      <c r="AD109" s="75">
        <f t="shared" si="385"/>
        <v>0.14480953765629542</v>
      </c>
      <c r="AE109" s="75">
        <f t="shared" si="385"/>
        <v>6.1911244214538523E-2</v>
      </c>
      <c r="AF109" s="75">
        <f t="shared" si="385"/>
        <v>8.4208668020125346E-2</v>
      </c>
      <c r="AG109" s="75">
        <f t="shared" si="385"/>
        <v>0.1128110436999912</v>
      </c>
      <c r="AH109" s="75">
        <f t="shared" si="385"/>
        <v>0.13521718822979917</v>
      </c>
      <c r="AI109" s="75">
        <f t="shared" si="385"/>
        <v>4.4316309719934104E-2</v>
      </c>
      <c r="AJ109" s="75">
        <f t="shared" si="385"/>
        <v>-1.7370596063598795E-2</v>
      </c>
      <c r="AK109" s="75">
        <f t="shared" si="385"/>
        <v>8.3610225808639041E-2</v>
      </c>
      <c r="AL109" s="75">
        <f t="shared" si="385"/>
        <v>4.5046131580534284E-2</v>
      </c>
      <c r="AM109" s="75">
        <f t="shared" si="385"/>
        <v>2.2031342207068389E-2</v>
      </c>
      <c r="AN109" s="75">
        <f t="shared" si="385"/>
        <v>6.083123425692695E-2</v>
      </c>
      <c r="AO109" s="75">
        <f t="shared" si="385"/>
        <v>9.2456670572996974E-2</v>
      </c>
      <c r="AP109" s="75">
        <f t="shared" si="385"/>
        <v>0.1294883830086834</v>
      </c>
      <c r="AQ109" s="75">
        <f t="shared" si="385"/>
        <v>2.3542886230593025E-3</v>
      </c>
      <c r="AR109" s="75">
        <f t="shared" si="385"/>
        <v>4.9466715704303055E-2</v>
      </c>
      <c r="AS109" s="75">
        <f t="shared" si="385"/>
        <v>1.5515308831337385E-2</v>
      </c>
      <c r="AT109" s="75">
        <f t="shared" si="385"/>
        <v>0.20853368706129444</v>
      </c>
      <c r="AU109" s="75">
        <f t="shared" si="385"/>
        <v>-8.0341582432903444E-2</v>
      </c>
      <c r="AV109" s="75">
        <f t="shared" si="385"/>
        <v>1.0537810537810537E-2</v>
      </c>
      <c r="AW109" s="75">
        <f t="shared" si="385"/>
        <v>0.20439691027926321</v>
      </c>
      <c r="AX109" s="75">
        <f t="shared" si="385"/>
        <v>0.19601545641591811</v>
      </c>
      <c r="AY109" s="75">
        <f t="shared" si="385"/>
        <v>-6.4750064750064753E-3</v>
      </c>
      <c r="AZ109" s="75">
        <f t="shared" si="385"/>
        <v>0.11135337964606257</v>
      </c>
      <c r="BA109" s="75">
        <f t="shared" si="385"/>
        <v>9.8113395390512226E-2</v>
      </c>
      <c r="BB109" s="75">
        <f t="shared" si="385"/>
        <v>2.2753549461221847E-2</v>
      </c>
      <c r="BC109" s="75">
        <f t="shared" si="385"/>
        <v>3.9003250270855903E-2</v>
      </c>
      <c r="BD109" s="75">
        <f t="shared" si="385"/>
        <v>-3.3362680135304201E-3</v>
      </c>
      <c r="BE109" s="75">
        <f t="shared" si="385"/>
        <v>0.17906397366313728</v>
      </c>
      <c r="BF109" s="75">
        <f t="shared" si="385"/>
        <v>0.13181780674973181</v>
      </c>
      <c r="BG109" s="75">
        <f t="shared" si="385"/>
        <v>5.9295162167059247E-2</v>
      </c>
      <c r="BH109" s="75">
        <f>BH104/BH40</f>
        <v>0.11648049214829205</v>
      </c>
      <c r="BI109" s="75">
        <f>BI104/BI40</f>
        <v>8.4878830362507512E-2</v>
      </c>
      <c r="BS109" s="75">
        <f t="shared" ref="BS109:CF109" si="386">BS104/BS40</f>
        <v>0.26939072572260347</v>
      </c>
      <c r="BT109" s="75">
        <f t="shared" si="386"/>
        <v>0.1015017667844523</v>
      </c>
      <c r="BU109" s="75">
        <f t="shared" si="386"/>
        <v>9.3005181347150259E-2</v>
      </c>
      <c r="BV109" s="75">
        <f t="shared" si="386"/>
        <v>9.0965809832792607E-2</v>
      </c>
      <c r="BW109" s="75">
        <f t="shared" si="386"/>
        <v>8.2331772762210889E-2</v>
      </c>
      <c r="BX109" s="75">
        <f t="shared" si="386"/>
        <v>6.0447549175259456E-2</v>
      </c>
      <c r="BY109" s="75">
        <f t="shared" si="386"/>
        <v>3.4667588830293077E-2</v>
      </c>
      <c r="BZ109" s="75">
        <f t="shared" si="386"/>
        <v>8.7168405036494742E-2</v>
      </c>
      <c r="CA109" s="75">
        <f t="shared" si="386"/>
        <v>3.9785637055956877E-2</v>
      </c>
      <c r="CB109" s="75">
        <f t="shared" si="386"/>
        <v>7.7778468037522516E-2</v>
      </c>
      <c r="CC109" s="75">
        <f t="shared" si="386"/>
        <v>7.2755464114261856E-2</v>
      </c>
      <c r="CD109" s="75">
        <f t="shared" si="386"/>
        <v>7.9338363319791064E-2</v>
      </c>
      <c r="CE109" s="75">
        <f t="shared" si="386"/>
        <v>5.6156952116723231E-2</v>
      </c>
      <c r="CF109" s="75">
        <f t="shared" si="386"/>
        <v>8.96132185140458E-2</v>
      </c>
    </row>
    <row r="110" spans="2:146">
      <c r="B110" s="1" t="s">
        <v>135</v>
      </c>
      <c r="C110" s="75">
        <f t="shared" ref="C110:BG110" si="387">C103/C40</f>
        <v>-1.5061211340206186E-2</v>
      </c>
      <c r="D110" s="75">
        <f t="shared" si="387"/>
        <v>-1.7672195263272253E-2</v>
      </c>
      <c r="E110" s="75">
        <f t="shared" si="387"/>
        <v>-2.1074325222709744E-2</v>
      </c>
      <c r="F110" s="75">
        <f t="shared" si="387"/>
        <v>-3.8983153925682662E-2</v>
      </c>
      <c r="G110" s="75">
        <f t="shared" si="387"/>
        <v>-2.0487533856517814E-2</v>
      </c>
      <c r="H110" s="75">
        <f t="shared" si="387"/>
        <v>-2.3053854804448333E-2</v>
      </c>
      <c r="I110" s="75">
        <f t="shared" si="387"/>
        <v>-2.4770404863536412E-2</v>
      </c>
      <c r="J110" s="75">
        <f t="shared" si="387"/>
        <v>-4.8635050777974469E-2</v>
      </c>
      <c r="K110" s="75">
        <f t="shared" si="387"/>
        <v>-2.2583926754832145E-2</v>
      </c>
      <c r="L110" s="75">
        <f t="shared" si="387"/>
        <v>-2.3617008900005818E-2</v>
      </c>
      <c r="M110" s="75">
        <f t="shared" si="387"/>
        <v>-2.2172038595770889E-2</v>
      </c>
      <c r="N110" s="75">
        <f t="shared" si="387"/>
        <v>-4.6780019381552289E-2</v>
      </c>
      <c r="O110" s="75">
        <f t="shared" si="387"/>
        <v>-2.424924924924925E-2</v>
      </c>
      <c r="P110" s="75">
        <f t="shared" si="387"/>
        <v>-2.2532334921715452E-2</v>
      </c>
      <c r="Q110" s="75">
        <f t="shared" si="387"/>
        <v>-2.8285465622280244E-2</v>
      </c>
      <c r="R110" s="75">
        <f t="shared" si="387"/>
        <v>-4.2517482517482517E-2</v>
      </c>
      <c r="S110" s="75">
        <f t="shared" si="387"/>
        <v>-2.1411993711162685E-2</v>
      </c>
      <c r="T110" s="75">
        <f t="shared" si="387"/>
        <v>-2.4405002016942314E-2</v>
      </c>
      <c r="U110" s="75">
        <f t="shared" si="387"/>
        <v>-2.7448794761042217E-2</v>
      </c>
      <c r="V110" s="75">
        <f t="shared" si="387"/>
        <v>-4.4750665120403849E-2</v>
      </c>
      <c r="W110" s="75">
        <f t="shared" si="387"/>
        <v>-2.3525153818313427E-2</v>
      </c>
      <c r="X110" s="75">
        <f t="shared" si="387"/>
        <v>-2.9188481675392671E-2</v>
      </c>
      <c r="Y110" s="75">
        <f t="shared" si="387"/>
        <v>-2.9411764705882353E-2</v>
      </c>
      <c r="Z110" s="75">
        <f t="shared" si="387"/>
        <v>-5.1020408163265307E-2</v>
      </c>
      <c r="AA110" s="75">
        <f t="shared" si="387"/>
        <v>-2.2109959322923502E-2</v>
      </c>
      <c r="AB110" s="75">
        <f t="shared" si="387"/>
        <v>-2.2268781801855732E-2</v>
      </c>
      <c r="AC110" s="75">
        <f t="shared" si="387"/>
        <v>-2.5015142337976984E-2</v>
      </c>
      <c r="AD110" s="75">
        <f t="shared" si="387"/>
        <v>2.5079965106135506E-2</v>
      </c>
      <c r="AE110" s="75">
        <f t="shared" si="387"/>
        <v>-1.9765858970868501E-2</v>
      </c>
      <c r="AF110" s="75">
        <f t="shared" si="387"/>
        <v>-2.7804748874569688E-2</v>
      </c>
      <c r="AG110" s="75">
        <f t="shared" si="387"/>
        <v>-3.9039831179108413E-2</v>
      </c>
      <c r="AH110" s="75">
        <f t="shared" si="387"/>
        <v>-0.1742176553012611</v>
      </c>
      <c r="AI110" s="75">
        <f t="shared" si="387"/>
        <v>-1.7847336628226251E-2</v>
      </c>
      <c r="AJ110" s="75">
        <f t="shared" si="387"/>
        <v>-3.2079568536807455E-2</v>
      </c>
      <c r="AK110" s="75">
        <f t="shared" si="387"/>
        <v>-2.6378246423001288E-2</v>
      </c>
      <c r="AL110" s="75">
        <f t="shared" si="387"/>
        <v>-3.7568594343604898E-2</v>
      </c>
      <c r="AM110" s="75">
        <f t="shared" si="387"/>
        <v>-2.5375385220641269E-2</v>
      </c>
      <c r="AN110" s="75">
        <f t="shared" si="387"/>
        <v>-2.2670025188916875E-2</v>
      </c>
      <c r="AO110" s="75">
        <f t="shared" si="387"/>
        <v>-2.6706963547770309E-2</v>
      </c>
      <c r="AP110" s="75">
        <f t="shared" si="387"/>
        <v>-5.5972776343581318E-2</v>
      </c>
      <c r="AQ110" s="75">
        <f t="shared" si="387"/>
        <v>-2.79333163654874E-2</v>
      </c>
      <c r="AR110" s="75">
        <f t="shared" si="387"/>
        <v>-2.9361284786073312E-2</v>
      </c>
      <c r="AS110" s="75">
        <f t="shared" si="387"/>
        <v>-3.0381688395964841E-2</v>
      </c>
      <c r="AT110" s="75">
        <f t="shared" si="387"/>
        <v>-4.7255844801857072E-2</v>
      </c>
      <c r="AU110" s="75">
        <f t="shared" si="387"/>
        <v>-3.0207970256767747E-2</v>
      </c>
      <c r="AV110" s="75">
        <f t="shared" si="387"/>
        <v>-2.8719628719628718E-2</v>
      </c>
      <c r="AW110" s="75">
        <f t="shared" si="387"/>
        <v>-4.1889483065953657E-2</v>
      </c>
      <c r="AX110" s="75">
        <f t="shared" si="387"/>
        <v>-4.0397450695036884E-2</v>
      </c>
      <c r="AY110" s="75">
        <f t="shared" si="387"/>
        <v>-2.4190624190624191E-2</v>
      </c>
      <c r="AZ110" s="75">
        <f t="shared" si="387"/>
        <v>-2.7229856498149182E-2</v>
      </c>
      <c r="BA110" s="75">
        <f t="shared" si="387"/>
        <v>-2.7477724127632039E-2</v>
      </c>
      <c r="BB110" s="75">
        <f t="shared" si="387"/>
        <v>-4.943809832123202E-2</v>
      </c>
      <c r="BC110" s="75">
        <f t="shared" si="387"/>
        <v>-2.5263468925440756E-2</v>
      </c>
      <c r="BD110" s="75">
        <f t="shared" si="387"/>
        <v>-2.4558639544043373E-2</v>
      </c>
      <c r="BE110" s="75">
        <f t="shared" si="387"/>
        <v>-2.7315597473084794E-2</v>
      </c>
      <c r="BF110" s="75">
        <f t="shared" si="387"/>
        <v>-4.0019803614159584E-2</v>
      </c>
      <c r="BG110" s="75">
        <f t="shared" si="387"/>
        <v>-2.4732741438666425E-2</v>
      </c>
      <c r="BH110" s="75">
        <f>BH103/BH40</f>
        <v>-2.7076250607090822E-2</v>
      </c>
      <c r="BI110" s="75">
        <f>BI103/BI40</f>
        <v>-3.0002002803925495E-2</v>
      </c>
      <c r="BS110" s="75">
        <f t="shared" ref="BS110:CF110" si="388">BS103/BS40</f>
        <v>-2.406945310875442E-2</v>
      </c>
      <c r="BT110" s="75">
        <f t="shared" si="388"/>
        <v>-2.7720848056537104E-2</v>
      </c>
      <c r="BU110" s="75">
        <f t="shared" si="388"/>
        <v>-2.7530224525043178E-2</v>
      </c>
      <c r="BV110" s="75">
        <f t="shared" si="388"/>
        <v>-2.9448465185924633E-2</v>
      </c>
      <c r="BW110" s="75">
        <f t="shared" si="388"/>
        <v>-2.9679966459366922E-2</v>
      </c>
      <c r="BX110" s="75">
        <f t="shared" si="388"/>
        <v>-3.3658104517271921E-2</v>
      </c>
      <c r="BY110" s="75">
        <f t="shared" si="388"/>
        <v>-4.2275438748162877E-2</v>
      </c>
      <c r="BZ110" s="75">
        <f t="shared" si="388"/>
        <v>-4.1191647004344085E-2</v>
      </c>
      <c r="CA110" s="75">
        <f t="shared" si="388"/>
        <v>-2.8127301502734382E-2</v>
      </c>
      <c r="CB110" s="75">
        <f t="shared" si="388"/>
        <v>-3.3142821643784556E-2</v>
      </c>
      <c r="CC110" s="75">
        <f t="shared" si="388"/>
        <v>-3.4111578256850641E-2</v>
      </c>
      <c r="CD110" s="75">
        <f t="shared" si="388"/>
        <v>-3.5040626813697039E-2</v>
      </c>
      <c r="CE110" s="75">
        <f t="shared" si="388"/>
        <v>-3.2512571527657359E-2</v>
      </c>
      <c r="CF110" s="75">
        <f t="shared" si="388"/>
        <v>-2.9649108946649662E-2</v>
      </c>
    </row>
  </sheetData>
  <mergeCells count="1">
    <mergeCell ref="CY77:CZ77"/>
  </mergeCells>
  <conditionalFormatting sqref="CY77">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Sell",CY77)))</formula>
    </cfRule>
    <cfRule type="containsText" dxfId="3" priority="3" operator="containsText" text="Sell">
      <formula>NOT(ISERROR(SEARCH("Sell",CY77)))</formula>
    </cfRule>
    <cfRule type="containsText" dxfId="2" priority="4" operator="containsText" text="Hold">
      <formula>NOT(ISERROR(SEARCH("Hold",CY77)))</formula>
    </cfRule>
    <cfRule type="beginsWith" dxfId="1" priority="5" operator="beginsWith" text="Buy">
      <formula>LEFT(CY77,LEN("Buy"))="Buy"</formula>
    </cfRule>
    <cfRule type="beginsWith" dxfId="0" priority="6" operator="beginsWith" text="Strong">
      <formula>LEFT(CY77,LEN("Strong"))="Strong"</formula>
    </cfRule>
  </conditionalFormatting>
  <pageMargins left="0.7" right="0.7" top="0.75" bottom="0.75" header="0.3" footer="0.3"/>
  <ignoredErrors>
    <ignoredError sqref="AM27:BG38 AM14:BG18 AM10:BG12" evalError="1"/>
    <ignoredError sqref="AW25" formula="1"/>
    <ignoredError sqref="AP43:AP50 AX92:BH97 BS40:CF41 BS43:CF53 BI92:BI97" formulaRange="1"/>
    <ignoredError sqref="BS54:CF54" formula="1"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K1730"/>
  <sheetViews>
    <sheetView tabSelected="1" topLeftCell="P97" zoomScale="70" zoomScaleNormal="70" workbookViewId="0">
      <selection activeCell="AH130" sqref="AH130"/>
    </sheetView>
  </sheetViews>
  <sheetFormatPr defaultColWidth="9.140625" defaultRowHeight="14.25"/>
  <cols>
    <col min="1" max="7" width="0" style="1" hidden="1" customWidth="1"/>
    <col min="8" max="8" width="3.140625" style="1" hidden="1" customWidth="1"/>
    <col min="9" max="15" width="0" style="1" hidden="1" customWidth="1"/>
    <col min="16" max="16" width="3.140625" style="1" customWidth="1"/>
    <col min="17" max="38" width="9.140625" style="1"/>
    <col min="39" max="39" width="2.85546875" style="1" customWidth="1"/>
    <col min="40" max="16384" width="9.140625" style="1"/>
  </cols>
  <sheetData>
    <row r="1" spans="16:89">
      <c r="CK1" s="1">
        <v>0</v>
      </c>
    </row>
    <row r="2" spans="16:89" ht="15">
      <c r="P2" s="2" t="s">
        <v>94</v>
      </c>
      <c r="AN2" s="2" t="s">
        <v>228</v>
      </c>
    </row>
    <row r="33" spans="16:40">
      <c r="Q33" s="1" t="s">
        <v>14</v>
      </c>
      <c r="R33" s="1" t="s">
        <v>15</v>
      </c>
    </row>
    <row r="34" spans="16:40">
      <c r="R34" s="1" t="s">
        <v>16</v>
      </c>
    </row>
    <row r="35" spans="16:40">
      <c r="R35" s="1" t="s">
        <v>17</v>
      </c>
    </row>
    <row r="36" spans="16:40" ht="15">
      <c r="AN36" s="2" t="s">
        <v>227</v>
      </c>
    </row>
    <row r="37" spans="16:40" ht="15">
      <c r="P37" s="2" t="s">
        <v>137</v>
      </c>
      <c r="AN37" s="2" t="s">
        <v>74</v>
      </c>
    </row>
    <row r="67" spans="16:40">
      <c r="Q67" s="1" t="s">
        <v>14</v>
      </c>
      <c r="R67" s="1" t="s">
        <v>15</v>
      </c>
    </row>
    <row r="68" spans="16:40">
      <c r="R68" s="1" t="s">
        <v>16</v>
      </c>
    </row>
    <row r="69" spans="16:40">
      <c r="R69" s="1" t="s">
        <v>17</v>
      </c>
    </row>
    <row r="71" spans="16:40" ht="15">
      <c r="P71" s="2" t="s">
        <v>138</v>
      </c>
      <c r="AN71" s="2" t="s">
        <v>75</v>
      </c>
    </row>
    <row r="103" spans="16:40">
      <c r="Q103" s="1" t="s">
        <v>14</v>
      </c>
      <c r="R103" s="1" t="s">
        <v>15</v>
      </c>
    </row>
    <row r="104" spans="16:40">
      <c r="R104" s="1" t="s">
        <v>16</v>
      </c>
    </row>
    <row r="105" spans="16:40">
      <c r="R105" s="1" t="s">
        <v>17</v>
      </c>
    </row>
    <row r="107" spans="16:40" ht="15">
      <c r="P107" s="2" t="s">
        <v>226</v>
      </c>
      <c r="AN107" s="2" t="s">
        <v>76</v>
      </c>
    </row>
    <row r="139" spans="16:40">
      <c r="Q139" s="1" t="s">
        <v>14</v>
      </c>
      <c r="R139" s="1" t="s">
        <v>15</v>
      </c>
    </row>
    <row r="140" spans="16:40" ht="15">
      <c r="R140" s="1" t="s">
        <v>16</v>
      </c>
      <c r="AN140" s="2" t="s">
        <v>77</v>
      </c>
    </row>
    <row r="141" spans="16:40">
      <c r="R141" s="1" t="s">
        <v>17</v>
      </c>
    </row>
    <row r="143" spans="16:40" ht="15">
      <c r="P143" s="2" t="s">
        <v>97</v>
      </c>
    </row>
    <row r="172" spans="16:18">
      <c r="Q172" s="1" t="s">
        <v>14</v>
      </c>
      <c r="R172" s="1" t="s">
        <v>15</v>
      </c>
    </row>
    <row r="173" spans="16:18">
      <c r="R173" s="1" t="s">
        <v>16</v>
      </c>
    </row>
    <row r="174" spans="16:18">
      <c r="R174" s="1" t="s">
        <v>17</v>
      </c>
    </row>
    <row r="176" spans="16:18" ht="15">
      <c r="P176" s="2" t="s">
        <v>96</v>
      </c>
    </row>
    <row r="192" ht="15" customHeight="1"/>
    <row r="205" spans="17:18">
      <c r="Q205" s="1" t="s">
        <v>14</v>
      </c>
      <c r="R205" s="1" t="s">
        <v>15</v>
      </c>
    </row>
    <row r="206" spans="17:18">
      <c r="R206" s="1" t="s">
        <v>16</v>
      </c>
    </row>
    <row r="207" spans="17:18">
      <c r="R207" s="1" t="s">
        <v>17</v>
      </c>
    </row>
    <row r="222" spans="1:15">
      <c r="A222" s="1" t="s">
        <v>114</v>
      </c>
      <c r="I222" s="1" t="s">
        <v>229</v>
      </c>
    </row>
    <row r="223" spans="1:15">
      <c r="A223" s="1" t="s">
        <v>1736</v>
      </c>
      <c r="I223" s="1" t="s">
        <v>1736</v>
      </c>
    </row>
    <row r="224" spans="1:15">
      <c r="A224" s="24" t="s">
        <v>18</v>
      </c>
      <c r="B224" s="24" t="s">
        <v>19</v>
      </c>
      <c r="C224" s="24" t="s">
        <v>20</v>
      </c>
      <c r="D224" s="24" t="s">
        <v>21</v>
      </c>
      <c r="E224" s="24" t="s">
        <v>22</v>
      </c>
      <c r="F224" s="24" t="s">
        <v>23</v>
      </c>
      <c r="G224" s="24" t="s">
        <v>24</v>
      </c>
      <c r="I224" s="24" t="s">
        <v>18</v>
      </c>
      <c r="J224" s="24" t="s">
        <v>19</v>
      </c>
      <c r="K224" s="24" t="s">
        <v>20</v>
      </c>
      <c r="L224" s="24" t="s">
        <v>21</v>
      </c>
      <c r="M224" s="24" t="s">
        <v>22</v>
      </c>
      <c r="N224" s="24" t="s">
        <v>23</v>
      </c>
      <c r="O224" s="24" t="s">
        <v>24</v>
      </c>
    </row>
    <row r="225" spans="1:19">
      <c r="A225" s="84">
        <v>701.78</v>
      </c>
      <c r="B225" s="84">
        <v>702.19</v>
      </c>
      <c r="C225" s="84">
        <v>698.5</v>
      </c>
      <c r="D225" s="84">
        <v>701.58</v>
      </c>
      <c r="E225" s="85">
        <v>9594039.2480999995</v>
      </c>
      <c r="F225" s="83" t="s">
        <v>230</v>
      </c>
      <c r="G225" s="25">
        <f>A225/D225-1</f>
        <v>2.8507084010365169E-4</v>
      </c>
      <c r="I225" s="84">
        <v>194</v>
      </c>
      <c r="J225" s="84">
        <v>194</v>
      </c>
      <c r="K225" s="84">
        <v>191.17500000000001</v>
      </c>
      <c r="L225" s="84">
        <v>193</v>
      </c>
      <c r="M225" s="85">
        <v>9843426.4976000004</v>
      </c>
      <c r="N225" s="83" t="s">
        <v>230</v>
      </c>
      <c r="O225" s="25">
        <f>I225/L225-1</f>
        <v>5.1813471502590858E-3</v>
      </c>
    </row>
    <row r="226" spans="1:19">
      <c r="A226" s="84">
        <v>701.03</v>
      </c>
      <c r="B226" s="84">
        <v>701.88</v>
      </c>
      <c r="C226" s="84">
        <v>698.61</v>
      </c>
      <c r="D226" s="84">
        <v>701.6</v>
      </c>
      <c r="E226" s="85">
        <v>9903368.8258999996</v>
      </c>
      <c r="F226" s="83" t="s">
        <v>231</v>
      </c>
      <c r="G226" s="25">
        <f t="shared" ref="G226:G289" si="0">A226/D226-1</f>
        <v>-8.124287343216352E-4</v>
      </c>
      <c r="I226" s="84">
        <v>193.54</v>
      </c>
      <c r="J226" s="84">
        <v>197.5</v>
      </c>
      <c r="K226" s="84">
        <v>191.84</v>
      </c>
      <c r="L226" s="84">
        <v>197.5</v>
      </c>
      <c r="M226" s="85">
        <v>3549581.6948000002</v>
      </c>
      <c r="N226" s="83" t="s">
        <v>231</v>
      </c>
      <c r="O226" s="25">
        <f t="shared" ref="O226:O289" si="1">I226/L226-1</f>
        <v>-2.0050632911392419E-2</v>
      </c>
    </row>
    <row r="227" spans="1:19">
      <c r="A227" s="84">
        <v>693.24</v>
      </c>
      <c r="B227" s="84">
        <v>700.1</v>
      </c>
      <c r="C227" s="84">
        <v>689.04</v>
      </c>
      <c r="D227" s="84">
        <v>698.17</v>
      </c>
      <c r="E227" s="85">
        <v>14168408.682800001</v>
      </c>
      <c r="F227" s="83" t="s">
        <v>232</v>
      </c>
      <c r="G227" s="25">
        <f t="shared" si="0"/>
        <v>-7.0613174441753745E-3</v>
      </c>
      <c r="I227" s="84">
        <v>196.83</v>
      </c>
      <c r="J227" s="84">
        <v>197.67</v>
      </c>
      <c r="K227" s="84">
        <v>194.78</v>
      </c>
      <c r="L227" s="84">
        <v>195.39</v>
      </c>
      <c r="M227" s="85">
        <v>3485674.4511000002</v>
      </c>
      <c r="N227" s="83" t="s">
        <v>232</v>
      </c>
      <c r="O227" s="25">
        <f t="shared" si="1"/>
        <v>7.3698756333488991E-3</v>
      </c>
    </row>
    <row r="228" spans="1:19">
      <c r="A228" s="84">
        <v>696.2</v>
      </c>
      <c r="B228" s="84">
        <v>698.94</v>
      </c>
      <c r="C228" s="84">
        <v>695.09</v>
      </c>
      <c r="D228" s="84">
        <v>698.77</v>
      </c>
      <c r="E228" s="85">
        <v>9657887.7696000002</v>
      </c>
      <c r="F228" s="83" t="s">
        <v>233</v>
      </c>
      <c r="G228" s="25">
        <f t="shared" si="0"/>
        <v>-3.677891151594892E-3</v>
      </c>
      <c r="I228" s="84">
        <v>195.5</v>
      </c>
      <c r="J228" s="84">
        <v>197.20500000000001</v>
      </c>
      <c r="K228" s="84">
        <v>193.05</v>
      </c>
      <c r="L228" s="84">
        <v>196.73</v>
      </c>
      <c r="M228" s="85">
        <v>4729145.4714000002</v>
      </c>
      <c r="N228" s="83" t="s">
        <v>233</v>
      </c>
      <c r="O228" s="25">
        <f t="shared" si="1"/>
        <v>-6.2522238601128155E-3</v>
      </c>
    </row>
    <row r="229" spans="1:19">
      <c r="A229" s="84">
        <v>699.3</v>
      </c>
      <c r="B229" s="84">
        <v>701.85</v>
      </c>
      <c r="C229" s="84">
        <v>696.72</v>
      </c>
      <c r="D229" s="84">
        <v>697.78</v>
      </c>
      <c r="E229" s="85">
        <v>6776056.6272</v>
      </c>
      <c r="F229" s="83" t="s">
        <v>234</v>
      </c>
      <c r="G229" s="25">
        <f t="shared" si="0"/>
        <v>2.1783370116654766E-3</v>
      </c>
      <c r="I229" s="84">
        <v>195.34</v>
      </c>
      <c r="J229" s="84">
        <v>196.5</v>
      </c>
      <c r="K229" s="84">
        <v>194.01</v>
      </c>
      <c r="L229" s="84">
        <v>196.4</v>
      </c>
      <c r="M229" s="85">
        <v>3568413.0479000001</v>
      </c>
      <c r="N229" s="83" t="s">
        <v>234</v>
      </c>
      <c r="O229" s="25">
        <f t="shared" si="1"/>
        <v>-5.3971486761711374E-3</v>
      </c>
    </row>
    <row r="230" spans="1:19">
      <c r="A230" s="84">
        <v>702.56</v>
      </c>
      <c r="B230" s="84">
        <v>704.49540000000002</v>
      </c>
      <c r="C230" s="84">
        <v>701.93</v>
      </c>
      <c r="D230" s="84">
        <v>703</v>
      </c>
      <c r="E230" s="85">
        <v>5797972.9102999996</v>
      </c>
      <c r="F230" s="83" t="s">
        <v>235</v>
      </c>
      <c r="G230" s="25">
        <f t="shared" si="0"/>
        <v>-6.2588904694171887E-4</v>
      </c>
      <c r="I230" s="84">
        <v>197.68</v>
      </c>
      <c r="J230" s="84">
        <v>200.38</v>
      </c>
      <c r="K230" s="84">
        <v>196.31</v>
      </c>
      <c r="L230" s="84">
        <v>199.57</v>
      </c>
      <c r="M230" s="85">
        <v>3680583.7949000001</v>
      </c>
      <c r="N230" s="83" t="s">
        <v>235</v>
      </c>
      <c r="O230" s="25">
        <f t="shared" si="1"/>
        <v>-9.470361276744943E-3</v>
      </c>
    </row>
    <row r="231" spans="1:19">
      <c r="A231" s="84">
        <v>696.65</v>
      </c>
      <c r="B231" s="84">
        <v>698.64</v>
      </c>
      <c r="C231" s="84">
        <v>695.5421</v>
      </c>
      <c r="D231" s="84">
        <v>696.78</v>
      </c>
      <c r="E231" s="85">
        <v>18313415.397700001</v>
      </c>
      <c r="F231" s="83" t="s">
        <v>236</v>
      </c>
      <c r="G231" s="25">
        <f t="shared" si="0"/>
        <v>-1.8657251930309648E-4</v>
      </c>
      <c r="I231" s="84">
        <v>198.12</v>
      </c>
      <c r="J231" s="84">
        <v>198.86</v>
      </c>
      <c r="K231" s="84">
        <v>196.68010000000001</v>
      </c>
      <c r="L231" s="84">
        <v>198.03</v>
      </c>
      <c r="M231" s="85">
        <v>2651870.9512</v>
      </c>
      <c r="N231" s="83" t="s">
        <v>236</v>
      </c>
      <c r="O231" s="25">
        <f t="shared" si="1"/>
        <v>4.5447659445541078E-4</v>
      </c>
    </row>
    <row r="232" spans="1:19">
      <c r="A232" s="84">
        <v>700.87</v>
      </c>
      <c r="B232" s="84">
        <v>702.71</v>
      </c>
      <c r="C232" s="84">
        <v>699.48500000000001</v>
      </c>
      <c r="D232" s="84">
        <v>702.35</v>
      </c>
      <c r="E232" s="85">
        <v>4300871.2381999996</v>
      </c>
      <c r="F232" s="83" t="s">
        <v>237</v>
      </c>
      <c r="G232" s="25">
        <f t="shared" si="0"/>
        <v>-2.107211504235762E-3</v>
      </c>
      <c r="I232" s="84">
        <v>197.55</v>
      </c>
      <c r="J232" s="84">
        <v>199.56</v>
      </c>
      <c r="K232" s="84">
        <v>196.8</v>
      </c>
      <c r="L232" s="84">
        <v>198.92</v>
      </c>
      <c r="M232" s="85">
        <v>3319425.7272000001</v>
      </c>
      <c r="N232" s="83" t="s">
        <v>237</v>
      </c>
      <c r="O232" s="25">
        <f t="shared" si="1"/>
        <v>-6.887190830484502E-3</v>
      </c>
    </row>
    <row r="233" spans="1:19">
      <c r="A233" s="84">
        <v>704.07</v>
      </c>
      <c r="B233" s="84">
        <v>707.51</v>
      </c>
      <c r="C233" s="84">
        <v>703.37</v>
      </c>
      <c r="D233" s="84">
        <v>706.98</v>
      </c>
      <c r="E233" s="85">
        <v>7827554.0253999997</v>
      </c>
      <c r="F233" s="83" t="s">
        <v>238</v>
      </c>
      <c r="G233" s="25">
        <f t="shared" si="0"/>
        <v>-4.1160994653313132E-3</v>
      </c>
      <c r="I233" s="84">
        <v>198.81</v>
      </c>
      <c r="J233" s="84">
        <v>201.75</v>
      </c>
      <c r="K233" s="84">
        <v>198.13</v>
      </c>
      <c r="L233" s="84">
        <v>199.73</v>
      </c>
      <c r="M233" s="85">
        <v>3627291.7414000002</v>
      </c>
      <c r="N233" s="83" t="s">
        <v>238</v>
      </c>
      <c r="O233" s="25">
        <f t="shared" si="1"/>
        <v>-4.6062183948329949E-3</v>
      </c>
    </row>
    <row r="234" spans="1:19">
      <c r="A234" s="84">
        <v>708.01</v>
      </c>
      <c r="B234" s="84">
        <v>710.45</v>
      </c>
      <c r="C234" s="84">
        <v>706.9</v>
      </c>
      <c r="D234" s="84">
        <v>709.72</v>
      </c>
      <c r="E234" s="85">
        <v>6816157.8724999996</v>
      </c>
      <c r="F234" s="83" t="s">
        <v>239</v>
      </c>
      <c r="G234" s="25">
        <f t="shared" si="0"/>
        <v>-2.4094008904921305E-3</v>
      </c>
      <c r="I234" s="84">
        <v>200.79</v>
      </c>
      <c r="J234" s="84">
        <v>201.63570000000001</v>
      </c>
      <c r="K234" s="84">
        <v>199.04</v>
      </c>
      <c r="L234" s="84">
        <v>200.77</v>
      </c>
      <c r="M234" s="85">
        <v>2803336.7667</v>
      </c>
      <c r="N234" s="83" t="s">
        <v>239</v>
      </c>
      <c r="O234" s="25">
        <f t="shared" si="1"/>
        <v>9.9616476565200784E-5</v>
      </c>
    </row>
    <row r="235" spans="1:19">
      <c r="A235" s="84">
        <v>710.72</v>
      </c>
      <c r="B235" s="84">
        <v>711.51499999999999</v>
      </c>
      <c r="C235" s="84">
        <v>705.51</v>
      </c>
      <c r="D235" s="84">
        <v>705.82</v>
      </c>
      <c r="E235" s="85">
        <v>8594521.7478999998</v>
      </c>
      <c r="F235" s="83" t="s">
        <v>240</v>
      </c>
      <c r="G235" s="25">
        <f t="shared" si="0"/>
        <v>6.9422799013911796E-3</v>
      </c>
      <c r="I235" s="84">
        <v>202.13</v>
      </c>
      <c r="J235" s="84">
        <v>202.66499999999999</v>
      </c>
      <c r="K235" s="84">
        <v>200.1</v>
      </c>
      <c r="L235" s="84">
        <v>202</v>
      </c>
      <c r="M235" s="85">
        <v>3706633.9928000001</v>
      </c>
      <c r="N235" s="83" t="s">
        <v>240</v>
      </c>
      <c r="O235" s="25">
        <f t="shared" si="1"/>
        <v>6.4356435643553311E-4</v>
      </c>
    </row>
    <row r="236" spans="1:19">
      <c r="A236" s="84">
        <v>703.41</v>
      </c>
      <c r="B236" s="84">
        <v>704.53</v>
      </c>
      <c r="C236" s="84">
        <v>700.18</v>
      </c>
      <c r="D236" s="84">
        <v>700.85</v>
      </c>
      <c r="E236" s="85">
        <v>7704946.7647000002</v>
      </c>
      <c r="F236" s="83" t="s">
        <v>241</v>
      </c>
      <c r="G236" s="25">
        <f t="shared" si="0"/>
        <v>3.6527074266961002E-3</v>
      </c>
      <c r="I236" s="84">
        <v>200.78</v>
      </c>
      <c r="J236" s="84">
        <v>206.88</v>
      </c>
      <c r="K236" s="84">
        <v>200.31</v>
      </c>
      <c r="L236" s="84">
        <v>206.88</v>
      </c>
      <c r="M236" s="85">
        <v>4662376.1211000001</v>
      </c>
      <c r="N236" s="83" t="s">
        <v>241</v>
      </c>
      <c r="O236" s="25">
        <f t="shared" si="1"/>
        <v>-2.9485692188708446E-2</v>
      </c>
    </row>
    <row r="237" spans="1:19">
      <c r="A237" s="84">
        <v>700.28</v>
      </c>
      <c r="B237" s="84">
        <v>702.91</v>
      </c>
      <c r="C237" s="84">
        <v>698.13980000000004</v>
      </c>
      <c r="D237" s="84">
        <v>700.45</v>
      </c>
      <c r="E237" s="85">
        <v>6486903.5855999999</v>
      </c>
      <c r="F237" s="83" t="s">
        <v>242</v>
      </c>
      <c r="G237" s="25">
        <f t="shared" si="0"/>
        <v>-2.4270112070823302E-4</v>
      </c>
      <c r="I237" s="84">
        <v>205.16</v>
      </c>
      <c r="J237" s="84">
        <v>211.31</v>
      </c>
      <c r="K237" s="84">
        <v>204.17</v>
      </c>
      <c r="L237" s="84">
        <v>208.51</v>
      </c>
      <c r="M237" s="85">
        <v>3087938.7028000001</v>
      </c>
      <c r="N237" s="83" t="s">
        <v>242</v>
      </c>
      <c r="O237" s="25">
        <f t="shared" si="1"/>
        <v>-1.6066375713394976E-2</v>
      </c>
    </row>
    <row r="238" spans="1:19">
      <c r="A238" s="84">
        <v>704.89</v>
      </c>
      <c r="B238" s="84">
        <v>705.94</v>
      </c>
      <c r="C238" s="84">
        <v>702.96</v>
      </c>
      <c r="D238" s="84">
        <v>705.36</v>
      </c>
      <c r="E238" s="85">
        <v>5741591.5186999999</v>
      </c>
      <c r="F238" s="83" t="s">
        <v>243</v>
      </c>
      <c r="G238" s="25">
        <f t="shared" si="0"/>
        <v>-6.6632641488040267E-4</v>
      </c>
      <c r="I238" s="84">
        <v>207.73</v>
      </c>
      <c r="J238" s="84">
        <v>211.24</v>
      </c>
      <c r="K238" s="84">
        <v>207.69</v>
      </c>
      <c r="L238" s="84">
        <v>210.23</v>
      </c>
      <c r="M238" s="85">
        <v>3962328.8947999999</v>
      </c>
      <c r="N238" s="83" t="s">
        <v>243</v>
      </c>
      <c r="O238" s="25">
        <f t="shared" si="1"/>
        <v>-1.189173762070117E-2</v>
      </c>
      <c r="Q238" s="26"/>
      <c r="R238" s="26" t="s">
        <v>25</v>
      </c>
      <c r="S238" s="27">
        <f>MIN(O225:O1730)</f>
        <v>-6.7857142857142838E-2</v>
      </c>
    </row>
    <row r="239" spans="1:19">
      <c r="A239" s="84">
        <v>707.24</v>
      </c>
      <c r="B239" s="84">
        <v>712.66920000000005</v>
      </c>
      <c r="C239" s="84">
        <v>706.26</v>
      </c>
      <c r="D239" s="84">
        <v>709.39</v>
      </c>
      <c r="E239" s="85">
        <v>8084538.8946000002</v>
      </c>
      <c r="F239" s="83" t="s">
        <v>244</v>
      </c>
      <c r="G239" s="25">
        <f t="shared" si="0"/>
        <v>-3.0307729175770293E-3</v>
      </c>
      <c r="I239" s="84">
        <v>211.71</v>
      </c>
      <c r="J239" s="84">
        <v>213.5</v>
      </c>
      <c r="K239" s="84">
        <v>210.7</v>
      </c>
      <c r="L239" s="84">
        <v>212.73</v>
      </c>
      <c r="M239" s="85">
        <v>2314857.6227000002</v>
      </c>
      <c r="N239" s="83" t="s">
        <v>244</v>
      </c>
      <c r="O239" s="25">
        <f t="shared" si="1"/>
        <v>-4.7948103229444872E-3</v>
      </c>
      <c r="Q239" s="26"/>
      <c r="R239" s="26" t="s">
        <v>26</v>
      </c>
      <c r="S239" s="27">
        <f>MAX(O225:O1730)</f>
        <v>7.9062342463451563E-2</v>
      </c>
    </row>
    <row r="240" spans="1:19">
      <c r="A240" s="84">
        <v>708.75</v>
      </c>
      <c r="B240" s="84">
        <v>709.95500000000004</v>
      </c>
      <c r="C240" s="84">
        <v>705.21040000000005</v>
      </c>
      <c r="D240" s="84">
        <v>706.39</v>
      </c>
      <c r="E240" s="85">
        <v>6755739.0247999998</v>
      </c>
      <c r="F240" s="83" t="s">
        <v>245</v>
      </c>
      <c r="G240" s="25">
        <f t="shared" si="0"/>
        <v>3.3409306473761724E-3</v>
      </c>
      <c r="I240" s="84">
        <v>212.08</v>
      </c>
      <c r="J240" s="84">
        <v>212.52</v>
      </c>
      <c r="K240" s="84">
        <v>209.82499999999999</v>
      </c>
      <c r="L240" s="84">
        <v>211.34</v>
      </c>
      <c r="M240" s="85">
        <v>3849925.7011000002</v>
      </c>
      <c r="N240" s="83" t="s">
        <v>245</v>
      </c>
      <c r="O240" s="25">
        <f t="shared" si="1"/>
        <v>3.5014668306994068E-3</v>
      </c>
      <c r="Q240" s="26"/>
      <c r="R240" s="26" t="s">
        <v>27</v>
      </c>
      <c r="S240" s="27">
        <f>AVERAGE(O225:O1730)</f>
        <v>1.0616547091063573E-4</v>
      </c>
    </row>
    <row r="241" spans="1:25">
      <c r="A241" s="84">
        <v>704.2</v>
      </c>
      <c r="B241" s="84">
        <v>705.32</v>
      </c>
      <c r="C241" s="84">
        <v>702.23</v>
      </c>
      <c r="D241" s="84">
        <v>702.9</v>
      </c>
      <c r="E241" s="85">
        <v>7157818.2230000002</v>
      </c>
      <c r="F241" s="83" t="s">
        <v>246</v>
      </c>
      <c r="G241" s="25">
        <f t="shared" si="0"/>
        <v>1.849480722720287E-3</v>
      </c>
      <c r="I241" s="84">
        <v>211.99</v>
      </c>
      <c r="J241" s="84">
        <v>213.1</v>
      </c>
      <c r="K241" s="84">
        <v>209.28970000000001</v>
      </c>
      <c r="L241" s="84">
        <v>210.4</v>
      </c>
      <c r="M241" s="85">
        <v>3791748.3229999999</v>
      </c>
      <c r="N241" s="83" t="s">
        <v>246</v>
      </c>
      <c r="O241" s="25">
        <f t="shared" si="1"/>
        <v>7.5570342205324437E-3</v>
      </c>
      <c r="Q241" s="26"/>
      <c r="R241" s="26" t="s">
        <v>28</v>
      </c>
      <c r="S241" s="27">
        <f>MEDIAN(O225:O1730)</f>
        <v>6.5647567328741552E-5</v>
      </c>
    </row>
    <row r="242" spans="1:25" ht="15">
      <c r="A242" s="84">
        <v>704.02</v>
      </c>
      <c r="B242" s="84">
        <v>704.83529999999996</v>
      </c>
      <c r="C242" s="84">
        <v>701.45</v>
      </c>
      <c r="D242" s="84">
        <v>704.28499999999997</v>
      </c>
      <c r="E242" s="85">
        <v>4324492.5911999997</v>
      </c>
      <c r="F242" s="83" t="s">
        <v>247</v>
      </c>
      <c r="G242" s="25">
        <f t="shared" si="0"/>
        <v>-3.7626813008939664E-4</v>
      </c>
      <c r="I242" s="84">
        <v>210.28</v>
      </c>
      <c r="J242" s="84">
        <v>210.65</v>
      </c>
      <c r="K242" s="84">
        <v>207.44</v>
      </c>
      <c r="L242" s="84">
        <v>210.36</v>
      </c>
      <c r="M242" s="85">
        <v>4894904.2402999997</v>
      </c>
      <c r="N242" s="83" t="s">
        <v>247</v>
      </c>
      <c r="O242" s="25">
        <f t="shared" si="1"/>
        <v>-3.8030043734560426E-4</v>
      </c>
      <c r="Q242" s="26"/>
      <c r="R242" s="26" t="s">
        <v>29</v>
      </c>
      <c r="S242" s="27">
        <f>_xlfn.STDEV.P(O225:O1730)</f>
        <v>1.2937452157552438E-2</v>
      </c>
      <c r="U242" s="2"/>
    </row>
    <row r="243" spans="1:25" ht="15">
      <c r="A243" s="84">
        <v>701.83</v>
      </c>
      <c r="B243" s="84">
        <v>703.38990000000001</v>
      </c>
      <c r="C243" s="84">
        <v>700.53</v>
      </c>
      <c r="D243" s="84">
        <v>702.97</v>
      </c>
      <c r="E243" s="85">
        <v>7737474.9834000003</v>
      </c>
      <c r="F243" s="83" t="s">
        <v>248</v>
      </c>
      <c r="G243" s="25">
        <f t="shared" si="0"/>
        <v>-1.6216908260665575E-3</v>
      </c>
      <c r="I243" s="84">
        <v>209.22</v>
      </c>
      <c r="J243" s="84">
        <v>210.88939999999999</v>
      </c>
      <c r="K243" s="84">
        <v>207.74610000000001</v>
      </c>
      <c r="L243" s="84">
        <v>210</v>
      </c>
      <c r="M243" s="85">
        <v>3839606.4611999998</v>
      </c>
      <c r="N243" s="83" t="s">
        <v>248</v>
      </c>
      <c r="O243" s="25">
        <f t="shared" si="1"/>
        <v>-3.71428571428567E-3</v>
      </c>
      <c r="Q243" s="26"/>
      <c r="R243" s="28" t="s">
        <v>30</v>
      </c>
      <c r="S243" s="27">
        <f>3*S242</f>
        <v>3.8812356472657315E-2</v>
      </c>
      <c r="T243" s="26"/>
      <c r="U243" s="2" t="s">
        <v>87</v>
      </c>
    </row>
    <row r="244" spans="1:25" ht="15">
      <c r="A244" s="84">
        <v>703.71</v>
      </c>
      <c r="B244" s="84">
        <v>705.8</v>
      </c>
      <c r="C244" s="84">
        <v>702.44</v>
      </c>
      <c r="D244" s="84">
        <v>704.07</v>
      </c>
      <c r="E244" s="85">
        <v>10678137.4639</v>
      </c>
      <c r="F244" s="83" t="s">
        <v>249</v>
      </c>
      <c r="G244" s="25">
        <f t="shared" si="0"/>
        <v>-5.1131279560268084E-4</v>
      </c>
      <c r="I244" s="84">
        <v>209.91</v>
      </c>
      <c r="J244" s="84">
        <v>213.52</v>
      </c>
      <c r="K244" s="84">
        <v>209.85</v>
      </c>
      <c r="L244" s="84">
        <v>213.36</v>
      </c>
      <c r="M244" s="85">
        <v>4777141.3956000004</v>
      </c>
      <c r="N244" s="83" t="s">
        <v>249</v>
      </c>
      <c r="O244" s="25">
        <f t="shared" si="1"/>
        <v>-1.6169853768279063E-2</v>
      </c>
      <c r="Q244" s="26"/>
      <c r="R244" s="28" t="s">
        <v>31</v>
      </c>
      <c r="S244" s="53">
        <f>_xlfn.COVARIANCE.P(O225:O473,G225:G473)/_xlfn.VAR.P(G225:G473)</f>
        <v>0.48869047174480468</v>
      </c>
      <c r="T244" s="26"/>
      <c r="U244" s="2" t="s">
        <v>32</v>
      </c>
    </row>
    <row r="245" spans="1:25">
      <c r="A245" s="84">
        <v>701.01</v>
      </c>
      <c r="B245" s="84">
        <v>706.08</v>
      </c>
      <c r="C245" s="84">
        <v>700.47209999999995</v>
      </c>
      <c r="D245" s="84">
        <v>704.05</v>
      </c>
      <c r="E245" s="85">
        <v>8458614.7305999994</v>
      </c>
      <c r="F245" s="83" t="s">
        <v>250</v>
      </c>
      <c r="G245" s="25">
        <f t="shared" si="0"/>
        <v>-4.3178751509125313E-3</v>
      </c>
      <c r="I245" s="84">
        <v>212.29</v>
      </c>
      <c r="J245" s="84">
        <v>220.49</v>
      </c>
      <c r="K245" s="84">
        <v>212.16</v>
      </c>
      <c r="L245" s="84">
        <v>218.97</v>
      </c>
      <c r="M245" s="85">
        <v>4931795.3907000003</v>
      </c>
      <c r="N245" s="83" t="s">
        <v>250</v>
      </c>
      <c r="O245" s="25">
        <f t="shared" si="1"/>
        <v>-3.0506462072430018E-2</v>
      </c>
    </row>
    <row r="246" spans="1:25">
      <c r="A246" s="84">
        <v>706.91</v>
      </c>
      <c r="B246" s="84">
        <v>710.1</v>
      </c>
      <c r="C246" s="84">
        <v>706.09500000000003</v>
      </c>
      <c r="D246" s="84">
        <v>708.19</v>
      </c>
      <c r="E246" s="85">
        <v>7021780.2763999999</v>
      </c>
      <c r="F246" s="83" t="s">
        <v>251</v>
      </c>
      <c r="G246" s="25">
        <f t="shared" si="0"/>
        <v>-1.8074245612054174E-3</v>
      </c>
      <c r="I246" s="84">
        <v>220.35</v>
      </c>
      <c r="J246" s="84">
        <v>226.41</v>
      </c>
      <c r="K246" s="84">
        <v>220.22</v>
      </c>
      <c r="L246" s="84">
        <v>225.93</v>
      </c>
      <c r="M246" s="85">
        <v>6227051.9835000001</v>
      </c>
      <c r="N246" s="83" t="s">
        <v>251</v>
      </c>
      <c r="O246" s="25">
        <f t="shared" si="1"/>
        <v>-2.4697915283494964E-2</v>
      </c>
      <c r="Q246" s="29" t="s">
        <v>33</v>
      </c>
      <c r="R246" s="30">
        <v>1014</v>
      </c>
    </row>
    <row r="247" spans="1:25" ht="15" thickBot="1">
      <c r="A247" s="84">
        <v>705.4</v>
      </c>
      <c r="B247" s="84">
        <v>707.35</v>
      </c>
      <c r="C247" s="84">
        <v>704.96</v>
      </c>
      <c r="D247" s="84">
        <v>706.61</v>
      </c>
      <c r="E247" s="85">
        <v>5278550.7174000004</v>
      </c>
      <c r="F247" s="83" t="s">
        <v>252</v>
      </c>
      <c r="G247" s="25">
        <f t="shared" si="0"/>
        <v>-1.7124014661553666E-3</v>
      </c>
      <c r="I247" s="84">
        <v>225.49</v>
      </c>
      <c r="J247" s="84">
        <v>226.09</v>
      </c>
      <c r="K247" s="84">
        <v>222.3</v>
      </c>
      <c r="L247" s="84">
        <v>222.76</v>
      </c>
      <c r="M247" s="85">
        <v>5972477.5866999999</v>
      </c>
      <c r="N247" s="83" t="s">
        <v>252</v>
      </c>
      <c r="O247" s="25">
        <f t="shared" si="1"/>
        <v>1.2255342072185371E-2</v>
      </c>
      <c r="Q247" s="1" t="s">
        <v>34</v>
      </c>
      <c r="T247" s="1" t="s">
        <v>35</v>
      </c>
      <c r="X247" s="1" t="s">
        <v>36</v>
      </c>
    </row>
    <row r="248" spans="1:25" ht="14.25" customHeight="1">
      <c r="A248" s="84">
        <v>710.27</v>
      </c>
      <c r="B248" s="84">
        <v>714.04499999999996</v>
      </c>
      <c r="C248" s="84">
        <v>710.1</v>
      </c>
      <c r="D248" s="84">
        <v>713.5</v>
      </c>
      <c r="E248" s="85">
        <v>5745007.6863000002</v>
      </c>
      <c r="F248" s="83" t="s">
        <v>253</v>
      </c>
      <c r="G248" s="25">
        <f t="shared" si="0"/>
        <v>-4.5269796776454818E-3</v>
      </c>
      <c r="I248" s="84">
        <v>221.64</v>
      </c>
      <c r="J248" s="84">
        <v>224.61</v>
      </c>
      <c r="K248" s="84">
        <v>221.6</v>
      </c>
      <c r="L248" s="84">
        <v>222.92</v>
      </c>
      <c r="M248" s="85">
        <v>5187626.9219000004</v>
      </c>
      <c r="N248" s="83" t="s">
        <v>253</v>
      </c>
      <c r="O248" s="25">
        <f t="shared" si="1"/>
        <v>-5.7419702135295125E-3</v>
      </c>
      <c r="Q248" s="88" t="s">
        <v>37</v>
      </c>
      <c r="R248" s="88" t="s">
        <v>38</v>
      </c>
      <c r="T248" s="31" t="s">
        <v>39</v>
      </c>
      <c r="U248" s="32" t="s">
        <v>40</v>
      </c>
      <c r="X248" s="31" t="s">
        <v>41</v>
      </c>
      <c r="Y248" s="32" t="s">
        <v>42</v>
      </c>
    </row>
    <row r="249" spans="1:25" ht="14.25" customHeight="1">
      <c r="A249" s="84">
        <v>713.61</v>
      </c>
      <c r="B249" s="84">
        <v>715.89</v>
      </c>
      <c r="C249" s="84">
        <v>712.8</v>
      </c>
      <c r="D249" s="84">
        <v>715.63</v>
      </c>
      <c r="E249" s="85">
        <v>4214065.8406999996</v>
      </c>
      <c r="F249" s="83" t="s">
        <v>254</v>
      </c>
      <c r="G249" s="25">
        <f t="shared" si="0"/>
        <v>-2.8226877017453189E-3</v>
      </c>
      <c r="I249" s="84">
        <v>222.97</v>
      </c>
      <c r="J249" s="84">
        <v>223.07</v>
      </c>
      <c r="K249" s="84">
        <v>219.97499999999999</v>
      </c>
      <c r="L249" s="84">
        <v>222</v>
      </c>
      <c r="M249" s="85">
        <v>2856069.4937</v>
      </c>
      <c r="N249" s="83" t="s">
        <v>254</v>
      </c>
      <c r="O249" s="25">
        <f t="shared" si="1"/>
        <v>4.3693693693693803E-3</v>
      </c>
      <c r="Q249" s="86">
        <v>-4.5000000000000033E-2</v>
      </c>
      <c r="R249">
        <v>3</v>
      </c>
      <c r="T249" s="52">
        <f t="shared" ref="T249:T253" si="2">T250-0.001</f>
        <v>-5.0000000000000037E-2</v>
      </c>
      <c r="U249" s="1">
        <f>_xlfn.NORM.DIST(T249,$S$240,$S$242,FALSE)</f>
        <v>1.7056933837853172E-2</v>
      </c>
      <c r="W249" s="1" t="s">
        <v>78</v>
      </c>
      <c r="X249" s="52">
        <f>S240</f>
        <v>1.0616547091063573E-4</v>
      </c>
      <c r="Y249" s="1">
        <v>0</v>
      </c>
    </row>
    <row r="250" spans="1:25" ht="15">
      <c r="A250" s="84">
        <v>714.95</v>
      </c>
      <c r="B250" s="84">
        <v>716.39</v>
      </c>
      <c r="C250" s="84">
        <v>711.60500000000002</v>
      </c>
      <c r="D250" s="84">
        <v>712.3</v>
      </c>
      <c r="E250" s="85">
        <v>4551235.2163000004</v>
      </c>
      <c r="F250" s="83" t="s">
        <v>255</v>
      </c>
      <c r="G250" s="25">
        <f t="shared" si="0"/>
        <v>3.7203425522955857E-3</v>
      </c>
      <c r="I250" s="84">
        <v>219.750000002208</v>
      </c>
      <c r="J250" s="84">
        <v>223.2583454304</v>
      </c>
      <c r="K250" s="84">
        <v>218.14533064442699</v>
      </c>
      <c r="L250" s="84">
        <v>222.730100238087</v>
      </c>
      <c r="M250" s="85">
        <v>3239381.4818083071</v>
      </c>
      <c r="N250" s="83" t="s">
        <v>255</v>
      </c>
      <c r="O250" s="25">
        <f t="shared" si="1"/>
        <v>-1.3379872018615457E-2</v>
      </c>
      <c r="Q250" s="86">
        <v>-4.4000000000000032E-2</v>
      </c>
      <c r="R250">
        <v>0</v>
      </c>
      <c r="T250" s="52">
        <f t="shared" si="2"/>
        <v>-4.9000000000000037E-2</v>
      </c>
      <c r="U250" s="1">
        <f t="shared" ref="U250:U313" si="3">_xlfn.NORM.DIST(T250,$S$240,$S$242,FALSE)</f>
        <v>2.2941086238139348E-2</v>
      </c>
      <c r="X250" s="52">
        <f>S240</f>
        <v>1.0616547091063573E-4</v>
      </c>
      <c r="Y250" s="1">
        <v>30.5</v>
      </c>
    </row>
    <row r="251" spans="1:25" ht="15">
      <c r="A251" s="84">
        <v>710.17</v>
      </c>
      <c r="B251" s="84">
        <v>712.26</v>
      </c>
      <c r="C251" s="84">
        <v>708.93</v>
      </c>
      <c r="D251" s="84">
        <v>712.12</v>
      </c>
      <c r="E251" s="85">
        <v>4871287.5007999996</v>
      </c>
      <c r="F251" s="83" t="s">
        <v>256</v>
      </c>
      <c r="G251" s="25">
        <f t="shared" si="0"/>
        <v>-2.7383025332810007E-3</v>
      </c>
      <c r="I251" s="84">
        <v>222.02245101819599</v>
      </c>
      <c r="J251" s="84">
        <v>222.80983536145501</v>
      </c>
      <c r="K251" s="84">
        <v>218.743344069687</v>
      </c>
      <c r="L251" s="84">
        <v>221.882914552302</v>
      </c>
      <c r="M251" s="85">
        <v>3885417.8219323275</v>
      </c>
      <c r="N251" s="83" t="s">
        <v>256</v>
      </c>
      <c r="O251" s="25">
        <f t="shared" si="1"/>
        <v>6.2887431497626878E-4</v>
      </c>
      <c r="Q251" s="86">
        <v>-4.3000000000000031E-2</v>
      </c>
      <c r="R251">
        <v>2</v>
      </c>
      <c r="T251" s="52">
        <f t="shared" si="2"/>
        <v>-4.8000000000000036E-2</v>
      </c>
      <c r="U251" s="1">
        <f t="shared" si="3"/>
        <v>3.0671307647602279E-2</v>
      </c>
      <c r="W251" s="38" t="s">
        <v>79</v>
      </c>
      <c r="X251" s="52">
        <f>($S$242*-3)+$S$240</f>
        <v>-3.870619100174668E-2</v>
      </c>
      <c r="Y251" s="1">
        <v>0</v>
      </c>
    </row>
    <row r="252" spans="1:25" ht="15">
      <c r="A252" s="84">
        <v>708.42</v>
      </c>
      <c r="B252" s="84">
        <v>712</v>
      </c>
      <c r="C252" s="84">
        <v>707</v>
      </c>
      <c r="D252" s="84">
        <v>711.96</v>
      </c>
      <c r="E252" s="85">
        <v>5010439.9786</v>
      </c>
      <c r="F252" s="83" t="s">
        <v>257</v>
      </c>
      <c r="G252" s="25">
        <f t="shared" si="0"/>
        <v>-4.9721894488455876E-3</v>
      </c>
      <c r="I252" s="84">
        <v>223.118808964506</v>
      </c>
      <c r="J252" s="84">
        <v>224.59390874681401</v>
      </c>
      <c r="K252" s="84">
        <v>221.603841620514</v>
      </c>
      <c r="L252" s="84">
        <v>223.2583454304</v>
      </c>
      <c r="M252" s="85">
        <v>2834129.7323268722</v>
      </c>
      <c r="N252" s="83" t="s">
        <v>257</v>
      </c>
      <c r="O252" s="25">
        <f t="shared" si="1"/>
        <v>-6.2499999999998668E-4</v>
      </c>
      <c r="Q252" s="86">
        <v>-4.200000000000003E-2</v>
      </c>
      <c r="R252">
        <v>1</v>
      </c>
      <c r="T252" s="52">
        <f t="shared" si="2"/>
        <v>-4.7000000000000035E-2</v>
      </c>
      <c r="U252" s="1">
        <f t="shared" si="3"/>
        <v>4.0762039830494312E-2</v>
      </c>
      <c r="W252" s="39"/>
      <c r="X252" s="52">
        <f>($S$242*-3)+$S$240</f>
        <v>-3.870619100174668E-2</v>
      </c>
      <c r="Y252" s="1">
        <v>1</v>
      </c>
    </row>
    <row r="253" spans="1:25" ht="15">
      <c r="A253" s="84">
        <v>710.65</v>
      </c>
      <c r="B253" s="84">
        <v>712.43780000000004</v>
      </c>
      <c r="C253" s="84">
        <v>709.5</v>
      </c>
      <c r="D253" s="84">
        <v>710.31</v>
      </c>
      <c r="E253" s="85">
        <v>6657921.1655999999</v>
      </c>
      <c r="F253" s="83" t="s">
        <v>258</v>
      </c>
      <c r="G253" s="25">
        <f t="shared" si="0"/>
        <v>4.7866424518883122E-4</v>
      </c>
      <c r="I253" s="84">
        <v>223.377948115452</v>
      </c>
      <c r="J253" s="84">
        <v>226.13279662781639</v>
      </c>
      <c r="K253" s="84">
        <v>222.56066310093001</v>
      </c>
      <c r="L253" s="84">
        <v>223.637087266398</v>
      </c>
      <c r="M253" s="85">
        <v>3258688.854406138</v>
      </c>
      <c r="N253" s="83" t="s">
        <v>258</v>
      </c>
      <c r="O253" s="25">
        <f t="shared" si="1"/>
        <v>-1.1587485515642815E-3</v>
      </c>
      <c r="Q253" s="86">
        <v>-4.1000000000000029E-2</v>
      </c>
      <c r="R253">
        <v>2</v>
      </c>
      <c r="T253" s="52">
        <f t="shared" si="2"/>
        <v>-4.6000000000000034E-2</v>
      </c>
      <c r="U253" s="1">
        <f t="shared" si="3"/>
        <v>5.3849890926151785E-2</v>
      </c>
      <c r="W253" s="38" t="s">
        <v>80</v>
      </c>
      <c r="X253" s="52">
        <f>($S$242*-2)+$S$240</f>
        <v>-2.5768738844194242E-2</v>
      </c>
      <c r="Y253" s="1">
        <v>0</v>
      </c>
    </row>
    <row r="254" spans="1:25" ht="15">
      <c r="A254" s="84">
        <v>710.71</v>
      </c>
      <c r="B254" s="84">
        <v>711.37</v>
      </c>
      <c r="C254" s="84">
        <v>707.44</v>
      </c>
      <c r="D254" s="84">
        <v>708.73</v>
      </c>
      <c r="E254" s="85">
        <v>4653131.9491999997</v>
      </c>
      <c r="F254" s="83" t="s">
        <v>259</v>
      </c>
      <c r="G254" s="25">
        <f t="shared" si="0"/>
        <v>2.7937296290547753E-3</v>
      </c>
      <c r="I254" s="84">
        <v>222.29155705956299</v>
      </c>
      <c r="J254" s="84">
        <v>223.56243525714473</v>
      </c>
      <c r="K254" s="84">
        <v>219.76993378304999</v>
      </c>
      <c r="L254" s="84">
        <v>221.79321253851299</v>
      </c>
      <c r="M254" s="85">
        <v>4992124.9863613807</v>
      </c>
      <c r="N254" s="83" t="s">
        <v>259</v>
      </c>
      <c r="O254" s="25">
        <f t="shared" si="1"/>
        <v>2.2468880600368113E-3</v>
      </c>
      <c r="Q254" s="86">
        <v>-4.0000000000000029E-2</v>
      </c>
      <c r="R254">
        <v>1</v>
      </c>
      <c r="T254" s="52">
        <f t="shared" ref="T254:T267" si="4">T255-0.001</f>
        <v>-4.5000000000000033E-2</v>
      </c>
      <c r="U254" s="1">
        <f t="shared" si="3"/>
        <v>7.0716221755197192E-2</v>
      </c>
      <c r="W254" s="39"/>
      <c r="X254" s="52">
        <f>($S$242*-2)+$S$240</f>
        <v>-2.5768738844194242E-2</v>
      </c>
      <c r="Y254" s="1">
        <v>5</v>
      </c>
    </row>
    <row r="255" spans="1:25" ht="15">
      <c r="A255" s="84">
        <v>706.4</v>
      </c>
      <c r="B255" s="84">
        <v>709.46190000000001</v>
      </c>
      <c r="C255" s="84">
        <v>705.43</v>
      </c>
      <c r="D255" s="84">
        <v>707.93</v>
      </c>
      <c r="E255" s="85">
        <v>4668740.4130999995</v>
      </c>
      <c r="F255" s="83" t="s">
        <v>260</v>
      </c>
      <c r="G255" s="25">
        <f t="shared" si="0"/>
        <v>-2.1612306301470596E-3</v>
      </c>
      <c r="I255" s="84">
        <v>222.510828648825</v>
      </c>
      <c r="J255" s="84">
        <v>224.902882349865</v>
      </c>
      <c r="K255" s="84">
        <v>219.750000002208</v>
      </c>
      <c r="L255" s="84">
        <v>223.46266668403049</v>
      </c>
      <c r="M255" s="85">
        <v>5993391.1219831193</v>
      </c>
      <c r="N255" s="83" t="s">
        <v>260</v>
      </c>
      <c r="O255" s="25">
        <f t="shared" si="1"/>
        <v>-4.2594946589058491E-3</v>
      </c>
      <c r="Q255" s="86">
        <v>-3.9000000000000028E-2</v>
      </c>
      <c r="R255">
        <v>0</v>
      </c>
      <c r="T255" s="52">
        <f t="shared" si="4"/>
        <v>-4.4000000000000032E-2</v>
      </c>
      <c r="U255" s="1">
        <f t="shared" si="3"/>
        <v>9.2312087543228172E-2</v>
      </c>
      <c r="W255" s="40" t="s">
        <v>81</v>
      </c>
      <c r="X255" s="52">
        <f>($S$242*-1)+$S$240</f>
        <v>-1.2831286686641803E-2</v>
      </c>
      <c r="Y255" s="1">
        <v>0</v>
      </c>
    </row>
    <row r="256" spans="1:25" ht="15">
      <c r="A256" s="84">
        <v>707.6</v>
      </c>
      <c r="B256" s="84">
        <v>714.16</v>
      </c>
      <c r="C256" s="84">
        <v>707.32</v>
      </c>
      <c r="D256" s="84">
        <v>713.14</v>
      </c>
      <c r="E256" s="85">
        <v>5187471.0926999999</v>
      </c>
      <c r="F256" s="83" t="s">
        <v>261</v>
      </c>
      <c r="G256" s="25">
        <f t="shared" si="0"/>
        <v>-7.7684606108197052E-3</v>
      </c>
      <c r="I256" s="84">
        <v>221.57394094925101</v>
      </c>
      <c r="J256" s="84">
        <v>222.0772689155115</v>
      </c>
      <c r="K256" s="84">
        <v>218.1702478704795</v>
      </c>
      <c r="L256" s="84">
        <v>219.27158926199999</v>
      </c>
      <c r="M256" s="85">
        <v>4280136.1237118794</v>
      </c>
      <c r="N256" s="83" t="s">
        <v>261</v>
      </c>
      <c r="O256" s="25">
        <f t="shared" si="1"/>
        <v>1.0500000000000176E-2</v>
      </c>
      <c r="Q256" s="86">
        <v>-3.8000000000000027E-2</v>
      </c>
      <c r="R256">
        <v>2</v>
      </c>
      <c r="T256" s="52">
        <f t="shared" si="4"/>
        <v>-4.3000000000000031E-2</v>
      </c>
      <c r="U256" s="1">
        <f t="shared" si="3"/>
        <v>0.11978526486170103</v>
      </c>
      <c r="X256" s="52">
        <f>($S$242*-1)+$S$240</f>
        <v>-1.2831286686641803E-2</v>
      </c>
      <c r="Y256" s="1">
        <v>15</v>
      </c>
    </row>
    <row r="257" spans="1:25" ht="15">
      <c r="A257" s="84">
        <v>708.98</v>
      </c>
      <c r="B257" s="84">
        <v>710.90830000000005</v>
      </c>
      <c r="C257" s="84">
        <v>699.07</v>
      </c>
      <c r="D257" s="84">
        <v>699.16</v>
      </c>
      <c r="E257" s="85">
        <v>6510852.6535</v>
      </c>
      <c r="F257" s="83" t="s">
        <v>262</v>
      </c>
      <c r="G257" s="25">
        <f t="shared" si="0"/>
        <v>1.4045425939699152E-2</v>
      </c>
      <c r="I257" s="84">
        <v>217.208442944853</v>
      </c>
      <c r="J257" s="84">
        <v>217.87622460306</v>
      </c>
      <c r="K257" s="84">
        <v>213.81471675650249</v>
      </c>
      <c r="L257" s="84">
        <v>216.66026397169799</v>
      </c>
      <c r="M257" s="85">
        <v>6319866.0348751107</v>
      </c>
      <c r="N257" s="83" t="s">
        <v>262</v>
      </c>
      <c r="O257" s="25">
        <f t="shared" si="1"/>
        <v>2.5301315668415647E-3</v>
      </c>
      <c r="Q257" s="86">
        <v>-3.7000000000000026E-2</v>
      </c>
      <c r="R257">
        <v>1</v>
      </c>
      <c r="T257" s="52">
        <f t="shared" si="4"/>
        <v>-4.200000000000003E-2</v>
      </c>
      <c r="U257" s="1">
        <f t="shared" si="3"/>
        <v>0.15450890862828479</v>
      </c>
      <c r="W257" s="1" t="s">
        <v>82</v>
      </c>
      <c r="X257" s="52">
        <f>($S$242*1)+$S$240</f>
        <v>1.3043617628463074E-2</v>
      </c>
      <c r="Y257" s="1">
        <v>0</v>
      </c>
    </row>
    <row r="258" spans="1:25" ht="15" customHeight="1">
      <c r="A258" s="84">
        <v>696.4</v>
      </c>
      <c r="B258" s="84">
        <v>697.31</v>
      </c>
      <c r="C258" s="84">
        <v>688.61</v>
      </c>
      <c r="D258" s="84">
        <v>688.83</v>
      </c>
      <c r="E258" s="85">
        <v>7244316.0097000003</v>
      </c>
      <c r="F258" s="83" t="s">
        <v>263</v>
      </c>
      <c r="G258" s="25">
        <f t="shared" si="0"/>
        <v>1.09896491151662E-2</v>
      </c>
      <c r="I258" s="84">
        <v>215.93268097096501</v>
      </c>
      <c r="J258" s="84">
        <v>217.40778075327299</v>
      </c>
      <c r="K258" s="84">
        <v>213.71006440708197</v>
      </c>
      <c r="L258" s="84">
        <v>215.852945847597</v>
      </c>
      <c r="M258" s="85">
        <v>3805799.0907653826</v>
      </c>
      <c r="N258" s="83" t="s">
        <v>263</v>
      </c>
      <c r="O258" s="25">
        <f t="shared" si="1"/>
        <v>3.6939557648807408E-4</v>
      </c>
      <c r="Q258" s="86">
        <v>-3.6000000000000025E-2</v>
      </c>
      <c r="R258">
        <v>3</v>
      </c>
      <c r="T258" s="52">
        <f t="shared" si="4"/>
        <v>-4.1000000000000029E-2</v>
      </c>
      <c r="U258" s="1">
        <f t="shared" si="3"/>
        <v>0.19811116616672403</v>
      </c>
      <c r="X258" s="52">
        <f>($S$242*1)+$S$240</f>
        <v>1.3043617628463074E-2</v>
      </c>
      <c r="Y258" s="1">
        <v>15</v>
      </c>
    </row>
    <row r="259" spans="1:25" ht="15">
      <c r="A259" s="84">
        <v>686.65</v>
      </c>
      <c r="B259" s="84">
        <v>688.35</v>
      </c>
      <c r="C259" s="84">
        <v>678.06</v>
      </c>
      <c r="D259" s="84">
        <v>684.5</v>
      </c>
      <c r="E259" s="85">
        <v>7661568.1813000003</v>
      </c>
      <c r="F259" s="83" t="s">
        <v>264</v>
      </c>
      <c r="G259" s="25">
        <f t="shared" si="0"/>
        <v>3.1409788166545383E-3</v>
      </c>
      <c r="I259" s="84">
        <v>214.50741564076199</v>
      </c>
      <c r="J259" s="84">
        <v>215.105429066022</v>
      </c>
      <c r="K259" s="84">
        <v>211.33296104167349</v>
      </c>
      <c r="L259" s="84">
        <v>212.64360713203499</v>
      </c>
      <c r="M259" s="85">
        <v>3417869.0512363566</v>
      </c>
      <c r="N259" s="83" t="s">
        <v>264</v>
      </c>
      <c r="O259" s="25">
        <f t="shared" si="1"/>
        <v>8.7649402390439501E-3</v>
      </c>
      <c r="Q259" s="86">
        <v>-3.5000000000000024E-2</v>
      </c>
      <c r="R259">
        <v>3</v>
      </c>
      <c r="T259" s="52">
        <f t="shared" si="4"/>
        <v>-4.0000000000000029E-2</v>
      </c>
      <c r="U259" s="1">
        <f t="shared" si="3"/>
        <v>0.25250482778919514</v>
      </c>
      <c r="W259" s="41" t="s">
        <v>83</v>
      </c>
      <c r="X259" s="52">
        <f>($S$242*2)+$S$240</f>
        <v>2.5981069786015512E-2</v>
      </c>
      <c r="Y259" s="1">
        <v>0</v>
      </c>
    </row>
    <row r="260" spans="1:25" ht="15">
      <c r="A260" s="84">
        <v>681.79</v>
      </c>
      <c r="B260" s="84">
        <v>682.43629999999996</v>
      </c>
      <c r="C260" s="84">
        <v>675.21</v>
      </c>
      <c r="D260" s="84">
        <v>676.54</v>
      </c>
      <c r="E260" s="85">
        <v>6009104.4682999998</v>
      </c>
      <c r="F260" s="83" t="s">
        <v>265</v>
      </c>
      <c r="G260" s="25">
        <f t="shared" si="0"/>
        <v>7.7600733142164646E-3</v>
      </c>
      <c r="I260" s="84">
        <v>213.67019684539798</v>
      </c>
      <c r="J260" s="84">
        <v>213.92933599634398</v>
      </c>
      <c r="K260" s="84">
        <v>208.69671852531897</v>
      </c>
      <c r="L260" s="84">
        <v>213.78979953044998</v>
      </c>
      <c r="M260" s="85">
        <v>5236753.3266973803</v>
      </c>
      <c r="N260" s="83" t="s">
        <v>265</v>
      </c>
      <c r="O260" s="25">
        <f t="shared" si="1"/>
        <v>-5.5944055944057158E-4</v>
      </c>
      <c r="Q260" s="86">
        <v>-3.4000000000000023E-2</v>
      </c>
      <c r="R260">
        <v>1</v>
      </c>
      <c r="T260" s="52">
        <f t="shared" si="4"/>
        <v>-3.9000000000000028E-2</v>
      </c>
      <c r="U260" s="1">
        <f t="shared" si="3"/>
        <v>0.31991582230146343</v>
      </c>
      <c r="X260" s="52">
        <f>($S$242*2)+$S$240</f>
        <v>2.5981069786015512E-2</v>
      </c>
      <c r="Y260" s="1">
        <v>5</v>
      </c>
    </row>
    <row r="261" spans="1:25" ht="15">
      <c r="A261" s="84">
        <v>670.63</v>
      </c>
      <c r="B261" s="84">
        <v>682.63</v>
      </c>
      <c r="C261" s="84">
        <v>670.15499999999997</v>
      </c>
      <c r="D261" s="84">
        <v>680.12</v>
      </c>
      <c r="E261" s="85">
        <v>7845443.5132999998</v>
      </c>
      <c r="F261" s="83" t="s">
        <v>266</v>
      </c>
      <c r="G261" s="25">
        <f t="shared" si="0"/>
        <v>-1.3953419984708559E-2</v>
      </c>
      <c r="I261" s="84">
        <v>214.53731631202498</v>
      </c>
      <c r="J261" s="84">
        <v>219.83970201599698</v>
      </c>
      <c r="K261" s="84">
        <v>214.29811094192098</v>
      </c>
      <c r="L261" s="84">
        <v>219.27158926199999</v>
      </c>
      <c r="M261" s="85">
        <v>8236967.8151596487</v>
      </c>
      <c r="N261" s="83" t="s">
        <v>266</v>
      </c>
      <c r="O261" s="25">
        <f t="shared" si="1"/>
        <v>-2.1590909090909105E-2</v>
      </c>
      <c r="Q261" s="86">
        <v>-3.3000000000000022E-2</v>
      </c>
      <c r="R261">
        <v>1</v>
      </c>
      <c r="T261" s="52">
        <f t="shared" si="4"/>
        <v>-3.8000000000000027E-2</v>
      </c>
      <c r="U261" s="1">
        <f t="shared" si="3"/>
        <v>0.40290908082568955</v>
      </c>
      <c r="W261" s="41" t="s">
        <v>84</v>
      </c>
      <c r="X261" s="52">
        <f>($S$242*3)+$S$240</f>
        <v>3.8918521943567951E-2</v>
      </c>
      <c r="Y261" s="1">
        <v>0</v>
      </c>
    </row>
    <row r="262" spans="1:25" ht="15">
      <c r="A262" s="84">
        <v>680.96</v>
      </c>
      <c r="B262" s="84">
        <v>682.755</v>
      </c>
      <c r="C262" s="84">
        <v>676.48009999999999</v>
      </c>
      <c r="D262" s="84">
        <v>679.45</v>
      </c>
      <c r="E262" s="85">
        <v>5021079.9676999999</v>
      </c>
      <c r="F262" s="83" t="s">
        <v>267</v>
      </c>
      <c r="G262" s="25">
        <f t="shared" si="0"/>
        <v>2.2223857531826763E-3</v>
      </c>
      <c r="I262" s="84">
        <v>217.856290822218</v>
      </c>
      <c r="J262" s="84">
        <v>220.607152578414</v>
      </c>
      <c r="K262" s="84">
        <v>215.18516418939001</v>
      </c>
      <c r="L262" s="84">
        <v>220.258311413679</v>
      </c>
      <c r="M262" s="85">
        <v>7752956.1332577635</v>
      </c>
      <c r="N262" s="83" t="s">
        <v>267</v>
      </c>
      <c r="O262" s="25">
        <f t="shared" si="1"/>
        <v>-1.0905470835784414E-2</v>
      </c>
      <c r="Q262" s="86">
        <v>-3.2000000000000021E-2</v>
      </c>
      <c r="R262">
        <v>5</v>
      </c>
      <c r="T262" s="52">
        <f t="shared" si="4"/>
        <v>-3.7000000000000026E-2</v>
      </c>
      <c r="U262" s="1">
        <f t="shared" si="3"/>
        <v>0.50441000667076596</v>
      </c>
      <c r="W262" s="41"/>
      <c r="X262" s="52">
        <f>($S$242*3)+$S$240</f>
        <v>3.8918521943567951E-2</v>
      </c>
      <c r="Y262" s="1">
        <v>1</v>
      </c>
    </row>
    <row r="263" spans="1:25" ht="15">
      <c r="A263" s="84">
        <v>679.31</v>
      </c>
      <c r="B263" s="84">
        <v>685.23910000000001</v>
      </c>
      <c r="C263" s="84">
        <v>676.39499999999998</v>
      </c>
      <c r="D263" s="84">
        <v>684.69</v>
      </c>
      <c r="E263" s="85">
        <v>5207757.8120999997</v>
      </c>
      <c r="F263" s="83" t="s">
        <v>268</v>
      </c>
      <c r="G263" s="25">
        <f t="shared" si="0"/>
        <v>-7.8575705793864081E-3</v>
      </c>
      <c r="I263" s="84">
        <v>217.69682057548198</v>
      </c>
      <c r="J263" s="84">
        <v>219.66029798841899</v>
      </c>
      <c r="K263" s="84">
        <v>213.09181819426738</v>
      </c>
      <c r="L263" s="84">
        <v>213.71006440708197</v>
      </c>
      <c r="M263" s="85">
        <v>8210298.9645179324</v>
      </c>
      <c r="N263" s="83" t="s">
        <v>268</v>
      </c>
      <c r="O263" s="25">
        <f t="shared" si="1"/>
        <v>1.8654976214905306E-2</v>
      </c>
      <c r="Q263" s="86">
        <v>-3.1000000000000021E-2</v>
      </c>
      <c r="R263">
        <v>0</v>
      </c>
      <c r="T263" s="52">
        <f t="shared" si="4"/>
        <v>-3.6000000000000025E-2</v>
      </c>
      <c r="U263" s="1">
        <f t="shared" si="3"/>
        <v>0.62771951971070672</v>
      </c>
    </row>
    <row r="264" spans="1:25" ht="15">
      <c r="A264" s="84">
        <v>679.14</v>
      </c>
      <c r="B264" s="84">
        <v>683.55</v>
      </c>
      <c r="C264" s="84">
        <v>677.7</v>
      </c>
      <c r="D264" s="84">
        <v>678.8</v>
      </c>
      <c r="E264" s="85">
        <v>6286806.9738999996</v>
      </c>
      <c r="F264" s="83" t="s">
        <v>269</v>
      </c>
      <c r="G264" s="25">
        <f t="shared" si="0"/>
        <v>5.0088391278735322E-4</v>
      </c>
      <c r="I264" s="84">
        <v>212.085461268459</v>
      </c>
      <c r="J264" s="84">
        <v>214.17840858796481</v>
      </c>
      <c r="K264" s="84">
        <v>208.5672486187502</v>
      </c>
      <c r="L264" s="84">
        <v>210.13195074594302</v>
      </c>
      <c r="M264" s="85">
        <v>5894163.8684240533</v>
      </c>
      <c r="N264" s="83" t="s">
        <v>269</v>
      </c>
      <c r="O264" s="25">
        <f t="shared" si="1"/>
        <v>9.2965896694017225E-3</v>
      </c>
      <c r="Q264" s="86">
        <v>-3.000000000000002E-2</v>
      </c>
      <c r="R264">
        <v>5</v>
      </c>
      <c r="T264" s="52">
        <f t="shared" si="4"/>
        <v>-3.5000000000000024E-2</v>
      </c>
      <c r="U264" s="1">
        <f t="shared" si="3"/>
        <v>0.77652041147299111</v>
      </c>
    </row>
    <row r="265" spans="1:25" ht="15">
      <c r="A265" s="84">
        <v>678.61</v>
      </c>
      <c r="B265" s="84">
        <v>682.54949999999997</v>
      </c>
      <c r="C265" s="84">
        <v>675.755</v>
      </c>
      <c r="D265" s="84">
        <v>679.55</v>
      </c>
      <c r="E265" s="85">
        <v>4942804.8118000003</v>
      </c>
      <c r="F265" s="83" t="s">
        <v>270</v>
      </c>
      <c r="G265" s="25">
        <f t="shared" si="0"/>
        <v>-1.383268339342103E-3</v>
      </c>
      <c r="I265" s="84">
        <v>208.46748004563599</v>
      </c>
      <c r="J265" s="84">
        <v>212.78314359792901</v>
      </c>
      <c r="K265" s="84">
        <v>201.83949791567099</v>
      </c>
      <c r="L265" s="84">
        <v>204.3212536305</v>
      </c>
      <c r="M265" s="85">
        <v>9906081.6668529119</v>
      </c>
      <c r="N265" s="83" t="s">
        <v>270</v>
      </c>
      <c r="O265" s="25">
        <f t="shared" si="1"/>
        <v>2.0292682926829286E-2</v>
      </c>
      <c r="Q265" s="86">
        <v>-2.9000000000000019E-2</v>
      </c>
      <c r="R265">
        <v>3</v>
      </c>
      <c r="T265" s="52">
        <f t="shared" si="4"/>
        <v>-3.4000000000000023E-2</v>
      </c>
      <c r="U265" s="1">
        <f t="shared" si="3"/>
        <v>0.95487257551166471</v>
      </c>
    </row>
    <row r="266" spans="1:25" ht="15">
      <c r="A266" s="84">
        <v>687.03</v>
      </c>
      <c r="B266" s="84">
        <v>689.4</v>
      </c>
      <c r="C266" s="84">
        <v>686.02</v>
      </c>
      <c r="D266" s="84">
        <v>686.29</v>
      </c>
      <c r="E266" s="85">
        <v>3349102.6779999998</v>
      </c>
      <c r="F266" s="83" t="s">
        <v>271</v>
      </c>
      <c r="G266" s="25">
        <f t="shared" si="0"/>
        <v>1.0782613763860027E-3</v>
      </c>
      <c r="I266" s="84">
        <v>194.23476052444798</v>
      </c>
      <c r="J266" s="84">
        <v>196.69648278953079</v>
      </c>
      <c r="K266" s="84">
        <v>193.13591085553276</v>
      </c>
      <c r="L266" s="84">
        <v>195.25138334739</v>
      </c>
      <c r="M266" s="85">
        <v>5158758.0446019638</v>
      </c>
      <c r="N266" s="83" t="s">
        <v>271</v>
      </c>
      <c r="O266" s="25">
        <f t="shared" si="1"/>
        <v>-5.2067381317000283E-3</v>
      </c>
      <c r="Q266" s="86">
        <v>-2.8000000000000018E-2</v>
      </c>
      <c r="R266">
        <v>3</v>
      </c>
      <c r="T266" s="52">
        <f t="shared" si="4"/>
        <v>-3.3000000000000022E-2</v>
      </c>
      <c r="U266" s="1">
        <f t="shared" si="3"/>
        <v>1.1671945923292322</v>
      </c>
    </row>
    <row r="267" spans="1:25" ht="15">
      <c r="A267" s="84">
        <v>687.87</v>
      </c>
      <c r="B267" s="84">
        <v>688.48500000000001</v>
      </c>
      <c r="C267" s="84">
        <v>684.03</v>
      </c>
      <c r="D267" s="84">
        <v>685.95</v>
      </c>
      <c r="E267" s="85">
        <v>4054717.8730000001</v>
      </c>
      <c r="F267" s="83" t="s">
        <v>272</v>
      </c>
      <c r="G267" s="25">
        <f t="shared" si="0"/>
        <v>2.7990378307456432E-3</v>
      </c>
      <c r="I267" s="84">
        <v>193.028766783507</v>
      </c>
      <c r="J267" s="84">
        <v>196.48737742849821</v>
      </c>
      <c r="K267" s="84">
        <v>189.390851779842</v>
      </c>
      <c r="L267" s="84">
        <v>193.35767416740001</v>
      </c>
      <c r="M267" s="85">
        <v>3452643.3127522389</v>
      </c>
      <c r="N267" s="83" t="s">
        <v>272</v>
      </c>
      <c r="O267" s="25">
        <f t="shared" si="1"/>
        <v>-1.7010309278351343E-3</v>
      </c>
      <c r="Q267" s="86">
        <v>-2.7000000000000017E-2</v>
      </c>
      <c r="R267">
        <v>2</v>
      </c>
      <c r="T267" s="52">
        <f t="shared" si="4"/>
        <v>-3.2000000000000021E-2</v>
      </c>
      <c r="U267" s="1">
        <f t="shared" si="3"/>
        <v>1.4182291755174075</v>
      </c>
    </row>
    <row r="268" spans="1:25" ht="15">
      <c r="A268" s="84">
        <v>682.21</v>
      </c>
      <c r="B268" s="84">
        <v>688.2</v>
      </c>
      <c r="C268" s="84">
        <v>681.57</v>
      </c>
      <c r="D268" s="84">
        <v>686.67</v>
      </c>
      <c r="E268" s="85">
        <v>5321985.3398000002</v>
      </c>
      <c r="F268" s="83" t="s">
        <v>273</v>
      </c>
      <c r="G268" s="25">
        <f t="shared" si="0"/>
        <v>-6.4951141013877001E-3</v>
      </c>
      <c r="I268" s="84">
        <v>193.79621734592399</v>
      </c>
      <c r="J268" s="84">
        <v>196.88595337643397</v>
      </c>
      <c r="K268" s="84">
        <v>193.45734307160998</v>
      </c>
      <c r="L268" s="84">
        <v>193.98558826392298</v>
      </c>
      <c r="M268" s="85">
        <v>4606182.9217335591</v>
      </c>
      <c r="N268" s="83" t="s">
        <v>273</v>
      </c>
      <c r="O268" s="25">
        <f t="shared" si="1"/>
        <v>-9.7621127267111252E-4</v>
      </c>
      <c r="Q268" s="86">
        <v>-2.6000000000000016E-2</v>
      </c>
      <c r="R268">
        <v>6</v>
      </c>
      <c r="T268" s="52">
        <f t="shared" ref="T268:T296" si="5">T269-0.001</f>
        <v>-3.1000000000000021E-2</v>
      </c>
      <c r="U268" s="1">
        <f t="shared" si="3"/>
        <v>1.7129901512832013</v>
      </c>
    </row>
    <row r="269" spans="1:25" ht="15">
      <c r="A269" s="84">
        <v>683.17</v>
      </c>
      <c r="B269" s="84">
        <v>686.86530000000005</v>
      </c>
      <c r="C269" s="84">
        <v>680.92</v>
      </c>
      <c r="D269" s="84">
        <v>682.12</v>
      </c>
      <c r="E269" s="85">
        <v>5627641.4215000002</v>
      </c>
      <c r="F269" s="83" t="s">
        <v>274</v>
      </c>
      <c r="G269" s="25">
        <f t="shared" si="0"/>
        <v>1.5393185949685861E-3</v>
      </c>
      <c r="I269" s="84">
        <v>192.86929653677097</v>
      </c>
      <c r="J269" s="84">
        <v>197.782973514324</v>
      </c>
      <c r="K269" s="84">
        <v>192.33108445403698</v>
      </c>
      <c r="L269" s="84">
        <v>194.73310504549798</v>
      </c>
      <c r="M269" s="85">
        <v>4183303.6489646384</v>
      </c>
      <c r="N269" s="83" t="s">
        <v>274</v>
      </c>
      <c r="O269" s="25">
        <f t="shared" si="1"/>
        <v>-9.5710922305251023E-3</v>
      </c>
      <c r="Q269" s="86">
        <v>-2.5000000000000015E-2</v>
      </c>
      <c r="R269">
        <v>4</v>
      </c>
      <c r="T269" s="52">
        <f t="shared" si="5"/>
        <v>-3.000000000000002E-2</v>
      </c>
      <c r="U269" s="1">
        <f t="shared" si="3"/>
        <v>2.0566889693756032</v>
      </c>
    </row>
    <row r="270" spans="1:25" ht="15">
      <c r="A270" s="84">
        <v>690.14</v>
      </c>
      <c r="B270" s="84">
        <v>693.55</v>
      </c>
      <c r="C270" s="84">
        <v>687.43</v>
      </c>
      <c r="D270" s="84">
        <v>691.98</v>
      </c>
      <c r="E270" s="85">
        <v>4722611.2061000001</v>
      </c>
      <c r="F270" s="83" t="s">
        <v>275</v>
      </c>
      <c r="G270" s="25">
        <f t="shared" si="0"/>
        <v>-2.6590363883349788E-3</v>
      </c>
      <c r="I270" s="84">
        <v>193.71648222255601</v>
      </c>
      <c r="J270" s="84">
        <v>196.06866836191199</v>
      </c>
      <c r="K270" s="84">
        <v>192.21148176898498</v>
      </c>
      <c r="L270" s="84">
        <v>195.012177977286</v>
      </c>
      <c r="M270" s="85">
        <v>3519451.7070330698</v>
      </c>
      <c r="N270" s="83" t="s">
        <v>275</v>
      </c>
      <c r="O270" s="25">
        <f t="shared" si="1"/>
        <v>-6.6441786772972744E-3</v>
      </c>
      <c r="Q270" s="86">
        <v>-2.4000000000000014E-2</v>
      </c>
      <c r="R270">
        <v>6</v>
      </c>
      <c r="T270" s="52">
        <f t="shared" si="5"/>
        <v>-2.9000000000000019E-2</v>
      </c>
      <c r="U270" s="1">
        <f t="shared" si="3"/>
        <v>2.45463924644972</v>
      </c>
    </row>
    <row r="271" spans="1:25" ht="15">
      <c r="A271" s="84">
        <v>693.8</v>
      </c>
      <c r="B271" s="84">
        <v>694.5</v>
      </c>
      <c r="C271" s="84">
        <v>689.58</v>
      </c>
      <c r="D271" s="84">
        <v>693.27</v>
      </c>
      <c r="E271" s="85">
        <v>4110059.9393000002</v>
      </c>
      <c r="F271" s="83" t="s">
        <v>276</v>
      </c>
      <c r="G271" s="25">
        <f t="shared" si="0"/>
        <v>7.6449291041003065E-4</v>
      </c>
      <c r="I271" s="84">
        <v>195.24141645696898</v>
      </c>
      <c r="J271" s="84">
        <v>195.630125183388</v>
      </c>
      <c r="K271" s="84">
        <v>192.50052159119397</v>
      </c>
      <c r="L271" s="84">
        <v>194.36931354513149</v>
      </c>
      <c r="M271" s="85">
        <v>3550952.3276617955</v>
      </c>
      <c r="N271" s="83" t="s">
        <v>276</v>
      </c>
      <c r="O271" s="25">
        <f t="shared" si="1"/>
        <v>4.4868343460757742E-3</v>
      </c>
      <c r="Q271" s="86">
        <v>-2.3000000000000013E-2</v>
      </c>
      <c r="R271">
        <v>3</v>
      </c>
      <c r="T271" s="52">
        <f t="shared" si="5"/>
        <v>-2.8000000000000018E-2</v>
      </c>
      <c r="U271" s="1">
        <f t="shared" si="3"/>
        <v>2.9121385320444575</v>
      </c>
    </row>
    <row r="272" spans="1:25" ht="15">
      <c r="A272" s="84">
        <v>691.1</v>
      </c>
      <c r="B272" s="84">
        <v>692.4</v>
      </c>
      <c r="C272" s="84">
        <v>688.2</v>
      </c>
      <c r="D272" s="84">
        <v>690.21</v>
      </c>
      <c r="E272" s="85">
        <v>4570040.4051000001</v>
      </c>
      <c r="F272" s="83" t="s">
        <v>277</v>
      </c>
      <c r="G272" s="25">
        <f t="shared" si="0"/>
        <v>1.289462627316329E-3</v>
      </c>
      <c r="I272" s="84">
        <v>192.74969385171897</v>
      </c>
      <c r="J272" s="84">
        <v>197.84277485684999</v>
      </c>
      <c r="K272" s="84">
        <v>192.74969385171897</v>
      </c>
      <c r="L272" s="84">
        <v>195.72979408759798</v>
      </c>
      <c r="M272" s="85">
        <v>4258120.0349689294</v>
      </c>
      <c r="N272" s="83" t="s">
        <v>277</v>
      </c>
      <c r="O272" s="25">
        <f t="shared" si="1"/>
        <v>-1.5225583053264158E-2</v>
      </c>
      <c r="Q272" s="86">
        <v>-2.2000000000000013E-2</v>
      </c>
      <c r="R272">
        <v>6</v>
      </c>
      <c r="T272" s="52">
        <f t="shared" si="5"/>
        <v>-2.7000000000000017E-2</v>
      </c>
      <c r="U272" s="1">
        <f t="shared" si="3"/>
        <v>3.4343273613215235</v>
      </c>
    </row>
    <row r="273" spans="1:21" ht="15">
      <c r="A273" s="84">
        <v>688.5</v>
      </c>
      <c r="B273" s="84">
        <v>692.96</v>
      </c>
      <c r="C273" s="84">
        <v>687.54</v>
      </c>
      <c r="D273" s="84">
        <v>691.6</v>
      </c>
      <c r="E273" s="85">
        <v>6587891.3572000004</v>
      </c>
      <c r="F273" s="83" t="s">
        <v>278</v>
      </c>
      <c r="G273" s="25">
        <f t="shared" si="0"/>
        <v>-4.4823597455176944E-3</v>
      </c>
      <c r="I273" s="84">
        <v>195.73976097801898</v>
      </c>
      <c r="J273" s="84">
        <v>197.03206799000586</v>
      </c>
      <c r="K273" s="84">
        <v>194.5786182439725</v>
      </c>
      <c r="L273" s="84">
        <v>195.789595430124</v>
      </c>
      <c r="M273" s="85">
        <v>3617510.7535076612</v>
      </c>
      <c r="N273" s="83" t="s">
        <v>278</v>
      </c>
      <c r="O273" s="25">
        <f t="shared" si="1"/>
        <v>-2.5453064548985882E-4</v>
      </c>
      <c r="Q273" s="86">
        <v>-2.1000000000000012E-2</v>
      </c>
      <c r="R273">
        <v>8</v>
      </c>
      <c r="T273" s="52">
        <f t="shared" si="5"/>
        <v>-2.6000000000000016E-2</v>
      </c>
      <c r="U273" s="1">
        <f t="shared" si="3"/>
        <v>4.0260267039443942</v>
      </c>
    </row>
    <row r="274" spans="1:21" ht="15">
      <c r="A274" s="84">
        <v>693.86</v>
      </c>
      <c r="B274" s="84">
        <v>694.33</v>
      </c>
      <c r="C274" s="84">
        <v>687.63</v>
      </c>
      <c r="D274" s="84">
        <v>691.25</v>
      </c>
      <c r="E274" s="85">
        <v>4666892.8554999996</v>
      </c>
      <c r="F274" s="83" t="s">
        <v>279</v>
      </c>
      <c r="G274" s="25">
        <f t="shared" si="0"/>
        <v>3.7757685352621806E-3</v>
      </c>
      <c r="I274" s="84">
        <v>195.281284018653</v>
      </c>
      <c r="J274" s="84">
        <v>196.03627596804375</v>
      </c>
      <c r="K274" s="84">
        <v>191.95234261803901</v>
      </c>
      <c r="L274" s="84">
        <v>194.36433009992098</v>
      </c>
      <c r="M274" s="85">
        <v>2829509.5299312514</v>
      </c>
      <c r="N274" s="83" t="s">
        <v>279</v>
      </c>
      <c r="O274" s="25">
        <f t="shared" si="1"/>
        <v>4.717706784267639E-3</v>
      </c>
      <c r="Q274" s="86">
        <v>-2.0000000000000011E-2</v>
      </c>
      <c r="R274">
        <v>13</v>
      </c>
      <c r="T274" s="52">
        <f t="shared" si="5"/>
        <v>-2.5000000000000015E-2</v>
      </c>
      <c r="U274" s="1">
        <f t="shared" si="3"/>
        <v>4.6915561075784362</v>
      </c>
    </row>
    <row r="275" spans="1:21" ht="15">
      <c r="A275" s="84">
        <v>690.69</v>
      </c>
      <c r="B275" s="84">
        <v>691.18619999999999</v>
      </c>
      <c r="C275" s="84">
        <v>685.29</v>
      </c>
      <c r="D275" s="84">
        <v>686.95</v>
      </c>
      <c r="E275" s="85">
        <v>6395880.3809000002</v>
      </c>
      <c r="F275" s="83" t="s">
        <v>280</v>
      </c>
      <c r="G275" s="25">
        <f t="shared" si="0"/>
        <v>5.4443554843874864E-3</v>
      </c>
      <c r="I275" s="84">
        <v>194.55370101791999</v>
      </c>
      <c r="J275" s="84">
        <v>195.18161511444302</v>
      </c>
      <c r="K275" s="84">
        <v>192.3609851253</v>
      </c>
      <c r="L275" s="84">
        <v>193.34770727697901</v>
      </c>
      <c r="M275" s="85">
        <v>3283193.790919275</v>
      </c>
      <c r="N275" s="83" t="s">
        <v>280</v>
      </c>
      <c r="O275" s="25">
        <f t="shared" si="1"/>
        <v>6.2374349193257128E-3</v>
      </c>
      <c r="Q275" s="86">
        <v>-1.900000000000001E-2</v>
      </c>
      <c r="R275">
        <v>3</v>
      </c>
      <c r="T275" s="52">
        <f t="shared" si="5"/>
        <v>-2.4000000000000014E-2</v>
      </c>
      <c r="U275" s="1">
        <f t="shared" si="3"/>
        <v>5.4345361255085489</v>
      </c>
    </row>
    <row r="276" spans="1:21" ht="15">
      <c r="A276" s="84">
        <v>685.26</v>
      </c>
      <c r="B276" s="84">
        <v>685.84</v>
      </c>
      <c r="C276" s="84">
        <v>679.73</v>
      </c>
      <c r="D276" s="84">
        <v>683.1</v>
      </c>
      <c r="E276" s="85">
        <v>4805362.7424999997</v>
      </c>
      <c r="F276" s="83" t="s">
        <v>281</v>
      </c>
      <c r="G276" s="25">
        <f t="shared" si="0"/>
        <v>3.1620553359683612E-3</v>
      </c>
      <c r="I276" s="84">
        <v>194.264661195711</v>
      </c>
      <c r="J276" s="84">
        <v>199.74535456931469</v>
      </c>
      <c r="K276" s="84">
        <v>194.04538960644899</v>
      </c>
      <c r="L276" s="84">
        <v>198.34111937789999</v>
      </c>
      <c r="M276" s="85">
        <v>4169888.2587724999</v>
      </c>
      <c r="N276" s="83" t="s">
        <v>281</v>
      </c>
      <c r="O276" s="25">
        <f t="shared" si="1"/>
        <v>-2.0552763819095432E-2</v>
      </c>
      <c r="Q276" s="86">
        <v>-1.8000000000000009E-2</v>
      </c>
      <c r="R276">
        <v>14</v>
      </c>
      <c r="T276" s="52">
        <f t="shared" si="5"/>
        <v>-2.3000000000000013E-2</v>
      </c>
      <c r="U276" s="1">
        <f t="shared" si="3"/>
        <v>6.2576799544930113</v>
      </c>
    </row>
    <row r="277" spans="1:21" ht="15">
      <c r="A277" s="84">
        <v>687.08</v>
      </c>
      <c r="B277" s="84">
        <v>690.24</v>
      </c>
      <c r="C277" s="84">
        <v>684.98900000000003</v>
      </c>
      <c r="D277" s="84">
        <v>689.58</v>
      </c>
      <c r="E277" s="85">
        <v>4816042.4768000003</v>
      </c>
      <c r="F277" s="83" t="s">
        <v>282</v>
      </c>
      <c r="G277" s="25">
        <f t="shared" si="0"/>
        <v>-3.6253951680733643E-3</v>
      </c>
      <c r="I277" s="84">
        <v>200.18499410578499</v>
      </c>
      <c r="J277" s="84">
        <v>203.26476324587398</v>
      </c>
      <c r="K277" s="84">
        <v>198.97900036484398</v>
      </c>
      <c r="L277" s="84">
        <v>202.86608762903398</v>
      </c>
      <c r="M277" s="85">
        <v>4398513.6100855712</v>
      </c>
      <c r="N277" s="83" t="s">
        <v>282</v>
      </c>
      <c r="O277" s="25">
        <f t="shared" si="1"/>
        <v>-1.3216075464282162E-2</v>
      </c>
      <c r="Q277" s="86">
        <v>-1.7000000000000008E-2</v>
      </c>
      <c r="R277">
        <v>10</v>
      </c>
      <c r="T277" s="52">
        <f t="shared" si="5"/>
        <v>-2.2000000000000013E-2</v>
      </c>
      <c r="U277" s="1">
        <f t="shared" si="3"/>
        <v>7.1625805219233536</v>
      </c>
    </row>
    <row r="278" spans="1:21" ht="15">
      <c r="A278" s="84">
        <v>690.62</v>
      </c>
      <c r="B278" s="84">
        <v>691.57500000000005</v>
      </c>
      <c r="C278" s="84">
        <v>687</v>
      </c>
      <c r="D278" s="84">
        <v>688.11</v>
      </c>
      <c r="E278" s="85">
        <v>5575659.2198000001</v>
      </c>
      <c r="F278" s="83" t="s">
        <v>283</v>
      </c>
      <c r="G278" s="25">
        <f t="shared" si="0"/>
        <v>3.6476726104837098E-3</v>
      </c>
      <c r="I278" s="84">
        <v>200.70327240767699</v>
      </c>
      <c r="J278" s="84">
        <v>201.87936547735501</v>
      </c>
      <c r="K278" s="84">
        <v>197.29957932890551</v>
      </c>
      <c r="L278" s="84">
        <v>199.33780841999999</v>
      </c>
      <c r="M278" s="85">
        <v>6581120.0343686417</v>
      </c>
      <c r="N278" s="83" t="s">
        <v>283</v>
      </c>
      <c r="O278" s="25">
        <f t="shared" si="1"/>
        <v>6.8500000000000227E-3</v>
      </c>
      <c r="Q278" s="86">
        <v>-1.6000000000000007E-2</v>
      </c>
      <c r="R278">
        <v>11</v>
      </c>
      <c r="T278" s="52">
        <f t="shared" si="5"/>
        <v>-2.1000000000000012E-2</v>
      </c>
      <c r="U278" s="1">
        <f t="shared" si="3"/>
        <v>8.1495004710068653</v>
      </c>
    </row>
    <row r="279" spans="1:21" ht="15">
      <c r="A279" s="84">
        <v>684.84</v>
      </c>
      <c r="B279" s="84">
        <v>690.5</v>
      </c>
      <c r="C279" s="84">
        <v>680.21500000000003</v>
      </c>
      <c r="D279" s="84">
        <v>686.98</v>
      </c>
      <c r="E279" s="85">
        <v>6980816.8136</v>
      </c>
      <c r="F279" s="83" t="s">
        <v>284</v>
      </c>
      <c r="G279" s="25">
        <f t="shared" si="0"/>
        <v>-3.1150834085417189E-3</v>
      </c>
      <c r="I279" s="84">
        <v>198.59029163842499</v>
      </c>
      <c r="J279" s="84">
        <v>199.03381826215949</v>
      </c>
      <c r="K279" s="84">
        <v>193.40252517429448</v>
      </c>
      <c r="L279" s="84">
        <v>194.125124729817</v>
      </c>
      <c r="M279" s="85">
        <v>5164902.9175174879</v>
      </c>
      <c r="N279" s="83" t="s">
        <v>284</v>
      </c>
      <c r="O279" s="25">
        <f t="shared" si="1"/>
        <v>2.3001488935667558E-2</v>
      </c>
      <c r="Q279" s="86">
        <v>-1.5000000000000006E-2</v>
      </c>
      <c r="R279">
        <v>23</v>
      </c>
      <c r="T279" s="52">
        <f t="shared" si="5"/>
        <v>-2.0000000000000011E-2</v>
      </c>
      <c r="U279" s="1">
        <f t="shared" si="3"/>
        <v>9.2171735129005707</v>
      </c>
    </row>
    <row r="280" spans="1:21" ht="15">
      <c r="A280" s="84">
        <v>685.46</v>
      </c>
      <c r="B280" s="84">
        <v>688.83</v>
      </c>
      <c r="C280" s="84">
        <v>682.3</v>
      </c>
      <c r="D280" s="84">
        <v>684.73</v>
      </c>
      <c r="E280" s="85">
        <v>8627875.0035999995</v>
      </c>
      <c r="F280" s="83" t="s">
        <v>285</v>
      </c>
      <c r="G280" s="25">
        <f t="shared" si="0"/>
        <v>1.0661136506360247E-3</v>
      </c>
      <c r="I280" s="84">
        <v>191.145024493938</v>
      </c>
      <c r="J280" s="84">
        <v>191.18489205562199</v>
      </c>
      <c r="K280" s="84">
        <v>188.344328285637</v>
      </c>
      <c r="L280" s="84">
        <v>189.84932873920798</v>
      </c>
      <c r="M280" s="85">
        <v>3780049.3650074615</v>
      </c>
      <c r="N280" s="83" t="s">
        <v>285</v>
      </c>
      <c r="O280" s="25">
        <f t="shared" si="1"/>
        <v>6.8248635027301496E-3</v>
      </c>
      <c r="Q280" s="86">
        <v>-1.4000000000000005E-2</v>
      </c>
      <c r="R280">
        <v>16</v>
      </c>
      <c r="T280" s="52">
        <f t="shared" si="5"/>
        <v>-1.900000000000001E-2</v>
      </c>
      <c r="U280" s="1">
        <f t="shared" si="3"/>
        <v>10.36262635786759</v>
      </c>
    </row>
    <row r="281" spans="1:21" ht="15">
      <c r="A281" s="84">
        <v>686.81</v>
      </c>
      <c r="B281" s="84">
        <v>687.529</v>
      </c>
      <c r="C281" s="84">
        <v>680.99</v>
      </c>
      <c r="D281" s="84">
        <v>681.32</v>
      </c>
      <c r="E281" s="85">
        <v>9853712.8944000006</v>
      </c>
      <c r="F281" s="83" t="s">
        <v>286</v>
      </c>
      <c r="G281" s="25">
        <f t="shared" si="0"/>
        <v>8.0578876298946778E-3</v>
      </c>
      <c r="I281" s="84">
        <v>189.10181195763298</v>
      </c>
      <c r="J281" s="84">
        <v>189.47058690320998</v>
      </c>
      <c r="K281" s="84">
        <v>186.211413735543</v>
      </c>
      <c r="L281" s="84">
        <v>188.3742289569</v>
      </c>
      <c r="M281" s="85">
        <v>4035052.6401157072</v>
      </c>
      <c r="N281" s="83" t="s">
        <v>286</v>
      </c>
      <c r="O281" s="25">
        <f t="shared" si="1"/>
        <v>3.8624338624337895E-3</v>
      </c>
      <c r="Q281" s="86">
        <v>-1.3000000000000005E-2</v>
      </c>
      <c r="R281">
        <v>15</v>
      </c>
      <c r="T281" s="52">
        <f t="shared" si="5"/>
        <v>-1.8000000000000009E-2</v>
      </c>
      <c r="U281" s="1">
        <f t="shared" si="3"/>
        <v>11.581030820347012</v>
      </c>
    </row>
    <row r="282" spans="1:21" ht="15">
      <c r="A282" s="84">
        <v>681.01</v>
      </c>
      <c r="B282" s="84">
        <v>681.56500000000005</v>
      </c>
      <c r="C282" s="84">
        <v>672.93</v>
      </c>
      <c r="D282" s="84">
        <v>677.01</v>
      </c>
      <c r="E282" s="85">
        <v>5649228.7867999999</v>
      </c>
      <c r="F282" s="83" t="s">
        <v>287</v>
      </c>
      <c r="G282" s="25">
        <f t="shared" si="0"/>
        <v>5.9083322255211179E-3</v>
      </c>
      <c r="I282" s="84">
        <v>186.70975825659301</v>
      </c>
      <c r="J282" s="84">
        <v>189.251315313948</v>
      </c>
      <c r="K282" s="84">
        <v>186.54032111943599</v>
      </c>
      <c r="L282" s="84">
        <v>186.988831188381</v>
      </c>
      <c r="M282" s="85">
        <v>3513822.9575806032</v>
      </c>
      <c r="N282" s="83" t="s">
        <v>287</v>
      </c>
      <c r="O282" s="25">
        <f t="shared" si="1"/>
        <v>-1.4924577581152398E-3</v>
      </c>
      <c r="Q282" s="86">
        <v>-1.2000000000000004E-2</v>
      </c>
      <c r="R282">
        <v>26</v>
      </c>
      <c r="T282" s="52">
        <f t="shared" si="5"/>
        <v>-1.7000000000000008E-2</v>
      </c>
      <c r="U282" s="1">
        <f t="shared" si="3"/>
        <v>12.865595642901889</v>
      </c>
    </row>
    <row r="283" spans="1:21" ht="15">
      <c r="A283" s="84">
        <v>670.26</v>
      </c>
      <c r="B283" s="84">
        <v>676.95500000000004</v>
      </c>
      <c r="C283" s="84">
        <v>668.1</v>
      </c>
      <c r="D283" s="84">
        <v>669.96</v>
      </c>
      <c r="E283" s="85">
        <v>5935648.6288000001</v>
      </c>
      <c r="F283" s="83" t="s">
        <v>288</v>
      </c>
      <c r="G283" s="25">
        <f t="shared" si="0"/>
        <v>4.4778792763744413E-4</v>
      </c>
      <c r="I283" s="84">
        <v>187.367573024379</v>
      </c>
      <c r="J283" s="84">
        <v>189.859295629629</v>
      </c>
      <c r="K283" s="84">
        <v>186.26124818764799</v>
      </c>
      <c r="L283" s="84">
        <v>186.65992380448799</v>
      </c>
      <c r="M283" s="85">
        <v>7953430.8980640499</v>
      </c>
      <c r="N283" s="83" t="s">
        <v>288</v>
      </c>
      <c r="O283" s="25">
        <f t="shared" si="1"/>
        <v>3.7911149081588658E-3</v>
      </c>
      <c r="Q283" s="86">
        <v>-1.1000000000000003E-2</v>
      </c>
      <c r="R283">
        <v>26</v>
      </c>
      <c r="T283" s="52">
        <f t="shared" si="5"/>
        <v>-1.6000000000000007E-2</v>
      </c>
      <c r="U283" s="1">
        <f t="shared" si="3"/>
        <v>14.207507046288388</v>
      </c>
    </row>
    <row r="284" spans="1:21" ht="15">
      <c r="A284" s="84">
        <v>673.74779998746499</v>
      </c>
      <c r="B284" s="84">
        <v>679.56087020091002</v>
      </c>
      <c r="C284" s="84">
        <v>670.62688922107009</v>
      </c>
      <c r="D284" s="84">
        <v>679.16203176430997</v>
      </c>
      <c r="E284" s="85">
        <v>23355606.123143647</v>
      </c>
      <c r="F284" s="83" t="s">
        <v>289</v>
      </c>
      <c r="G284" s="25">
        <f t="shared" si="0"/>
        <v>-7.9719294124556139E-3</v>
      </c>
      <c r="I284" s="84">
        <v>185.972208365439</v>
      </c>
      <c r="J284" s="84">
        <v>189.03204372468599</v>
      </c>
      <c r="K284" s="84">
        <v>183.739624911135</v>
      </c>
      <c r="L284" s="84">
        <v>184.38747278849999</v>
      </c>
      <c r="M284" s="85">
        <v>3592678.9904857124</v>
      </c>
      <c r="N284" s="83" t="s">
        <v>289</v>
      </c>
      <c r="O284" s="25">
        <f t="shared" si="1"/>
        <v>8.5945945945946622E-3</v>
      </c>
      <c r="Q284" s="86">
        <v>-1.0000000000000002E-2</v>
      </c>
      <c r="R284">
        <v>30</v>
      </c>
      <c r="T284" s="52">
        <f t="shared" si="5"/>
        <v>-1.5000000000000006E-2</v>
      </c>
      <c r="U284" s="1">
        <f t="shared" si="3"/>
        <v>15.595925955831975</v>
      </c>
    </row>
    <row r="285" spans="1:21" ht="15">
      <c r="A285" s="84">
        <v>673.72785806563502</v>
      </c>
      <c r="B285" s="84">
        <v>680.08933112940508</v>
      </c>
      <c r="C285" s="84">
        <v>671.72369492171993</v>
      </c>
      <c r="D285" s="84">
        <v>675.71207928771992</v>
      </c>
      <c r="E285" s="85">
        <v>9593615.7837200798</v>
      </c>
      <c r="F285" s="83" t="s">
        <v>290</v>
      </c>
      <c r="G285" s="25">
        <f t="shared" si="0"/>
        <v>-2.9364891984415831E-3</v>
      </c>
      <c r="I285" s="84">
        <v>184.44727413102601</v>
      </c>
      <c r="J285" s="84">
        <v>186.81939405122398</v>
      </c>
      <c r="K285" s="84">
        <v>184.03863162376501</v>
      </c>
      <c r="L285" s="84">
        <v>186.80942716080301</v>
      </c>
      <c r="M285" s="85">
        <v>4210222.1335337786</v>
      </c>
      <c r="N285" s="83" t="s">
        <v>290</v>
      </c>
      <c r="O285" s="25">
        <f t="shared" si="1"/>
        <v>-1.2644720695726419E-2</v>
      </c>
      <c r="Q285" s="86">
        <v>-9.0000000000000011E-3</v>
      </c>
      <c r="R285">
        <v>41</v>
      </c>
      <c r="T285" s="52">
        <f t="shared" si="5"/>
        <v>-1.4000000000000005E-2</v>
      </c>
      <c r="U285" s="1">
        <f t="shared" si="3"/>
        <v>17.018048275031287</v>
      </c>
    </row>
    <row r="286" spans="1:21" ht="15">
      <c r="A286" s="84">
        <v>674.37597052511001</v>
      </c>
      <c r="B286" s="84">
        <v>679.7491219429852</v>
      </c>
      <c r="C286" s="84">
        <v>673.05980368432995</v>
      </c>
      <c r="D286" s="84">
        <v>674.39092696648254</v>
      </c>
      <c r="E286" s="85">
        <v>17263981.413069256</v>
      </c>
      <c r="F286" s="83" t="s">
        <v>291</v>
      </c>
      <c r="G286" s="25">
        <f t="shared" si="0"/>
        <v>-2.2177702537873323E-5</v>
      </c>
      <c r="I286" s="84">
        <v>185.77287055701899</v>
      </c>
      <c r="J286" s="84">
        <v>186.09679449570149</v>
      </c>
      <c r="K286" s="84">
        <v>181.227968525043</v>
      </c>
      <c r="L286" s="84">
        <v>182.39409470429999</v>
      </c>
      <c r="M286" s="85">
        <v>3916123.9894602834</v>
      </c>
      <c r="N286" s="83" t="s">
        <v>291</v>
      </c>
      <c r="O286" s="25">
        <f t="shared" si="1"/>
        <v>1.8524590163934374E-2</v>
      </c>
      <c r="Q286" s="86">
        <v>-8.0000000000000002E-3</v>
      </c>
      <c r="R286">
        <v>34</v>
      </c>
      <c r="T286" s="52">
        <f t="shared" si="5"/>
        <v>-1.3000000000000005E-2</v>
      </c>
      <c r="U286" s="1">
        <f t="shared" si="3"/>
        <v>18.459232505277459</v>
      </c>
    </row>
    <row r="287" spans="1:21" ht="15">
      <c r="A287" s="84">
        <v>684.10762837815003</v>
      </c>
      <c r="B287" s="84">
        <v>689.49194727225006</v>
      </c>
      <c r="C287" s="84">
        <v>683.01082267749996</v>
      </c>
      <c r="D287" s="84">
        <v>687.16871337905491</v>
      </c>
      <c r="E287" s="85">
        <v>13365184.608990114</v>
      </c>
      <c r="F287" s="83" t="s">
        <v>292</v>
      </c>
      <c r="G287" s="25">
        <f t="shared" si="0"/>
        <v>-4.4546338349026326E-3</v>
      </c>
      <c r="I287" s="84">
        <v>181.227968525043</v>
      </c>
      <c r="J287" s="84">
        <v>185.095122008391</v>
      </c>
      <c r="K287" s="84">
        <v>180.37081594883699</v>
      </c>
      <c r="L287" s="84">
        <v>183.978830281239</v>
      </c>
      <c r="M287" s="85">
        <v>6368011.6493777996</v>
      </c>
      <c r="N287" s="83" t="s">
        <v>292</v>
      </c>
      <c r="O287" s="25">
        <f t="shared" si="1"/>
        <v>-1.4952055907687334E-2</v>
      </c>
      <c r="Q287" s="86">
        <v>-7.0000000000000001E-3</v>
      </c>
      <c r="R287">
        <v>32</v>
      </c>
      <c r="T287" s="52">
        <f t="shared" si="5"/>
        <v>-1.2000000000000004E-2</v>
      </c>
      <c r="U287" s="1">
        <f t="shared" si="3"/>
        <v>19.903196509178212</v>
      </c>
    </row>
    <row r="288" spans="1:21" ht="15">
      <c r="A288" s="84">
        <v>686.111791522065</v>
      </c>
      <c r="B288" s="84">
        <v>687.69717430755009</v>
      </c>
      <c r="C288" s="84">
        <v>683.70878994155009</v>
      </c>
      <c r="D288" s="84">
        <v>687.29833587094993</v>
      </c>
      <c r="E288" s="85">
        <v>17768871.503895573</v>
      </c>
      <c r="F288" s="83" t="s">
        <v>293</v>
      </c>
      <c r="G288" s="25">
        <f t="shared" si="0"/>
        <v>-1.7263890903814749E-3</v>
      </c>
      <c r="I288" s="84">
        <v>184.98548621376</v>
      </c>
      <c r="J288" s="84">
        <v>193.527111304557</v>
      </c>
      <c r="K288" s="84">
        <v>183.80949281298621</v>
      </c>
      <c r="L288" s="84">
        <v>193.35767416740001</v>
      </c>
      <c r="M288" s="85">
        <v>8482051.3198255822</v>
      </c>
      <c r="N288" s="83" t="s">
        <v>293</v>
      </c>
      <c r="O288" s="25">
        <f t="shared" si="1"/>
        <v>-4.3298969072165017E-2</v>
      </c>
      <c r="Q288" s="86">
        <v>-6.0000000000000001E-3</v>
      </c>
      <c r="R288">
        <v>59</v>
      </c>
      <c r="T288" s="52">
        <f t="shared" si="5"/>
        <v>-1.1000000000000003E-2</v>
      </c>
      <c r="U288" s="1">
        <f t="shared" si="3"/>
        <v>21.332282380876507</v>
      </c>
    </row>
    <row r="289" spans="1:21" ht="15">
      <c r="A289" s="84">
        <v>679.431247709015</v>
      </c>
      <c r="B289" s="84">
        <v>689.52186015499501</v>
      </c>
      <c r="C289" s="84">
        <v>677.66638762705998</v>
      </c>
      <c r="D289" s="84">
        <v>688.75409616453999</v>
      </c>
      <c r="E289" s="85">
        <v>15004527.195962839</v>
      </c>
      <c r="F289" s="83" t="s">
        <v>294</v>
      </c>
      <c r="G289" s="25">
        <f t="shared" si="0"/>
        <v>-1.3535815623371361E-2</v>
      </c>
      <c r="I289" s="84">
        <v>191.94237572761801</v>
      </c>
      <c r="J289" s="84">
        <v>192.8144786394555</v>
      </c>
      <c r="K289" s="84">
        <v>185.76290366659799</v>
      </c>
      <c r="L289" s="84">
        <v>188.125056696375</v>
      </c>
      <c r="M289" s="85">
        <v>7182818.8484104136</v>
      </c>
      <c r="N289" s="83" t="s">
        <v>294</v>
      </c>
      <c r="O289" s="25">
        <f t="shared" si="1"/>
        <v>2.0291390728476966E-2</v>
      </c>
      <c r="Q289" s="86">
        <v>-5.0000000000000001E-3</v>
      </c>
      <c r="R289">
        <v>56</v>
      </c>
      <c r="T289" s="52">
        <f t="shared" si="5"/>
        <v>-1.0000000000000002E-2</v>
      </c>
      <c r="U289" s="1">
        <f t="shared" si="3"/>
        <v>22.727785346624685</v>
      </c>
    </row>
    <row r="290" spans="1:21" ht="15">
      <c r="A290" s="84">
        <v>687.74702911212501</v>
      </c>
      <c r="B290" s="84">
        <v>692.55303227315505</v>
      </c>
      <c r="C290" s="84">
        <v>687.43792932376005</v>
      </c>
      <c r="D290" s="84">
        <v>691.8151811654451</v>
      </c>
      <c r="E290" s="85">
        <v>13322313.582251165</v>
      </c>
      <c r="F290" s="83" t="s">
        <v>295</v>
      </c>
      <c r="G290" s="25">
        <f t="shared" ref="G290:G353" si="6">A290/D290-1</f>
        <v>-5.8804029805573643E-3</v>
      </c>
      <c r="I290" s="84">
        <v>186.15161239301702</v>
      </c>
      <c r="J290" s="84">
        <v>186.231347516385</v>
      </c>
      <c r="K290" s="84">
        <v>181.64757461176711</v>
      </c>
      <c r="L290" s="84">
        <v>183.63995600692499</v>
      </c>
      <c r="M290" s="85">
        <v>5113710.5216499697</v>
      </c>
      <c r="N290" s="83" t="s">
        <v>295</v>
      </c>
      <c r="O290" s="25">
        <f t="shared" ref="O290:O353" si="7">I290/L290-1</f>
        <v>1.3677069199457437E-2</v>
      </c>
      <c r="Q290" s="86">
        <v>-4.0000000000000001E-3</v>
      </c>
      <c r="R290">
        <v>44</v>
      </c>
      <c r="T290" s="52">
        <f t="shared" si="5"/>
        <v>-9.0000000000000011E-3</v>
      </c>
      <c r="U290" s="1">
        <f t="shared" si="3"/>
        <v>24.070339523608425</v>
      </c>
    </row>
    <row r="291" spans="1:21" ht="15">
      <c r="A291" s="84">
        <v>691.8151811654451</v>
      </c>
      <c r="B291" s="84">
        <v>693.72960566112499</v>
      </c>
      <c r="C291" s="84">
        <v>689.25264421028999</v>
      </c>
      <c r="D291" s="84">
        <v>689.29252805394992</v>
      </c>
      <c r="E291" s="85">
        <v>14057972.880540572</v>
      </c>
      <c r="F291" s="83" t="s">
        <v>296</v>
      </c>
      <c r="G291" s="25">
        <f t="shared" si="6"/>
        <v>3.6597714451036545E-3</v>
      </c>
      <c r="I291" s="84">
        <v>183.03197569124399</v>
      </c>
      <c r="J291" s="84">
        <v>185.83765534475552</v>
      </c>
      <c r="K291" s="84">
        <v>182.27449201924799</v>
      </c>
      <c r="L291" s="84">
        <v>183.25124728050602</v>
      </c>
      <c r="M291" s="85">
        <v>6082587.7147465833</v>
      </c>
      <c r="N291" s="83" t="s">
        <v>296</v>
      </c>
      <c r="O291" s="25">
        <f t="shared" si="7"/>
        <v>-1.196562601979978E-3</v>
      </c>
      <c r="Q291" s="86">
        <v>-3.0000000000000001E-3</v>
      </c>
      <c r="R291">
        <v>60</v>
      </c>
      <c r="T291" s="52">
        <f t="shared" si="5"/>
        <v>-8.0000000000000002E-3</v>
      </c>
      <c r="U291" s="1">
        <f t="shared" si="3"/>
        <v>25.340350381606896</v>
      </c>
    </row>
    <row r="292" spans="1:21" ht="15">
      <c r="A292" s="84">
        <v>679.96967959842505</v>
      </c>
      <c r="B292" s="84">
        <v>682.45115264134108</v>
      </c>
      <c r="C292" s="84">
        <v>673.84750959661494</v>
      </c>
      <c r="D292" s="84">
        <v>679.09722051836252</v>
      </c>
      <c r="E292" s="85">
        <v>6314635.7692848304</v>
      </c>
      <c r="F292" s="83" t="s">
        <v>297</v>
      </c>
      <c r="G292" s="25">
        <f t="shared" si="6"/>
        <v>1.2847336930588149E-3</v>
      </c>
      <c r="I292" s="84">
        <v>182.92233989661301</v>
      </c>
      <c r="J292" s="84">
        <v>184.25291976781651</v>
      </c>
      <c r="K292" s="84">
        <v>181.26783608672699</v>
      </c>
      <c r="L292" s="84">
        <v>184.078499185449</v>
      </c>
      <c r="M292" s="85">
        <v>3356837.6279633227</v>
      </c>
      <c r="N292" s="83" t="s">
        <v>297</v>
      </c>
      <c r="O292" s="25">
        <f t="shared" si="7"/>
        <v>-6.2807948454166596E-3</v>
      </c>
      <c r="Q292" s="86">
        <v>-2E-3</v>
      </c>
      <c r="R292">
        <v>58</v>
      </c>
      <c r="T292" s="52">
        <f t="shared" si="5"/>
        <v>-7.0000000000000001E-3</v>
      </c>
      <c r="U292" s="1">
        <f t="shared" si="3"/>
        <v>26.518461053653382</v>
      </c>
    </row>
    <row r="293" spans="1:21" ht="15">
      <c r="A293" s="84">
        <v>676.26048213804506</v>
      </c>
      <c r="B293" s="84">
        <v>678.40423873477005</v>
      </c>
      <c r="C293" s="84">
        <v>664.065996939</v>
      </c>
      <c r="D293" s="84">
        <v>668.15409091415006</v>
      </c>
      <c r="E293" s="85">
        <v>19926769.008100156</v>
      </c>
      <c r="F293" s="83" t="s">
        <v>298</v>
      </c>
      <c r="G293" s="25">
        <f t="shared" si="6"/>
        <v>1.2132517534696241E-2</v>
      </c>
      <c r="I293" s="84">
        <v>183.600088445241</v>
      </c>
      <c r="J293" s="84">
        <v>183.78945936324001</v>
      </c>
      <c r="K293" s="84">
        <v>177.430583274642</v>
      </c>
      <c r="L293" s="84">
        <v>177.430583274642</v>
      </c>
      <c r="M293" s="85">
        <v>6464334.6226872299</v>
      </c>
      <c r="N293" s="83" t="s">
        <v>298</v>
      </c>
      <c r="O293" s="25">
        <f t="shared" si="7"/>
        <v>3.4771374002920963E-2</v>
      </c>
      <c r="Q293" s="86">
        <v>-1E-3</v>
      </c>
      <c r="R293">
        <v>59</v>
      </c>
      <c r="T293" s="52">
        <f t="shared" si="5"/>
        <v>-6.0000000000000001E-3</v>
      </c>
      <c r="U293" s="1">
        <f t="shared" si="3"/>
        <v>27.586037396471522</v>
      </c>
    </row>
    <row r="294" spans="1:21" ht="15">
      <c r="A294" s="84">
        <v>665.11294783507492</v>
      </c>
      <c r="B294" s="84">
        <v>676.9036091170625</v>
      </c>
      <c r="C294" s="84">
        <v>664.94344149951996</v>
      </c>
      <c r="D294" s="84">
        <v>672.35685093982261</v>
      </c>
      <c r="E294" s="85">
        <v>16356103.013668267</v>
      </c>
      <c r="F294" s="83" t="s">
        <v>299</v>
      </c>
      <c r="G294" s="25">
        <f t="shared" si="6"/>
        <v>-1.0773896472716982E-2</v>
      </c>
      <c r="I294" s="84">
        <v>176.822602958961</v>
      </c>
      <c r="J294" s="84">
        <v>182.39409470429999</v>
      </c>
      <c r="K294" s="84">
        <v>176.34419221875299</v>
      </c>
      <c r="L294" s="84">
        <v>182.39409470429999</v>
      </c>
      <c r="M294" s="85">
        <v>6014621.3489708835</v>
      </c>
      <c r="N294" s="83" t="s">
        <v>299</v>
      </c>
      <c r="O294" s="25">
        <f t="shared" si="7"/>
        <v>-3.0546448087431677E-2</v>
      </c>
      <c r="Q294" s="86">
        <v>0</v>
      </c>
      <c r="R294">
        <v>51</v>
      </c>
      <c r="T294" s="52">
        <f t="shared" si="5"/>
        <v>-5.0000000000000001E-3</v>
      </c>
      <c r="U294" s="1">
        <f t="shared" si="3"/>
        <v>28.525655060443228</v>
      </c>
    </row>
    <row r="295" spans="1:21" ht="15">
      <c r="A295" s="84">
        <v>675.73202120955</v>
      </c>
      <c r="B295" s="84">
        <v>684.76571179854</v>
      </c>
      <c r="C295" s="84">
        <v>662.39097521488918</v>
      </c>
      <c r="D295" s="84">
        <v>681.72456871946508</v>
      </c>
      <c r="E295" s="85">
        <v>13824281.688200761</v>
      </c>
      <c r="F295" s="83" t="s">
        <v>300</v>
      </c>
      <c r="G295" s="25">
        <f t="shared" si="6"/>
        <v>-8.7902765792515769E-3</v>
      </c>
      <c r="I295" s="84">
        <v>180.958862483676</v>
      </c>
      <c r="J295" s="84">
        <v>182.17482311503801</v>
      </c>
      <c r="K295" s="84">
        <v>177.948861576534</v>
      </c>
      <c r="L295" s="84">
        <v>178.36747097421599</v>
      </c>
      <c r="M295" s="85">
        <v>5879955.1970111905</v>
      </c>
      <c r="N295" s="83" t="s">
        <v>300</v>
      </c>
      <c r="O295" s="25">
        <f t="shared" si="7"/>
        <v>1.4528386231560164E-2</v>
      </c>
      <c r="Q295" s="86">
        <v>1E-3</v>
      </c>
      <c r="R295">
        <v>48</v>
      </c>
      <c r="T295" s="52">
        <f t="shared" si="5"/>
        <v>-4.0000000000000001E-3</v>
      </c>
      <c r="U295" s="1">
        <f t="shared" si="3"/>
        <v>29.321570915672009</v>
      </c>
    </row>
    <row r="296" spans="1:21" ht="15">
      <c r="A296" s="84">
        <v>677.70627147071991</v>
      </c>
      <c r="B296" s="84">
        <v>683.29998054403495</v>
      </c>
      <c r="C296" s="84">
        <v>676.72911730105</v>
      </c>
      <c r="D296" s="84">
        <v>681.48526565750501</v>
      </c>
      <c r="E296" s="85">
        <v>8770213.3491915297</v>
      </c>
      <c r="F296" s="83" t="s">
        <v>301</v>
      </c>
      <c r="G296" s="25">
        <f t="shared" si="6"/>
        <v>-5.5452324169313894E-3</v>
      </c>
      <c r="I296" s="84">
        <v>178.068464261586</v>
      </c>
      <c r="J296" s="84">
        <v>181.69641237483</v>
      </c>
      <c r="K296" s="84">
        <v>177.31098058959</v>
      </c>
      <c r="L296" s="84">
        <v>179.89240520862901</v>
      </c>
      <c r="M296" s="85">
        <v>4979631.8835238451</v>
      </c>
      <c r="N296" s="83" t="s">
        <v>301</v>
      </c>
      <c r="O296" s="25">
        <f t="shared" si="7"/>
        <v>-1.0139065876225928E-2</v>
      </c>
      <c r="Q296" s="86">
        <v>2E-3</v>
      </c>
      <c r="R296">
        <v>58</v>
      </c>
      <c r="T296" s="52">
        <f t="shared" si="5"/>
        <v>-3.0000000000000001E-3</v>
      </c>
      <c r="U296" s="1">
        <f t="shared" si="3"/>
        <v>29.960161081124451</v>
      </c>
    </row>
    <row r="297" spans="1:21" ht="15">
      <c r="A297" s="84">
        <v>676.03115003699997</v>
      </c>
      <c r="B297" s="84">
        <v>690.16997261447</v>
      </c>
      <c r="C297" s="84">
        <v>674.28623187687504</v>
      </c>
      <c r="D297" s="84">
        <v>689.70133745146506</v>
      </c>
      <c r="E297" s="85">
        <v>10720357.273910748</v>
      </c>
      <c r="F297" s="83" t="s">
        <v>302</v>
      </c>
      <c r="G297" s="25">
        <f t="shared" si="6"/>
        <v>-1.9820444984169794E-2</v>
      </c>
      <c r="I297" s="84">
        <v>180.39074972967902</v>
      </c>
      <c r="J297" s="84">
        <v>181.92565085451301</v>
      </c>
      <c r="K297" s="84">
        <v>177.42061638422098</v>
      </c>
      <c r="L297" s="84">
        <v>178.57677567305697</v>
      </c>
      <c r="M297" s="85">
        <v>6287564.3302911352</v>
      </c>
      <c r="N297" s="83" t="s">
        <v>302</v>
      </c>
      <c r="O297" s="25">
        <f t="shared" si="7"/>
        <v>1.0157950549757544E-2</v>
      </c>
      <c r="Q297" s="86">
        <v>3.0000000000000001E-3</v>
      </c>
      <c r="R297">
        <v>49</v>
      </c>
      <c r="T297" s="52">
        <f>T298-0.001</f>
        <v>-2E-3</v>
      </c>
      <c r="U297" s="1">
        <f t="shared" si="3"/>
        <v>30.430308558405969</v>
      </c>
    </row>
    <row r="298" spans="1:21" ht="15">
      <c r="A298" s="84">
        <v>694.03870544948995</v>
      </c>
      <c r="B298" s="84">
        <v>695.17539499380007</v>
      </c>
      <c r="C298" s="84">
        <v>688.89368961734999</v>
      </c>
      <c r="D298" s="84">
        <v>689.48197631133496</v>
      </c>
      <c r="E298" s="85">
        <v>6594037.9644944174</v>
      </c>
      <c r="F298" s="83" t="s">
        <v>303</v>
      </c>
      <c r="G298" s="25">
        <f t="shared" si="6"/>
        <v>6.608916976384327E-3</v>
      </c>
      <c r="I298" s="84">
        <v>178.815981043161</v>
      </c>
      <c r="J298" s="84">
        <v>179.82263697568197</v>
      </c>
      <c r="K298" s="84">
        <v>175.61062908376738</v>
      </c>
      <c r="L298" s="84">
        <v>175.955483492334</v>
      </c>
      <c r="M298" s="85">
        <v>4500890.6597870579</v>
      </c>
      <c r="N298" s="83" t="s">
        <v>303</v>
      </c>
      <c r="O298" s="25">
        <f t="shared" si="7"/>
        <v>1.6256938937351251E-2</v>
      </c>
      <c r="Q298" s="86">
        <v>4.0000000000000001E-3</v>
      </c>
      <c r="R298">
        <v>57</v>
      </c>
      <c r="T298" s="52">
        <f>T299-0.001</f>
        <v>-1E-3</v>
      </c>
      <c r="U298" s="1">
        <f t="shared" si="3"/>
        <v>30.723725071114789</v>
      </c>
    </row>
    <row r="299" spans="1:21" ht="15">
      <c r="A299" s="84">
        <v>691.34654600244005</v>
      </c>
      <c r="B299" s="84">
        <v>695.6239885253658</v>
      </c>
      <c r="C299" s="84">
        <v>690.83802699577507</v>
      </c>
      <c r="D299" s="84">
        <v>695.05574346282003</v>
      </c>
      <c r="E299" s="85">
        <v>5899709.4767972017</v>
      </c>
      <c r="F299" s="83" t="s">
        <v>304</v>
      </c>
      <c r="G299" s="25">
        <f t="shared" si="6"/>
        <v>-5.33654673782058E-3</v>
      </c>
      <c r="I299" s="84">
        <v>171.97869421435502</v>
      </c>
      <c r="J299" s="84">
        <v>175.835880807282</v>
      </c>
      <c r="K299" s="84">
        <v>171.97869421435502</v>
      </c>
      <c r="L299" s="84">
        <v>172.437171173721</v>
      </c>
      <c r="M299" s="85">
        <v>4248594.6597526055</v>
      </c>
      <c r="N299" s="83" t="s">
        <v>304</v>
      </c>
      <c r="O299" s="25">
        <f t="shared" si="7"/>
        <v>-2.6588058493727251E-3</v>
      </c>
      <c r="Q299" s="86">
        <v>5.0000000000000001E-3</v>
      </c>
      <c r="R299">
        <v>57</v>
      </c>
      <c r="T299" s="52">
        <v>0</v>
      </c>
      <c r="U299" s="1">
        <f t="shared" si="3"/>
        <v>30.83519409447225</v>
      </c>
    </row>
    <row r="300" spans="1:21" ht="15">
      <c r="A300" s="84">
        <v>696.23231685078997</v>
      </c>
      <c r="B300" s="84">
        <v>697.11973237222503</v>
      </c>
      <c r="C300" s="84">
        <v>693.75951854386994</v>
      </c>
      <c r="D300" s="84">
        <v>694.03870544948995</v>
      </c>
      <c r="E300" s="85">
        <v>4712079.9863249687</v>
      </c>
      <c r="F300" s="83" t="s">
        <v>305</v>
      </c>
      <c r="G300" s="25">
        <f t="shared" si="6"/>
        <v>3.1606470706548873E-3</v>
      </c>
      <c r="I300" s="84">
        <v>173.683032476346</v>
      </c>
      <c r="J300" s="84">
        <v>175.168099149075</v>
      </c>
      <c r="K300" s="84">
        <v>172.417237392879</v>
      </c>
      <c r="L300" s="84">
        <v>173.31425753076897</v>
      </c>
      <c r="M300" s="85">
        <v>4385568.6045171181</v>
      </c>
      <c r="N300" s="83" t="s">
        <v>305</v>
      </c>
      <c r="O300" s="25">
        <f t="shared" si="7"/>
        <v>2.1277819311060764E-3</v>
      </c>
      <c r="Q300" s="86">
        <v>6.0000000000000001E-3</v>
      </c>
      <c r="R300">
        <v>46</v>
      </c>
      <c r="T300" s="25">
        <f t="shared" ref="T300:T344" si="8">T299+0.001</f>
        <v>1E-3</v>
      </c>
      <c r="U300" s="1">
        <f t="shared" si="3"/>
        <v>30.762725118903752</v>
      </c>
    </row>
    <row r="301" spans="1:21" ht="15">
      <c r="A301" s="84">
        <v>695.27510460294991</v>
      </c>
      <c r="B301" s="84">
        <v>697.02999372398995</v>
      </c>
      <c r="C301" s="84">
        <v>691.92486173551004</v>
      </c>
      <c r="D301" s="84">
        <v>692.52311939040999</v>
      </c>
      <c r="E301" s="85">
        <v>9977807.5136502534</v>
      </c>
      <c r="F301" s="83" t="s">
        <v>306</v>
      </c>
      <c r="G301" s="25">
        <f t="shared" si="6"/>
        <v>3.9738531977999703E-3</v>
      </c>
      <c r="I301" s="84">
        <v>173.83253583266099</v>
      </c>
      <c r="J301" s="84">
        <v>178.09826526394477</v>
      </c>
      <c r="K301" s="84">
        <v>173.553462900873</v>
      </c>
      <c r="L301" s="84">
        <v>176.85250363022399</v>
      </c>
      <c r="M301" s="85">
        <v>5488129.4435373023</v>
      </c>
      <c r="N301" s="83" t="s">
        <v>306</v>
      </c>
      <c r="O301" s="25">
        <f t="shared" si="7"/>
        <v>-1.7076194770063058E-2</v>
      </c>
      <c r="Q301" s="86">
        <v>7.0000000000000001E-3</v>
      </c>
      <c r="R301">
        <v>50</v>
      </c>
      <c r="T301" s="25">
        <f t="shared" si="8"/>
        <v>2E-3</v>
      </c>
      <c r="U301" s="1">
        <f t="shared" si="3"/>
        <v>30.507612773582387</v>
      </c>
    </row>
    <row r="302" spans="1:21" ht="15">
      <c r="A302" s="84">
        <v>693.47036067733507</v>
      </c>
      <c r="B302" s="84">
        <v>694.97597577550005</v>
      </c>
      <c r="C302" s="84">
        <v>691.875006930935</v>
      </c>
      <c r="D302" s="84">
        <v>692.98178359250005</v>
      </c>
      <c r="E302" s="85">
        <v>5053895.6306800442</v>
      </c>
      <c r="F302" s="83" t="s">
        <v>307</v>
      </c>
      <c r="G302" s="25">
        <f t="shared" si="6"/>
        <v>7.0503597122306694E-4</v>
      </c>
      <c r="I302" s="84">
        <v>179.065153303686</v>
      </c>
      <c r="J302" s="84">
        <v>179.50369648220999</v>
      </c>
      <c r="K302" s="84">
        <v>175.457138971284</v>
      </c>
      <c r="L302" s="84">
        <v>178.317636522111</v>
      </c>
      <c r="M302" s="85">
        <v>8747363.8050946519</v>
      </c>
      <c r="N302" s="83" t="s">
        <v>307</v>
      </c>
      <c r="O302" s="25">
        <f t="shared" si="7"/>
        <v>4.1920518696552111E-3</v>
      </c>
      <c r="Q302" s="86">
        <v>8.0000000000000002E-3</v>
      </c>
      <c r="R302">
        <v>41</v>
      </c>
      <c r="T302" s="25">
        <f t="shared" si="8"/>
        <v>3.0000000000000001E-3</v>
      </c>
      <c r="U302" s="1">
        <f t="shared" si="3"/>
        <v>30.074398356225956</v>
      </c>
    </row>
    <row r="303" spans="1:21" ht="15">
      <c r="A303" s="84">
        <v>691.89494885276497</v>
      </c>
      <c r="B303" s="84">
        <v>692.27384536753493</v>
      </c>
      <c r="C303" s="84">
        <v>686.84964262977508</v>
      </c>
      <c r="D303" s="84">
        <v>687.75700007303999</v>
      </c>
      <c r="E303" s="85">
        <v>8469446.3909650184</v>
      </c>
      <c r="F303" s="83" t="s">
        <v>308</v>
      </c>
      <c r="G303" s="25">
        <f t="shared" si="6"/>
        <v>6.016585479007075E-3</v>
      </c>
      <c r="I303" s="84">
        <v>178.36747097421599</v>
      </c>
      <c r="J303" s="84">
        <v>180.948895593255</v>
      </c>
      <c r="K303" s="84">
        <v>176.15482130075401</v>
      </c>
      <c r="L303" s="84">
        <v>176.21462264327999</v>
      </c>
      <c r="M303" s="85">
        <v>5806603.9572444102</v>
      </c>
      <c r="N303" s="83" t="s">
        <v>308</v>
      </c>
      <c r="O303" s="25">
        <f t="shared" si="7"/>
        <v>1.2217194570135703E-2</v>
      </c>
      <c r="Q303" s="86">
        <v>9.0000000000000011E-3</v>
      </c>
      <c r="R303">
        <v>33</v>
      </c>
      <c r="T303" s="25">
        <f t="shared" si="8"/>
        <v>4.0000000000000001E-3</v>
      </c>
      <c r="U303" s="1">
        <f t="shared" si="3"/>
        <v>29.470735366385739</v>
      </c>
    </row>
    <row r="304" spans="1:21" ht="15">
      <c r="A304" s="84">
        <v>687.95641929134001</v>
      </c>
      <c r="B304" s="84">
        <v>688.77403808636996</v>
      </c>
      <c r="C304" s="84">
        <v>685.92234326467997</v>
      </c>
      <c r="D304" s="84">
        <v>688.35525772794006</v>
      </c>
      <c r="E304" s="85">
        <v>7356729.2231232254</v>
      </c>
      <c r="F304" s="83" t="s">
        <v>309</v>
      </c>
      <c r="G304" s="25">
        <f t="shared" si="6"/>
        <v>-5.7940784518228927E-4</v>
      </c>
      <c r="I304" s="84">
        <v>176.00531794443899</v>
      </c>
      <c r="J304" s="84">
        <v>178.20590768049158</v>
      </c>
      <c r="K304" s="84">
        <v>175.12394582450997</v>
      </c>
      <c r="L304" s="84">
        <v>177.89902712442901</v>
      </c>
      <c r="M304" s="85">
        <v>4511333.3154804232</v>
      </c>
      <c r="N304" s="83" t="s">
        <v>309</v>
      </c>
      <c r="O304" s="25">
        <f t="shared" si="7"/>
        <v>-1.0644854053448505E-2</v>
      </c>
      <c r="Q304" s="86">
        <v>1.0000000000000002E-2</v>
      </c>
      <c r="R304">
        <v>44</v>
      </c>
      <c r="T304" s="25">
        <f t="shared" si="8"/>
        <v>5.0000000000000001E-3</v>
      </c>
      <c r="U304" s="1">
        <f t="shared" si="3"/>
        <v>28.707164605318692</v>
      </c>
    </row>
    <row r="305" spans="1:21" ht="15">
      <c r="A305" s="84">
        <v>688.00627409591505</v>
      </c>
      <c r="B305" s="84">
        <v>689.50241678121074</v>
      </c>
      <c r="C305" s="84">
        <v>686.08187863932005</v>
      </c>
      <c r="D305" s="84">
        <v>687.64731950297494</v>
      </c>
      <c r="E305" s="85">
        <v>6622042.8364802189</v>
      </c>
      <c r="F305" s="83" t="s">
        <v>310</v>
      </c>
      <c r="G305" s="25">
        <f t="shared" si="6"/>
        <v>5.2200391502954524E-4</v>
      </c>
      <c r="I305" s="84">
        <v>178.37743786463699</v>
      </c>
      <c r="J305" s="84">
        <v>178.61664323474099</v>
      </c>
      <c r="K305" s="84">
        <v>175.48703964254699</v>
      </c>
      <c r="L305" s="84">
        <v>177.41064949380001</v>
      </c>
      <c r="M305" s="85">
        <v>5519352.4689599881</v>
      </c>
      <c r="N305" s="83" t="s">
        <v>310</v>
      </c>
      <c r="O305" s="25">
        <f t="shared" si="7"/>
        <v>5.4494382022469701E-3</v>
      </c>
      <c r="Q305" s="86">
        <v>1.1000000000000003E-2</v>
      </c>
      <c r="R305">
        <v>39</v>
      </c>
      <c r="T305" s="25">
        <f t="shared" si="8"/>
        <v>6.0000000000000001E-3</v>
      </c>
      <c r="U305" s="1">
        <f t="shared" si="3"/>
        <v>27.796808076061943</v>
      </c>
    </row>
    <row r="306" spans="1:21" ht="15">
      <c r="A306" s="84">
        <v>683.55922552782499</v>
      </c>
      <c r="B306" s="84">
        <v>686.58042668507005</v>
      </c>
      <c r="C306" s="84">
        <v>682.49223300031088</v>
      </c>
      <c r="D306" s="84">
        <v>684.10762837815003</v>
      </c>
      <c r="E306" s="85">
        <v>4276144.8892912446</v>
      </c>
      <c r="F306" s="83" t="s">
        <v>311</v>
      </c>
      <c r="G306" s="25">
        <f t="shared" si="6"/>
        <v>-8.0163241509989547E-4</v>
      </c>
      <c r="I306" s="84">
        <v>176.42392734212098</v>
      </c>
      <c r="J306" s="84">
        <v>177.01197387695998</v>
      </c>
      <c r="K306" s="84">
        <v>174.67972151844597</v>
      </c>
      <c r="L306" s="84">
        <v>176.15482130075401</v>
      </c>
      <c r="M306" s="85">
        <v>4092671.693977281</v>
      </c>
      <c r="N306" s="83" t="s">
        <v>311</v>
      </c>
      <c r="O306" s="25">
        <f t="shared" si="7"/>
        <v>1.5276677605520206E-3</v>
      </c>
      <c r="Q306" s="86">
        <v>1.2000000000000004E-2</v>
      </c>
      <c r="R306">
        <v>30</v>
      </c>
      <c r="T306" s="25">
        <f t="shared" si="8"/>
        <v>7.0000000000000001E-3</v>
      </c>
      <c r="U306" s="1">
        <f t="shared" si="3"/>
        <v>26.75499410142195</v>
      </c>
    </row>
    <row r="307" spans="1:21" ht="15">
      <c r="A307" s="84">
        <v>680.85709511985999</v>
      </c>
      <c r="B307" s="84">
        <v>682.83633086148757</v>
      </c>
      <c r="C307" s="84">
        <v>675.65225352223001</v>
      </c>
      <c r="D307" s="84">
        <v>677.10801381582007</v>
      </c>
      <c r="E307" s="85">
        <v>7310162.5559826996</v>
      </c>
      <c r="F307" s="83" t="s">
        <v>312</v>
      </c>
      <c r="G307" s="25">
        <f t="shared" si="6"/>
        <v>5.5369028685867683E-3</v>
      </c>
      <c r="I307" s="84">
        <v>174.66975462082291</v>
      </c>
      <c r="J307" s="84">
        <v>175.86082011431643</v>
      </c>
      <c r="K307" s="84">
        <v>171.99978280624163</v>
      </c>
      <c r="L307" s="84">
        <v>173.29010375752625</v>
      </c>
      <c r="M307" s="85">
        <v>3595915.9476257176</v>
      </c>
      <c r="N307" s="83" t="s">
        <v>312</v>
      </c>
      <c r="O307" s="25">
        <f t="shared" si="7"/>
        <v>7.9615098230139125E-3</v>
      </c>
      <c r="Q307" s="86">
        <v>1.3000000000000005E-2</v>
      </c>
      <c r="R307">
        <v>16</v>
      </c>
      <c r="T307" s="25">
        <f t="shared" si="8"/>
        <v>8.0000000000000002E-3</v>
      </c>
      <c r="U307" s="1">
        <f t="shared" si="3"/>
        <v>25.598828615398684</v>
      </c>
    </row>
    <row r="308" spans="1:21" ht="15">
      <c r="A308" s="84">
        <v>679.59078308365508</v>
      </c>
      <c r="B308" s="84">
        <v>680.01953440299997</v>
      </c>
      <c r="C308" s="84">
        <v>672.78071648831917</v>
      </c>
      <c r="D308" s="84">
        <v>674.35602860328004</v>
      </c>
      <c r="E308" s="85">
        <v>5453356.5187483234</v>
      </c>
      <c r="F308" s="83" t="s">
        <v>313</v>
      </c>
      <c r="G308" s="25">
        <f t="shared" si="6"/>
        <v>7.762597586941089E-3</v>
      </c>
      <c r="I308" s="84">
        <v>173.54816794778318</v>
      </c>
      <c r="J308" s="84">
        <v>174.84841444484692</v>
      </c>
      <c r="K308" s="84">
        <v>171.71194197864736</v>
      </c>
      <c r="L308" s="84">
        <v>174.16355178608816</v>
      </c>
      <c r="M308" s="85">
        <v>6630832.582879331</v>
      </c>
      <c r="N308" s="83" t="s">
        <v>313</v>
      </c>
      <c r="O308" s="25">
        <f t="shared" si="7"/>
        <v>-3.5333675272126719E-3</v>
      </c>
      <c r="Q308" s="86">
        <v>1.4000000000000005E-2</v>
      </c>
      <c r="R308">
        <v>21</v>
      </c>
      <c r="T308" s="25">
        <f t="shared" si="8"/>
        <v>9.0000000000000011E-3</v>
      </c>
      <c r="U308" s="1">
        <f t="shared" si="3"/>
        <v>24.346729356259694</v>
      </c>
    </row>
    <row r="309" spans="1:21" ht="15">
      <c r="A309" s="84">
        <v>672.63105236498507</v>
      </c>
      <c r="B309" s="84">
        <v>676.18071445072496</v>
      </c>
      <c r="C309" s="84">
        <v>670.59697633832491</v>
      </c>
      <c r="D309" s="84">
        <v>673.59823557374</v>
      </c>
      <c r="E309" s="85">
        <v>5611397.2201845711</v>
      </c>
      <c r="F309" s="83" t="s">
        <v>314</v>
      </c>
      <c r="G309" s="25">
        <f t="shared" si="6"/>
        <v>-1.4358458168037824E-3</v>
      </c>
      <c r="I309" s="84">
        <v>173.19084829973514</v>
      </c>
      <c r="J309" s="84">
        <v>175.68216029029239</v>
      </c>
      <c r="K309" s="84">
        <v>173.07670452327534</v>
      </c>
      <c r="L309" s="84">
        <v>174.9774465399754</v>
      </c>
      <c r="M309" s="85">
        <v>5513352.4684516387</v>
      </c>
      <c r="N309" s="83" t="s">
        <v>314</v>
      </c>
      <c r="O309" s="25">
        <f t="shared" si="7"/>
        <v>-1.0210448692495322E-2</v>
      </c>
      <c r="Q309" s="86">
        <v>1.5000000000000006E-2</v>
      </c>
      <c r="R309">
        <v>19</v>
      </c>
      <c r="T309" s="25">
        <f t="shared" si="8"/>
        <v>1.0000000000000002E-2</v>
      </c>
      <c r="U309" s="1">
        <f t="shared" si="3"/>
        <v>23.017940625946352</v>
      </c>
    </row>
    <row r="310" spans="1:21" ht="15">
      <c r="A310" s="84">
        <v>676.938507480265</v>
      </c>
      <c r="B310" s="84">
        <v>679.63066692731502</v>
      </c>
      <c r="C310" s="84">
        <v>672.29203969387504</v>
      </c>
      <c r="D310" s="84">
        <v>678.20481951646991</v>
      </c>
      <c r="E310" s="85">
        <v>7569986.8603887716</v>
      </c>
      <c r="F310" s="83" t="s">
        <v>315</v>
      </c>
      <c r="G310" s="25">
        <f t="shared" si="6"/>
        <v>-1.8671528124907244E-3</v>
      </c>
      <c r="I310" s="84">
        <v>174.63997798348555</v>
      </c>
      <c r="J310" s="84">
        <v>174.77893562439314</v>
      </c>
      <c r="K310" s="84">
        <v>169.72683282282486</v>
      </c>
      <c r="L310" s="84">
        <v>170.40176993580451</v>
      </c>
      <c r="M310" s="85">
        <v>5327973.6356954509</v>
      </c>
      <c r="N310" s="83" t="s">
        <v>315</v>
      </c>
      <c r="O310" s="25">
        <f t="shared" si="7"/>
        <v>2.4871854613233824E-2</v>
      </c>
      <c r="Q310" s="86">
        <v>1.6000000000000007E-2</v>
      </c>
      <c r="R310">
        <v>16</v>
      </c>
      <c r="T310" s="25">
        <f t="shared" si="8"/>
        <v>1.1000000000000003E-2</v>
      </c>
      <c r="U310" s="1">
        <f t="shared" si="3"/>
        <v>21.632046360523709</v>
      </c>
    </row>
    <row r="311" spans="1:21" ht="15">
      <c r="A311" s="84">
        <v>677.46696840876007</v>
      </c>
      <c r="B311" s="84">
        <v>681.53512046207993</v>
      </c>
      <c r="C311" s="84">
        <v>676.47086941335158</v>
      </c>
      <c r="D311" s="84">
        <v>680.05941824666002</v>
      </c>
      <c r="E311" s="85">
        <v>6421958.6023720764</v>
      </c>
      <c r="F311" s="83" t="s">
        <v>316</v>
      </c>
      <c r="G311" s="25">
        <f t="shared" si="6"/>
        <v>-3.8120931323675222E-3</v>
      </c>
      <c r="I311" s="84">
        <v>169.9054926468489</v>
      </c>
      <c r="J311" s="84">
        <v>174.66975462082291</v>
      </c>
      <c r="K311" s="84">
        <v>169.50847081568438</v>
      </c>
      <c r="L311" s="84">
        <v>174.21317951498375</v>
      </c>
      <c r="M311" s="85">
        <v>6775910.4252515156</v>
      </c>
      <c r="N311" s="83" t="s">
        <v>316</v>
      </c>
      <c r="O311" s="25">
        <f t="shared" si="7"/>
        <v>-2.4726526891522327E-2</v>
      </c>
      <c r="Q311" s="86">
        <v>1.7000000000000008E-2</v>
      </c>
      <c r="R311">
        <v>13</v>
      </c>
      <c r="T311" s="25">
        <f t="shared" si="8"/>
        <v>1.2000000000000004E-2</v>
      </c>
      <c r="U311" s="1">
        <f t="shared" si="3"/>
        <v>20.208498510206738</v>
      </c>
    </row>
    <row r="312" spans="1:21" ht="15">
      <c r="A312" s="84">
        <v>685.73289500729504</v>
      </c>
      <c r="B312" s="84">
        <v>687.09891665265002</v>
      </c>
      <c r="C312" s="84">
        <v>681.67471391488994</v>
      </c>
      <c r="D312" s="84">
        <v>681.75448160221003</v>
      </c>
      <c r="E312" s="85">
        <v>5353379.5342331855</v>
      </c>
      <c r="F312" s="83" t="s">
        <v>317</v>
      </c>
      <c r="G312" s="25">
        <f t="shared" si="6"/>
        <v>5.8355515254335799E-3</v>
      </c>
      <c r="I312" s="84">
        <v>174.37198824744954</v>
      </c>
      <c r="J312" s="84">
        <v>177.5680139883238</v>
      </c>
      <c r="K312" s="84">
        <v>173.99481750784327</v>
      </c>
      <c r="L312" s="84">
        <v>176.78389587177389</v>
      </c>
      <c r="M312" s="85">
        <v>5860836.4295107927</v>
      </c>
      <c r="N312" s="83" t="s">
        <v>317</v>
      </c>
      <c r="O312" s="25">
        <f t="shared" si="7"/>
        <v>-1.3643254168772101E-2</v>
      </c>
      <c r="Q312" s="86">
        <v>1.8000000000000009E-2</v>
      </c>
      <c r="R312">
        <v>8</v>
      </c>
      <c r="T312" s="25">
        <f t="shared" si="8"/>
        <v>1.3000000000000005E-2</v>
      </c>
      <c r="U312" s="1">
        <f t="shared" si="3"/>
        <v>18.766176231830169</v>
      </c>
    </row>
    <row r="313" spans="1:21" ht="15">
      <c r="A313" s="84">
        <v>680.42834380051499</v>
      </c>
      <c r="B313" s="84">
        <v>681.92398793776499</v>
      </c>
      <c r="C313" s="84">
        <v>674.2363770723</v>
      </c>
      <c r="D313" s="84">
        <v>676.92853651935002</v>
      </c>
      <c r="E313" s="85">
        <v>4896730.0244401768</v>
      </c>
      <c r="F313" s="83" t="s">
        <v>318</v>
      </c>
      <c r="G313" s="25">
        <f t="shared" si="6"/>
        <v>5.1701281484755057E-3</v>
      </c>
      <c r="I313" s="84">
        <v>176.78389587177389</v>
      </c>
      <c r="J313" s="84">
        <v>178.10399346039586</v>
      </c>
      <c r="K313" s="84">
        <v>173.9922368659407</v>
      </c>
      <c r="L313" s="84">
        <v>176.44642731528407</v>
      </c>
      <c r="M313" s="85">
        <v>4951046.495943293</v>
      </c>
      <c r="N313" s="83" t="s">
        <v>318</v>
      </c>
      <c r="O313" s="25">
        <f t="shared" si="7"/>
        <v>1.9125836755358172E-3</v>
      </c>
      <c r="Q313" s="86">
        <v>1.900000000000001E-2</v>
      </c>
      <c r="R313">
        <v>14</v>
      </c>
      <c r="T313" s="25">
        <f t="shared" si="8"/>
        <v>1.4000000000000005E-2</v>
      </c>
      <c r="U313" s="1">
        <f t="shared" si="3"/>
        <v>17.322989267691479</v>
      </c>
    </row>
    <row r="314" spans="1:21" ht="15">
      <c r="A314" s="84">
        <v>676.69920441830493</v>
      </c>
      <c r="B314" s="84">
        <v>677.28749111229001</v>
      </c>
      <c r="C314" s="84">
        <v>670.84625036119996</v>
      </c>
      <c r="D314" s="84">
        <v>675.50268910850502</v>
      </c>
      <c r="E314" s="85">
        <v>6037564.596651515</v>
      </c>
      <c r="F314" s="83" t="s">
        <v>319</v>
      </c>
      <c r="G314" s="25">
        <f t="shared" si="6"/>
        <v>1.771296145954615E-3</v>
      </c>
      <c r="I314" s="84">
        <v>177.55808844254466</v>
      </c>
      <c r="J314" s="84">
        <v>178.58399285427373</v>
      </c>
      <c r="K314" s="84">
        <v>175.30836423625101</v>
      </c>
      <c r="L314" s="84">
        <v>177.27024761495039</v>
      </c>
      <c r="M314" s="85">
        <v>4991699.1323805889</v>
      </c>
      <c r="N314" s="83" t="s">
        <v>319</v>
      </c>
      <c r="O314" s="25">
        <f t="shared" si="7"/>
        <v>1.6237402015677471E-3</v>
      </c>
      <c r="Q314" s="86">
        <v>2.0000000000000011E-2</v>
      </c>
      <c r="R314">
        <v>7</v>
      </c>
      <c r="T314" s="25">
        <f t="shared" si="8"/>
        <v>1.5000000000000006E-2</v>
      </c>
      <c r="U314" s="1">
        <f t="shared" ref="U314:U349" si="9">_xlfn.NORM.DIST(T314,$S$240,$S$242,FALSE)</f>
        <v>15.89553626880349</v>
      </c>
    </row>
    <row r="315" spans="1:21" ht="15">
      <c r="A315" s="84">
        <v>677.54673609607994</v>
      </c>
      <c r="B315" s="84">
        <v>679.08226407698999</v>
      </c>
      <c r="C315" s="84">
        <v>675.11382163282008</v>
      </c>
      <c r="D315" s="84">
        <v>675.11382163282008</v>
      </c>
      <c r="E315" s="85">
        <v>5676979.9163333699</v>
      </c>
      <c r="F315" s="83" t="s">
        <v>320</v>
      </c>
      <c r="G315" s="25">
        <f t="shared" si="6"/>
        <v>3.6037100490338148E-3</v>
      </c>
      <c r="I315" s="84">
        <v>177.28017316072953</v>
      </c>
      <c r="J315" s="84">
        <v>178.59034520357238</v>
      </c>
      <c r="K315" s="84">
        <v>173.30002930330537</v>
      </c>
      <c r="L315" s="84">
        <v>173.85585986693567</v>
      </c>
      <c r="M315" s="85">
        <v>5991773.2706601163</v>
      </c>
      <c r="N315" s="83" t="s">
        <v>320</v>
      </c>
      <c r="O315" s="25">
        <f t="shared" si="7"/>
        <v>1.9696277688970198E-2</v>
      </c>
      <c r="Q315" s="86">
        <v>2.1000000000000012E-2</v>
      </c>
      <c r="R315">
        <v>13</v>
      </c>
      <c r="T315" s="25">
        <f t="shared" si="8"/>
        <v>1.6000000000000007E-2</v>
      </c>
      <c r="U315" s="1">
        <f t="shared" si="9"/>
        <v>14.498825883216375</v>
      </c>
    </row>
    <row r="316" spans="1:21" ht="15">
      <c r="A316" s="84">
        <v>676.07103388065991</v>
      </c>
      <c r="B316" s="84">
        <v>676.55961096549493</v>
      </c>
      <c r="C316" s="84">
        <v>673.40878731635496</v>
      </c>
      <c r="D316" s="84">
        <v>673.73782902655</v>
      </c>
      <c r="E316" s="85">
        <v>4322344.0995706683</v>
      </c>
      <c r="F316" s="83" t="s">
        <v>321</v>
      </c>
      <c r="G316" s="25">
        <f t="shared" si="6"/>
        <v>3.4630753292879124E-3</v>
      </c>
      <c r="I316" s="84">
        <v>174.77893562439314</v>
      </c>
      <c r="J316" s="84">
        <v>175.77149020230442</v>
      </c>
      <c r="K316" s="84">
        <v>173.30002930330537</v>
      </c>
      <c r="L316" s="84">
        <v>174.90796771952162</v>
      </c>
      <c r="M316" s="85">
        <v>6308982.1765548112</v>
      </c>
      <c r="N316" s="83" t="s">
        <v>321</v>
      </c>
      <c r="O316" s="25">
        <f t="shared" si="7"/>
        <v>-7.3771422086033045E-4</v>
      </c>
      <c r="Q316" s="86">
        <v>2.2000000000000013E-2</v>
      </c>
      <c r="R316">
        <v>10</v>
      </c>
      <c r="T316" s="25">
        <f t="shared" si="8"/>
        <v>1.7000000000000008E-2</v>
      </c>
      <c r="U316" s="1">
        <f t="shared" si="9"/>
        <v>13.146065344219746</v>
      </c>
    </row>
    <row r="317" spans="1:21" ht="15">
      <c r="A317" s="84">
        <v>670.58700537740992</v>
      </c>
      <c r="B317" s="84">
        <v>674.79485059314914</v>
      </c>
      <c r="C317" s="84">
        <v>668.97170970918</v>
      </c>
      <c r="D317" s="84">
        <v>673.85748055753004</v>
      </c>
      <c r="E317" s="85">
        <v>6066984.8096581372</v>
      </c>
      <c r="F317" s="83" t="s">
        <v>322</v>
      </c>
      <c r="G317" s="25">
        <f t="shared" si="6"/>
        <v>-4.8533633215946947E-3</v>
      </c>
      <c r="I317" s="84">
        <v>175.46379828315193</v>
      </c>
      <c r="J317" s="84">
        <v>176.06925657567777</v>
      </c>
      <c r="K317" s="84">
        <v>172.38687909162704</v>
      </c>
      <c r="L317" s="84">
        <v>175.22558518445319</v>
      </c>
      <c r="M317" s="85">
        <v>5512883.1149164606</v>
      </c>
      <c r="N317" s="83" t="s">
        <v>322</v>
      </c>
      <c r="O317" s="25">
        <f t="shared" si="7"/>
        <v>1.3594652769912674E-3</v>
      </c>
      <c r="Q317" s="86">
        <v>2.3000000000000013E-2</v>
      </c>
      <c r="R317">
        <v>5</v>
      </c>
      <c r="T317" s="25">
        <f t="shared" si="8"/>
        <v>1.8000000000000009E-2</v>
      </c>
      <c r="U317" s="1">
        <f t="shared" si="9"/>
        <v>11.848518228100543</v>
      </c>
    </row>
    <row r="318" spans="1:21" ht="15">
      <c r="A318" s="84">
        <v>672.70084909138995</v>
      </c>
      <c r="B318" s="84">
        <v>673.37887443361001</v>
      </c>
      <c r="C318" s="84">
        <v>667.20684962722498</v>
      </c>
      <c r="D318" s="84">
        <v>667.50597845467507</v>
      </c>
      <c r="E318" s="85">
        <v>6416177.8384626228</v>
      </c>
      <c r="F318" s="83" t="s">
        <v>323</v>
      </c>
      <c r="G318" s="25">
        <f t="shared" si="6"/>
        <v>7.7825080289788406E-3</v>
      </c>
      <c r="I318" s="84">
        <v>175.42409610003548</v>
      </c>
      <c r="J318" s="84">
        <v>176.76404478021567</v>
      </c>
      <c r="K318" s="84">
        <v>172.27769808805678</v>
      </c>
      <c r="L318" s="84">
        <v>173.48861467310851</v>
      </c>
      <c r="M318" s="85">
        <v>6106255.7642466398</v>
      </c>
      <c r="N318" s="83" t="s">
        <v>323</v>
      </c>
      <c r="O318" s="25">
        <f t="shared" si="7"/>
        <v>1.1156244636421064E-2</v>
      </c>
      <c r="Q318" s="86">
        <v>2.4000000000000014E-2</v>
      </c>
      <c r="R318">
        <v>8</v>
      </c>
      <c r="T318" s="25">
        <f t="shared" si="8"/>
        <v>1.900000000000001E-2</v>
      </c>
      <c r="U318" s="1">
        <f t="shared" si="9"/>
        <v>10.615430161771226</v>
      </c>
    </row>
    <row r="319" spans="1:21" ht="15">
      <c r="A319" s="84">
        <v>663.36802967494998</v>
      </c>
      <c r="B319" s="84">
        <v>664.61439978932492</v>
      </c>
      <c r="C319" s="84">
        <v>661.40375037469505</v>
      </c>
      <c r="D319" s="84">
        <v>661.65302439756999</v>
      </c>
      <c r="E319" s="85">
        <v>4962020.0405729897</v>
      </c>
      <c r="F319" s="83" t="s">
        <v>324</v>
      </c>
      <c r="G319" s="25">
        <f t="shared" si="6"/>
        <v>2.5920009644655462E-3</v>
      </c>
      <c r="I319" s="84">
        <v>171.58290988351891</v>
      </c>
      <c r="J319" s="84">
        <v>172.85337974324531</v>
      </c>
      <c r="K319" s="84">
        <v>169.92038096551755</v>
      </c>
      <c r="L319" s="84">
        <v>172.62509219032572</v>
      </c>
      <c r="M319" s="85">
        <v>4633949.2890951466</v>
      </c>
      <c r="N319" s="83" t="s">
        <v>324</v>
      </c>
      <c r="O319" s="25">
        <f t="shared" si="7"/>
        <v>-6.0372585096595266E-3</v>
      </c>
      <c r="Q319" s="86">
        <v>2.5000000000000015E-2</v>
      </c>
      <c r="R319">
        <v>11</v>
      </c>
      <c r="T319" s="25">
        <f t="shared" si="8"/>
        <v>2.0000000000000011E-2</v>
      </c>
      <c r="U319" s="1">
        <f t="shared" si="9"/>
        <v>9.4540186793778016</v>
      </c>
    </row>
    <row r="320" spans="1:21" ht="15">
      <c r="A320" s="84">
        <v>658.20307192098005</v>
      </c>
      <c r="B320" s="84">
        <v>661.92224034227502</v>
      </c>
      <c r="C320" s="84">
        <v>655.48099959118497</v>
      </c>
      <c r="D320" s="84">
        <v>660.06764161208503</v>
      </c>
      <c r="E320" s="85">
        <v>5944718.78260291</v>
      </c>
      <c r="F320" s="83" t="s">
        <v>325</v>
      </c>
      <c r="G320" s="25">
        <f t="shared" si="6"/>
        <v>-2.8248160848350912E-3</v>
      </c>
      <c r="I320" s="84">
        <v>171.61268652085624</v>
      </c>
      <c r="J320" s="84">
        <v>174.56047436179489</v>
      </c>
      <c r="K320" s="84">
        <v>171.6027609750771</v>
      </c>
      <c r="L320" s="84">
        <v>172.70449655655861</v>
      </c>
      <c r="M320" s="85">
        <v>5108530.8558753626</v>
      </c>
      <c r="N320" s="83" t="s">
        <v>325</v>
      </c>
      <c r="O320" s="25">
        <f t="shared" si="7"/>
        <v>-6.3218390804596902E-3</v>
      </c>
      <c r="Q320" s="86">
        <v>2.6000000000000016E-2</v>
      </c>
      <c r="R320">
        <v>5</v>
      </c>
      <c r="T320" s="25">
        <f t="shared" si="8"/>
        <v>2.1000000000000012E-2</v>
      </c>
      <c r="U320" s="1">
        <f t="shared" si="9"/>
        <v>8.3695212573434521</v>
      </c>
    </row>
    <row r="321" spans="1:21" ht="15">
      <c r="A321" s="84">
        <v>660.59610254057998</v>
      </c>
      <c r="B321" s="84">
        <v>664.47979181697247</v>
      </c>
      <c r="C321" s="84">
        <v>660.45650908776997</v>
      </c>
      <c r="D321" s="84">
        <v>661.16444731273498</v>
      </c>
      <c r="E321" s="85">
        <v>4948602.4611500539</v>
      </c>
      <c r="F321" s="83" t="s">
        <v>326</v>
      </c>
      <c r="G321" s="25">
        <f t="shared" si="6"/>
        <v>-8.5961181740035197E-4</v>
      </c>
      <c r="I321" s="84">
        <v>172.69457101077953</v>
      </c>
      <c r="J321" s="84">
        <v>175.67223474451328</v>
      </c>
      <c r="K321" s="84">
        <v>171.96504339601472</v>
      </c>
      <c r="L321" s="84">
        <v>174.91789326530071</v>
      </c>
      <c r="M321" s="85">
        <v>4514411.502115529</v>
      </c>
      <c r="N321" s="83" t="s">
        <v>326</v>
      </c>
      <c r="O321" s="25">
        <f t="shared" si="7"/>
        <v>-1.2710662202802925E-2</v>
      </c>
      <c r="Q321" s="86">
        <v>2.7000000000000017E-2</v>
      </c>
      <c r="R321">
        <v>5</v>
      </c>
      <c r="T321" s="25">
        <f t="shared" si="8"/>
        <v>2.2000000000000013E-2</v>
      </c>
      <c r="U321" s="1">
        <f t="shared" si="9"/>
        <v>7.3652938698091557</v>
      </c>
    </row>
    <row r="322" spans="1:21" ht="15">
      <c r="A322" s="84">
        <v>658.66173612307</v>
      </c>
      <c r="B322" s="84">
        <v>659.84828047195504</v>
      </c>
      <c r="C322" s="84">
        <v>651.24832668276747</v>
      </c>
      <c r="D322" s="84">
        <v>655.09213211550002</v>
      </c>
      <c r="E322" s="85">
        <v>5919880.3991099587</v>
      </c>
      <c r="F322" s="83" t="s">
        <v>327</v>
      </c>
      <c r="G322" s="25">
        <f t="shared" si="6"/>
        <v>5.4490106544899941E-3</v>
      </c>
      <c r="I322" s="84">
        <v>174.75908453283492</v>
      </c>
      <c r="J322" s="84">
        <v>175.33476618802345</v>
      </c>
      <c r="K322" s="84">
        <v>172.18836817604475</v>
      </c>
      <c r="L322" s="84">
        <v>172.34717690851056</v>
      </c>
      <c r="M322" s="85">
        <v>6238067.3054067446</v>
      </c>
      <c r="N322" s="83" t="s">
        <v>327</v>
      </c>
      <c r="O322" s="25">
        <f t="shared" si="7"/>
        <v>1.3994471319972446E-2</v>
      </c>
      <c r="Q322" s="86">
        <v>2.8000000000000018E-2</v>
      </c>
      <c r="R322">
        <v>7</v>
      </c>
      <c r="T322" s="25">
        <f t="shared" si="8"/>
        <v>2.3000000000000013E-2</v>
      </c>
      <c r="U322" s="1">
        <f t="shared" si="9"/>
        <v>6.4429512376857421</v>
      </c>
    </row>
    <row r="323" spans="1:21" ht="15">
      <c r="A323" s="84">
        <v>652.34014690295999</v>
      </c>
      <c r="B323" s="84">
        <v>652.82244228241859</v>
      </c>
      <c r="C323" s="84">
        <v>649.36880055028996</v>
      </c>
      <c r="D323" s="84">
        <v>651.72194732622995</v>
      </c>
      <c r="E323" s="85">
        <v>6221167.1225872021</v>
      </c>
      <c r="F323" s="83" t="s">
        <v>328</v>
      </c>
      <c r="G323" s="25">
        <f t="shared" si="6"/>
        <v>9.4856338545334928E-4</v>
      </c>
      <c r="I323" s="84">
        <v>171.50350551728599</v>
      </c>
      <c r="J323" s="84">
        <v>174.95759544841718</v>
      </c>
      <c r="K323" s="84">
        <v>170.50102539359563</v>
      </c>
      <c r="L323" s="84">
        <v>174.2528816981002</v>
      </c>
      <c r="M323" s="85">
        <v>4883834.6882657856</v>
      </c>
      <c r="N323" s="83" t="s">
        <v>328</v>
      </c>
      <c r="O323" s="25">
        <f t="shared" si="7"/>
        <v>-1.5778081567555446E-2</v>
      </c>
      <c r="Q323" s="86">
        <v>2.9000000000000019E-2</v>
      </c>
      <c r="R323">
        <v>2</v>
      </c>
      <c r="T323" s="25">
        <f t="shared" si="8"/>
        <v>2.4000000000000014E-2</v>
      </c>
      <c r="U323" s="1">
        <f t="shared" si="9"/>
        <v>5.6025392982775575</v>
      </c>
    </row>
    <row r="324" spans="1:21" ht="15">
      <c r="A324" s="84">
        <v>652.36008882478995</v>
      </c>
      <c r="B324" s="84">
        <v>653.48680740818497</v>
      </c>
      <c r="C324" s="84">
        <v>650.11662261891502</v>
      </c>
      <c r="D324" s="84">
        <v>652.50965323851494</v>
      </c>
      <c r="E324" s="85">
        <v>5525715.9773953436</v>
      </c>
      <c r="F324" s="83" t="s">
        <v>329</v>
      </c>
      <c r="G324" s="25">
        <f t="shared" si="6"/>
        <v>-2.2921410125154029E-4</v>
      </c>
      <c r="I324" s="84">
        <v>174.37198824744954</v>
      </c>
      <c r="J324" s="84">
        <v>174.48116925101976</v>
      </c>
      <c r="K324" s="84">
        <v>171.05685595722593</v>
      </c>
      <c r="L324" s="84">
        <v>173.94518977894771</v>
      </c>
      <c r="M324" s="85">
        <v>5955443.728081326</v>
      </c>
      <c r="N324" s="83" t="s">
        <v>329</v>
      </c>
      <c r="O324" s="25">
        <f t="shared" si="7"/>
        <v>2.4536376604848975E-3</v>
      </c>
      <c r="Q324" s="86">
        <v>3.000000000000002E-2</v>
      </c>
      <c r="R324">
        <v>3</v>
      </c>
      <c r="T324" s="25">
        <f t="shared" si="8"/>
        <v>2.5000000000000015E-2</v>
      </c>
      <c r="U324" s="1">
        <f t="shared" si="9"/>
        <v>4.8427302728341433</v>
      </c>
    </row>
    <row r="325" spans="1:21" ht="15">
      <c r="A325" s="84">
        <v>655.59068016125002</v>
      </c>
      <c r="B325" s="84">
        <v>655.98951859784995</v>
      </c>
      <c r="C325" s="84">
        <v>652.93840455786005</v>
      </c>
      <c r="D325" s="84">
        <v>653.76599431380498</v>
      </c>
      <c r="E325" s="85">
        <v>5297681.2909310255</v>
      </c>
      <c r="F325" s="83" t="s">
        <v>330</v>
      </c>
      <c r="G325" s="25">
        <f t="shared" si="6"/>
        <v>2.791038174691618E-3</v>
      </c>
      <c r="I325" s="84">
        <v>172.08911271825363</v>
      </c>
      <c r="J325" s="84">
        <v>175.67223474451328</v>
      </c>
      <c r="K325" s="84">
        <v>171.01715377410949</v>
      </c>
      <c r="L325" s="84">
        <v>171.01715377410949</v>
      </c>
      <c r="M325" s="85">
        <v>6546767.0838560006</v>
      </c>
      <c r="N325" s="83" t="s">
        <v>330</v>
      </c>
      <c r="O325" s="25">
        <f t="shared" si="7"/>
        <v>6.2681369704002954E-3</v>
      </c>
      <c r="Q325" s="86">
        <v>3.1000000000000021E-2</v>
      </c>
      <c r="R325">
        <v>0</v>
      </c>
      <c r="T325" s="25">
        <f t="shared" si="8"/>
        <v>2.6000000000000016E-2</v>
      </c>
      <c r="U325" s="1">
        <f t="shared" si="9"/>
        <v>4.1610310058880167</v>
      </c>
    </row>
    <row r="326" spans="1:21" ht="15">
      <c r="A326" s="84">
        <v>654.51381638242992</v>
      </c>
      <c r="B326" s="84">
        <v>654.91265481903008</v>
      </c>
      <c r="C326" s="84">
        <v>649.92737378074833</v>
      </c>
      <c r="D326" s="84">
        <v>651.50258618609996</v>
      </c>
      <c r="E326" s="85">
        <v>4736752.4966373816</v>
      </c>
      <c r="F326" s="83" t="s">
        <v>331</v>
      </c>
      <c r="G326" s="25">
        <f t="shared" si="6"/>
        <v>4.6219773492499616E-3</v>
      </c>
      <c r="I326" s="84">
        <v>172.96256074681554</v>
      </c>
      <c r="J326" s="84">
        <v>176.45635286106318</v>
      </c>
      <c r="K326" s="84">
        <v>170.35224146236675</v>
      </c>
      <c r="L326" s="84">
        <v>176.45635286106318</v>
      </c>
      <c r="M326" s="85">
        <v>10548431.041780058</v>
      </c>
      <c r="N326" s="83" t="s">
        <v>331</v>
      </c>
      <c r="O326" s="25">
        <f t="shared" si="7"/>
        <v>-1.9799752503093848E-2</v>
      </c>
      <c r="Q326" s="86">
        <v>3.2000000000000021E-2</v>
      </c>
      <c r="R326">
        <v>0</v>
      </c>
      <c r="T326" s="25">
        <f t="shared" si="8"/>
        <v>2.7000000000000017E-2</v>
      </c>
      <c r="U326" s="1">
        <f t="shared" si="9"/>
        <v>3.553995923566696</v>
      </c>
    </row>
    <row r="327" spans="1:21" ht="15">
      <c r="A327" s="84">
        <v>649.36880055028996</v>
      </c>
      <c r="B327" s="84">
        <v>652.99823032334996</v>
      </c>
      <c r="C327" s="84">
        <v>643.78506243789002</v>
      </c>
      <c r="D327" s="84">
        <v>650.33598375904501</v>
      </c>
      <c r="E327" s="85">
        <v>6034316.5947511885</v>
      </c>
      <c r="F327" s="83" t="s">
        <v>332</v>
      </c>
      <c r="G327" s="25">
        <f t="shared" si="6"/>
        <v>-1.4872054336660945E-3</v>
      </c>
      <c r="I327" s="84">
        <v>177.96503581948829</v>
      </c>
      <c r="J327" s="84">
        <v>181.28016810971187</v>
      </c>
      <c r="K327" s="84">
        <v>176.17843757924803</v>
      </c>
      <c r="L327" s="84">
        <v>180.00969824998549</v>
      </c>
      <c r="M327" s="85">
        <v>6195257.8605201794</v>
      </c>
      <c r="N327" s="83" t="s">
        <v>332</v>
      </c>
      <c r="O327" s="25">
        <f t="shared" si="7"/>
        <v>-1.1358623731804185E-2</v>
      </c>
      <c r="Q327" s="86">
        <v>3.3000000000000022E-2</v>
      </c>
      <c r="R327">
        <v>2</v>
      </c>
      <c r="T327" s="25">
        <f t="shared" si="8"/>
        <v>2.8000000000000018E-2</v>
      </c>
      <c r="U327" s="1">
        <f t="shared" si="9"/>
        <v>3.0174369267229149</v>
      </c>
    </row>
    <row r="328" spans="1:21" ht="15">
      <c r="A328" s="84">
        <v>652.00113423184996</v>
      </c>
      <c r="B328" s="84">
        <v>652.29029209838507</v>
      </c>
      <c r="C328" s="84">
        <v>649.199294214735</v>
      </c>
      <c r="D328" s="84">
        <v>650.08670973617006</v>
      </c>
      <c r="E328" s="85">
        <v>4504953.3060976798</v>
      </c>
      <c r="F328" s="83" t="s">
        <v>333</v>
      </c>
      <c r="G328" s="25">
        <f t="shared" si="6"/>
        <v>2.9448756096810413E-3</v>
      </c>
      <c r="I328" s="84">
        <v>179.56304868992541</v>
      </c>
      <c r="J328" s="84">
        <v>187.33475103497057</v>
      </c>
      <c r="K328" s="84">
        <v>178.50101529156035</v>
      </c>
      <c r="L328" s="84">
        <v>186.34715922994886</v>
      </c>
      <c r="M328" s="85">
        <v>8546647.6706517786</v>
      </c>
      <c r="N328" s="83" t="s">
        <v>333</v>
      </c>
      <c r="O328" s="25">
        <f t="shared" si="7"/>
        <v>-3.6405763136168834E-2</v>
      </c>
      <c r="Q328" s="86">
        <v>3.4000000000000023E-2</v>
      </c>
      <c r="R328">
        <v>1</v>
      </c>
      <c r="T328" s="25">
        <f t="shared" si="8"/>
        <v>2.9000000000000019E-2</v>
      </c>
      <c r="U328" s="1">
        <f t="shared" si="9"/>
        <v>2.5466237114865335</v>
      </c>
    </row>
    <row r="329" spans="1:21" ht="15">
      <c r="A329" s="84">
        <v>645.37044522337499</v>
      </c>
      <c r="B329" s="84">
        <v>651.96125038819002</v>
      </c>
      <c r="C329" s="84">
        <v>644.06464818194661</v>
      </c>
      <c r="D329" s="84">
        <v>651.04392198401001</v>
      </c>
      <c r="E329" s="85">
        <v>8481656.2908972148</v>
      </c>
      <c r="F329" s="83" t="s">
        <v>334</v>
      </c>
      <c r="G329" s="25">
        <f t="shared" si="6"/>
        <v>-8.7144301160902993E-3</v>
      </c>
      <c r="I329" s="84">
        <v>185.77644034764987</v>
      </c>
      <c r="J329" s="84">
        <v>195.15608110891125</v>
      </c>
      <c r="K329" s="84">
        <v>185.15113096356578</v>
      </c>
      <c r="L329" s="84">
        <v>193.16104640730964</v>
      </c>
      <c r="M329" s="85">
        <v>7495659.4508450208</v>
      </c>
      <c r="N329" s="83" t="s">
        <v>334</v>
      </c>
      <c r="O329" s="25">
        <f t="shared" si="7"/>
        <v>-3.8230306767381039E-2</v>
      </c>
      <c r="Q329" s="86">
        <v>3.5000000000000024E-2</v>
      </c>
      <c r="R329">
        <v>3</v>
      </c>
      <c r="T329" s="25">
        <f t="shared" si="8"/>
        <v>3.000000000000002E-2</v>
      </c>
      <c r="U329" s="1">
        <f t="shared" si="9"/>
        <v>2.136469307803178</v>
      </c>
    </row>
    <row r="330" spans="1:21" ht="15">
      <c r="A330" s="84">
        <v>649.64798745590997</v>
      </c>
      <c r="B330" s="84">
        <v>650.70490931289999</v>
      </c>
      <c r="C330" s="84">
        <v>647.284869719055</v>
      </c>
      <c r="D330" s="84">
        <v>649.72775514322996</v>
      </c>
      <c r="E330" s="85">
        <v>6369044.2896495899</v>
      </c>
      <c r="F330" s="83" t="s">
        <v>335</v>
      </c>
      <c r="G330" s="25">
        <f t="shared" si="6"/>
        <v>-1.2277094011847733E-4</v>
      </c>
      <c r="I330" s="84">
        <v>194.3322608092449</v>
      </c>
      <c r="J330" s="84">
        <v>196.91290271181416</v>
      </c>
      <c r="K330" s="84">
        <v>193.34963177711276</v>
      </c>
      <c r="L330" s="84">
        <v>196.32729551084654</v>
      </c>
      <c r="M330" s="85">
        <v>4974555.6794373672</v>
      </c>
      <c r="N330" s="83" t="s">
        <v>335</v>
      </c>
      <c r="O330" s="25">
        <f t="shared" si="7"/>
        <v>-1.0161779575328711E-2</v>
      </c>
      <c r="Q330" s="86">
        <v>3.6000000000000025E-2</v>
      </c>
      <c r="R330">
        <v>1</v>
      </c>
      <c r="T330" s="25">
        <f t="shared" si="8"/>
        <v>3.1000000000000021E-2</v>
      </c>
      <c r="U330" s="1">
        <f t="shared" si="9"/>
        <v>1.7816969643120257</v>
      </c>
    </row>
    <row r="331" spans="1:21" ht="15">
      <c r="A331" s="84">
        <v>650.88438660936993</v>
      </c>
      <c r="B331" s="84">
        <v>652.97828840151999</v>
      </c>
      <c r="C331" s="84">
        <v>646.97576993069003</v>
      </c>
      <c r="D331" s="84">
        <v>647.29484067996998</v>
      </c>
      <c r="E331" s="85">
        <v>7806647.4112741025</v>
      </c>
      <c r="F331" s="83" t="s">
        <v>336</v>
      </c>
      <c r="G331" s="25">
        <f t="shared" si="6"/>
        <v>5.5454573461903856E-3</v>
      </c>
      <c r="I331" s="84">
        <v>194.95757019332899</v>
      </c>
      <c r="J331" s="84">
        <v>198.4513623075766</v>
      </c>
      <c r="K331" s="84">
        <v>193.74665360827726</v>
      </c>
      <c r="L331" s="84">
        <v>194.12382434788356</v>
      </c>
      <c r="M331" s="85">
        <v>4763296.3500599675</v>
      </c>
      <c r="N331" s="83" t="s">
        <v>336</v>
      </c>
      <c r="O331" s="25">
        <f t="shared" si="7"/>
        <v>4.2949176807443035E-3</v>
      </c>
      <c r="Q331" s="86">
        <v>3.7000000000000026E-2</v>
      </c>
      <c r="R331">
        <v>1</v>
      </c>
      <c r="T331" s="25">
        <f t="shared" si="8"/>
        <v>3.2000000000000021E-2</v>
      </c>
      <c r="U331" s="1">
        <f t="shared" si="9"/>
        <v>1.4769858137898746</v>
      </c>
    </row>
    <row r="332" spans="1:21" ht="15">
      <c r="A332" s="84">
        <v>642.98738556469004</v>
      </c>
      <c r="B332" s="84">
        <v>644.19387183540505</v>
      </c>
      <c r="C332" s="84">
        <v>640.28525515672493</v>
      </c>
      <c r="D332" s="84">
        <v>642.63840193266503</v>
      </c>
      <c r="E332" s="85">
        <v>5875107.2734497823</v>
      </c>
      <c r="F332" s="83" t="s">
        <v>337</v>
      </c>
      <c r="G332" s="25">
        <f t="shared" si="6"/>
        <v>5.4304820716510882E-4</v>
      </c>
      <c r="I332" s="84">
        <v>194.39181408391957</v>
      </c>
      <c r="J332" s="84">
        <v>198.4513623075766</v>
      </c>
      <c r="K332" s="84">
        <v>192.46625820277174</v>
      </c>
      <c r="L332" s="84">
        <v>196.93275380337238</v>
      </c>
      <c r="M332" s="85">
        <v>4016629.1076806155</v>
      </c>
      <c r="N332" s="83" t="s">
        <v>337</v>
      </c>
      <c r="O332" s="25">
        <f t="shared" si="7"/>
        <v>-1.2902575475026379E-2</v>
      </c>
      <c r="Q332" s="86">
        <v>3.8000000000000027E-2</v>
      </c>
      <c r="R332">
        <v>1</v>
      </c>
      <c r="T332" s="25">
        <f t="shared" si="8"/>
        <v>3.3000000000000022E-2</v>
      </c>
      <c r="U332" s="1">
        <f t="shared" si="9"/>
        <v>1.2170939681345536</v>
      </c>
    </row>
    <row r="333" spans="1:21" ht="15">
      <c r="A333" s="84">
        <v>641.58148007567502</v>
      </c>
      <c r="B333" s="84">
        <v>641.92049274678493</v>
      </c>
      <c r="C333" s="84">
        <v>636.37663847804504</v>
      </c>
      <c r="D333" s="84">
        <v>637.3338507258851</v>
      </c>
      <c r="E333" s="85">
        <v>5065156.4900853885</v>
      </c>
      <c r="F333" s="83" t="s">
        <v>338</v>
      </c>
      <c r="G333" s="25">
        <f t="shared" si="6"/>
        <v>6.6646849919427265E-3</v>
      </c>
      <c r="I333" s="84">
        <v>196.91290271181416</v>
      </c>
      <c r="J333" s="84">
        <v>201.48857931598505</v>
      </c>
      <c r="K333" s="84">
        <v>196.21811450727628</v>
      </c>
      <c r="L333" s="84">
        <v>201.47865377020597</v>
      </c>
      <c r="M333" s="85">
        <v>4382109.4922085823</v>
      </c>
      <c r="N333" s="83" t="s">
        <v>338</v>
      </c>
      <c r="O333" s="25">
        <f t="shared" si="7"/>
        <v>-2.2661214838169519E-2</v>
      </c>
      <c r="Q333" s="86">
        <v>3.9000000000000028E-2</v>
      </c>
      <c r="R333">
        <v>0</v>
      </c>
      <c r="T333" s="25">
        <f t="shared" si="8"/>
        <v>3.4000000000000023E-2</v>
      </c>
      <c r="U333" s="1">
        <f t="shared" si="9"/>
        <v>0.99695877041721204</v>
      </c>
    </row>
    <row r="334" spans="1:21" ht="15">
      <c r="A334" s="84">
        <v>636.49629000902507</v>
      </c>
      <c r="B334" s="84">
        <v>636.66579634458003</v>
      </c>
      <c r="C334" s="84">
        <v>630.38409096813007</v>
      </c>
      <c r="D334" s="84">
        <v>630.3890764485875</v>
      </c>
      <c r="E334" s="85">
        <v>5013507.8729270091</v>
      </c>
      <c r="F334" s="83" t="s">
        <v>339</v>
      </c>
      <c r="G334" s="25">
        <f t="shared" si="6"/>
        <v>9.6880066432045719E-3</v>
      </c>
      <c r="I334" s="84">
        <v>201.29999394618193</v>
      </c>
      <c r="J334" s="84">
        <v>202.7987513588279</v>
      </c>
      <c r="K334" s="84">
        <v>199.41513280272844</v>
      </c>
      <c r="L334" s="84">
        <v>199.85086426243149</v>
      </c>
      <c r="M334" s="85">
        <v>3211496.3979189866</v>
      </c>
      <c r="N334" s="83" t="s">
        <v>339</v>
      </c>
      <c r="O334" s="25">
        <f t="shared" si="7"/>
        <v>7.2510553762106245E-3</v>
      </c>
      <c r="Q334" s="86">
        <v>4.0000000000000029E-2</v>
      </c>
      <c r="R334">
        <v>1</v>
      </c>
      <c r="T334" s="25">
        <f t="shared" si="8"/>
        <v>3.5000000000000024E-2</v>
      </c>
      <c r="U334" s="1">
        <f t="shared" si="9"/>
        <v>0.81177484345154238</v>
      </c>
    </row>
    <row r="335" spans="1:21" ht="15">
      <c r="A335" s="84">
        <v>628.88844683088007</v>
      </c>
      <c r="B335" s="84">
        <v>629.06792412735001</v>
      </c>
      <c r="C335" s="84">
        <v>620.17382699117002</v>
      </c>
      <c r="D335" s="84">
        <v>620.94159098162504</v>
      </c>
      <c r="E335" s="85">
        <v>5115773.6243117144</v>
      </c>
      <c r="F335" s="83" t="s">
        <v>340</v>
      </c>
      <c r="G335" s="25">
        <f t="shared" si="6"/>
        <v>1.2798073063027049E-2</v>
      </c>
      <c r="I335" s="84">
        <v>199.91041753710616</v>
      </c>
      <c r="J335" s="84">
        <v>201.47865377020597</v>
      </c>
      <c r="K335" s="84">
        <v>198.63994767737975</v>
      </c>
      <c r="L335" s="84">
        <v>200.24788609359598</v>
      </c>
      <c r="M335" s="85">
        <v>3451557.8917679461</v>
      </c>
      <c r="N335" s="83" t="s">
        <v>340</v>
      </c>
      <c r="O335" s="25">
        <f t="shared" si="7"/>
        <v>-1.6852540272614958E-3</v>
      </c>
      <c r="Q335" s="86">
        <v>4.1000000000000029E-2</v>
      </c>
      <c r="R335">
        <v>0</v>
      </c>
      <c r="T335" s="25">
        <f t="shared" si="8"/>
        <v>3.6000000000000025E-2</v>
      </c>
      <c r="U335" s="1">
        <f t="shared" si="9"/>
        <v>0.65705130320733829</v>
      </c>
    </row>
    <row r="336" spans="1:21" ht="15">
      <c r="A336" s="84">
        <v>622.78621875090005</v>
      </c>
      <c r="B336" s="84">
        <v>625.16927840958499</v>
      </c>
      <c r="C336" s="84">
        <v>621.90877419038009</v>
      </c>
      <c r="D336" s="84">
        <v>624.50620950873758</v>
      </c>
      <c r="E336" s="85">
        <v>4587617.0252744388</v>
      </c>
      <c r="F336" s="83" t="s">
        <v>341</v>
      </c>
      <c r="G336" s="25">
        <f t="shared" si="6"/>
        <v>-2.7541611783020725E-3</v>
      </c>
      <c r="I336" s="84">
        <v>200.05930072379286</v>
      </c>
      <c r="J336" s="84">
        <v>201.30991949196104</v>
      </c>
      <c r="K336" s="84">
        <v>196.3173699650674</v>
      </c>
      <c r="L336" s="84">
        <v>201.30991949196104</v>
      </c>
      <c r="M336" s="85">
        <v>3165154.137630593</v>
      </c>
      <c r="N336" s="83" t="s">
        <v>341</v>
      </c>
      <c r="O336" s="25">
        <f t="shared" si="7"/>
        <v>-6.2124050882556014E-3</v>
      </c>
      <c r="Q336" s="86">
        <v>4.200000000000003E-2</v>
      </c>
      <c r="R336">
        <v>1</v>
      </c>
      <c r="T336" s="25">
        <f t="shared" si="8"/>
        <v>3.7000000000000026E-2</v>
      </c>
      <c r="U336" s="1">
        <f t="shared" si="9"/>
        <v>0.52865004749932287</v>
      </c>
    </row>
    <row r="337" spans="1:21" ht="15">
      <c r="A337" s="84">
        <v>623.20499910932995</v>
      </c>
      <c r="B337" s="84">
        <v>624.35165961455493</v>
      </c>
      <c r="C337" s="84">
        <v>617.60131907509992</v>
      </c>
      <c r="D337" s="84">
        <v>618.53858940111002</v>
      </c>
      <c r="E337" s="85">
        <v>5486228.9817731176</v>
      </c>
      <c r="F337" s="83" t="s">
        <v>342</v>
      </c>
      <c r="G337" s="25">
        <f t="shared" si="6"/>
        <v>7.5442499274589458E-3</v>
      </c>
      <c r="I337" s="84">
        <v>201.6771646857882</v>
      </c>
      <c r="J337" s="84">
        <v>203.83100811985562</v>
      </c>
      <c r="K337" s="84">
        <v>201.09771132320361</v>
      </c>
      <c r="L337" s="84">
        <v>201.70694132312553</v>
      </c>
      <c r="M337" s="85">
        <v>2797076.1749367728</v>
      </c>
      <c r="N337" s="83" t="s">
        <v>342</v>
      </c>
      <c r="O337" s="25">
        <f t="shared" si="7"/>
        <v>-1.4762326542661075E-4</v>
      </c>
      <c r="Q337" s="86">
        <v>4.3000000000000031E-2</v>
      </c>
      <c r="R337">
        <v>1</v>
      </c>
      <c r="T337" s="25">
        <f t="shared" si="8"/>
        <v>3.8000000000000027E-2</v>
      </c>
      <c r="U337" s="1">
        <f t="shared" si="9"/>
        <v>0.42280739267296064</v>
      </c>
    </row>
    <row r="338" spans="1:21" ht="15">
      <c r="A338" s="84">
        <v>619.53568549261001</v>
      </c>
      <c r="B338" s="84">
        <v>620.682345997835</v>
      </c>
      <c r="C338" s="84">
        <v>615.50741728294997</v>
      </c>
      <c r="D338" s="84">
        <v>619.98936421424241</v>
      </c>
      <c r="E338" s="85">
        <v>9794014.5090820454</v>
      </c>
      <c r="F338" s="83" t="s">
        <v>343</v>
      </c>
      <c r="G338" s="25">
        <f t="shared" si="6"/>
        <v>-7.3175242644263339E-4</v>
      </c>
      <c r="I338" s="84">
        <v>201.96500551338247</v>
      </c>
      <c r="J338" s="84">
        <v>202.28262297831407</v>
      </c>
      <c r="K338" s="84">
        <v>196.94267934915149</v>
      </c>
      <c r="L338" s="84">
        <v>197.12133917317553</v>
      </c>
      <c r="M338" s="85">
        <v>4416587.7714504311</v>
      </c>
      <c r="N338" s="83" t="s">
        <v>343</v>
      </c>
      <c r="O338" s="25">
        <f t="shared" si="7"/>
        <v>2.457200402819737E-2</v>
      </c>
      <c r="Q338" s="86">
        <v>4.4000000000000032E-2</v>
      </c>
      <c r="R338">
        <v>2</v>
      </c>
      <c r="T338" s="25">
        <f t="shared" si="8"/>
        <v>3.9000000000000028E-2</v>
      </c>
      <c r="U338" s="1">
        <f t="shared" si="9"/>
        <v>0.33614152883901094</v>
      </c>
    </row>
    <row r="339" spans="1:21" ht="15">
      <c r="A339" s="84">
        <v>604.28011529265996</v>
      </c>
      <c r="B339" s="84">
        <v>604.54933123736498</v>
      </c>
      <c r="C339" s="84">
        <v>596.76201076275004</v>
      </c>
      <c r="D339" s="84">
        <v>601.82725890757001</v>
      </c>
      <c r="E339" s="85">
        <v>6164208.2777134217</v>
      </c>
      <c r="F339" s="83" t="s">
        <v>344</v>
      </c>
      <c r="G339" s="25">
        <f t="shared" si="6"/>
        <v>4.0756817654659105E-3</v>
      </c>
      <c r="I339" s="84">
        <v>196.44640206019585</v>
      </c>
      <c r="J339" s="84">
        <v>196.67468961311548</v>
      </c>
      <c r="K339" s="84">
        <v>194.05434552742975</v>
      </c>
      <c r="L339" s="84">
        <v>195.94019922546113</v>
      </c>
      <c r="M339" s="85">
        <v>3041064.1273268852</v>
      </c>
      <c r="N339" s="83" t="s">
        <v>344</v>
      </c>
      <c r="O339" s="25">
        <f t="shared" si="7"/>
        <v>2.5834557519881507E-3</v>
      </c>
      <c r="Q339" s="86">
        <v>4.5000000000000033E-2</v>
      </c>
      <c r="R339">
        <v>0</v>
      </c>
      <c r="T339" s="25">
        <f t="shared" si="8"/>
        <v>4.0000000000000029E-2</v>
      </c>
      <c r="U339" s="1">
        <f t="shared" si="9"/>
        <v>0.2656483188853197</v>
      </c>
    </row>
    <row r="340" spans="1:21" ht="15.75" thickBot="1">
      <c r="A340" s="84">
        <v>603.91118973880498</v>
      </c>
      <c r="B340" s="84">
        <v>604.67895372926</v>
      </c>
      <c r="C340" s="84">
        <v>600.86007569881497</v>
      </c>
      <c r="D340" s="84">
        <v>601.16917548717993</v>
      </c>
      <c r="E340" s="85">
        <v>6300935.5060740402</v>
      </c>
      <c r="F340" s="83" t="s">
        <v>345</v>
      </c>
      <c r="G340" s="25">
        <f t="shared" si="6"/>
        <v>4.5611358057453533E-3</v>
      </c>
      <c r="I340" s="84">
        <v>196.93275380337238</v>
      </c>
      <c r="J340" s="84">
        <v>197.15111581051286</v>
      </c>
      <c r="K340" s="84">
        <v>193.548142692695</v>
      </c>
      <c r="L340" s="84">
        <v>194.7640220506363</v>
      </c>
      <c r="M340" s="85">
        <v>2308241.4897741186</v>
      </c>
      <c r="N340" s="83" t="s">
        <v>345</v>
      </c>
      <c r="O340" s="25">
        <f t="shared" si="7"/>
        <v>1.113517645559936E-2</v>
      </c>
      <c r="Q340" s="87" t="s">
        <v>1737</v>
      </c>
      <c r="R340" s="87">
        <v>5</v>
      </c>
      <c r="T340" s="25">
        <f t="shared" si="8"/>
        <v>4.1000000000000029E-2</v>
      </c>
      <c r="U340" s="1">
        <f t="shared" si="9"/>
        <v>0.20868790291503317</v>
      </c>
    </row>
    <row r="341" spans="1:21">
      <c r="A341" s="84">
        <v>601.23897221358504</v>
      </c>
      <c r="B341" s="84">
        <v>603.03374517828502</v>
      </c>
      <c r="C341" s="84">
        <v>591.30988933442802</v>
      </c>
      <c r="D341" s="84">
        <v>592.50441045204502</v>
      </c>
      <c r="E341" s="85">
        <v>12776618.258261422</v>
      </c>
      <c r="F341" s="83" t="s">
        <v>346</v>
      </c>
      <c r="G341" s="25">
        <f t="shared" si="6"/>
        <v>1.474176665600857E-2</v>
      </c>
      <c r="I341" s="84">
        <v>194.74913373196765</v>
      </c>
      <c r="J341" s="84">
        <v>195.96997586279846</v>
      </c>
      <c r="K341" s="84">
        <v>192.18834292095659</v>
      </c>
      <c r="L341" s="84">
        <v>193.62754705892792</v>
      </c>
      <c r="M341" s="85">
        <v>4101903.9044359913</v>
      </c>
      <c r="N341" s="83" t="s">
        <v>346</v>
      </c>
      <c r="O341" s="25">
        <f t="shared" si="7"/>
        <v>5.7924953865080564E-3</v>
      </c>
      <c r="T341" s="25">
        <f t="shared" si="8"/>
        <v>4.200000000000003E-2</v>
      </c>
      <c r="U341" s="1">
        <f t="shared" si="9"/>
        <v>0.1629644142658048</v>
      </c>
    </row>
    <row r="342" spans="1:21">
      <c r="A342" s="84">
        <v>600.55097591045001</v>
      </c>
      <c r="B342" s="84">
        <v>603.59211898952503</v>
      </c>
      <c r="C342" s="84">
        <v>598.52687084470494</v>
      </c>
      <c r="D342" s="84">
        <v>599.31457675698994</v>
      </c>
      <c r="E342" s="85">
        <v>11314501.039140819</v>
      </c>
      <c r="F342" s="83" t="s">
        <v>347</v>
      </c>
      <c r="G342" s="25">
        <f t="shared" si="6"/>
        <v>2.0630219944766104E-3</v>
      </c>
      <c r="I342" s="84">
        <v>193.27022741087987</v>
      </c>
      <c r="J342" s="84">
        <v>195.17593220046945</v>
      </c>
      <c r="K342" s="84">
        <v>192.10893855472369</v>
      </c>
      <c r="L342" s="84">
        <v>193.02208876640205</v>
      </c>
      <c r="M342" s="85">
        <v>4154412.4772236729</v>
      </c>
      <c r="N342" s="83" t="s">
        <v>347</v>
      </c>
      <c r="O342" s="25">
        <f t="shared" si="7"/>
        <v>1.2855453283282525E-3</v>
      </c>
      <c r="T342" s="25">
        <f t="shared" si="8"/>
        <v>4.3000000000000031E-2</v>
      </c>
      <c r="U342" s="1">
        <f t="shared" si="9"/>
        <v>0.12650089181799862</v>
      </c>
    </row>
    <row r="343" spans="1:21">
      <c r="A343" s="84">
        <v>595.81476947582496</v>
      </c>
      <c r="B343" s="84">
        <v>597.11099439477505</v>
      </c>
      <c r="C343" s="84">
        <v>584.79685766474995</v>
      </c>
      <c r="D343" s="84">
        <v>585.64438934252507</v>
      </c>
      <c r="E343" s="85">
        <v>12375375.254592501</v>
      </c>
      <c r="F343" s="83" t="s">
        <v>348</v>
      </c>
      <c r="G343" s="25">
        <f t="shared" si="6"/>
        <v>1.7366136034732138E-2</v>
      </c>
      <c r="I343" s="84">
        <v>191.46377807908138</v>
      </c>
      <c r="J343" s="84">
        <v>191.99975755115344</v>
      </c>
      <c r="K343" s="84">
        <v>186.1833877245935</v>
      </c>
      <c r="L343" s="84">
        <v>187.73177286613503</v>
      </c>
      <c r="M343" s="85">
        <v>5352520.1822957098</v>
      </c>
      <c r="N343" s="83" t="s">
        <v>348</v>
      </c>
      <c r="O343" s="25">
        <f t="shared" si="7"/>
        <v>1.9879454372422778E-2</v>
      </c>
      <c r="T343" s="25">
        <f t="shared" si="8"/>
        <v>4.4000000000000032E-2</v>
      </c>
      <c r="U343" s="1">
        <f t="shared" si="9"/>
        <v>9.7611210052722136E-2</v>
      </c>
    </row>
    <row r="344" spans="1:21">
      <c r="A344" s="84">
        <v>579.24303243509496</v>
      </c>
      <c r="B344" s="84">
        <v>586.96055618330502</v>
      </c>
      <c r="C344" s="84">
        <v>576.78020508909003</v>
      </c>
      <c r="D344" s="84">
        <v>586.68136927768501</v>
      </c>
      <c r="E344" s="85">
        <v>11776668.833025908</v>
      </c>
      <c r="F344" s="83" t="s">
        <v>349</v>
      </c>
      <c r="G344" s="25">
        <f t="shared" si="6"/>
        <v>-1.2678665510970744E-2</v>
      </c>
      <c r="I344" s="84">
        <v>185.75658925609164</v>
      </c>
      <c r="J344" s="84">
        <v>191.5630335368725</v>
      </c>
      <c r="K344" s="84">
        <v>184.18835302299186</v>
      </c>
      <c r="L344" s="84">
        <v>191.05683070213777</v>
      </c>
      <c r="M344" s="85">
        <v>5056405.8576622913</v>
      </c>
      <c r="N344" s="83" t="s">
        <v>349</v>
      </c>
      <c r="O344" s="25">
        <f t="shared" si="7"/>
        <v>-2.7741700867577657E-2</v>
      </c>
      <c r="T344" s="25">
        <f t="shared" si="8"/>
        <v>4.5000000000000033E-2</v>
      </c>
      <c r="U344" s="1">
        <f t="shared" si="9"/>
        <v>7.4870564585024849E-2</v>
      </c>
    </row>
    <row r="345" spans="1:21">
      <c r="A345" s="84">
        <v>581.26713750084002</v>
      </c>
      <c r="B345" s="84">
        <v>589.1142837409451</v>
      </c>
      <c r="C345" s="84">
        <v>580.33983813574503</v>
      </c>
      <c r="D345" s="84">
        <v>588.96471932722</v>
      </c>
      <c r="E345" s="85">
        <v>11637656.547668856</v>
      </c>
      <c r="F345" s="83" t="s">
        <v>350</v>
      </c>
      <c r="G345" s="25">
        <f t="shared" si="6"/>
        <v>-1.306968239994577E-2</v>
      </c>
      <c r="I345" s="84">
        <v>188.29752897554448</v>
      </c>
      <c r="J345" s="84">
        <v>191.67221454044275</v>
      </c>
      <c r="K345" s="84">
        <v>188.04939033106666</v>
      </c>
      <c r="L345" s="84">
        <v>190.97742633590485</v>
      </c>
      <c r="M345" s="85">
        <v>3833404.4673966435</v>
      </c>
      <c r="N345" s="83" t="s">
        <v>350</v>
      </c>
      <c r="O345" s="25">
        <f t="shared" si="7"/>
        <v>-1.4032534691543974E-2</v>
      </c>
      <c r="T345" s="25">
        <f t="shared" ref="T345:T349" si="10">T344+0.001</f>
        <v>4.6000000000000034E-2</v>
      </c>
      <c r="U345" s="1">
        <f t="shared" si="9"/>
        <v>5.7085764513240538E-2</v>
      </c>
    </row>
    <row r="346" spans="1:21">
      <c r="A346" s="84">
        <v>591.32544404802491</v>
      </c>
      <c r="B346" s="84">
        <v>600.25615593327257</v>
      </c>
      <c r="C346" s="84">
        <v>591.0868941479182</v>
      </c>
      <c r="D346" s="84">
        <v>597.66192576961134</v>
      </c>
      <c r="E346" s="85">
        <v>7632666.5755088478</v>
      </c>
      <c r="F346" s="83" t="s">
        <v>351</v>
      </c>
      <c r="G346" s="25">
        <f t="shared" si="6"/>
        <v>-1.0602117097265218E-2</v>
      </c>
      <c r="I346" s="84">
        <v>191.41415035018579</v>
      </c>
      <c r="J346" s="84">
        <v>192.86328003393623</v>
      </c>
      <c r="K346" s="84">
        <v>189.95509512065627</v>
      </c>
      <c r="L346" s="84">
        <v>192.86328003393623</v>
      </c>
      <c r="M346" s="85">
        <v>4833674.2926482754</v>
      </c>
      <c r="N346" s="83" t="s">
        <v>351</v>
      </c>
      <c r="O346" s="25">
        <f t="shared" si="7"/>
        <v>-7.5137666615202603E-3</v>
      </c>
      <c r="T346" s="25">
        <f t="shared" si="10"/>
        <v>4.7000000000000035E-2</v>
      </c>
      <c r="U346" s="1">
        <f t="shared" si="9"/>
        <v>4.3266307979004721E-2</v>
      </c>
    </row>
    <row r="347" spans="1:21">
      <c r="A347" s="84">
        <v>602.00055207780338</v>
      </c>
      <c r="B347" s="84">
        <v>605.75771300448525</v>
      </c>
      <c r="C347" s="84">
        <v>599.71444886844677</v>
      </c>
      <c r="D347" s="84">
        <v>603.73003885357753</v>
      </c>
      <c r="E347" s="85">
        <v>23373517.757283315</v>
      </c>
      <c r="F347" s="83" t="s">
        <v>352</v>
      </c>
      <c r="G347" s="25">
        <f t="shared" si="6"/>
        <v>-2.8646690813302067E-3</v>
      </c>
      <c r="I347" s="84">
        <v>193.548142692695</v>
      </c>
      <c r="J347" s="84">
        <v>195.20570883780678</v>
      </c>
      <c r="K347" s="84">
        <v>192.60521584367933</v>
      </c>
      <c r="L347" s="84">
        <v>194.59032499950183</v>
      </c>
      <c r="M347" s="85">
        <v>3985197.9660645532</v>
      </c>
      <c r="N347" s="83" t="s">
        <v>352</v>
      </c>
      <c r="O347" s="25">
        <f t="shared" si="7"/>
        <v>-5.355776587605332E-3</v>
      </c>
      <c r="T347" s="25">
        <f t="shared" si="10"/>
        <v>4.8000000000000036E-2</v>
      </c>
      <c r="U347" s="1">
        <f t="shared" si="9"/>
        <v>3.2596964174735864E-2</v>
      </c>
    </row>
    <row r="348" spans="1:21">
      <c r="A348" s="84">
        <v>598.74037010967743</v>
      </c>
      <c r="B348" s="84">
        <v>602.24904155708134</v>
      </c>
      <c r="C348" s="84">
        <v>595.69885888331601</v>
      </c>
      <c r="D348" s="84">
        <v>597.00094375473213</v>
      </c>
      <c r="E348" s="85">
        <v>18309374.751382884</v>
      </c>
      <c r="F348" s="83" t="s">
        <v>353</v>
      </c>
      <c r="G348" s="25">
        <f t="shared" si="6"/>
        <v>2.913607378918881E-3</v>
      </c>
      <c r="I348" s="84">
        <v>192.55558811478375</v>
      </c>
      <c r="J348" s="84">
        <v>193.68710033360256</v>
      </c>
      <c r="K348" s="84">
        <v>189.75658420507401</v>
      </c>
      <c r="L348" s="84">
        <v>190.7888409661017</v>
      </c>
      <c r="M348" s="85">
        <v>5161703.0276375068</v>
      </c>
      <c r="N348" s="83" t="s">
        <v>353</v>
      </c>
      <c r="O348" s="25">
        <f t="shared" si="7"/>
        <v>9.2602226615337013E-3</v>
      </c>
      <c r="T348" s="25">
        <f t="shared" si="10"/>
        <v>4.9000000000000037E-2</v>
      </c>
      <c r="U348" s="1">
        <f t="shared" si="9"/>
        <v>2.4412360528028483E-2</v>
      </c>
    </row>
    <row r="349" spans="1:21">
      <c r="A349" s="84">
        <v>600.77798383975619</v>
      </c>
      <c r="B349" s="84">
        <v>607.33313630310704</v>
      </c>
      <c r="C349" s="84">
        <v>599.4162614933133</v>
      </c>
      <c r="D349" s="84">
        <v>603.19330157833735</v>
      </c>
      <c r="E349" s="85">
        <v>24112839.904276684</v>
      </c>
      <c r="F349" s="83" t="s">
        <v>354</v>
      </c>
      <c r="G349" s="25">
        <f t="shared" si="6"/>
        <v>-4.0042184358830557E-3</v>
      </c>
      <c r="I349" s="84">
        <v>193.36948286867099</v>
      </c>
      <c r="J349" s="84">
        <v>198.26277693777348</v>
      </c>
      <c r="K349" s="84">
        <v>193.01216322062294</v>
      </c>
      <c r="L349" s="84">
        <v>195.70198612676242</v>
      </c>
      <c r="M349" s="85">
        <v>4935909.5004224842</v>
      </c>
      <c r="N349" s="83" t="s">
        <v>354</v>
      </c>
      <c r="O349" s="25">
        <f t="shared" si="7"/>
        <v>-1.1918648881675598E-2</v>
      </c>
      <c r="T349" s="25">
        <f t="shared" si="10"/>
        <v>5.0000000000000037E-2</v>
      </c>
      <c r="U349" s="1">
        <f t="shared" si="9"/>
        <v>1.8173881716599803E-2</v>
      </c>
    </row>
    <row r="350" spans="1:21">
      <c r="A350" s="84">
        <v>594.32719695770209</v>
      </c>
      <c r="B350" s="84">
        <v>601.94091460277673</v>
      </c>
      <c r="C350" s="84">
        <v>590.97755877703594</v>
      </c>
      <c r="D350" s="84">
        <v>601.7719417568677</v>
      </c>
      <c r="E350" s="85">
        <v>17638954.135451324</v>
      </c>
      <c r="F350" s="83" t="s">
        <v>355</v>
      </c>
      <c r="G350" s="25">
        <f t="shared" si="6"/>
        <v>-1.2371372412995463E-2</v>
      </c>
      <c r="I350" s="84">
        <v>196.68461515889459</v>
      </c>
      <c r="J350" s="84">
        <v>200.52580137541113</v>
      </c>
      <c r="K350" s="84">
        <v>195.0270490137828</v>
      </c>
      <c r="L350" s="84">
        <v>199.76153435041945</v>
      </c>
      <c r="M350" s="85">
        <v>8483120.8560027648</v>
      </c>
      <c r="N350" s="83" t="s">
        <v>355</v>
      </c>
      <c r="O350" s="25">
        <f t="shared" si="7"/>
        <v>-1.5402961343535582E-2</v>
      </c>
    </row>
    <row r="351" spans="1:21">
      <c r="A351" s="84">
        <v>603.08396620745509</v>
      </c>
      <c r="B351" s="84">
        <v>606.00620248376322</v>
      </c>
      <c r="C351" s="84">
        <v>598.89940337641531</v>
      </c>
      <c r="D351" s="84">
        <v>600.48973604379387</v>
      </c>
      <c r="E351" s="85">
        <v>10249751.360103374</v>
      </c>
      <c r="F351" s="83" t="s">
        <v>356</v>
      </c>
      <c r="G351" s="25">
        <f t="shared" si="6"/>
        <v>4.3201906842784688E-3</v>
      </c>
      <c r="I351" s="84">
        <v>199.23548042412651</v>
      </c>
      <c r="J351" s="84">
        <v>201.86575005559132</v>
      </c>
      <c r="K351" s="84">
        <v>195.55310294007575</v>
      </c>
      <c r="L351" s="84">
        <v>201.81612232669579</v>
      </c>
      <c r="M351" s="85">
        <v>5355954.0473705884</v>
      </c>
      <c r="N351" s="83" t="s">
        <v>356</v>
      </c>
      <c r="O351" s="25">
        <f t="shared" si="7"/>
        <v>-1.2787094870407745E-2</v>
      </c>
    </row>
    <row r="352" spans="1:21">
      <c r="A352" s="84">
        <v>604.70411761234698</v>
      </c>
      <c r="B352" s="84">
        <v>612.168741569855</v>
      </c>
      <c r="C352" s="84">
        <v>604.45562813306901</v>
      </c>
      <c r="D352" s="84">
        <v>610.97599206932114</v>
      </c>
      <c r="E352" s="85">
        <v>12362167.267208908</v>
      </c>
      <c r="F352" s="83" t="s">
        <v>357</v>
      </c>
      <c r="G352" s="25">
        <f t="shared" si="6"/>
        <v>-1.0265336999137897E-2</v>
      </c>
      <c r="I352" s="84">
        <v>203.03696445752664</v>
      </c>
      <c r="J352" s="84">
        <v>205.75656400100348</v>
      </c>
      <c r="K352" s="84">
        <v>202.51091053123366</v>
      </c>
      <c r="L352" s="84">
        <v>202.78882581304882</v>
      </c>
      <c r="M352" s="85">
        <v>3530306.1506944071</v>
      </c>
      <c r="N352" s="83" t="s">
        <v>357</v>
      </c>
      <c r="O352" s="25">
        <f t="shared" si="7"/>
        <v>1.223630757182681E-3</v>
      </c>
    </row>
    <row r="353" spans="1:15">
      <c r="A353" s="84">
        <v>613.16269948696652</v>
      </c>
      <c r="B353" s="84">
        <v>616.5222772468037</v>
      </c>
      <c r="C353" s="84">
        <v>612.54644557835741</v>
      </c>
      <c r="D353" s="84">
        <v>614.63375720429167</v>
      </c>
      <c r="E353" s="85">
        <v>8800087.6880364232</v>
      </c>
      <c r="F353" s="83" t="s">
        <v>358</v>
      </c>
      <c r="G353" s="25">
        <f t="shared" si="6"/>
        <v>-2.3933890712680705E-3</v>
      </c>
      <c r="I353" s="84">
        <v>201.81612232669579</v>
      </c>
      <c r="J353" s="84">
        <v>205.13125461691936</v>
      </c>
      <c r="K353" s="84">
        <v>199.21890476267541</v>
      </c>
      <c r="L353" s="84">
        <v>204.27765767991571</v>
      </c>
      <c r="M353" s="85">
        <v>4015501.2666279292</v>
      </c>
      <c r="N353" s="83" t="s">
        <v>358</v>
      </c>
      <c r="O353" s="25">
        <f t="shared" si="7"/>
        <v>-1.2049948982070791E-2</v>
      </c>
    </row>
    <row r="354" spans="1:15">
      <c r="A354" s="84">
        <v>611.47297102787695</v>
      </c>
      <c r="B354" s="84">
        <v>614.34550940832935</v>
      </c>
      <c r="C354" s="84">
        <v>609.83294046464266</v>
      </c>
      <c r="D354" s="84">
        <v>611.00581080683446</v>
      </c>
      <c r="E354" s="85">
        <v>8274060.0646342319</v>
      </c>
      <c r="F354" s="83" t="s">
        <v>359</v>
      </c>
      <c r="G354" s="25">
        <f t="shared" ref="G354:G417" si="11">A354/D354-1</f>
        <v>7.645757418011101E-4</v>
      </c>
      <c r="I354" s="84">
        <v>204.5257963243935</v>
      </c>
      <c r="J354" s="84">
        <v>207.34465132566149</v>
      </c>
      <c r="K354" s="84">
        <v>203.08659218642219</v>
      </c>
      <c r="L354" s="84">
        <v>203.18584764421331</v>
      </c>
      <c r="M354" s="85">
        <v>4827717.232521221</v>
      </c>
      <c r="N354" s="83" t="s">
        <v>359</v>
      </c>
      <c r="O354" s="25">
        <f t="shared" ref="O354:O417" si="12">I354/L354-1</f>
        <v>6.5946949342972072E-3</v>
      </c>
    </row>
    <row r="355" spans="1:15">
      <c r="A355" s="84">
        <v>605.40982773349617</v>
      </c>
      <c r="B355" s="84">
        <v>614.59797471927561</v>
      </c>
      <c r="C355" s="84">
        <v>604.57490308312242</v>
      </c>
      <c r="D355" s="84">
        <v>611.82085629886592</v>
      </c>
      <c r="E355" s="85">
        <v>23660320.16711612</v>
      </c>
      <c r="F355" s="83" t="s">
        <v>360</v>
      </c>
      <c r="G355" s="25">
        <f t="shared" si="11"/>
        <v>-1.0478604152451498E-2</v>
      </c>
      <c r="I355" s="84">
        <v>202.99726227441019</v>
      </c>
      <c r="J355" s="84">
        <v>204.75199951269948</v>
      </c>
      <c r="K355" s="84">
        <v>200.39676928028268</v>
      </c>
      <c r="L355" s="84">
        <v>202.93770899973549</v>
      </c>
      <c r="M355" s="85">
        <v>4804980.7217013417</v>
      </c>
      <c r="N355" s="83" t="s">
        <v>360</v>
      </c>
      <c r="O355" s="25">
        <f t="shared" si="12"/>
        <v>2.934559327008035E-4</v>
      </c>
    </row>
    <row r="356" spans="1:15">
      <c r="A356" s="84">
        <v>608.79922423084668</v>
      </c>
      <c r="B356" s="84">
        <v>613.97774497899809</v>
      </c>
      <c r="C356" s="84">
        <v>608.71970759747774</v>
      </c>
      <c r="D356" s="84">
        <v>613.49070559961342</v>
      </c>
      <c r="E356" s="85">
        <v>12076075.97440413</v>
      </c>
      <c r="F356" s="83" t="s">
        <v>361</v>
      </c>
      <c r="G356" s="25">
        <f t="shared" si="11"/>
        <v>-7.6471922491171407E-3</v>
      </c>
      <c r="I356" s="84">
        <v>201.5282814991015</v>
      </c>
      <c r="J356" s="84">
        <v>205.23051007471051</v>
      </c>
      <c r="K356" s="84">
        <v>200.33721600560801</v>
      </c>
      <c r="L356" s="84">
        <v>204.64490287374286</v>
      </c>
      <c r="M356" s="85">
        <v>6429009.9629871771</v>
      </c>
      <c r="N356" s="83" t="s">
        <v>361</v>
      </c>
      <c r="O356" s="25">
        <f t="shared" si="12"/>
        <v>-1.5229411194102371E-2</v>
      </c>
    </row>
    <row r="357" spans="1:15">
      <c r="A357" s="84">
        <v>618.27164318092014</v>
      </c>
      <c r="B357" s="84">
        <v>621.65110009909949</v>
      </c>
      <c r="C357" s="84">
        <v>615.55813806720539</v>
      </c>
      <c r="D357" s="84">
        <v>619.43457394394068</v>
      </c>
      <c r="E357" s="85">
        <v>6365253.0199522767</v>
      </c>
      <c r="F357" s="83" t="s">
        <v>362</v>
      </c>
      <c r="G357" s="25">
        <f t="shared" si="11"/>
        <v>-1.8774069319640319E-3</v>
      </c>
      <c r="I357" s="84">
        <v>205.71686181788701</v>
      </c>
      <c r="J357" s="84">
        <v>207.83090381338022</v>
      </c>
      <c r="K357" s="84">
        <v>203.17592209843417</v>
      </c>
      <c r="L357" s="84">
        <v>204.128774493229</v>
      </c>
      <c r="M357" s="85">
        <v>4375623.6657933258</v>
      </c>
      <c r="N357" s="83" t="s">
        <v>362</v>
      </c>
      <c r="O357" s="25">
        <f t="shared" si="12"/>
        <v>7.7798307886802753E-3</v>
      </c>
    </row>
    <row r="358" spans="1:15">
      <c r="A358" s="84">
        <v>618.95747414372715</v>
      </c>
      <c r="B358" s="84">
        <v>624.70294848779895</v>
      </c>
      <c r="C358" s="84">
        <v>616.88010209696392</v>
      </c>
      <c r="D358" s="84">
        <v>619.55384889399409</v>
      </c>
      <c r="E358" s="85">
        <v>15629246.759101963</v>
      </c>
      <c r="F358" s="83" t="s">
        <v>363</v>
      </c>
      <c r="G358" s="25">
        <f t="shared" si="11"/>
        <v>-9.625874350253083E-4</v>
      </c>
      <c r="I358" s="84">
        <v>205.45879762763008</v>
      </c>
      <c r="J358" s="84">
        <v>206.91785285715963</v>
      </c>
      <c r="K358" s="84">
        <v>203.75160375362273</v>
      </c>
      <c r="L358" s="84">
        <v>204.8235626977669</v>
      </c>
      <c r="M358" s="85">
        <v>4147194.8046045252</v>
      </c>
      <c r="N358" s="83" t="s">
        <v>363</v>
      </c>
      <c r="O358" s="25">
        <f t="shared" si="12"/>
        <v>3.1013762357043895E-3</v>
      </c>
    </row>
    <row r="359" spans="1:15">
      <c r="A359" s="84">
        <v>620.03094869420761</v>
      </c>
      <c r="B359" s="84">
        <v>621.54176472821723</v>
      </c>
      <c r="C359" s="84">
        <v>605.51916310437855</v>
      </c>
      <c r="D359" s="84">
        <v>609.1570490810069</v>
      </c>
      <c r="E359" s="85">
        <v>13259006.27684268</v>
      </c>
      <c r="F359" s="83" t="s">
        <v>364</v>
      </c>
      <c r="G359" s="25">
        <f t="shared" si="11"/>
        <v>1.7850732630616983E-2</v>
      </c>
      <c r="I359" s="84">
        <v>206.67963975846092</v>
      </c>
      <c r="J359" s="84">
        <v>211.41412509509763</v>
      </c>
      <c r="K359" s="84">
        <v>205.27021225782696</v>
      </c>
      <c r="L359" s="84">
        <v>210.1783946455981</v>
      </c>
      <c r="M359" s="85">
        <v>8557370.4596417788</v>
      </c>
      <c r="N359" s="83" t="s">
        <v>364</v>
      </c>
      <c r="O359" s="25">
        <f t="shared" si="12"/>
        <v>-1.6646596302330563E-2</v>
      </c>
    </row>
    <row r="360" spans="1:15">
      <c r="A360" s="84">
        <v>614.69339467931832</v>
      </c>
      <c r="B360" s="84">
        <v>618.06291201832676</v>
      </c>
      <c r="C360" s="84">
        <v>612.27807694073726</v>
      </c>
      <c r="D360" s="84">
        <v>615.59292659430446</v>
      </c>
      <c r="E360" s="85">
        <v>9721290.7967764959</v>
      </c>
      <c r="F360" s="83" t="s">
        <v>365</v>
      </c>
      <c r="G360" s="25">
        <f t="shared" si="11"/>
        <v>-1.461244722161914E-3</v>
      </c>
      <c r="I360" s="84">
        <v>208.19824826266515</v>
      </c>
      <c r="J360" s="84">
        <v>208.38683363246827</v>
      </c>
      <c r="K360" s="84">
        <v>202.12381424584825</v>
      </c>
      <c r="L360" s="84">
        <v>202.49105943967541</v>
      </c>
      <c r="M360" s="85">
        <v>8783416.004635537</v>
      </c>
      <c r="N360" s="83" t="s">
        <v>365</v>
      </c>
      <c r="O360" s="25">
        <f t="shared" si="12"/>
        <v>2.818489289740711E-2</v>
      </c>
    </row>
    <row r="361" spans="1:15">
      <c r="A361" s="84">
        <v>623.02276202471342</v>
      </c>
      <c r="B361" s="84">
        <v>626.69046673885521</v>
      </c>
      <c r="C361" s="84">
        <v>617.64544969313977</v>
      </c>
      <c r="D361" s="84">
        <v>623.49986182492705</v>
      </c>
      <c r="E361" s="85">
        <v>12232951.097802835</v>
      </c>
      <c r="F361" s="83" t="s">
        <v>366</v>
      </c>
      <c r="G361" s="25">
        <f t="shared" si="11"/>
        <v>-7.6519632068117183E-4</v>
      </c>
      <c r="I361" s="84">
        <v>202.34217625298876</v>
      </c>
      <c r="J361" s="84">
        <v>208.58534454805056</v>
      </c>
      <c r="K361" s="84">
        <v>198.60520826715285</v>
      </c>
      <c r="L361" s="84">
        <v>206.93770394871785</v>
      </c>
      <c r="M361" s="85">
        <v>6962638.8791064434</v>
      </c>
      <c r="N361" s="83" t="s">
        <v>366</v>
      </c>
      <c r="O361" s="25">
        <f t="shared" si="12"/>
        <v>-2.2207300110316908E-2</v>
      </c>
    </row>
    <row r="362" spans="1:15">
      <c r="A362" s="84">
        <v>626.37240020537945</v>
      </c>
      <c r="B362" s="84">
        <v>628.14164529783818</v>
      </c>
      <c r="C362" s="84">
        <v>621.29327524893938</v>
      </c>
      <c r="D362" s="84">
        <v>623.13209739559568</v>
      </c>
      <c r="E362" s="85">
        <v>13466889.564598415</v>
      </c>
      <c r="F362" s="83" t="s">
        <v>367</v>
      </c>
      <c r="G362" s="25">
        <f t="shared" si="11"/>
        <v>5.2000255215975955E-3</v>
      </c>
      <c r="I362" s="84">
        <v>207.26524695942857</v>
      </c>
      <c r="J362" s="84">
        <v>208.38683363246827</v>
      </c>
      <c r="K362" s="84">
        <v>202.7094214468159</v>
      </c>
      <c r="L362" s="84">
        <v>205.45879762763008</v>
      </c>
      <c r="M362" s="85">
        <v>6028367.9252094273</v>
      </c>
      <c r="N362" s="83" t="s">
        <v>367</v>
      </c>
      <c r="O362" s="25">
        <f t="shared" si="12"/>
        <v>8.7922705314009697E-3</v>
      </c>
    </row>
    <row r="363" spans="1:15">
      <c r="A363" s="84">
        <v>621.93934789506193</v>
      </c>
      <c r="B363" s="84">
        <v>623.99684078348275</v>
      </c>
      <c r="C363" s="84">
        <v>612.15880199068386</v>
      </c>
      <c r="D363" s="84">
        <v>617.05901452204387</v>
      </c>
      <c r="E363" s="85">
        <v>17858757.235400345</v>
      </c>
      <c r="F363" s="83" t="s">
        <v>368</v>
      </c>
      <c r="G363" s="25">
        <f t="shared" si="11"/>
        <v>7.9090220840518644E-3</v>
      </c>
      <c r="I363" s="84">
        <v>204.98237143023269</v>
      </c>
      <c r="J363" s="84">
        <v>212.90295696196452</v>
      </c>
      <c r="K363" s="84">
        <v>204.03944458121697</v>
      </c>
      <c r="L363" s="84">
        <v>211.42405064087671</v>
      </c>
      <c r="M363" s="85">
        <v>9706787.7443827726</v>
      </c>
      <c r="N363" s="83" t="s">
        <v>368</v>
      </c>
      <c r="O363" s="25">
        <f t="shared" si="12"/>
        <v>-3.0468053143044793E-2</v>
      </c>
    </row>
    <row r="364" spans="1:15">
      <c r="A364" s="84">
        <v>627.46575391420231</v>
      </c>
      <c r="B364" s="84">
        <v>629.51330722345222</v>
      </c>
      <c r="C364" s="84">
        <v>619.83215711078537</v>
      </c>
      <c r="D364" s="84">
        <v>620.41362249229553</v>
      </c>
      <c r="E364" s="85">
        <v>9196640.0864975248</v>
      </c>
      <c r="F364" s="83" t="s">
        <v>369</v>
      </c>
      <c r="G364" s="25">
        <f t="shared" si="11"/>
        <v>1.1366822336326798E-2</v>
      </c>
      <c r="I364" s="84">
        <v>210.58037924965217</v>
      </c>
      <c r="J364" s="84">
        <v>211.23546527107359</v>
      </c>
      <c r="K364" s="84">
        <v>206.45135220554135</v>
      </c>
      <c r="L364" s="84">
        <v>209.08162183700617</v>
      </c>
      <c r="M364" s="85">
        <v>12241020.462742062</v>
      </c>
      <c r="N364" s="83" t="s">
        <v>369</v>
      </c>
      <c r="O364" s="25">
        <f t="shared" si="12"/>
        <v>7.1682886304296201E-3</v>
      </c>
    </row>
    <row r="365" spans="1:15">
      <c r="A365" s="84">
        <v>627.22720401409549</v>
      </c>
      <c r="B365" s="84">
        <v>627.87327666021804</v>
      </c>
      <c r="C365" s="84">
        <v>623.15197655393808</v>
      </c>
      <c r="D365" s="84">
        <v>624.44412184618307</v>
      </c>
      <c r="E365" s="85">
        <v>10491519.318548061</v>
      </c>
      <c r="F365" s="83" t="s">
        <v>370</v>
      </c>
      <c r="G365" s="25">
        <f t="shared" si="11"/>
        <v>4.4568954539665473E-3</v>
      </c>
      <c r="I365" s="84">
        <v>201.11140857637878</v>
      </c>
      <c r="J365" s="84">
        <v>201.11140857637878</v>
      </c>
      <c r="K365" s="84">
        <v>196.15856123260161</v>
      </c>
      <c r="L365" s="84">
        <v>196.83349834558126</v>
      </c>
      <c r="M365" s="85">
        <v>9010959.2426862642</v>
      </c>
      <c r="N365" s="83" t="s">
        <v>370</v>
      </c>
      <c r="O365" s="25">
        <f t="shared" si="12"/>
        <v>2.1733649336896699E-2</v>
      </c>
    </row>
    <row r="366" spans="1:15">
      <c r="A366" s="84">
        <v>630.11962155289029</v>
      </c>
      <c r="B366" s="84">
        <v>633.91654079625641</v>
      </c>
      <c r="C366" s="84">
        <v>625.62693176754578</v>
      </c>
      <c r="D366" s="84">
        <v>633.79726584620312</v>
      </c>
      <c r="E366" s="85">
        <v>9465251.0645919107</v>
      </c>
      <c r="F366" s="83" t="s">
        <v>371</v>
      </c>
      <c r="G366" s="25">
        <f t="shared" si="11"/>
        <v>-5.8025562612717962E-3</v>
      </c>
      <c r="I366" s="84">
        <v>196.15856123260161</v>
      </c>
      <c r="J366" s="84">
        <v>197.20074353940845</v>
      </c>
      <c r="K366" s="84">
        <v>192.55558811478375</v>
      </c>
      <c r="L366" s="84">
        <v>195.03697455956188</v>
      </c>
      <c r="M366" s="85">
        <v>5644229.8599733915</v>
      </c>
      <c r="N366" s="83" t="s">
        <v>371</v>
      </c>
      <c r="O366" s="25">
        <f t="shared" si="12"/>
        <v>5.7506361323156341E-3</v>
      </c>
    </row>
    <row r="367" spans="1:15">
      <c r="A367" s="84">
        <v>633.67799089614971</v>
      </c>
      <c r="B367" s="84">
        <v>634.1451511171922</v>
      </c>
      <c r="C367" s="84">
        <v>630.90484830740843</v>
      </c>
      <c r="D367" s="84">
        <v>630.93466704492175</v>
      </c>
      <c r="E367" s="85">
        <v>12065849.900015049</v>
      </c>
      <c r="F367" s="83" t="s">
        <v>372</v>
      </c>
      <c r="G367" s="25">
        <f t="shared" si="11"/>
        <v>4.3480315704900185E-3</v>
      </c>
      <c r="I367" s="84">
        <v>194.52084617904802</v>
      </c>
      <c r="J367" s="84">
        <v>197.28302631391728</v>
      </c>
      <c r="K367" s="84">
        <v>191.18586279726622</v>
      </c>
      <c r="L367" s="84">
        <v>196.98238153226796</v>
      </c>
      <c r="M367" s="85">
        <v>6928308.858613559</v>
      </c>
      <c r="N367" s="83" t="s">
        <v>372</v>
      </c>
      <c r="O367" s="25">
        <f t="shared" si="12"/>
        <v>-1.2496220900937383E-2</v>
      </c>
    </row>
    <row r="368" spans="1:15">
      <c r="A368" s="84">
        <v>628.39013477711615</v>
      </c>
      <c r="B368" s="84">
        <v>629.26481774417425</v>
      </c>
      <c r="C368" s="84">
        <v>621.62128136158617</v>
      </c>
      <c r="D368" s="84">
        <v>623.36070771653135</v>
      </c>
      <c r="E368" s="85">
        <v>6934297.6936378954</v>
      </c>
      <c r="F368" s="83" t="s">
        <v>373</v>
      </c>
      <c r="G368" s="25">
        <f t="shared" si="11"/>
        <v>8.0682452363871615E-3</v>
      </c>
      <c r="I368" s="84">
        <v>196.98238153226796</v>
      </c>
      <c r="J368" s="84">
        <v>199.21572858802608</v>
      </c>
      <c r="K368" s="84">
        <v>195.53325184851752</v>
      </c>
      <c r="L368" s="84">
        <v>198.5109155822513</v>
      </c>
      <c r="M368" s="85">
        <v>10214946.888901973</v>
      </c>
      <c r="N368" s="83" t="s">
        <v>373</v>
      </c>
      <c r="O368" s="25">
        <f t="shared" si="12"/>
        <v>-7.7000000000000401E-3</v>
      </c>
    </row>
    <row r="369" spans="1:15">
      <c r="A369" s="84">
        <v>623.83780751674499</v>
      </c>
      <c r="B369" s="84">
        <v>630.77563377818387</v>
      </c>
      <c r="C369" s="84">
        <v>621.96916663257525</v>
      </c>
      <c r="D369" s="84">
        <v>628.78771794396073</v>
      </c>
      <c r="E369" s="85">
        <v>10883525.717704553</v>
      </c>
      <c r="F369" s="83" t="s">
        <v>374</v>
      </c>
      <c r="G369" s="25">
        <f t="shared" si="11"/>
        <v>-7.8721487172191962E-3</v>
      </c>
      <c r="I369" s="84">
        <v>200.41662037184088</v>
      </c>
      <c r="J369" s="84">
        <v>203.37443301401646</v>
      </c>
      <c r="K369" s="84">
        <v>200.2379605478169</v>
      </c>
      <c r="L369" s="84">
        <v>202.45135725655896</v>
      </c>
      <c r="M369" s="85">
        <v>4583790.5817475179</v>
      </c>
      <c r="N369" s="83" t="s">
        <v>374</v>
      </c>
      <c r="O369" s="25">
        <f t="shared" si="12"/>
        <v>-1.0050497622199339E-2</v>
      </c>
    </row>
    <row r="370" spans="1:15">
      <c r="A370" s="84">
        <v>630.18919860708797</v>
      </c>
      <c r="B370" s="84">
        <v>630.74581504067055</v>
      </c>
      <c r="C370" s="84">
        <v>623.24143276647806</v>
      </c>
      <c r="D370" s="84">
        <v>623.68871382917825</v>
      </c>
      <c r="E370" s="85">
        <v>7493334.3472365998</v>
      </c>
      <c r="F370" s="83" t="s">
        <v>375</v>
      </c>
      <c r="G370" s="25">
        <f t="shared" si="11"/>
        <v>1.0422642952763406E-2</v>
      </c>
      <c r="I370" s="84">
        <v>203.39428410557466</v>
      </c>
      <c r="J370" s="84">
        <v>204.8235626977669</v>
      </c>
      <c r="K370" s="84">
        <v>201.5084304075433</v>
      </c>
      <c r="L370" s="84">
        <v>203.9600402149841</v>
      </c>
      <c r="M370" s="85">
        <v>10347776.564200481</v>
      </c>
      <c r="N370" s="83" t="s">
        <v>375</v>
      </c>
      <c r="O370" s="25">
        <f t="shared" si="12"/>
        <v>-2.7738576086429045E-3</v>
      </c>
    </row>
    <row r="371" spans="1:15">
      <c r="A371" s="84">
        <v>625.72632755925702</v>
      </c>
      <c r="B371" s="84">
        <v>627.26696233077996</v>
      </c>
      <c r="C371" s="84">
        <v>623.02276202471342</v>
      </c>
      <c r="D371" s="84">
        <v>625.14983196733237</v>
      </c>
      <c r="E371" s="85">
        <v>5201993.878197087</v>
      </c>
      <c r="F371" s="83" t="s">
        <v>376</v>
      </c>
      <c r="G371" s="25">
        <f t="shared" si="11"/>
        <v>9.2217187375776E-4</v>
      </c>
      <c r="I371" s="84">
        <v>203.20569872888021</v>
      </c>
      <c r="J371" s="84">
        <v>204.51153350967044</v>
      </c>
      <c r="K371" s="84">
        <v>199.37722857610885</v>
      </c>
      <c r="L371" s="84">
        <v>201.97900544995605</v>
      </c>
      <c r="M371" s="85">
        <v>6161536.8485827483</v>
      </c>
      <c r="N371" s="83" t="s">
        <v>376</v>
      </c>
      <c r="O371" s="25">
        <f t="shared" si="12"/>
        <v>6.0733702306901005E-3</v>
      </c>
    </row>
    <row r="372" spans="1:15">
      <c r="A372" s="84">
        <v>627.33653938497775</v>
      </c>
      <c r="B372" s="84">
        <v>629.97052786532345</v>
      </c>
      <c r="C372" s="84">
        <v>624.20557194607625</v>
      </c>
      <c r="D372" s="84">
        <v>625.30886523407014</v>
      </c>
      <c r="E372" s="85">
        <v>9566979.4830282088</v>
      </c>
      <c r="F372" s="83" t="s">
        <v>377</v>
      </c>
      <c r="G372" s="25">
        <f t="shared" si="11"/>
        <v>3.2426761615615973E-3</v>
      </c>
      <c r="I372" s="84">
        <v>202.61213746488465</v>
      </c>
      <c r="J372" s="84">
        <v>203.79925999287576</v>
      </c>
      <c r="K372" s="84">
        <v>200.62865357436615</v>
      </c>
      <c r="L372" s="84">
        <v>203.3046256062128</v>
      </c>
      <c r="M372" s="85">
        <v>6465034.7533943858</v>
      </c>
      <c r="N372" s="83" t="s">
        <v>377</v>
      </c>
      <c r="O372" s="25">
        <f t="shared" si="12"/>
        <v>-3.406160284171067E-3</v>
      </c>
    </row>
    <row r="373" spans="1:15">
      <c r="A373" s="84">
        <v>624.19563236690522</v>
      </c>
      <c r="B373" s="84">
        <v>626.1239107261016</v>
      </c>
      <c r="C373" s="84">
        <v>617.75478506402203</v>
      </c>
      <c r="D373" s="84">
        <v>621.76043546998176</v>
      </c>
      <c r="E373" s="85">
        <v>8088295.1497205654</v>
      </c>
      <c r="F373" s="83" t="s">
        <v>378</v>
      </c>
      <c r="G373" s="25">
        <f t="shared" si="11"/>
        <v>3.9166160437382747E-3</v>
      </c>
      <c r="I373" s="84">
        <v>201.31619537182769</v>
      </c>
      <c r="J373" s="84">
        <v>203.43323054674516</v>
      </c>
      <c r="K373" s="84">
        <v>196.71609557586208</v>
      </c>
      <c r="L373" s="84">
        <v>197.8537546651869</v>
      </c>
      <c r="M373" s="85">
        <v>6114131.1270392174</v>
      </c>
      <c r="N373" s="83" t="s">
        <v>378</v>
      </c>
      <c r="O373" s="25">
        <f t="shared" si="12"/>
        <v>1.7500000000000071E-2</v>
      </c>
    </row>
    <row r="374" spans="1:15">
      <c r="A374" s="84">
        <v>623.10227865808235</v>
      </c>
      <c r="B374" s="84">
        <v>627.35641854331993</v>
      </c>
      <c r="C374" s="84">
        <v>619.35008752098622</v>
      </c>
      <c r="D374" s="84">
        <v>623.14203697476682</v>
      </c>
      <c r="E374" s="85">
        <v>9304973.4206822477</v>
      </c>
      <c r="F374" s="83" t="s">
        <v>379</v>
      </c>
      <c r="G374" s="25">
        <f t="shared" si="11"/>
        <v>-6.3802976408844359E-5</v>
      </c>
      <c r="I374" s="84">
        <v>197.91311079158646</v>
      </c>
      <c r="J374" s="84">
        <v>201.51404912649286</v>
      </c>
      <c r="K374" s="84">
        <v>196.39873815337913</v>
      </c>
      <c r="L374" s="84">
        <v>198.98152106677847</v>
      </c>
      <c r="M374" s="85">
        <v>4989851.2245606231</v>
      </c>
      <c r="N374" s="83" t="s">
        <v>379</v>
      </c>
      <c r="O374" s="25">
        <f t="shared" si="12"/>
        <v>-5.3693944516257641E-3</v>
      </c>
    </row>
    <row r="375" spans="1:15">
      <c r="A375" s="84">
        <v>622.70469549123777</v>
      </c>
      <c r="B375" s="84">
        <v>635.65596715120171</v>
      </c>
      <c r="C375" s="84">
        <v>621.97910621174628</v>
      </c>
      <c r="D375" s="84">
        <v>634.65206965491905</v>
      </c>
      <c r="E375" s="85">
        <v>8920772.0441192109</v>
      </c>
      <c r="F375" s="83" t="s">
        <v>380</v>
      </c>
      <c r="G375" s="25">
        <f t="shared" si="11"/>
        <v>-1.8825077132699541E-2</v>
      </c>
      <c r="I375" s="84">
        <v>198.98152106677847</v>
      </c>
      <c r="J375" s="84">
        <v>199.71357995903966</v>
      </c>
      <c r="K375" s="84">
        <v>194.8859483452091</v>
      </c>
      <c r="L375" s="84">
        <v>194.8859483452091</v>
      </c>
      <c r="M375" s="85">
        <v>6800491.6170375114</v>
      </c>
      <c r="N375" s="83" t="s">
        <v>380</v>
      </c>
      <c r="O375" s="25">
        <f t="shared" si="12"/>
        <v>2.1015228426396027E-2</v>
      </c>
    </row>
    <row r="376" spans="1:15">
      <c r="A376" s="84">
        <v>632.50512055395802</v>
      </c>
      <c r="B376" s="84">
        <v>637.27611855609359</v>
      </c>
      <c r="C376" s="84">
        <v>630.01028618200803</v>
      </c>
      <c r="D376" s="84">
        <v>636.62010633080001</v>
      </c>
      <c r="E376" s="85">
        <v>5349413.6003778903</v>
      </c>
      <c r="F376" s="83" t="s">
        <v>381</v>
      </c>
      <c r="G376" s="25">
        <f t="shared" si="11"/>
        <v>-6.4638011522428762E-3</v>
      </c>
      <c r="I376" s="84">
        <v>194.40120664627938</v>
      </c>
      <c r="J376" s="84">
        <v>196.69631020039557</v>
      </c>
      <c r="K376" s="84">
        <v>192.95588496845022</v>
      </c>
      <c r="L376" s="84">
        <v>193.48118668708628</v>
      </c>
      <c r="M376" s="85">
        <v>6856872.6547331419</v>
      </c>
      <c r="N376" s="83" t="s">
        <v>381</v>
      </c>
      <c r="O376" s="25">
        <f t="shared" si="12"/>
        <v>4.7550874322526138E-3</v>
      </c>
    </row>
    <row r="377" spans="1:15">
      <c r="A377" s="84">
        <v>632.59457676649811</v>
      </c>
      <c r="B377" s="84">
        <v>636.74932086002445</v>
      </c>
      <c r="C377" s="84">
        <v>632.23675191633799</v>
      </c>
      <c r="D377" s="84">
        <v>635.2782631426993</v>
      </c>
      <c r="E377" s="85">
        <v>13702744.115746059</v>
      </c>
      <c r="F377" s="83" t="s">
        <v>382</v>
      </c>
      <c r="G377" s="25">
        <f t="shared" si="11"/>
        <v>-4.2244265732076514E-3</v>
      </c>
      <c r="I377" s="84">
        <v>193.09537186548917</v>
      </c>
      <c r="J377" s="84">
        <v>194.30227976894679</v>
      </c>
      <c r="K377" s="84">
        <v>191.00801475377145</v>
      </c>
      <c r="L377" s="84">
        <v>192.93708886175702</v>
      </c>
      <c r="M377" s="85">
        <v>5558291.283685714</v>
      </c>
      <c r="N377" s="83" t="s">
        <v>382</v>
      </c>
      <c r="O377" s="25">
        <f t="shared" si="12"/>
        <v>8.2038660718875001E-4</v>
      </c>
    </row>
    <row r="378" spans="1:15">
      <c r="A378" s="84">
        <v>634.37376143812787</v>
      </c>
      <c r="B378" s="84">
        <v>636.1231273722442</v>
      </c>
      <c r="C378" s="84">
        <v>629.28469690251654</v>
      </c>
      <c r="D378" s="84">
        <v>630.2388965029437</v>
      </c>
      <c r="E378" s="85">
        <v>8939190.3289226554</v>
      </c>
      <c r="F378" s="83" t="s">
        <v>383</v>
      </c>
      <c r="G378" s="25">
        <f t="shared" si="11"/>
        <v>6.5607898181587743E-3</v>
      </c>
      <c r="I378" s="84">
        <v>194.0846406388151</v>
      </c>
      <c r="J378" s="84">
        <v>197.8537546651869</v>
      </c>
      <c r="K378" s="84">
        <v>193.88678688414993</v>
      </c>
      <c r="L378" s="84">
        <v>196.369851505198</v>
      </c>
      <c r="M378" s="85">
        <v>4645723.3099035649</v>
      </c>
      <c r="N378" s="83" t="s">
        <v>383</v>
      </c>
      <c r="O378" s="25">
        <f t="shared" si="12"/>
        <v>-1.1637279596977246E-2</v>
      </c>
    </row>
    <row r="379" spans="1:15">
      <c r="A379" s="84">
        <v>631.40182726596413</v>
      </c>
      <c r="B379" s="84">
        <v>632.8728849832894</v>
      </c>
      <c r="C379" s="84">
        <v>622.41644769527545</v>
      </c>
      <c r="D379" s="84">
        <v>622.93330581217344</v>
      </c>
      <c r="E379" s="85">
        <v>13038197.87225973</v>
      </c>
      <c r="F379" s="83" t="s">
        <v>384</v>
      </c>
      <c r="G379" s="25">
        <f t="shared" si="11"/>
        <v>1.3594587694664151E-2</v>
      </c>
      <c r="I379" s="84">
        <v>196.52813450893015</v>
      </c>
      <c r="J379" s="84">
        <v>198.69463312251395</v>
      </c>
      <c r="K379" s="84">
        <v>194.84143125040944</v>
      </c>
      <c r="L379" s="84">
        <v>194.84143125040944</v>
      </c>
      <c r="M379" s="85">
        <v>4388634.4308672445</v>
      </c>
      <c r="N379" s="83" t="s">
        <v>384</v>
      </c>
      <c r="O379" s="25">
        <f t="shared" si="12"/>
        <v>8.6567997765987226E-3</v>
      </c>
    </row>
    <row r="380" spans="1:15">
      <c r="A380" s="84">
        <v>619.33517815222956</v>
      </c>
      <c r="B380" s="84">
        <v>624.95104038390991</v>
      </c>
      <c r="C380" s="84">
        <v>617.744845484851</v>
      </c>
      <c r="D380" s="84">
        <v>622.45620601195992</v>
      </c>
      <c r="E380" s="85">
        <v>11576929.769259207</v>
      </c>
      <c r="F380" s="83" t="s">
        <v>385</v>
      </c>
      <c r="G380" s="25">
        <f t="shared" si="11"/>
        <v>-5.0140521205926936E-3</v>
      </c>
      <c r="I380" s="84">
        <v>193.86700150868339</v>
      </c>
      <c r="J380" s="84">
        <v>197.53718865772262</v>
      </c>
      <c r="K380" s="84">
        <v>192.4425534019714</v>
      </c>
      <c r="L380" s="84">
        <v>194.12421138974813</v>
      </c>
      <c r="M380" s="85">
        <v>5536712.7192191221</v>
      </c>
      <c r="N380" s="83" t="s">
        <v>385</v>
      </c>
      <c r="O380" s="25">
        <f t="shared" si="12"/>
        <v>-1.3249757937114914E-3</v>
      </c>
    </row>
    <row r="381" spans="1:15">
      <c r="A381" s="84">
        <v>627.09798948487094</v>
      </c>
      <c r="B381" s="84">
        <v>632.0777186496</v>
      </c>
      <c r="C381" s="84">
        <v>623.21161402896473</v>
      </c>
      <c r="D381" s="84">
        <v>631.09370031165952</v>
      </c>
      <c r="E381" s="85">
        <v>11296495.361321686</v>
      </c>
      <c r="F381" s="83" t="s">
        <v>386</v>
      </c>
      <c r="G381" s="25">
        <f t="shared" si="11"/>
        <v>-6.3314066117524659E-3</v>
      </c>
      <c r="I381" s="84">
        <v>194.62873846414436</v>
      </c>
      <c r="J381" s="84">
        <v>204.26421631633895</v>
      </c>
      <c r="K381" s="84">
        <v>192.24460072042888</v>
      </c>
      <c r="L381" s="84">
        <v>203.29473291847955</v>
      </c>
      <c r="M381" s="85">
        <v>11528729.408547083</v>
      </c>
      <c r="N381" s="83" t="s">
        <v>386</v>
      </c>
      <c r="O381" s="25">
        <f t="shared" si="12"/>
        <v>-4.262773722627744E-2</v>
      </c>
    </row>
    <row r="382" spans="1:15">
      <c r="A382" s="84">
        <v>630.31841313631253</v>
      </c>
      <c r="B382" s="84">
        <v>637.12702486852686</v>
      </c>
      <c r="C382" s="84">
        <v>625.30389544448462</v>
      </c>
      <c r="D382" s="84">
        <v>636.46107306406213</v>
      </c>
      <c r="E382" s="85">
        <v>9702820.2441666313</v>
      </c>
      <c r="F382" s="83" t="s">
        <v>387</v>
      </c>
      <c r="G382" s="25">
        <f t="shared" si="11"/>
        <v>-9.6512735620695178E-3</v>
      </c>
      <c r="I382" s="84">
        <v>201.31619537182769</v>
      </c>
      <c r="J382" s="84">
        <v>202.67149359128422</v>
      </c>
      <c r="K382" s="84">
        <v>198.49677936784877</v>
      </c>
      <c r="L382" s="84">
        <v>199.61959942557371</v>
      </c>
      <c r="M382" s="85">
        <v>8530411.7824607044</v>
      </c>
      <c r="N382" s="83" t="s">
        <v>387</v>
      </c>
      <c r="O382" s="25">
        <f t="shared" si="12"/>
        <v>8.4991451297171672E-3</v>
      </c>
    </row>
    <row r="383" spans="1:15">
      <c r="A383" s="84">
        <v>635.81500041793959</v>
      </c>
      <c r="B383" s="84">
        <v>637.0872665518425</v>
      </c>
      <c r="C383" s="84">
        <v>630.2388965029437</v>
      </c>
      <c r="D383" s="84">
        <v>630.34823187382585</v>
      </c>
      <c r="E383" s="85">
        <v>9179997.3046299871</v>
      </c>
      <c r="F383" s="83" t="s">
        <v>388</v>
      </c>
      <c r="G383" s="25">
        <f t="shared" si="11"/>
        <v>8.6726166072723654E-3</v>
      </c>
      <c r="I383" s="84">
        <v>198.93205762811218</v>
      </c>
      <c r="J383" s="84">
        <v>199.49594082890795</v>
      </c>
      <c r="K383" s="84">
        <v>194.8859483452091</v>
      </c>
      <c r="L383" s="84">
        <v>197.84386197745366</v>
      </c>
      <c r="M383" s="85">
        <v>6303957.1935879979</v>
      </c>
      <c r="N383" s="83" t="s">
        <v>388</v>
      </c>
      <c r="O383" s="25">
        <f t="shared" si="12"/>
        <v>5.5002750137507217E-3</v>
      </c>
    </row>
    <row r="384" spans="1:15">
      <c r="A384" s="84">
        <v>632.37590602473358</v>
      </c>
      <c r="B384" s="84">
        <v>634.5924321798924</v>
      </c>
      <c r="C384" s="84">
        <v>628.13170571866704</v>
      </c>
      <c r="D384" s="84">
        <v>632.4057247622469</v>
      </c>
      <c r="E384" s="85">
        <v>6559183.1281405091</v>
      </c>
      <c r="F384" s="83" t="s">
        <v>389</v>
      </c>
      <c r="G384" s="25">
        <f t="shared" si="11"/>
        <v>-4.71512770137128E-5</v>
      </c>
      <c r="I384" s="84">
        <v>198.77377462438002</v>
      </c>
      <c r="J384" s="84">
        <v>199.26840901104299</v>
      </c>
      <c r="K384" s="84">
        <v>195.47456326533805</v>
      </c>
      <c r="L384" s="84">
        <v>196.24124656466563</v>
      </c>
      <c r="M384" s="85">
        <v>7300868.2723480593</v>
      </c>
      <c r="N384" s="83" t="s">
        <v>389</v>
      </c>
      <c r="O384" s="25">
        <f t="shared" si="12"/>
        <v>1.29051771941322E-2</v>
      </c>
    </row>
    <row r="385" spans="1:15">
      <c r="A385" s="84">
        <v>634.41351975481223</v>
      </c>
      <c r="B385" s="84">
        <v>637.16678318521133</v>
      </c>
      <c r="C385" s="84">
        <v>626.01457535521945</v>
      </c>
      <c r="D385" s="84">
        <v>636.56046885577325</v>
      </c>
      <c r="E385" s="85">
        <v>8537440.9257281832</v>
      </c>
      <c r="F385" s="83" t="s">
        <v>390</v>
      </c>
      <c r="G385" s="25">
        <f t="shared" si="11"/>
        <v>-3.37273394438109E-3</v>
      </c>
      <c r="I385" s="84">
        <v>197.7350424123878</v>
      </c>
      <c r="J385" s="84">
        <v>201.05888656388561</v>
      </c>
      <c r="K385" s="84">
        <v>195.8851098062683</v>
      </c>
      <c r="L385" s="84">
        <v>198.77377462438002</v>
      </c>
      <c r="M385" s="85">
        <v>8932643.2191836126</v>
      </c>
      <c r="N385" s="83" t="s">
        <v>390</v>
      </c>
      <c r="O385" s="25">
        <f t="shared" si="12"/>
        <v>-5.2257004927088735E-3</v>
      </c>
    </row>
    <row r="386" spans="1:15">
      <c r="A386" s="84">
        <v>635.73548378457065</v>
      </c>
      <c r="B386" s="84">
        <v>637.93213078138729</v>
      </c>
      <c r="C386" s="84">
        <v>634.36382185895673</v>
      </c>
      <c r="D386" s="84">
        <v>637.17672276438248</v>
      </c>
      <c r="E386" s="85">
        <v>5521735.7853027182</v>
      </c>
      <c r="F386" s="83" t="s">
        <v>391</v>
      </c>
      <c r="G386" s="25">
        <f t="shared" si="11"/>
        <v>-2.261914047266278E-3</v>
      </c>
      <c r="I386" s="84">
        <v>197.31954952759091</v>
      </c>
      <c r="J386" s="84">
        <v>203.15623529021394</v>
      </c>
      <c r="K386" s="84">
        <v>196.41931494386432</v>
      </c>
      <c r="L386" s="84">
        <v>199.12001869504411</v>
      </c>
      <c r="M386" s="85">
        <v>6547975.8127024071</v>
      </c>
      <c r="N386" s="83" t="s">
        <v>391</v>
      </c>
      <c r="O386" s="25">
        <f t="shared" si="12"/>
        <v>-9.0421303656598173E-3</v>
      </c>
    </row>
    <row r="387" spans="1:15">
      <c r="A387" s="84">
        <v>635.83487957628188</v>
      </c>
      <c r="B387" s="84">
        <v>636.72536647422214</v>
      </c>
      <c r="C387" s="84">
        <v>634.01593658796764</v>
      </c>
      <c r="D387" s="84">
        <v>634.56261344237896</v>
      </c>
      <c r="E387" s="85">
        <v>4334495.3803676274</v>
      </c>
      <c r="F387" s="83" t="s">
        <v>392</v>
      </c>
      <c r="G387" s="25">
        <f t="shared" si="11"/>
        <v>2.0049497196203969E-3</v>
      </c>
      <c r="I387" s="84">
        <v>199.12001869504411</v>
      </c>
      <c r="J387" s="84">
        <v>200.03014596650397</v>
      </c>
      <c r="K387" s="84">
        <v>193.34268905882064</v>
      </c>
      <c r="L387" s="84">
        <v>197.36406662239057</v>
      </c>
      <c r="M387" s="85">
        <v>10185371.530655032</v>
      </c>
      <c r="N387" s="83" t="s">
        <v>392</v>
      </c>
      <c r="O387" s="25">
        <f t="shared" si="12"/>
        <v>8.8970201248088632E-3</v>
      </c>
    </row>
    <row r="388" spans="1:15">
      <c r="A388" s="84">
        <v>633.24064941262066</v>
      </c>
      <c r="B388" s="84">
        <v>634.53279470486564</v>
      </c>
      <c r="C388" s="84">
        <v>630.68617756564379</v>
      </c>
      <c r="D388" s="84">
        <v>631.19309610337075</v>
      </c>
      <c r="E388" s="85">
        <v>9030953.7712473068</v>
      </c>
      <c r="F388" s="83" t="s">
        <v>393</v>
      </c>
      <c r="G388" s="25">
        <f t="shared" si="11"/>
        <v>3.2439412311229265E-3</v>
      </c>
      <c r="I388" s="84">
        <v>192.04674696576367</v>
      </c>
      <c r="J388" s="84">
        <v>193.78786000681731</v>
      </c>
      <c r="K388" s="84">
        <v>191.42350763856834</v>
      </c>
      <c r="L388" s="84">
        <v>193.15472799188873</v>
      </c>
      <c r="M388" s="85">
        <v>6708097.1106459852</v>
      </c>
      <c r="N388" s="83" t="s">
        <v>393</v>
      </c>
      <c r="O388" s="25">
        <f t="shared" si="12"/>
        <v>-5.7362355953906041E-3</v>
      </c>
    </row>
    <row r="389" spans="1:15">
      <c r="A389" s="84">
        <v>630.00034660283688</v>
      </c>
      <c r="B389" s="84">
        <v>631.63093456585841</v>
      </c>
      <c r="C389" s="84">
        <v>628.15158487700933</v>
      </c>
      <c r="D389" s="84">
        <v>629.05608658158087</v>
      </c>
      <c r="E389" s="85">
        <v>5862676.7790469797</v>
      </c>
      <c r="F389" s="83" t="s">
        <v>394</v>
      </c>
      <c r="G389" s="25">
        <f t="shared" si="11"/>
        <v>1.5010744532928388E-3</v>
      </c>
      <c r="I389" s="84">
        <v>193.82743075775036</v>
      </c>
      <c r="J389" s="84">
        <v>195.45972423373817</v>
      </c>
      <c r="K389" s="84">
        <v>192.90741079855724</v>
      </c>
      <c r="L389" s="84">
        <v>194.73261168534358</v>
      </c>
      <c r="M389" s="85">
        <v>5161024.1196988067</v>
      </c>
      <c r="N389" s="83" t="s">
        <v>394</v>
      </c>
      <c r="O389" s="25">
        <f t="shared" si="12"/>
        <v>-4.6483273641697576E-3</v>
      </c>
    </row>
    <row r="390" spans="1:15">
      <c r="A390" s="84">
        <v>629.74191754438789</v>
      </c>
      <c r="B390" s="84">
        <v>631.77953127446654</v>
      </c>
      <c r="C390" s="84">
        <v>627.93291413524469</v>
      </c>
      <c r="D390" s="84">
        <v>630.5967213531037</v>
      </c>
      <c r="E390" s="85">
        <v>6094608.1274786247</v>
      </c>
      <c r="F390" s="83" t="s">
        <v>395</v>
      </c>
      <c r="G390" s="25">
        <f t="shared" si="11"/>
        <v>-1.3555474993298677E-3</v>
      </c>
      <c r="I390" s="84">
        <v>194.23303095481398</v>
      </c>
      <c r="J390" s="84">
        <v>196.85459320412772</v>
      </c>
      <c r="K390" s="84">
        <v>193.70871850495124</v>
      </c>
      <c r="L390" s="84">
        <v>196.85459320412772</v>
      </c>
      <c r="M390" s="85">
        <v>4113928.49924631</v>
      </c>
      <c r="N390" s="83" t="s">
        <v>395</v>
      </c>
      <c r="O390" s="25">
        <f t="shared" si="12"/>
        <v>-1.3317252123222323E-2</v>
      </c>
    </row>
    <row r="391" spans="1:15">
      <c r="A391" s="84">
        <v>626.48173557626183</v>
      </c>
      <c r="B391" s="84">
        <v>629.57294469847886</v>
      </c>
      <c r="C391" s="84">
        <v>619.88185500664088</v>
      </c>
      <c r="D391" s="84">
        <v>621.24357735308377</v>
      </c>
      <c r="E391" s="85">
        <v>10417923.960092066</v>
      </c>
      <c r="F391" s="83" t="s">
        <v>396</v>
      </c>
      <c r="G391" s="25">
        <f t="shared" si="11"/>
        <v>8.4317301846341675E-3</v>
      </c>
      <c r="I391" s="84">
        <v>195.38058273187207</v>
      </c>
      <c r="J391" s="84">
        <v>196.17199775053282</v>
      </c>
      <c r="K391" s="84">
        <v>193.48118668708628</v>
      </c>
      <c r="L391" s="84">
        <v>195.47456326533805</v>
      </c>
      <c r="M391" s="85">
        <v>5517184.1537565235</v>
      </c>
      <c r="N391" s="83" t="s">
        <v>396</v>
      </c>
      <c r="O391" s="25">
        <f t="shared" si="12"/>
        <v>-4.8078139629048611E-4</v>
      </c>
    </row>
    <row r="392" spans="1:15">
      <c r="A392" s="84">
        <v>619.38487604808506</v>
      </c>
      <c r="B392" s="84">
        <v>625.95483848440097</v>
      </c>
      <c r="C392" s="84">
        <v>618.46049518517134</v>
      </c>
      <c r="D392" s="84">
        <v>622.97306412885791</v>
      </c>
      <c r="E392" s="85">
        <v>14968067.30332605</v>
      </c>
      <c r="F392" s="83" t="s">
        <v>397</v>
      </c>
      <c r="G392" s="25">
        <f t="shared" si="11"/>
        <v>-5.7597804582296686E-3</v>
      </c>
      <c r="I392" s="84">
        <v>194.25281633028052</v>
      </c>
      <c r="J392" s="84">
        <v>200.8512390483645</v>
      </c>
      <c r="K392" s="84">
        <v>193.99560644921576</v>
      </c>
      <c r="L392" s="84">
        <v>198.49677936784877</v>
      </c>
      <c r="M392" s="85">
        <v>6113559.9981253827</v>
      </c>
      <c r="N392" s="83" t="s">
        <v>397</v>
      </c>
      <c r="O392" s="25">
        <f t="shared" si="12"/>
        <v>-2.1380513331672013E-2</v>
      </c>
    </row>
    <row r="393" spans="1:15">
      <c r="A393" s="84">
        <v>632.24669149550903</v>
      </c>
      <c r="B393" s="84">
        <v>634.65197025912732</v>
      </c>
      <c r="C393" s="84">
        <v>630.84521083238167</v>
      </c>
      <c r="D393" s="84">
        <v>634.10539280050773</v>
      </c>
      <c r="E393" s="85">
        <v>6734732.813892859</v>
      </c>
      <c r="F393" s="83" t="s">
        <v>398</v>
      </c>
      <c r="G393" s="25">
        <f t="shared" si="11"/>
        <v>-2.9312182581980872E-3</v>
      </c>
      <c r="I393" s="84">
        <v>199.75315070997269</v>
      </c>
      <c r="J393" s="84">
        <v>200.00046790330418</v>
      </c>
      <c r="K393" s="84">
        <v>197.43826178039004</v>
      </c>
      <c r="L393" s="84">
        <v>197.94278885478624</v>
      </c>
      <c r="M393" s="85">
        <v>4850413.8909265688</v>
      </c>
      <c r="N393" s="83" t="s">
        <v>398</v>
      </c>
      <c r="O393" s="25">
        <f t="shared" si="12"/>
        <v>9.1458843520415556E-3</v>
      </c>
    </row>
    <row r="394" spans="1:15">
      <c r="A394" s="84">
        <v>632.77348919157816</v>
      </c>
      <c r="B394" s="84">
        <v>635.71560462622847</v>
      </c>
      <c r="C394" s="84">
        <v>631.85904790783559</v>
      </c>
      <c r="D394" s="84">
        <v>634.91049871336804</v>
      </c>
      <c r="E394" s="85">
        <v>6792642.7102869321</v>
      </c>
      <c r="F394" s="83" t="s">
        <v>399</v>
      </c>
      <c r="G394" s="25">
        <f t="shared" si="11"/>
        <v>-3.3658437309203038E-3</v>
      </c>
      <c r="I394" s="84">
        <v>197.6855789737215</v>
      </c>
      <c r="J394" s="84">
        <v>198.16042798491796</v>
      </c>
      <c r="K394" s="84">
        <v>194.54959696227829</v>
      </c>
      <c r="L394" s="84">
        <v>196.81502245319467</v>
      </c>
      <c r="M394" s="85">
        <v>3692268.5709766783</v>
      </c>
      <c r="N394" s="83" t="s">
        <v>399</v>
      </c>
      <c r="O394" s="25">
        <f t="shared" si="12"/>
        <v>4.4232219150541763E-3</v>
      </c>
    </row>
    <row r="395" spans="1:15">
      <c r="A395" s="84">
        <v>631.10363989083078</v>
      </c>
      <c r="B395" s="84">
        <v>632.27551627510525</v>
      </c>
      <c r="C395" s="84">
        <v>627.18744569741102</v>
      </c>
      <c r="D395" s="84">
        <v>631.65031674524209</v>
      </c>
      <c r="E395" s="85">
        <v>8628389.4442154616</v>
      </c>
      <c r="F395" s="83" t="s">
        <v>400</v>
      </c>
      <c r="G395" s="25">
        <f t="shared" si="11"/>
        <v>-8.6547388629243382E-4</v>
      </c>
      <c r="I395" s="84">
        <v>196.70620288812884</v>
      </c>
      <c r="J395" s="84">
        <v>196.7358809513286</v>
      </c>
      <c r="K395" s="84">
        <v>191.2998490419026</v>
      </c>
      <c r="L395" s="84">
        <v>192.74912779482509</v>
      </c>
      <c r="M395" s="85">
        <v>5289868.7809645934</v>
      </c>
      <c r="N395" s="83" t="s">
        <v>400</v>
      </c>
      <c r="O395" s="25">
        <f t="shared" si="12"/>
        <v>2.0529665366454619E-2</v>
      </c>
    </row>
    <row r="396" spans="1:15">
      <c r="A396" s="84">
        <v>634.17496985470541</v>
      </c>
      <c r="B396" s="84">
        <v>636.28285640952402</v>
      </c>
      <c r="C396" s="84">
        <v>631.97335306830337</v>
      </c>
      <c r="D396" s="84">
        <v>635.81500041793959</v>
      </c>
      <c r="E396" s="85">
        <v>8890847.2359478194</v>
      </c>
      <c r="F396" s="83" t="s">
        <v>401</v>
      </c>
      <c r="G396" s="25">
        <f t="shared" si="11"/>
        <v>-2.5794147073537887E-3</v>
      </c>
      <c r="I396" s="84">
        <v>191.99728352709738</v>
      </c>
      <c r="J396" s="84">
        <v>195.43004617053839</v>
      </c>
      <c r="K396" s="84">
        <v>190.92887325190537</v>
      </c>
      <c r="L396" s="84">
        <v>193.52075743801933</v>
      </c>
      <c r="M396" s="85">
        <v>5906745.6262210226</v>
      </c>
      <c r="N396" s="83" t="s">
        <v>401</v>
      </c>
      <c r="O396" s="25">
        <f t="shared" si="12"/>
        <v>-7.8724056844904355E-3</v>
      </c>
    </row>
    <row r="397" spans="1:15">
      <c r="A397" s="84">
        <v>635.47705472612165</v>
      </c>
      <c r="B397" s="84">
        <v>636.29210021815311</v>
      </c>
      <c r="C397" s="84">
        <v>631.32231063259519</v>
      </c>
      <c r="D397" s="84">
        <v>631.35212937010863</v>
      </c>
      <c r="E397" s="85">
        <v>7937845.1181593072</v>
      </c>
      <c r="F397" s="83" t="s">
        <v>402</v>
      </c>
      <c r="G397" s="25">
        <f t="shared" si="11"/>
        <v>6.5334781718855428E-3</v>
      </c>
      <c r="I397" s="84">
        <v>191.76975170923239</v>
      </c>
      <c r="J397" s="84">
        <v>191.94782008843109</v>
      </c>
      <c r="K397" s="84">
        <v>187.37739835566526</v>
      </c>
      <c r="L397" s="84">
        <v>187.67417898766305</v>
      </c>
      <c r="M397" s="85">
        <v>5373218.2227171976</v>
      </c>
      <c r="N397" s="83" t="s">
        <v>402</v>
      </c>
      <c r="O397" s="25">
        <f t="shared" si="12"/>
        <v>2.1822782141162733E-2</v>
      </c>
    </row>
    <row r="398" spans="1:15">
      <c r="A398" s="84">
        <v>634.4532780714967</v>
      </c>
      <c r="B398" s="84">
        <v>635.57645051783288</v>
      </c>
      <c r="C398" s="84">
        <v>629.97052786532345</v>
      </c>
      <c r="D398" s="84">
        <v>631.31237105342404</v>
      </c>
      <c r="E398" s="85">
        <v>7891396.4715866614</v>
      </c>
      <c r="F398" s="83" t="s">
        <v>403</v>
      </c>
      <c r="G398" s="25">
        <f t="shared" si="11"/>
        <v>4.9752027080218753E-3</v>
      </c>
      <c r="I398" s="84">
        <v>186.47716377193865</v>
      </c>
      <c r="J398" s="84">
        <v>187.06083234820096</v>
      </c>
      <c r="K398" s="84">
        <v>182.39148373810255</v>
      </c>
      <c r="L398" s="84">
        <v>184.0336699018236</v>
      </c>
      <c r="M398" s="85">
        <v>7672424.5267360639</v>
      </c>
      <c r="N398" s="83" t="s">
        <v>403</v>
      </c>
      <c r="O398" s="25">
        <f t="shared" si="12"/>
        <v>1.3277428371768041E-2</v>
      </c>
    </row>
    <row r="399" spans="1:15">
      <c r="A399" s="84">
        <v>630.22895692377244</v>
      </c>
      <c r="B399" s="84">
        <v>631.26277255336026</v>
      </c>
      <c r="C399" s="84">
        <v>628.41617647454439</v>
      </c>
      <c r="D399" s="84">
        <v>629.6524613318478</v>
      </c>
      <c r="E399" s="85">
        <v>9017282.1662768591</v>
      </c>
      <c r="F399" s="83" t="s">
        <v>404</v>
      </c>
      <c r="G399" s="25">
        <f t="shared" si="11"/>
        <v>9.155774452231924E-4</v>
      </c>
      <c r="I399" s="84">
        <v>185.16143630341514</v>
      </c>
      <c r="J399" s="84">
        <v>194.589068786334</v>
      </c>
      <c r="K399" s="84">
        <v>182.9157961879653</v>
      </c>
      <c r="L399" s="84">
        <v>188.98001376845329</v>
      </c>
      <c r="M399" s="85">
        <v>9866882.755414784</v>
      </c>
      <c r="N399" s="83" t="s">
        <v>404</v>
      </c>
      <c r="O399" s="25">
        <f t="shared" si="12"/>
        <v>-2.0206250327173936E-2</v>
      </c>
    </row>
    <row r="400" spans="1:15">
      <c r="A400" s="84">
        <v>630.33829229465471</v>
      </c>
      <c r="B400" s="84">
        <v>634.36382185895673</v>
      </c>
      <c r="C400" s="84">
        <v>630.09974239454789</v>
      </c>
      <c r="D400" s="84">
        <v>632.73373087489369</v>
      </c>
      <c r="E400" s="85">
        <v>8850232.8404034786</v>
      </c>
      <c r="F400" s="83" t="s">
        <v>405</v>
      </c>
      <c r="G400" s="25">
        <f t="shared" si="11"/>
        <v>-3.7858556662164755E-3</v>
      </c>
      <c r="I400" s="84">
        <v>183.73688926982581</v>
      </c>
      <c r="J400" s="84">
        <v>191.71039558283286</v>
      </c>
      <c r="K400" s="84">
        <v>183.61817701702674</v>
      </c>
      <c r="L400" s="84">
        <v>189.86046297671334</v>
      </c>
      <c r="M400" s="85">
        <v>7456708.6305569671</v>
      </c>
      <c r="N400" s="83" t="s">
        <v>405</v>
      </c>
      <c r="O400" s="25">
        <f t="shared" si="12"/>
        <v>-3.2253022092538552E-2</v>
      </c>
    </row>
    <row r="401" spans="1:15">
      <c r="A401" s="84">
        <v>632.36596644556244</v>
      </c>
      <c r="B401" s="84">
        <v>632.83312666660481</v>
      </c>
      <c r="C401" s="84">
        <v>628.70820131059179</v>
      </c>
      <c r="D401" s="84">
        <v>628.81753668147405</v>
      </c>
      <c r="E401" s="85">
        <v>8683365.6147949919</v>
      </c>
      <c r="F401" s="83" t="s">
        <v>406</v>
      </c>
      <c r="G401" s="25">
        <f t="shared" si="11"/>
        <v>5.6430197268588778E-3</v>
      </c>
      <c r="I401" s="84">
        <v>188.35677444125795</v>
      </c>
      <c r="J401" s="84">
        <v>188.66344776098899</v>
      </c>
      <c r="K401" s="84">
        <v>185.69564144101119</v>
      </c>
      <c r="L401" s="84">
        <v>186.67501752660382</v>
      </c>
      <c r="M401" s="85">
        <v>3952826.6790966797</v>
      </c>
      <c r="N401" s="83" t="s">
        <v>406</v>
      </c>
      <c r="O401" s="25">
        <f t="shared" si="12"/>
        <v>9.009009009009139E-3</v>
      </c>
    </row>
    <row r="402" spans="1:15">
      <c r="A402" s="84">
        <v>628.638624256394</v>
      </c>
      <c r="B402" s="84">
        <v>630.20907776543027</v>
      </c>
      <c r="C402" s="84">
        <v>627.41605601834669</v>
      </c>
      <c r="D402" s="84">
        <v>627.56514970591343</v>
      </c>
      <c r="E402" s="85">
        <v>16238522.498923866</v>
      </c>
      <c r="F402" s="83" t="s">
        <v>407</v>
      </c>
      <c r="G402" s="25">
        <f t="shared" si="11"/>
        <v>1.7105388197282689E-3</v>
      </c>
      <c r="I402" s="84">
        <v>186.23973926634042</v>
      </c>
      <c r="J402" s="84">
        <v>188.45570131859054</v>
      </c>
      <c r="K402" s="84">
        <v>184.4288827767673</v>
      </c>
      <c r="L402" s="84">
        <v>185.29004124394754</v>
      </c>
      <c r="M402" s="85">
        <v>6074714.1343559232</v>
      </c>
      <c r="N402" s="83" t="s">
        <v>407</v>
      </c>
      <c r="O402" s="25">
        <f t="shared" si="12"/>
        <v>5.125467164975861E-3</v>
      </c>
    </row>
    <row r="403" spans="1:15">
      <c r="A403" s="84">
        <v>624.50375932120971</v>
      </c>
      <c r="B403" s="84">
        <v>627.8434579227046</v>
      </c>
      <c r="C403" s="84">
        <v>621.43242935733497</v>
      </c>
      <c r="D403" s="84">
        <v>626.82465105766528</v>
      </c>
      <c r="E403" s="85">
        <v>11064395.997728506</v>
      </c>
      <c r="F403" s="83" t="s">
        <v>408</v>
      </c>
      <c r="G403" s="25">
        <f t="shared" si="11"/>
        <v>-3.7026172032951221E-3</v>
      </c>
      <c r="I403" s="84">
        <v>185.24057780528125</v>
      </c>
      <c r="J403" s="84">
        <v>185.26036318074776</v>
      </c>
      <c r="K403" s="84">
        <v>180.21885165812412</v>
      </c>
      <c r="L403" s="84">
        <v>181.53081990530899</v>
      </c>
      <c r="M403" s="85">
        <v>3350423.1502796877</v>
      </c>
      <c r="N403" s="83" t="s">
        <v>408</v>
      </c>
      <c r="O403" s="25">
        <f t="shared" si="12"/>
        <v>2.043596730245234E-2</v>
      </c>
    </row>
    <row r="404" spans="1:15">
      <c r="A404" s="84">
        <v>623.34082855818917</v>
      </c>
      <c r="B404" s="84">
        <v>628.32055772291824</v>
      </c>
      <c r="C404" s="84">
        <v>623.15197655393808</v>
      </c>
      <c r="D404" s="84">
        <v>628.121766139496</v>
      </c>
      <c r="E404" s="85">
        <v>5544694.5037827864</v>
      </c>
      <c r="F404" s="83" t="s">
        <v>409</v>
      </c>
      <c r="G404" s="25">
        <f t="shared" si="11"/>
        <v>-7.6114821027314372E-3</v>
      </c>
      <c r="I404" s="84">
        <v>181.4318930279764</v>
      </c>
      <c r="J404" s="84">
        <v>182.42116180130233</v>
      </c>
      <c r="K404" s="84">
        <v>180.68004876024867</v>
      </c>
      <c r="L404" s="84">
        <v>182.12438116930454</v>
      </c>
      <c r="M404" s="85">
        <v>2619232.5785121103</v>
      </c>
      <c r="N404" s="83" t="s">
        <v>409</v>
      </c>
      <c r="O404" s="25">
        <f t="shared" si="12"/>
        <v>-3.8022813688212143E-3</v>
      </c>
    </row>
    <row r="405" spans="1:15">
      <c r="A405" s="84">
        <v>627.90309539773136</v>
      </c>
      <c r="B405" s="84">
        <v>629.38409269422766</v>
      </c>
      <c r="C405" s="84">
        <v>627.59496844342675</v>
      </c>
      <c r="D405" s="84">
        <v>628.380195197945</v>
      </c>
      <c r="E405" s="85">
        <v>4176099.3383525754</v>
      </c>
      <c r="F405" s="83" t="s">
        <v>410</v>
      </c>
      <c r="G405" s="25">
        <f t="shared" si="11"/>
        <v>-7.5925340082261261E-4</v>
      </c>
      <c r="I405" s="84">
        <v>182.0353469797052</v>
      </c>
      <c r="J405" s="84">
        <v>183.01472306529789</v>
      </c>
      <c r="K405" s="84">
        <v>181.72867365997416</v>
      </c>
      <c r="L405" s="84">
        <v>182.94547425116508</v>
      </c>
      <c r="M405" s="85">
        <v>1811858.4638771901</v>
      </c>
      <c r="N405" s="83" t="s">
        <v>410</v>
      </c>
      <c r="O405" s="25">
        <f t="shared" si="12"/>
        <v>-4.974855350673324E-3</v>
      </c>
    </row>
    <row r="406" spans="1:15">
      <c r="A406" s="84">
        <v>628.77777836478958</v>
      </c>
      <c r="B406" s="84">
        <v>629.9605882861523</v>
      </c>
      <c r="C406" s="84">
        <v>627.13774780155552</v>
      </c>
      <c r="D406" s="84">
        <v>628.479590989656</v>
      </c>
      <c r="E406" s="85">
        <v>6536446.7530777976</v>
      </c>
      <c r="F406" s="83" t="s">
        <v>411</v>
      </c>
      <c r="G406" s="25">
        <f t="shared" si="11"/>
        <v>4.744583267437541E-4</v>
      </c>
      <c r="I406" s="84">
        <v>182.44094717676884</v>
      </c>
      <c r="J406" s="84">
        <v>183.60828432929344</v>
      </c>
      <c r="K406" s="84">
        <v>182.20362159804796</v>
      </c>
      <c r="L406" s="84">
        <v>183.18289875676328</v>
      </c>
      <c r="M406" s="85">
        <v>2029518.2200585946</v>
      </c>
      <c r="N406" s="83" t="s">
        <v>411</v>
      </c>
      <c r="O406" s="25">
        <f t="shared" si="12"/>
        <v>-4.0503321272343795E-3</v>
      </c>
    </row>
    <row r="407" spans="1:15">
      <c r="A407" s="84">
        <v>631.00424409911955</v>
      </c>
      <c r="B407" s="84">
        <v>632.23178212675236</v>
      </c>
      <c r="C407" s="84">
        <v>630.05004449869239</v>
      </c>
      <c r="D407" s="84">
        <v>631.30243147425301</v>
      </c>
      <c r="E407" s="85">
        <v>3853135.9668922909</v>
      </c>
      <c r="F407" s="83" t="s">
        <v>412</v>
      </c>
      <c r="G407" s="25">
        <f t="shared" si="11"/>
        <v>-4.7233680763292263E-4</v>
      </c>
      <c r="I407" s="84">
        <v>183.18289875676328</v>
      </c>
      <c r="J407" s="84">
        <v>184.2809870951551</v>
      </c>
      <c r="K407" s="84">
        <v>182.52998136636816</v>
      </c>
      <c r="L407" s="84">
        <v>184.22163096875553</v>
      </c>
      <c r="M407" s="85">
        <v>1353813.0749819449</v>
      </c>
      <c r="N407" s="83" t="s">
        <v>412</v>
      </c>
      <c r="O407" s="25">
        <f t="shared" si="12"/>
        <v>-5.6384921061112259E-3</v>
      </c>
    </row>
    <row r="408" spans="1:15">
      <c r="A408" s="84">
        <v>630.94460662409278</v>
      </c>
      <c r="B408" s="84">
        <v>631.48134389933318</v>
      </c>
      <c r="C408" s="84">
        <v>628.71814088976282</v>
      </c>
      <c r="D408" s="84">
        <v>628.84735541898738</v>
      </c>
      <c r="E408" s="85">
        <v>3293313.472981282</v>
      </c>
      <c r="F408" s="83" t="s">
        <v>413</v>
      </c>
      <c r="G408" s="25">
        <f t="shared" si="11"/>
        <v>3.3350719964593267E-3</v>
      </c>
      <c r="I408" s="84">
        <v>184.37991397248769</v>
      </c>
      <c r="J408" s="84">
        <v>185.09218748928234</v>
      </c>
      <c r="K408" s="84">
        <v>183.50935745196085</v>
      </c>
      <c r="L408" s="84">
        <v>183.69731851889279</v>
      </c>
      <c r="M408" s="85">
        <v>1437141.2889342117</v>
      </c>
      <c r="N408" s="83" t="s">
        <v>413</v>
      </c>
      <c r="O408" s="25">
        <f t="shared" si="12"/>
        <v>3.7158705369164657E-3</v>
      </c>
    </row>
    <row r="409" spans="1:15">
      <c r="A409" s="84">
        <v>628.84735541898738</v>
      </c>
      <c r="B409" s="84">
        <v>629.05608658158087</v>
      </c>
      <c r="C409" s="84">
        <v>625.12001322981894</v>
      </c>
      <c r="D409" s="84">
        <v>625.13989238816123</v>
      </c>
      <c r="E409" s="85">
        <v>13842509.590328423</v>
      </c>
      <c r="F409" s="83" t="s">
        <v>414</v>
      </c>
      <c r="G409" s="25">
        <f t="shared" si="11"/>
        <v>5.9306134130441279E-3</v>
      </c>
      <c r="I409" s="84">
        <v>183.76656733302559</v>
      </c>
      <c r="J409" s="84">
        <v>185.98252938527568</v>
      </c>
      <c r="K409" s="84">
        <v>183.26698660249599</v>
      </c>
      <c r="L409" s="84">
        <v>183.75667464529235</v>
      </c>
      <c r="M409" s="85">
        <v>3384809.1542830635</v>
      </c>
      <c r="N409" s="83" t="s">
        <v>414</v>
      </c>
      <c r="O409" s="25">
        <f t="shared" si="12"/>
        <v>5.3835800807533474E-5</v>
      </c>
    </row>
    <row r="410" spans="1:15">
      <c r="A410" s="84">
        <v>625.92511914267936</v>
      </c>
      <c r="B410" s="84">
        <v>626.46185641791953</v>
      </c>
      <c r="C410" s="84">
        <v>624.0067803626539</v>
      </c>
      <c r="D410" s="84">
        <v>625.16474133608904</v>
      </c>
      <c r="E410" s="85">
        <v>9855614.4393588509</v>
      </c>
      <c r="F410" s="83" t="s">
        <v>415</v>
      </c>
      <c r="G410" s="25">
        <f t="shared" si="11"/>
        <v>1.2162838949703048E-3</v>
      </c>
      <c r="I410" s="84">
        <v>183.68742583115954</v>
      </c>
      <c r="J410" s="84">
        <v>183.87538689809145</v>
      </c>
      <c r="K410" s="84">
        <v>179.80949223972186</v>
      </c>
      <c r="L410" s="84">
        <v>180.89768789038041</v>
      </c>
      <c r="M410" s="85">
        <v>3031817.1167137669</v>
      </c>
      <c r="N410" s="83" t="s">
        <v>415</v>
      </c>
      <c r="O410" s="25">
        <f t="shared" si="12"/>
        <v>1.5421634036968168E-2</v>
      </c>
    </row>
    <row r="411" spans="1:15">
      <c r="A411" s="84">
        <v>622.00793100406111</v>
      </c>
      <c r="B411" s="84">
        <v>622.57288817257461</v>
      </c>
      <c r="C411" s="84">
        <v>618.34066517335975</v>
      </c>
      <c r="D411" s="84">
        <v>618.45960352462566</v>
      </c>
      <c r="E411" s="85">
        <v>10540579.27199837</v>
      </c>
      <c r="F411" s="83" t="s">
        <v>416</v>
      </c>
      <c r="G411" s="25">
        <f t="shared" si="11"/>
        <v>5.7373633770312349E-3</v>
      </c>
      <c r="I411" s="84">
        <v>180.05680943305333</v>
      </c>
      <c r="J411" s="84">
        <v>181.27361002424425</v>
      </c>
      <c r="K411" s="84">
        <v>176.73979123609149</v>
      </c>
      <c r="L411" s="84">
        <v>177.03953967440924</v>
      </c>
      <c r="M411" s="85">
        <v>11396069.808306409</v>
      </c>
      <c r="N411" s="83" t="s">
        <v>416</v>
      </c>
      <c r="O411" s="25">
        <f t="shared" si="12"/>
        <v>1.7042914617791727E-2</v>
      </c>
    </row>
    <row r="412" spans="1:15">
      <c r="A412" s="84">
        <v>616.50703225800896</v>
      </c>
      <c r="B412" s="84">
        <v>620.40226326197035</v>
      </c>
      <c r="C412" s="84">
        <v>615.07977204281713</v>
      </c>
      <c r="D412" s="84">
        <v>617.5378313023142</v>
      </c>
      <c r="E412" s="85">
        <v>33719254.700537026</v>
      </c>
      <c r="F412" s="83" t="s">
        <v>417</v>
      </c>
      <c r="G412" s="25">
        <f t="shared" si="11"/>
        <v>-1.6692079287375927E-3</v>
      </c>
      <c r="I412" s="84">
        <v>176.37672959628085</v>
      </c>
      <c r="J412" s="84">
        <v>178.56301358533119</v>
      </c>
      <c r="K412" s="84">
        <v>176.17887584161568</v>
      </c>
      <c r="L412" s="84">
        <v>176.57458335094606</v>
      </c>
      <c r="M412" s="85">
        <v>3976773.6595723233</v>
      </c>
      <c r="N412" s="83" t="s">
        <v>417</v>
      </c>
      <c r="O412" s="25">
        <f t="shared" si="12"/>
        <v>-1.1205109529947022E-3</v>
      </c>
    </row>
    <row r="413" spans="1:15">
      <c r="A413" s="84">
        <v>611.88825961717953</v>
      </c>
      <c r="B413" s="84">
        <v>620.10491738380529</v>
      </c>
      <c r="C413" s="84">
        <v>611.69894940808115</v>
      </c>
      <c r="D413" s="84">
        <v>619.65889856655781</v>
      </c>
      <c r="E413" s="85">
        <v>21140105.048008054</v>
      </c>
      <c r="F413" s="83" t="s">
        <v>418</v>
      </c>
      <c r="G413" s="25">
        <f t="shared" si="11"/>
        <v>-1.2540187782913992E-2</v>
      </c>
      <c r="I413" s="84">
        <v>175.2984266333556</v>
      </c>
      <c r="J413" s="84">
        <v>178.3948378938658</v>
      </c>
      <c r="K413" s="84">
        <v>174.64550924296049</v>
      </c>
      <c r="L413" s="84">
        <v>176.99996892347619</v>
      </c>
      <c r="M413" s="85">
        <v>6173587.1632408379</v>
      </c>
      <c r="N413" s="83" t="s">
        <v>418</v>
      </c>
      <c r="O413" s="25">
        <f t="shared" si="12"/>
        <v>-9.6132349653474947E-3</v>
      </c>
    </row>
    <row r="414" spans="1:15">
      <c r="A414" s="84">
        <v>618.68756869788558</v>
      </c>
      <c r="B414" s="84">
        <v>620.67978608159092</v>
      </c>
      <c r="C414" s="84">
        <v>615.15906427699429</v>
      </c>
      <c r="D414" s="84">
        <v>619.02456069313916</v>
      </c>
      <c r="E414" s="85">
        <v>14046703.205626735</v>
      </c>
      <c r="F414" s="83" t="s">
        <v>419</v>
      </c>
      <c r="G414" s="25">
        <f t="shared" si="11"/>
        <v>-5.4439196221267583E-4</v>
      </c>
      <c r="I414" s="84">
        <v>177.99913038453542</v>
      </c>
      <c r="J414" s="84">
        <v>179.92820449252096</v>
      </c>
      <c r="K414" s="84">
        <v>176.97029086027641</v>
      </c>
      <c r="L414" s="84">
        <v>178.57290627306443</v>
      </c>
      <c r="M414" s="85">
        <v>4312472.1158002391</v>
      </c>
      <c r="N414" s="83" t="s">
        <v>419</v>
      </c>
      <c r="O414" s="25">
        <f t="shared" si="12"/>
        <v>-3.2131183867928348E-3</v>
      </c>
    </row>
    <row r="415" spans="1:15">
      <c r="A415" s="84">
        <v>620.42208632051461</v>
      </c>
      <c r="B415" s="84">
        <v>624.98138978571103</v>
      </c>
      <c r="C415" s="84">
        <v>619.04438375168354</v>
      </c>
      <c r="D415" s="84">
        <v>624.98138978571103</v>
      </c>
      <c r="E415" s="85">
        <v>11407850.079959303</v>
      </c>
      <c r="F415" s="83" t="s">
        <v>420</v>
      </c>
      <c r="G415" s="25">
        <f t="shared" si="11"/>
        <v>-7.2951027657954803E-3</v>
      </c>
      <c r="I415" s="84">
        <v>180.15573631038595</v>
      </c>
      <c r="J415" s="84">
        <v>180.32391200185134</v>
      </c>
      <c r="K415" s="84">
        <v>177.24728611680769</v>
      </c>
      <c r="L415" s="84">
        <v>177.81116931760349</v>
      </c>
      <c r="M415" s="85">
        <v>3725843.8751766994</v>
      </c>
      <c r="N415" s="83" t="s">
        <v>420</v>
      </c>
      <c r="O415" s="25">
        <f t="shared" si="12"/>
        <v>1.3185712696116569E-2</v>
      </c>
    </row>
    <row r="416" spans="1:15">
      <c r="A416" s="84">
        <v>621.32403548428169</v>
      </c>
      <c r="B416" s="84">
        <v>627.82599868682269</v>
      </c>
      <c r="C416" s="84">
        <v>618.95517998823402</v>
      </c>
      <c r="D416" s="84">
        <v>627.20157234267617</v>
      </c>
      <c r="E416" s="85">
        <v>8580697.0513453986</v>
      </c>
      <c r="F416" s="83" t="s">
        <v>421</v>
      </c>
      <c r="G416" s="25">
        <f t="shared" si="11"/>
        <v>-9.3710493046774701E-3</v>
      </c>
      <c r="I416" s="84">
        <v>176.74275904241145</v>
      </c>
      <c r="J416" s="84">
        <v>177.52428137333894</v>
      </c>
      <c r="K416" s="84">
        <v>174.73800587326645</v>
      </c>
      <c r="L416" s="84">
        <v>177.47481793467267</v>
      </c>
      <c r="M416" s="85">
        <v>6414262.9092259547</v>
      </c>
      <c r="N416" s="83" t="s">
        <v>421</v>
      </c>
      <c r="O416" s="25">
        <f t="shared" si="12"/>
        <v>-4.1248606465998927E-3</v>
      </c>
    </row>
    <row r="417" spans="1:15">
      <c r="A417" s="84">
        <v>628.10352150644337</v>
      </c>
      <c r="B417" s="84">
        <v>628.26210597479803</v>
      </c>
      <c r="C417" s="84">
        <v>621.7204966551684</v>
      </c>
      <c r="D417" s="84">
        <v>624.42634414646977</v>
      </c>
      <c r="E417" s="85">
        <v>22325749.531044696</v>
      </c>
      <c r="F417" s="83" t="s">
        <v>422</v>
      </c>
      <c r="G417" s="25">
        <f t="shared" si="11"/>
        <v>5.8888888888888324E-3</v>
      </c>
      <c r="I417" s="84">
        <v>175.51606576348729</v>
      </c>
      <c r="J417" s="84">
        <v>177.2176080536079</v>
      </c>
      <c r="K417" s="84">
        <v>172.42954719071039</v>
      </c>
      <c r="L417" s="84">
        <v>172.82525470004074</v>
      </c>
      <c r="M417" s="85">
        <v>4656095.6174873803</v>
      </c>
      <c r="N417" s="83" t="s">
        <v>422</v>
      </c>
      <c r="O417" s="25">
        <f t="shared" si="12"/>
        <v>1.5569547796222105E-2</v>
      </c>
    </row>
    <row r="418" spans="1:15">
      <c r="A418" s="84">
        <v>626.56723446925764</v>
      </c>
      <c r="B418" s="84">
        <v>627.90033515636401</v>
      </c>
      <c r="C418" s="84">
        <v>620.9275743133951</v>
      </c>
      <c r="D418" s="84">
        <v>622.07731170896636</v>
      </c>
      <c r="E418" s="85">
        <v>22599171.515239444</v>
      </c>
      <c r="F418" s="83" t="s">
        <v>423</v>
      </c>
      <c r="G418" s="25">
        <f t="shared" ref="G418:G481" si="13">A418/D418-1</f>
        <v>7.2176282204483577E-3</v>
      </c>
      <c r="I418" s="84">
        <v>172.84504007550728</v>
      </c>
      <c r="J418" s="84">
        <v>175.23155206427876</v>
      </c>
      <c r="K418" s="84">
        <v>168.51698919220632</v>
      </c>
      <c r="L418" s="84">
        <v>169.3331359302002</v>
      </c>
      <c r="M418" s="85">
        <v>5670229.5182543648</v>
      </c>
      <c r="N418" s="83" t="s">
        <v>423</v>
      </c>
      <c r="O418" s="25">
        <f t="shared" ref="O418:O481" si="14">I418/L418-1</f>
        <v>2.0739615586843563E-2</v>
      </c>
    </row>
    <row r="419" spans="1:15">
      <c r="A419" s="84">
        <v>622.54315358475822</v>
      </c>
      <c r="B419" s="84">
        <v>624.63448626118532</v>
      </c>
      <c r="C419" s="84">
        <v>622.10704629678287</v>
      </c>
      <c r="D419" s="84">
        <v>622.62244581893549</v>
      </c>
      <c r="E419" s="85">
        <v>9703690.2539440319</v>
      </c>
      <c r="F419" s="83" t="s">
        <v>424</v>
      </c>
      <c r="G419" s="25">
        <f t="shared" si="13"/>
        <v>-1.2735203285674235E-4</v>
      </c>
      <c r="I419" s="84">
        <v>170.08498019792793</v>
      </c>
      <c r="J419" s="84">
        <v>173.82441616109998</v>
      </c>
      <c r="K419" s="84">
        <v>169.40238474433303</v>
      </c>
      <c r="L419" s="84">
        <v>170.66864877419025</v>
      </c>
      <c r="M419" s="85">
        <v>4780860.4976978814</v>
      </c>
      <c r="N419" s="83" t="s">
        <v>424</v>
      </c>
      <c r="O419" s="25">
        <f t="shared" si="14"/>
        <v>-3.4198933456991432E-3</v>
      </c>
    </row>
    <row r="420" spans="1:15">
      <c r="A420" s="84">
        <v>623.0486415776387</v>
      </c>
      <c r="B420" s="84">
        <v>625.88333894947823</v>
      </c>
      <c r="C420" s="84">
        <v>621.15653063958212</v>
      </c>
      <c r="D420" s="84">
        <v>625.77431212748434</v>
      </c>
      <c r="E420" s="85">
        <v>6894887.5721843466</v>
      </c>
      <c r="F420" s="83" t="s">
        <v>425</v>
      </c>
      <c r="G420" s="25">
        <f t="shared" si="13"/>
        <v>-4.3556766345664855E-3</v>
      </c>
      <c r="I420" s="84">
        <v>169.67938000086431</v>
      </c>
      <c r="J420" s="84">
        <v>170.1443363243275</v>
      </c>
      <c r="K420" s="84">
        <v>167.71617612019898</v>
      </c>
      <c r="L420" s="84">
        <v>169.55077506033192</v>
      </c>
      <c r="M420" s="85">
        <v>3500113.5114766145</v>
      </c>
      <c r="N420" s="83" t="s">
        <v>425</v>
      </c>
      <c r="O420" s="25">
        <f t="shared" si="14"/>
        <v>7.5850399673282887E-4</v>
      </c>
    </row>
    <row r="421" spans="1:15">
      <c r="A421" s="84">
        <v>624.90209755153376</v>
      </c>
      <c r="B421" s="84">
        <v>627.37997986957532</v>
      </c>
      <c r="C421" s="84">
        <v>623.91094462431715</v>
      </c>
      <c r="D421" s="84">
        <v>624.72369002463472</v>
      </c>
      <c r="E421" s="85">
        <v>5052250.6290349569</v>
      </c>
      <c r="F421" s="83" t="s">
        <v>426</v>
      </c>
      <c r="G421" s="25">
        <f t="shared" si="13"/>
        <v>2.8557829604958229E-4</v>
      </c>
      <c r="I421" s="84">
        <v>169.26388711606739</v>
      </c>
      <c r="J421" s="84">
        <v>170.15422901206074</v>
      </c>
      <c r="K421" s="84">
        <v>167.12706656568338</v>
      </c>
      <c r="L421" s="84">
        <v>170.15422901206074</v>
      </c>
      <c r="M421" s="85">
        <v>2912813.0571757304</v>
      </c>
      <c r="N421" s="83" t="s">
        <v>426</v>
      </c>
      <c r="O421" s="25">
        <f t="shared" si="14"/>
        <v>-5.2325581395349374E-3</v>
      </c>
    </row>
    <row r="422" spans="1:15">
      <c r="A422" s="84">
        <v>623.732537097418</v>
      </c>
      <c r="B422" s="84">
        <v>624.6047516733687</v>
      </c>
      <c r="C422" s="84">
        <v>620.93748584266723</v>
      </c>
      <c r="D422" s="84">
        <v>624.55519402700793</v>
      </c>
      <c r="E422" s="85">
        <v>5160085.6533436133</v>
      </c>
      <c r="F422" s="83" t="s">
        <v>427</v>
      </c>
      <c r="G422" s="25">
        <f t="shared" si="13"/>
        <v>-1.3171885166555208E-3</v>
      </c>
      <c r="I422" s="84">
        <v>169.47163355846584</v>
      </c>
      <c r="J422" s="84">
        <v>170.24326320166008</v>
      </c>
      <c r="K422" s="84">
        <v>166.84017862141886</v>
      </c>
      <c r="L422" s="84">
        <v>167.08749581475035</v>
      </c>
      <c r="M422" s="85">
        <v>7088556.9110039975</v>
      </c>
      <c r="N422" s="83" t="s">
        <v>427</v>
      </c>
      <c r="O422" s="25">
        <f t="shared" si="14"/>
        <v>1.4268798105387726E-2</v>
      </c>
    </row>
    <row r="423" spans="1:15">
      <c r="A423" s="84">
        <v>623.20722604599325</v>
      </c>
      <c r="B423" s="84">
        <v>624.2082905024821</v>
      </c>
      <c r="C423" s="84">
        <v>619.42102186402587</v>
      </c>
      <c r="D423" s="84">
        <v>620.23376726434344</v>
      </c>
      <c r="E423" s="85">
        <v>5195495.9306441704</v>
      </c>
      <c r="F423" s="83" t="s">
        <v>428</v>
      </c>
      <c r="G423" s="25">
        <f t="shared" si="13"/>
        <v>4.7940936765904496E-3</v>
      </c>
      <c r="I423" s="84">
        <v>166.64232486675365</v>
      </c>
      <c r="J423" s="84">
        <v>167.37438375901488</v>
      </c>
      <c r="K423" s="84">
        <v>164.95067526436634</v>
      </c>
      <c r="L423" s="84">
        <v>167.23588613074924</v>
      </c>
      <c r="M423" s="85">
        <v>5423300.6687984876</v>
      </c>
      <c r="N423" s="83" t="s">
        <v>428</v>
      </c>
      <c r="O423" s="25">
        <f t="shared" si="14"/>
        <v>-3.549245785270716E-3</v>
      </c>
    </row>
    <row r="424" spans="1:15">
      <c r="A424" s="84">
        <v>621.03660113538899</v>
      </c>
      <c r="B424" s="84">
        <v>623.20722604599325</v>
      </c>
      <c r="C424" s="84">
        <v>619.09394139804431</v>
      </c>
      <c r="D424" s="84">
        <v>621.46279689409209</v>
      </c>
      <c r="E424" s="85">
        <v>5303719.3914790461</v>
      </c>
      <c r="F424" s="83" t="s">
        <v>429</v>
      </c>
      <c r="G424" s="25">
        <f t="shared" si="13"/>
        <v>-6.8579448493633066E-4</v>
      </c>
      <c r="I424" s="84">
        <v>166.98856893741777</v>
      </c>
      <c r="J424" s="84">
        <v>167.56234482594678</v>
      </c>
      <c r="K424" s="84">
        <v>166.2317783258234</v>
      </c>
      <c r="L424" s="84">
        <v>167.56234482594678</v>
      </c>
      <c r="M424" s="85">
        <v>4094951.8565924792</v>
      </c>
      <c r="N424" s="83" t="s">
        <v>429</v>
      </c>
      <c r="O424" s="25">
        <f t="shared" si="14"/>
        <v>-3.4242531585781943E-3</v>
      </c>
    </row>
    <row r="425" spans="1:15">
      <c r="A425" s="84">
        <v>619.98597903253926</v>
      </c>
      <c r="B425" s="84">
        <v>622.4539498213087</v>
      </c>
      <c r="C425" s="84">
        <v>618.57854187589169</v>
      </c>
      <c r="D425" s="84">
        <v>618.64792258079683</v>
      </c>
      <c r="E425" s="85">
        <v>8456174.3902999498</v>
      </c>
      <c r="F425" s="83" t="s">
        <v>430</v>
      </c>
      <c r="G425" s="25">
        <f t="shared" si="13"/>
        <v>2.1628722944069256E-3</v>
      </c>
      <c r="I425" s="84">
        <v>166.21693929422352</v>
      </c>
      <c r="J425" s="84">
        <v>172.1327665587126</v>
      </c>
      <c r="K425" s="84">
        <v>166.09822704142442</v>
      </c>
      <c r="L425" s="84">
        <v>171.83598592671481</v>
      </c>
      <c r="M425" s="85">
        <v>4614098.9416392967</v>
      </c>
      <c r="N425" s="83" t="s">
        <v>430</v>
      </c>
      <c r="O425" s="25">
        <f t="shared" si="14"/>
        <v>-3.2700057570523744E-2</v>
      </c>
    </row>
    <row r="426" spans="1:15">
      <c r="A426" s="84">
        <v>622.85041099219529</v>
      </c>
      <c r="B426" s="84">
        <v>623.06846463618297</v>
      </c>
      <c r="C426" s="84">
        <v>620.16934232407436</v>
      </c>
      <c r="D426" s="84">
        <v>620.48651126078369</v>
      </c>
      <c r="E426" s="85">
        <v>2975491.3888837793</v>
      </c>
      <c r="F426" s="83" t="s">
        <v>431</v>
      </c>
      <c r="G426" s="25">
        <f t="shared" si="13"/>
        <v>3.8097520067088553E-3</v>
      </c>
      <c r="I426" s="84">
        <v>173.03300114243922</v>
      </c>
      <c r="J426" s="84">
        <v>173.05773286177237</v>
      </c>
      <c r="K426" s="84">
        <v>171.14349778538667</v>
      </c>
      <c r="L426" s="84">
        <v>171.18306853631969</v>
      </c>
      <c r="M426" s="85">
        <v>1698628.3660308747</v>
      </c>
      <c r="N426" s="83" t="s">
        <v>431</v>
      </c>
      <c r="O426" s="25">
        <f t="shared" si="14"/>
        <v>1.0806749884419986E-2</v>
      </c>
    </row>
    <row r="427" spans="1:15">
      <c r="A427" s="84">
        <v>619.42102186402587</v>
      </c>
      <c r="B427" s="84">
        <v>621.26456630864868</v>
      </c>
      <c r="C427" s="84">
        <v>616.75482048981314</v>
      </c>
      <c r="D427" s="84">
        <v>617.54774283158633</v>
      </c>
      <c r="E427" s="85">
        <v>5339774.3725205241</v>
      </c>
      <c r="F427" s="83" t="s">
        <v>432</v>
      </c>
      <c r="G427" s="25">
        <f t="shared" si="13"/>
        <v>3.033415722402566E-3</v>
      </c>
      <c r="I427" s="84">
        <v>171.3314588523186</v>
      </c>
      <c r="J427" s="84">
        <v>172.16244462191239</v>
      </c>
      <c r="K427" s="84">
        <v>170.17401438752728</v>
      </c>
      <c r="L427" s="84">
        <v>170.70821952512327</v>
      </c>
      <c r="M427" s="85">
        <v>3530426.8103581513</v>
      </c>
      <c r="N427" s="83" t="s">
        <v>432</v>
      </c>
      <c r="O427" s="25">
        <f t="shared" si="14"/>
        <v>3.6509040333796428E-3</v>
      </c>
    </row>
    <row r="428" spans="1:15">
      <c r="A428" s="84">
        <v>615.16897580626653</v>
      </c>
      <c r="B428" s="84">
        <v>616.24933249693265</v>
      </c>
      <c r="C428" s="84">
        <v>605.58452700008183</v>
      </c>
      <c r="D428" s="84">
        <v>609.34099659423282</v>
      </c>
      <c r="E428" s="85">
        <v>7354974.9991373178</v>
      </c>
      <c r="F428" s="83" t="s">
        <v>433</v>
      </c>
      <c r="G428" s="25">
        <f t="shared" si="13"/>
        <v>9.5643970200722794E-3</v>
      </c>
      <c r="I428" s="84">
        <v>170.30261932805965</v>
      </c>
      <c r="J428" s="84">
        <v>171.76673711258201</v>
      </c>
      <c r="K428" s="84">
        <v>167.70084245421245</v>
      </c>
      <c r="L428" s="84">
        <v>170.90607327978844</v>
      </c>
      <c r="M428" s="85">
        <v>5399976.3704660684</v>
      </c>
      <c r="N428" s="83" t="s">
        <v>433</v>
      </c>
      <c r="O428" s="25">
        <f t="shared" si="14"/>
        <v>-3.5309099328546534E-3</v>
      </c>
    </row>
    <row r="429" spans="1:15">
      <c r="A429" s="84">
        <v>609.49958106258748</v>
      </c>
      <c r="B429" s="84">
        <v>610.63940692888661</v>
      </c>
      <c r="C429" s="84">
        <v>602.92328139050517</v>
      </c>
      <c r="D429" s="84">
        <v>603.88965549454133</v>
      </c>
      <c r="E429" s="85">
        <v>6274066.119607918</v>
      </c>
      <c r="F429" s="83" t="s">
        <v>434</v>
      </c>
      <c r="G429" s="25">
        <f t="shared" si="13"/>
        <v>9.2896533613446852E-3</v>
      </c>
      <c r="I429" s="84">
        <v>171.35124422778514</v>
      </c>
      <c r="J429" s="84">
        <v>171.78652248804855</v>
      </c>
      <c r="K429" s="84">
        <v>167.08749581475035</v>
      </c>
      <c r="L429" s="84">
        <v>167.46341794861419</v>
      </c>
      <c r="M429" s="85">
        <v>7396255.8985871319</v>
      </c>
      <c r="N429" s="83" t="s">
        <v>434</v>
      </c>
      <c r="O429" s="25">
        <f t="shared" si="14"/>
        <v>2.3215973534971734E-2</v>
      </c>
    </row>
    <row r="430" spans="1:15">
      <c r="A430" s="84">
        <v>600.56929318836569</v>
      </c>
      <c r="B430" s="84">
        <v>605.6043500586261</v>
      </c>
      <c r="C430" s="84">
        <v>593.08608858788023</v>
      </c>
      <c r="D430" s="84">
        <v>596.9218504162086</v>
      </c>
      <c r="E430" s="85">
        <v>9877250.7563410588</v>
      </c>
      <c r="F430" s="83" t="s">
        <v>435</v>
      </c>
      <c r="G430" s="25">
        <f t="shared" si="13"/>
        <v>6.1104192611041164E-3</v>
      </c>
      <c r="I430" s="84">
        <v>167.85912545794457</v>
      </c>
      <c r="J430" s="84">
        <v>170.45100964405853</v>
      </c>
      <c r="K430" s="84">
        <v>166.81050055821908</v>
      </c>
      <c r="L430" s="84">
        <v>170.41143889312548</v>
      </c>
      <c r="M430" s="85">
        <v>6109599.49709104</v>
      </c>
      <c r="N430" s="83" t="s">
        <v>435</v>
      </c>
      <c r="O430" s="25">
        <f t="shared" si="14"/>
        <v>-1.4977359804945967E-2</v>
      </c>
    </row>
    <row r="431" spans="1:15">
      <c r="A431" s="84">
        <v>594.65211021288258</v>
      </c>
      <c r="B431" s="84">
        <v>615.63362829854566</v>
      </c>
      <c r="C431" s="84">
        <v>594.05741845655257</v>
      </c>
      <c r="D431" s="84">
        <v>613.24613912746634</v>
      </c>
      <c r="E431" s="85">
        <v>13981349.012321869</v>
      </c>
      <c r="F431" s="83" t="s">
        <v>436</v>
      </c>
      <c r="G431" s="25">
        <f t="shared" si="13"/>
        <v>-3.0320662011895538E-2</v>
      </c>
      <c r="I431" s="84">
        <v>170.20369245851555</v>
      </c>
      <c r="J431" s="84">
        <v>174.95319629484999</v>
      </c>
      <c r="K431" s="84">
        <v>169.97705638333775</v>
      </c>
      <c r="L431" s="84">
        <v>173.95796831254754</v>
      </c>
      <c r="M431" s="85">
        <v>4214100.4217920806</v>
      </c>
      <c r="N431" s="83" t="s">
        <v>436</v>
      </c>
      <c r="O431" s="25">
        <f t="shared" si="14"/>
        <v>-2.1581511272232956E-2</v>
      </c>
    </row>
    <row r="432" spans="1:15">
      <c r="A432" s="84">
        <v>603.81036326036417</v>
      </c>
      <c r="B432" s="84">
        <v>608.14160243700792</v>
      </c>
      <c r="C432" s="84">
        <v>600.31159342728938</v>
      </c>
      <c r="D432" s="84">
        <v>602.14522634264017</v>
      </c>
      <c r="E432" s="85">
        <v>7362433.9893667689</v>
      </c>
      <c r="F432" s="83" t="s">
        <v>437</v>
      </c>
      <c r="G432" s="25">
        <f t="shared" si="13"/>
        <v>2.7653410587307192E-3</v>
      </c>
      <c r="I432" s="84">
        <v>171.22848166801509</v>
      </c>
      <c r="J432" s="84">
        <v>172.21385590791851</v>
      </c>
      <c r="K432" s="84">
        <v>169.97705638333775</v>
      </c>
      <c r="L432" s="84">
        <v>170.97228436564021</v>
      </c>
      <c r="M432" s="85">
        <v>3952468.8613554374</v>
      </c>
      <c r="N432" s="83" t="s">
        <v>437</v>
      </c>
      <c r="O432" s="25">
        <f t="shared" si="14"/>
        <v>1.4984727105065154E-3</v>
      </c>
    </row>
    <row r="433" spans="1:15">
      <c r="A433" s="84">
        <v>601.62982682048755</v>
      </c>
      <c r="B433" s="84">
        <v>606.09992652223445</v>
      </c>
      <c r="C433" s="84">
        <v>597.66521511162102</v>
      </c>
      <c r="D433" s="84">
        <v>603.33460985530007</v>
      </c>
      <c r="E433" s="85">
        <v>8561307.5106677879</v>
      </c>
      <c r="F433" s="83" t="s">
        <v>438</v>
      </c>
      <c r="G433" s="25">
        <f t="shared" si="13"/>
        <v>-2.8256012616637571E-3</v>
      </c>
      <c r="I433" s="84">
        <v>172.16458719592333</v>
      </c>
      <c r="J433" s="84">
        <v>175.32763850601327</v>
      </c>
      <c r="K433" s="84">
        <v>171.76058375756293</v>
      </c>
      <c r="L433" s="84">
        <v>174.11562819093206</v>
      </c>
      <c r="M433" s="85">
        <v>3771151.9639119706</v>
      </c>
      <c r="N433" s="83" t="s">
        <v>438</v>
      </c>
      <c r="O433" s="25">
        <f t="shared" si="14"/>
        <v>-1.120543293718157E-2</v>
      </c>
    </row>
    <row r="434" spans="1:15">
      <c r="A434" s="84">
        <v>606.62523757365921</v>
      </c>
      <c r="B434" s="84">
        <v>613.96819403494351</v>
      </c>
      <c r="C434" s="84">
        <v>603.42381361874948</v>
      </c>
      <c r="D434" s="84">
        <v>610.29250340436079</v>
      </c>
      <c r="E434" s="85">
        <v>8937943.6378982458</v>
      </c>
      <c r="F434" s="83" t="s">
        <v>439</v>
      </c>
      <c r="G434" s="25">
        <f t="shared" si="13"/>
        <v>-6.0090297852991581E-3</v>
      </c>
      <c r="I434" s="84">
        <v>173.06127775423542</v>
      </c>
      <c r="J434" s="84">
        <v>173.72147849497071</v>
      </c>
      <c r="K434" s="84">
        <v>172.0709766431325</v>
      </c>
      <c r="L434" s="84">
        <v>173.52440364699004</v>
      </c>
      <c r="M434" s="85">
        <v>3971072.9604455424</v>
      </c>
      <c r="N434" s="83" t="s">
        <v>439</v>
      </c>
      <c r="O434" s="25">
        <f t="shared" si="14"/>
        <v>-2.6689381033504489E-3</v>
      </c>
    </row>
    <row r="435" spans="1:15">
      <c r="A435" s="84">
        <v>612.36401302224351</v>
      </c>
      <c r="B435" s="84">
        <v>615.72392233021515</v>
      </c>
      <c r="C435" s="84">
        <v>604.43478960451057</v>
      </c>
      <c r="D435" s="84">
        <v>606.33780322476639</v>
      </c>
      <c r="E435" s="85">
        <v>9738048.2213826496</v>
      </c>
      <c r="F435" s="83" t="s">
        <v>440</v>
      </c>
      <c r="G435" s="25">
        <f t="shared" si="13"/>
        <v>9.9387004495301579E-3</v>
      </c>
      <c r="I435" s="84">
        <v>173.00215529984121</v>
      </c>
      <c r="J435" s="84">
        <v>173.58352610138422</v>
      </c>
      <c r="K435" s="84">
        <v>169.97705638333775</v>
      </c>
      <c r="L435" s="84">
        <v>171.41570277359673</v>
      </c>
      <c r="M435" s="85">
        <v>3270090.5600250587</v>
      </c>
      <c r="N435" s="83" t="s">
        <v>440</v>
      </c>
      <c r="O435" s="25">
        <f t="shared" si="14"/>
        <v>9.255001149689468E-3</v>
      </c>
    </row>
    <row r="436" spans="1:15">
      <c r="A436" s="84">
        <v>612.52259749059817</v>
      </c>
      <c r="B436" s="84">
        <v>620.48155549614762</v>
      </c>
      <c r="C436" s="84">
        <v>611.05569115831759</v>
      </c>
      <c r="D436" s="84">
        <v>620.13465197162179</v>
      </c>
      <c r="E436" s="85">
        <v>10620360.098779622</v>
      </c>
      <c r="F436" s="83" t="s">
        <v>441</v>
      </c>
      <c r="G436" s="25">
        <f t="shared" si="13"/>
        <v>-1.2274841370051304E-2</v>
      </c>
      <c r="I436" s="84">
        <v>171.41570277359673</v>
      </c>
      <c r="J436" s="84">
        <v>176.17703110081001</v>
      </c>
      <c r="K436" s="84">
        <v>170.59626555569307</v>
      </c>
      <c r="L436" s="84">
        <v>176.01740047394566</v>
      </c>
      <c r="M436" s="85">
        <v>3561014.5444272705</v>
      </c>
      <c r="N436" s="83" t="s">
        <v>441</v>
      </c>
      <c r="O436" s="25">
        <f t="shared" si="14"/>
        <v>-2.6143424956614258E-2</v>
      </c>
    </row>
    <row r="437" spans="1:15">
      <c r="A437" s="84">
        <v>622.66209193602413</v>
      </c>
      <c r="B437" s="84">
        <v>624.19837897320986</v>
      </c>
      <c r="C437" s="84">
        <v>620.56084773032489</v>
      </c>
      <c r="D437" s="84">
        <v>624.07944062194395</v>
      </c>
      <c r="E437" s="85">
        <v>6119969.8184156204</v>
      </c>
      <c r="F437" s="83" t="s">
        <v>442</v>
      </c>
      <c r="G437" s="25">
        <f t="shared" si="13"/>
        <v>-2.2711029937267924E-3</v>
      </c>
      <c r="I437" s="84">
        <v>175.09114868843645</v>
      </c>
      <c r="J437" s="84">
        <v>177.268825758623</v>
      </c>
      <c r="K437" s="84">
        <v>174.77582893166738</v>
      </c>
      <c r="L437" s="84">
        <v>175.98783924674854</v>
      </c>
      <c r="M437" s="85">
        <v>4527996.3889023233</v>
      </c>
      <c r="N437" s="83" t="s">
        <v>442</v>
      </c>
      <c r="O437" s="25">
        <f t="shared" si="14"/>
        <v>-5.0951847704366893E-3</v>
      </c>
    </row>
    <row r="438" spans="1:15">
      <c r="A438" s="84">
        <v>622.35483452858693</v>
      </c>
      <c r="B438" s="84">
        <v>622.92970322637268</v>
      </c>
      <c r="C438" s="84">
        <v>618.54880728807518</v>
      </c>
      <c r="D438" s="84">
        <v>619.6291639787413</v>
      </c>
      <c r="E438" s="85">
        <v>5660956.8976975149</v>
      </c>
      <c r="F438" s="83" t="s">
        <v>443</v>
      </c>
      <c r="G438" s="25">
        <f t="shared" si="13"/>
        <v>4.3988738882845269E-3</v>
      </c>
      <c r="I438" s="84">
        <v>176.59877127548867</v>
      </c>
      <c r="J438" s="84">
        <v>177.36736318261333</v>
      </c>
      <c r="K438" s="84">
        <v>174.8152439012635</v>
      </c>
      <c r="L438" s="84">
        <v>176.19476783712827</v>
      </c>
      <c r="M438" s="85">
        <v>3436908.397698706</v>
      </c>
      <c r="N438" s="83" t="s">
        <v>443</v>
      </c>
      <c r="O438" s="25">
        <f t="shared" si="14"/>
        <v>2.2929366366535309E-3</v>
      </c>
    </row>
    <row r="439" spans="1:15">
      <c r="A439" s="84">
        <v>620.9275743133951</v>
      </c>
      <c r="B439" s="84">
        <v>621.66102747953539</v>
      </c>
      <c r="C439" s="84">
        <v>615.16897580626653</v>
      </c>
      <c r="D439" s="84">
        <v>617.18101624851636</v>
      </c>
      <c r="E439" s="85">
        <v>8458626.0805823188</v>
      </c>
      <c r="F439" s="83" t="s">
        <v>444</v>
      </c>
      <c r="G439" s="25">
        <f t="shared" si="13"/>
        <v>6.0704363326855582E-3</v>
      </c>
      <c r="I439" s="84">
        <v>176.411550169907</v>
      </c>
      <c r="J439" s="84">
        <v>176.9239447746568</v>
      </c>
      <c r="K439" s="84">
        <v>173.72147849497071</v>
      </c>
      <c r="L439" s="84">
        <v>174.24865371331904</v>
      </c>
      <c r="M439" s="85">
        <v>2762580.8446817575</v>
      </c>
      <c r="N439" s="83" t="s">
        <v>444</v>
      </c>
      <c r="O439" s="25">
        <f t="shared" si="14"/>
        <v>1.241270110555015E-2</v>
      </c>
    </row>
    <row r="440" spans="1:15">
      <c r="A440" s="84">
        <v>611.43232927065981</v>
      </c>
      <c r="B440" s="84">
        <v>611.56117915119796</v>
      </c>
      <c r="C440" s="84">
        <v>602.54168751352677</v>
      </c>
      <c r="D440" s="84">
        <v>608.65710107445341</v>
      </c>
      <c r="E440" s="85">
        <v>7594386.0864519393</v>
      </c>
      <c r="F440" s="83" t="s">
        <v>445</v>
      </c>
      <c r="G440" s="25">
        <f t="shared" si="13"/>
        <v>4.5595922421792778E-3</v>
      </c>
      <c r="I440" s="84">
        <v>174.381679235706</v>
      </c>
      <c r="J440" s="84">
        <v>175.09114868843645</v>
      </c>
      <c r="K440" s="84">
        <v>171.20877418321703</v>
      </c>
      <c r="L440" s="84">
        <v>172.69668928547117</v>
      </c>
      <c r="M440" s="85">
        <v>3828295.7349989028</v>
      </c>
      <c r="N440" s="83" t="s">
        <v>445</v>
      </c>
      <c r="O440" s="25">
        <f t="shared" si="14"/>
        <v>9.7569325573434451E-3</v>
      </c>
    </row>
    <row r="441" spans="1:15">
      <c r="A441" s="84">
        <v>610.78807986796903</v>
      </c>
      <c r="B441" s="84">
        <v>617.28013154123789</v>
      </c>
      <c r="C441" s="84">
        <v>609.38064271132157</v>
      </c>
      <c r="D441" s="84">
        <v>616.45747461164819</v>
      </c>
      <c r="E441" s="85">
        <v>7094884.9636632465</v>
      </c>
      <c r="F441" s="83" t="s">
        <v>446</v>
      </c>
      <c r="G441" s="25">
        <f t="shared" si="13"/>
        <v>-9.1967329088689098E-3</v>
      </c>
      <c r="I441" s="84">
        <v>172.53902940708662</v>
      </c>
      <c r="J441" s="84">
        <v>172.82478793665859</v>
      </c>
      <c r="K441" s="84">
        <v>171.05958852329564</v>
      </c>
      <c r="L441" s="84">
        <v>171.46497148559189</v>
      </c>
      <c r="M441" s="85">
        <v>3616620.8285994357</v>
      </c>
      <c r="N441" s="83" t="s">
        <v>446</v>
      </c>
      <c r="O441" s="25">
        <f t="shared" si="14"/>
        <v>6.2640078156428469E-3</v>
      </c>
    </row>
    <row r="442" spans="1:15">
      <c r="A442" s="84">
        <v>617.34951224614315</v>
      </c>
      <c r="B442" s="84">
        <v>620.46173243760325</v>
      </c>
      <c r="C442" s="84">
        <v>614.34631887667672</v>
      </c>
      <c r="D442" s="84">
        <v>615.09959510136139</v>
      </c>
      <c r="E442" s="85">
        <v>10356082.011304678</v>
      </c>
      <c r="F442" s="83" t="s">
        <v>447</v>
      </c>
      <c r="G442" s="25">
        <f t="shared" si="13"/>
        <v>3.6578095038592995E-3</v>
      </c>
      <c r="I442" s="84">
        <v>171.45511774319289</v>
      </c>
      <c r="J442" s="84">
        <v>174.17475064532627</v>
      </c>
      <c r="K442" s="84">
        <v>171.37628780400058</v>
      </c>
      <c r="L442" s="84">
        <v>172.34688143030547</v>
      </c>
      <c r="M442" s="85">
        <v>4493016.7856163895</v>
      </c>
      <c r="N442" s="83" t="s">
        <v>447</v>
      </c>
      <c r="O442" s="25">
        <f t="shared" si="14"/>
        <v>-5.1742374431834603E-3</v>
      </c>
    </row>
    <row r="443" spans="1:15">
      <c r="A443" s="84">
        <v>615.49605627224798</v>
      </c>
      <c r="B443" s="84">
        <v>619.63907550801343</v>
      </c>
      <c r="C443" s="84">
        <v>614.71304545974692</v>
      </c>
      <c r="D443" s="84">
        <v>616.150217204211</v>
      </c>
      <c r="E443" s="85">
        <v>8276576.4744668305</v>
      </c>
      <c r="F443" s="83" t="s">
        <v>448</v>
      </c>
      <c r="G443" s="25">
        <f t="shared" si="13"/>
        <v>-1.061690661948167E-3</v>
      </c>
      <c r="I443" s="84">
        <v>173.04157026943739</v>
      </c>
      <c r="J443" s="84">
        <v>175.29048989716892</v>
      </c>
      <c r="K443" s="84">
        <v>172.87405664865378</v>
      </c>
      <c r="L443" s="84">
        <v>173.9776757973456</v>
      </c>
      <c r="M443" s="85">
        <v>3892630.6825069827</v>
      </c>
      <c r="N443" s="83" t="s">
        <v>448</v>
      </c>
      <c r="O443" s="25">
        <f t="shared" si="14"/>
        <v>-5.380607159039319E-3</v>
      </c>
    </row>
    <row r="444" spans="1:15">
      <c r="A444" s="84">
        <v>622.71164958238501</v>
      </c>
      <c r="B444" s="84">
        <v>624.96156672716666</v>
      </c>
      <c r="C444" s="84">
        <v>619.6291639787413</v>
      </c>
      <c r="D444" s="84">
        <v>624.84262837590063</v>
      </c>
      <c r="E444" s="85">
        <v>5559411.518335483</v>
      </c>
      <c r="F444" s="83" t="s">
        <v>449</v>
      </c>
      <c r="G444" s="25">
        <f t="shared" si="13"/>
        <v>-3.4104247961674883E-3</v>
      </c>
      <c r="I444" s="84">
        <v>174.45065543249922</v>
      </c>
      <c r="J444" s="84">
        <v>175.93364366355385</v>
      </c>
      <c r="K444" s="84">
        <v>172.88391039105281</v>
      </c>
      <c r="L444" s="84">
        <v>175.8794480803592</v>
      </c>
      <c r="M444" s="85">
        <v>3887242.8818267859</v>
      </c>
      <c r="N444" s="83" t="s">
        <v>449</v>
      </c>
      <c r="O444" s="25">
        <f t="shared" si="14"/>
        <v>-8.1237044092108412E-3</v>
      </c>
    </row>
    <row r="445" spans="1:15">
      <c r="A445" s="84">
        <v>621.49253148190849</v>
      </c>
      <c r="B445" s="84">
        <v>624.36687497083676</v>
      </c>
      <c r="C445" s="84">
        <v>618.97500304677828</v>
      </c>
      <c r="D445" s="84">
        <v>624.26775967811511</v>
      </c>
      <c r="E445" s="85">
        <v>7081931.3622083683</v>
      </c>
      <c r="F445" s="83" t="s">
        <v>450</v>
      </c>
      <c r="G445" s="25">
        <f t="shared" si="13"/>
        <v>-4.4455734789788925E-3</v>
      </c>
      <c r="I445" s="84">
        <v>175.8893018227582</v>
      </c>
      <c r="J445" s="84">
        <v>176.49038010909931</v>
      </c>
      <c r="K445" s="84">
        <v>174.16499544035125</v>
      </c>
      <c r="L445" s="84">
        <v>174.90392758285481</v>
      </c>
      <c r="M445" s="85">
        <v>4306805.3011168689</v>
      </c>
      <c r="N445" s="83" t="s">
        <v>450</v>
      </c>
      <c r="O445" s="25">
        <f t="shared" si="14"/>
        <v>5.6338028169014009E-3</v>
      </c>
    </row>
    <row r="446" spans="1:15">
      <c r="A446" s="84">
        <v>619.70845621291869</v>
      </c>
      <c r="B446" s="84">
        <v>625.05077049061617</v>
      </c>
      <c r="C446" s="84">
        <v>619.56969480310829</v>
      </c>
      <c r="D446" s="84">
        <v>623.24687216308189</v>
      </c>
      <c r="E446" s="85">
        <v>6226766.6578269275</v>
      </c>
      <c r="F446" s="83" t="s">
        <v>451</v>
      </c>
      <c r="G446" s="25">
        <f t="shared" si="13"/>
        <v>-5.6773906267392205E-3</v>
      </c>
      <c r="I446" s="84">
        <v>174.82509764366253</v>
      </c>
      <c r="J446" s="84">
        <v>176.38198894270991</v>
      </c>
      <c r="K446" s="84">
        <v>174.23387309972048</v>
      </c>
      <c r="L446" s="84">
        <v>174.52948537169152</v>
      </c>
      <c r="M446" s="85">
        <v>3670804.3030986609</v>
      </c>
      <c r="N446" s="83" t="s">
        <v>451</v>
      </c>
      <c r="O446" s="25">
        <f t="shared" si="14"/>
        <v>1.6937669376693165E-3</v>
      </c>
    </row>
    <row r="447" spans="1:15">
      <c r="A447" s="84">
        <v>626.35909235454221</v>
      </c>
      <c r="B447" s="84">
        <v>628.51980573587434</v>
      </c>
      <c r="C447" s="84">
        <v>622.3151884114983</v>
      </c>
      <c r="D447" s="84">
        <v>627.60794504283513</v>
      </c>
      <c r="E447" s="85">
        <v>6091277.9796295911</v>
      </c>
      <c r="F447" s="83" t="s">
        <v>452</v>
      </c>
      <c r="G447" s="25">
        <f t="shared" si="13"/>
        <v>-1.9898611834935354E-3</v>
      </c>
      <c r="I447" s="84">
        <v>173.78060094936492</v>
      </c>
      <c r="J447" s="84">
        <v>176.36228145791185</v>
      </c>
      <c r="K447" s="84">
        <v>173.4258662229997</v>
      </c>
      <c r="L447" s="84">
        <v>175.18475924122728</v>
      </c>
      <c r="M447" s="85">
        <v>4293847.7876332086</v>
      </c>
      <c r="N447" s="83" t="s">
        <v>452</v>
      </c>
      <c r="O447" s="25">
        <f t="shared" si="14"/>
        <v>-8.0152993784627924E-3</v>
      </c>
    </row>
    <row r="448" spans="1:15">
      <c r="A448" s="84">
        <v>626.1013925934659</v>
      </c>
      <c r="B448" s="84">
        <v>627.78635256973405</v>
      </c>
      <c r="C448" s="84">
        <v>624.0695290926717</v>
      </c>
      <c r="D448" s="84">
        <v>626.12121565201016</v>
      </c>
      <c r="E448" s="85">
        <v>5625042.1573758936</v>
      </c>
      <c r="F448" s="83" t="s">
        <v>453</v>
      </c>
      <c r="G448" s="25">
        <f t="shared" si="13"/>
        <v>-3.1660097196350989E-5</v>
      </c>
      <c r="I448" s="84">
        <v>176.05681544354178</v>
      </c>
      <c r="J448" s="84">
        <v>178.65820343688679</v>
      </c>
      <c r="K448" s="84">
        <v>175.94349740595291</v>
      </c>
      <c r="L448" s="84">
        <v>176.67760121468095</v>
      </c>
      <c r="M448" s="85">
        <v>3389355.9063685155</v>
      </c>
      <c r="N448" s="83" t="s">
        <v>453</v>
      </c>
      <c r="O448" s="25">
        <f t="shared" si="14"/>
        <v>-3.5136642498606596E-3</v>
      </c>
    </row>
    <row r="449" spans="1:15">
      <c r="A449" s="84">
        <v>624.42634414646977</v>
      </c>
      <c r="B449" s="84">
        <v>624.71377849536248</v>
      </c>
      <c r="C449" s="84">
        <v>621.61146983317451</v>
      </c>
      <c r="D449" s="84">
        <v>622.18633853096014</v>
      </c>
      <c r="E449" s="85">
        <v>7873977.6533942977</v>
      </c>
      <c r="F449" s="83" t="s">
        <v>454</v>
      </c>
      <c r="G449" s="25">
        <f t="shared" si="13"/>
        <v>3.600216650205601E-3</v>
      </c>
      <c r="I449" s="84">
        <v>176.61847876028673</v>
      </c>
      <c r="J449" s="84">
        <v>177.00277471384905</v>
      </c>
      <c r="K449" s="84">
        <v>174.90392758285481</v>
      </c>
      <c r="L449" s="84">
        <v>176.80569986586838</v>
      </c>
      <c r="M449" s="85">
        <v>4099625.1336913309</v>
      </c>
      <c r="N449" s="83" t="s">
        <v>454</v>
      </c>
      <c r="O449" s="25">
        <f t="shared" si="14"/>
        <v>-1.0589087666499353E-3</v>
      </c>
    </row>
    <row r="450" spans="1:15">
      <c r="A450" s="84">
        <v>617.04225483870584</v>
      </c>
      <c r="B450" s="84">
        <v>618.27118535316185</v>
      </c>
      <c r="C450" s="84">
        <v>615.71113645745402</v>
      </c>
      <c r="D450" s="84">
        <v>616.41782849455944</v>
      </c>
      <c r="E450" s="85">
        <v>5701283.6716013607</v>
      </c>
      <c r="F450" s="83" t="s">
        <v>455</v>
      </c>
      <c r="G450" s="25">
        <f t="shared" si="13"/>
        <v>1.0129920246975122E-3</v>
      </c>
      <c r="I450" s="84">
        <v>176.03710795874372</v>
      </c>
      <c r="J450" s="84">
        <v>177.86005030256501</v>
      </c>
      <c r="K450" s="84">
        <v>175.6823732323785</v>
      </c>
      <c r="L450" s="84">
        <v>177.82063533296889</v>
      </c>
      <c r="M450" s="85">
        <v>3484019.432390003</v>
      </c>
      <c r="N450" s="83" t="s">
        <v>455</v>
      </c>
      <c r="O450" s="25">
        <f t="shared" si="14"/>
        <v>-1.0029923528759865E-2</v>
      </c>
    </row>
    <row r="451" spans="1:15">
      <c r="A451" s="84">
        <v>611.97746338062905</v>
      </c>
      <c r="B451" s="84">
        <v>613.00231550737101</v>
      </c>
      <c r="C451" s="84">
        <v>608.55798578173165</v>
      </c>
      <c r="D451" s="84">
        <v>608.81568554280796</v>
      </c>
      <c r="E451" s="85">
        <v>5877357.4087693281</v>
      </c>
      <c r="F451" s="83" t="s">
        <v>456</v>
      </c>
      <c r="G451" s="25">
        <f t="shared" si="13"/>
        <v>5.1933251933253821E-3</v>
      </c>
      <c r="I451" s="84">
        <v>176.81555360826741</v>
      </c>
      <c r="J451" s="84">
        <v>177.34765569781524</v>
      </c>
      <c r="K451" s="84">
        <v>173.91865188037539</v>
      </c>
      <c r="L451" s="84">
        <v>175.00246500684514</v>
      </c>
      <c r="M451" s="85">
        <v>5287898.5353937931</v>
      </c>
      <c r="N451" s="83" t="s">
        <v>456</v>
      </c>
      <c r="O451" s="25">
        <f t="shared" si="14"/>
        <v>1.0360360360360366E-2</v>
      </c>
    </row>
    <row r="452" spans="1:15">
      <c r="A452" s="84">
        <v>608.53816272318738</v>
      </c>
      <c r="B452" s="84">
        <v>612.36401302224351</v>
      </c>
      <c r="C452" s="84">
        <v>604.43478960451057</v>
      </c>
      <c r="D452" s="84">
        <v>612.36401302224351</v>
      </c>
      <c r="E452" s="85">
        <v>6173644.683856817</v>
      </c>
      <c r="F452" s="83" t="s">
        <v>457</v>
      </c>
      <c r="G452" s="25">
        <f t="shared" si="13"/>
        <v>-6.247673308191537E-3</v>
      </c>
      <c r="I452" s="84">
        <v>175.37690721800843</v>
      </c>
      <c r="J452" s="84">
        <v>176.10608415553696</v>
      </c>
      <c r="K452" s="84">
        <v>171.37618926657663</v>
      </c>
      <c r="L452" s="84">
        <v>171.93795112074557</v>
      </c>
      <c r="M452" s="85">
        <v>10363640.114035305</v>
      </c>
      <c r="N452" s="83" t="s">
        <v>457</v>
      </c>
      <c r="O452" s="25">
        <f t="shared" si="14"/>
        <v>2.0001146197489605E-2</v>
      </c>
    </row>
    <row r="453" spans="1:15">
      <c r="A453" s="84">
        <v>611.63055985610322</v>
      </c>
      <c r="B453" s="84">
        <v>613.2659621860106</v>
      </c>
      <c r="C453" s="84">
        <v>610.53137125981993</v>
      </c>
      <c r="D453" s="84">
        <v>611.86843655863527</v>
      </c>
      <c r="E453" s="85">
        <v>4193228.8003944606</v>
      </c>
      <c r="F453" s="83" t="s">
        <v>458</v>
      </c>
      <c r="G453" s="25">
        <f t="shared" si="13"/>
        <v>-3.8877099768364065E-4</v>
      </c>
      <c r="I453" s="84">
        <v>170.50915847288559</v>
      </c>
      <c r="J453" s="84">
        <v>176.14549912513309</v>
      </c>
      <c r="K453" s="84">
        <v>167.76489121475461</v>
      </c>
      <c r="L453" s="84">
        <v>169.29714815780443</v>
      </c>
      <c r="M453" s="85">
        <v>12456107.033205139</v>
      </c>
      <c r="N453" s="83" t="s">
        <v>458</v>
      </c>
      <c r="O453" s="25">
        <f t="shared" si="14"/>
        <v>7.1590710668760771E-3</v>
      </c>
    </row>
    <row r="454" spans="1:15">
      <c r="A454" s="84">
        <v>611.70985209028049</v>
      </c>
      <c r="B454" s="84">
        <v>612.54242054914243</v>
      </c>
      <c r="C454" s="84">
        <v>608.08223237666766</v>
      </c>
      <c r="D454" s="84">
        <v>608.08223237666766</v>
      </c>
      <c r="E454" s="85">
        <v>4085368.5529347514</v>
      </c>
      <c r="F454" s="83" t="s">
        <v>459</v>
      </c>
      <c r="G454" s="25">
        <f t="shared" si="13"/>
        <v>5.9656729311665657E-3</v>
      </c>
      <c r="I454" s="84">
        <v>158.3594940948766</v>
      </c>
      <c r="J454" s="84">
        <v>159.69960306114521</v>
      </c>
      <c r="K454" s="84">
        <v>157.11299568139879</v>
      </c>
      <c r="L454" s="84">
        <v>157.33470488537705</v>
      </c>
      <c r="M454" s="85">
        <v>6503782.7664626362</v>
      </c>
      <c r="N454" s="83" t="s">
        <v>459</v>
      </c>
      <c r="O454" s="25">
        <f t="shared" si="14"/>
        <v>6.5134339575374511E-3</v>
      </c>
    </row>
    <row r="455" spans="1:15">
      <c r="A455" s="84">
        <v>605.35656182682203</v>
      </c>
      <c r="B455" s="84">
        <v>606.60541451511494</v>
      </c>
      <c r="C455" s="84">
        <v>599.74663625877599</v>
      </c>
      <c r="D455" s="84">
        <v>600.97566588852453</v>
      </c>
      <c r="E455" s="85">
        <v>6945537.6773512438</v>
      </c>
      <c r="F455" s="83" t="s">
        <v>460</v>
      </c>
      <c r="G455" s="25">
        <f t="shared" si="13"/>
        <v>7.2896394762016481E-3</v>
      </c>
      <c r="I455" s="84">
        <v>155.63986119274318</v>
      </c>
      <c r="J455" s="84">
        <v>156.2212319942862</v>
      </c>
      <c r="K455" s="84">
        <v>153.81691884892189</v>
      </c>
      <c r="L455" s="84">
        <v>154.04355492409968</v>
      </c>
      <c r="M455" s="85">
        <v>5388171.0978363492</v>
      </c>
      <c r="N455" s="83" t="s">
        <v>460</v>
      </c>
      <c r="O455" s="25">
        <f t="shared" si="14"/>
        <v>1.0362694300517949E-2</v>
      </c>
    </row>
    <row r="456" spans="1:15">
      <c r="A456" s="84">
        <v>602.01637646210202</v>
      </c>
      <c r="B456" s="84">
        <v>609.36081965277708</v>
      </c>
      <c r="C456" s="84">
        <v>598.79512944864791</v>
      </c>
      <c r="D456" s="84">
        <v>607.68577120578107</v>
      </c>
      <c r="E456" s="85">
        <v>7600450.7408911688</v>
      </c>
      <c r="F456" s="83" t="s">
        <v>461</v>
      </c>
      <c r="G456" s="25">
        <f t="shared" si="13"/>
        <v>-9.3294841056253963E-3</v>
      </c>
      <c r="I456" s="84">
        <v>154.75302437683013</v>
      </c>
      <c r="J456" s="84">
        <v>156.0143034039065</v>
      </c>
      <c r="K456" s="84">
        <v>153.81691884892189</v>
      </c>
      <c r="L456" s="84">
        <v>155.46249382956057</v>
      </c>
      <c r="M456" s="85">
        <v>3958219.9757752293</v>
      </c>
      <c r="N456" s="83" t="s">
        <v>461</v>
      </c>
      <c r="O456" s="25">
        <f t="shared" si="14"/>
        <v>-4.5636052481460299E-3</v>
      </c>
    </row>
    <row r="457" spans="1:15">
      <c r="A457" s="84">
        <v>606.02063428805707</v>
      </c>
      <c r="B457" s="84">
        <v>610.75338951551657</v>
      </c>
      <c r="C457" s="84">
        <v>600.46026636637191</v>
      </c>
      <c r="D457" s="84">
        <v>607.64612508869243</v>
      </c>
      <c r="E457" s="85">
        <v>6532781.997812612</v>
      </c>
      <c r="F457" s="83" t="s">
        <v>462</v>
      </c>
      <c r="G457" s="25">
        <f t="shared" si="13"/>
        <v>-2.6750615753504681E-3</v>
      </c>
      <c r="I457" s="84">
        <v>154.70375566483494</v>
      </c>
      <c r="J457" s="84">
        <v>158.30529851168191</v>
      </c>
      <c r="K457" s="84">
        <v>153.3636466985663</v>
      </c>
      <c r="L457" s="84">
        <v>157.15733752219444</v>
      </c>
      <c r="M457" s="85">
        <v>5339413.9880455453</v>
      </c>
      <c r="N457" s="83" t="s">
        <v>462</v>
      </c>
      <c r="O457" s="25">
        <f t="shared" si="14"/>
        <v>-1.5612264091792616E-2</v>
      </c>
    </row>
    <row r="458" spans="1:15">
      <c r="A458" s="84">
        <v>603.36434444311658</v>
      </c>
      <c r="B458" s="84">
        <v>606.72435286638097</v>
      </c>
      <c r="C458" s="84">
        <v>595.19724432285159</v>
      </c>
      <c r="D458" s="84">
        <v>598.85459862428104</v>
      </c>
      <c r="E458" s="85">
        <v>7535686.7693209462</v>
      </c>
      <c r="F458" s="83" t="s">
        <v>463</v>
      </c>
      <c r="G458" s="25">
        <f t="shared" si="13"/>
        <v>7.5306190003308071E-3</v>
      </c>
      <c r="I458" s="84">
        <v>157.06865384060313</v>
      </c>
      <c r="J458" s="84">
        <v>158.23139544368917</v>
      </c>
      <c r="K458" s="84">
        <v>154.98951419440692</v>
      </c>
      <c r="L458" s="84">
        <v>155.88620475271904</v>
      </c>
      <c r="M458" s="85">
        <v>2892159.0240469058</v>
      </c>
      <c r="N458" s="83" t="s">
        <v>463</v>
      </c>
      <c r="O458" s="25">
        <f t="shared" si="14"/>
        <v>7.5853350189634128E-3</v>
      </c>
    </row>
    <row r="459" spans="1:15">
      <c r="A459" s="84">
        <v>604.2167359605229</v>
      </c>
      <c r="B459" s="84">
        <v>605.62139788897423</v>
      </c>
      <c r="C459" s="84">
        <v>601.20858682642051</v>
      </c>
      <c r="D459" s="84">
        <v>601.99655340355764</v>
      </c>
      <c r="E459" s="85">
        <v>7004428.6904302407</v>
      </c>
      <c r="F459" s="83" t="s">
        <v>464</v>
      </c>
      <c r="G459" s="25">
        <f t="shared" si="13"/>
        <v>3.6880320068493067E-3</v>
      </c>
      <c r="I459" s="84">
        <v>156.52669800865624</v>
      </c>
      <c r="J459" s="84">
        <v>157.21517899007677</v>
      </c>
      <c r="K459" s="84">
        <v>155.06834413359923</v>
      </c>
      <c r="L459" s="84">
        <v>156.12762144149536</v>
      </c>
      <c r="M459" s="85">
        <v>5359387.1101376442</v>
      </c>
      <c r="N459" s="83" t="s">
        <v>464</v>
      </c>
      <c r="O459" s="25">
        <f t="shared" si="14"/>
        <v>2.5560920193126169E-3</v>
      </c>
    </row>
    <row r="460" spans="1:15">
      <c r="A460" s="84">
        <v>595.19724432285159</v>
      </c>
      <c r="B460" s="84">
        <v>614.11835370341691</v>
      </c>
      <c r="C460" s="84">
        <v>594.91972150323102</v>
      </c>
      <c r="D460" s="84">
        <v>612.52259749059817</v>
      </c>
      <c r="E460" s="85">
        <v>13458268.279002609</v>
      </c>
      <c r="F460" s="83" t="s">
        <v>465</v>
      </c>
      <c r="G460" s="25">
        <f t="shared" si="13"/>
        <v>-2.8285247334099428E-2</v>
      </c>
      <c r="I460" s="84">
        <v>155.39351763276733</v>
      </c>
      <c r="J460" s="84">
        <v>160.08389901470755</v>
      </c>
      <c r="K460" s="84">
        <v>155.13239345919294</v>
      </c>
      <c r="L460" s="84">
        <v>159.64048060675103</v>
      </c>
      <c r="M460" s="85">
        <v>7481170.8095013993</v>
      </c>
      <c r="N460" s="83" t="s">
        <v>465</v>
      </c>
      <c r="O460" s="25">
        <f t="shared" si="14"/>
        <v>-2.660329609283385E-2</v>
      </c>
    </row>
    <row r="461" spans="1:15">
      <c r="A461" s="84">
        <v>611.64047138537535</v>
      </c>
      <c r="B461" s="84">
        <v>614.10844217414478</v>
      </c>
      <c r="C461" s="84">
        <v>609.83657305784106</v>
      </c>
      <c r="D461" s="84">
        <v>613.75162712034682</v>
      </c>
      <c r="E461" s="85">
        <v>5932230.8783485722</v>
      </c>
      <c r="F461" s="83" t="s">
        <v>466</v>
      </c>
      <c r="G461" s="25">
        <f t="shared" si="13"/>
        <v>-3.439755825783708E-3</v>
      </c>
      <c r="I461" s="84">
        <v>159.80799422753461</v>
      </c>
      <c r="J461" s="84">
        <v>166.67605267966135</v>
      </c>
      <c r="K461" s="84">
        <v>159.53208944036166</v>
      </c>
      <c r="L461" s="84">
        <v>166.5183928012768</v>
      </c>
      <c r="M461" s="85">
        <v>5807665.5226556137</v>
      </c>
      <c r="N461" s="83" t="s">
        <v>466</v>
      </c>
      <c r="O461" s="25">
        <f t="shared" si="14"/>
        <v>-4.0298242499556158E-2</v>
      </c>
    </row>
    <row r="462" spans="1:15">
      <c r="A462" s="84">
        <v>613.2956967738271</v>
      </c>
      <c r="B462" s="84">
        <v>613.42454665436526</v>
      </c>
      <c r="C462" s="84">
        <v>610.01914342703446</v>
      </c>
      <c r="D462" s="84">
        <v>610.7633010447887</v>
      </c>
      <c r="E462" s="85">
        <v>5045070.1023931336</v>
      </c>
      <c r="F462" s="83" t="s">
        <v>467</v>
      </c>
      <c r="G462" s="25">
        <f t="shared" si="13"/>
        <v>4.1462801132721161E-3</v>
      </c>
      <c r="I462" s="84">
        <v>166.10453562051737</v>
      </c>
      <c r="J462" s="84">
        <v>168.35118888749713</v>
      </c>
      <c r="K462" s="84">
        <v>165.96658322693091</v>
      </c>
      <c r="L462" s="84">
        <v>167.58259698037247</v>
      </c>
      <c r="M462" s="85">
        <v>4156404.5761958198</v>
      </c>
      <c r="N462" s="83" t="s">
        <v>467</v>
      </c>
      <c r="O462" s="25">
        <f t="shared" si="14"/>
        <v>-8.8198976891867842E-3</v>
      </c>
    </row>
    <row r="463" spans="1:15">
      <c r="A463" s="84">
        <v>609.75728082366379</v>
      </c>
      <c r="B463" s="84">
        <v>613.26526837896154</v>
      </c>
      <c r="C463" s="84">
        <v>608.38948978410485</v>
      </c>
      <c r="D463" s="84">
        <v>612.82985489803525</v>
      </c>
      <c r="E463" s="85">
        <v>7505913.3618177567</v>
      </c>
      <c r="F463" s="83" t="s">
        <v>468</v>
      </c>
      <c r="G463" s="25">
        <f t="shared" si="13"/>
        <v>-5.0137473718259162E-3</v>
      </c>
      <c r="I463" s="84">
        <v>166.79429758844978</v>
      </c>
      <c r="J463" s="84">
        <v>167.86835550994448</v>
      </c>
      <c r="K463" s="84">
        <v>166.35087918049322</v>
      </c>
      <c r="L463" s="84">
        <v>166.88298127004109</v>
      </c>
      <c r="M463" s="85">
        <v>5213804.859059047</v>
      </c>
      <c r="N463" s="83" t="s">
        <v>468</v>
      </c>
      <c r="O463" s="25">
        <f t="shared" si="14"/>
        <v>-5.3141237600373703E-4</v>
      </c>
    </row>
    <row r="464" spans="1:15">
      <c r="A464" s="84">
        <v>611.9378172635403</v>
      </c>
      <c r="B464" s="84">
        <v>612.81003183949099</v>
      </c>
      <c r="C464" s="84">
        <v>610.03480364328448</v>
      </c>
      <c r="D464" s="84">
        <v>611.99728643917342</v>
      </c>
      <c r="E464" s="85">
        <v>6011376.081723284</v>
      </c>
      <c r="F464" s="83" t="s">
        <v>469</v>
      </c>
      <c r="G464" s="25">
        <f t="shared" si="13"/>
        <v>-9.7172286464108915E-5</v>
      </c>
      <c r="I464" s="84">
        <v>166.33117169569516</v>
      </c>
      <c r="J464" s="84">
        <v>167.2672772236034</v>
      </c>
      <c r="K464" s="84">
        <v>164.55749806386902</v>
      </c>
      <c r="L464" s="84">
        <v>164.55749806386902</v>
      </c>
      <c r="M464" s="85">
        <v>3868432.7696385304</v>
      </c>
      <c r="N464" s="83" t="s">
        <v>469</v>
      </c>
      <c r="O464" s="25">
        <f t="shared" si="14"/>
        <v>1.0778443113772518E-2</v>
      </c>
    </row>
    <row r="465" spans="1:15">
      <c r="A465" s="84">
        <v>609.85639611638544</v>
      </c>
      <c r="B465" s="84">
        <v>612.94879324930127</v>
      </c>
      <c r="C465" s="84">
        <v>608.85334935404228</v>
      </c>
      <c r="D465" s="84">
        <v>610.50064551907633</v>
      </c>
      <c r="E465" s="85">
        <v>7251315.9197170287</v>
      </c>
      <c r="F465" s="83" t="s">
        <v>470</v>
      </c>
      <c r="G465" s="25">
        <f t="shared" si="13"/>
        <v>-1.0552804610765021E-3</v>
      </c>
      <c r="I465" s="84">
        <v>164.14364088310961</v>
      </c>
      <c r="J465" s="84">
        <v>164.81369536624391</v>
      </c>
      <c r="K465" s="84">
        <v>163.07450983281441</v>
      </c>
      <c r="L465" s="84">
        <v>164.37027695828738</v>
      </c>
      <c r="M465" s="85">
        <v>2716242.1053978121</v>
      </c>
      <c r="N465" s="83" t="s">
        <v>470</v>
      </c>
      <c r="O465" s="25">
        <f t="shared" si="14"/>
        <v>-1.3788142197709297E-3</v>
      </c>
    </row>
    <row r="466" spans="1:15">
      <c r="A466" s="84">
        <v>609.80683847002456</v>
      </c>
      <c r="B466" s="84">
        <v>611.02595657050108</v>
      </c>
      <c r="C466" s="84">
        <v>607.59656744233155</v>
      </c>
      <c r="D466" s="84">
        <v>610.95657586559582</v>
      </c>
      <c r="E466" s="85">
        <v>7099455.3986340854</v>
      </c>
      <c r="F466" s="83" t="s">
        <v>471</v>
      </c>
      <c r="G466" s="25">
        <f t="shared" si="13"/>
        <v>-1.8818643435375426E-3</v>
      </c>
      <c r="I466" s="84">
        <v>164.19290959510477</v>
      </c>
      <c r="J466" s="84">
        <v>165.7892158637483</v>
      </c>
      <c r="K466" s="84">
        <v>163.46373265757623</v>
      </c>
      <c r="L466" s="84">
        <v>164.69545045745548</v>
      </c>
      <c r="M466" s="85">
        <v>3541485.9235026091</v>
      </c>
      <c r="N466" s="83" t="s">
        <v>471</v>
      </c>
      <c r="O466" s="25">
        <f t="shared" si="14"/>
        <v>-3.051334210841028E-3</v>
      </c>
    </row>
    <row r="467" spans="1:15">
      <c r="A467" s="84">
        <v>609.13285447951739</v>
      </c>
      <c r="B467" s="84">
        <v>609.94559987983496</v>
      </c>
      <c r="C467" s="84">
        <v>604.17708984343426</v>
      </c>
      <c r="D467" s="84">
        <v>604.30593972397241</v>
      </c>
      <c r="E467" s="85">
        <v>9840084.9477271978</v>
      </c>
      <c r="F467" s="83" t="s">
        <v>472</v>
      </c>
      <c r="G467" s="25">
        <f t="shared" si="13"/>
        <v>7.9875348532065793E-3</v>
      </c>
      <c r="I467" s="84">
        <v>164.75457291184969</v>
      </c>
      <c r="J467" s="84">
        <v>165.26696751659946</v>
      </c>
      <c r="K467" s="84">
        <v>162.66557952325451</v>
      </c>
      <c r="L467" s="84">
        <v>163.44402517277817</v>
      </c>
      <c r="M467" s="85">
        <v>4089704.0300089796</v>
      </c>
      <c r="N467" s="83" t="s">
        <v>472</v>
      </c>
      <c r="O467" s="25">
        <f t="shared" si="14"/>
        <v>8.0183276059564434E-3</v>
      </c>
    </row>
    <row r="468" spans="1:15">
      <c r="A468" s="84">
        <v>606.9622295689129</v>
      </c>
      <c r="B468" s="84">
        <v>607.43798297397689</v>
      </c>
      <c r="C468" s="84">
        <v>602.8885910380526</v>
      </c>
      <c r="D468" s="84">
        <v>604.03832843362386</v>
      </c>
      <c r="E468" s="85">
        <v>6539276.4547457881</v>
      </c>
      <c r="F468" s="83" t="s">
        <v>473</v>
      </c>
      <c r="G468" s="25">
        <f t="shared" si="13"/>
        <v>4.8405887468618847E-3</v>
      </c>
      <c r="I468" s="84">
        <v>164.88267156303715</v>
      </c>
      <c r="J468" s="84">
        <v>165.05018518382073</v>
      </c>
      <c r="K468" s="84">
        <v>161.47790795189889</v>
      </c>
      <c r="L468" s="84">
        <v>161.88713387373079</v>
      </c>
      <c r="M468" s="85">
        <v>4943749.0881408975</v>
      </c>
      <c r="N468" s="83" t="s">
        <v>473</v>
      </c>
      <c r="O468" s="25">
        <f t="shared" si="14"/>
        <v>1.8503865116562102E-2</v>
      </c>
    </row>
    <row r="469" spans="1:15">
      <c r="A469" s="84">
        <v>604.73213548267552</v>
      </c>
      <c r="B469" s="84">
        <v>606.26842251986125</v>
      </c>
      <c r="C469" s="84">
        <v>603.09673315276814</v>
      </c>
      <c r="D469" s="84">
        <v>605.38629641463842</v>
      </c>
      <c r="E469" s="85">
        <v>5709345.9996040035</v>
      </c>
      <c r="F469" s="83" t="s">
        <v>474</v>
      </c>
      <c r="G469" s="25">
        <f t="shared" si="13"/>
        <v>-1.0805677892564702E-3</v>
      </c>
      <c r="I469" s="84">
        <v>161.23678687539453</v>
      </c>
      <c r="J469" s="84">
        <v>165.81877709094539</v>
      </c>
      <c r="K469" s="84">
        <v>160.40907251387569</v>
      </c>
      <c r="L469" s="84">
        <v>164.98120898702749</v>
      </c>
      <c r="M469" s="85">
        <v>6308376.8057599543</v>
      </c>
      <c r="N469" s="83" t="s">
        <v>474</v>
      </c>
      <c r="O469" s="25">
        <f t="shared" si="14"/>
        <v>-2.2696052081466966E-2</v>
      </c>
    </row>
    <row r="470" spans="1:15">
      <c r="A470" s="84">
        <v>603.03726399323136</v>
      </c>
      <c r="B470" s="84">
        <v>603.5709602738076</v>
      </c>
      <c r="C470" s="84">
        <v>599.48423042161801</v>
      </c>
      <c r="D470" s="84">
        <v>600.93212866429212</v>
      </c>
      <c r="E470" s="85">
        <v>6514683.512964623</v>
      </c>
      <c r="F470" s="83" t="s">
        <v>475</v>
      </c>
      <c r="G470" s="25">
        <f t="shared" si="13"/>
        <v>3.5031166225349963E-3</v>
      </c>
      <c r="I470" s="84">
        <v>160.96088208822158</v>
      </c>
      <c r="J470" s="84">
        <v>162.9316305680284</v>
      </c>
      <c r="K470" s="84">
        <v>159.32516084998193</v>
      </c>
      <c r="L470" s="84">
        <v>159.630626864352</v>
      </c>
      <c r="M470" s="85">
        <v>4020857.0911985533</v>
      </c>
      <c r="N470" s="83" t="s">
        <v>475</v>
      </c>
      <c r="O470" s="25">
        <f t="shared" si="14"/>
        <v>8.3333333333333037E-3</v>
      </c>
    </row>
    <row r="471" spans="1:15">
      <c r="A471" s="84">
        <v>599.50893858275583</v>
      </c>
      <c r="B471" s="84">
        <v>600.83329601974094</v>
      </c>
      <c r="C471" s="84">
        <v>596.30676089929887</v>
      </c>
      <c r="D471" s="84">
        <v>599.53858837612108</v>
      </c>
      <c r="E471" s="85">
        <v>7009572.6280149827</v>
      </c>
      <c r="F471" s="83" t="s">
        <v>476</v>
      </c>
      <c r="G471" s="25">
        <f t="shared" si="13"/>
        <v>-4.9454353631461778E-5</v>
      </c>
      <c r="I471" s="84">
        <v>158.16241924689589</v>
      </c>
      <c r="J471" s="84">
        <v>159.92623913632303</v>
      </c>
      <c r="K471" s="84">
        <v>157.35175185972736</v>
      </c>
      <c r="L471" s="84">
        <v>159.76857925793846</v>
      </c>
      <c r="M471" s="85">
        <v>3968980.3544929023</v>
      </c>
      <c r="N471" s="83" t="s">
        <v>476</v>
      </c>
      <c r="O471" s="25">
        <f t="shared" si="14"/>
        <v>-1.0053040582212902E-2</v>
      </c>
    </row>
    <row r="472" spans="1:15">
      <c r="A472" s="84">
        <v>602.38496853919389</v>
      </c>
      <c r="B472" s="84">
        <v>605.58714622265086</v>
      </c>
      <c r="C472" s="84">
        <v>601.09026089557403</v>
      </c>
      <c r="D472" s="84">
        <v>605.47843031364459</v>
      </c>
      <c r="E472" s="85">
        <v>24044766.896532532</v>
      </c>
      <c r="F472" s="83" t="s">
        <v>477</v>
      </c>
      <c r="G472" s="25">
        <f t="shared" si="13"/>
        <v>-5.1091196970439734E-3</v>
      </c>
      <c r="I472" s="84">
        <v>159.01969483561186</v>
      </c>
      <c r="J472" s="84">
        <v>160.64398573266865</v>
      </c>
      <c r="K472" s="84">
        <v>158.34964035247754</v>
      </c>
      <c r="L472" s="84">
        <v>158.79305876043409</v>
      </c>
      <c r="M472" s="85">
        <v>4254211.0705176601</v>
      </c>
      <c r="N472" s="83" t="s">
        <v>477</v>
      </c>
      <c r="O472" s="25">
        <f t="shared" si="14"/>
        <v>1.4272417002791915E-3</v>
      </c>
    </row>
    <row r="473" spans="1:15">
      <c r="A473" s="84">
        <v>604.40115448803715</v>
      </c>
      <c r="B473" s="84">
        <v>608.07772886533951</v>
      </c>
      <c r="C473" s="84">
        <v>603.21615107986906</v>
      </c>
      <c r="D473" s="84">
        <v>607.52920768808076</v>
      </c>
      <c r="E473" s="85">
        <v>10855272.616375949</v>
      </c>
      <c r="F473" s="83" t="s">
        <v>478</v>
      </c>
      <c r="G473" s="25">
        <f t="shared" si="13"/>
        <v>-5.148811218389393E-3</v>
      </c>
      <c r="I473" s="84">
        <v>158.19198047409301</v>
      </c>
      <c r="J473" s="84">
        <v>159.03447544921045</v>
      </c>
      <c r="K473" s="84">
        <v>156.62523543264658</v>
      </c>
      <c r="L473" s="84">
        <v>157.4086079533698</v>
      </c>
      <c r="M473" s="85">
        <v>3302471.1507771853</v>
      </c>
      <c r="N473" s="83" t="s">
        <v>478</v>
      </c>
      <c r="O473" s="25">
        <f t="shared" si="14"/>
        <v>4.9766815862781755E-3</v>
      </c>
    </row>
    <row r="474" spans="1:15">
      <c r="A474" s="84">
        <v>607.58356564258384</v>
      </c>
      <c r="B474" s="84">
        <v>608.03819580751906</v>
      </c>
      <c r="C474" s="84">
        <v>603.38317824916044</v>
      </c>
      <c r="D474" s="84">
        <v>603.39306151361552</v>
      </c>
      <c r="E474" s="85">
        <v>11688027.829734767</v>
      </c>
      <c r="F474" s="83" t="s">
        <v>479</v>
      </c>
      <c r="G474" s="25">
        <f t="shared" si="13"/>
        <v>6.9448994299941003E-3</v>
      </c>
      <c r="I474" s="84">
        <v>157.09821506780023</v>
      </c>
      <c r="J474" s="84">
        <v>157.46280353656451</v>
      </c>
      <c r="K474" s="84">
        <v>155.36395640557024</v>
      </c>
      <c r="L474" s="84">
        <v>155.75810610153158</v>
      </c>
      <c r="M474" s="85">
        <v>3342434.6472898</v>
      </c>
      <c r="N474" s="83" t="s">
        <v>479</v>
      </c>
      <c r="O474" s="25">
        <f t="shared" si="14"/>
        <v>8.6037831340546322E-3</v>
      </c>
    </row>
    <row r="475" spans="1:15">
      <c r="A475" s="84">
        <v>604.63835283495985</v>
      </c>
      <c r="B475" s="84">
        <v>605.51796337146504</v>
      </c>
      <c r="C475" s="84">
        <v>601.7425563496115</v>
      </c>
      <c r="D475" s="84">
        <v>603.4918941581667</v>
      </c>
      <c r="E475" s="85">
        <v>6137299.0954030668</v>
      </c>
      <c r="F475" s="83" t="s">
        <v>480</v>
      </c>
      <c r="G475" s="25">
        <f t="shared" si="13"/>
        <v>1.899708493007024E-3</v>
      </c>
      <c r="I475" s="84">
        <v>155.92561972231519</v>
      </c>
      <c r="J475" s="84">
        <v>156.37889187267072</v>
      </c>
      <c r="K475" s="84">
        <v>154.3982896504649</v>
      </c>
      <c r="L475" s="84">
        <v>156.37889187267072</v>
      </c>
      <c r="M475" s="85">
        <v>7188823.0005834</v>
      </c>
      <c r="N475" s="83" t="s">
        <v>480</v>
      </c>
      <c r="O475" s="25">
        <f t="shared" si="14"/>
        <v>-2.8985507246374054E-3</v>
      </c>
    </row>
    <row r="476" spans="1:15">
      <c r="A476" s="84">
        <v>601.8315057297076</v>
      </c>
      <c r="B476" s="84">
        <v>604.17383940556954</v>
      </c>
      <c r="C476" s="84">
        <v>599.98333527660134</v>
      </c>
      <c r="D476" s="84">
        <v>601.44605841595808</v>
      </c>
      <c r="E476" s="85">
        <v>11159501.043496931</v>
      </c>
      <c r="F476" s="83" t="s">
        <v>481</v>
      </c>
      <c r="G476" s="25">
        <f t="shared" si="13"/>
        <v>6.4086763618442788E-4</v>
      </c>
      <c r="I476" s="84">
        <v>155.87635101032001</v>
      </c>
      <c r="J476" s="84">
        <v>155.97488843431034</v>
      </c>
      <c r="K476" s="84">
        <v>154.21106854488326</v>
      </c>
      <c r="L476" s="84">
        <v>155.00922167920501</v>
      </c>
      <c r="M476" s="85">
        <v>3682479.0552224102</v>
      </c>
      <c r="N476" s="83" t="s">
        <v>481</v>
      </c>
      <c r="O476" s="25">
        <f t="shared" si="14"/>
        <v>5.5940499650370956E-3</v>
      </c>
    </row>
    <row r="477" spans="1:15">
      <c r="A477" s="84">
        <v>599.01477536000016</v>
      </c>
      <c r="B477" s="84">
        <v>601.22862659794566</v>
      </c>
      <c r="C477" s="84">
        <v>594.5277732973783</v>
      </c>
      <c r="D477" s="84">
        <v>599.75602019413361</v>
      </c>
      <c r="E477" s="85">
        <v>11750801.62303127</v>
      </c>
      <c r="F477" s="83" t="s">
        <v>482</v>
      </c>
      <c r="G477" s="25">
        <f t="shared" si="13"/>
        <v>-1.2359106189439029E-3</v>
      </c>
      <c r="I477" s="84">
        <v>155.99459591910841</v>
      </c>
      <c r="J477" s="84">
        <v>156.98972536398685</v>
      </c>
      <c r="K477" s="84">
        <v>155.31468769357508</v>
      </c>
      <c r="L477" s="84">
        <v>156.25079322148329</v>
      </c>
      <c r="M477" s="85">
        <v>4058737.1153441602</v>
      </c>
      <c r="N477" s="83" t="s">
        <v>482</v>
      </c>
      <c r="O477" s="25">
        <f t="shared" si="14"/>
        <v>-1.6396544113009837E-3</v>
      </c>
    </row>
    <row r="478" spans="1:15">
      <c r="A478" s="84">
        <v>599.70660387185796</v>
      </c>
      <c r="B478" s="84">
        <v>601.31757597804153</v>
      </c>
      <c r="C478" s="84">
        <v>598.98601506043565</v>
      </c>
      <c r="D478" s="84">
        <v>601.06061110220867</v>
      </c>
      <c r="E478" s="85">
        <v>6442357.2079015095</v>
      </c>
      <c r="F478" s="83" t="s">
        <v>483</v>
      </c>
      <c r="G478" s="25">
        <f t="shared" si="13"/>
        <v>-2.2526966587741448E-3</v>
      </c>
      <c r="I478" s="84">
        <v>156.26064696388235</v>
      </c>
      <c r="J478" s="84">
        <v>157.61060967255</v>
      </c>
      <c r="K478" s="84">
        <v>155.33439517837311</v>
      </c>
      <c r="L478" s="84">
        <v>157.51207224855966</v>
      </c>
      <c r="M478" s="85">
        <v>6621822.1826456711</v>
      </c>
      <c r="N478" s="83" t="s">
        <v>483</v>
      </c>
      <c r="O478" s="25">
        <f t="shared" si="14"/>
        <v>-7.9449483891146366E-3</v>
      </c>
    </row>
    <row r="479" spans="1:15">
      <c r="A479" s="84">
        <v>600.49726502826718</v>
      </c>
      <c r="B479" s="84">
        <v>600.67516378845914</v>
      </c>
      <c r="C479" s="84">
        <v>599.12349126900642</v>
      </c>
      <c r="D479" s="84">
        <v>599.39033940929448</v>
      </c>
      <c r="E479" s="85">
        <v>7535095.3460995434</v>
      </c>
      <c r="F479" s="83" t="s">
        <v>484</v>
      </c>
      <c r="G479" s="25">
        <f t="shared" si="13"/>
        <v>1.8467525186736111E-3</v>
      </c>
      <c r="I479" s="84">
        <v>156.05371837350262</v>
      </c>
      <c r="J479" s="84">
        <v>156.16210953989199</v>
      </c>
      <c r="K479" s="84">
        <v>153.43262289535957</v>
      </c>
      <c r="L479" s="84">
        <v>153.64447835693881</v>
      </c>
      <c r="M479" s="85">
        <v>3947901.0536964498</v>
      </c>
      <c r="N479" s="83" t="s">
        <v>484</v>
      </c>
      <c r="O479" s="25">
        <f t="shared" si="14"/>
        <v>1.5680615680615517E-2</v>
      </c>
    </row>
    <row r="480" spans="1:15">
      <c r="A480" s="84">
        <v>597.38403672490631</v>
      </c>
      <c r="B480" s="84">
        <v>598.90605945099378</v>
      </c>
      <c r="C480" s="84">
        <v>596.89975676660572</v>
      </c>
      <c r="D480" s="84">
        <v>597.53228569173302</v>
      </c>
      <c r="E480" s="85">
        <v>8204467.2960302038</v>
      </c>
      <c r="F480" s="83" t="s">
        <v>485</v>
      </c>
      <c r="G480" s="25">
        <f t="shared" si="13"/>
        <v>-2.4810201955050015E-4</v>
      </c>
      <c r="I480" s="84">
        <v>153.57057528894603</v>
      </c>
      <c r="J480" s="84">
        <v>155.82708229832483</v>
      </c>
      <c r="K480" s="84">
        <v>153.54101406174891</v>
      </c>
      <c r="L480" s="84">
        <v>155.44278634476251</v>
      </c>
      <c r="M480" s="85">
        <v>3238837.4596770946</v>
      </c>
      <c r="N480" s="83" t="s">
        <v>485</v>
      </c>
      <c r="O480" s="25">
        <f t="shared" si="14"/>
        <v>-1.2044374009508751E-2</v>
      </c>
    </row>
    <row r="481" spans="1:15">
      <c r="A481" s="84">
        <v>597.51251916282285</v>
      </c>
      <c r="B481" s="84">
        <v>598.16481461686033</v>
      </c>
      <c r="C481" s="84">
        <v>593.87547784334083</v>
      </c>
      <c r="D481" s="84">
        <v>594.40917412391696</v>
      </c>
      <c r="E481" s="85">
        <v>9194134.2268729694</v>
      </c>
      <c r="F481" s="83" t="s">
        <v>486</v>
      </c>
      <c r="G481" s="25">
        <f t="shared" si="13"/>
        <v>5.2208902116623879E-3</v>
      </c>
      <c r="I481" s="84">
        <v>155.34424892077217</v>
      </c>
      <c r="J481" s="84">
        <v>155.6989836471374</v>
      </c>
      <c r="K481" s="84">
        <v>152.10236767148996</v>
      </c>
      <c r="L481" s="84">
        <v>152.76256841222525</v>
      </c>
      <c r="M481" s="85">
        <v>4348103.3159746444</v>
      </c>
      <c r="N481" s="83" t="s">
        <v>486</v>
      </c>
      <c r="O481" s="25">
        <f t="shared" si="14"/>
        <v>1.6899954847448884E-2</v>
      </c>
    </row>
    <row r="482" spans="1:15">
      <c r="A482" s="84">
        <v>592.67960284427204</v>
      </c>
      <c r="B482" s="84">
        <v>594.72543858648066</v>
      </c>
      <c r="C482" s="84">
        <v>591.17734664709474</v>
      </c>
      <c r="D482" s="84">
        <v>593.90512763670608</v>
      </c>
      <c r="E482" s="85">
        <v>21796803.169476327</v>
      </c>
      <c r="F482" s="83" t="s">
        <v>487</v>
      </c>
      <c r="G482" s="25">
        <f t="shared" ref="G482:G545" si="15">A482/D482-1</f>
        <v>-2.0635026293015502E-3</v>
      </c>
      <c r="I482" s="84">
        <v>152.73300718502813</v>
      </c>
      <c r="J482" s="84">
        <v>152.77242215462425</v>
      </c>
      <c r="K482" s="84">
        <v>149.43200348135173</v>
      </c>
      <c r="L482" s="84">
        <v>149.77688446531792</v>
      </c>
      <c r="M482" s="85">
        <v>4584532.2691232851</v>
      </c>
      <c r="N482" s="83" t="s">
        <v>487</v>
      </c>
      <c r="O482" s="25">
        <f t="shared" ref="O482:O545" si="16">I482/L482-1</f>
        <v>1.9736842105263053E-2</v>
      </c>
    </row>
    <row r="483" spans="1:15">
      <c r="A483" s="84">
        <v>590.96979809353741</v>
      </c>
      <c r="B483" s="84">
        <v>591.38489520065207</v>
      </c>
      <c r="C483" s="84">
        <v>588.06411834373387</v>
      </c>
      <c r="D483" s="84">
        <v>589.64544065655207</v>
      </c>
      <c r="E483" s="85">
        <v>7872008.3180353548</v>
      </c>
      <c r="F483" s="83" t="s">
        <v>488</v>
      </c>
      <c r="G483" s="25">
        <f t="shared" si="15"/>
        <v>2.2460233653476269E-3</v>
      </c>
      <c r="I483" s="84">
        <v>149.53054090534206</v>
      </c>
      <c r="J483" s="84">
        <v>151.4520206731537</v>
      </c>
      <c r="K483" s="84">
        <v>148.40997331972389</v>
      </c>
      <c r="L483" s="84">
        <v>151.39289821875948</v>
      </c>
      <c r="M483" s="85">
        <v>5538597.1938285986</v>
      </c>
      <c r="N483" s="83" t="s">
        <v>488</v>
      </c>
      <c r="O483" s="25">
        <f t="shared" si="16"/>
        <v>-1.230148398854447E-2</v>
      </c>
    </row>
    <row r="484" spans="1:15">
      <c r="A484" s="84">
        <v>589.5367247475458</v>
      </c>
      <c r="B484" s="84">
        <v>590.43610181296117</v>
      </c>
      <c r="C484" s="84">
        <v>588.08388487264403</v>
      </c>
      <c r="D484" s="84">
        <v>589.34894272289864</v>
      </c>
      <c r="E484" s="85">
        <v>9559890.9074128233</v>
      </c>
      <c r="F484" s="83" t="s">
        <v>489</v>
      </c>
      <c r="G484" s="25">
        <f t="shared" si="15"/>
        <v>3.1862621790668122E-4</v>
      </c>
      <c r="I484" s="84">
        <v>151.96441527790347</v>
      </c>
      <c r="J484" s="84">
        <v>154.70375566483494</v>
      </c>
      <c r="K484" s="84">
        <v>151.40935396856588</v>
      </c>
      <c r="L484" s="84">
        <v>154.62492572564267</v>
      </c>
      <c r="M484" s="85">
        <v>5598690.0982319089</v>
      </c>
      <c r="N484" s="83" t="s">
        <v>489</v>
      </c>
      <c r="O484" s="25">
        <f t="shared" si="16"/>
        <v>-1.7206219729798633E-2</v>
      </c>
    </row>
    <row r="485" spans="1:15">
      <c r="A485" s="84">
        <v>588.01470202145833</v>
      </c>
      <c r="B485" s="84">
        <v>592.60053672863114</v>
      </c>
      <c r="C485" s="84">
        <v>584.54567619771331</v>
      </c>
      <c r="D485" s="84">
        <v>591.91859148122819</v>
      </c>
      <c r="E485" s="85">
        <v>6700346.8642119467</v>
      </c>
      <c r="F485" s="83" t="s">
        <v>490</v>
      </c>
      <c r="G485" s="25">
        <f t="shared" si="15"/>
        <v>-6.5953148219262125E-3</v>
      </c>
      <c r="I485" s="84">
        <v>155.21615026958474</v>
      </c>
      <c r="J485" s="84">
        <v>156.67450414464176</v>
      </c>
      <c r="K485" s="84">
        <v>153.28481675937405</v>
      </c>
      <c r="L485" s="84">
        <v>156.28035444868038</v>
      </c>
      <c r="M485" s="85">
        <v>4104562.3441470019</v>
      </c>
      <c r="N485" s="83" t="s">
        <v>490</v>
      </c>
      <c r="O485" s="25">
        <f t="shared" si="16"/>
        <v>-6.8095838587639568E-3</v>
      </c>
    </row>
    <row r="486" spans="1:15">
      <c r="A486" s="84">
        <v>589.6256741276419</v>
      </c>
      <c r="B486" s="84">
        <v>589.80357288783387</v>
      </c>
      <c r="C486" s="84">
        <v>584.69392516454002</v>
      </c>
      <c r="D486" s="84">
        <v>585.55376917213493</v>
      </c>
      <c r="E486" s="85">
        <v>8107115.8587222453</v>
      </c>
      <c r="F486" s="83" t="s">
        <v>491</v>
      </c>
      <c r="G486" s="25">
        <f t="shared" si="15"/>
        <v>6.9539385960470934E-3</v>
      </c>
      <c r="I486" s="84">
        <v>156.35918438787269</v>
      </c>
      <c r="J486" s="84">
        <v>156.84201776542534</v>
      </c>
      <c r="K486" s="84">
        <v>155.24571149678184</v>
      </c>
      <c r="L486" s="84">
        <v>155.91576597991613</v>
      </c>
      <c r="M486" s="85">
        <v>3253997.1821409827</v>
      </c>
      <c r="N486" s="83" t="s">
        <v>491</v>
      </c>
      <c r="O486" s="25">
        <f t="shared" si="16"/>
        <v>2.8439613221262761E-3</v>
      </c>
    </row>
    <row r="487" spans="1:15">
      <c r="A487" s="84">
        <v>584.81252433800137</v>
      </c>
      <c r="B487" s="84">
        <v>585.31657082521224</v>
      </c>
      <c r="C487" s="84">
        <v>581.90684458819783</v>
      </c>
      <c r="D487" s="84">
        <v>583.91314727258589</v>
      </c>
      <c r="E487" s="85">
        <v>6748655.8012204012</v>
      </c>
      <c r="F487" s="83" t="s">
        <v>492</v>
      </c>
      <c r="G487" s="25">
        <f t="shared" si="15"/>
        <v>1.5402582894672445E-3</v>
      </c>
      <c r="I487" s="84">
        <v>155.79752107112776</v>
      </c>
      <c r="J487" s="84">
        <v>156.02415714630553</v>
      </c>
      <c r="K487" s="84">
        <v>154.16179983288808</v>
      </c>
      <c r="L487" s="84">
        <v>155.63986119274318</v>
      </c>
      <c r="M487" s="85">
        <v>2778266.2557409257</v>
      </c>
      <c r="N487" s="83" t="s">
        <v>492</v>
      </c>
      <c r="O487" s="25">
        <f t="shared" si="16"/>
        <v>1.0129787907566801E-3</v>
      </c>
    </row>
    <row r="488" spans="1:15">
      <c r="A488" s="84">
        <v>581.83766173701213</v>
      </c>
      <c r="B488" s="84">
        <v>581.926611117108</v>
      </c>
      <c r="C488" s="84">
        <v>576.8564964516346</v>
      </c>
      <c r="D488" s="84">
        <v>579.21859665640682</v>
      </c>
      <c r="E488" s="85">
        <v>11194339.734858856</v>
      </c>
      <c r="F488" s="83" t="s">
        <v>493</v>
      </c>
      <c r="G488" s="25">
        <f t="shared" si="15"/>
        <v>4.5217213254618027E-3</v>
      </c>
      <c r="I488" s="84">
        <v>155.6989836471374</v>
      </c>
      <c r="J488" s="84">
        <v>156.30991567587751</v>
      </c>
      <c r="K488" s="84">
        <v>154.0829698936958</v>
      </c>
      <c r="L488" s="84">
        <v>155.88620475271904</v>
      </c>
      <c r="M488" s="85">
        <v>3231077.9712610496</v>
      </c>
      <c r="N488" s="83" t="s">
        <v>493</v>
      </c>
      <c r="O488" s="25">
        <f t="shared" si="16"/>
        <v>-1.2010113780025478E-3</v>
      </c>
    </row>
    <row r="489" spans="1:15">
      <c r="A489" s="84">
        <v>586.15664830389687</v>
      </c>
      <c r="B489" s="84">
        <v>588.59781462430999</v>
      </c>
      <c r="C489" s="84">
        <v>584.3430692763834</v>
      </c>
      <c r="D489" s="84">
        <v>588.29143342620148</v>
      </c>
      <c r="E489" s="85">
        <v>7569104.3520840062</v>
      </c>
      <c r="F489" s="83" t="s">
        <v>494</v>
      </c>
      <c r="G489" s="25">
        <f t="shared" si="15"/>
        <v>-3.6287883878771687E-3</v>
      </c>
      <c r="I489" s="84">
        <v>156.28035444868038</v>
      </c>
      <c r="J489" s="84">
        <v>158.73886317723941</v>
      </c>
      <c r="K489" s="84">
        <v>156.11284082789683</v>
      </c>
      <c r="L489" s="84">
        <v>158.69944820764329</v>
      </c>
      <c r="M489" s="85">
        <v>3821406.9817464682</v>
      </c>
      <c r="N489" s="83" t="s">
        <v>494</v>
      </c>
      <c r="O489" s="25">
        <f t="shared" si="16"/>
        <v>-1.5243239886995386E-2</v>
      </c>
    </row>
    <row r="490" spans="1:15">
      <c r="A490" s="84">
        <v>589.55649127645597</v>
      </c>
      <c r="B490" s="84">
        <v>590.10007082148741</v>
      </c>
      <c r="C490" s="84">
        <v>586.34443032854404</v>
      </c>
      <c r="D490" s="84">
        <v>588.1234179304646</v>
      </c>
      <c r="E490" s="85">
        <v>5097488.8134185066</v>
      </c>
      <c r="F490" s="83" t="s">
        <v>495</v>
      </c>
      <c r="G490" s="25">
        <f t="shared" si="15"/>
        <v>2.4366881207249502E-3</v>
      </c>
      <c r="I490" s="84">
        <v>158.31022538288141</v>
      </c>
      <c r="J490" s="84">
        <v>158.90144992682346</v>
      </c>
      <c r="K490" s="84">
        <v>156.92094624204162</v>
      </c>
      <c r="L490" s="84">
        <v>157.8076845205307</v>
      </c>
      <c r="M490" s="85">
        <v>3158098.592373441</v>
      </c>
      <c r="N490" s="83" t="s">
        <v>495</v>
      </c>
      <c r="O490" s="25">
        <f t="shared" si="16"/>
        <v>3.1845145176394585E-3</v>
      </c>
    </row>
    <row r="491" spans="1:15">
      <c r="A491" s="84">
        <v>587.4810057408821</v>
      </c>
      <c r="B491" s="84">
        <v>588.1926007816503</v>
      </c>
      <c r="C491" s="84">
        <v>585.52411937876957</v>
      </c>
      <c r="D491" s="84">
        <v>585.60318549441047</v>
      </c>
      <c r="E491" s="85">
        <v>6161490.4950247062</v>
      </c>
      <c r="F491" s="83" t="s">
        <v>496</v>
      </c>
      <c r="G491" s="25">
        <f t="shared" si="15"/>
        <v>3.20664281374472E-3</v>
      </c>
      <c r="I491" s="84">
        <v>157.50221850616063</v>
      </c>
      <c r="J491" s="84">
        <v>157.86680697492488</v>
      </c>
      <c r="K491" s="84">
        <v>156.67450414464176</v>
      </c>
      <c r="L491" s="84">
        <v>157.63031715734806</v>
      </c>
      <c r="M491" s="85">
        <v>3027370.5960614737</v>
      </c>
      <c r="N491" s="83" t="s">
        <v>496</v>
      </c>
      <c r="O491" s="25">
        <f t="shared" si="16"/>
        <v>-8.126523723197554E-4</v>
      </c>
    </row>
    <row r="492" spans="1:15">
      <c r="A492" s="84">
        <v>586.13688177498659</v>
      </c>
      <c r="B492" s="84">
        <v>586.50256255982583</v>
      </c>
      <c r="C492" s="84">
        <v>582.90999593039191</v>
      </c>
      <c r="D492" s="84">
        <v>583.48816690101603</v>
      </c>
      <c r="E492" s="85">
        <v>4802918.1264534742</v>
      </c>
      <c r="F492" s="83" t="s">
        <v>497</v>
      </c>
      <c r="G492" s="25">
        <f t="shared" si="15"/>
        <v>4.5394491683323768E-3</v>
      </c>
      <c r="I492" s="84">
        <v>157.23616746138671</v>
      </c>
      <c r="J492" s="84">
        <v>157.36426611257414</v>
      </c>
      <c r="K492" s="84">
        <v>154.08789676489533</v>
      </c>
      <c r="L492" s="84">
        <v>154.46233897605862</v>
      </c>
      <c r="M492" s="85">
        <v>5165990.5382740637</v>
      </c>
      <c r="N492" s="83" t="s">
        <v>497</v>
      </c>
      <c r="O492" s="25">
        <f t="shared" si="16"/>
        <v>1.7957959873688312E-2</v>
      </c>
    </row>
    <row r="493" spans="1:15">
      <c r="A493" s="84">
        <v>583.80443136357974</v>
      </c>
      <c r="B493" s="84">
        <v>586.30479843807905</v>
      </c>
      <c r="C493" s="84">
        <v>583.65618239675302</v>
      </c>
      <c r="D493" s="84">
        <v>585.13867206502005</v>
      </c>
      <c r="E493" s="85">
        <v>6559608.9525313303</v>
      </c>
      <c r="F493" s="83" t="s">
        <v>498</v>
      </c>
      <c r="G493" s="25">
        <f t="shared" si="15"/>
        <v>-2.2802128198630145E-3</v>
      </c>
      <c r="I493" s="84">
        <v>153.98443246970547</v>
      </c>
      <c r="J493" s="84">
        <v>155.33439517837311</v>
      </c>
      <c r="K493" s="84">
        <v>153.71838142493155</v>
      </c>
      <c r="L493" s="84">
        <v>154.33916719607069</v>
      </c>
      <c r="M493" s="85">
        <v>2467150.9580342881</v>
      </c>
      <c r="N493" s="83" t="s">
        <v>498</v>
      </c>
      <c r="O493" s="25">
        <f t="shared" si="16"/>
        <v>-2.2984102662324535E-3</v>
      </c>
    </row>
    <row r="494" spans="1:15">
      <c r="A494" s="84">
        <v>586.28513074181342</v>
      </c>
      <c r="B494" s="84">
        <v>587.38217309633103</v>
      </c>
      <c r="C494" s="84">
        <v>579.0011648383944</v>
      </c>
      <c r="D494" s="84">
        <v>579.42614520996426</v>
      </c>
      <c r="E494" s="85">
        <v>6443763.6257974515</v>
      </c>
      <c r="F494" s="83" t="s">
        <v>499</v>
      </c>
      <c r="G494" s="25">
        <f t="shared" si="15"/>
        <v>1.1837549252051272E-2</v>
      </c>
      <c r="I494" s="84">
        <v>153.95487124250837</v>
      </c>
      <c r="J494" s="84">
        <v>155.63434309699974</v>
      </c>
      <c r="K494" s="84">
        <v>153.92531001531125</v>
      </c>
      <c r="L494" s="84">
        <v>154.75302437683013</v>
      </c>
      <c r="M494" s="85">
        <v>4303799.3366010012</v>
      </c>
      <c r="N494" s="83" t="s">
        <v>499</v>
      </c>
      <c r="O494" s="25">
        <f t="shared" si="16"/>
        <v>-5.1575931232090699E-3</v>
      </c>
    </row>
    <row r="495" spans="1:15">
      <c r="A495" s="84">
        <v>577.44949231894145</v>
      </c>
      <c r="B495" s="84">
        <v>579.61392723461142</v>
      </c>
      <c r="C495" s="84">
        <v>575.84840347721297</v>
      </c>
      <c r="D495" s="84">
        <v>578.10178777297892</v>
      </c>
      <c r="E495" s="85">
        <v>4864057.8442809507</v>
      </c>
      <c r="F495" s="83" t="s">
        <v>500</v>
      </c>
      <c r="G495" s="25">
        <f t="shared" si="15"/>
        <v>-1.1283401432649054E-3</v>
      </c>
      <c r="I495" s="84">
        <v>154.03370118170062</v>
      </c>
      <c r="J495" s="84">
        <v>155.44278634476251</v>
      </c>
      <c r="K495" s="84">
        <v>153.93516375771028</v>
      </c>
      <c r="L495" s="84">
        <v>154.49682707445524</v>
      </c>
      <c r="M495" s="85">
        <v>3227111.9654109441</v>
      </c>
      <c r="N495" s="83" t="s">
        <v>500</v>
      </c>
      <c r="O495" s="25">
        <f t="shared" si="16"/>
        <v>-2.9976401556223164E-3</v>
      </c>
    </row>
    <row r="496" spans="1:15">
      <c r="A496" s="84">
        <v>579.73252640807289</v>
      </c>
      <c r="B496" s="84">
        <v>581.13594996069901</v>
      </c>
      <c r="C496" s="84">
        <v>575.05774232080398</v>
      </c>
      <c r="D496" s="84">
        <v>580.94816793605173</v>
      </c>
      <c r="E496" s="85">
        <v>7137587.0108887851</v>
      </c>
      <c r="F496" s="83" t="s">
        <v>501</v>
      </c>
      <c r="G496" s="25">
        <f t="shared" si="15"/>
        <v>-2.0925128868168885E-3</v>
      </c>
      <c r="I496" s="84">
        <v>154.29975222647457</v>
      </c>
      <c r="J496" s="84">
        <v>154.81214683122434</v>
      </c>
      <c r="K496" s="84">
        <v>150.85094238681262</v>
      </c>
      <c r="L496" s="84">
        <v>151.52099686994697</v>
      </c>
      <c r="M496" s="85">
        <v>3793301.9239130965</v>
      </c>
      <c r="N496" s="83" t="s">
        <v>501</v>
      </c>
      <c r="O496" s="25">
        <f t="shared" si="16"/>
        <v>1.8339077843532392E-2</v>
      </c>
    </row>
    <row r="497" spans="1:15">
      <c r="A497" s="84">
        <v>581.26443239861544</v>
      </c>
      <c r="B497" s="84">
        <v>585.20785491620597</v>
      </c>
      <c r="C497" s="84">
        <v>580.08832392845693</v>
      </c>
      <c r="D497" s="84">
        <v>584.34801090861095</v>
      </c>
      <c r="E497" s="85">
        <v>6768609.7345483676</v>
      </c>
      <c r="F497" s="83" t="s">
        <v>502</v>
      </c>
      <c r="G497" s="25">
        <f t="shared" si="15"/>
        <v>-5.2769556025369369E-3</v>
      </c>
      <c r="I497" s="84">
        <v>151.41260570355757</v>
      </c>
      <c r="J497" s="84">
        <v>152.85617896501606</v>
      </c>
      <c r="K497" s="84">
        <v>150.96918729560105</v>
      </c>
      <c r="L497" s="84">
        <v>152.30929626186966</v>
      </c>
      <c r="M497" s="85">
        <v>3019019.4542650264</v>
      </c>
      <c r="N497" s="83" t="s">
        <v>502</v>
      </c>
      <c r="O497" s="25">
        <f t="shared" si="16"/>
        <v>-5.887300252312766E-3</v>
      </c>
    </row>
    <row r="498" spans="1:15">
      <c r="A498" s="84">
        <v>584.45672681761732</v>
      </c>
      <c r="B498" s="84">
        <v>585.10902227165479</v>
      </c>
      <c r="C498" s="84">
        <v>583.45851710765078</v>
      </c>
      <c r="D498" s="84">
        <v>584.081162768323</v>
      </c>
      <c r="E498" s="85">
        <v>5374482.3121185713</v>
      </c>
      <c r="F498" s="83" t="s">
        <v>503</v>
      </c>
      <c r="G498" s="25">
        <f t="shared" si="15"/>
        <v>6.4299976310544515E-4</v>
      </c>
      <c r="I498" s="84">
        <v>153.22569430497984</v>
      </c>
      <c r="J498" s="84">
        <v>153.89574878811416</v>
      </c>
      <c r="K498" s="84">
        <v>152.14178264108611</v>
      </c>
      <c r="L498" s="84">
        <v>152.1713438682832</v>
      </c>
      <c r="M498" s="85">
        <v>3733924.4837176478</v>
      </c>
      <c r="N498" s="83" t="s">
        <v>503</v>
      </c>
      <c r="O498" s="25">
        <f t="shared" si="16"/>
        <v>6.9287055623907801E-3</v>
      </c>
    </row>
    <row r="499" spans="1:15">
      <c r="A499" s="84">
        <v>584.66427537117465</v>
      </c>
      <c r="B499" s="84">
        <v>587.01649231149179</v>
      </c>
      <c r="C499" s="84">
        <v>583.76489830575929</v>
      </c>
      <c r="D499" s="84">
        <v>586.92754293139581</v>
      </c>
      <c r="E499" s="85">
        <v>7281313.8135511372</v>
      </c>
      <c r="F499" s="83" t="s">
        <v>504</v>
      </c>
      <c r="G499" s="25">
        <f t="shared" si="15"/>
        <v>-3.8561277068670519E-3</v>
      </c>
      <c r="I499" s="84">
        <v>151.83631662671604</v>
      </c>
      <c r="J499" s="84">
        <v>152.6049085338407</v>
      </c>
      <c r="K499" s="84">
        <v>151.08743220438947</v>
      </c>
      <c r="L499" s="84">
        <v>152.00383024749959</v>
      </c>
      <c r="M499" s="85">
        <v>4662351.4335531536</v>
      </c>
      <c r="N499" s="83" t="s">
        <v>504</v>
      </c>
      <c r="O499" s="25">
        <f t="shared" si="16"/>
        <v>-1.1020355244391045E-3</v>
      </c>
    </row>
    <row r="500" spans="1:15">
      <c r="A500" s="84">
        <v>585.92933322142926</v>
      </c>
      <c r="B500" s="84">
        <v>586.58162867546673</v>
      </c>
      <c r="C500" s="84">
        <v>583.60676607447749</v>
      </c>
      <c r="D500" s="84">
        <v>584.02186318159215</v>
      </c>
      <c r="E500" s="85">
        <v>6310329.9808728099</v>
      </c>
      <c r="F500" s="83" t="s">
        <v>505</v>
      </c>
      <c r="G500" s="25">
        <f t="shared" si="15"/>
        <v>3.2660935490422816E-3</v>
      </c>
      <c r="I500" s="84">
        <v>152.14178264632042</v>
      </c>
      <c r="J500" s="84">
        <v>153.36809956860506</v>
      </c>
      <c r="K500" s="84">
        <v>151.71502435736537</v>
      </c>
      <c r="L500" s="84">
        <v>152.65193048599082</v>
      </c>
      <c r="M500" s="85">
        <v>2820227.3304333291</v>
      </c>
      <c r="N500" s="83" t="s">
        <v>505</v>
      </c>
      <c r="O500" s="25">
        <f t="shared" si="16"/>
        <v>-3.341902313624634E-3</v>
      </c>
    </row>
    <row r="501" spans="1:15">
      <c r="A501" s="84">
        <v>585.91944995697418</v>
      </c>
      <c r="B501" s="84">
        <v>587.09555842713269</v>
      </c>
      <c r="C501" s="84">
        <v>583.91314727258589</v>
      </c>
      <c r="D501" s="84">
        <v>585.93921648588434</v>
      </c>
      <c r="E501" s="85">
        <v>5456671.7550591268</v>
      </c>
      <c r="F501" s="83" t="s">
        <v>506</v>
      </c>
      <c r="G501" s="25">
        <f t="shared" si="15"/>
        <v>-3.3734777181715359E-5</v>
      </c>
      <c r="I501" s="84">
        <v>152.75984637515185</v>
      </c>
      <c r="J501" s="84">
        <v>153.37791010398331</v>
      </c>
      <c r="K501" s="84">
        <v>149.76763308477734</v>
      </c>
      <c r="L501" s="84">
        <v>153.0443519011219</v>
      </c>
      <c r="M501" s="85">
        <v>5109330.7416218854</v>
      </c>
      <c r="N501" s="83" t="s">
        <v>506</v>
      </c>
      <c r="O501" s="25">
        <f t="shared" si="16"/>
        <v>-1.858974358974419E-3</v>
      </c>
    </row>
    <row r="502" spans="1:15">
      <c r="A502" s="84">
        <v>583.88349747922064</v>
      </c>
      <c r="B502" s="84">
        <v>584.06139623941272</v>
      </c>
      <c r="C502" s="84">
        <v>578.60089262796225</v>
      </c>
      <c r="D502" s="84">
        <v>579.90054190380977</v>
      </c>
      <c r="E502" s="85">
        <v>5943628.2684517978</v>
      </c>
      <c r="F502" s="83" t="s">
        <v>507</v>
      </c>
      <c r="G502" s="25">
        <f t="shared" si="15"/>
        <v>6.8683425649764818E-3</v>
      </c>
      <c r="I502" s="84">
        <v>152.54401459682978</v>
      </c>
      <c r="J502" s="84">
        <v>152.97567815347395</v>
      </c>
      <c r="K502" s="84">
        <v>151.63438175655594</v>
      </c>
      <c r="L502" s="84">
        <v>152.03386675715936</v>
      </c>
      <c r="M502" s="85">
        <v>3020567.0595323108</v>
      </c>
      <c r="N502" s="83" t="s">
        <v>507</v>
      </c>
      <c r="O502" s="25">
        <f t="shared" si="16"/>
        <v>3.3554881589985541E-3</v>
      </c>
    </row>
    <row r="503" spans="1:15">
      <c r="A503" s="84">
        <v>577.71634045922951</v>
      </c>
      <c r="B503" s="84">
        <v>580.50342103557171</v>
      </c>
      <c r="C503" s="84">
        <v>576.6291813691671</v>
      </c>
      <c r="D503" s="84">
        <v>579.18894686304145</v>
      </c>
      <c r="E503" s="85">
        <v>5437423.0543020032</v>
      </c>
      <c r="F503" s="83" t="s">
        <v>508</v>
      </c>
      <c r="G503" s="25">
        <f t="shared" si="15"/>
        <v>-2.5425319522890399E-3</v>
      </c>
      <c r="I503" s="84">
        <v>151.86708765572865</v>
      </c>
      <c r="J503" s="84">
        <v>152.72060423363874</v>
      </c>
      <c r="K503" s="84">
        <v>151.21959232076236</v>
      </c>
      <c r="L503" s="84">
        <v>151.79350864039156</v>
      </c>
      <c r="M503" s="85">
        <v>3641882.7946038968</v>
      </c>
      <c r="N503" s="83" t="s">
        <v>508</v>
      </c>
      <c r="O503" s="25">
        <f t="shared" si="16"/>
        <v>4.8473097430923318E-4</v>
      </c>
    </row>
    <row r="504" spans="1:15">
      <c r="A504" s="84">
        <v>578.90233219384322</v>
      </c>
      <c r="B504" s="84">
        <v>579.32731256541308</v>
      </c>
      <c r="C504" s="84">
        <v>575.79898715493744</v>
      </c>
      <c r="D504" s="84">
        <v>576.12513488195611</v>
      </c>
      <c r="E504" s="85">
        <v>4393630.282505624</v>
      </c>
      <c r="F504" s="83" t="s">
        <v>509</v>
      </c>
      <c r="G504" s="25">
        <f t="shared" si="15"/>
        <v>4.8204758718888296E-3</v>
      </c>
      <c r="I504" s="84">
        <v>151.92595086799832</v>
      </c>
      <c r="J504" s="84">
        <v>153.94692115592338</v>
      </c>
      <c r="K504" s="84">
        <v>151.78860337270243</v>
      </c>
      <c r="L504" s="84">
        <v>153.63298402381852</v>
      </c>
      <c r="M504" s="85">
        <v>3738131.3644924276</v>
      </c>
      <c r="N504" s="83" t="s">
        <v>509</v>
      </c>
      <c r="O504" s="25">
        <f t="shared" si="16"/>
        <v>-1.1111111111111072E-2</v>
      </c>
    </row>
    <row r="505" spans="1:15">
      <c r="A505" s="84">
        <v>574.50427951131746</v>
      </c>
      <c r="B505" s="84">
        <v>578.68490037583069</v>
      </c>
      <c r="C505" s="84">
        <v>571.56173518509638</v>
      </c>
      <c r="D505" s="84">
        <v>578.04248818624831</v>
      </c>
      <c r="E505" s="85">
        <v>4648524.8076335527</v>
      </c>
      <c r="F505" s="83" t="s">
        <v>510</v>
      </c>
      <c r="G505" s="25">
        <f t="shared" si="15"/>
        <v>-6.1210183459573519E-3</v>
      </c>
      <c r="I505" s="84">
        <v>152.80889905204324</v>
      </c>
      <c r="J505" s="84">
        <v>152.80889905204324</v>
      </c>
      <c r="K505" s="84">
        <v>150.33664413671744</v>
      </c>
      <c r="L505" s="84">
        <v>151.7199296250545</v>
      </c>
      <c r="M505" s="85">
        <v>5204440.7396008009</v>
      </c>
      <c r="N505" s="83" t="s">
        <v>510</v>
      </c>
      <c r="O505" s="25">
        <f t="shared" si="16"/>
        <v>7.1774975751697223E-3</v>
      </c>
    </row>
    <row r="506" spans="1:15">
      <c r="A506" s="84">
        <v>574.85019376724654</v>
      </c>
      <c r="B506" s="84">
        <v>575.47283942791864</v>
      </c>
      <c r="C506" s="84">
        <v>570.66957290273331</v>
      </c>
      <c r="D506" s="84">
        <v>571.49976711696286</v>
      </c>
      <c r="E506" s="85">
        <v>4598698.1534712035</v>
      </c>
      <c r="F506" s="83" t="s">
        <v>511</v>
      </c>
      <c r="G506" s="25">
        <f t="shared" si="15"/>
        <v>5.8625162127108332E-3</v>
      </c>
      <c r="I506" s="84">
        <v>152.79908851666497</v>
      </c>
      <c r="J506" s="84">
        <v>154.74157452156382</v>
      </c>
      <c r="K506" s="84">
        <v>152.6911726275039</v>
      </c>
      <c r="L506" s="84">
        <v>153.68203670070992</v>
      </c>
      <c r="M506" s="85">
        <v>4191480.7311180336</v>
      </c>
      <c r="N506" s="83" t="s">
        <v>511</v>
      </c>
      <c r="O506" s="25">
        <f t="shared" si="16"/>
        <v>-5.7452920523460849E-3</v>
      </c>
    </row>
    <row r="507" spans="1:15">
      <c r="A507" s="84">
        <v>570.61027331600269</v>
      </c>
      <c r="B507" s="84">
        <v>574.71182806487491</v>
      </c>
      <c r="C507" s="84">
        <v>569.67136319276676</v>
      </c>
      <c r="D507" s="84">
        <v>574.01011628856179</v>
      </c>
      <c r="E507" s="85">
        <v>4702273.2429215647</v>
      </c>
      <c r="F507" s="83" t="s">
        <v>512</v>
      </c>
      <c r="G507" s="25">
        <f t="shared" si="15"/>
        <v>-5.9229669932332474E-3</v>
      </c>
      <c r="I507" s="84">
        <v>153.36809956860506</v>
      </c>
      <c r="J507" s="84">
        <v>155.05060638597953</v>
      </c>
      <c r="K507" s="84">
        <v>152.80889905204324</v>
      </c>
      <c r="L507" s="84">
        <v>154.2902898941631</v>
      </c>
      <c r="M507" s="85">
        <v>5090385.8020407557</v>
      </c>
      <c r="N507" s="83" t="s">
        <v>512</v>
      </c>
      <c r="O507" s="25">
        <f t="shared" si="16"/>
        <v>-5.976982259807917E-3</v>
      </c>
    </row>
    <row r="508" spans="1:15">
      <c r="A508" s="84">
        <v>573.3677040989794</v>
      </c>
      <c r="B508" s="84">
        <v>573.43688695016522</v>
      </c>
      <c r="C508" s="84">
        <v>568.36677228469182</v>
      </c>
      <c r="D508" s="84">
        <v>568.4557216647878</v>
      </c>
      <c r="E508" s="85">
        <v>6718517.9857898047</v>
      </c>
      <c r="F508" s="83" t="s">
        <v>513</v>
      </c>
      <c r="G508" s="25">
        <f t="shared" si="15"/>
        <v>8.6409235530364725E-3</v>
      </c>
      <c r="I508" s="84">
        <v>154.39820578332413</v>
      </c>
      <c r="J508" s="84">
        <v>155.40869092728667</v>
      </c>
      <c r="K508" s="84">
        <v>153.77033151911439</v>
      </c>
      <c r="L508" s="84">
        <v>154.1529423988672</v>
      </c>
      <c r="M508" s="85">
        <v>4038408.5549221067</v>
      </c>
      <c r="N508" s="83" t="s">
        <v>513</v>
      </c>
      <c r="O508" s="25">
        <f t="shared" si="16"/>
        <v>1.5910392668492257E-3</v>
      </c>
    </row>
    <row r="509" spans="1:15">
      <c r="A509" s="84">
        <v>564.77914728748544</v>
      </c>
      <c r="B509" s="84">
        <v>569.01906773872929</v>
      </c>
      <c r="C509" s="84">
        <v>562.64436216518072</v>
      </c>
      <c r="D509" s="84">
        <v>569.00918447427421</v>
      </c>
      <c r="E509" s="85">
        <v>8884973.2190018333</v>
      </c>
      <c r="F509" s="83" t="s">
        <v>514</v>
      </c>
      <c r="G509" s="25">
        <f t="shared" si="15"/>
        <v>-7.4340402619282875E-3</v>
      </c>
      <c r="I509" s="84">
        <v>153.83900526676234</v>
      </c>
      <c r="J509" s="84">
        <v>154.49140586941775</v>
      </c>
      <c r="K509" s="84">
        <v>150.83698144100956</v>
      </c>
      <c r="L509" s="84">
        <v>153.32885742709192</v>
      </c>
      <c r="M509" s="85">
        <v>4506098.6271845857</v>
      </c>
      <c r="N509" s="83" t="s">
        <v>514</v>
      </c>
      <c r="O509" s="25">
        <f t="shared" si="16"/>
        <v>3.3271482500480953E-3</v>
      </c>
    </row>
    <row r="510" spans="1:15">
      <c r="A510" s="84">
        <v>574.2374313710294</v>
      </c>
      <c r="B510" s="84">
        <v>581.29546584900447</v>
      </c>
      <c r="C510" s="84">
        <v>573.07120616532609</v>
      </c>
      <c r="D510" s="84">
        <v>580.96793446496213</v>
      </c>
      <c r="E510" s="85">
        <v>7130076.3345998805</v>
      </c>
      <c r="F510" s="83" t="s">
        <v>515</v>
      </c>
      <c r="G510" s="25">
        <f t="shared" si="15"/>
        <v>-1.1584982052634474E-2</v>
      </c>
      <c r="I510" s="84">
        <v>154.58460595551139</v>
      </c>
      <c r="J510" s="84">
        <v>155.22719602278852</v>
      </c>
      <c r="K510" s="84">
        <v>153.78014205449267</v>
      </c>
      <c r="L510" s="84">
        <v>155.11437486593837</v>
      </c>
      <c r="M510" s="85">
        <v>4888600.6880108556</v>
      </c>
      <c r="N510" s="83" t="s">
        <v>515</v>
      </c>
      <c r="O510" s="25">
        <f t="shared" si="16"/>
        <v>-3.4153437480236581E-3</v>
      </c>
    </row>
    <row r="511" spans="1:15">
      <c r="A511" s="84">
        <v>576.40186628669949</v>
      </c>
      <c r="B511" s="84">
        <v>579.30754603650291</v>
      </c>
      <c r="C511" s="84">
        <v>573.77291794163909</v>
      </c>
      <c r="D511" s="84">
        <v>577.83493963269086</v>
      </c>
      <c r="E511" s="85">
        <v>7057110.5647092592</v>
      </c>
      <c r="F511" s="83" t="s">
        <v>516</v>
      </c>
      <c r="G511" s="25">
        <f t="shared" si="15"/>
        <v>-2.4800738890976559E-3</v>
      </c>
      <c r="I511" s="84">
        <v>155.39888039190839</v>
      </c>
      <c r="J511" s="84">
        <v>155.72262805939152</v>
      </c>
      <c r="K511" s="84">
        <v>153.45639438700951</v>
      </c>
      <c r="L511" s="84">
        <v>154.46687953097205</v>
      </c>
      <c r="M511" s="85">
        <v>4075942.6940696347</v>
      </c>
      <c r="N511" s="83" t="s">
        <v>516</v>
      </c>
      <c r="O511" s="25">
        <f t="shared" si="16"/>
        <v>6.0336614798350841E-3</v>
      </c>
    </row>
    <row r="512" spans="1:15">
      <c r="A512" s="84">
        <v>577.10357806301249</v>
      </c>
      <c r="B512" s="84">
        <v>580.22668963082856</v>
      </c>
      <c r="C512" s="84">
        <v>576.31291690660339</v>
      </c>
      <c r="D512" s="84">
        <v>579.96972475499558</v>
      </c>
      <c r="E512" s="85">
        <v>5092758.5949555356</v>
      </c>
      <c r="F512" s="83" t="s">
        <v>517</v>
      </c>
      <c r="G512" s="25">
        <f t="shared" si="15"/>
        <v>-4.9418901877918975E-3</v>
      </c>
      <c r="I512" s="84">
        <v>154.14313186348892</v>
      </c>
      <c r="J512" s="84">
        <v>155.78149127166117</v>
      </c>
      <c r="K512" s="84">
        <v>153.36809956860506</v>
      </c>
      <c r="L512" s="84">
        <v>154.74157452156382</v>
      </c>
      <c r="M512" s="85">
        <v>4421543.6087258803</v>
      </c>
      <c r="N512" s="83" t="s">
        <v>517</v>
      </c>
      <c r="O512" s="25">
        <f t="shared" si="16"/>
        <v>-3.867368287580053E-3</v>
      </c>
    </row>
    <row r="513" spans="1:15">
      <c r="A513" s="84">
        <v>578.60583426018991</v>
      </c>
      <c r="B513" s="84">
        <v>579.65346029243187</v>
      </c>
      <c r="C513" s="84">
        <v>577.4198425255762</v>
      </c>
      <c r="D513" s="84">
        <v>579.19883012749665</v>
      </c>
      <c r="E513" s="85">
        <v>4219110.010602193</v>
      </c>
      <c r="F513" s="83" t="s">
        <v>518</v>
      </c>
      <c r="G513" s="25">
        <f t="shared" si="15"/>
        <v>-1.0238208995971831E-3</v>
      </c>
      <c r="I513" s="84">
        <v>153.11302564876982</v>
      </c>
      <c r="J513" s="84">
        <v>154.34915310643274</v>
      </c>
      <c r="K513" s="84">
        <v>152.68146019747942</v>
      </c>
      <c r="L513" s="84">
        <v>154.17256346962375</v>
      </c>
      <c r="M513" s="85">
        <v>4077716.2975814808</v>
      </c>
      <c r="N513" s="83" t="s">
        <v>518</v>
      </c>
      <c r="O513" s="25">
        <f t="shared" si="16"/>
        <v>-6.8724148902323812E-3</v>
      </c>
    </row>
    <row r="514" spans="1:15">
      <c r="A514" s="84">
        <v>578.74419996256142</v>
      </c>
      <c r="B514" s="84">
        <v>579.19883012749665</v>
      </c>
      <c r="C514" s="84">
        <v>576.77743033599381</v>
      </c>
      <c r="D514" s="84">
        <v>576.99486215400623</v>
      </c>
      <c r="E514" s="85">
        <v>3226728.3896768284</v>
      </c>
      <c r="F514" s="83" t="s">
        <v>519</v>
      </c>
      <c r="G514" s="25">
        <f t="shared" si="15"/>
        <v>3.0318082937943469E-3</v>
      </c>
      <c r="I514" s="84">
        <v>153.90767901441026</v>
      </c>
      <c r="J514" s="84">
        <v>154.34915310643274</v>
      </c>
      <c r="K514" s="84">
        <v>151.33731874530167</v>
      </c>
      <c r="L514" s="84">
        <v>152.26931960623801</v>
      </c>
      <c r="M514" s="85">
        <v>4799184.5688923839</v>
      </c>
      <c r="N514" s="83" t="s">
        <v>519</v>
      </c>
      <c r="O514" s="25">
        <f t="shared" si="16"/>
        <v>1.0759616004123229E-2</v>
      </c>
    </row>
    <row r="515" spans="1:15">
      <c r="A515" s="84">
        <v>576.45128260897502</v>
      </c>
      <c r="B515" s="84">
        <v>577.92388901278696</v>
      </c>
      <c r="C515" s="84">
        <v>575.9175863283989</v>
      </c>
      <c r="D515" s="84">
        <v>576.53034872461592</v>
      </c>
      <c r="E515" s="85">
        <v>3886267.5560731259</v>
      </c>
      <c r="F515" s="83" t="s">
        <v>520</v>
      </c>
      <c r="G515" s="25">
        <f t="shared" si="15"/>
        <v>-1.3714128981379137E-4</v>
      </c>
      <c r="I515" s="84">
        <v>152.27913014161629</v>
      </c>
      <c r="J515" s="84">
        <v>154.26085828802826</v>
      </c>
      <c r="K515" s="84">
        <v>152.21045639396834</v>
      </c>
      <c r="L515" s="84">
        <v>153.2896152855788</v>
      </c>
      <c r="M515" s="85">
        <v>4959227.8223397555</v>
      </c>
      <c r="N515" s="83" t="s">
        <v>520</v>
      </c>
      <c r="O515" s="25">
        <f t="shared" si="16"/>
        <v>-6.5919999999998202E-3</v>
      </c>
    </row>
    <row r="516" spans="1:15">
      <c r="A516" s="84">
        <v>576.05595203077041</v>
      </c>
      <c r="B516" s="84">
        <v>576.15478467532159</v>
      </c>
      <c r="C516" s="84">
        <v>572.11252951317999</v>
      </c>
      <c r="D516" s="84">
        <v>573.79268447054937</v>
      </c>
      <c r="E516" s="85">
        <v>4307630.3576973584</v>
      </c>
      <c r="F516" s="83" t="s">
        <v>521</v>
      </c>
      <c r="G516" s="25">
        <f t="shared" si="15"/>
        <v>3.9443994694867701E-3</v>
      </c>
      <c r="I516" s="84">
        <v>153.52506813465749</v>
      </c>
      <c r="J516" s="84">
        <v>153.62317348844024</v>
      </c>
      <c r="K516" s="84">
        <v>146.28489302548903</v>
      </c>
      <c r="L516" s="84">
        <v>147.15803067415567</v>
      </c>
      <c r="M516" s="85">
        <v>8834475.0472956765</v>
      </c>
      <c r="N516" s="83" t="s">
        <v>521</v>
      </c>
      <c r="O516" s="25">
        <f t="shared" si="16"/>
        <v>4.3266666666666787E-2</v>
      </c>
    </row>
    <row r="517" spans="1:15">
      <c r="A517" s="84">
        <v>571.20326918330954</v>
      </c>
      <c r="B517" s="84">
        <v>572.08287971981463</v>
      </c>
      <c r="C517" s="84">
        <v>568.92023509417811</v>
      </c>
      <c r="D517" s="84">
        <v>571.52941691032822</v>
      </c>
      <c r="E517" s="85">
        <v>4799708.6605787054</v>
      </c>
      <c r="F517" s="83" t="s">
        <v>522</v>
      </c>
      <c r="G517" s="25">
        <f t="shared" si="15"/>
        <v>-5.7065781282406025E-4</v>
      </c>
      <c r="I517" s="84">
        <v>146.34375623775867</v>
      </c>
      <c r="J517" s="84">
        <v>147.42291512936916</v>
      </c>
      <c r="K517" s="84">
        <v>140.84004589054524</v>
      </c>
      <c r="L517" s="84">
        <v>142.72366868317442</v>
      </c>
      <c r="M517" s="85">
        <v>10887354.85695363</v>
      </c>
      <c r="N517" s="83" t="s">
        <v>522</v>
      </c>
      <c r="O517" s="25">
        <f t="shared" si="16"/>
        <v>2.5364311245532178E-2</v>
      </c>
    </row>
    <row r="518" spans="1:15">
      <c r="A518" s="84">
        <v>571.20326918330954</v>
      </c>
      <c r="B518" s="84">
        <v>573.75315141272881</v>
      </c>
      <c r="C518" s="84">
        <v>570.84747166292539</v>
      </c>
      <c r="D518" s="84">
        <v>571.2329189766748</v>
      </c>
      <c r="E518" s="85">
        <v>5961802.4254639642</v>
      </c>
      <c r="F518" s="83" t="s">
        <v>523</v>
      </c>
      <c r="G518" s="25">
        <f t="shared" si="15"/>
        <v>-5.1904910204347843E-5</v>
      </c>
      <c r="I518" s="84">
        <v>148.68847419316688</v>
      </c>
      <c r="J518" s="84">
        <v>150.48380216739156</v>
      </c>
      <c r="K518" s="84">
        <v>148.19794742425304</v>
      </c>
      <c r="L518" s="84">
        <v>149.10051667905452</v>
      </c>
      <c r="M518" s="85">
        <v>7029221.8865746586</v>
      </c>
      <c r="N518" s="83" t="s">
        <v>523</v>
      </c>
      <c r="O518" s="25">
        <f t="shared" si="16"/>
        <v>-2.7635215159890203E-3</v>
      </c>
    </row>
    <row r="519" spans="1:15">
      <c r="A519" s="84">
        <v>570.18529294443272</v>
      </c>
      <c r="B519" s="84">
        <v>571.74684872834075</v>
      </c>
      <c r="C519" s="84">
        <v>569.11790038328047</v>
      </c>
      <c r="D519" s="84">
        <v>571.71719893497539</v>
      </c>
      <c r="E519" s="85">
        <v>4294276.4703659611</v>
      </c>
      <c r="F519" s="83" t="s">
        <v>524</v>
      </c>
      <c r="G519" s="25">
        <f t="shared" si="15"/>
        <v>-2.679482082044049E-3</v>
      </c>
      <c r="I519" s="84">
        <v>148.62961098089721</v>
      </c>
      <c r="J519" s="84">
        <v>149.95403325696461</v>
      </c>
      <c r="K519" s="84">
        <v>148.2175684950096</v>
      </c>
      <c r="L519" s="84">
        <v>148.93373757762382</v>
      </c>
      <c r="M519" s="85">
        <v>6029680.1060401322</v>
      </c>
      <c r="N519" s="83" t="s">
        <v>524</v>
      </c>
      <c r="O519" s="25">
        <f t="shared" si="16"/>
        <v>-2.042026216981907E-3</v>
      </c>
    </row>
    <row r="520" spans="1:15">
      <c r="A520" s="84">
        <v>570.4422578202657</v>
      </c>
      <c r="B520" s="84">
        <v>570.906771249656</v>
      </c>
      <c r="C520" s="84">
        <v>567.1017144344371</v>
      </c>
      <c r="D520" s="84">
        <v>567.31914625244974</v>
      </c>
      <c r="E520" s="85">
        <v>5455257.2426716974</v>
      </c>
      <c r="F520" s="83" t="s">
        <v>525</v>
      </c>
      <c r="G520" s="25">
        <f t="shared" si="15"/>
        <v>5.5050346677816275E-3</v>
      </c>
      <c r="I520" s="84">
        <v>148.62961098089721</v>
      </c>
      <c r="J520" s="84">
        <v>149.1103272144328</v>
      </c>
      <c r="K520" s="84">
        <v>147.3445289516967</v>
      </c>
      <c r="L520" s="84">
        <v>147.70742065533918</v>
      </c>
      <c r="M520" s="85">
        <v>4406745.2318379618</v>
      </c>
      <c r="N520" s="83" t="s">
        <v>525</v>
      </c>
      <c r="O520" s="25">
        <f t="shared" si="16"/>
        <v>6.243358129649268E-3</v>
      </c>
    </row>
    <row r="521" spans="1:15">
      <c r="A521" s="84">
        <v>567.04241484770648</v>
      </c>
      <c r="B521" s="84">
        <v>567.55634459937244</v>
      </c>
      <c r="C521" s="84">
        <v>561.53743654620803</v>
      </c>
      <c r="D521" s="84">
        <v>566.70638385623261</v>
      </c>
      <c r="E521" s="85">
        <v>6192136.2397961393</v>
      </c>
      <c r="F521" s="83" t="s">
        <v>526</v>
      </c>
      <c r="G521" s="25">
        <f t="shared" si="15"/>
        <v>5.9295430763861567E-4</v>
      </c>
      <c r="I521" s="84">
        <v>147.32480977558637</v>
      </c>
      <c r="J521" s="84">
        <v>147.51120994777366</v>
      </c>
      <c r="K521" s="84">
        <v>145.45099751833544</v>
      </c>
      <c r="L521" s="84">
        <v>146.02981910565379</v>
      </c>
      <c r="M521" s="85">
        <v>3420109.9844453847</v>
      </c>
      <c r="N521" s="83" t="s">
        <v>526</v>
      </c>
      <c r="O521" s="25">
        <f t="shared" si="16"/>
        <v>8.8679879072892653E-3</v>
      </c>
    </row>
    <row r="522" spans="1:15">
      <c r="A522" s="84">
        <v>565.18436113014513</v>
      </c>
      <c r="B522" s="84">
        <v>570.42249129135541</v>
      </c>
      <c r="C522" s="84">
        <v>565.17447786569005</v>
      </c>
      <c r="D522" s="84">
        <v>570.11611009324702</v>
      </c>
      <c r="E522" s="85">
        <v>5401320.6104566017</v>
      </c>
      <c r="F522" s="83" t="s">
        <v>527</v>
      </c>
      <c r="G522" s="25">
        <f t="shared" si="15"/>
        <v>-8.6504290543469864E-3</v>
      </c>
      <c r="I522" s="84">
        <v>145.86304000422311</v>
      </c>
      <c r="J522" s="84">
        <v>147.89382082752644</v>
      </c>
      <c r="K522" s="84">
        <v>145.58834501363134</v>
      </c>
      <c r="L522" s="84">
        <v>146.96181996659013</v>
      </c>
      <c r="M522" s="85">
        <v>4603267.6361370226</v>
      </c>
      <c r="N522" s="83" t="s">
        <v>527</v>
      </c>
      <c r="O522" s="25">
        <f t="shared" si="16"/>
        <v>-7.4766355140186702E-3</v>
      </c>
    </row>
    <row r="523" spans="1:15">
      <c r="A523" s="84">
        <v>567.64529397946853</v>
      </c>
      <c r="B523" s="84">
        <v>567.9704533800417</v>
      </c>
      <c r="C523" s="84">
        <v>564.90762972540199</v>
      </c>
      <c r="D523" s="84">
        <v>566.1628043112014</v>
      </c>
      <c r="E523" s="85">
        <v>4775720.6350556882</v>
      </c>
      <c r="F523" s="83" t="s">
        <v>528</v>
      </c>
      <c r="G523" s="25">
        <f t="shared" si="15"/>
        <v>2.6184865147944603E-3</v>
      </c>
      <c r="I523" s="84">
        <v>146.45167212691973</v>
      </c>
      <c r="J523" s="84">
        <v>146.73617765288975</v>
      </c>
      <c r="K523" s="84">
        <v>144.29335434369878</v>
      </c>
      <c r="L523" s="84">
        <v>145.08800770933919</v>
      </c>
      <c r="M523" s="85">
        <v>4518488.3689584285</v>
      </c>
      <c r="N523" s="83" t="s">
        <v>528</v>
      </c>
      <c r="O523" s="25">
        <f t="shared" si="16"/>
        <v>9.3988775441207206E-3</v>
      </c>
    </row>
    <row r="524" spans="1:15">
      <c r="A524" s="84">
        <v>566.52848509604064</v>
      </c>
      <c r="B524" s="84">
        <v>567.67069396911813</v>
      </c>
      <c r="C524" s="84">
        <v>564.70008117184454</v>
      </c>
      <c r="D524" s="84">
        <v>565.7674737329969</v>
      </c>
      <c r="E524" s="85">
        <v>4466396.7255433667</v>
      </c>
      <c r="F524" s="83" t="s">
        <v>529</v>
      </c>
      <c r="G524" s="25">
        <f t="shared" si="15"/>
        <v>1.3450956415406168E-3</v>
      </c>
      <c r="I524" s="84">
        <v>144.08733310075496</v>
      </c>
      <c r="J524" s="84">
        <v>144.28354380832047</v>
      </c>
      <c r="K524" s="84">
        <v>142.74328975393101</v>
      </c>
      <c r="L524" s="84">
        <v>143.41040615965383</v>
      </c>
      <c r="M524" s="85">
        <v>3511255.8766440875</v>
      </c>
      <c r="N524" s="83" t="s">
        <v>529</v>
      </c>
      <c r="O524" s="25">
        <f t="shared" si="16"/>
        <v>4.7202079627857163E-3</v>
      </c>
    </row>
    <row r="525" spans="1:15">
      <c r="A525" s="84">
        <v>568.57432083824915</v>
      </c>
      <c r="B525" s="84">
        <v>569.53299749039525</v>
      </c>
      <c r="C525" s="84">
        <v>566.01455534437468</v>
      </c>
      <c r="D525" s="84">
        <v>567.08194790552693</v>
      </c>
      <c r="E525" s="85">
        <v>4978394.5601638583</v>
      </c>
      <c r="F525" s="83" t="s">
        <v>530</v>
      </c>
      <c r="G525" s="25">
        <f t="shared" si="15"/>
        <v>2.6316706751716712E-3</v>
      </c>
      <c r="I525" s="84">
        <v>143.62623793797593</v>
      </c>
      <c r="J525" s="84">
        <v>143.7635854332718</v>
      </c>
      <c r="K525" s="84">
        <v>142.27738742881664</v>
      </c>
      <c r="L525" s="84">
        <v>143.34173241200591</v>
      </c>
      <c r="M525" s="85">
        <v>4207654.160383814</v>
      </c>
      <c r="N525" s="83" t="s">
        <v>530</v>
      </c>
      <c r="O525" s="25">
        <f t="shared" si="16"/>
        <v>1.9848059681060182E-3</v>
      </c>
    </row>
    <row r="526" spans="1:15">
      <c r="A526" s="84">
        <v>566.91393240979005</v>
      </c>
      <c r="B526" s="84">
        <v>567.55634459937244</v>
      </c>
      <c r="C526" s="84">
        <v>564.09720204008261</v>
      </c>
      <c r="D526" s="84">
        <v>565.77735699745199</v>
      </c>
      <c r="E526" s="85">
        <v>6913848.1834959984</v>
      </c>
      <c r="F526" s="83" t="s">
        <v>531</v>
      </c>
      <c r="G526" s="25">
        <f t="shared" si="15"/>
        <v>2.0088739824615232E-3</v>
      </c>
      <c r="I526" s="84">
        <v>143.41040615965383</v>
      </c>
      <c r="J526" s="84">
        <v>143.72434329175869</v>
      </c>
      <c r="K526" s="84">
        <v>141.98787852980365</v>
      </c>
      <c r="L526" s="84">
        <v>142.96893206763136</v>
      </c>
      <c r="M526" s="85">
        <v>2713957.9007028695</v>
      </c>
      <c r="N526" s="83" t="s">
        <v>531</v>
      </c>
      <c r="O526" s="25">
        <f t="shared" si="16"/>
        <v>3.0879022850478499E-3</v>
      </c>
    </row>
    <row r="527" spans="1:15">
      <c r="A527" s="84">
        <v>563.57338902396157</v>
      </c>
      <c r="B527" s="84">
        <v>565.15471133677977</v>
      </c>
      <c r="C527" s="84">
        <v>562.832144189828</v>
      </c>
      <c r="D527" s="84">
        <v>564.48264935383202</v>
      </c>
      <c r="E527" s="85">
        <v>6998512.517208837</v>
      </c>
      <c r="F527" s="83" t="s">
        <v>532</v>
      </c>
      <c r="G527" s="25">
        <f t="shared" si="15"/>
        <v>-1.6107852578131077E-3</v>
      </c>
      <c r="I527" s="84">
        <v>142.16446816661264</v>
      </c>
      <c r="J527" s="84">
        <v>143.23381652284485</v>
      </c>
      <c r="K527" s="84">
        <v>140.27103483860517</v>
      </c>
      <c r="L527" s="84">
        <v>142.89044778460516</v>
      </c>
      <c r="M527" s="85">
        <v>4352313.9516468309</v>
      </c>
      <c r="N527" s="83" t="s">
        <v>532</v>
      </c>
      <c r="O527" s="25">
        <f t="shared" si="16"/>
        <v>-5.0806728458635542E-3</v>
      </c>
    </row>
    <row r="528" spans="1:15">
      <c r="A528" s="84">
        <v>563.94895307325589</v>
      </c>
      <c r="B528" s="84">
        <v>566.89416588087988</v>
      </c>
      <c r="C528" s="84">
        <v>561.34965452156086</v>
      </c>
      <c r="D528" s="84">
        <v>566.31105327802811</v>
      </c>
      <c r="E528" s="85">
        <v>6422884.8968170462</v>
      </c>
      <c r="F528" s="83" t="s">
        <v>533</v>
      </c>
      <c r="G528" s="25">
        <f t="shared" si="15"/>
        <v>-4.1710296684118742E-3</v>
      </c>
      <c r="I528" s="84">
        <v>143.15533223981862</v>
      </c>
      <c r="J528" s="84">
        <v>143.99903828235045</v>
      </c>
      <c r="K528" s="84">
        <v>142.38029994493473</v>
      </c>
      <c r="L528" s="84">
        <v>143.48889044268003</v>
      </c>
      <c r="M528" s="85">
        <v>4604507.119970588</v>
      </c>
      <c r="N528" s="83" t="s">
        <v>533</v>
      </c>
      <c r="O528" s="25">
        <f t="shared" si="16"/>
        <v>-2.3246273759058855E-3</v>
      </c>
    </row>
    <row r="529" spans="1:15">
      <c r="A529" s="84">
        <v>568.50513798706345</v>
      </c>
      <c r="B529" s="84">
        <v>568.94988488754348</v>
      </c>
      <c r="C529" s="84">
        <v>565.4512092704332</v>
      </c>
      <c r="D529" s="84">
        <v>565.50062559270873</v>
      </c>
      <c r="E529" s="85">
        <v>4891069.1623745253</v>
      </c>
      <c r="F529" s="83" t="s">
        <v>534</v>
      </c>
      <c r="G529" s="25">
        <f t="shared" si="15"/>
        <v>5.3130133873957597E-3</v>
      </c>
      <c r="I529" s="84">
        <v>142.98855313838791</v>
      </c>
      <c r="J529" s="84">
        <v>143.61642740259765</v>
      </c>
      <c r="K529" s="84">
        <v>141.63469925618568</v>
      </c>
      <c r="L529" s="84">
        <v>141.75242568072503</v>
      </c>
      <c r="M529" s="85">
        <v>1924148.8126935661</v>
      </c>
      <c r="N529" s="83" t="s">
        <v>534</v>
      </c>
      <c r="O529" s="25">
        <f t="shared" si="16"/>
        <v>8.720326666205036E-3</v>
      </c>
    </row>
    <row r="530" spans="1:15">
      <c r="A530" s="84">
        <v>563.63268861069218</v>
      </c>
      <c r="B530" s="84">
        <v>563.68210493296783</v>
      </c>
      <c r="C530" s="84">
        <v>560.19331258031252</v>
      </c>
      <c r="D530" s="84">
        <v>560.74677538979893</v>
      </c>
      <c r="E530" s="85">
        <v>6206477.6550890049</v>
      </c>
      <c r="F530" s="83" t="s">
        <v>535</v>
      </c>
      <c r="G530" s="25">
        <f t="shared" si="15"/>
        <v>5.1465533954915266E-3</v>
      </c>
      <c r="I530" s="84">
        <v>141.78185728685986</v>
      </c>
      <c r="J530" s="84">
        <v>141.97806799442537</v>
      </c>
      <c r="K530" s="84">
        <v>140.25141376784865</v>
      </c>
      <c r="L530" s="84">
        <v>140.93815124432803</v>
      </c>
      <c r="M530" s="85">
        <v>3301646.5209148037</v>
      </c>
      <c r="N530" s="83" t="s">
        <v>535</v>
      </c>
      <c r="O530" s="25">
        <f t="shared" si="16"/>
        <v>5.9863566754838615E-3</v>
      </c>
    </row>
    <row r="531" spans="1:15">
      <c r="A531" s="84">
        <v>561.14210596800353</v>
      </c>
      <c r="B531" s="84">
        <v>562.16008220688013</v>
      </c>
      <c r="C531" s="84">
        <v>559.19510287034598</v>
      </c>
      <c r="D531" s="84">
        <v>559.94623096893463</v>
      </c>
      <c r="E531" s="85">
        <v>7456392.6053672014</v>
      </c>
      <c r="F531" s="83" t="s">
        <v>536</v>
      </c>
      <c r="G531" s="25">
        <f t="shared" si="15"/>
        <v>2.1356961310365907E-3</v>
      </c>
      <c r="I531" s="84">
        <v>141.4581096193767</v>
      </c>
      <c r="J531" s="84">
        <v>143.03760581527931</v>
      </c>
      <c r="K531" s="84">
        <v>139.95219243881118</v>
      </c>
      <c r="L531" s="84">
        <v>142.89044778460516</v>
      </c>
      <c r="M531" s="85">
        <v>4877013.1450667959</v>
      </c>
      <c r="N531" s="83" t="s">
        <v>536</v>
      </c>
      <c r="O531" s="25">
        <f t="shared" si="16"/>
        <v>-1.0024030209406232E-2</v>
      </c>
    </row>
    <row r="532" spans="1:15">
      <c r="A532" s="84">
        <v>561.3990708438364</v>
      </c>
      <c r="B532" s="84">
        <v>562.50599646280921</v>
      </c>
      <c r="C532" s="84">
        <v>558.77506413100366</v>
      </c>
      <c r="D532" s="84">
        <v>560.87525782771547</v>
      </c>
      <c r="E532" s="85">
        <v>5786739.8226308748</v>
      </c>
      <c r="F532" s="83" t="s">
        <v>537</v>
      </c>
      <c r="G532" s="25">
        <f t="shared" si="15"/>
        <v>9.3392070484554779E-4</v>
      </c>
      <c r="I532" s="84">
        <v>143.2534375936014</v>
      </c>
      <c r="J532" s="84">
        <v>143.63604847335421</v>
      </c>
      <c r="K532" s="84">
        <v>142.25276298501714</v>
      </c>
      <c r="L532" s="84">
        <v>142.72366868317442</v>
      </c>
      <c r="M532" s="85">
        <v>5989780.1428977801</v>
      </c>
      <c r="N532" s="83" t="s">
        <v>537</v>
      </c>
      <c r="O532" s="25">
        <f t="shared" si="16"/>
        <v>3.7118504261755003E-3</v>
      </c>
    </row>
    <row r="533" spans="1:15">
      <c r="A533" s="84">
        <v>558.60734512261058</v>
      </c>
      <c r="B533" s="84">
        <v>559.96703845759453</v>
      </c>
      <c r="C533" s="84">
        <v>554.92237912779876</v>
      </c>
      <c r="D533" s="84">
        <v>556.79442067596517</v>
      </c>
      <c r="E533" s="85">
        <v>6146976.6049107648</v>
      </c>
      <c r="F533" s="83" t="s">
        <v>538</v>
      </c>
      <c r="G533" s="25">
        <f t="shared" si="15"/>
        <v>3.2560032560033925E-3</v>
      </c>
      <c r="I533" s="84">
        <v>141.91920478215573</v>
      </c>
      <c r="J533" s="84">
        <v>141.96825745904712</v>
      </c>
      <c r="K533" s="84">
        <v>139.24092862388611</v>
      </c>
      <c r="L533" s="84">
        <v>139.37827611918198</v>
      </c>
      <c r="M533" s="85">
        <v>9351051.3404938616</v>
      </c>
      <c r="N533" s="83" t="s">
        <v>538</v>
      </c>
      <c r="O533" s="25">
        <f t="shared" si="16"/>
        <v>1.8230449778278368E-2</v>
      </c>
    </row>
    <row r="534" spans="1:15">
      <c r="A534" s="84">
        <v>555.84854705162832</v>
      </c>
      <c r="B534" s="84">
        <v>556.24266106176867</v>
      </c>
      <c r="C534" s="84">
        <v>552.70548782075946</v>
      </c>
      <c r="D534" s="84">
        <v>553.25724743495584</v>
      </c>
      <c r="E534" s="85">
        <v>6172268.7786055068</v>
      </c>
      <c r="F534" s="83" t="s">
        <v>539</v>
      </c>
      <c r="G534" s="25">
        <f t="shared" si="15"/>
        <v>4.6837156290069348E-3</v>
      </c>
      <c r="I534" s="84">
        <v>139.96690824187857</v>
      </c>
      <c r="J534" s="84">
        <v>140.68307732449281</v>
      </c>
      <c r="K534" s="84">
        <v>138.58362275354153</v>
      </c>
      <c r="L534" s="84">
        <v>139.22130755312952</v>
      </c>
      <c r="M534" s="85">
        <v>5512343.4058190538</v>
      </c>
      <c r="N534" s="83" t="s">
        <v>539</v>
      </c>
      <c r="O534" s="25">
        <f t="shared" si="16"/>
        <v>5.355507011486127E-3</v>
      </c>
    </row>
    <row r="535" spans="1:15">
      <c r="A535" s="84">
        <v>551.48373438932458</v>
      </c>
      <c r="B535" s="84">
        <v>552.76460492228045</v>
      </c>
      <c r="C535" s="84">
        <v>550.12404105434052</v>
      </c>
      <c r="D535" s="84">
        <v>552.27196240960507</v>
      </c>
      <c r="E535" s="85">
        <v>16718314.575151458</v>
      </c>
      <c r="F535" s="83" t="s">
        <v>540</v>
      </c>
      <c r="G535" s="25">
        <f t="shared" si="15"/>
        <v>-1.4272461285946836E-3</v>
      </c>
      <c r="I535" s="84">
        <v>138.70134917808085</v>
      </c>
      <c r="J535" s="84">
        <v>139.72164485742167</v>
      </c>
      <c r="K535" s="84">
        <v>137.80859045865765</v>
      </c>
      <c r="L535" s="84">
        <v>139.5842973621258</v>
      </c>
      <c r="M535" s="85">
        <v>10595754.053358912</v>
      </c>
      <c r="N535" s="83" t="s">
        <v>540</v>
      </c>
      <c r="O535" s="25">
        <f t="shared" si="16"/>
        <v>-6.3255552431825679E-3</v>
      </c>
    </row>
    <row r="536" spans="1:15">
      <c r="A536" s="84">
        <v>551.20785458222633</v>
      </c>
      <c r="B536" s="84">
        <v>552.18328675732357</v>
      </c>
      <c r="C536" s="84">
        <v>548.18302955439947</v>
      </c>
      <c r="D536" s="84">
        <v>548.9811104249336</v>
      </c>
      <c r="E536" s="85">
        <v>6871144.7203715621</v>
      </c>
      <c r="F536" s="83" t="s">
        <v>541</v>
      </c>
      <c r="G536" s="25">
        <f t="shared" si="15"/>
        <v>4.0561398470870813E-3</v>
      </c>
      <c r="I536" s="84">
        <v>139.16244434085988</v>
      </c>
      <c r="J536" s="84">
        <v>141.31291369577821</v>
      </c>
      <c r="K536" s="84">
        <v>137.84832312693968</v>
      </c>
      <c r="L536" s="84">
        <v>140.7811826782756</v>
      </c>
      <c r="M536" s="85">
        <v>8401296.853024045</v>
      </c>
      <c r="N536" s="83" t="s">
        <v>541</v>
      </c>
      <c r="O536" s="25">
        <f t="shared" si="16"/>
        <v>-1.149825783972136E-2</v>
      </c>
    </row>
    <row r="537" spans="1:15">
      <c r="A537" s="84">
        <v>545.21732162809371</v>
      </c>
      <c r="B537" s="84">
        <v>545.55231853671307</v>
      </c>
      <c r="C537" s="84">
        <v>537.71930258517455</v>
      </c>
      <c r="D537" s="84">
        <v>540.58648200894515</v>
      </c>
      <c r="E537" s="85">
        <v>9835885.8103522025</v>
      </c>
      <c r="F537" s="83" t="s">
        <v>542</v>
      </c>
      <c r="G537" s="25">
        <f t="shared" si="15"/>
        <v>8.5663252287391245E-3</v>
      </c>
      <c r="I537" s="84">
        <v>143.04741635065758</v>
      </c>
      <c r="J537" s="84">
        <v>144.28266086013645</v>
      </c>
      <c r="K537" s="84">
        <v>142.3508683387999</v>
      </c>
      <c r="L537" s="84">
        <v>144.03828042386357</v>
      </c>
      <c r="M537" s="85">
        <v>6574453.6371395756</v>
      </c>
      <c r="N537" s="83" t="s">
        <v>542</v>
      </c>
      <c r="O537" s="25">
        <f t="shared" si="16"/>
        <v>-6.8791717749625558E-3</v>
      </c>
    </row>
    <row r="538" spans="1:15">
      <c r="A538" s="84">
        <v>539.66031408511549</v>
      </c>
      <c r="B538" s="84">
        <v>544.58673921186926</v>
      </c>
      <c r="C538" s="84">
        <v>538.57650055722968</v>
      </c>
      <c r="D538" s="84">
        <v>543.60145418651848</v>
      </c>
      <c r="E538" s="85">
        <v>10091351.988690184</v>
      </c>
      <c r="F538" s="83" t="s">
        <v>543</v>
      </c>
      <c r="G538" s="25">
        <f t="shared" si="15"/>
        <v>-7.2500543754078217E-3</v>
      </c>
      <c r="I538" s="84">
        <v>143.86169078705456</v>
      </c>
      <c r="J538" s="84">
        <v>145.34308162917441</v>
      </c>
      <c r="K538" s="84">
        <v>141.17360409340668</v>
      </c>
      <c r="L538" s="84">
        <v>143.09646902754898</v>
      </c>
      <c r="M538" s="85">
        <v>9368786.3562999554</v>
      </c>
      <c r="N538" s="83" t="s">
        <v>543</v>
      </c>
      <c r="O538" s="25">
        <f t="shared" si="16"/>
        <v>5.3475935828874999E-3</v>
      </c>
    </row>
    <row r="539" spans="1:15">
      <c r="A539" s="84">
        <v>541.15794732364861</v>
      </c>
      <c r="B539" s="84">
        <v>544.57688636161583</v>
      </c>
      <c r="C539" s="84">
        <v>540.32045505210044</v>
      </c>
      <c r="D539" s="84">
        <v>542.06440954697132</v>
      </c>
      <c r="E539" s="85">
        <v>4671063.5821970413</v>
      </c>
      <c r="F539" s="83" t="s">
        <v>544</v>
      </c>
      <c r="G539" s="25">
        <f t="shared" si="15"/>
        <v>-1.6722408026755842E-3</v>
      </c>
      <c r="I539" s="84">
        <v>143.10627956292726</v>
      </c>
      <c r="J539" s="84">
        <v>146.43205105616315</v>
      </c>
      <c r="K539" s="84">
        <v>142.90025831998344</v>
      </c>
      <c r="L539" s="84">
        <v>145.74531357968377</v>
      </c>
      <c r="M539" s="85">
        <v>7254337.021971873</v>
      </c>
      <c r="N539" s="83" t="s">
        <v>544</v>
      </c>
      <c r="O539" s="25">
        <f t="shared" si="16"/>
        <v>-1.8107162089391449E-2</v>
      </c>
    </row>
    <row r="540" spans="1:15">
      <c r="A540" s="84">
        <v>541.26632867643718</v>
      </c>
      <c r="B540" s="84">
        <v>545.02026462302354</v>
      </c>
      <c r="C540" s="84">
        <v>540.56184988331142</v>
      </c>
      <c r="D540" s="84">
        <v>543.67042413829301</v>
      </c>
      <c r="E540" s="85">
        <v>4824333.9518002328</v>
      </c>
      <c r="F540" s="83" t="s">
        <v>545</v>
      </c>
      <c r="G540" s="25">
        <f t="shared" si="15"/>
        <v>-4.4219721270772894E-3</v>
      </c>
      <c r="I540" s="84">
        <v>145.66682929665754</v>
      </c>
      <c r="J540" s="84">
        <v>146.34866150544781</v>
      </c>
      <c r="K540" s="84">
        <v>143.04741635065758</v>
      </c>
      <c r="L540" s="84">
        <v>144.63672308193847</v>
      </c>
      <c r="M540" s="85">
        <v>7391842.2597580822</v>
      </c>
      <c r="N540" s="83" t="s">
        <v>545</v>
      </c>
      <c r="O540" s="25">
        <f t="shared" si="16"/>
        <v>7.1220240113951672E-3</v>
      </c>
    </row>
    <row r="541" spans="1:15">
      <c r="A541" s="84">
        <v>545.91687399609282</v>
      </c>
      <c r="B541" s="84">
        <v>547.51303573716109</v>
      </c>
      <c r="C541" s="84">
        <v>543.74924694032109</v>
      </c>
      <c r="D541" s="84">
        <v>543.81821689209573</v>
      </c>
      <c r="E541" s="85">
        <v>7532162.5814398807</v>
      </c>
      <c r="F541" s="83" t="s">
        <v>546</v>
      </c>
      <c r="G541" s="25">
        <f t="shared" si="15"/>
        <v>3.8591151212088448E-3</v>
      </c>
      <c r="I541" s="84">
        <v>143.6851011502456</v>
      </c>
      <c r="J541" s="84">
        <v>144.28354380832047</v>
      </c>
      <c r="K541" s="84">
        <v>142.16446816661264</v>
      </c>
      <c r="L541" s="84">
        <v>143.72434329175869</v>
      </c>
      <c r="M541" s="85">
        <v>8140370.2163729919</v>
      </c>
      <c r="N541" s="83" t="s">
        <v>546</v>
      </c>
      <c r="O541" s="25">
        <f t="shared" si="16"/>
        <v>-2.7303754266194691E-4</v>
      </c>
    </row>
    <row r="542" spans="1:15">
      <c r="A542" s="84">
        <v>540.69486336173372</v>
      </c>
      <c r="B542" s="84">
        <v>545.10401385017838</v>
      </c>
      <c r="C542" s="84">
        <v>539.35487572725674</v>
      </c>
      <c r="D542" s="84">
        <v>542.14323234899939</v>
      </c>
      <c r="E542" s="85">
        <v>7167789.8458731398</v>
      </c>
      <c r="F542" s="83" t="s">
        <v>547</v>
      </c>
      <c r="G542" s="25">
        <f t="shared" si="15"/>
        <v>-2.671561500436237E-3</v>
      </c>
      <c r="I542" s="84">
        <v>142.92968992611824</v>
      </c>
      <c r="J542" s="84">
        <v>143.2534375936014</v>
      </c>
      <c r="K542" s="84">
        <v>139.6196152894876</v>
      </c>
      <c r="L542" s="84">
        <v>141.29133051794599</v>
      </c>
      <c r="M542" s="85">
        <v>11606720.286859397</v>
      </c>
      <c r="N542" s="83" t="s">
        <v>547</v>
      </c>
      <c r="O542" s="25">
        <f t="shared" si="16"/>
        <v>1.1595611720594201E-2</v>
      </c>
    </row>
    <row r="543" spans="1:15">
      <c r="A543" s="84">
        <v>546.78392481840149</v>
      </c>
      <c r="B543" s="84">
        <v>546.83318906966895</v>
      </c>
      <c r="C543" s="84">
        <v>543.02230364861737</v>
      </c>
      <c r="D543" s="84">
        <v>543.48321998347637</v>
      </c>
      <c r="E543" s="85">
        <v>8548737.4549323823</v>
      </c>
      <c r="F543" s="83" t="s">
        <v>548</v>
      </c>
      <c r="G543" s="25">
        <f t="shared" si="15"/>
        <v>6.0732414793329692E-3</v>
      </c>
      <c r="I543" s="84">
        <v>138.30892776294976</v>
      </c>
      <c r="J543" s="84">
        <v>139.36679779278938</v>
      </c>
      <c r="K543" s="84">
        <v>137.47316825407435</v>
      </c>
      <c r="L543" s="84">
        <v>137.61237975109211</v>
      </c>
      <c r="M543" s="85">
        <v>4754450.0072117066</v>
      </c>
      <c r="N543" s="83" t="s">
        <v>548</v>
      </c>
      <c r="O543" s="25">
        <f t="shared" si="16"/>
        <v>5.0616667854850306E-3</v>
      </c>
    </row>
    <row r="544" spans="1:15">
      <c r="A544" s="84">
        <v>544.72467911541833</v>
      </c>
      <c r="B544" s="84">
        <v>548.04016322572363</v>
      </c>
      <c r="C544" s="84">
        <v>542.80337331598435</v>
      </c>
      <c r="D544" s="84">
        <v>547.23715593006273</v>
      </c>
      <c r="E544" s="85">
        <v>21111207.888900109</v>
      </c>
      <c r="F544" s="83" t="s">
        <v>549</v>
      </c>
      <c r="G544" s="25">
        <f t="shared" si="15"/>
        <v>-4.5912028951584638E-3</v>
      </c>
      <c r="I544" s="84">
        <v>139.12320219934676</v>
      </c>
      <c r="J544" s="84">
        <v>139.17225487623816</v>
      </c>
      <c r="K544" s="84">
        <v>132.8591753603169</v>
      </c>
      <c r="L544" s="84">
        <v>136.36644175805091</v>
      </c>
      <c r="M544" s="85">
        <v>6493365.3000278752</v>
      </c>
      <c r="N544" s="83" t="s">
        <v>549</v>
      </c>
      <c r="O544" s="25">
        <f t="shared" si="16"/>
        <v>2.0215827338129433E-2</v>
      </c>
    </row>
    <row r="545" spans="1:15">
      <c r="A545" s="84">
        <v>546.23216520420499</v>
      </c>
      <c r="B545" s="84">
        <v>546.57701496307777</v>
      </c>
      <c r="C545" s="84">
        <v>542.63587486167478</v>
      </c>
      <c r="D545" s="84">
        <v>543.66057128803948</v>
      </c>
      <c r="E545" s="85">
        <v>6040170.9625916425</v>
      </c>
      <c r="F545" s="83" t="s">
        <v>550</v>
      </c>
      <c r="G545" s="25">
        <f t="shared" si="15"/>
        <v>4.7301460727102729E-3</v>
      </c>
      <c r="I545" s="84">
        <v>135.89553605989363</v>
      </c>
      <c r="J545" s="84">
        <v>138.44627525824566</v>
      </c>
      <c r="K545" s="84">
        <v>135.32652500795353</v>
      </c>
      <c r="L545" s="84">
        <v>137.83802206479248</v>
      </c>
      <c r="M545" s="85">
        <v>6405865.4881520867</v>
      </c>
      <c r="N545" s="83" t="s">
        <v>550</v>
      </c>
      <c r="O545" s="25">
        <f t="shared" si="16"/>
        <v>-1.4092526690391405E-2</v>
      </c>
    </row>
    <row r="546" spans="1:15">
      <c r="A546" s="84">
        <v>543.13837022460359</v>
      </c>
      <c r="B546" s="84">
        <v>544.5670335113623</v>
      </c>
      <c r="C546" s="84">
        <v>542.10382094798535</v>
      </c>
      <c r="D546" s="84">
        <v>543.18763447587116</v>
      </c>
      <c r="E546" s="85">
        <v>4549321.1453247285</v>
      </c>
      <c r="F546" s="83" t="s">
        <v>551</v>
      </c>
      <c r="G546" s="25">
        <f t="shared" ref="G546:G609" si="17">A546/D546-1</f>
        <v>-9.0694721567308179E-5</v>
      </c>
      <c r="I546" s="84">
        <v>138.30892776294976</v>
      </c>
      <c r="J546" s="84">
        <v>138.41684365211083</v>
      </c>
      <c r="K546" s="84">
        <v>135.66008321081497</v>
      </c>
      <c r="L546" s="84">
        <v>136.56265246561645</v>
      </c>
      <c r="M546" s="85">
        <v>6968462.7152332179</v>
      </c>
      <c r="N546" s="83" t="s">
        <v>551</v>
      </c>
      <c r="O546" s="25">
        <f t="shared" ref="O546:O609" si="18">I546/L546-1</f>
        <v>1.2787356321839027E-2</v>
      </c>
    </row>
    <row r="547" spans="1:15">
      <c r="A547" s="84">
        <v>542.55705205964671</v>
      </c>
      <c r="B547" s="84">
        <v>544.19262520172902</v>
      </c>
      <c r="C547" s="84">
        <v>540.62579488145661</v>
      </c>
      <c r="D547" s="84">
        <v>542.20234945052039</v>
      </c>
      <c r="E547" s="85">
        <v>4782980.4358615382</v>
      </c>
      <c r="F547" s="83" t="s">
        <v>552</v>
      </c>
      <c r="G547" s="25">
        <f t="shared" si="17"/>
        <v>6.5418862438670899E-4</v>
      </c>
      <c r="I547" s="84">
        <v>136.4645471118337</v>
      </c>
      <c r="J547" s="84">
        <v>137.98518009546663</v>
      </c>
      <c r="K547" s="84">
        <v>135.7042306200172</v>
      </c>
      <c r="L547" s="84">
        <v>137.03355816377376</v>
      </c>
      <c r="M547" s="85">
        <v>4585833.3174780505</v>
      </c>
      <c r="N547" s="83" t="s">
        <v>552</v>
      </c>
      <c r="O547" s="25">
        <f t="shared" si="18"/>
        <v>-4.1523482245131582E-3</v>
      </c>
    </row>
    <row r="548" spans="1:15">
      <c r="A548" s="84">
        <v>537.06901446844302</v>
      </c>
      <c r="B548" s="84">
        <v>542.52749350888621</v>
      </c>
      <c r="C548" s="84">
        <v>535.34230246151571</v>
      </c>
      <c r="D548" s="84">
        <v>541.39441572973283</v>
      </c>
      <c r="E548" s="85">
        <v>6429142.6714264201</v>
      </c>
      <c r="F548" s="83" t="s">
        <v>553</v>
      </c>
      <c r="G548" s="25">
        <f t="shared" si="17"/>
        <v>-7.9893717696731814E-3</v>
      </c>
      <c r="I548" s="84">
        <v>136.43511550569886</v>
      </c>
      <c r="J548" s="84">
        <v>136.68037889015577</v>
      </c>
      <c r="K548" s="84">
        <v>135.61593580161275</v>
      </c>
      <c r="L548" s="84">
        <v>136.56265246561645</v>
      </c>
      <c r="M548" s="85">
        <v>3567533.1315248464</v>
      </c>
      <c r="N548" s="83" t="s">
        <v>553</v>
      </c>
      <c r="O548" s="25">
        <f t="shared" si="18"/>
        <v>-9.3390804597692778E-4</v>
      </c>
    </row>
    <row r="549" spans="1:15">
      <c r="A549" s="84">
        <v>539.59134413334095</v>
      </c>
      <c r="B549" s="84">
        <v>541.56191418404239</v>
      </c>
      <c r="C549" s="84">
        <v>539.3869960190832</v>
      </c>
      <c r="D549" s="84">
        <v>540.67515766122676</v>
      </c>
      <c r="E549" s="85">
        <v>4577631.7349331211</v>
      </c>
      <c r="F549" s="83" t="s">
        <v>554</v>
      </c>
      <c r="G549" s="25">
        <f t="shared" si="17"/>
        <v>-2.0045558086559945E-3</v>
      </c>
      <c r="I549" s="84">
        <v>135.92496766602846</v>
      </c>
      <c r="J549" s="84">
        <v>136.22909426275504</v>
      </c>
      <c r="K549" s="84">
        <v>135.03711421429438</v>
      </c>
      <c r="L549" s="84">
        <v>135.54235678627563</v>
      </c>
      <c r="M549" s="85">
        <v>3223863.8137967321</v>
      </c>
      <c r="N549" s="83" t="s">
        <v>554</v>
      </c>
      <c r="O549" s="25">
        <f t="shared" si="18"/>
        <v>2.8228141285469022E-3</v>
      </c>
    </row>
    <row r="550" spans="1:15">
      <c r="A550" s="84">
        <v>539.93619389221374</v>
      </c>
      <c r="B550" s="84">
        <v>540.79339186426887</v>
      </c>
      <c r="C550" s="84">
        <v>536.08372944309224</v>
      </c>
      <c r="D550" s="84">
        <v>536.51725485424652</v>
      </c>
      <c r="E550" s="85">
        <v>5042854.4757707994</v>
      </c>
      <c r="F550" s="83" t="s">
        <v>555</v>
      </c>
      <c r="G550" s="25">
        <f t="shared" si="17"/>
        <v>6.3724679999266343E-3</v>
      </c>
      <c r="I550" s="84">
        <v>134.89486145130937</v>
      </c>
      <c r="J550" s="84">
        <v>136.16042051510709</v>
      </c>
      <c r="K550" s="84">
        <v>133.84513416583371</v>
      </c>
      <c r="L550" s="84">
        <v>134.80656663290486</v>
      </c>
      <c r="M550" s="85">
        <v>3515315.7977864337</v>
      </c>
      <c r="N550" s="83" t="s">
        <v>555</v>
      </c>
      <c r="O550" s="25">
        <f t="shared" si="18"/>
        <v>6.5497416490800653E-4</v>
      </c>
    </row>
    <row r="551" spans="1:15">
      <c r="A551" s="84">
        <v>536.8916631638798</v>
      </c>
      <c r="B551" s="84">
        <v>536.8916631638798</v>
      </c>
      <c r="C551" s="84">
        <v>529.8862866336359</v>
      </c>
      <c r="D551" s="84">
        <v>532.30023494574539</v>
      </c>
      <c r="E551" s="85">
        <v>5988997.9530535638</v>
      </c>
      <c r="F551" s="83" t="s">
        <v>556</v>
      </c>
      <c r="G551" s="25">
        <f t="shared" si="17"/>
        <v>8.6256362795000818E-3</v>
      </c>
      <c r="I551" s="84">
        <v>134.85561930979625</v>
      </c>
      <c r="J551" s="84">
        <v>134.91438441671212</v>
      </c>
      <c r="K551" s="84">
        <v>132.86408062800601</v>
      </c>
      <c r="L551" s="84">
        <v>133.83532363045543</v>
      </c>
      <c r="M551" s="85">
        <v>3990519.2214775425</v>
      </c>
      <c r="N551" s="83" t="s">
        <v>556</v>
      </c>
      <c r="O551" s="25">
        <f t="shared" si="18"/>
        <v>7.623515613546461E-3</v>
      </c>
    </row>
    <row r="552" spans="1:15">
      <c r="A552" s="84">
        <v>533.78801533402498</v>
      </c>
      <c r="B552" s="84">
        <v>535.39402992534667</v>
      </c>
      <c r="C552" s="84">
        <v>528.27041919206067</v>
      </c>
      <c r="D552" s="84">
        <v>533.3840484736312</v>
      </c>
      <c r="E552" s="85">
        <v>6252100.5003674394</v>
      </c>
      <c r="F552" s="83" t="s">
        <v>557</v>
      </c>
      <c r="G552" s="25">
        <f t="shared" si="17"/>
        <v>7.5736584464758394E-4</v>
      </c>
      <c r="I552" s="84">
        <v>133.89418684272511</v>
      </c>
      <c r="J552" s="84">
        <v>134.69865074374383</v>
      </c>
      <c r="K552" s="84">
        <v>131.82416387790866</v>
      </c>
      <c r="L552" s="84">
        <v>132.44222760674009</v>
      </c>
      <c r="M552" s="85">
        <v>8326563.9284964586</v>
      </c>
      <c r="N552" s="83" t="s">
        <v>557</v>
      </c>
      <c r="O552" s="25">
        <f t="shared" si="18"/>
        <v>1.0962962962963063E-2</v>
      </c>
    </row>
    <row r="553" spans="1:15">
      <c r="A553" s="84">
        <v>534.33977494822147</v>
      </c>
      <c r="B553" s="84">
        <v>537.25621862325966</v>
      </c>
      <c r="C553" s="84">
        <v>530.81245455746568</v>
      </c>
      <c r="D553" s="84">
        <v>537.12813156996401</v>
      </c>
      <c r="E553" s="85">
        <v>4738668.3851587912</v>
      </c>
      <c r="F553" s="83" t="s">
        <v>558</v>
      </c>
      <c r="G553" s="25">
        <f t="shared" si="17"/>
        <v>-5.1912317710719469E-3</v>
      </c>
      <c r="I553" s="84">
        <v>132.24601689917458</v>
      </c>
      <c r="J553" s="84">
        <v>132.5305224251446</v>
      </c>
      <c r="K553" s="84">
        <v>129.40096163947422</v>
      </c>
      <c r="L553" s="84">
        <v>129.61679341779632</v>
      </c>
      <c r="M553" s="85">
        <v>3705521.5233711791</v>
      </c>
      <c r="N553" s="83" t="s">
        <v>558</v>
      </c>
      <c r="O553" s="25">
        <f t="shared" si="18"/>
        <v>2.0284589766878636E-2</v>
      </c>
    </row>
    <row r="554" spans="1:15">
      <c r="A554" s="84">
        <v>532.29038209549185</v>
      </c>
      <c r="B554" s="84">
        <v>536.88181031362637</v>
      </c>
      <c r="C554" s="84">
        <v>531.66965252952082</v>
      </c>
      <c r="D554" s="84">
        <v>535.78814393548703</v>
      </c>
      <c r="E554" s="85">
        <v>4878023.9994909177</v>
      </c>
      <c r="F554" s="83" t="s">
        <v>559</v>
      </c>
      <c r="G554" s="25">
        <f t="shared" si="17"/>
        <v>-6.5282553927067388E-3</v>
      </c>
      <c r="I554" s="84">
        <v>130.33296250041053</v>
      </c>
      <c r="J554" s="84">
        <v>132.44222760674009</v>
      </c>
      <c r="K554" s="84">
        <v>128.41990810164651</v>
      </c>
      <c r="L554" s="84">
        <v>132.08904833312212</v>
      </c>
      <c r="M554" s="85">
        <v>5524737.2248423491</v>
      </c>
      <c r="N554" s="83" t="s">
        <v>559</v>
      </c>
      <c r="O554" s="25">
        <f t="shared" si="18"/>
        <v>-1.3294711824123562E-2</v>
      </c>
    </row>
    <row r="555" spans="1:15">
      <c r="A555" s="84">
        <v>535.34476567407921</v>
      </c>
      <c r="B555" s="84">
        <v>535.52211697864232</v>
      </c>
      <c r="C555" s="84">
        <v>529.27540991791852</v>
      </c>
      <c r="D555" s="84">
        <v>530.79274885695872</v>
      </c>
      <c r="E555" s="85">
        <v>6177196.2867631307</v>
      </c>
      <c r="F555" s="83" t="s">
        <v>560</v>
      </c>
      <c r="G555" s="25">
        <f t="shared" si="17"/>
        <v>8.5758835758835694E-3</v>
      </c>
      <c r="I555" s="84">
        <v>131.64757424109965</v>
      </c>
      <c r="J555" s="84">
        <v>132.34412225295733</v>
      </c>
      <c r="K555" s="84">
        <v>129.64622502393115</v>
      </c>
      <c r="L555" s="84">
        <v>131.94189030244797</v>
      </c>
      <c r="M555" s="85">
        <v>4822512.5516349729</v>
      </c>
      <c r="N555" s="83" t="s">
        <v>560</v>
      </c>
      <c r="O555" s="25">
        <f t="shared" si="18"/>
        <v>-2.2306491188937017E-3</v>
      </c>
    </row>
    <row r="556" spans="1:15">
      <c r="A556" s="84">
        <v>524.56574749674189</v>
      </c>
      <c r="B556" s="84">
        <v>526.94018587933465</v>
      </c>
      <c r="C556" s="84">
        <v>521.32415976333789</v>
      </c>
      <c r="D556" s="84">
        <v>521.63945097145017</v>
      </c>
      <c r="E556" s="85">
        <v>6552291.8078469234</v>
      </c>
      <c r="F556" s="83" t="s">
        <v>561</v>
      </c>
      <c r="G556" s="25">
        <f t="shared" si="17"/>
        <v>5.6098067733221235E-3</v>
      </c>
      <c r="I556" s="84">
        <v>129.84243573149666</v>
      </c>
      <c r="J556" s="84">
        <v>130.86273141083748</v>
      </c>
      <c r="K556" s="84">
        <v>128.83195058753415</v>
      </c>
      <c r="L556" s="84">
        <v>129.35190896258283</v>
      </c>
      <c r="M556" s="85">
        <v>5616558.921137807</v>
      </c>
      <c r="N556" s="83" t="s">
        <v>561</v>
      </c>
      <c r="O556" s="25">
        <f t="shared" si="18"/>
        <v>3.7921880925293472E-3</v>
      </c>
    </row>
    <row r="557" spans="1:15">
      <c r="A557" s="84">
        <v>528.1324792885116</v>
      </c>
      <c r="B557" s="84">
        <v>531.29031779476088</v>
      </c>
      <c r="C557" s="84">
        <v>526.57572894845748</v>
      </c>
      <c r="D557" s="84">
        <v>527.7186595778644</v>
      </c>
      <c r="E557" s="85">
        <v>5903440.9844291899</v>
      </c>
      <c r="F557" s="83" t="s">
        <v>562</v>
      </c>
      <c r="G557" s="25">
        <f t="shared" si="17"/>
        <v>7.8416728902142019E-4</v>
      </c>
      <c r="I557" s="84">
        <v>130.86273141416228</v>
      </c>
      <c r="J557" s="84">
        <v>131.7509620816262</v>
      </c>
      <c r="K557" s="84">
        <v>130.31612792649219</v>
      </c>
      <c r="L557" s="84">
        <v>131.38005257213578</v>
      </c>
      <c r="M557" s="85">
        <v>3883847.7395176534</v>
      </c>
      <c r="N557" s="83" t="s">
        <v>562</v>
      </c>
      <c r="O557" s="25">
        <f t="shared" si="18"/>
        <v>-3.937592867756412E-3</v>
      </c>
    </row>
    <row r="558" spans="1:15">
      <c r="A558" s="84">
        <v>527.88615803217397</v>
      </c>
      <c r="B558" s="84">
        <v>536.67539310081543</v>
      </c>
      <c r="C558" s="84">
        <v>526.95013725809076</v>
      </c>
      <c r="D558" s="84">
        <v>532.9505230624768</v>
      </c>
      <c r="E558" s="85">
        <v>6434169.6431884607</v>
      </c>
      <c r="F558" s="83" t="s">
        <v>563</v>
      </c>
      <c r="G558" s="25">
        <f t="shared" si="17"/>
        <v>-9.5025050378065856E-3</v>
      </c>
      <c r="I558" s="84">
        <v>131.7216797519296</v>
      </c>
      <c r="J558" s="84">
        <v>135.49910028279263</v>
      </c>
      <c r="K558" s="84">
        <v>131.62036289117933</v>
      </c>
      <c r="L558" s="84">
        <v>135.18675543269543</v>
      </c>
      <c r="M558" s="85">
        <v>5650063.7659010543</v>
      </c>
      <c r="N558" s="83" t="s">
        <v>563</v>
      </c>
      <c r="O558" s="25">
        <f t="shared" si="18"/>
        <v>-2.5631768953068512E-2</v>
      </c>
    </row>
    <row r="559" spans="1:15">
      <c r="A559" s="84">
        <v>536.8621046131193</v>
      </c>
      <c r="B559" s="84">
        <v>538.02474094303318</v>
      </c>
      <c r="C559" s="84">
        <v>534.01463088985565</v>
      </c>
      <c r="D559" s="84">
        <v>537.19710152173866</v>
      </c>
      <c r="E559" s="85">
        <v>7265110.9230567338</v>
      </c>
      <c r="F559" s="83" t="s">
        <v>564</v>
      </c>
      <c r="G559" s="25">
        <f t="shared" si="17"/>
        <v>-6.2360148197082577E-4</v>
      </c>
      <c r="I559" s="84">
        <v>133.89833292604447</v>
      </c>
      <c r="J559" s="84">
        <v>134.44981680199734</v>
      </c>
      <c r="K559" s="84">
        <v>132.63431236080734</v>
      </c>
      <c r="L559" s="84">
        <v>133.12723157736698</v>
      </c>
      <c r="M559" s="85">
        <v>5121080.2403248157</v>
      </c>
      <c r="N559" s="83" t="s">
        <v>564</v>
      </c>
      <c r="O559" s="25">
        <f t="shared" si="18"/>
        <v>5.7922135053891655E-3</v>
      </c>
    </row>
    <row r="560" spans="1:15">
      <c r="A560" s="84">
        <v>538.77355756229986</v>
      </c>
      <c r="B560" s="84">
        <v>539.39428712827078</v>
      </c>
      <c r="C560" s="84">
        <v>532.6253790041111</v>
      </c>
      <c r="D560" s="84">
        <v>532.67464325537867</v>
      </c>
      <c r="E560" s="85">
        <v>7882042.0489343526</v>
      </c>
      <c r="F560" s="83" t="s">
        <v>565</v>
      </c>
      <c r="G560" s="25">
        <f t="shared" si="17"/>
        <v>1.144960509035764E-2</v>
      </c>
      <c r="I560" s="84">
        <v>133.91785447917553</v>
      </c>
      <c r="J560" s="84">
        <v>134.42541486058352</v>
      </c>
      <c r="K560" s="84">
        <v>131.95427905748636</v>
      </c>
      <c r="L560" s="84">
        <v>132.6294319725246</v>
      </c>
      <c r="M560" s="85">
        <v>5307738.5443815542</v>
      </c>
      <c r="N560" s="83" t="s">
        <v>565</v>
      </c>
      <c r="O560" s="25">
        <f t="shared" si="18"/>
        <v>9.7144539299378607E-3</v>
      </c>
    </row>
    <row r="561" spans="1:15">
      <c r="A561" s="84">
        <v>538.22179794810336</v>
      </c>
      <c r="B561" s="84">
        <v>538.42870780342707</v>
      </c>
      <c r="C561" s="84">
        <v>533.72889823250398</v>
      </c>
      <c r="D561" s="84">
        <v>535.47285272737474</v>
      </c>
      <c r="E561" s="85">
        <v>7363698.6387945423</v>
      </c>
      <c r="F561" s="83" t="s">
        <v>566</v>
      </c>
      <c r="G561" s="25">
        <f t="shared" si="17"/>
        <v>5.1336780319060082E-3</v>
      </c>
      <c r="I561" s="84">
        <v>132.23900090990307</v>
      </c>
      <c r="J561" s="84">
        <v>133.13699235393256</v>
      </c>
      <c r="K561" s="84">
        <v>131.26292325334933</v>
      </c>
      <c r="L561" s="84">
        <v>132.45861838262769</v>
      </c>
      <c r="M561" s="85">
        <v>4893058.4241244337</v>
      </c>
      <c r="N561" s="83" t="s">
        <v>566</v>
      </c>
      <c r="O561" s="25">
        <f t="shared" si="18"/>
        <v>-1.658008179507231E-3</v>
      </c>
    </row>
    <row r="562" spans="1:15">
      <c r="A562" s="84">
        <v>534.77330035937575</v>
      </c>
      <c r="B562" s="84">
        <v>535.25500620826972</v>
      </c>
      <c r="C562" s="84">
        <v>529.92569803465005</v>
      </c>
      <c r="D562" s="84">
        <v>530.33951774529737</v>
      </c>
      <c r="E562" s="85">
        <v>7472145.4305865541</v>
      </c>
      <c r="F562" s="83" t="s">
        <v>567</v>
      </c>
      <c r="G562" s="25">
        <f t="shared" si="17"/>
        <v>8.360271987515322E-3</v>
      </c>
      <c r="I562" s="84">
        <v>132.27804401616524</v>
      </c>
      <c r="J562" s="84">
        <v>132.40493411151724</v>
      </c>
      <c r="K562" s="84">
        <v>128.59823125095758</v>
      </c>
      <c r="L562" s="84">
        <v>128.78368600570278</v>
      </c>
      <c r="M562" s="85">
        <v>6938191.8073103838</v>
      </c>
      <c r="N562" s="83" t="s">
        <v>567</v>
      </c>
      <c r="O562" s="25">
        <f t="shared" si="18"/>
        <v>2.713354555100822E-2</v>
      </c>
    </row>
    <row r="563" spans="1:15">
      <c r="A563" s="84">
        <v>532.16229504219621</v>
      </c>
      <c r="B563" s="84">
        <v>533.45301842540573</v>
      </c>
      <c r="C563" s="84">
        <v>530.3198120447903</v>
      </c>
      <c r="D563" s="84">
        <v>532.41846914878738</v>
      </c>
      <c r="E563" s="85">
        <v>5106442.1670357678</v>
      </c>
      <c r="F563" s="83" t="s">
        <v>568</v>
      </c>
      <c r="G563" s="25">
        <f t="shared" si="17"/>
        <v>-4.8115180339391994E-4</v>
      </c>
      <c r="I563" s="84">
        <v>127.66119670066595</v>
      </c>
      <c r="J563" s="84">
        <v>128.69574140884728</v>
      </c>
      <c r="K563" s="84">
        <v>126.02138623765566</v>
      </c>
      <c r="L563" s="84">
        <v>128.34445106025362</v>
      </c>
      <c r="M563" s="85">
        <v>4962266.0322962124</v>
      </c>
      <c r="N563" s="83" t="s">
        <v>568</v>
      </c>
      <c r="O563" s="25">
        <f t="shared" si="18"/>
        <v>-5.3235987527571194E-3</v>
      </c>
    </row>
    <row r="564" spans="1:15">
      <c r="A564" s="84">
        <v>531.50215407521125</v>
      </c>
      <c r="B564" s="84">
        <v>533.51213552692684</v>
      </c>
      <c r="C564" s="84">
        <v>527.89601088242739</v>
      </c>
      <c r="D564" s="84">
        <v>528.43791764637047</v>
      </c>
      <c r="E564" s="85">
        <v>7466675.9472783282</v>
      </c>
      <c r="F564" s="83" t="s">
        <v>569</v>
      </c>
      <c r="G564" s="25">
        <f t="shared" si="17"/>
        <v>5.7986687300728423E-3</v>
      </c>
      <c r="I564" s="84">
        <v>127.5928712647072</v>
      </c>
      <c r="J564" s="84">
        <v>128.88617415964092</v>
      </c>
      <c r="K564" s="84">
        <v>127.33909107400324</v>
      </c>
      <c r="L564" s="84">
        <v>127.86617300854225</v>
      </c>
      <c r="M564" s="85">
        <v>4440909.9736023583</v>
      </c>
      <c r="N564" s="83" t="s">
        <v>569</v>
      </c>
      <c r="O564" s="25">
        <f t="shared" si="18"/>
        <v>-2.1374045801526576E-3</v>
      </c>
    </row>
    <row r="565" spans="1:15">
      <c r="A565" s="84">
        <v>528.03395078597657</v>
      </c>
      <c r="B565" s="84">
        <v>528.03395078597657</v>
      </c>
      <c r="C565" s="84">
        <v>522.58532459578691</v>
      </c>
      <c r="D565" s="84">
        <v>526.63484604997848</v>
      </c>
      <c r="E565" s="85">
        <v>7909971.0230808984</v>
      </c>
      <c r="F565" s="83" t="s">
        <v>570</v>
      </c>
      <c r="G565" s="25">
        <f t="shared" si="17"/>
        <v>2.6566884939196456E-3</v>
      </c>
      <c r="I565" s="84">
        <v>127.4366988396586</v>
      </c>
      <c r="J565" s="84">
        <v>127.67095747723151</v>
      </c>
      <c r="K565" s="84">
        <v>124.34253266838319</v>
      </c>
      <c r="L565" s="84">
        <v>126.78272680976757</v>
      </c>
      <c r="M565" s="85">
        <v>4801252.2042009225</v>
      </c>
      <c r="N565" s="83" t="s">
        <v>570</v>
      </c>
      <c r="O565" s="25">
        <f t="shared" si="18"/>
        <v>5.1582107937486743E-3</v>
      </c>
    </row>
    <row r="566" spans="1:15">
      <c r="A566" s="84">
        <v>511.018078398169</v>
      </c>
      <c r="B566" s="84">
        <v>513.95481894472948</v>
      </c>
      <c r="C566" s="84">
        <v>509.74706071546655</v>
      </c>
      <c r="D566" s="84">
        <v>513.02805984988458</v>
      </c>
      <c r="E566" s="85">
        <v>4810289.2848825827</v>
      </c>
      <c r="F566" s="83" t="s">
        <v>571</v>
      </c>
      <c r="G566" s="25">
        <f t="shared" si="17"/>
        <v>-3.9178782000807155E-3</v>
      </c>
      <c r="I566" s="84">
        <v>125.59191206877199</v>
      </c>
      <c r="J566" s="84">
        <v>125.76760604695167</v>
      </c>
      <c r="K566" s="84">
        <v>123.01584791759532</v>
      </c>
      <c r="L566" s="84">
        <v>125.76760604695167</v>
      </c>
      <c r="M566" s="85">
        <v>4976812.0060767503</v>
      </c>
      <c r="N566" s="83" t="s">
        <v>571</v>
      </c>
      <c r="O566" s="25">
        <f t="shared" si="18"/>
        <v>-1.3969732246799094E-3</v>
      </c>
    </row>
    <row r="567" spans="1:15">
      <c r="A567" s="84">
        <v>511.69792506566108</v>
      </c>
      <c r="B567" s="84">
        <v>516.51596883962623</v>
      </c>
      <c r="C567" s="84">
        <v>508.74699641473558</v>
      </c>
      <c r="D567" s="84">
        <v>511.89498207073115</v>
      </c>
      <c r="E567" s="85">
        <v>5164190.9387475308</v>
      </c>
      <c r="F567" s="83" t="s">
        <v>572</v>
      </c>
      <c r="G567" s="25">
        <f t="shared" si="17"/>
        <v>-3.8495592254672584E-4</v>
      </c>
      <c r="I567" s="84">
        <v>125.59191206877199</v>
      </c>
      <c r="J567" s="84">
        <v>127.40741650996199</v>
      </c>
      <c r="K567" s="84">
        <v>124.44502082232134</v>
      </c>
      <c r="L567" s="84">
        <v>124.92817926231544</v>
      </c>
      <c r="M567" s="85">
        <v>4864916.1960798083</v>
      </c>
      <c r="N567" s="83" t="s">
        <v>572</v>
      </c>
      <c r="O567" s="25">
        <f t="shared" si="18"/>
        <v>5.3129150714898987E-3</v>
      </c>
    </row>
    <row r="568" spans="1:15">
      <c r="A568" s="84">
        <v>508.30854457845442</v>
      </c>
      <c r="B568" s="84">
        <v>510.55499443625411</v>
      </c>
      <c r="C568" s="84">
        <v>503.57917645677088</v>
      </c>
      <c r="D568" s="84">
        <v>507.34296525361066</v>
      </c>
      <c r="E568" s="85">
        <v>5548997.3554136399</v>
      </c>
      <c r="F568" s="83" t="s">
        <v>573</v>
      </c>
      <c r="G568" s="25">
        <f t="shared" si="17"/>
        <v>1.9032082653616111E-3</v>
      </c>
      <c r="I568" s="84">
        <v>124.4499012106041</v>
      </c>
      <c r="J568" s="84">
        <v>125.72856294068953</v>
      </c>
      <c r="K568" s="84">
        <v>124.33277189181764</v>
      </c>
      <c r="L568" s="84">
        <v>124.75248528413577</v>
      </c>
      <c r="M568" s="85">
        <v>4128085.4785943804</v>
      </c>
      <c r="N568" s="83" t="s">
        <v>573</v>
      </c>
      <c r="O568" s="25">
        <f t="shared" si="18"/>
        <v>-2.4254753149206554E-3</v>
      </c>
    </row>
    <row r="569" spans="1:15">
      <c r="A569" s="84">
        <v>506.02268331964075</v>
      </c>
      <c r="B569" s="84">
        <v>510.20521825225472</v>
      </c>
      <c r="C569" s="84">
        <v>504.40681587806546</v>
      </c>
      <c r="D569" s="84">
        <v>505.34283665214866</v>
      </c>
      <c r="E569" s="85">
        <v>4764377.6970312437</v>
      </c>
      <c r="F569" s="83" t="s">
        <v>574</v>
      </c>
      <c r="G569" s="25">
        <f t="shared" si="17"/>
        <v>1.3453177094504554E-3</v>
      </c>
      <c r="I569" s="84">
        <v>125.09411246392958</v>
      </c>
      <c r="J569" s="84">
        <v>125.59191206877199</v>
      </c>
      <c r="K569" s="84">
        <v>123.871575199096</v>
      </c>
      <c r="L569" s="84">
        <v>124.52798742312841</v>
      </c>
      <c r="M569" s="85">
        <v>2659687.9690555865</v>
      </c>
      <c r="N569" s="83" t="s">
        <v>574</v>
      </c>
      <c r="O569" s="25">
        <f t="shared" si="18"/>
        <v>4.5461671108322221E-3</v>
      </c>
    </row>
    <row r="570" spans="1:15">
      <c r="A570" s="84">
        <v>510.36779028143752</v>
      </c>
      <c r="B570" s="84">
        <v>513.18570545394073</v>
      </c>
      <c r="C570" s="84">
        <v>508.67310003783422</v>
      </c>
      <c r="D570" s="84">
        <v>509.47118090836841</v>
      </c>
      <c r="E570" s="85">
        <v>4865086.626373467</v>
      </c>
      <c r="F570" s="83" t="s">
        <v>575</v>
      </c>
      <c r="G570" s="25">
        <f t="shared" si="17"/>
        <v>1.7598824166471516E-3</v>
      </c>
      <c r="I570" s="84">
        <v>125.51382585624771</v>
      </c>
      <c r="J570" s="84">
        <v>126.94377962309896</v>
      </c>
      <c r="K570" s="84">
        <v>125.21124178271603</v>
      </c>
      <c r="L570" s="84">
        <v>126.89009535198849</v>
      </c>
      <c r="M570" s="85">
        <v>3374337.0498089087</v>
      </c>
      <c r="N570" s="83" t="s">
        <v>575</v>
      </c>
      <c r="O570" s="25">
        <f t="shared" si="18"/>
        <v>-1.0846153846153728E-2</v>
      </c>
    </row>
    <row r="571" spans="1:15">
      <c r="A571" s="84">
        <v>513.04776555039166</v>
      </c>
      <c r="B571" s="84">
        <v>514.72275009348789</v>
      </c>
      <c r="C571" s="84">
        <v>509.28397675355171</v>
      </c>
      <c r="D571" s="84">
        <v>511.48116236008389</v>
      </c>
      <c r="E571" s="85">
        <v>6379260.6588762915</v>
      </c>
      <c r="F571" s="83" t="s">
        <v>576</v>
      </c>
      <c r="G571" s="25">
        <f t="shared" si="17"/>
        <v>3.0628756356914089E-3</v>
      </c>
      <c r="I571" s="84">
        <v>127.0950716598648</v>
      </c>
      <c r="J571" s="84">
        <v>127.86617300854225</v>
      </c>
      <c r="K571" s="84">
        <v>124.79152839039791</v>
      </c>
      <c r="L571" s="84">
        <v>126.28492720492517</v>
      </c>
      <c r="M571" s="85">
        <v>5125129.0985006634</v>
      </c>
      <c r="N571" s="83" t="s">
        <v>576</v>
      </c>
      <c r="O571" s="25">
        <f t="shared" si="18"/>
        <v>6.4152110063380174E-3</v>
      </c>
    </row>
    <row r="572" spans="1:15">
      <c r="A572" s="84">
        <v>505.79606776381007</v>
      </c>
      <c r="B572" s="84">
        <v>510.81116854284545</v>
      </c>
      <c r="C572" s="84">
        <v>505.22460244910656</v>
      </c>
      <c r="D572" s="84">
        <v>507.54987510893437</v>
      </c>
      <c r="E572" s="85">
        <v>5870872.7435908839</v>
      </c>
      <c r="F572" s="83" t="s">
        <v>577</v>
      </c>
      <c r="G572" s="25">
        <f t="shared" si="17"/>
        <v>-3.4554384330168775E-3</v>
      </c>
      <c r="I572" s="84">
        <v>124.36205422151426</v>
      </c>
      <c r="J572" s="84">
        <v>125.02578702797082</v>
      </c>
      <c r="K572" s="84">
        <v>122.42942046153783</v>
      </c>
      <c r="L572" s="84">
        <v>123.37621578839497</v>
      </c>
      <c r="M572" s="85">
        <v>4939049.6418298949</v>
      </c>
      <c r="N572" s="83" t="s">
        <v>577</v>
      </c>
      <c r="O572" s="25">
        <f t="shared" si="18"/>
        <v>7.9905063291139111E-3</v>
      </c>
    </row>
    <row r="573" spans="1:15">
      <c r="A573" s="84">
        <v>502.23918882229384</v>
      </c>
      <c r="B573" s="84">
        <v>503.97329046691112</v>
      </c>
      <c r="C573" s="84">
        <v>490.43547421859176</v>
      </c>
      <c r="D573" s="84">
        <v>495.85454185802092</v>
      </c>
      <c r="E573" s="85">
        <v>7991277.4450185318</v>
      </c>
      <c r="F573" s="83" t="s">
        <v>578</v>
      </c>
      <c r="G573" s="25">
        <f t="shared" si="17"/>
        <v>1.2876048165957998E-2</v>
      </c>
      <c r="I573" s="84">
        <v>123.11267482112545</v>
      </c>
      <c r="J573" s="84">
        <v>123.5421489900091</v>
      </c>
      <c r="K573" s="84">
        <v>120.64319835004444</v>
      </c>
      <c r="L573" s="84">
        <v>122.78080841789718</v>
      </c>
      <c r="M573" s="85">
        <v>5813198.3268971555</v>
      </c>
      <c r="N573" s="83" t="s">
        <v>578</v>
      </c>
      <c r="O573" s="25">
        <f t="shared" si="18"/>
        <v>2.7029175610142619E-3</v>
      </c>
    </row>
    <row r="574" spans="1:15">
      <c r="A574" s="84">
        <v>501.99286756595615</v>
      </c>
      <c r="B574" s="84">
        <v>503.0369741073203</v>
      </c>
      <c r="C574" s="84">
        <v>496.83982688337164</v>
      </c>
      <c r="D574" s="84">
        <v>497.11570669046989</v>
      </c>
      <c r="E574" s="85">
        <v>6622912.9968528459</v>
      </c>
      <c r="F574" s="83" t="s">
        <v>579</v>
      </c>
      <c r="G574" s="25">
        <f t="shared" si="17"/>
        <v>9.810916874777087E-3</v>
      </c>
      <c r="I574" s="84">
        <v>122.72224375850395</v>
      </c>
      <c r="J574" s="84">
        <v>123.01994744375284</v>
      </c>
      <c r="K574" s="84">
        <v>121.41429969872192</v>
      </c>
      <c r="L574" s="84">
        <v>121.81449153790895</v>
      </c>
      <c r="M574" s="85">
        <v>4419483.3997436343</v>
      </c>
      <c r="N574" s="83" t="s">
        <v>579</v>
      </c>
      <c r="O574" s="25">
        <f t="shared" si="18"/>
        <v>7.451923076923217E-3</v>
      </c>
    </row>
    <row r="575" spans="1:15">
      <c r="A575" s="84">
        <v>498.96804253812934</v>
      </c>
      <c r="B575" s="84">
        <v>501.25390379694306</v>
      </c>
      <c r="C575" s="84">
        <v>493.58838629971416</v>
      </c>
      <c r="D575" s="84">
        <v>499.3523036980161</v>
      </c>
      <c r="E575" s="85">
        <v>4272891.4899536427</v>
      </c>
      <c r="F575" s="83" t="s">
        <v>580</v>
      </c>
      <c r="G575" s="25">
        <f t="shared" si="17"/>
        <v>-7.6951914918799158E-4</v>
      </c>
      <c r="I575" s="84">
        <v>121.81449153790895</v>
      </c>
      <c r="J575" s="84">
        <v>123.28836879930513</v>
      </c>
      <c r="K575" s="84">
        <v>120.71640417428598</v>
      </c>
      <c r="L575" s="84">
        <v>122.91745928981472</v>
      </c>
      <c r="M575" s="85">
        <v>5594354.0591631811</v>
      </c>
      <c r="N575" s="83" t="s">
        <v>580</v>
      </c>
      <c r="O575" s="25">
        <f t="shared" si="18"/>
        <v>-8.9732391010880486E-3</v>
      </c>
    </row>
    <row r="576" spans="1:15">
      <c r="A576" s="84">
        <v>498.66260418027059</v>
      </c>
      <c r="B576" s="84">
        <v>499.06657104066437</v>
      </c>
      <c r="C576" s="84">
        <v>492.39619141903978</v>
      </c>
      <c r="D576" s="84">
        <v>495.04660813723331</v>
      </c>
      <c r="E576" s="85">
        <v>7036971.8625650965</v>
      </c>
      <c r="F576" s="83" t="s">
        <v>581</v>
      </c>
      <c r="G576" s="25">
        <f t="shared" si="17"/>
        <v>7.3043547488258476E-3</v>
      </c>
      <c r="I576" s="84">
        <v>122.22444415366154</v>
      </c>
      <c r="J576" s="84">
        <v>122.49774589749659</v>
      </c>
      <c r="K576" s="84">
        <v>119.48176354651113</v>
      </c>
      <c r="L576" s="84">
        <v>119.79401078884268</v>
      </c>
      <c r="M576" s="85">
        <v>6357979.7758214641</v>
      </c>
      <c r="N576" s="83" t="s">
        <v>581</v>
      </c>
      <c r="O576" s="25">
        <f t="shared" si="18"/>
        <v>2.0288438034710365E-2</v>
      </c>
    </row>
    <row r="577" spans="1:15">
      <c r="A577" s="84">
        <v>495.01704958647281</v>
      </c>
      <c r="B577" s="84">
        <v>495.59836775142969</v>
      </c>
      <c r="C577" s="84">
        <v>484.98004956172713</v>
      </c>
      <c r="D577" s="84">
        <v>486.00169160451338</v>
      </c>
      <c r="E577" s="85">
        <v>6276694.3989617815</v>
      </c>
      <c r="F577" s="83" t="s">
        <v>582</v>
      </c>
      <c r="G577" s="25">
        <f t="shared" si="17"/>
        <v>1.8550054737866528E-2</v>
      </c>
      <c r="I577" s="84">
        <v>119.05219176986182</v>
      </c>
      <c r="J577" s="84">
        <v>119.14003875895166</v>
      </c>
      <c r="K577" s="84">
        <v>116.65104073473958</v>
      </c>
      <c r="L577" s="84">
        <v>117.15860111614754</v>
      </c>
      <c r="M577" s="85">
        <v>4623424.1401790101</v>
      </c>
      <c r="N577" s="83" t="s">
        <v>582</v>
      </c>
      <c r="O577" s="25">
        <f t="shared" si="18"/>
        <v>1.6162626010164161E-2</v>
      </c>
    </row>
    <row r="578" spans="1:15">
      <c r="A578" s="84">
        <v>484.82920242434597</v>
      </c>
      <c r="B578" s="84">
        <v>493.80514900529136</v>
      </c>
      <c r="C578" s="84">
        <v>483.47936193961544</v>
      </c>
      <c r="D578" s="84">
        <v>489.38121924146645</v>
      </c>
      <c r="E578" s="85">
        <v>8167789.8201437779</v>
      </c>
      <c r="F578" s="83" t="s">
        <v>583</v>
      </c>
      <c r="G578" s="25">
        <f t="shared" si="17"/>
        <v>-9.3015764360063757E-3</v>
      </c>
      <c r="I578" s="84">
        <v>117.40262053028597</v>
      </c>
      <c r="J578" s="84">
        <v>119.68664224662177</v>
      </c>
      <c r="K578" s="84">
        <v>114.46950717234193</v>
      </c>
      <c r="L578" s="84">
        <v>114.5671149379973</v>
      </c>
      <c r="M578" s="85">
        <v>10712524.69492843</v>
      </c>
      <c r="N578" s="83" t="s">
        <v>583</v>
      </c>
      <c r="O578" s="25">
        <f t="shared" si="18"/>
        <v>2.4749733759318548E-2</v>
      </c>
    </row>
    <row r="579" spans="1:15">
      <c r="A579" s="84">
        <v>477.16368492711712</v>
      </c>
      <c r="B579" s="84">
        <v>479.32145913263525</v>
      </c>
      <c r="C579" s="84">
        <v>470.1681612471267</v>
      </c>
      <c r="D579" s="84">
        <v>471.03521206943537</v>
      </c>
      <c r="E579" s="85">
        <v>6329456.7963010622</v>
      </c>
      <c r="F579" s="83" t="s">
        <v>584</v>
      </c>
      <c r="G579" s="25">
        <f t="shared" si="17"/>
        <v>1.301064697638421E-2</v>
      </c>
      <c r="I579" s="84">
        <v>111.02883343298994</v>
      </c>
      <c r="J579" s="84">
        <v>114.38654057153487</v>
      </c>
      <c r="K579" s="84">
        <v>109.93562645764972</v>
      </c>
      <c r="L579" s="84">
        <v>111.79017400510186</v>
      </c>
      <c r="M579" s="85">
        <v>17513408.779743459</v>
      </c>
      <c r="N579" s="83" t="s">
        <v>584</v>
      </c>
      <c r="O579" s="25">
        <f t="shared" si="18"/>
        <v>-6.8104426787740646E-3</v>
      </c>
    </row>
    <row r="580" spans="1:15">
      <c r="A580" s="84">
        <v>465.41908742493609</v>
      </c>
      <c r="B580" s="84">
        <v>472.43431680543347</v>
      </c>
      <c r="C580" s="84">
        <v>460.45325089716829</v>
      </c>
      <c r="D580" s="84">
        <v>471.97123284351858</v>
      </c>
      <c r="E580" s="85">
        <v>7878431.9260678925</v>
      </c>
      <c r="F580" s="83" t="s">
        <v>585</v>
      </c>
      <c r="G580" s="25">
        <f t="shared" si="17"/>
        <v>-1.3882510124838099E-2</v>
      </c>
      <c r="I580" s="84">
        <v>123.10291404455992</v>
      </c>
      <c r="J580" s="84">
        <v>125.65047672816522</v>
      </c>
      <c r="K580" s="84">
        <v>121.74626370971585</v>
      </c>
      <c r="L580" s="84">
        <v>125.42597886715787</v>
      </c>
      <c r="M580" s="85">
        <v>6554183.4269491471</v>
      </c>
      <c r="N580" s="83" t="s">
        <v>585</v>
      </c>
      <c r="O580" s="25">
        <f t="shared" si="18"/>
        <v>-1.8521400778210073E-2</v>
      </c>
    </row>
    <row r="581" spans="1:15">
      <c r="A581" s="84">
        <v>476.7794237672303</v>
      </c>
      <c r="B581" s="84">
        <v>480.97673797522452</v>
      </c>
      <c r="C581" s="84">
        <v>474.4147397063885</v>
      </c>
      <c r="D581" s="84">
        <v>477.65632743979251</v>
      </c>
      <c r="E581" s="85">
        <v>5723155.0819445113</v>
      </c>
      <c r="F581" s="83" t="s">
        <v>586</v>
      </c>
      <c r="G581" s="25">
        <f t="shared" si="17"/>
        <v>-1.8358464489779402E-3</v>
      </c>
      <c r="I581" s="84">
        <v>125.80664915321381</v>
      </c>
      <c r="J581" s="84">
        <v>127.37813418026538</v>
      </c>
      <c r="K581" s="84">
        <v>124.64521434968051</v>
      </c>
      <c r="L581" s="84">
        <v>126.26540565179411</v>
      </c>
      <c r="M581" s="85">
        <v>5356488.7638753643</v>
      </c>
      <c r="N581" s="83" t="s">
        <v>586</v>
      </c>
      <c r="O581" s="25">
        <f t="shared" si="18"/>
        <v>-3.6332714904145913E-3</v>
      </c>
    </row>
    <row r="582" spans="1:15">
      <c r="A582" s="84">
        <v>476.11928280024529</v>
      </c>
      <c r="B582" s="84">
        <v>484.52869049161399</v>
      </c>
      <c r="C582" s="84">
        <v>471.19285767349152</v>
      </c>
      <c r="D582" s="84">
        <v>481.45952763764637</v>
      </c>
      <c r="E582" s="85">
        <v>6470076.0043831877</v>
      </c>
      <c r="F582" s="83" t="s">
        <v>587</v>
      </c>
      <c r="G582" s="25">
        <f t="shared" si="17"/>
        <v>-1.1091783485112083E-2</v>
      </c>
      <c r="I582" s="84">
        <v>126.15803710957317</v>
      </c>
      <c r="J582" s="84">
        <v>127.08882476286284</v>
      </c>
      <c r="K582" s="84">
        <v>125.36741420776464</v>
      </c>
      <c r="L582" s="84">
        <v>126.80224836289865</v>
      </c>
      <c r="M582" s="85">
        <v>5514883.9478670442</v>
      </c>
      <c r="N582" s="83" t="s">
        <v>587</v>
      </c>
      <c r="O582" s="25">
        <f t="shared" si="18"/>
        <v>-5.0804403048264613E-3</v>
      </c>
    </row>
    <row r="583" spans="1:15">
      <c r="A583" s="84">
        <v>486.81947817555448</v>
      </c>
      <c r="B583" s="84">
        <v>491.92325460687141</v>
      </c>
      <c r="C583" s="84">
        <v>486.15933720856953</v>
      </c>
      <c r="D583" s="84">
        <v>488.73093112473492</v>
      </c>
      <c r="E583" s="85">
        <v>8323056.5663784929</v>
      </c>
      <c r="F583" s="83" t="s">
        <v>588</v>
      </c>
      <c r="G583" s="25">
        <f t="shared" si="17"/>
        <v>-3.911053766909256E-3</v>
      </c>
      <c r="I583" s="84">
        <v>125.56262973907538</v>
      </c>
      <c r="J583" s="84">
        <v>126.84129146916079</v>
      </c>
      <c r="K583" s="84">
        <v>125.17219867645389</v>
      </c>
      <c r="L583" s="84">
        <v>125.42597886715787</v>
      </c>
      <c r="M583" s="85">
        <v>6470336.6147098867</v>
      </c>
      <c r="N583" s="83" t="s">
        <v>588</v>
      </c>
      <c r="O583" s="25">
        <f t="shared" si="18"/>
        <v>1.0894941634240762E-3</v>
      </c>
    </row>
    <row r="584" spans="1:15">
      <c r="A584" s="84">
        <v>488.18902436079208</v>
      </c>
      <c r="B584" s="84">
        <v>492.89868678196865</v>
      </c>
      <c r="C584" s="84">
        <v>483.46950908936191</v>
      </c>
      <c r="D584" s="84">
        <v>492.69177692664499</v>
      </c>
      <c r="E584" s="85">
        <v>7816507.71284007</v>
      </c>
      <c r="F584" s="83" t="s">
        <v>589</v>
      </c>
      <c r="G584" s="25">
        <f t="shared" si="17"/>
        <v>-9.1390860913908023E-3</v>
      </c>
      <c r="I584" s="84">
        <v>126.05066856735225</v>
      </c>
      <c r="J584" s="84">
        <v>126.84129146916079</v>
      </c>
      <c r="K584" s="84">
        <v>125.21124178271603</v>
      </c>
      <c r="L584" s="84">
        <v>126.15803710957317</v>
      </c>
      <c r="M584" s="85">
        <v>4200645.2790615465</v>
      </c>
      <c r="N584" s="83" t="s">
        <v>589</v>
      </c>
      <c r="O584" s="25">
        <f t="shared" si="18"/>
        <v>-8.5106382978727968E-4</v>
      </c>
    </row>
    <row r="585" spans="1:15">
      <c r="A585" s="84">
        <v>483.33156918581284</v>
      </c>
      <c r="B585" s="84">
        <v>485.74551749792215</v>
      </c>
      <c r="C585" s="84">
        <v>470.96624211766084</v>
      </c>
      <c r="D585" s="84">
        <v>473.61665883585437</v>
      </c>
      <c r="E585" s="85">
        <v>11713559.734546266</v>
      </c>
      <c r="F585" s="83" t="s">
        <v>590</v>
      </c>
      <c r="G585" s="25">
        <f t="shared" si="17"/>
        <v>2.051218040733116E-2</v>
      </c>
      <c r="I585" s="84">
        <v>125.19172022958494</v>
      </c>
      <c r="J585" s="84">
        <v>126.22636254553194</v>
      </c>
      <c r="K585" s="84">
        <v>122.00970706921971</v>
      </c>
      <c r="L585" s="84">
        <v>123.14195715082207</v>
      </c>
      <c r="M585" s="85">
        <v>3744105.7844752804</v>
      </c>
      <c r="N585" s="83" t="s">
        <v>590</v>
      </c>
      <c r="O585" s="25">
        <f t="shared" si="18"/>
        <v>1.6645529486366328E-2</v>
      </c>
    </row>
    <row r="586" spans="1:15">
      <c r="A586" s="84">
        <v>474.96649932058489</v>
      </c>
      <c r="B586" s="84">
        <v>483.08524792947514</v>
      </c>
      <c r="C586" s="84">
        <v>461.43853592251901</v>
      </c>
      <c r="D586" s="84">
        <v>481.95217015032176</v>
      </c>
      <c r="E586" s="85">
        <v>16899985.863554809</v>
      </c>
      <c r="F586" s="83" t="s">
        <v>591</v>
      </c>
      <c r="G586" s="25">
        <f t="shared" si="17"/>
        <v>-1.4494531329858007E-2</v>
      </c>
      <c r="I586" s="84">
        <v>124.03018781828598</v>
      </c>
      <c r="J586" s="84">
        <v>126.19708021583533</v>
      </c>
      <c r="K586" s="84">
        <v>120.80913155165858</v>
      </c>
      <c r="L586" s="84">
        <v>123.87401539323739</v>
      </c>
      <c r="M586" s="85">
        <v>6616416.1802471466</v>
      </c>
      <c r="N586" s="83" t="s">
        <v>591</v>
      </c>
      <c r="O586" s="25">
        <f t="shared" si="18"/>
        <v>1.2607359546135122E-3</v>
      </c>
    </row>
    <row r="587" spans="1:15">
      <c r="A587" s="84">
        <v>491.75575615256179</v>
      </c>
      <c r="B587" s="84">
        <v>494.67338216963043</v>
      </c>
      <c r="C587" s="84">
        <v>446.49176208794813</v>
      </c>
      <c r="D587" s="84">
        <v>446.81690614631384</v>
      </c>
      <c r="E587" s="85">
        <v>29723981.636252075</v>
      </c>
      <c r="F587" s="83" t="s">
        <v>592</v>
      </c>
      <c r="G587" s="25">
        <f t="shared" si="17"/>
        <v>0.10057553639551031</v>
      </c>
      <c r="I587" s="84">
        <v>125.3576534311991</v>
      </c>
      <c r="J587" s="84">
        <v>125.84813245361737</v>
      </c>
      <c r="K587" s="84">
        <v>115.34309667495755</v>
      </c>
      <c r="L587" s="84">
        <v>116.17276268302824</v>
      </c>
      <c r="M587" s="85">
        <v>6912802.4340022206</v>
      </c>
      <c r="N587" s="83" t="s">
        <v>592</v>
      </c>
      <c r="O587" s="25">
        <f t="shared" si="18"/>
        <v>7.9062342463451563E-2</v>
      </c>
    </row>
    <row r="588" spans="1:15">
      <c r="A588" s="84">
        <v>450.01908247870381</v>
      </c>
      <c r="B588" s="84">
        <v>475.39017188148574</v>
      </c>
      <c r="C588" s="84">
        <v>442.98414739769942</v>
      </c>
      <c r="D588" s="84">
        <v>472.62152096025011</v>
      </c>
      <c r="E588" s="85">
        <v>19286484.124972031</v>
      </c>
      <c r="F588" s="83" t="s">
        <v>593</v>
      </c>
      <c r="G588" s="25">
        <f t="shared" si="17"/>
        <v>-4.7823549032688373E-2</v>
      </c>
      <c r="I588" s="84">
        <v>117.57831450846564</v>
      </c>
      <c r="J588" s="84">
        <v>121.00434708296933</v>
      </c>
      <c r="K588" s="84">
        <v>115.86041783293103</v>
      </c>
      <c r="L588" s="84">
        <v>120.06731253267773</v>
      </c>
      <c r="M588" s="85">
        <v>8307293.9387107249</v>
      </c>
      <c r="N588" s="83" t="s">
        <v>593</v>
      </c>
      <c r="O588" s="25">
        <f t="shared" si="18"/>
        <v>-2.0730021949435073E-2</v>
      </c>
    </row>
    <row r="589" spans="1:15">
      <c r="A589" s="84">
        <v>456.73872635159597</v>
      </c>
      <c r="B589" s="84">
        <v>473.6856287876289</v>
      </c>
      <c r="C589" s="84">
        <v>436.28420922531427</v>
      </c>
      <c r="D589" s="84">
        <v>442.92503029617836</v>
      </c>
      <c r="E589" s="85">
        <v>31752504.295762185</v>
      </c>
      <c r="F589" s="83" t="s">
        <v>594</v>
      </c>
      <c r="G589" s="25">
        <f t="shared" si="17"/>
        <v>3.1187436045735595E-2</v>
      </c>
      <c r="I589" s="84">
        <v>114.51343066688685</v>
      </c>
      <c r="J589" s="84">
        <v>117.05123257392663</v>
      </c>
      <c r="K589" s="84">
        <v>109.58423850129037</v>
      </c>
      <c r="L589" s="84">
        <v>111.19476663460408</v>
      </c>
      <c r="M589" s="85">
        <v>8989904.5850320868</v>
      </c>
      <c r="N589" s="83" t="s">
        <v>594</v>
      </c>
      <c r="O589" s="25">
        <f t="shared" si="18"/>
        <v>2.9845505617977386E-2</v>
      </c>
    </row>
    <row r="590" spans="1:15">
      <c r="A590" s="84">
        <v>458.66988500128343</v>
      </c>
      <c r="B590" s="84">
        <v>476.18825275201988</v>
      </c>
      <c r="C590" s="84">
        <v>457.40872016883446</v>
      </c>
      <c r="D590" s="84">
        <v>474.19797700081131</v>
      </c>
      <c r="E590" s="85">
        <v>31428984.713307835</v>
      </c>
      <c r="F590" s="83" t="s">
        <v>595</v>
      </c>
      <c r="G590" s="25">
        <f t="shared" si="17"/>
        <v>-3.2746010638297851E-2</v>
      </c>
      <c r="I590" s="84">
        <v>114.64032076223884</v>
      </c>
      <c r="J590" s="84">
        <v>123.35669423526389</v>
      </c>
      <c r="K590" s="84">
        <v>114.54271299658346</v>
      </c>
      <c r="L590" s="84">
        <v>122.98578472577347</v>
      </c>
      <c r="M590" s="85">
        <v>8735645.1023632176</v>
      </c>
      <c r="N590" s="83" t="s">
        <v>595</v>
      </c>
      <c r="O590" s="25">
        <f t="shared" si="18"/>
        <v>-6.7857142857142838E-2</v>
      </c>
    </row>
    <row r="591" spans="1:15">
      <c r="A591" s="84">
        <v>486.88844812732907</v>
      </c>
      <c r="B591" s="84">
        <v>496.24865586816122</v>
      </c>
      <c r="C591" s="84">
        <v>486.23816001059754</v>
      </c>
      <c r="D591" s="84">
        <v>493.62779770072819</v>
      </c>
      <c r="E591" s="85">
        <v>16468354.417772302</v>
      </c>
      <c r="F591" s="83" t="s">
        <v>596</v>
      </c>
      <c r="G591" s="25">
        <f t="shared" si="17"/>
        <v>-1.3652694610778338E-2</v>
      </c>
      <c r="I591" s="84">
        <v>127.11459321299586</v>
      </c>
      <c r="J591" s="84">
        <v>130.51134345780295</v>
      </c>
      <c r="K591" s="84">
        <v>126.83153069259527</v>
      </c>
      <c r="L591" s="84">
        <v>127.86617300854225</v>
      </c>
      <c r="M591" s="85">
        <v>4718089.7637383491</v>
      </c>
      <c r="N591" s="83" t="s">
        <v>596</v>
      </c>
      <c r="O591" s="25">
        <f t="shared" si="18"/>
        <v>-5.8778625954197805E-3</v>
      </c>
    </row>
    <row r="592" spans="1:15">
      <c r="A592" s="84">
        <v>511.27425250476017</v>
      </c>
      <c r="B592" s="84">
        <v>513.81628787016518</v>
      </c>
      <c r="C592" s="84">
        <v>502.42619592010539</v>
      </c>
      <c r="D592" s="84">
        <v>502.63330283243408</v>
      </c>
      <c r="E592" s="85">
        <v>6402860.9363611965</v>
      </c>
      <c r="F592" s="83" t="s">
        <v>597</v>
      </c>
      <c r="G592" s="25">
        <f t="shared" si="17"/>
        <v>1.7191359234719705E-2</v>
      </c>
      <c r="I592" s="84">
        <v>129.96473997013283</v>
      </c>
      <c r="J592" s="84">
        <v>130.48206112810632</v>
      </c>
      <c r="K592" s="84">
        <v>128.07114931641854</v>
      </c>
      <c r="L592" s="84">
        <v>128.21756096490162</v>
      </c>
      <c r="M592" s="85">
        <v>3435027.9175920682</v>
      </c>
      <c r="N592" s="83" t="s">
        <v>597</v>
      </c>
      <c r="O592" s="25">
        <f t="shared" si="18"/>
        <v>1.3626674786845205E-2</v>
      </c>
    </row>
    <row r="593" spans="1:15">
      <c r="A593" s="84">
        <v>508.21001607591933</v>
      </c>
      <c r="B593" s="84">
        <v>509.73720786521307</v>
      </c>
      <c r="C593" s="84">
        <v>501.39184370049213</v>
      </c>
      <c r="D593" s="84">
        <v>504.82063558871278</v>
      </c>
      <c r="E593" s="85">
        <v>7811969.9396222057</v>
      </c>
      <c r="F593" s="83" t="s">
        <v>598</v>
      </c>
      <c r="G593" s="25">
        <f t="shared" si="17"/>
        <v>6.7140291982199507E-3</v>
      </c>
      <c r="I593" s="84">
        <v>129.67191667316669</v>
      </c>
      <c r="J593" s="84">
        <v>129.85249103962914</v>
      </c>
      <c r="K593" s="84">
        <v>128.21756096490162</v>
      </c>
      <c r="L593" s="84">
        <v>129.11555240893105</v>
      </c>
      <c r="M593" s="85">
        <v>4916936.6471771877</v>
      </c>
      <c r="N593" s="83" t="s">
        <v>598</v>
      </c>
      <c r="O593" s="25">
        <f t="shared" si="18"/>
        <v>4.3090414272755062E-3</v>
      </c>
    </row>
    <row r="594" spans="1:15">
      <c r="A594" s="84">
        <v>506.3478273780064</v>
      </c>
      <c r="B594" s="84">
        <v>507.74693211400455</v>
      </c>
      <c r="C594" s="84">
        <v>495.24366514230343</v>
      </c>
      <c r="D594" s="84">
        <v>497.87437615998994</v>
      </c>
      <c r="E594" s="85">
        <v>8319083.096875486</v>
      </c>
      <c r="F594" s="83" t="s">
        <v>599</v>
      </c>
      <c r="G594" s="25">
        <f t="shared" si="17"/>
        <v>1.7019255506520725E-2</v>
      </c>
      <c r="I594" s="84">
        <v>129.29124638711076</v>
      </c>
      <c r="J594" s="84">
        <v>129.95497919356728</v>
      </c>
      <c r="K594" s="84">
        <v>127.45709886268058</v>
      </c>
      <c r="L594" s="84">
        <v>127.92473766793549</v>
      </c>
      <c r="M594" s="85">
        <v>5656394.2048354074</v>
      </c>
      <c r="N594" s="83" t="s">
        <v>599</v>
      </c>
      <c r="O594" s="25">
        <f t="shared" si="18"/>
        <v>1.0682130321989947E-2</v>
      </c>
    </row>
    <row r="595" spans="1:15">
      <c r="A595" s="84">
        <v>503.28359094916561</v>
      </c>
      <c r="B595" s="84">
        <v>512.80144429405391</v>
      </c>
      <c r="C595" s="84">
        <v>502.65300853294116</v>
      </c>
      <c r="D595" s="84">
        <v>512.11174477630834</v>
      </c>
      <c r="E595" s="85">
        <v>5918889.3060908141</v>
      </c>
      <c r="F595" s="83" t="s">
        <v>600</v>
      </c>
      <c r="G595" s="25">
        <f t="shared" si="17"/>
        <v>-1.7238725565645652E-2</v>
      </c>
      <c r="I595" s="84">
        <v>128.56894892126095</v>
      </c>
      <c r="J595" s="84">
        <v>130.44292041407854</v>
      </c>
      <c r="K595" s="84">
        <v>128.49086270873664</v>
      </c>
      <c r="L595" s="84">
        <v>129.78904599195315</v>
      </c>
      <c r="M595" s="85">
        <v>4031900.5087104505</v>
      </c>
      <c r="N595" s="83" t="s">
        <v>600</v>
      </c>
      <c r="O595" s="25">
        <f t="shared" si="18"/>
        <v>-9.4006166804542213E-3</v>
      </c>
    </row>
    <row r="596" spans="1:15">
      <c r="A596" s="84">
        <v>513.54040806306705</v>
      </c>
      <c r="B596" s="84">
        <v>516.95737653098342</v>
      </c>
      <c r="C596" s="84">
        <v>511.58954371287251</v>
      </c>
      <c r="D596" s="84">
        <v>513.61923086509501</v>
      </c>
      <c r="E596" s="85">
        <v>5617590.7048111307</v>
      </c>
      <c r="F596" s="83" t="s">
        <v>601</v>
      </c>
      <c r="G596" s="25">
        <f t="shared" si="17"/>
        <v>-1.5346544150074415E-4</v>
      </c>
      <c r="I596" s="84">
        <v>130.2380417139679</v>
      </c>
      <c r="J596" s="84">
        <v>131.73144052849514</v>
      </c>
      <c r="K596" s="84">
        <v>129.97450074669837</v>
      </c>
      <c r="L596" s="84">
        <v>131.68263664566743</v>
      </c>
      <c r="M596" s="85">
        <v>4010261.8615616448</v>
      </c>
      <c r="N596" s="83" t="s">
        <v>601</v>
      </c>
      <c r="O596" s="25">
        <f t="shared" si="18"/>
        <v>-1.0970276480616437E-2</v>
      </c>
    </row>
    <row r="597" spans="1:15">
      <c r="A597" s="84">
        <v>514.95714942157781</v>
      </c>
      <c r="B597" s="84">
        <v>521.78122025344283</v>
      </c>
      <c r="C597" s="84">
        <v>513.62179167606178</v>
      </c>
      <c r="D597" s="84">
        <v>520.94662166249532</v>
      </c>
      <c r="E597" s="85">
        <v>4511368.8674280494</v>
      </c>
      <c r="F597" s="83" t="s">
        <v>602</v>
      </c>
      <c r="G597" s="25">
        <f t="shared" si="17"/>
        <v>-1.1497285886610253E-2</v>
      </c>
      <c r="I597" s="84">
        <v>131.11651160486628</v>
      </c>
      <c r="J597" s="84">
        <v>132.91249449292516</v>
      </c>
      <c r="K597" s="84">
        <v>130.848090249314</v>
      </c>
      <c r="L597" s="84">
        <v>132.71727896161443</v>
      </c>
      <c r="M597" s="85">
        <v>4574681.0922457334</v>
      </c>
      <c r="N597" s="83" t="s">
        <v>602</v>
      </c>
      <c r="O597" s="25">
        <f t="shared" si="18"/>
        <v>-1.2061484150915569E-2</v>
      </c>
    </row>
    <row r="598" spans="1:15">
      <c r="A598" s="84">
        <v>521.03499092506627</v>
      </c>
      <c r="B598" s="84">
        <v>521.96777758553708</v>
      </c>
      <c r="C598" s="84">
        <v>519.52289465440845</v>
      </c>
      <c r="D598" s="84">
        <v>520.97607808335238</v>
      </c>
      <c r="E598" s="85">
        <v>6375722.6620270433</v>
      </c>
      <c r="F598" s="83" t="s">
        <v>603</v>
      </c>
      <c r="G598" s="25">
        <f t="shared" si="17"/>
        <v>1.1308166380818996E-4</v>
      </c>
      <c r="I598" s="84">
        <v>132.41469488808275</v>
      </c>
      <c r="J598" s="84">
        <v>132.68799663191783</v>
      </c>
      <c r="K598" s="84">
        <v>130.77488442507243</v>
      </c>
      <c r="L598" s="84">
        <v>131.55574655031546</v>
      </c>
      <c r="M598" s="85">
        <v>4088418.5527713862</v>
      </c>
      <c r="N598" s="83" t="s">
        <v>603</v>
      </c>
      <c r="O598" s="25">
        <f t="shared" si="18"/>
        <v>6.5291586288764858E-3</v>
      </c>
    </row>
    <row r="599" spans="1:15">
      <c r="A599" s="84">
        <v>519.79782124907342</v>
      </c>
      <c r="B599" s="84">
        <v>520.77970194430588</v>
      </c>
      <c r="C599" s="84">
        <v>516.35142000880774</v>
      </c>
      <c r="D599" s="84">
        <v>516.94054842594721</v>
      </c>
      <c r="E599" s="85">
        <v>22789191.302619595</v>
      </c>
      <c r="F599" s="83" t="s">
        <v>604</v>
      </c>
      <c r="G599" s="25">
        <f t="shared" si="17"/>
        <v>5.5272754900470566E-3</v>
      </c>
      <c r="I599" s="84">
        <v>131.46789956122561</v>
      </c>
      <c r="J599" s="84">
        <v>131.66311509253634</v>
      </c>
      <c r="K599" s="84">
        <v>128.78368600570278</v>
      </c>
      <c r="L599" s="84">
        <v>129.4864619184215</v>
      </c>
      <c r="M599" s="85">
        <v>5660755.5381488139</v>
      </c>
      <c r="N599" s="83" t="s">
        <v>604</v>
      </c>
      <c r="O599" s="25">
        <f t="shared" si="18"/>
        <v>1.5302276496306222E-2</v>
      </c>
    </row>
    <row r="600" spans="1:15">
      <c r="A600" s="84">
        <v>510.83325050160175</v>
      </c>
      <c r="B600" s="84">
        <v>511.51074818131212</v>
      </c>
      <c r="C600" s="84">
        <v>505.32980920482419</v>
      </c>
      <c r="D600" s="84">
        <v>506.44424379391296</v>
      </c>
      <c r="E600" s="85">
        <v>5152368.3320840271</v>
      </c>
      <c r="F600" s="83" t="s">
        <v>605</v>
      </c>
      <c r="G600" s="25">
        <f t="shared" si="17"/>
        <v>8.6663176874308689E-3</v>
      </c>
      <c r="I600" s="84">
        <v>129.20339939802091</v>
      </c>
      <c r="J600" s="84">
        <v>131.28244480648041</v>
      </c>
      <c r="K600" s="84">
        <v>128.54942736812987</v>
      </c>
      <c r="L600" s="84">
        <v>130.6284727765894</v>
      </c>
      <c r="M600" s="85">
        <v>9779817.1445739474</v>
      </c>
      <c r="N600" s="83" t="s">
        <v>605</v>
      </c>
      <c r="O600" s="25">
        <f t="shared" si="18"/>
        <v>-1.0909362624224817E-2</v>
      </c>
    </row>
    <row r="601" spans="1:15">
      <c r="A601" s="84">
        <v>510.70560601122156</v>
      </c>
      <c r="B601" s="84">
        <v>515.10934092933883</v>
      </c>
      <c r="C601" s="84">
        <v>507.9465212576186</v>
      </c>
      <c r="D601" s="84">
        <v>508.57492490256732</v>
      </c>
      <c r="E601" s="85">
        <v>6141007.7917591697</v>
      </c>
      <c r="F601" s="83" t="s">
        <v>606</v>
      </c>
      <c r="G601" s="25">
        <f t="shared" si="17"/>
        <v>4.1895127036835067E-3</v>
      </c>
      <c r="I601" s="84">
        <v>131.25316247678379</v>
      </c>
      <c r="J601" s="84">
        <v>132.08282848485447</v>
      </c>
      <c r="K601" s="84">
        <v>130.68215704769983</v>
      </c>
      <c r="L601" s="84">
        <v>130.91153529699</v>
      </c>
      <c r="M601" s="85">
        <v>4417380.0834898343</v>
      </c>
      <c r="N601" s="83" t="s">
        <v>606</v>
      </c>
      <c r="O601" s="25">
        <f t="shared" si="18"/>
        <v>2.6096033402920327E-3</v>
      </c>
    </row>
    <row r="602" spans="1:15">
      <c r="A602" s="84">
        <v>511.88386284550046</v>
      </c>
      <c r="B602" s="84">
        <v>515.44808976919398</v>
      </c>
      <c r="C602" s="84">
        <v>507.06194493928365</v>
      </c>
      <c r="D602" s="84">
        <v>508.16253501056963</v>
      </c>
      <c r="E602" s="85">
        <v>5473118.0947886109</v>
      </c>
      <c r="F602" s="83" t="s">
        <v>607</v>
      </c>
      <c r="G602" s="25">
        <f t="shared" si="17"/>
        <v>7.3231054604476764E-3</v>
      </c>
      <c r="I602" s="84">
        <v>132.08282848485447</v>
      </c>
      <c r="J602" s="84">
        <v>132.49278110060706</v>
      </c>
      <c r="K602" s="84">
        <v>130.31612792649219</v>
      </c>
      <c r="L602" s="84">
        <v>130.80416675476906</v>
      </c>
      <c r="M602" s="85">
        <v>7254255.7986624995</v>
      </c>
      <c r="N602" s="83" t="s">
        <v>607</v>
      </c>
      <c r="O602" s="25">
        <f t="shared" si="18"/>
        <v>9.7753898962764652E-3</v>
      </c>
    </row>
    <row r="603" spans="1:15">
      <c r="A603" s="84">
        <v>506.56206947734086</v>
      </c>
      <c r="B603" s="84">
        <v>510.10665878712979</v>
      </c>
      <c r="C603" s="84">
        <v>504.75619450266942</v>
      </c>
      <c r="D603" s="84">
        <v>509.91028264808335</v>
      </c>
      <c r="E603" s="85">
        <v>6121515.6069215089</v>
      </c>
      <c r="F603" s="83" t="s">
        <v>608</v>
      </c>
      <c r="G603" s="25">
        <f t="shared" si="17"/>
        <v>-6.5662789802050092E-3</v>
      </c>
      <c r="I603" s="84">
        <v>129.5157442481181</v>
      </c>
      <c r="J603" s="84">
        <v>130.08186928891931</v>
      </c>
      <c r="K603" s="84">
        <v>128.55557665736617</v>
      </c>
      <c r="L603" s="84">
        <v>128.91057610105477</v>
      </c>
      <c r="M603" s="85">
        <v>4229538.4719449626</v>
      </c>
      <c r="N603" s="83" t="s">
        <v>608</v>
      </c>
      <c r="O603" s="25">
        <f t="shared" si="18"/>
        <v>4.6944801998940466E-3</v>
      </c>
    </row>
    <row r="604" spans="1:15">
      <c r="A604" s="84">
        <v>511.962413301119</v>
      </c>
      <c r="B604" s="84">
        <v>514.34838339053374</v>
      </c>
      <c r="C604" s="84">
        <v>507.71086989076281</v>
      </c>
      <c r="D604" s="84">
        <v>508.07416574799879</v>
      </c>
      <c r="E604" s="85">
        <v>6385544.6292444738</v>
      </c>
      <c r="F604" s="83" t="s">
        <v>609</v>
      </c>
      <c r="G604" s="25">
        <f t="shared" si="17"/>
        <v>7.6529133249587655E-3</v>
      </c>
      <c r="I604" s="84">
        <v>128.89105454792372</v>
      </c>
      <c r="J604" s="84">
        <v>129.53526580124918</v>
      </c>
      <c r="K604" s="84">
        <v>126.89009535198849</v>
      </c>
      <c r="L604" s="84">
        <v>126.89009535198849</v>
      </c>
      <c r="M604" s="85">
        <v>5055838.5051284181</v>
      </c>
      <c r="N604" s="83" t="s">
        <v>609</v>
      </c>
      <c r="O604" s="25">
        <f t="shared" si="18"/>
        <v>1.576923076923098E-2</v>
      </c>
    </row>
    <row r="605" spans="1:15">
      <c r="A605" s="84">
        <v>508.08398455495109</v>
      </c>
      <c r="B605" s="84">
        <v>509.02659002237414</v>
      </c>
      <c r="C605" s="84">
        <v>501.58393435251264</v>
      </c>
      <c r="D605" s="84">
        <v>502.01596185841487</v>
      </c>
      <c r="E605" s="85">
        <v>7549044.4368556393</v>
      </c>
      <c r="F605" s="83" t="s">
        <v>610</v>
      </c>
      <c r="G605" s="25">
        <f t="shared" si="17"/>
        <v>1.2087310280081587E-2</v>
      </c>
      <c r="I605" s="84">
        <v>126.88033457542296</v>
      </c>
      <c r="J605" s="84">
        <v>127.56358893501059</v>
      </c>
      <c r="K605" s="84">
        <v>124.93794003888098</v>
      </c>
      <c r="L605" s="84">
        <v>125.85545303604151</v>
      </c>
      <c r="M605" s="85">
        <v>5512594.1710393569</v>
      </c>
      <c r="N605" s="83" t="s">
        <v>610</v>
      </c>
      <c r="O605" s="25">
        <f t="shared" si="18"/>
        <v>8.1433224755700362E-3</v>
      </c>
    </row>
    <row r="606" spans="1:15">
      <c r="A606" s="84">
        <v>497.86260651758192</v>
      </c>
      <c r="B606" s="84">
        <v>504.74559019116089</v>
      </c>
      <c r="C606" s="84">
        <v>496.26214098435315</v>
      </c>
      <c r="D606" s="84">
        <v>504.20555580878312</v>
      </c>
      <c r="E606" s="85">
        <v>22049518.953905061</v>
      </c>
      <c r="F606" s="83" t="s">
        <v>611</v>
      </c>
      <c r="G606" s="25">
        <f t="shared" si="17"/>
        <v>-1.2580086074273078E-2</v>
      </c>
      <c r="I606" s="84">
        <v>126.10923322674547</v>
      </c>
      <c r="J606" s="84">
        <v>126.53870739562913</v>
      </c>
      <c r="K606" s="84">
        <v>124.93794003888098</v>
      </c>
      <c r="L606" s="84">
        <v>125.24052411241264</v>
      </c>
      <c r="M606" s="85">
        <v>3518294.8579367106</v>
      </c>
      <c r="N606" s="83" t="s">
        <v>611</v>
      </c>
      <c r="O606" s="25">
        <f t="shared" si="18"/>
        <v>6.9363260852621789E-3</v>
      </c>
    </row>
    <row r="607" spans="1:15">
      <c r="A607" s="84">
        <v>504.45102598259126</v>
      </c>
      <c r="B607" s="84">
        <v>508.35891114961618</v>
      </c>
      <c r="C607" s="84">
        <v>499.87546194280833</v>
      </c>
      <c r="D607" s="84">
        <v>507.52431255866861</v>
      </c>
      <c r="E607" s="85">
        <v>8749082.2884208206</v>
      </c>
      <c r="F607" s="83" t="s">
        <v>612</v>
      </c>
      <c r="G607" s="25">
        <f t="shared" si="17"/>
        <v>-6.0554470003288952E-3</v>
      </c>
      <c r="I607" s="84">
        <v>124.89889693261883</v>
      </c>
      <c r="J607" s="84">
        <v>125.47478274998556</v>
      </c>
      <c r="K607" s="84">
        <v>123.77640762758202</v>
      </c>
      <c r="L607" s="84">
        <v>125.27956721867479</v>
      </c>
      <c r="M607" s="85">
        <v>4817283.7155206762</v>
      </c>
      <c r="N607" s="83" t="s">
        <v>612</v>
      </c>
      <c r="O607" s="25">
        <f t="shared" si="18"/>
        <v>-3.0385664199453766E-3</v>
      </c>
    </row>
    <row r="608" spans="1:15">
      <c r="A608" s="84">
        <v>502.01596185841487</v>
      </c>
      <c r="B608" s="84">
        <v>508.15261801554783</v>
      </c>
      <c r="C608" s="84">
        <v>498.33390925129345</v>
      </c>
      <c r="D608" s="84">
        <v>505.01069797887374</v>
      </c>
      <c r="E608" s="85">
        <v>11415759.62785084</v>
      </c>
      <c r="F608" s="83" t="s">
        <v>613</v>
      </c>
      <c r="G608" s="25">
        <f t="shared" si="17"/>
        <v>-5.9300449127993593E-3</v>
      </c>
      <c r="I608" s="84">
        <v>125.04530858110191</v>
      </c>
      <c r="J608" s="84">
        <v>125.96282157826244</v>
      </c>
      <c r="K608" s="84">
        <v>124.05947014798259</v>
      </c>
      <c r="L608" s="84">
        <v>125.61143362190307</v>
      </c>
      <c r="M608" s="85">
        <v>4513134.7597417161</v>
      </c>
      <c r="N608" s="83" t="s">
        <v>613</v>
      </c>
      <c r="O608" s="25">
        <f t="shared" si="18"/>
        <v>-4.5069546973346419E-3</v>
      </c>
    </row>
    <row r="609" spans="1:15">
      <c r="A609" s="84">
        <v>506.16931719924793</v>
      </c>
      <c r="B609" s="84">
        <v>514.21092009320125</v>
      </c>
      <c r="C609" s="84">
        <v>501.57411554556035</v>
      </c>
      <c r="D609" s="84">
        <v>512.44353484178282</v>
      </c>
      <c r="E609" s="85">
        <v>11383145.685896903</v>
      </c>
      <c r="F609" s="83" t="s">
        <v>614</v>
      </c>
      <c r="G609" s="25">
        <f t="shared" si="17"/>
        <v>-1.2243724851504045E-2</v>
      </c>
      <c r="I609" s="84">
        <v>125.44550042028895</v>
      </c>
      <c r="J609" s="84">
        <v>126.7339229269399</v>
      </c>
      <c r="K609" s="84">
        <v>123.3859765649605</v>
      </c>
      <c r="L609" s="84">
        <v>123.96186238232723</v>
      </c>
      <c r="M609" s="85">
        <v>5037323.5848465562</v>
      </c>
      <c r="N609" s="83" t="s">
        <v>614</v>
      </c>
      <c r="O609" s="25">
        <f t="shared" si="18"/>
        <v>1.1968503937007879E-2</v>
      </c>
    </row>
    <row r="610" spans="1:15">
      <c r="A610" s="84">
        <v>519.91564693250132</v>
      </c>
      <c r="B610" s="84">
        <v>521.26082348496971</v>
      </c>
      <c r="C610" s="84">
        <v>510.70560601122156</v>
      </c>
      <c r="D610" s="84">
        <v>515.38917692747998</v>
      </c>
      <c r="E610" s="85">
        <v>7443144.6055371407</v>
      </c>
      <c r="F610" s="83" t="s">
        <v>615</v>
      </c>
      <c r="G610" s="25">
        <f t="shared" ref="G610:G673" si="19">A610/D610-1</f>
        <v>8.782625261954724E-3</v>
      </c>
      <c r="I610" s="84">
        <v>125.32837110150248</v>
      </c>
      <c r="J610" s="84">
        <v>125.81640992977937</v>
      </c>
      <c r="K610" s="84">
        <v>123.23956491647745</v>
      </c>
      <c r="L610" s="84">
        <v>123.96186238232723</v>
      </c>
      <c r="M610" s="85">
        <v>6575801.5839249985</v>
      </c>
      <c r="N610" s="83" t="s">
        <v>615</v>
      </c>
      <c r="O610" s="25">
        <f t="shared" ref="O610:O673" si="20">I610/L610-1</f>
        <v>1.1023622047244164E-2</v>
      </c>
    </row>
    <row r="611" spans="1:15">
      <c r="A611" s="84">
        <v>517.12710575804135</v>
      </c>
      <c r="B611" s="84">
        <v>523.76461925781223</v>
      </c>
      <c r="C611" s="84">
        <v>514.72149805472202</v>
      </c>
      <c r="D611" s="84">
        <v>519.60144511002704</v>
      </c>
      <c r="E611" s="85">
        <v>7362326.2328108912</v>
      </c>
      <c r="F611" s="83" t="s">
        <v>616</v>
      </c>
      <c r="G611" s="25">
        <f t="shared" si="19"/>
        <v>-4.7619947466884804E-3</v>
      </c>
      <c r="I611" s="84">
        <v>125.21124178271603</v>
      </c>
      <c r="J611" s="84">
        <v>125.78195438850301</v>
      </c>
      <c r="K611" s="84">
        <v>122.94674161951131</v>
      </c>
      <c r="L611" s="84">
        <v>125.53334740937879</v>
      </c>
      <c r="M611" s="85">
        <v>6411637.391737924</v>
      </c>
      <c r="N611" s="83" t="s">
        <v>616</v>
      </c>
      <c r="O611" s="25">
        <f t="shared" si="20"/>
        <v>-2.5658968975975638E-3</v>
      </c>
    </row>
    <row r="612" spans="1:15">
      <c r="A612" s="84">
        <v>526.68080492265244</v>
      </c>
      <c r="B612" s="84">
        <v>528.04571727709504</v>
      </c>
      <c r="C612" s="84">
        <v>517.38239473880174</v>
      </c>
      <c r="D612" s="84">
        <v>520.64223864697328</v>
      </c>
      <c r="E612" s="85">
        <v>6336559.0445053661</v>
      </c>
      <c r="F612" s="83" t="s">
        <v>617</v>
      </c>
      <c r="G612" s="25">
        <f t="shared" si="19"/>
        <v>1.1598302687411577E-2</v>
      </c>
      <c r="I612" s="84">
        <v>126.53870739562913</v>
      </c>
      <c r="J612" s="84">
        <v>127.41717728652752</v>
      </c>
      <c r="K612" s="84">
        <v>125.16243789988833</v>
      </c>
      <c r="L612" s="84">
        <v>126.38253497058054</v>
      </c>
      <c r="M612" s="85">
        <v>5916459.5780109884</v>
      </c>
      <c r="N612" s="83" t="s">
        <v>617</v>
      </c>
      <c r="O612" s="25">
        <f t="shared" si="20"/>
        <v>1.2357120790855713E-3</v>
      </c>
    </row>
    <row r="613" spans="1:15">
      <c r="A613" s="84">
        <v>520.83861478601978</v>
      </c>
      <c r="B613" s="84">
        <v>528.52664244161986</v>
      </c>
      <c r="C613" s="84">
        <v>516.62634660347283</v>
      </c>
      <c r="D613" s="84">
        <v>523.4013234005763</v>
      </c>
      <c r="E613" s="85">
        <v>10670782.153956339</v>
      </c>
      <c r="F613" s="83" t="s">
        <v>618</v>
      </c>
      <c r="G613" s="25">
        <f t="shared" si="19"/>
        <v>-4.8962593329081594E-3</v>
      </c>
      <c r="I613" s="84">
        <v>125.6211943984686</v>
      </c>
      <c r="J613" s="84">
        <v>131.50206227920501</v>
      </c>
      <c r="K613" s="84">
        <v>125.41621809059234</v>
      </c>
      <c r="L613" s="84">
        <v>130.32588870305773</v>
      </c>
      <c r="M613" s="85">
        <v>8105133.7943051122</v>
      </c>
      <c r="N613" s="83" t="s">
        <v>618</v>
      </c>
      <c r="O613" s="25">
        <f t="shared" si="20"/>
        <v>-3.6099460754943191E-2</v>
      </c>
    </row>
    <row r="614" spans="1:15">
      <c r="A614" s="84">
        <v>527.19138288417332</v>
      </c>
      <c r="B614" s="84">
        <v>539.33724708419788</v>
      </c>
      <c r="C614" s="84">
        <v>523.58886261336568</v>
      </c>
      <c r="D614" s="84">
        <v>538.2669971263947</v>
      </c>
      <c r="E614" s="85">
        <v>7424525.2354967985</v>
      </c>
      <c r="F614" s="83" t="s">
        <v>619</v>
      </c>
      <c r="G614" s="25">
        <f t="shared" si="19"/>
        <v>-2.0576431959139052E-2</v>
      </c>
      <c r="I614" s="84">
        <v>130.6284727765894</v>
      </c>
      <c r="J614" s="84">
        <v>132.1179672804904</v>
      </c>
      <c r="K614" s="84">
        <v>129.74024210912546</v>
      </c>
      <c r="L614" s="84">
        <v>131.12627238143182</v>
      </c>
      <c r="M614" s="85">
        <v>6368140.8525896976</v>
      </c>
      <c r="N614" s="83" t="s">
        <v>619</v>
      </c>
      <c r="O614" s="25">
        <f t="shared" si="20"/>
        <v>-3.7963376507369473E-3</v>
      </c>
    </row>
    <row r="615" spans="1:15">
      <c r="A615" s="84">
        <v>536.43088022631014</v>
      </c>
      <c r="B615" s="84">
        <v>536.9807334156402</v>
      </c>
      <c r="C615" s="84">
        <v>525.87566275256199</v>
      </c>
      <c r="D615" s="84">
        <v>528.66420392702184</v>
      </c>
      <c r="E615" s="85">
        <v>7463280.4530958105</v>
      </c>
      <c r="F615" s="83" t="s">
        <v>620</v>
      </c>
      <c r="G615" s="25">
        <f t="shared" si="19"/>
        <v>1.4691133315998917E-2</v>
      </c>
      <c r="I615" s="84">
        <v>129.80856754508423</v>
      </c>
      <c r="J615" s="84">
        <v>129.9061753107396</v>
      </c>
      <c r="K615" s="84">
        <v>127.49038311076907</v>
      </c>
      <c r="L615" s="84">
        <v>128.14923552894282</v>
      </c>
      <c r="M615" s="85">
        <v>7643819.0649117539</v>
      </c>
      <c r="N615" s="83" t="s">
        <v>620</v>
      </c>
      <c r="O615" s="25">
        <f t="shared" si="20"/>
        <v>1.2948434762739103E-2</v>
      </c>
    </row>
    <row r="616" spans="1:15">
      <c r="A616" s="84">
        <v>528.22235761416732</v>
      </c>
      <c r="B616" s="84">
        <v>539.91655669438501</v>
      </c>
      <c r="C616" s="84">
        <v>527.8590617569314</v>
      </c>
      <c r="D616" s="84">
        <v>538.88558196439112</v>
      </c>
      <c r="E616" s="85">
        <v>5623240.2030200129</v>
      </c>
      <c r="F616" s="83" t="s">
        <v>621</v>
      </c>
      <c r="G616" s="25">
        <f t="shared" si="19"/>
        <v>-1.9787548056775406E-2</v>
      </c>
      <c r="I616" s="84">
        <v>127.39765573339646</v>
      </c>
      <c r="J616" s="84">
        <v>127.85641223197672</v>
      </c>
      <c r="K616" s="84">
        <v>124.77200683726684</v>
      </c>
      <c r="L616" s="84">
        <v>125.34789265463355</v>
      </c>
      <c r="M616" s="85">
        <v>5900080.7582596531</v>
      </c>
      <c r="N616" s="83" t="s">
        <v>621</v>
      </c>
      <c r="O616" s="25">
        <f t="shared" si="20"/>
        <v>1.6352593054041575E-2</v>
      </c>
    </row>
    <row r="617" spans="1:15">
      <c r="A617" s="84">
        <v>536.84327011830771</v>
      </c>
      <c r="B617" s="84">
        <v>541.35501191290052</v>
      </c>
      <c r="C617" s="84">
        <v>534.38856838022673</v>
      </c>
      <c r="D617" s="84">
        <v>538.08043979430045</v>
      </c>
      <c r="E617" s="85">
        <v>4257954.1692797067</v>
      </c>
      <c r="F617" s="83" t="s">
        <v>622</v>
      </c>
      <c r="G617" s="25">
        <f t="shared" si="19"/>
        <v>-2.2992281162751427E-3</v>
      </c>
      <c r="I617" s="84">
        <v>124.26444645585889</v>
      </c>
      <c r="J617" s="84">
        <v>125.26004566554373</v>
      </c>
      <c r="K617" s="84">
        <v>123.80080956899585</v>
      </c>
      <c r="L617" s="84">
        <v>124.46942276373517</v>
      </c>
      <c r="M617" s="85">
        <v>4000155.0837517413</v>
      </c>
      <c r="N617" s="83" t="s">
        <v>622</v>
      </c>
      <c r="O617" s="25">
        <f t="shared" si="20"/>
        <v>-1.6468005018819287E-3</v>
      </c>
    </row>
    <row r="618" spans="1:15">
      <c r="A618" s="84">
        <v>536.50943068192862</v>
      </c>
      <c r="B618" s="84">
        <v>539.80854981790947</v>
      </c>
      <c r="C618" s="84">
        <v>532.34468552503097</v>
      </c>
      <c r="D618" s="84">
        <v>539.22924020772234</v>
      </c>
      <c r="E618" s="85">
        <v>5592832.2317206748</v>
      </c>
      <c r="F618" s="83" t="s">
        <v>623</v>
      </c>
      <c r="G618" s="25">
        <f t="shared" si="19"/>
        <v>-5.0438836082887795E-3</v>
      </c>
      <c r="I618" s="84">
        <v>124.2937287855555</v>
      </c>
      <c r="J618" s="84">
        <v>124.86961460292223</v>
      </c>
      <c r="K618" s="84">
        <v>122.65391832254518</v>
      </c>
      <c r="L618" s="84">
        <v>122.89793773668363</v>
      </c>
      <c r="M618" s="85">
        <v>6155354.5044897795</v>
      </c>
      <c r="N618" s="83" t="s">
        <v>623</v>
      </c>
      <c r="O618" s="25">
        <f t="shared" si="20"/>
        <v>1.1357318719720455E-2</v>
      </c>
    </row>
    <row r="619" spans="1:15">
      <c r="A619" s="84">
        <v>539.18996497991304</v>
      </c>
      <c r="B619" s="84">
        <v>544.46266431331105</v>
      </c>
      <c r="C619" s="84">
        <v>538.57462034821094</v>
      </c>
      <c r="D619" s="84">
        <v>543.57897168760189</v>
      </c>
      <c r="E619" s="85">
        <v>4860320.6307773711</v>
      </c>
      <c r="F619" s="83" t="s">
        <v>624</v>
      </c>
      <c r="G619" s="25">
        <f t="shared" si="19"/>
        <v>-8.0742761149547038E-3</v>
      </c>
      <c r="I619" s="84">
        <v>122.42942046153783</v>
      </c>
      <c r="J619" s="84">
        <v>123.20540219849805</v>
      </c>
      <c r="K619" s="84">
        <v>121.64367794801205</v>
      </c>
      <c r="L619" s="84">
        <v>122.00970706921971</v>
      </c>
      <c r="M619" s="85">
        <v>4570305.4158112584</v>
      </c>
      <c r="N619" s="83" t="s">
        <v>624</v>
      </c>
      <c r="O619" s="25">
        <f t="shared" si="20"/>
        <v>3.4399999999998876E-3</v>
      </c>
    </row>
    <row r="620" spans="1:15">
      <c r="A620" s="84">
        <v>541.75267359446968</v>
      </c>
      <c r="B620" s="84">
        <v>551.03144616441568</v>
      </c>
      <c r="C620" s="84">
        <v>541.27646145728193</v>
      </c>
      <c r="D620" s="84">
        <v>550.93325809489249</v>
      </c>
      <c r="E620" s="85">
        <v>6262159.9852767801</v>
      </c>
      <c r="F620" s="83" t="s">
        <v>625</v>
      </c>
      <c r="G620" s="25">
        <f t="shared" si="19"/>
        <v>-1.6663696310817988E-2</v>
      </c>
      <c r="I620" s="84">
        <v>120.3406142765128</v>
      </c>
      <c r="J620" s="84">
        <v>122.47822434436551</v>
      </c>
      <c r="K620" s="84">
        <v>119.745206906015</v>
      </c>
      <c r="L620" s="84">
        <v>121.58023290033606</v>
      </c>
      <c r="M620" s="85">
        <v>4964826.2794069014</v>
      </c>
      <c r="N620" s="83" t="s">
        <v>625</v>
      </c>
      <c r="O620" s="25">
        <f t="shared" si="20"/>
        <v>-1.0195889531149582E-2</v>
      </c>
    </row>
    <row r="621" spans="1:15">
      <c r="A621" s="84">
        <v>551.12963423393887</v>
      </c>
      <c r="B621" s="84">
        <v>552.29267191744168</v>
      </c>
      <c r="C621" s="84">
        <v>548.10544169262323</v>
      </c>
      <c r="D621" s="84">
        <v>552.19988419174217</v>
      </c>
      <c r="E621" s="85">
        <v>4528841.4586331742</v>
      </c>
      <c r="F621" s="83" t="s">
        <v>626</v>
      </c>
      <c r="G621" s="25">
        <f t="shared" si="19"/>
        <v>-1.9381567951065604E-3</v>
      </c>
      <c r="I621" s="84">
        <v>121.50214668775612</v>
      </c>
      <c r="J621" s="84">
        <v>121.69637919784765</v>
      </c>
      <c r="K621" s="84">
        <v>119.6382915209178</v>
      </c>
      <c r="L621" s="84">
        <v>121.16223979509594</v>
      </c>
      <c r="M621" s="85">
        <v>3224993.5899238433</v>
      </c>
      <c r="N621" s="83" t="s">
        <v>626</v>
      </c>
      <c r="O621" s="25">
        <f t="shared" si="20"/>
        <v>2.8053863417762948E-3</v>
      </c>
    </row>
    <row r="622" spans="1:15">
      <c r="A622" s="84">
        <v>553.45669148163961</v>
      </c>
      <c r="B622" s="84">
        <v>553.70216165544775</v>
      </c>
      <c r="C622" s="84">
        <v>550.3745679793052</v>
      </c>
      <c r="D622" s="84">
        <v>550.8547076392739</v>
      </c>
      <c r="E622" s="85">
        <v>3928747.1672788206</v>
      </c>
      <c r="F622" s="83" t="s">
        <v>627</v>
      </c>
      <c r="G622" s="25">
        <f t="shared" si="19"/>
        <v>4.7235392677620336E-3</v>
      </c>
      <c r="I622" s="84">
        <v>121.79349545289341</v>
      </c>
      <c r="J622" s="84">
        <v>122.95889051344258</v>
      </c>
      <c r="K622" s="84">
        <v>120.5212725117939</v>
      </c>
      <c r="L622" s="84">
        <v>120.82233290243576</v>
      </c>
      <c r="M622" s="85">
        <v>5276800.4672184819</v>
      </c>
      <c r="N622" s="83" t="s">
        <v>627</v>
      </c>
      <c r="O622" s="25">
        <f t="shared" si="20"/>
        <v>8.0379390724218958E-3</v>
      </c>
    </row>
    <row r="623" spans="1:15">
      <c r="A623" s="84">
        <v>552.12133373612357</v>
      </c>
      <c r="B623" s="84">
        <v>552.12133373612357</v>
      </c>
      <c r="C623" s="84">
        <v>549.35243017556832</v>
      </c>
      <c r="D623" s="84">
        <v>551.62057458155505</v>
      </c>
      <c r="E623" s="85">
        <v>3915857.6175998701</v>
      </c>
      <c r="F623" s="83" t="s">
        <v>628</v>
      </c>
      <c r="G623" s="25">
        <f t="shared" si="19"/>
        <v>9.077963688144397E-4</v>
      </c>
      <c r="I623" s="84">
        <v>120.19107724463829</v>
      </c>
      <c r="J623" s="84">
        <v>121.71094663610451</v>
      </c>
      <c r="K623" s="84">
        <v>119.85117035197811</v>
      </c>
      <c r="L623" s="84">
        <v>120.65723526885796</v>
      </c>
      <c r="M623" s="85">
        <v>5546218.8049382605</v>
      </c>
      <c r="N623" s="83" t="s">
        <v>628</v>
      </c>
      <c r="O623" s="25">
        <f t="shared" si="20"/>
        <v>-3.863490019317406E-3</v>
      </c>
    </row>
    <row r="624" spans="1:15">
      <c r="A624" s="84">
        <v>550.53068700984727</v>
      </c>
      <c r="B624" s="84">
        <v>551.67948742326905</v>
      </c>
      <c r="C624" s="84">
        <v>549.92192097880309</v>
      </c>
      <c r="D624" s="84">
        <v>550.736881955846</v>
      </c>
      <c r="E624" s="85">
        <v>3442953.9315872807</v>
      </c>
      <c r="F624" s="83" t="s">
        <v>629</v>
      </c>
      <c r="G624" s="25">
        <f t="shared" si="19"/>
        <v>-3.7439828846486112E-4</v>
      </c>
      <c r="I624" s="84">
        <v>118.88000780152046</v>
      </c>
      <c r="J624" s="84">
        <v>121.83234195491173</v>
      </c>
      <c r="K624" s="84">
        <v>117.87971037454909</v>
      </c>
      <c r="L624" s="84">
        <v>121.83234195491173</v>
      </c>
      <c r="M624" s="85">
        <v>7945002.6119355606</v>
      </c>
      <c r="N624" s="83" t="s">
        <v>629</v>
      </c>
      <c r="O624" s="25">
        <f t="shared" si="20"/>
        <v>-2.4232762056596413E-2</v>
      </c>
    </row>
    <row r="625" spans="1:15">
      <c r="A625" s="84">
        <v>550.51104939594245</v>
      </c>
      <c r="B625" s="84">
        <v>550.7172443419413</v>
      </c>
      <c r="C625" s="84">
        <v>544.64431224192901</v>
      </c>
      <c r="D625" s="84">
        <v>545.79802205882709</v>
      </c>
      <c r="E625" s="85">
        <v>3451028.232302729</v>
      </c>
      <c r="F625" s="83" t="s">
        <v>630</v>
      </c>
      <c r="G625" s="25">
        <f t="shared" si="19"/>
        <v>8.6351125263099959E-3</v>
      </c>
      <c r="I625" s="84">
        <v>122.21109534959021</v>
      </c>
      <c r="J625" s="84">
        <v>123.95918794041397</v>
      </c>
      <c r="K625" s="84">
        <v>121.65267688307705</v>
      </c>
      <c r="L625" s="84">
        <v>123.86207168536821</v>
      </c>
      <c r="M625" s="85">
        <v>6775809.0516351527</v>
      </c>
      <c r="N625" s="83" t="s">
        <v>630</v>
      </c>
      <c r="O625" s="25">
        <f t="shared" si="20"/>
        <v>-1.332915163870152E-2</v>
      </c>
    </row>
    <row r="626" spans="1:15">
      <c r="A626" s="84">
        <v>544.75722852188073</v>
      </c>
      <c r="B626" s="84">
        <v>545.84220669011245</v>
      </c>
      <c r="C626" s="84">
        <v>540.41731584895354</v>
      </c>
      <c r="D626" s="84">
        <v>541.01626307304537</v>
      </c>
      <c r="E626" s="85">
        <v>3645537.6069419757</v>
      </c>
      <c r="F626" s="83" t="s">
        <v>631</v>
      </c>
      <c r="G626" s="25">
        <f t="shared" si="19"/>
        <v>6.9147005444645249E-3</v>
      </c>
      <c r="I626" s="84">
        <v>123.12398814702038</v>
      </c>
      <c r="J626" s="84">
        <v>124.89635980160558</v>
      </c>
      <c r="K626" s="84">
        <v>122.79379287986478</v>
      </c>
      <c r="L626" s="84">
        <v>124.12428557399177</v>
      </c>
      <c r="M626" s="85">
        <v>5308398.679058034</v>
      </c>
      <c r="N626" s="83" t="s">
        <v>631</v>
      </c>
      <c r="O626" s="25">
        <f t="shared" si="20"/>
        <v>-8.0588373366716759E-3</v>
      </c>
    </row>
    <row r="627" spans="1:15">
      <c r="A627" s="84">
        <v>546.56388900110835</v>
      </c>
      <c r="B627" s="84">
        <v>547.0204635243914</v>
      </c>
      <c r="C627" s="84">
        <v>543.95208635179017</v>
      </c>
      <c r="D627" s="84">
        <v>544.06009322826571</v>
      </c>
      <c r="E627" s="85">
        <v>2803724.5394140785</v>
      </c>
      <c r="F627" s="83" t="s">
        <v>632</v>
      </c>
      <c r="G627" s="25">
        <f t="shared" si="19"/>
        <v>4.6020573903629014E-3</v>
      </c>
      <c r="I627" s="84">
        <v>125.38679688958672</v>
      </c>
      <c r="J627" s="84">
        <v>125.68785728022856</v>
      </c>
      <c r="K627" s="84">
        <v>124.11457394848718</v>
      </c>
      <c r="L627" s="84">
        <v>125.37708526408213</v>
      </c>
      <c r="M627" s="85">
        <v>3419272.086259075</v>
      </c>
      <c r="N627" s="83" t="s">
        <v>632</v>
      </c>
      <c r="O627" s="25">
        <f t="shared" si="20"/>
        <v>7.745933384994963E-5</v>
      </c>
    </row>
    <row r="628" spans="1:15">
      <c r="A628" s="84">
        <v>546.07294865349206</v>
      </c>
      <c r="B628" s="84">
        <v>546.68711502835993</v>
      </c>
      <c r="C628" s="84">
        <v>544.19755652559832</v>
      </c>
      <c r="D628" s="84">
        <v>545.37581335987716</v>
      </c>
      <c r="E628" s="85">
        <v>3582463.7525514048</v>
      </c>
      <c r="F628" s="83" t="s">
        <v>633</v>
      </c>
      <c r="G628" s="25">
        <f t="shared" si="19"/>
        <v>1.2782658793026869E-3</v>
      </c>
      <c r="I628" s="84">
        <v>124.55159709619312</v>
      </c>
      <c r="J628" s="84">
        <v>124.79438773380754</v>
      </c>
      <c r="K628" s="84">
        <v>123.2405276530753</v>
      </c>
      <c r="L628" s="84">
        <v>124.37678783711074</v>
      </c>
      <c r="M628" s="85">
        <v>5503875.7389081493</v>
      </c>
      <c r="N628" s="83" t="s">
        <v>633</v>
      </c>
      <c r="O628" s="25">
        <f t="shared" si="20"/>
        <v>1.4054813773718422E-3</v>
      </c>
    </row>
    <row r="629" spans="1:15">
      <c r="A629" s="84">
        <v>542.19451990732421</v>
      </c>
      <c r="B629" s="84">
        <v>549.06768477395099</v>
      </c>
      <c r="C629" s="84">
        <v>541.79685822575505</v>
      </c>
      <c r="D629" s="84">
        <v>547.98761600919534</v>
      </c>
      <c r="E629" s="85">
        <v>10349071.989438603</v>
      </c>
      <c r="F629" s="83" t="s">
        <v>634</v>
      </c>
      <c r="G629" s="25">
        <f t="shared" si="19"/>
        <v>-1.0571582153735992E-2</v>
      </c>
      <c r="I629" s="84">
        <v>124.26024833105583</v>
      </c>
      <c r="J629" s="84">
        <v>125.27996900903636</v>
      </c>
      <c r="K629" s="84">
        <v>123.65812754977209</v>
      </c>
      <c r="L629" s="84">
        <v>125.08573649894484</v>
      </c>
      <c r="M629" s="85">
        <v>3941108.5180296199</v>
      </c>
      <c r="N629" s="83" t="s">
        <v>634</v>
      </c>
      <c r="O629" s="25">
        <f t="shared" si="20"/>
        <v>-6.5993788819875832E-3</v>
      </c>
    </row>
    <row r="630" spans="1:15">
      <c r="A630" s="84">
        <v>547.51631327548375</v>
      </c>
      <c r="B630" s="84">
        <v>547.5457696963407</v>
      </c>
      <c r="C630" s="84">
        <v>544.14846249083666</v>
      </c>
      <c r="D630" s="84">
        <v>547.19229264605701</v>
      </c>
      <c r="E630" s="85">
        <v>3672848.4606232909</v>
      </c>
      <c r="F630" s="83" t="s">
        <v>635</v>
      </c>
      <c r="G630" s="25">
        <f t="shared" si="19"/>
        <v>5.9215130363021728E-4</v>
      </c>
      <c r="I630" s="84">
        <v>125.06631324793568</v>
      </c>
      <c r="J630" s="84">
        <v>126.00348510912731</v>
      </c>
      <c r="K630" s="84">
        <v>123.85236005986363</v>
      </c>
      <c r="L630" s="84">
        <v>125.33823876206382</v>
      </c>
      <c r="M630" s="85">
        <v>3463518.0263231257</v>
      </c>
      <c r="N630" s="83" t="s">
        <v>635</v>
      </c>
      <c r="O630" s="25">
        <f t="shared" si="20"/>
        <v>-2.1695335502867064E-3</v>
      </c>
    </row>
    <row r="631" spans="1:15">
      <c r="A631" s="84">
        <v>545.55255188501894</v>
      </c>
      <c r="B631" s="84">
        <v>545.6605587614946</v>
      </c>
      <c r="C631" s="84">
        <v>540.43695346285824</v>
      </c>
      <c r="D631" s="84">
        <v>542.33198320465681</v>
      </c>
      <c r="E631" s="85">
        <v>3487372.7700589728</v>
      </c>
      <c r="F631" s="83" t="s">
        <v>636</v>
      </c>
      <c r="G631" s="25">
        <f t="shared" si="19"/>
        <v>5.9383712930438648E-3</v>
      </c>
      <c r="I631" s="84">
        <v>125.43535501710959</v>
      </c>
      <c r="J631" s="84">
        <v>126.14430367894366</v>
      </c>
      <c r="K631" s="84">
        <v>124.58558778545914</v>
      </c>
      <c r="L631" s="84">
        <v>125.92093629233841</v>
      </c>
      <c r="M631" s="85">
        <v>5026439.7012628512</v>
      </c>
      <c r="N631" s="83" t="s">
        <v>636</v>
      </c>
      <c r="O631" s="25">
        <f t="shared" si="20"/>
        <v>-3.8562393953416318E-3</v>
      </c>
    </row>
    <row r="632" spans="1:15">
      <c r="A632" s="84">
        <v>543.32368270684151</v>
      </c>
      <c r="B632" s="84">
        <v>543.79498544055309</v>
      </c>
      <c r="C632" s="84">
        <v>539.27833424248399</v>
      </c>
      <c r="D632" s="84">
        <v>539.73981816924334</v>
      </c>
      <c r="E632" s="85">
        <v>4258575.4260199219</v>
      </c>
      <c r="F632" s="83" t="s">
        <v>637</v>
      </c>
      <c r="G632" s="25">
        <f t="shared" si="19"/>
        <v>6.6399854466072661E-3</v>
      </c>
      <c r="I632" s="84">
        <v>124.66813660224805</v>
      </c>
      <c r="J632" s="84">
        <v>126.69786633270454</v>
      </c>
      <c r="K632" s="84">
        <v>124.32822970958787</v>
      </c>
      <c r="L632" s="84">
        <v>125.80439678628348</v>
      </c>
      <c r="M632" s="85">
        <v>4156710.9420536212</v>
      </c>
      <c r="N632" s="83" t="s">
        <v>637</v>
      </c>
      <c r="O632" s="25">
        <f t="shared" si="20"/>
        <v>-9.0319592403889093E-3</v>
      </c>
    </row>
    <row r="633" spans="1:15">
      <c r="A633" s="84">
        <v>539.73981816924334</v>
      </c>
      <c r="B633" s="84">
        <v>541.95877035239891</v>
      </c>
      <c r="C633" s="84">
        <v>533.14157989728164</v>
      </c>
      <c r="D633" s="84">
        <v>535.11516009469869</v>
      </c>
      <c r="E633" s="85">
        <v>7968419.2162961727</v>
      </c>
      <c r="F633" s="83" t="s">
        <v>638</v>
      </c>
      <c r="G633" s="25">
        <f t="shared" si="19"/>
        <v>8.6423604102829898E-3</v>
      </c>
      <c r="I633" s="84">
        <v>126.17343855545738</v>
      </c>
      <c r="J633" s="84">
        <v>126.78041514949341</v>
      </c>
      <c r="K633" s="84">
        <v>123.87178331087277</v>
      </c>
      <c r="L633" s="84">
        <v>124.79438773380754</v>
      </c>
      <c r="M633" s="85">
        <v>6247480.4008256542</v>
      </c>
      <c r="N633" s="83" t="s">
        <v>638</v>
      </c>
      <c r="O633" s="25">
        <f t="shared" si="20"/>
        <v>1.1050583657587376E-2</v>
      </c>
    </row>
    <row r="634" spans="1:15">
      <c r="A634" s="84">
        <v>543.3040450929368</v>
      </c>
      <c r="B634" s="84">
        <v>550.72706314889365</v>
      </c>
      <c r="C634" s="84">
        <v>542.69527906189273</v>
      </c>
      <c r="D634" s="84">
        <v>548.4981939707161</v>
      </c>
      <c r="E634" s="85">
        <v>6358534.2193965409</v>
      </c>
      <c r="F634" s="83" t="s">
        <v>639</v>
      </c>
      <c r="G634" s="25">
        <f t="shared" si="19"/>
        <v>-9.4697647774872884E-3</v>
      </c>
      <c r="I634" s="84">
        <v>125.23141088151347</v>
      </c>
      <c r="J634" s="84">
        <v>126.18315018096197</v>
      </c>
      <c r="K634" s="84">
        <v>123.83293680885447</v>
      </c>
      <c r="L634" s="84">
        <v>125.41593176610041</v>
      </c>
      <c r="M634" s="85">
        <v>5736045.9352298137</v>
      </c>
      <c r="N634" s="83" t="s">
        <v>639</v>
      </c>
      <c r="O634" s="25">
        <f t="shared" si="20"/>
        <v>-1.4712714883071687E-3</v>
      </c>
    </row>
    <row r="635" spans="1:15">
      <c r="A635" s="84">
        <v>546.2202307577769</v>
      </c>
      <c r="B635" s="84">
        <v>547.67341418672095</v>
      </c>
      <c r="C635" s="84">
        <v>542.37125843246599</v>
      </c>
      <c r="D635" s="84">
        <v>545.30708171121091</v>
      </c>
      <c r="E635" s="85">
        <v>4375824.9050645754</v>
      </c>
      <c r="F635" s="83" t="s">
        <v>640</v>
      </c>
      <c r="G635" s="25">
        <f t="shared" si="19"/>
        <v>1.6745593028069106E-3</v>
      </c>
      <c r="I635" s="84">
        <v>125.26054575802719</v>
      </c>
      <c r="J635" s="84">
        <v>125.49362477013705</v>
      </c>
      <c r="K635" s="84">
        <v>121.92945820995747</v>
      </c>
      <c r="L635" s="84">
        <v>122.03628609050782</v>
      </c>
      <c r="M635" s="85">
        <v>4472536.5470004594</v>
      </c>
      <c r="N635" s="83" t="s">
        <v>640</v>
      </c>
      <c r="O635" s="25">
        <f t="shared" si="20"/>
        <v>2.6420499761260485E-2</v>
      </c>
    </row>
    <row r="636" spans="1:15">
      <c r="A636" s="84">
        <v>543.3825955485554</v>
      </c>
      <c r="B636" s="84">
        <v>545.43472620159105</v>
      </c>
      <c r="C636" s="84">
        <v>540.98690484025792</v>
      </c>
      <c r="D636" s="84">
        <v>545.11070557216431</v>
      </c>
      <c r="E636" s="85">
        <v>4251505.3206255417</v>
      </c>
      <c r="F636" s="83" t="s">
        <v>641</v>
      </c>
      <c r="G636" s="25">
        <f t="shared" si="19"/>
        <v>-3.1702001188823603E-3</v>
      </c>
      <c r="I636" s="84">
        <v>121.52156993876527</v>
      </c>
      <c r="J636" s="84">
        <v>126.01805254738416</v>
      </c>
      <c r="K636" s="84">
        <v>121.40503043271036</v>
      </c>
      <c r="L636" s="84">
        <v>123.72610892830413</v>
      </c>
      <c r="M636" s="85">
        <v>5332797.2722583525</v>
      </c>
      <c r="N636" s="83" t="s">
        <v>641</v>
      </c>
      <c r="O636" s="25">
        <f t="shared" si="20"/>
        <v>-1.7817896389324961E-2</v>
      </c>
    </row>
    <row r="637" spans="1:15">
      <c r="A637" s="84">
        <v>545.77838444492249</v>
      </c>
      <c r="B637" s="84">
        <v>546.56388900110835</v>
      </c>
      <c r="C637" s="84">
        <v>539.26851543553175</v>
      </c>
      <c r="D637" s="84">
        <v>542.2927079768474</v>
      </c>
      <c r="E637" s="85">
        <v>4241527.5299962219</v>
      </c>
      <c r="F637" s="83" t="s">
        <v>642</v>
      </c>
      <c r="G637" s="25">
        <f t="shared" si="19"/>
        <v>6.4276661234838883E-3</v>
      </c>
      <c r="I637" s="84">
        <v>124.64871335123888</v>
      </c>
      <c r="J637" s="84">
        <v>128.61105655710608</v>
      </c>
      <c r="K637" s="84">
        <v>122.49273248922292</v>
      </c>
      <c r="L637" s="84">
        <v>127.39224755628176</v>
      </c>
      <c r="M637" s="85">
        <v>8702590.5148600433</v>
      </c>
      <c r="N637" s="83" t="s">
        <v>642</v>
      </c>
      <c r="O637" s="25">
        <f t="shared" si="20"/>
        <v>-2.1536115875738671E-2</v>
      </c>
    </row>
    <row r="638" spans="1:15">
      <c r="A638" s="84">
        <v>541.2420956329488</v>
      </c>
      <c r="B638" s="84">
        <v>541.399196544186</v>
      </c>
      <c r="C638" s="84">
        <v>536.92182057392631</v>
      </c>
      <c r="D638" s="84">
        <v>537.0200086434495</v>
      </c>
      <c r="E638" s="85">
        <v>7757953.7279701289</v>
      </c>
      <c r="F638" s="83" t="s">
        <v>643</v>
      </c>
      <c r="G638" s="25">
        <f t="shared" si="19"/>
        <v>7.8620664436035437E-3</v>
      </c>
      <c r="I638" s="84">
        <v>121.44387693472865</v>
      </c>
      <c r="J638" s="84">
        <v>124.29909483307414</v>
      </c>
      <c r="K638" s="84">
        <v>120.79319802592204</v>
      </c>
      <c r="L638" s="84">
        <v>122.96860213894716</v>
      </c>
      <c r="M638" s="85">
        <v>6392149.2823983552</v>
      </c>
      <c r="N638" s="83" t="s">
        <v>643</v>
      </c>
      <c r="O638" s="25">
        <f t="shared" si="20"/>
        <v>-1.2399305007107952E-2</v>
      </c>
    </row>
    <row r="639" spans="1:15">
      <c r="A639" s="84">
        <v>548.88112744185673</v>
      </c>
      <c r="B639" s="84">
        <v>551.48311128422256</v>
      </c>
      <c r="C639" s="84">
        <v>547.90906555357674</v>
      </c>
      <c r="D639" s="84">
        <v>550.5994186585134</v>
      </c>
      <c r="E639" s="85">
        <v>3678798.2669779393</v>
      </c>
      <c r="F639" s="83" t="s">
        <v>644</v>
      </c>
      <c r="G639" s="25">
        <f t="shared" si="19"/>
        <v>-3.1207646765104569E-3</v>
      </c>
      <c r="I639" s="84">
        <v>121.69637919784765</v>
      </c>
      <c r="J639" s="84">
        <v>122.63840687179156</v>
      </c>
      <c r="K639" s="84">
        <v>121.47301181124239</v>
      </c>
      <c r="L639" s="84">
        <v>121.90032333344375</v>
      </c>
      <c r="M639" s="85">
        <v>3586800.168888838</v>
      </c>
      <c r="N639" s="83" t="s">
        <v>644</v>
      </c>
      <c r="O639" s="25">
        <f t="shared" si="20"/>
        <v>-1.6730401529636563E-3</v>
      </c>
    </row>
    <row r="640" spans="1:15">
      <c r="A640" s="84">
        <v>550.54050581679951</v>
      </c>
      <c r="B640" s="84">
        <v>550.54050581679951</v>
      </c>
      <c r="C640" s="84">
        <v>546.71117110539319</v>
      </c>
      <c r="D640" s="84">
        <v>546.94682247224887</v>
      </c>
      <c r="E640" s="85">
        <v>6332620.6841538725</v>
      </c>
      <c r="F640" s="83" t="s">
        <v>645</v>
      </c>
      <c r="G640" s="25">
        <f t="shared" si="19"/>
        <v>6.5704437742353239E-3</v>
      </c>
      <c r="I640" s="84">
        <v>122.64811849729615</v>
      </c>
      <c r="J640" s="84">
        <v>123.33764390812107</v>
      </c>
      <c r="K640" s="84">
        <v>121.10397004206848</v>
      </c>
      <c r="L640" s="84">
        <v>122.13340234555359</v>
      </c>
      <c r="M640" s="85">
        <v>5664958.9684110582</v>
      </c>
      <c r="N640" s="83" t="s">
        <v>645</v>
      </c>
      <c r="O640" s="25">
        <f t="shared" si="20"/>
        <v>4.2143765903308594E-3</v>
      </c>
    </row>
    <row r="641" spans="1:15">
      <c r="A641" s="84">
        <v>547.5064944685314</v>
      </c>
      <c r="B641" s="84">
        <v>548.80247879816864</v>
      </c>
      <c r="C641" s="84">
        <v>546.64243945672695</v>
      </c>
      <c r="D641" s="84">
        <v>547.09410457653382</v>
      </c>
      <c r="E641" s="85">
        <v>4868245.2188029652</v>
      </c>
      <c r="F641" s="83" t="s">
        <v>646</v>
      </c>
      <c r="G641" s="25">
        <f t="shared" si="19"/>
        <v>7.5378237226075839E-4</v>
      </c>
      <c r="I641" s="84">
        <v>120.79319802592204</v>
      </c>
      <c r="J641" s="84">
        <v>122.2499418516085</v>
      </c>
      <c r="K641" s="84">
        <v>120.07939355133566</v>
      </c>
      <c r="L641" s="84">
        <v>122.05570934151699</v>
      </c>
      <c r="M641" s="85">
        <v>5255349.8871995313</v>
      </c>
      <c r="N641" s="83" t="s">
        <v>646</v>
      </c>
      <c r="O641" s="25">
        <f t="shared" si="20"/>
        <v>-1.0343730108211435E-2</v>
      </c>
    </row>
    <row r="642" spans="1:15">
      <c r="A642" s="84">
        <v>544.4135702785494</v>
      </c>
      <c r="B642" s="84">
        <v>544.4135702785494</v>
      </c>
      <c r="C642" s="84">
        <v>540.52532272542919</v>
      </c>
      <c r="D642" s="84">
        <v>542.3123455907521</v>
      </c>
      <c r="E642" s="85">
        <v>5399513.4294245616</v>
      </c>
      <c r="F642" s="83" t="s">
        <v>647</v>
      </c>
      <c r="G642" s="25">
        <f t="shared" si="19"/>
        <v>3.8745654692931009E-3</v>
      </c>
      <c r="I642" s="84">
        <v>122.12369072004901</v>
      </c>
      <c r="J642" s="84">
        <v>122.17710466032419</v>
      </c>
      <c r="K642" s="84">
        <v>118.96741243106166</v>
      </c>
      <c r="L642" s="84">
        <v>119.19077981766692</v>
      </c>
      <c r="M642" s="85">
        <v>6251338.6632743394</v>
      </c>
      <c r="N642" s="83" t="s">
        <v>647</v>
      </c>
      <c r="O642" s="25">
        <f t="shared" si="20"/>
        <v>2.4606860588283208E-2</v>
      </c>
    </row>
    <row r="643" spans="1:15">
      <c r="A643" s="84">
        <v>539.50416680238754</v>
      </c>
      <c r="B643" s="84">
        <v>541.13408875647326</v>
      </c>
      <c r="C643" s="84">
        <v>537.75641916487382</v>
      </c>
      <c r="D643" s="84">
        <v>538.97395122696196</v>
      </c>
      <c r="E643" s="85">
        <v>6679682.1974870656</v>
      </c>
      <c r="F643" s="83" t="s">
        <v>648</v>
      </c>
      <c r="G643" s="25">
        <f t="shared" si="19"/>
        <v>9.83749908912257E-4</v>
      </c>
      <c r="I643" s="84">
        <v>117.61749648592553</v>
      </c>
      <c r="J643" s="84">
        <v>117.85057549803537</v>
      </c>
      <c r="K643" s="84">
        <v>116.40354329785347</v>
      </c>
      <c r="L643" s="84">
        <v>117.12220358519212</v>
      </c>
      <c r="M643" s="85">
        <v>4498294.3359393058</v>
      </c>
      <c r="N643" s="83" t="s">
        <v>648</v>
      </c>
      <c r="O643" s="25">
        <f t="shared" si="20"/>
        <v>4.2288557213929767E-3</v>
      </c>
    </row>
    <row r="644" spans="1:15">
      <c r="A644" s="84">
        <v>534.37874957327438</v>
      </c>
      <c r="B644" s="84">
        <v>536.60761875145192</v>
      </c>
      <c r="C644" s="84">
        <v>533.54415098232687</v>
      </c>
      <c r="D644" s="84">
        <v>536.45051784021473</v>
      </c>
      <c r="E644" s="85">
        <v>3699789.6156214951</v>
      </c>
      <c r="F644" s="83" t="s">
        <v>649</v>
      </c>
      <c r="G644" s="25">
        <f t="shared" si="19"/>
        <v>-3.861993227784466E-3</v>
      </c>
      <c r="I644" s="84">
        <v>116.98624082812806</v>
      </c>
      <c r="J644" s="84">
        <v>117.03479895565096</v>
      </c>
      <c r="K644" s="84">
        <v>115.66545975950565</v>
      </c>
      <c r="L644" s="84">
        <v>115.90825039712007</v>
      </c>
      <c r="M644" s="85">
        <v>4012874.0530238976</v>
      </c>
      <c r="N644" s="83" t="s">
        <v>649</v>
      </c>
      <c r="O644" s="25">
        <f t="shared" si="20"/>
        <v>9.3003770423125687E-3</v>
      </c>
    </row>
    <row r="645" spans="1:15">
      <c r="A645" s="84">
        <v>535.17407293641259</v>
      </c>
      <c r="B645" s="84">
        <v>536.23450408726364</v>
      </c>
      <c r="C645" s="84">
        <v>531.9436854490981</v>
      </c>
      <c r="D645" s="84">
        <v>533.00411659994904</v>
      </c>
      <c r="E645" s="85">
        <v>5405257.5081373686</v>
      </c>
      <c r="F645" s="83" t="s">
        <v>650</v>
      </c>
      <c r="G645" s="25">
        <f t="shared" si="19"/>
        <v>4.0711811951956722E-3</v>
      </c>
      <c r="I645" s="84">
        <v>115.65574813400109</v>
      </c>
      <c r="J645" s="84">
        <v>116.89883619858688</v>
      </c>
      <c r="K645" s="84">
        <v>114.76227858758006</v>
      </c>
      <c r="L645" s="84">
        <v>116.6851804374862</v>
      </c>
      <c r="M645" s="85">
        <v>4407061.4110718388</v>
      </c>
      <c r="N645" s="83" t="s">
        <v>650</v>
      </c>
      <c r="O645" s="25">
        <f t="shared" si="20"/>
        <v>-8.8223054515189636E-3</v>
      </c>
    </row>
    <row r="646" spans="1:15">
      <c r="A646" s="84">
        <v>525.56146093008761</v>
      </c>
      <c r="B646" s="84">
        <v>528.15991000195049</v>
      </c>
      <c r="C646" s="84">
        <v>522.17878374694249</v>
      </c>
      <c r="D646" s="84">
        <v>527.58413516226631</v>
      </c>
      <c r="E646" s="85">
        <v>8982764.4466647971</v>
      </c>
      <c r="F646" s="83" t="s">
        <v>651</v>
      </c>
      <c r="G646" s="25">
        <f t="shared" si="19"/>
        <v>-3.8338420308196008E-3</v>
      </c>
      <c r="I646" s="84">
        <v>116.02478990317499</v>
      </c>
      <c r="J646" s="84">
        <v>116.07334803069787</v>
      </c>
      <c r="K646" s="84">
        <v>114.77199021308464</v>
      </c>
      <c r="L646" s="84">
        <v>115.33526449235006</v>
      </c>
      <c r="M646" s="85">
        <v>3917889.9538568417</v>
      </c>
      <c r="N646" s="83" t="s">
        <v>651</v>
      </c>
      <c r="O646" s="25">
        <f t="shared" si="20"/>
        <v>5.9784439205119444E-3</v>
      </c>
    </row>
    <row r="647" spans="1:15">
      <c r="A647" s="84">
        <v>524.89378205732953</v>
      </c>
      <c r="B647" s="84">
        <v>525.21780268675616</v>
      </c>
      <c r="C647" s="84">
        <v>519.4345253918375</v>
      </c>
      <c r="D647" s="84">
        <v>519.80764005602578</v>
      </c>
      <c r="E647" s="85">
        <v>5724739.2960197106</v>
      </c>
      <c r="F647" s="83" t="s">
        <v>652</v>
      </c>
      <c r="G647" s="25">
        <f t="shared" si="19"/>
        <v>9.7846618813750563E-3</v>
      </c>
      <c r="I647" s="84">
        <v>114.34467869088326</v>
      </c>
      <c r="J647" s="84">
        <v>114.52919957547023</v>
      </c>
      <c r="K647" s="84">
        <v>111.2758050314371</v>
      </c>
      <c r="L647" s="84">
        <v>111.2758050314371</v>
      </c>
      <c r="M647" s="85">
        <v>5575661.8677772526</v>
      </c>
      <c r="N647" s="83" t="s">
        <v>652</v>
      </c>
      <c r="O647" s="25">
        <f t="shared" si="20"/>
        <v>2.7578984115901539E-2</v>
      </c>
    </row>
    <row r="648" spans="1:15">
      <c r="A648" s="84">
        <v>524.21628437761922</v>
      </c>
      <c r="B648" s="84">
        <v>528.98822455644859</v>
      </c>
      <c r="C648" s="84">
        <v>522.36052986362995</v>
      </c>
      <c r="D648" s="84">
        <v>528.94894932863929</v>
      </c>
      <c r="E648" s="85">
        <v>8081635.6187977921</v>
      </c>
      <c r="F648" s="83" t="s">
        <v>653</v>
      </c>
      <c r="G648" s="25">
        <f t="shared" si="19"/>
        <v>-8.9473000315567486E-3</v>
      </c>
      <c r="I648" s="84">
        <v>111.79052118317965</v>
      </c>
      <c r="J648" s="84">
        <v>113.16957200482952</v>
      </c>
      <c r="K648" s="84">
        <v>111.49917241804236</v>
      </c>
      <c r="L648" s="84">
        <v>112.49946984501373</v>
      </c>
      <c r="M648" s="85">
        <v>4414669.8181263711</v>
      </c>
      <c r="N648" s="83" t="s">
        <v>653</v>
      </c>
      <c r="O648" s="25">
        <f t="shared" si="20"/>
        <v>-6.3017955801105696E-3</v>
      </c>
    </row>
    <row r="649" spans="1:15">
      <c r="A649" s="84">
        <v>532.31680011328638</v>
      </c>
      <c r="B649" s="84">
        <v>533.16121751118624</v>
      </c>
      <c r="C649" s="84">
        <v>528.33036449064298</v>
      </c>
      <c r="D649" s="84">
        <v>531.51165794319593</v>
      </c>
      <c r="E649" s="85">
        <v>4396663.4856572589</v>
      </c>
      <c r="F649" s="83" t="s">
        <v>654</v>
      </c>
      <c r="G649" s="25">
        <f t="shared" si="19"/>
        <v>1.514815635852873E-3</v>
      </c>
      <c r="I649" s="84">
        <v>112.57716284905035</v>
      </c>
      <c r="J649" s="84">
        <v>112.8490883631785</v>
      </c>
      <c r="K649" s="84">
        <v>111.1107073978593</v>
      </c>
      <c r="L649" s="84">
        <v>111.61571192409728</v>
      </c>
      <c r="M649" s="85">
        <v>4421983.73277089</v>
      </c>
      <c r="N649" s="83" t="s">
        <v>654</v>
      </c>
      <c r="O649" s="25">
        <f t="shared" si="20"/>
        <v>8.6139389193422566E-3</v>
      </c>
    </row>
    <row r="650" spans="1:15">
      <c r="A650" s="84">
        <v>531.60002720576676</v>
      </c>
      <c r="B650" s="84">
        <v>539.64163009972003</v>
      </c>
      <c r="C650" s="84">
        <v>529.78354791958679</v>
      </c>
      <c r="D650" s="84">
        <v>539.36670350505494</v>
      </c>
      <c r="E650" s="85">
        <v>5482575.4555912921</v>
      </c>
      <c r="F650" s="83" t="s">
        <v>655</v>
      </c>
      <c r="G650" s="25">
        <f t="shared" si="19"/>
        <v>-1.439962135003281E-2</v>
      </c>
      <c r="I650" s="84">
        <v>111.48946079253778</v>
      </c>
      <c r="J650" s="84">
        <v>111.95561881675745</v>
      </c>
      <c r="K650" s="84">
        <v>110.63969356088734</v>
      </c>
      <c r="L650" s="84">
        <v>110.80964700721742</v>
      </c>
      <c r="M650" s="85">
        <v>3695069.3767062635</v>
      </c>
      <c r="N650" s="83" t="s">
        <v>655</v>
      </c>
      <c r="O650" s="25">
        <f t="shared" si="20"/>
        <v>6.1349693251535609E-3</v>
      </c>
    </row>
    <row r="651" spans="1:15">
      <c r="A651" s="84">
        <v>537.64841228839828</v>
      </c>
      <c r="B651" s="84">
        <v>541.43847177199518</v>
      </c>
      <c r="C651" s="84">
        <v>535.93012107174161</v>
      </c>
      <c r="D651" s="84">
        <v>538.34554758201318</v>
      </c>
      <c r="E651" s="85">
        <v>6093851.3498158418</v>
      </c>
      <c r="F651" s="83" t="s">
        <v>656</v>
      </c>
      <c r="G651" s="25">
        <f t="shared" si="19"/>
        <v>-1.2949587801851514E-3</v>
      </c>
      <c r="I651" s="84">
        <v>110.80964700721742</v>
      </c>
      <c r="J651" s="84">
        <v>112.9267813672151</v>
      </c>
      <c r="K651" s="84">
        <v>110.45031686354811</v>
      </c>
      <c r="L651" s="84">
        <v>112.9267813672151</v>
      </c>
      <c r="M651" s="85">
        <v>3946091.2060438143</v>
      </c>
      <c r="N651" s="83" t="s">
        <v>656</v>
      </c>
      <c r="O651" s="25">
        <f t="shared" si="20"/>
        <v>-1.8747850017199919E-2</v>
      </c>
    </row>
    <row r="652" spans="1:15">
      <c r="A652" s="84">
        <v>534.53585048451157</v>
      </c>
      <c r="B652" s="84">
        <v>535.00715321822315</v>
      </c>
      <c r="C652" s="84">
        <v>529.43007086930322</v>
      </c>
      <c r="D652" s="84">
        <v>530.40213275758333</v>
      </c>
      <c r="E652" s="85">
        <v>6538129.3584559401</v>
      </c>
      <c r="F652" s="83" t="s">
        <v>657</v>
      </c>
      <c r="G652" s="25">
        <f t="shared" si="19"/>
        <v>7.7935541198466129E-3</v>
      </c>
      <c r="I652" s="84">
        <v>112.52860472152747</v>
      </c>
      <c r="J652" s="84">
        <v>113.30553476189358</v>
      </c>
      <c r="K652" s="84">
        <v>112.48975821950916</v>
      </c>
      <c r="L652" s="84">
        <v>112.94620461822426</v>
      </c>
      <c r="M652" s="85">
        <v>2988913.6464664284</v>
      </c>
      <c r="N652" s="83" t="s">
        <v>657</v>
      </c>
      <c r="O652" s="25">
        <f t="shared" si="20"/>
        <v>-3.6973344797935903E-3</v>
      </c>
    </row>
    <row r="653" spans="1:15">
      <c r="A653" s="84">
        <v>527.72159845959891</v>
      </c>
      <c r="B653" s="84">
        <v>533.69133489854221</v>
      </c>
      <c r="C653" s="84">
        <v>524.12300571157209</v>
      </c>
      <c r="D653" s="84">
        <v>532.19897442985848</v>
      </c>
      <c r="E653" s="85">
        <v>7274507.0095399907</v>
      </c>
      <c r="F653" s="83" t="s">
        <v>658</v>
      </c>
      <c r="G653" s="25">
        <f t="shared" si="19"/>
        <v>-8.4129736910074637E-3</v>
      </c>
      <c r="I653" s="84">
        <v>112.66456747859154</v>
      </c>
      <c r="J653" s="84">
        <v>114.06304155125055</v>
      </c>
      <c r="K653" s="84">
        <v>112.20530470848011</v>
      </c>
      <c r="L653" s="84">
        <v>113.59688352703088</v>
      </c>
      <c r="M653" s="85">
        <v>3302764.2988174353</v>
      </c>
      <c r="N653" s="83" t="s">
        <v>658</v>
      </c>
      <c r="O653" s="25">
        <f t="shared" si="20"/>
        <v>-8.2072326237497828E-3</v>
      </c>
    </row>
    <row r="654" spans="1:15">
      <c r="A654" s="84">
        <v>529.04713739816248</v>
      </c>
      <c r="B654" s="84">
        <v>533.22513794444592</v>
      </c>
      <c r="C654" s="84">
        <v>527.6627838059544</v>
      </c>
      <c r="D654" s="84">
        <v>532.62118312880852</v>
      </c>
      <c r="E654" s="85">
        <v>6152224.0220542289</v>
      </c>
      <c r="F654" s="83" t="s">
        <v>659</v>
      </c>
      <c r="G654" s="25">
        <f t="shared" si="19"/>
        <v>-6.7102958798048729E-3</v>
      </c>
      <c r="I654" s="84">
        <v>112.38293033895881</v>
      </c>
      <c r="J654" s="84">
        <v>112.75187499187768</v>
      </c>
      <c r="K654" s="84">
        <v>111.59143286033584</v>
      </c>
      <c r="L654" s="84">
        <v>112.23725595639017</v>
      </c>
      <c r="M654" s="85">
        <v>2517879.2148108492</v>
      </c>
      <c r="N654" s="83" t="s">
        <v>659</v>
      </c>
      <c r="O654" s="25">
        <f t="shared" si="20"/>
        <v>1.297914683741519E-3</v>
      </c>
    </row>
    <row r="655" spans="1:15">
      <c r="A655" s="84">
        <v>531.18763731376919</v>
      </c>
      <c r="B655" s="84">
        <v>534.23146746898954</v>
      </c>
      <c r="C655" s="84">
        <v>527.6626856178849</v>
      </c>
      <c r="D655" s="84">
        <v>530.76542861481914</v>
      </c>
      <c r="E655" s="85">
        <v>6625131.7818815084</v>
      </c>
      <c r="F655" s="83" t="s">
        <v>660</v>
      </c>
      <c r="G655" s="25">
        <f t="shared" si="19"/>
        <v>7.9547136303115273E-4</v>
      </c>
      <c r="I655" s="84">
        <v>111.89734906372999</v>
      </c>
      <c r="J655" s="84">
        <v>112.57541475645952</v>
      </c>
      <c r="K655" s="84">
        <v>111.22258532367202</v>
      </c>
      <c r="L655" s="84">
        <v>112.11100482483067</v>
      </c>
      <c r="M655" s="85">
        <v>2905992.4094788083</v>
      </c>
      <c r="N655" s="83" t="s">
        <v>660</v>
      </c>
      <c r="O655" s="25">
        <f t="shared" si="20"/>
        <v>-1.905751905751929E-3</v>
      </c>
    </row>
    <row r="656" spans="1:15">
      <c r="A656" s="84">
        <v>537.16729074773446</v>
      </c>
      <c r="B656" s="84">
        <v>539.66126771362462</v>
      </c>
      <c r="C656" s="84">
        <v>533.35769183830223</v>
      </c>
      <c r="D656" s="84">
        <v>539.41579753981659</v>
      </c>
      <c r="E656" s="85">
        <v>7207734.1314109601</v>
      </c>
      <c r="F656" s="83" t="s">
        <v>661</v>
      </c>
      <c r="G656" s="25">
        <f t="shared" si="19"/>
        <v>-4.1684110890656267E-3</v>
      </c>
      <c r="I656" s="84">
        <v>113.34438126391188</v>
      </c>
      <c r="J656" s="84">
        <v>114.14073455528717</v>
      </c>
      <c r="K656" s="84">
        <v>112.49694482238255</v>
      </c>
      <c r="L656" s="84">
        <v>112.91706974171052</v>
      </c>
      <c r="M656" s="85">
        <v>3961715.7788744383</v>
      </c>
      <c r="N656" s="83" t="s">
        <v>661</v>
      </c>
      <c r="O656" s="25">
        <f t="shared" si="20"/>
        <v>3.7842951750235443E-3</v>
      </c>
    </row>
    <row r="657" spans="1:15">
      <c r="A657" s="84">
        <v>542.79346713141592</v>
      </c>
      <c r="B657" s="84">
        <v>543.93244873788558</v>
      </c>
      <c r="C657" s="84">
        <v>539.95593011026392</v>
      </c>
      <c r="D657" s="84">
        <v>541.21263921209186</v>
      </c>
      <c r="E657" s="85">
        <v>4579240.6570696896</v>
      </c>
      <c r="F657" s="83" t="s">
        <v>662</v>
      </c>
      <c r="G657" s="25">
        <f t="shared" si="19"/>
        <v>2.9208998548619913E-3</v>
      </c>
      <c r="I657" s="84">
        <v>113.66486490556292</v>
      </c>
      <c r="J657" s="84">
        <v>114.22813918482835</v>
      </c>
      <c r="K657" s="84">
        <v>113.03360924776544</v>
      </c>
      <c r="L657" s="84">
        <v>113.40265101693934</v>
      </c>
      <c r="M657" s="85">
        <v>2210857.4913522042</v>
      </c>
      <c r="N657" s="83" t="s">
        <v>662</v>
      </c>
      <c r="O657" s="25">
        <f t="shared" si="20"/>
        <v>2.3122377322943866E-3</v>
      </c>
    </row>
    <row r="658" spans="1:15">
      <c r="A658" s="84">
        <v>542.80328593836839</v>
      </c>
      <c r="B658" s="84">
        <v>542.88183639398687</v>
      </c>
      <c r="C658" s="84">
        <v>537.61895586754122</v>
      </c>
      <c r="D658" s="84">
        <v>538.1295338290621</v>
      </c>
      <c r="E658" s="85">
        <v>3502716.793088608</v>
      </c>
      <c r="F658" s="83" t="s">
        <v>663</v>
      </c>
      <c r="G658" s="25">
        <f t="shared" si="19"/>
        <v>8.6851804546950184E-3</v>
      </c>
      <c r="I658" s="84">
        <v>113.4609207699668</v>
      </c>
      <c r="J658" s="84">
        <v>113.58717190152629</v>
      </c>
      <c r="K658" s="84">
        <v>112.53831634703204</v>
      </c>
      <c r="L658" s="84">
        <v>112.60629772556408</v>
      </c>
      <c r="M658" s="85">
        <v>1712408.4935280122</v>
      </c>
      <c r="N658" s="83" t="s">
        <v>663</v>
      </c>
      <c r="O658" s="25">
        <f t="shared" si="20"/>
        <v>7.5894782233720814E-3</v>
      </c>
    </row>
    <row r="659" spans="1:15">
      <c r="A659" s="84">
        <v>537.27529762421</v>
      </c>
      <c r="B659" s="84">
        <v>537.44221734239943</v>
      </c>
      <c r="C659" s="84">
        <v>530.52977724796347</v>
      </c>
      <c r="D659" s="84">
        <v>533.46560052670827</v>
      </c>
      <c r="E659" s="85">
        <v>7193699.839804139</v>
      </c>
      <c r="F659" s="83" t="s">
        <v>664</v>
      </c>
      <c r="G659" s="25">
        <f t="shared" si="19"/>
        <v>7.1414109808398685E-3</v>
      </c>
      <c r="I659" s="84">
        <v>113.26668825987527</v>
      </c>
      <c r="J659" s="84">
        <v>113.51919052299426</v>
      </c>
      <c r="K659" s="84">
        <v>112.45091171749085</v>
      </c>
      <c r="L659" s="84">
        <v>112.83937673767392</v>
      </c>
      <c r="M659" s="85">
        <v>3695653.213057586</v>
      </c>
      <c r="N659" s="83" t="s">
        <v>664</v>
      </c>
      <c r="O659" s="25">
        <f t="shared" si="20"/>
        <v>3.7869007659865339E-3</v>
      </c>
    </row>
    <row r="660" spans="1:15">
      <c r="A660" s="84">
        <v>533.45725451530132</v>
      </c>
      <c r="B660" s="84">
        <v>537.86162418600225</v>
      </c>
      <c r="C660" s="84">
        <v>524.46255289891428</v>
      </c>
      <c r="D660" s="84">
        <v>525.20640199885486</v>
      </c>
      <c r="E660" s="85">
        <v>9593281.5951108411</v>
      </c>
      <c r="F660" s="83" t="s">
        <v>665</v>
      </c>
      <c r="G660" s="25">
        <f t="shared" si="19"/>
        <v>1.5709733325879105E-2</v>
      </c>
      <c r="I660" s="84">
        <v>113.12101387730664</v>
      </c>
      <c r="J660" s="84">
        <v>113.41236264244392</v>
      </c>
      <c r="K660" s="84">
        <v>111.29037246969396</v>
      </c>
      <c r="L660" s="84">
        <v>111.62542354960185</v>
      </c>
      <c r="M660" s="85">
        <v>13787007.122227302</v>
      </c>
      <c r="N660" s="83" t="s">
        <v>665</v>
      </c>
      <c r="O660" s="25">
        <f t="shared" si="20"/>
        <v>1.3398294762484886E-2</v>
      </c>
    </row>
    <row r="661" spans="1:15">
      <c r="A661" s="84">
        <v>527.48688673946231</v>
      </c>
      <c r="B661" s="84">
        <v>533.51597944424395</v>
      </c>
      <c r="C661" s="84">
        <v>527.20304958290592</v>
      </c>
      <c r="D661" s="84">
        <v>532.13594361409105</v>
      </c>
      <c r="E661" s="85">
        <v>17156725.740501631</v>
      </c>
      <c r="F661" s="83" t="s">
        <v>666</v>
      </c>
      <c r="G661" s="25">
        <f t="shared" si="19"/>
        <v>-8.7365962221117588E-3</v>
      </c>
      <c r="I661" s="84">
        <v>112.13042807583983</v>
      </c>
      <c r="J661" s="84">
        <v>113.86880904115903</v>
      </c>
      <c r="K661" s="84">
        <v>111.92648394024373</v>
      </c>
      <c r="L661" s="84">
        <v>112.36350708794967</v>
      </c>
      <c r="M661" s="85">
        <v>5608666.6412674328</v>
      </c>
      <c r="N661" s="83" t="s">
        <v>666</v>
      </c>
      <c r="O661" s="25">
        <f t="shared" si="20"/>
        <v>-2.0743301642178746E-3</v>
      </c>
    </row>
    <row r="662" spans="1:15">
      <c r="A662" s="84">
        <v>527.68263650260451</v>
      </c>
      <c r="B662" s="84">
        <v>545.68182722353572</v>
      </c>
      <c r="C662" s="84">
        <v>527.08559972502053</v>
      </c>
      <c r="D662" s="84">
        <v>543.49921736449949</v>
      </c>
      <c r="E662" s="85">
        <v>25118732.820261329</v>
      </c>
      <c r="F662" s="83" t="s">
        <v>667</v>
      </c>
      <c r="G662" s="25">
        <f t="shared" si="19"/>
        <v>-2.9101386637853333E-2</v>
      </c>
      <c r="I662" s="84">
        <v>111.14955389987762</v>
      </c>
      <c r="J662" s="84">
        <v>114.06304155125055</v>
      </c>
      <c r="K662" s="84">
        <v>111.071860895841</v>
      </c>
      <c r="L662" s="84">
        <v>113.49005564648054</v>
      </c>
      <c r="M662" s="85">
        <v>4235763.6196551435</v>
      </c>
      <c r="N662" s="83" t="s">
        <v>667</v>
      </c>
      <c r="O662" s="25">
        <f t="shared" si="20"/>
        <v>-2.0622967653602609E-2</v>
      </c>
    </row>
    <row r="663" spans="1:15">
      <c r="A663" s="84">
        <v>543.6460296868562</v>
      </c>
      <c r="B663" s="84">
        <v>544.56115982954634</v>
      </c>
      <c r="C663" s="84">
        <v>542.51068106063099</v>
      </c>
      <c r="D663" s="84">
        <v>543.66560466317048</v>
      </c>
      <c r="E663" s="85">
        <v>6243563.1102744061</v>
      </c>
      <c r="F663" s="83" t="s">
        <v>668</v>
      </c>
      <c r="G663" s="25">
        <f t="shared" si="19"/>
        <v>-3.6005544854056382E-5</v>
      </c>
      <c r="I663" s="84">
        <v>114.03390667473683</v>
      </c>
      <c r="J663" s="84">
        <v>114.72343208556174</v>
      </c>
      <c r="K663" s="84">
        <v>113.62698956609506</v>
      </c>
      <c r="L663" s="84">
        <v>114.29612056336038</v>
      </c>
      <c r="M663" s="85">
        <v>3101842.2184632774</v>
      </c>
      <c r="N663" s="83" t="s">
        <v>668</v>
      </c>
      <c r="O663" s="25">
        <f t="shared" si="20"/>
        <v>-2.2941626306396401E-3</v>
      </c>
    </row>
    <row r="664" spans="1:15">
      <c r="A664" s="84">
        <v>545.93630191562067</v>
      </c>
      <c r="B664" s="84">
        <v>546.92317434650249</v>
      </c>
      <c r="C664" s="84">
        <v>544.59052229401755</v>
      </c>
      <c r="D664" s="84">
        <v>545.2903276972512</v>
      </c>
      <c r="E664" s="85">
        <v>23342842.037970304</v>
      </c>
      <c r="F664" s="83" t="s">
        <v>669</v>
      </c>
      <c r="G664" s="25">
        <f t="shared" si="19"/>
        <v>1.1846427225243872E-3</v>
      </c>
      <c r="I664" s="84">
        <v>114.7040088345526</v>
      </c>
      <c r="J664" s="84">
        <v>114.93640803287711</v>
      </c>
      <c r="K664" s="84">
        <v>113.43178589345308</v>
      </c>
      <c r="L664" s="84">
        <v>114.04361830024141</v>
      </c>
      <c r="M664" s="85">
        <v>4104815.407185385</v>
      </c>
      <c r="N664" s="83" t="s">
        <v>669</v>
      </c>
      <c r="O664" s="25">
        <f t="shared" si="20"/>
        <v>5.7906838116323911E-3</v>
      </c>
    </row>
    <row r="665" spans="1:15">
      <c r="A665" s="84">
        <v>543.80262949737005</v>
      </c>
      <c r="B665" s="84">
        <v>546.29843897743388</v>
      </c>
      <c r="C665" s="84">
        <v>542.42690016200618</v>
      </c>
      <c r="D665" s="84">
        <v>545.66225224722155</v>
      </c>
      <c r="E665" s="85">
        <v>4768192.7426990131</v>
      </c>
      <c r="F665" s="83" t="s">
        <v>670</v>
      </c>
      <c r="G665" s="25">
        <f t="shared" si="19"/>
        <v>-3.4080106186435977E-3</v>
      </c>
      <c r="I665" s="84">
        <v>114.35439031638784</v>
      </c>
      <c r="J665" s="84">
        <v>114.52919957547023</v>
      </c>
      <c r="K665" s="84">
        <v>112.62572097657323</v>
      </c>
      <c r="L665" s="84">
        <v>112.90735811620596</v>
      </c>
      <c r="M665" s="85">
        <v>5211926.6724347863</v>
      </c>
      <c r="N665" s="83" t="s">
        <v>670</v>
      </c>
      <c r="O665" s="25">
        <f t="shared" si="20"/>
        <v>1.281610184070181E-2</v>
      </c>
    </row>
    <row r="666" spans="1:15">
      <c r="A666" s="84">
        <v>543.8417794499984</v>
      </c>
      <c r="B666" s="84">
        <v>546.33758893006245</v>
      </c>
      <c r="C666" s="84">
        <v>543.81241698552719</v>
      </c>
      <c r="D666" s="84">
        <v>545.81885205773528</v>
      </c>
      <c r="E666" s="85">
        <v>4136507.6871715989</v>
      </c>
      <c r="F666" s="83" t="s">
        <v>671</v>
      </c>
      <c r="G666" s="25">
        <f t="shared" si="19"/>
        <v>-3.6222138540714655E-3</v>
      </c>
      <c r="I666" s="84">
        <v>112.70341398060984</v>
      </c>
      <c r="J666" s="84">
        <v>113.86880904115903</v>
      </c>
      <c r="K666" s="84">
        <v>112.28581408391305</v>
      </c>
      <c r="L666" s="84">
        <v>113.56774865051715</v>
      </c>
      <c r="M666" s="85">
        <v>3962909.1939206156</v>
      </c>
      <c r="N666" s="83" t="s">
        <v>671</v>
      </c>
      <c r="O666" s="25">
        <f t="shared" si="20"/>
        <v>-7.6107405507097603E-3</v>
      </c>
    </row>
    <row r="667" spans="1:15">
      <c r="A667" s="84">
        <v>546.66057603924708</v>
      </c>
      <c r="B667" s="84">
        <v>547.50230002075887</v>
      </c>
      <c r="C667" s="84">
        <v>544.8303157538669</v>
      </c>
      <c r="D667" s="84">
        <v>545.08479044595185</v>
      </c>
      <c r="E667" s="85">
        <v>3590724.1404382423</v>
      </c>
      <c r="F667" s="83" t="s">
        <v>672</v>
      </c>
      <c r="G667" s="25">
        <f t="shared" si="19"/>
        <v>2.8908999497234689E-3</v>
      </c>
      <c r="I667" s="84">
        <v>113.56774865051715</v>
      </c>
      <c r="J667" s="84">
        <v>114.57775770299311</v>
      </c>
      <c r="K667" s="84">
        <v>112.94620461822426</v>
      </c>
      <c r="L667" s="84">
        <v>114.44179494592903</v>
      </c>
      <c r="M667" s="85">
        <v>4425943.9348999644</v>
      </c>
      <c r="N667" s="83" t="s">
        <v>672</v>
      </c>
      <c r="O667" s="25">
        <f t="shared" si="20"/>
        <v>-7.6374745417515655E-3</v>
      </c>
    </row>
    <row r="668" spans="1:15">
      <c r="A668" s="84">
        <v>542.54983101325956</v>
      </c>
      <c r="B668" s="84">
        <v>545.04564049332339</v>
      </c>
      <c r="C668" s="84">
        <v>541.80598191331899</v>
      </c>
      <c r="D668" s="84">
        <v>544.75201584861009</v>
      </c>
      <c r="E668" s="85">
        <v>4199354.2510831943</v>
      </c>
      <c r="F668" s="83" t="s">
        <v>673</v>
      </c>
      <c r="G668" s="25">
        <f t="shared" si="19"/>
        <v>-4.0425455460132431E-3</v>
      </c>
      <c r="I668" s="84">
        <v>114.21842755932377</v>
      </c>
      <c r="J668" s="84">
        <v>114.81083671510294</v>
      </c>
      <c r="K668" s="84">
        <v>112.65485585308696</v>
      </c>
      <c r="L668" s="84">
        <v>113.23755338336154</v>
      </c>
      <c r="M668" s="85">
        <v>3836148.7458967618</v>
      </c>
      <c r="N668" s="83" t="s">
        <v>673</v>
      </c>
      <c r="O668" s="25">
        <f t="shared" si="20"/>
        <v>8.6620926243567986E-3</v>
      </c>
    </row>
    <row r="669" spans="1:15">
      <c r="A669" s="84">
        <v>544.09625414208335</v>
      </c>
      <c r="B669" s="84">
        <v>546.98845689251038</v>
      </c>
      <c r="C669" s="84">
        <v>543.57751726975641</v>
      </c>
      <c r="D669" s="84">
        <v>546.83675082607522</v>
      </c>
      <c r="E669" s="85">
        <v>4508077.9962868057</v>
      </c>
      <c r="F669" s="83" t="s">
        <v>674</v>
      </c>
      <c r="G669" s="25">
        <f t="shared" si="19"/>
        <v>-5.0115444506096951E-3</v>
      </c>
      <c r="I669" s="84">
        <v>113.2181301323524</v>
      </c>
      <c r="J669" s="84">
        <v>114.4515065714336</v>
      </c>
      <c r="K669" s="84">
        <v>110.92618651327236</v>
      </c>
      <c r="L669" s="84">
        <v>113.96592529620477</v>
      </c>
      <c r="M669" s="85">
        <v>7470841.0003876258</v>
      </c>
      <c r="N669" s="83" t="s">
        <v>674</v>
      </c>
      <c r="O669" s="25">
        <f t="shared" si="20"/>
        <v>-6.5615679590965703E-3</v>
      </c>
    </row>
    <row r="670" spans="1:15">
      <c r="A670" s="84">
        <v>546.94441319580346</v>
      </c>
      <c r="B670" s="84">
        <v>548.06018684571427</v>
      </c>
      <c r="C670" s="84">
        <v>546.22013907217706</v>
      </c>
      <c r="D670" s="84">
        <v>546.60185111030444</v>
      </c>
      <c r="E670" s="85">
        <v>5246371.6099294769</v>
      </c>
      <c r="F670" s="83" t="s">
        <v>675</v>
      </c>
      <c r="G670" s="25">
        <f t="shared" si="19"/>
        <v>6.2671226744503983E-4</v>
      </c>
      <c r="I670" s="84">
        <v>114.58746932849768</v>
      </c>
      <c r="J670" s="84">
        <v>114.93708784666242</v>
      </c>
      <c r="K670" s="84">
        <v>114.01448342372767</v>
      </c>
      <c r="L670" s="84">
        <v>114.6166042050114</v>
      </c>
      <c r="M670" s="85">
        <v>4934655.8902437836</v>
      </c>
      <c r="N670" s="83" t="s">
        <v>675</v>
      </c>
      <c r="O670" s="25">
        <f t="shared" si="20"/>
        <v>-2.5419420437211571E-4</v>
      </c>
    </row>
    <row r="671" spans="1:15">
      <c r="A671" s="84">
        <v>545.85800201036386</v>
      </c>
      <c r="B671" s="84">
        <v>547.52187499707304</v>
      </c>
      <c r="C671" s="84">
        <v>545.61331480643605</v>
      </c>
      <c r="D671" s="84">
        <v>546.75845092081818</v>
      </c>
      <c r="E671" s="85">
        <v>3087166.9538665209</v>
      </c>
      <c r="F671" s="83" t="s">
        <v>676</v>
      </c>
      <c r="G671" s="25">
        <f t="shared" si="19"/>
        <v>-1.6468861321444761E-3</v>
      </c>
      <c r="I671" s="84">
        <v>115.10218548024022</v>
      </c>
      <c r="J671" s="84">
        <v>115.57319931721219</v>
      </c>
      <c r="K671" s="84">
        <v>114.29612056336038</v>
      </c>
      <c r="L671" s="84">
        <v>115.37411099436837</v>
      </c>
      <c r="M671" s="85">
        <v>3427681.5950443461</v>
      </c>
      <c r="N671" s="83" t="s">
        <v>676</v>
      </c>
      <c r="O671" s="25">
        <f t="shared" si="20"/>
        <v>-2.3569023569023351E-3</v>
      </c>
    </row>
    <row r="672" spans="1:15">
      <c r="A672" s="84">
        <v>546.76823840897532</v>
      </c>
      <c r="B672" s="84">
        <v>547.0031381247461</v>
      </c>
      <c r="C672" s="84">
        <v>544.35170758298409</v>
      </c>
      <c r="D672" s="84">
        <v>544.9967030525379</v>
      </c>
      <c r="E672" s="85">
        <v>5609530.159185729</v>
      </c>
      <c r="F672" s="83" t="s">
        <v>677</v>
      </c>
      <c r="G672" s="25">
        <f t="shared" si="19"/>
        <v>3.2505432537757173E-3</v>
      </c>
      <c r="I672" s="84">
        <v>115.79171089106516</v>
      </c>
      <c r="J672" s="84">
        <v>115.92767364812923</v>
      </c>
      <c r="K672" s="84">
        <v>114.11159967877343</v>
      </c>
      <c r="L672" s="84">
        <v>114.36410194189243</v>
      </c>
      <c r="M672" s="85">
        <v>3886705.6789012961</v>
      </c>
      <c r="N672" s="83" t="s">
        <v>677</v>
      </c>
      <c r="O672" s="25">
        <f t="shared" si="20"/>
        <v>1.2483016304347894E-2</v>
      </c>
    </row>
    <row r="673" spans="1:15">
      <c r="A673" s="84">
        <v>543.34261755398563</v>
      </c>
      <c r="B673" s="84">
        <v>543.62655258542361</v>
      </c>
      <c r="C673" s="84">
        <v>542.02130665277537</v>
      </c>
      <c r="D673" s="84">
        <v>543.00984295664375</v>
      </c>
      <c r="E673" s="85">
        <v>4294162.0286359675</v>
      </c>
      <c r="F673" s="83" t="s">
        <v>678</v>
      </c>
      <c r="G673" s="25">
        <f t="shared" si="19"/>
        <v>6.1283345349671947E-4</v>
      </c>
      <c r="I673" s="84">
        <v>114.69429720904802</v>
      </c>
      <c r="J673" s="84">
        <v>116.00536665216585</v>
      </c>
      <c r="K673" s="84">
        <v>114.49035307345191</v>
      </c>
      <c r="L673" s="84">
        <v>115.58776675546905</v>
      </c>
      <c r="M673" s="85">
        <v>3727757.0045241201</v>
      </c>
      <c r="N673" s="83" t="s">
        <v>678</v>
      </c>
      <c r="O673" s="25">
        <f t="shared" si="20"/>
        <v>-7.7297933120483719E-3</v>
      </c>
    </row>
    <row r="674" spans="1:15">
      <c r="A674" s="84">
        <v>543.21538020794321</v>
      </c>
      <c r="B674" s="84">
        <v>543.76347954474159</v>
      </c>
      <c r="C674" s="84">
        <v>542.11918153434658</v>
      </c>
      <c r="D674" s="84">
        <v>542.57919347773088</v>
      </c>
      <c r="E674" s="85">
        <v>5559149.5107410485</v>
      </c>
      <c r="F674" s="83" t="s">
        <v>679</v>
      </c>
      <c r="G674" s="25">
        <f t="shared" ref="G674:G737" si="21">A674/D674-1</f>
        <v>1.1725232700772192E-3</v>
      </c>
      <c r="I674" s="84">
        <v>115.25757148831346</v>
      </c>
      <c r="J674" s="84">
        <v>118.47211953032826</v>
      </c>
      <c r="K674" s="84">
        <v>115.11675291849708</v>
      </c>
      <c r="L674" s="84">
        <v>118.31673352225503</v>
      </c>
      <c r="M674" s="85">
        <v>4601398.5999503247</v>
      </c>
      <c r="N674" s="83" t="s">
        <v>679</v>
      </c>
      <c r="O674" s="25">
        <f t="shared" ref="O674:O737" si="22">I674/L674-1</f>
        <v>-2.5855700566362882E-2</v>
      </c>
    </row>
    <row r="675" spans="1:15">
      <c r="A675" s="84">
        <v>541.6885320554336</v>
      </c>
      <c r="B675" s="84">
        <v>542.91196807507276</v>
      </c>
      <c r="C675" s="84">
        <v>539.35910987404066</v>
      </c>
      <c r="D675" s="84">
        <v>539.57443461349703</v>
      </c>
      <c r="E675" s="85">
        <v>4075332.645078205</v>
      </c>
      <c r="F675" s="83" t="s">
        <v>680</v>
      </c>
      <c r="G675" s="25">
        <f t="shared" si="21"/>
        <v>3.9180830415934675E-3</v>
      </c>
      <c r="I675" s="84">
        <v>118.31673352225503</v>
      </c>
      <c r="J675" s="84">
        <v>118.35558002427335</v>
      </c>
      <c r="K675" s="84">
        <v>117.1756175254673</v>
      </c>
      <c r="L675" s="84">
        <v>117.19989658922876</v>
      </c>
      <c r="M675" s="85">
        <v>2809572.9172363677</v>
      </c>
      <c r="N675" s="83" t="s">
        <v>680</v>
      </c>
      <c r="O675" s="25">
        <f t="shared" si="22"/>
        <v>9.5293337752733187E-3</v>
      </c>
    </row>
    <row r="676" spans="1:15">
      <c r="A676" s="84">
        <v>538.85016048987063</v>
      </c>
      <c r="B676" s="84">
        <v>540.64127082262246</v>
      </c>
      <c r="C676" s="84">
        <v>537.44076219524641</v>
      </c>
      <c r="D676" s="84">
        <v>540.30849622528058</v>
      </c>
      <c r="E676" s="85">
        <v>3384135.8955747751</v>
      </c>
      <c r="F676" s="83" t="s">
        <v>681</v>
      </c>
      <c r="G676" s="25">
        <f t="shared" si="21"/>
        <v>-2.6990797768279284E-3</v>
      </c>
      <c r="I676" s="84">
        <v>116.86970132207315</v>
      </c>
      <c r="J676" s="84">
        <v>118.23904051821843</v>
      </c>
      <c r="K676" s="84">
        <v>116.85513388381628</v>
      </c>
      <c r="L676" s="84">
        <v>117.5495151073935</v>
      </c>
      <c r="M676" s="85">
        <v>3711243.8059947467</v>
      </c>
      <c r="N676" s="83" t="s">
        <v>681</v>
      </c>
      <c r="O676" s="25">
        <f t="shared" si="22"/>
        <v>-5.7832121612689802E-3</v>
      </c>
    </row>
    <row r="677" spans="1:15">
      <c r="A677" s="84">
        <v>540.57275840552256</v>
      </c>
      <c r="B677" s="84">
        <v>541.07182242665385</v>
      </c>
      <c r="C677" s="84">
        <v>538.16503631887281</v>
      </c>
      <c r="D677" s="84">
        <v>538.80122304908514</v>
      </c>
      <c r="E677" s="85">
        <v>4534946.9943155665</v>
      </c>
      <c r="F677" s="83" t="s">
        <v>682</v>
      </c>
      <c r="G677" s="25">
        <f t="shared" si="21"/>
        <v>3.2879200726609881E-3</v>
      </c>
      <c r="I677" s="84">
        <v>117.1319152106967</v>
      </c>
      <c r="J677" s="84">
        <v>117.5495151073935</v>
      </c>
      <c r="K677" s="84">
        <v>115.17055532379246</v>
      </c>
      <c r="L677" s="84">
        <v>115.4420923729004</v>
      </c>
      <c r="M677" s="85">
        <v>3270310.4114788556</v>
      </c>
      <c r="N677" s="83" t="s">
        <v>682</v>
      </c>
      <c r="O677" s="25">
        <f t="shared" si="22"/>
        <v>1.4637839656767904E-2</v>
      </c>
    </row>
    <row r="678" spans="1:15">
      <c r="A678" s="84">
        <v>537.5582120531318</v>
      </c>
      <c r="B678" s="84">
        <v>540.64127082262246</v>
      </c>
      <c r="C678" s="84">
        <v>535.57125408235618</v>
      </c>
      <c r="D678" s="84">
        <v>539.48634722008308</v>
      </c>
      <c r="E678" s="85">
        <v>4398473.7768201027</v>
      </c>
      <c r="F678" s="83" t="s">
        <v>683</v>
      </c>
      <c r="G678" s="25">
        <f t="shared" si="21"/>
        <v>-3.5740203193033171E-3</v>
      </c>
      <c r="I678" s="84">
        <v>115.22843661179972</v>
      </c>
      <c r="J678" s="84">
        <v>117.51066860537519</v>
      </c>
      <c r="K678" s="84">
        <v>114.6166042050114</v>
      </c>
      <c r="L678" s="84">
        <v>116.8891245730823</v>
      </c>
      <c r="M678" s="85">
        <v>8569473.7673710883</v>
      </c>
      <c r="N678" s="83" t="s">
        <v>683</v>
      </c>
      <c r="O678" s="25">
        <f t="shared" si="22"/>
        <v>-1.4207377866400805E-2</v>
      </c>
    </row>
    <row r="679" spans="1:15">
      <c r="A679" s="84">
        <v>535.83561413747987</v>
      </c>
      <c r="B679" s="84">
        <v>536.40289695106617</v>
      </c>
      <c r="C679" s="84">
        <v>533.78024162448605</v>
      </c>
      <c r="D679" s="84">
        <v>534.22067859155618</v>
      </c>
      <c r="E679" s="85">
        <v>5695626.8150869235</v>
      </c>
      <c r="F679" s="83" t="s">
        <v>684</v>
      </c>
      <c r="G679" s="25">
        <f t="shared" si="21"/>
        <v>3.0229746070133956E-3</v>
      </c>
      <c r="I679" s="84">
        <v>117.28730121876993</v>
      </c>
      <c r="J679" s="84">
        <v>118.36529164977792</v>
      </c>
      <c r="K679" s="84">
        <v>117.02508733014636</v>
      </c>
      <c r="L679" s="84">
        <v>117.23874309124704</v>
      </c>
      <c r="M679" s="85">
        <v>3691943.2265076493</v>
      </c>
      <c r="N679" s="83" t="s">
        <v>684</v>
      </c>
      <c r="O679" s="25">
        <f t="shared" si="22"/>
        <v>4.1418157720340965E-4</v>
      </c>
    </row>
    <row r="680" spans="1:15">
      <c r="A680" s="84">
        <v>534.04450380472804</v>
      </c>
      <c r="B680" s="84">
        <v>535.44411461119535</v>
      </c>
      <c r="C680" s="84">
        <v>528.56351043674465</v>
      </c>
      <c r="D680" s="84">
        <v>533.98577887578551</v>
      </c>
      <c r="E680" s="85">
        <v>4628990.5308414372</v>
      </c>
      <c r="F680" s="83" t="s">
        <v>685</v>
      </c>
      <c r="G680" s="25">
        <f t="shared" si="21"/>
        <v>1.0997470581730617E-4</v>
      </c>
      <c r="I680" s="84">
        <v>117.0542222066601</v>
      </c>
      <c r="J680" s="84">
        <v>117.39412909932027</v>
      </c>
      <c r="K680" s="84">
        <v>115.43238074739583</v>
      </c>
      <c r="L680" s="84">
        <v>116.15104103473448</v>
      </c>
      <c r="M680" s="85">
        <v>4992249.7502764249</v>
      </c>
      <c r="N680" s="83" t="s">
        <v>685</v>
      </c>
      <c r="O680" s="25">
        <f t="shared" si="22"/>
        <v>7.7759197324416274E-3</v>
      </c>
    </row>
    <row r="681" spans="1:15">
      <c r="A681" s="84">
        <v>531.36273204967904</v>
      </c>
      <c r="B681" s="84">
        <v>531.52911934835004</v>
      </c>
      <c r="C681" s="84">
        <v>526.01876351589533</v>
      </c>
      <c r="D681" s="84">
        <v>531.24528219179365</v>
      </c>
      <c r="E681" s="85">
        <v>4034804.3712624442</v>
      </c>
      <c r="F681" s="83" t="s">
        <v>686</v>
      </c>
      <c r="G681" s="25">
        <f t="shared" si="21"/>
        <v>2.2108404878595778E-4</v>
      </c>
      <c r="I681" s="84">
        <v>115.71401788702855</v>
      </c>
      <c r="J681" s="84">
        <v>115.84026901858805</v>
      </c>
      <c r="K681" s="84">
        <v>114.27669731235123</v>
      </c>
      <c r="L681" s="84">
        <v>115.42266912189125</v>
      </c>
      <c r="M681" s="85">
        <v>4109302.8125100099</v>
      </c>
      <c r="N681" s="83" t="s">
        <v>686</v>
      </c>
      <c r="O681" s="25">
        <f t="shared" si="22"/>
        <v>2.5241901556585233E-3</v>
      </c>
    </row>
    <row r="682" spans="1:15">
      <c r="A682" s="84">
        <v>531.16698228653684</v>
      </c>
      <c r="B682" s="84">
        <v>531.82274399306334</v>
      </c>
      <c r="C682" s="84">
        <v>525.49023915541113</v>
      </c>
      <c r="D682" s="84">
        <v>526.07748844483785</v>
      </c>
      <c r="E682" s="85">
        <v>7129891.6412259666</v>
      </c>
      <c r="F682" s="83" t="s">
        <v>687</v>
      </c>
      <c r="G682" s="25">
        <f t="shared" si="21"/>
        <v>9.674418604651347E-3</v>
      </c>
      <c r="I682" s="84">
        <v>115.52949700244159</v>
      </c>
      <c r="J682" s="84">
        <v>117.85057549803537</v>
      </c>
      <c r="K682" s="84">
        <v>115.08276222923108</v>
      </c>
      <c r="L682" s="84">
        <v>117.74374761748503</v>
      </c>
      <c r="M682" s="85">
        <v>4792270.8693893058</v>
      </c>
      <c r="N682" s="83" t="s">
        <v>687</v>
      </c>
      <c r="O682" s="25">
        <f t="shared" si="22"/>
        <v>-1.8805674694820196E-2</v>
      </c>
    </row>
    <row r="683" spans="1:15">
      <c r="A683" s="84">
        <v>529.23884711958556</v>
      </c>
      <c r="B683" s="84">
        <v>530.413345698439</v>
      </c>
      <c r="C683" s="84">
        <v>526.70878143097173</v>
      </c>
      <c r="D683" s="84">
        <v>527.4673117631479</v>
      </c>
      <c r="E683" s="85">
        <v>4602044.9043674646</v>
      </c>
      <c r="F683" s="83" t="s">
        <v>688</v>
      </c>
      <c r="G683" s="25">
        <f t="shared" si="21"/>
        <v>3.3585689898318893E-3</v>
      </c>
      <c r="I683" s="84">
        <v>115.94709689913839</v>
      </c>
      <c r="J683" s="84">
        <v>116.26758054078941</v>
      </c>
      <c r="K683" s="84">
        <v>114.95651109767158</v>
      </c>
      <c r="L683" s="84">
        <v>114.95651109767158</v>
      </c>
      <c r="M683" s="85">
        <v>4594982.5782482279</v>
      </c>
      <c r="N683" s="83" t="s">
        <v>688</v>
      </c>
      <c r="O683" s="25">
        <f t="shared" si="22"/>
        <v>8.6170482385741209E-3</v>
      </c>
    </row>
    <row r="684" spans="1:15">
      <c r="A684" s="84">
        <v>527.05623726054921</v>
      </c>
      <c r="B684" s="84">
        <v>531.03974494049442</v>
      </c>
      <c r="C684" s="84">
        <v>525.34342683305442</v>
      </c>
      <c r="D684" s="84">
        <v>530.60909546158132</v>
      </c>
      <c r="E684" s="85">
        <v>7519921.2319361856</v>
      </c>
      <c r="F684" s="83" t="s">
        <v>689</v>
      </c>
      <c r="G684" s="25">
        <f t="shared" si="21"/>
        <v>-6.6958109678489919E-3</v>
      </c>
      <c r="I684" s="84">
        <v>115.1118971057448</v>
      </c>
      <c r="J684" s="84">
        <v>115.42266912189125</v>
      </c>
      <c r="K684" s="84">
        <v>113.75226953510409</v>
      </c>
      <c r="L684" s="84">
        <v>114.74285533657091</v>
      </c>
      <c r="M684" s="85">
        <v>7177475.075326222</v>
      </c>
      <c r="N684" s="83" t="s">
        <v>689</v>
      </c>
      <c r="O684" s="25">
        <f t="shared" si="22"/>
        <v>3.2162505289883292E-3</v>
      </c>
    </row>
    <row r="685" spans="1:15">
      <c r="A685" s="84">
        <v>533.94662892315694</v>
      </c>
      <c r="B685" s="84">
        <v>537.89098665047368</v>
      </c>
      <c r="C685" s="84">
        <v>533.30065470478746</v>
      </c>
      <c r="D685" s="84">
        <v>537.43097470708926</v>
      </c>
      <c r="E685" s="85">
        <v>4025835.7780349567</v>
      </c>
      <c r="F685" s="83" t="s">
        <v>690</v>
      </c>
      <c r="G685" s="25">
        <f t="shared" si="21"/>
        <v>-6.4833363686032097E-3</v>
      </c>
      <c r="I685" s="84">
        <v>114.87881809502178</v>
      </c>
      <c r="J685" s="84">
        <v>119.30317889955593</v>
      </c>
      <c r="K685" s="84">
        <v>113.5650341006623</v>
      </c>
      <c r="L685" s="84">
        <v>119.01337360668252</v>
      </c>
      <c r="M685" s="85">
        <v>6328251.9163687611</v>
      </c>
      <c r="N685" s="83" t="s">
        <v>690</v>
      </c>
      <c r="O685" s="25">
        <f t="shared" si="22"/>
        <v>-3.4740259740259849E-2</v>
      </c>
    </row>
    <row r="686" spans="1:15">
      <c r="A686" s="84">
        <v>537.36246228998948</v>
      </c>
      <c r="B686" s="84">
        <v>539.17314759905548</v>
      </c>
      <c r="C686" s="84">
        <v>535.34623972962413</v>
      </c>
      <c r="D686" s="84">
        <v>537.4896996360319</v>
      </c>
      <c r="E686" s="85">
        <v>3781940.7191923968</v>
      </c>
      <c r="F686" s="83" t="s">
        <v>691</v>
      </c>
      <c r="G686" s="25">
        <f t="shared" si="21"/>
        <v>-2.3672518027528788E-4</v>
      </c>
      <c r="I686" s="84">
        <v>119.54468331028377</v>
      </c>
      <c r="J686" s="84">
        <v>119.73788683886606</v>
      </c>
      <c r="K686" s="84">
        <v>118.78152937238377</v>
      </c>
      <c r="L686" s="84">
        <v>119.18725678240656</v>
      </c>
      <c r="M686" s="85">
        <v>2901379.7217543246</v>
      </c>
      <c r="N686" s="83" t="s">
        <v>691</v>
      </c>
      <c r="O686" s="25">
        <f t="shared" si="22"/>
        <v>2.9988652942130045E-3</v>
      </c>
    </row>
    <row r="687" spans="1:15">
      <c r="A687" s="84">
        <v>537.08841262159035</v>
      </c>
      <c r="B687" s="84">
        <v>539.23187252799823</v>
      </c>
      <c r="C687" s="84">
        <v>534.81771536914005</v>
      </c>
      <c r="D687" s="84">
        <v>538.69356067935689</v>
      </c>
      <c r="E687" s="85">
        <v>4923237.6301757991</v>
      </c>
      <c r="F687" s="83" t="s">
        <v>692</v>
      </c>
      <c r="G687" s="25">
        <f t="shared" si="21"/>
        <v>-2.9797052998782325E-3</v>
      </c>
      <c r="I687" s="84">
        <v>119.17759660597746</v>
      </c>
      <c r="J687" s="84">
        <v>121.02259370217389</v>
      </c>
      <c r="K687" s="84">
        <v>118.13912763984771</v>
      </c>
      <c r="L687" s="84">
        <v>120.64594342320275</v>
      </c>
      <c r="M687" s="85">
        <v>4033296.9367490262</v>
      </c>
      <c r="N687" s="83" t="s">
        <v>692</v>
      </c>
      <c r="O687" s="25">
        <f t="shared" si="22"/>
        <v>-1.2170710224997938E-2</v>
      </c>
    </row>
    <row r="688" spans="1:15">
      <c r="A688" s="84">
        <v>538.70334816751404</v>
      </c>
      <c r="B688" s="84">
        <v>540.00508409241013</v>
      </c>
      <c r="C688" s="84">
        <v>537.18628750316145</v>
      </c>
      <c r="D688" s="84">
        <v>539.7114594476966</v>
      </c>
      <c r="E688" s="85">
        <v>4999371.5664869696</v>
      </c>
      <c r="F688" s="83" t="s">
        <v>693</v>
      </c>
      <c r="G688" s="25">
        <f t="shared" si="21"/>
        <v>-1.8678708086246054E-3</v>
      </c>
      <c r="I688" s="84">
        <v>120.327157601042</v>
      </c>
      <c r="J688" s="84">
        <v>121.27385489109516</v>
      </c>
      <c r="K688" s="84">
        <v>119.80550807386985</v>
      </c>
      <c r="L688" s="84">
        <v>119.85863904422997</v>
      </c>
      <c r="M688" s="85">
        <v>4153431.3885901361</v>
      </c>
      <c r="N688" s="83" t="s">
        <v>693</v>
      </c>
      <c r="O688" s="25">
        <f t="shared" si="22"/>
        <v>3.9089260527906955E-3</v>
      </c>
    </row>
    <row r="689" spans="1:15">
      <c r="A689" s="84">
        <v>538.26291120044391</v>
      </c>
      <c r="B689" s="84">
        <v>539.52549717271154</v>
      </c>
      <c r="C689" s="84">
        <v>536.41307593874944</v>
      </c>
      <c r="D689" s="84">
        <v>536.4228634269067</v>
      </c>
      <c r="E689" s="85">
        <v>6945577.7528164135</v>
      </c>
      <c r="F689" s="83" t="s">
        <v>694</v>
      </c>
      <c r="G689" s="25">
        <f t="shared" si="21"/>
        <v>3.4302187676755747E-3</v>
      </c>
      <c r="I689" s="84">
        <v>119.3514797817015</v>
      </c>
      <c r="J689" s="84">
        <v>119.99871160245212</v>
      </c>
      <c r="K689" s="84">
        <v>116.79153302798633</v>
      </c>
      <c r="L689" s="84">
        <v>116.8398339101319</v>
      </c>
      <c r="M689" s="85">
        <v>6606550.1461917358</v>
      </c>
      <c r="N689" s="83" t="s">
        <v>694</v>
      </c>
      <c r="O689" s="25">
        <f t="shared" si="22"/>
        <v>2.1496486151302285E-2</v>
      </c>
    </row>
    <row r="690" spans="1:15">
      <c r="A690" s="84">
        <v>535.8943390664225</v>
      </c>
      <c r="B690" s="84">
        <v>536.81925669726968</v>
      </c>
      <c r="C690" s="84">
        <v>533.56491688502956</v>
      </c>
      <c r="D690" s="84">
        <v>533.63342930212934</v>
      </c>
      <c r="E690" s="85">
        <v>6182664.9522963744</v>
      </c>
      <c r="F690" s="83" t="s">
        <v>695</v>
      </c>
      <c r="G690" s="25">
        <f t="shared" si="21"/>
        <v>4.23682183338836E-3</v>
      </c>
      <c r="I690" s="84">
        <v>115.99939856079899</v>
      </c>
      <c r="J690" s="84">
        <v>118.09565684591669</v>
      </c>
      <c r="K690" s="84">
        <v>115.88347644364963</v>
      </c>
      <c r="L690" s="84">
        <v>117.85415243518885</v>
      </c>
      <c r="M690" s="85">
        <v>4570509.6924456693</v>
      </c>
      <c r="N690" s="83" t="s">
        <v>695</v>
      </c>
      <c r="O690" s="25">
        <f t="shared" si="22"/>
        <v>-1.5737704918032835E-2</v>
      </c>
    </row>
    <row r="691" spans="1:15">
      <c r="A691" s="84">
        <v>531.75423157596356</v>
      </c>
      <c r="B691" s="84">
        <v>532.57638058116106</v>
      </c>
      <c r="C691" s="84">
        <v>526.73325015136447</v>
      </c>
      <c r="D691" s="84">
        <v>530.13929603003987</v>
      </c>
      <c r="E691" s="85">
        <v>7645819.7239925414</v>
      </c>
      <c r="F691" s="83" t="s">
        <v>696</v>
      </c>
      <c r="G691" s="25">
        <f t="shared" si="21"/>
        <v>3.0462475768484598E-3</v>
      </c>
      <c r="I691" s="84">
        <v>117.45808520159518</v>
      </c>
      <c r="J691" s="84">
        <v>118.68173974987104</v>
      </c>
      <c r="K691" s="84">
        <v>116.17328173652305</v>
      </c>
      <c r="L691" s="84">
        <v>118.38546213879012</v>
      </c>
      <c r="M691" s="85">
        <v>9970742.3261663634</v>
      </c>
      <c r="N691" s="83" t="s">
        <v>696</v>
      </c>
      <c r="O691" s="25">
        <f t="shared" si="22"/>
        <v>-7.8335373317014456E-3</v>
      </c>
    </row>
    <row r="692" spans="1:15">
      <c r="A692" s="84">
        <v>518.83474720857407</v>
      </c>
      <c r="B692" s="84">
        <v>518.90325962567385</v>
      </c>
      <c r="C692" s="84">
        <v>513.3341788642764</v>
      </c>
      <c r="D692" s="84">
        <v>513.56907858004718</v>
      </c>
      <c r="E692" s="85">
        <v>3371936.647097195</v>
      </c>
      <c r="F692" s="83" t="s">
        <v>697</v>
      </c>
      <c r="G692" s="25">
        <f t="shared" si="21"/>
        <v>1.0253087360878155E-2</v>
      </c>
      <c r="I692" s="84">
        <v>114.93677915359648</v>
      </c>
      <c r="J692" s="84">
        <v>115.05270127074583</v>
      </c>
      <c r="K692" s="84">
        <v>113.7002765706699</v>
      </c>
      <c r="L692" s="84">
        <v>114.46343050856989</v>
      </c>
      <c r="M692" s="85">
        <v>8378345.943669742</v>
      </c>
      <c r="N692" s="83" t="s">
        <v>697</v>
      </c>
      <c r="O692" s="25">
        <f t="shared" si="22"/>
        <v>4.1353700734241272E-3</v>
      </c>
    </row>
    <row r="693" spans="1:15">
      <c r="A693" s="84">
        <v>512.66862966959263</v>
      </c>
      <c r="B693" s="84">
        <v>515.09592673255679</v>
      </c>
      <c r="C693" s="84">
        <v>510.9363421406652</v>
      </c>
      <c r="D693" s="84">
        <v>513.90185317738894</v>
      </c>
      <c r="E693" s="85">
        <v>3761395.1004624418</v>
      </c>
      <c r="F693" s="83" t="s">
        <v>698</v>
      </c>
      <c r="G693" s="25">
        <f t="shared" si="21"/>
        <v>-2.3997257456291887E-3</v>
      </c>
      <c r="I693" s="84">
        <v>113.99008186354331</v>
      </c>
      <c r="J693" s="84">
        <v>115.56469062148886</v>
      </c>
      <c r="K693" s="84">
        <v>113.82585886424837</v>
      </c>
      <c r="L693" s="84">
        <v>115.02372074145849</v>
      </c>
      <c r="M693" s="85">
        <v>7097250.2938322937</v>
      </c>
      <c r="N693" s="83" t="s">
        <v>698</v>
      </c>
      <c r="O693" s="25">
        <f t="shared" si="22"/>
        <v>-8.9863105736122106E-3</v>
      </c>
    </row>
    <row r="694" spans="1:15">
      <c r="A694" s="84">
        <v>513.78440331950367</v>
      </c>
      <c r="B694" s="84">
        <v>517.83642341654854</v>
      </c>
      <c r="C694" s="84">
        <v>513.39300166810074</v>
      </c>
      <c r="D694" s="84">
        <v>513.99972805896016</v>
      </c>
      <c r="E694" s="85">
        <v>6239539.6060445309</v>
      </c>
      <c r="F694" s="83" t="s">
        <v>699</v>
      </c>
      <c r="G694" s="25">
        <f t="shared" si="21"/>
        <v>-4.1891994820630885E-4</v>
      </c>
      <c r="I694" s="84">
        <v>114.71459509572685</v>
      </c>
      <c r="J694" s="84">
        <v>117.48706573088253</v>
      </c>
      <c r="K694" s="84">
        <v>114.70493491929774</v>
      </c>
      <c r="L694" s="84">
        <v>117.37114361373315</v>
      </c>
      <c r="M694" s="85">
        <v>5419217.7942243125</v>
      </c>
      <c r="N694" s="83" t="s">
        <v>699</v>
      </c>
      <c r="O694" s="25">
        <f t="shared" si="22"/>
        <v>-2.2633744855967031E-2</v>
      </c>
    </row>
    <row r="695" spans="1:15">
      <c r="A695" s="84">
        <v>511.56264350783891</v>
      </c>
      <c r="B695" s="84">
        <v>517.98323573890525</v>
      </c>
      <c r="C695" s="84">
        <v>511.40604369732512</v>
      </c>
      <c r="D695" s="84">
        <v>517.84621090470569</v>
      </c>
      <c r="E695" s="85">
        <v>8145883.6751752477</v>
      </c>
      <c r="F695" s="83" t="s">
        <v>700</v>
      </c>
      <c r="G695" s="25">
        <f t="shared" si="21"/>
        <v>-1.213404146742536E-2</v>
      </c>
      <c r="I695" s="84">
        <v>116.87847461584835</v>
      </c>
      <c r="J695" s="84">
        <v>117.94099742128658</v>
      </c>
      <c r="K695" s="84">
        <v>116.47825350639016</v>
      </c>
      <c r="L695" s="84">
        <v>117.17794008515088</v>
      </c>
      <c r="M695" s="85">
        <v>4257420.172580922</v>
      </c>
      <c r="N695" s="83" t="s">
        <v>700</v>
      </c>
      <c r="O695" s="25">
        <f t="shared" si="22"/>
        <v>-2.5556471558120242E-3</v>
      </c>
    </row>
    <row r="696" spans="1:15">
      <c r="A696" s="84">
        <v>521.82971858465066</v>
      </c>
      <c r="B696" s="84">
        <v>524.80511498441319</v>
      </c>
      <c r="C696" s="84">
        <v>521.27183175969537</v>
      </c>
      <c r="D696" s="84">
        <v>522.99442967534719</v>
      </c>
      <c r="E696" s="85">
        <v>3133607.8785147569</v>
      </c>
      <c r="F696" s="83" t="s">
        <v>701</v>
      </c>
      <c r="G696" s="25">
        <f t="shared" si="21"/>
        <v>-2.2270047721532071E-3</v>
      </c>
      <c r="I696" s="84">
        <v>117.71890996518125</v>
      </c>
      <c r="J696" s="84">
        <v>118.63662672594708</v>
      </c>
      <c r="K696" s="84">
        <v>117.61264802446101</v>
      </c>
      <c r="L696" s="84">
        <v>118.18259843377872</v>
      </c>
      <c r="M696" s="85">
        <v>5022772.6538997572</v>
      </c>
      <c r="N696" s="83" t="s">
        <v>701</v>
      </c>
      <c r="O696" s="25">
        <f t="shared" si="22"/>
        <v>-3.9234919077979491E-3</v>
      </c>
    </row>
    <row r="697" spans="1:15">
      <c r="A697" s="84">
        <v>523.405504177946</v>
      </c>
      <c r="B697" s="84">
        <v>524.43319043444296</v>
      </c>
      <c r="C697" s="84">
        <v>520.44968275449776</v>
      </c>
      <c r="D697" s="84">
        <v>521.79056863202231</v>
      </c>
      <c r="E697" s="85">
        <v>3093348.3151135361</v>
      </c>
      <c r="F697" s="83" t="s">
        <v>702</v>
      </c>
      <c r="G697" s="25">
        <f t="shared" si="21"/>
        <v>3.0949879951980286E-3</v>
      </c>
      <c r="I697" s="84">
        <v>118.61730637308885</v>
      </c>
      <c r="J697" s="84">
        <v>121.23521418537869</v>
      </c>
      <c r="K697" s="84">
        <v>118.51104443236861</v>
      </c>
      <c r="L697" s="84">
        <v>121.14827259751667</v>
      </c>
      <c r="M697" s="85">
        <v>5282153.0097748777</v>
      </c>
      <c r="N697" s="83" t="s">
        <v>702</v>
      </c>
      <c r="O697" s="25">
        <f t="shared" si="22"/>
        <v>-2.0891475958854877E-2</v>
      </c>
    </row>
    <row r="698" spans="1:15">
      <c r="A698" s="84">
        <v>522.57356768459135</v>
      </c>
      <c r="B698" s="84">
        <v>524.18850323051504</v>
      </c>
      <c r="C698" s="84">
        <v>522.32966347971603</v>
      </c>
      <c r="D698" s="84">
        <v>524.14935327788658</v>
      </c>
      <c r="E698" s="85">
        <v>3481966.9207192706</v>
      </c>
      <c r="F698" s="83" t="s">
        <v>703</v>
      </c>
      <c r="G698" s="25">
        <f t="shared" si="21"/>
        <v>-3.0063675237614884E-3</v>
      </c>
      <c r="I698" s="84">
        <v>121.16759295037491</v>
      </c>
      <c r="J698" s="84">
        <v>121.63128141897236</v>
      </c>
      <c r="K698" s="84">
        <v>120.39477883604579</v>
      </c>
      <c r="L698" s="84">
        <v>120.97438942179262</v>
      </c>
      <c r="M698" s="85">
        <v>4610102.1370357405</v>
      </c>
      <c r="N698" s="83" t="s">
        <v>703</v>
      </c>
      <c r="O698" s="25">
        <f t="shared" si="22"/>
        <v>1.5970614070111022E-3</v>
      </c>
    </row>
    <row r="699" spans="1:15">
      <c r="A699" s="84">
        <v>520.94884465051052</v>
      </c>
      <c r="B699" s="84">
        <v>525.84268660394866</v>
      </c>
      <c r="C699" s="84">
        <v>520.12082315241878</v>
      </c>
      <c r="D699" s="84">
        <v>523.28805432006061</v>
      </c>
      <c r="E699" s="85">
        <v>4421144.5577639071</v>
      </c>
      <c r="F699" s="83" t="s">
        <v>704</v>
      </c>
      <c r="G699" s="25">
        <f t="shared" si="21"/>
        <v>-4.4702141587955602E-3</v>
      </c>
      <c r="I699" s="84">
        <v>120.90676818678882</v>
      </c>
      <c r="J699" s="84">
        <v>121.95972741756223</v>
      </c>
      <c r="K699" s="84">
        <v>120.55417174712618</v>
      </c>
      <c r="L699" s="84">
        <v>121.77618406540907</v>
      </c>
      <c r="M699" s="85">
        <v>4882110.6266613323</v>
      </c>
      <c r="N699" s="83" t="s">
        <v>704</v>
      </c>
      <c r="O699" s="25">
        <f t="shared" si="22"/>
        <v>-7.1394574012374479E-3</v>
      </c>
    </row>
    <row r="700" spans="1:15">
      <c r="A700" s="84">
        <v>521.15438190180998</v>
      </c>
      <c r="B700" s="84">
        <v>521.84929356096495</v>
      </c>
      <c r="C700" s="84">
        <v>518.77602227963132</v>
      </c>
      <c r="D700" s="84">
        <v>521.83950607280781</v>
      </c>
      <c r="E700" s="85">
        <v>4574985.8677945798</v>
      </c>
      <c r="F700" s="83" t="s">
        <v>705</v>
      </c>
      <c r="G700" s="25">
        <f t="shared" si="21"/>
        <v>-1.3129020762606691E-3</v>
      </c>
      <c r="I700" s="84">
        <v>120.91642836321795</v>
      </c>
      <c r="J700" s="84">
        <v>122.37028491579957</v>
      </c>
      <c r="K700" s="84">
        <v>120.86812748107238</v>
      </c>
      <c r="L700" s="84">
        <v>122.08530971114071</v>
      </c>
      <c r="M700" s="85">
        <v>4318561.9130381588</v>
      </c>
      <c r="N700" s="83" t="s">
        <v>705</v>
      </c>
      <c r="O700" s="25">
        <f t="shared" si="22"/>
        <v>-9.5742997309700151E-3</v>
      </c>
    </row>
    <row r="701" spans="1:15">
      <c r="A701" s="84">
        <v>519.97988332295631</v>
      </c>
      <c r="B701" s="84">
        <v>523.35656673716039</v>
      </c>
      <c r="C701" s="84">
        <v>516.79894967189455</v>
      </c>
      <c r="D701" s="84">
        <v>522.92591725824741</v>
      </c>
      <c r="E701" s="85">
        <v>5341262.1462030783</v>
      </c>
      <c r="F701" s="83" t="s">
        <v>706</v>
      </c>
      <c r="G701" s="25">
        <f t="shared" si="21"/>
        <v>-5.6337500935839113E-3</v>
      </c>
      <c r="I701" s="84">
        <v>122.88710435475716</v>
      </c>
      <c r="J701" s="84">
        <v>123.16724947120146</v>
      </c>
      <c r="K701" s="84">
        <v>121.36079647895717</v>
      </c>
      <c r="L701" s="84">
        <v>122.59729906188375</v>
      </c>
      <c r="M701" s="85">
        <v>5643211.6328335823</v>
      </c>
      <c r="N701" s="83" t="s">
        <v>706</v>
      </c>
      <c r="O701" s="25">
        <f t="shared" si="22"/>
        <v>2.3638799149003908E-3</v>
      </c>
    </row>
    <row r="702" spans="1:15">
      <c r="A702" s="84">
        <v>524.76596503178473</v>
      </c>
      <c r="B702" s="84">
        <v>525.86216370538136</v>
      </c>
      <c r="C702" s="84">
        <v>522.13313071752123</v>
      </c>
      <c r="D702" s="84">
        <v>522.75952995957653</v>
      </c>
      <c r="E702" s="85">
        <v>3439692.5400653039</v>
      </c>
      <c r="F702" s="83" t="s">
        <v>707</v>
      </c>
      <c r="G702" s="25">
        <f t="shared" si="21"/>
        <v>3.8381606785118372E-3</v>
      </c>
      <c r="I702" s="84">
        <v>121.26419471466603</v>
      </c>
      <c r="J702" s="84">
        <v>124.32647064269511</v>
      </c>
      <c r="K702" s="84">
        <v>119.33215942884327</v>
      </c>
      <c r="L702" s="84">
        <v>123.64059811622803</v>
      </c>
      <c r="M702" s="85">
        <v>5948218.4845842477</v>
      </c>
      <c r="N702" s="83" t="s">
        <v>707</v>
      </c>
      <c r="O702" s="25">
        <f t="shared" si="22"/>
        <v>-1.922025158215479E-2</v>
      </c>
    </row>
    <row r="703" spans="1:15">
      <c r="A703" s="84">
        <v>525.12810209359793</v>
      </c>
      <c r="B703" s="84">
        <v>526.18515081456621</v>
      </c>
      <c r="C703" s="84">
        <v>522.36803043329201</v>
      </c>
      <c r="D703" s="84">
        <v>525.3140643685831</v>
      </c>
      <c r="E703" s="85">
        <v>3751147.3230562331</v>
      </c>
      <c r="F703" s="83" t="s">
        <v>708</v>
      </c>
      <c r="G703" s="25">
        <f t="shared" si="21"/>
        <v>-3.5400208674918332E-4</v>
      </c>
      <c r="I703" s="84">
        <v>121.62162124254326</v>
      </c>
      <c r="J703" s="84">
        <v>122.13361059328629</v>
      </c>
      <c r="K703" s="84">
        <v>120.46240007104959</v>
      </c>
      <c r="L703" s="84">
        <v>121.62162124254326</v>
      </c>
      <c r="M703" s="85">
        <v>4936396.3846749775</v>
      </c>
      <c r="N703" s="83" t="s">
        <v>708</v>
      </c>
      <c r="O703" s="25">
        <f t="shared" si="22"/>
        <v>0</v>
      </c>
    </row>
    <row r="704" spans="1:15">
      <c r="A704" s="84">
        <v>525.94046361063829</v>
      </c>
      <c r="B704" s="84">
        <v>526.66473773426469</v>
      </c>
      <c r="C704" s="84">
        <v>524.17871574235789</v>
      </c>
      <c r="D704" s="84">
        <v>525.49023915541113</v>
      </c>
      <c r="E704" s="85">
        <v>5180503.8418513658</v>
      </c>
      <c r="F704" s="83" t="s">
        <v>709</v>
      </c>
      <c r="G704" s="25">
        <f t="shared" si="21"/>
        <v>8.5677034829556575E-4</v>
      </c>
      <c r="I704" s="84">
        <v>121.64094159540149</v>
      </c>
      <c r="J704" s="84">
        <v>121.97904777042046</v>
      </c>
      <c r="K704" s="84">
        <v>120.7860159814249</v>
      </c>
      <c r="L704" s="84">
        <v>121.8631256532711</v>
      </c>
      <c r="M704" s="85">
        <v>4509584.3041446619</v>
      </c>
      <c r="N704" s="83" t="s">
        <v>709</v>
      </c>
      <c r="O704" s="25">
        <f t="shared" si="22"/>
        <v>-1.8232263178754593E-3</v>
      </c>
    </row>
    <row r="705" spans="1:15">
      <c r="A705" s="84">
        <v>523.92424105027294</v>
      </c>
      <c r="B705" s="84">
        <v>527.31071195263416</v>
      </c>
      <c r="C705" s="84">
        <v>523.77742872791623</v>
      </c>
      <c r="D705" s="84">
        <v>527.1736871184346</v>
      </c>
      <c r="E705" s="85">
        <v>3295326.5927131134</v>
      </c>
      <c r="F705" s="83" t="s">
        <v>710</v>
      </c>
      <c r="G705" s="25">
        <f t="shared" si="21"/>
        <v>-6.1639003379007073E-3</v>
      </c>
      <c r="I705" s="84">
        <v>121.47671859610654</v>
      </c>
      <c r="J705" s="84">
        <v>122.68424064974577</v>
      </c>
      <c r="K705" s="84">
        <v>120.87778765750149</v>
      </c>
      <c r="L705" s="84">
        <v>122.17225129900274</v>
      </c>
      <c r="M705" s="85">
        <v>2550394.4136825725</v>
      </c>
      <c r="N705" s="83" t="s">
        <v>710</v>
      </c>
      <c r="O705" s="25">
        <f t="shared" si="22"/>
        <v>-5.6930497351150855E-3</v>
      </c>
    </row>
    <row r="706" spans="1:15">
      <c r="A706" s="84">
        <v>523.84594114501613</v>
      </c>
      <c r="B706" s="84">
        <v>524.34510304102889</v>
      </c>
      <c r="C706" s="84">
        <v>520.9048009538036</v>
      </c>
      <c r="D706" s="84">
        <v>521.60460635703714</v>
      </c>
      <c r="E706" s="85">
        <v>3307504.3852260346</v>
      </c>
      <c r="F706" s="83" t="s">
        <v>711</v>
      </c>
      <c r="G706" s="25">
        <f t="shared" si="21"/>
        <v>4.2969996059520899E-3</v>
      </c>
      <c r="I706" s="84">
        <v>121.9307468882749</v>
      </c>
      <c r="J706" s="84">
        <v>121.95006724113311</v>
      </c>
      <c r="K706" s="84">
        <v>119.97456116137933</v>
      </c>
      <c r="L706" s="84">
        <v>120.53002130605338</v>
      </c>
      <c r="M706" s="85">
        <v>3237422.23855728</v>
      </c>
      <c r="N706" s="83" t="s">
        <v>711</v>
      </c>
      <c r="O706" s="25">
        <f t="shared" si="22"/>
        <v>1.1621383345355563E-2</v>
      </c>
    </row>
    <row r="707" spans="1:15">
      <c r="A707" s="84">
        <v>521.65354379782275</v>
      </c>
      <c r="B707" s="84">
        <v>526.18515081456621</v>
      </c>
      <c r="C707" s="84">
        <v>520.51819517159765</v>
      </c>
      <c r="D707" s="84">
        <v>525.96003858695258</v>
      </c>
      <c r="E707" s="85">
        <v>4915796.497289516</v>
      </c>
      <c r="F707" s="83" t="s">
        <v>712</v>
      </c>
      <c r="G707" s="25">
        <f t="shared" si="21"/>
        <v>-8.1878745022144761E-3</v>
      </c>
      <c r="I707" s="84">
        <v>120.78118589321035</v>
      </c>
      <c r="J707" s="84">
        <v>122.51035747402172</v>
      </c>
      <c r="K707" s="84">
        <v>120.45756998283503</v>
      </c>
      <c r="L707" s="84">
        <v>121.68924247754704</v>
      </c>
      <c r="M707" s="85">
        <v>7785889.890512025</v>
      </c>
      <c r="N707" s="83" t="s">
        <v>712</v>
      </c>
      <c r="O707" s="25">
        <f t="shared" si="22"/>
        <v>-7.4620941494005777E-3</v>
      </c>
    </row>
    <row r="708" spans="1:15">
      <c r="A708" s="84">
        <v>525.65662645408213</v>
      </c>
      <c r="B708" s="84">
        <v>526.5472878763793</v>
      </c>
      <c r="C708" s="84">
        <v>522.62250512537696</v>
      </c>
      <c r="D708" s="84">
        <v>522.89655479377609</v>
      </c>
      <c r="E708" s="85">
        <v>2696227.0172271961</v>
      </c>
      <c r="F708" s="83" t="s">
        <v>713</v>
      </c>
      <c r="G708" s="25">
        <f t="shared" si="21"/>
        <v>5.2784277023867343E-3</v>
      </c>
      <c r="I708" s="84">
        <v>120.40443901247491</v>
      </c>
      <c r="J708" s="84">
        <v>120.58798236462806</v>
      </c>
      <c r="K708" s="84">
        <v>119.08099484168631</v>
      </c>
      <c r="L708" s="84">
        <v>119.53502313385465</v>
      </c>
      <c r="M708" s="85">
        <v>1997755.438693404</v>
      </c>
      <c r="N708" s="83" t="s">
        <v>713</v>
      </c>
      <c r="O708" s="25">
        <f t="shared" si="22"/>
        <v>7.2733150153549975E-3</v>
      </c>
    </row>
    <row r="709" spans="1:15">
      <c r="A709" s="84">
        <v>521.38928161758065</v>
      </c>
      <c r="B709" s="84">
        <v>522.09398076489276</v>
      </c>
      <c r="C709" s="84">
        <v>518.13983554941899</v>
      </c>
      <c r="D709" s="84">
        <v>518.24749791914724</v>
      </c>
      <c r="E709" s="85">
        <v>5547049.3683859408</v>
      </c>
      <c r="F709" s="83" t="s">
        <v>714</v>
      </c>
      <c r="G709" s="25">
        <f t="shared" si="21"/>
        <v>6.0623229461758132E-3</v>
      </c>
      <c r="I709" s="84">
        <v>119.71856648600783</v>
      </c>
      <c r="J709" s="84">
        <v>119.71856648600783</v>
      </c>
      <c r="K709" s="84">
        <v>118.7235683138091</v>
      </c>
      <c r="L709" s="84">
        <v>118.82017007810023</v>
      </c>
      <c r="M709" s="85">
        <v>2646087.28293639</v>
      </c>
      <c r="N709" s="83" t="s">
        <v>714</v>
      </c>
      <c r="O709" s="25">
        <f t="shared" si="22"/>
        <v>7.5609756097561043E-3</v>
      </c>
    </row>
    <row r="710" spans="1:15">
      <c r="A710" s="84">
        <v>518.30622284808987</v>
      </c>
      <c r="B710" s="84">
        <v>519.61774626114311</v>
      </c>
      <c r="C710" s="84">
        <v>516.86746208899433</v>
      </c>
      <c r="D710" s="84">
        <v>518.02238569153371</v>
      </c>
      <c r="E710" s="85">
        <v>3716615.4805063787</v>
      </c>
      <c r="F710" s="83" t="s">
        <v>715</v>
      </c>
      <c r="G710" s="25">
        <f t="shared" si="21"/>
        <v>5.4792449978258162E-4</v>
      </c>
      <c r="I710" s="84">
        <v>118.76220901952556</v>
      </c>
      <c r="J710" s="84">
        <v>119.85380895601541</v>
      </c>
      <c r="K710" s="84">
        <v>118.25021966878252</v>
      </c>
      <c r="L710" s="84">
        <v>119.42876119313441</v>
      </c>
      <c r="M710" s="85">
        <v>2883326.2212536098</v>
      </c>
      <c r="N710" s="83" t="s">
        <v>715</v>
      </c>
      <c r="O710" s="25">
        <f t="shared" si="22"/>
        <v>-5.5811696190244398E-3</v>
      </c>
    </row>
    <row r="711" spans="1:15">
      <c r="A711" s="84">
        <v>519.1773092940731</v>
      </c>
      <c r="B711" s="84">
        <v>519.74498360718565</v>
      </c>
      <c r="C711" s="84">
        <v>515.12528919702811</v>
      </c>
      <c r="D711" s="84">
        <v>515.67338853382648</v>
      </c>
      <c r="E711" s="85">
        <v>3005658.8092645565</v>
      </c>
      <c r="F711" s="83" t="s">
        <v>716</v>
      </c>
      <c r="G711" s="25">
        <f t="shared" si="21"/>
        <v>6.7948450281853923E-3</v>
      </c>
      <c r="I711" s="84">
        <v>119.73788683886606</v>
      </c>
      <c r="J711" s="84">
        <v>120.50094417500176</v>
      </c>
      <c r="K711" s="84">
        <v>118.43376302093567</v>
      </c>
      <c r="L711" s="84">
        <v>118.84915060738759</v>
      </c>
      <c r="M711" s="85">
        <v>3323323.3611805779</v>
      </c>
      <c r="N711" s="83" t="s">
        <v>716</v>
      </c>
      <c r="O711" s="25">
        <f t="shared" si="22"/>
        <v>7.4778509306674401E-3</v>
      </c>
    </row>
    <row r="712" spans="1:15">
      <c r="A712" s="84">
        <v>515.65381355751231</v>
      </c>
      <c r="B712" s="84">
        <v>516.17255042983925</v>
      </c>
      <c r="C712" s="84">
        <v>512.37500502487933</v>
      </c>
      <c r="D712" s="84">
        <v>513.17757905376266</v>
      </c>
      <c r="E712" s="85">
        <v>2683698.7772915103</v>
      </c>
      <c r="F712" s="83" t="s">
        <v>717</v>
      </c>
      <c r="G712" s="25">
        <f t="shared" si="21"/>
        <v>4.8252975282270238E-3</v>
      </c>
      <c r="I712" s="84">
        <v>119.30317889955593</v>
      </c>
      <c r="J712" s="84">
        <v>121.65543186004516</v>
      </c>
      <c r="K712" s="84">
        <v>119.08099484168631</v>
      </c>
      <c r="L712" s="84">
        <v>121.16759295037491</v>
      </c>
      <c r="M712" s="85">
        <v>3306867.1399959526</v>
      </c>
      <c r="N712" s="83" t="s">
        <v>717</v>
      </c>
      <c r="O712" s="25">
        <f t="shared" si="22"/>
        <v>-1.5387068484413735E-2</v>
      </c>
    </row>
    <row r="713" spans="1:15">
      <c r="A713" s="84">
        <v>510.81879440789828</v>
      </c>
      <c r="B713" s="84">
        <v>514.54792527064001</v>
      </c>
      <c r="C713" s="84">
        <v>509.74217071061582</v>
      </c>
      <c r="D713" s="84">
        <v>513.98015308264587</v>
      </c>
      <c r="E713" s="85">
        <v>4056714.9980297568</v>
      </c>
      <c r="F713" s="83" t="s">
        <v>718</v>
      </c>
      <c r="G713" s="25">
        <f t="shared" si="21"/>
        <v>-6.15074075484634E-3</v>
      </c>
      <c r="I713" s="84">
        <v>120.80050624606857</v>
      </c>
      <c r="J713" s="84">
        <v>121.40909736110275</v>
      </c>
      <c r="K713" s="84">
        <v>120.02769213173947</v>
      </c>
      <c r="L713" s="84">
        <v>120.60730271748629</v>
      </c>
      <c r="M713" s="85">
        <v>4768133.412261636</v>
      </c>
      <c r="N713" s="83" t="s">
        <v>718</v>
      </c>
      <c r="O713" s="25">
        <f t="shared" si="22"/>
        <v>1.6019223067680333E-3</v>
      </c>
    </row>
    <row r="714" spans="1:15">
      <c r="A714" s="84">
        <v>515.45806379436999</v>
      </c>
      <c r="B714" s="84">
        <v>515.82020085618319</v>
      </c>
      <c r="C714" s="84">
        <v>511.20050644602571</v>
      </c>
      <c r="D714" s="84">
        <v>514.9784768746714</v>
      </c>
      <c r="E714" s="85">
        <v>5474514.9255744778</v>
      </c>
      <c r="F714" s="83" t="s">
        <v>719</v>
      </c>
      <c r="G714" s="25">
        <f t="shared" si="21"/>
        <v>9.312756575947656E-4</v>
      </c>
      <c r="I714" s="84">
        <v>120.66526377606098</v>
      </c>
      <c r="J714" s="84">
        <v>120.73288501106478</v>
      </c>
      <c r="K714" s="84">
        <v>118.96507272453695</v>
      </c>
      <c r="L714" s="84">
        <v>119.4963824281382</v>
      </c>
      <c r="M714" s="85">
        <v>3164065.4002841921</v>
      </c>
      <c r="N714" s="83" t="s">
        <v>719</v>
      </c>
      <c r="O714" s="25">
        <f t="shared" si="22"/>
        <v>9.781729991915844E-3</v>
      </c>
    </row>
    <row r="715" spans="1:15">
      <c r="A715" s="84">
        <v>510.75028199079856</v>
      </c>
      <c r="B715" s="84">
        <v>512.62458597288571</v>
      </c>
      <c r="C715" s="84">
        <v>508.77320938306173</v>
      </c>
      <c r="D715" s="84">
        <v>510.47623232239931</v>
      </c>
      <c r="E715" s="85">
        <v>4094975.0698672738</v>
      </c>
      <c r="F715" s="83" t="s">
        <v>720</v>
      </c>
      <c r="G715" s="25">
        <f t="shared" si="21"/>
        <v>5.3685098550526611E-4</v>
      </c>
      <c r="I715" s="84">
        <v>119.46740189885087</v>
      </c>
      <c r="J715" s="84">
        <v>120.65560359963187</v>
      </c>
      <c r="K715" s="84">
        <v>119.0134702084468</v>
      </c>
      <c r="L715" s="84">
        <v>120.26919654246731</v>
      </c>
      <c r="M715" s="85">
        <v>4933320.8714876138</v>
      </c>
      <c r="N715" s="83" t="s">
        <v>720</v>
      </c>
      <c r="O715" s="25">
        <f t="shared" si="22"/>
        <v>-6.6666666666665986E-3</v>
      </c>
    </row>
    <row r="716" spans="1:15">
      <c r="A716" s="84">
        <v>511.71924331835277</v>
      </c>
      <c r="B716" s="84">
        <v>512.71756711037835</v>
      </c>
      <c r="C716" s="84">
        <v>508.53840754217254</v>
      </c>
      <c r="D716" s="84">
        <v>510.76006947895564</v>
      </c>
      <c r="E716" s="85">
        <v>3341595.869644077</v>
      </c>
      <c r="F716" s="83" t="s">
        <v>721</v>
      </c>
      <c r="G716" s="25">
        <f t="shared" si="21"/>
        <v>1.877934272300541E-3</v>
      </c>
      <c r="I716" s="84">
        <v>119.82482842672808</v>
      </c>
      <c r="J716" s="84">
        <v>121.26419471466603</v>
      </c>
      <c r="K716" s="84">
        <v>119.43842136956353</v>
      </c>
      <c r="L716" s="84">
        <v>120.96472924536351</v>
      </c>
      <c r="M716" s="85">
        <v>3936690.0055145822</v>
      </c>
      <c r="N716" s="83" t="s">
        <v>721</v>
      </c>
      <c r="O716" s="25">
        <f t="shared" si="22"/>
        <v>-9.4234147899696641E-3</v>
      </c>
    </row>
    <row r="717" spans="1:15">
      <c r="A717" s="84">
        <v>511.63115592493875</v>
      </c>
      <c r="B717" s="84">
        <v>515.89850076144012</v>
      </c>
      <c r="C717" s="84">
        <v>509.17449639750333</v>
      </c>
      <c r="D717" s="84">
        <v>515.83977583249737</v>
      </c>
      <c r="E717" s="85">
        <v>9398383.7858487554</v>
      </c>
      <c r="F717" s="83" t="s">
        <v>722</v>
      </c>
      <c r="G717" s="25">
        <f t="shared" si="21"/>
        <v>-8.15877352762584E-3</v>
      </c>
      <c r="I717" s="84">
        <v>120.16293460174705</v>
      </c>
      <c r="J717" s="84">
        <v>120.35613813032934</v>
      </c>
      <c r="K717" s="84">
        <v>116.05735961937368</v>
      </c>
      <c r="L717" s="84">
        <v>117.06201796800153</v>
      </c>
      <c r="M717" s="85">
        <v>7460471.4032755168</v>
      </c>
      <c r="N717" s="83" t="s">
        <v>722</v>
      </c>
      <c r="O717" s="25">
        <f t="shared" si="22"/>
        <v>2.6489519722726396E-2</v>
      </c>
    </row>
    <row r="718" spans="1:15">
      <c r="A718" s="84">
        <v>516.45638758639552</v>
      </c>
      <c r="B718" s="84">
        <v>516.73533099887334</v>
      </c>
      <c r="C718" s="84">
        <v>511.09284407629752</v>
      </c>
      <c r="D718" s="84">
        <v>513.17757905376266</v>
      </c>
      <c r="E718" s="85">
        <v>8191426.5144456113</v>
      </c>
      <c r="F718" s="83" t="s">
        <v>723</v>
      </c>
      <c r="G718" s="25">
        <f t="shared" si="21"/>
        <v>6.3892279523953821E-3</v>
      </c>
      <c r="I718" s="84">
        <v>117.04269761514328</v>
      </c>
      <c r="J718" s="84">
        <v>117.16827990872177</v>
      </c>
      <c r="K718" s="84">
        <v>115.69993309149646</v>
      </c>
      <c r="L718" s="84">
        <v>116.57900914654583</v>
      </c>
      <c r="M718" s="85">
        <v>5669767.0484496858</v>
      </c>
      <c r="N718" s="83" t="s">
        <v>723</v>
      </c>
      <c r="O718" s="25">
        <f t="shared" si="22"/>
        <v>3.9774610540270761E-3</v>
      </c>
    </row>
    <row r="719" spans="1:15">
      <c r="A719" s="84">
        <v>514.21505279841665</v>
      </c>
      <c r="B719" s="84">
        <v>516.55426246796662</v>
      </c>
      <c r="C719" s="84">
        <v>513.17757905376266</v>
      </c>
      <c r="D719" s="84">
        <v>515.88871327328297</v>
      </c>
      <c r="E719" s="85">
        <v>5720154.0478300387</v>
      </c>
      <c r="F719" s="83" t="s">
        <v>724</v>
      </c>
      <c r="G719" s="25">
        <f t="shared" si="21"/>
        <v>-3.2442277409928666E-3</v>
      </c>
      <c r="I719" s="84">
        <v>116.29886403010153</v>
      </c>
      <c r="J719" s="84">
        <v>117.11997902657619</v>
      </c>
      <c r="K719" s="84">
        <v>115.55503044505976</v>
      </c>
      <c r="L719" s="84">
        <v>115.8641560907914</v>
      </c>
      <c r="M719" s="85">
        <v>8221297.0521580195</v>
      </c>
      <c r="N719" s="83" t="s">
        <v>724</v>
      </c>
      <c r="O719" s="25">
        <f t="shared" si="22"/>
        <v>3.7518759379691069E-3</v>
      </c>
    </row>
    <row r="720" spans="1:15">
      <c r="A720" s="84">
        <v>514.88197223832992</v>
      </c>
      <c r="B720" s="84">
        <v>517.04804761898004</v>
      </c>
      <c r="C720" s="84">
        <v>512.72565395398897</v>
      </c>
      <c r="D720" s="84">
        <v>516.80412021124914</v>
      </c>
      <c r="E720" s="85">
        <v>5405209.5345295509</v>
      </c>
      <c r="F720" s="83" t="s">
        <v>725</v>
      </c>
      <c r="G720" s="25">
        <f t="shared" si="21"/>
        <v>-3.7192969207240356E-3</v>
      </c>
      <c r="I720" s="84">
        <v>116.23124279509771</v>
      </c>
      <c r="J720" s="84">
        <v>117.73823031803948</v>
      </c>
      <c r="K720" s="84">
        <v>116.04769944294456</v>
      </c>
      <c r="L720" s="84">
        <v>116.15396138366481</v>
      </c>
      <c r="M720" s="85">
        <v>6420832.0060350988</v>
      </c>
      <c r="N720" s="83" t="s">
        <v>725</v>
      </c>
      <c r="O720" s="25">
        <f t="shared" si="22"/>
        <v>6.6533599467732962E-4</v>
      </c>
    </row>
    <row r="721" spans="1:15">
      <c r="A721" s="84">
        <v>512.84273910969978</v>
      </c>
      <c r="B721" s="84">
        <v>514.4916883859604</v>
      </c>
      <c r="C721" s="84">
        <v>511.90605786401318</v>
      </c>
      <c r="D721" s="84">
        <v>513.81844874062324</v>
      </c>
      <c r="E721" s="85">
        <v>36299784.154510416</v>
      </c>
      <c r="F721" s="83" t="s">
        <v>726</v>
      </c>
      <c r="G721" s="25">
        <f t="shared" si="21"/>
        <v>-1.8989384933820741E-3</v>
      </c>
      <c r="I721" s="84">
        <v>116.79153302798633</v>
      </c>
      <c r="J721" s="84">
        <v>117.3228427315876</v>
      </c>
      <c r="K721" s="84">
        <v>116.26988350081419</v>
      </c>
      <c r="L721" s="84">
        <v>116.41478614725089</v>
      </c>
      <c r="M721" s="85">
        <v>5914600.0509683527</v>
      </c>
      <c r="N721" s="83" t="s">
        <v>726</v>
      </c>
      <c r="O721" s="25">
        <f t="shared" si="22"/>
        <v>3.2362459546926292E-3</v>
      </c>
    </row>
    <row r="722" spans="1:15">
      <c r="A722" s="84">
        <v>513.8867484147878</v>
      </c>
      <c r="B722" s="84">
        <v>514.0428619557357</v>
      </c>
      <c r="C722" s="84">
        <v>510.66690663274034</v>
      </c>
      <c r="D722" s="84">
        <v>513.23302296206919</v>
      </c>
      <c r="E722" s="85">
        <v>4766385.2570546558</v>
      </c>
      <c r="F722" s="83" t="s">
        <v>727</v>
      </c>
      <c r="G722" s="25">
        <f t="shared" si="21"/>
        <v>1.2737400429647661E-3</v>
      </c>
      <c r="I722" s="84">
        <v>115.96075785508255</v>
      </c>
      <c r="J722" s="84">
        <v>116.16362156009393</v>
      </c>
      <c r="K722" s="84">
        <v>115.03338091788761</v>
      </c>
      <c r="L722" s="84">
        <v>116.04769944294456</v>
      </c>
      <c r="M722" s="85">
        <v>6050239.3956133444</v>
      </c>
      <c r="N722" s="83" t="s">
        <v>727</v>
      </c>
      <c r="O722" s="25">
        <f t="shared" si="22"/>
        <v>-7.4918837925574966E-4</v>
      </c>
    </row>
    <row r="723" spans="1:15">
      <c r="A723" s="84">
        <v>512.4134268720934</v>
      </c>
      <c r="B723" s="84">
        <v>513.05739522850297</v>
      </c>
      <c r="C723" s="84">
        <v>511.10597596665599</v>
      </c>
      <c r="D723" s="84">
        <v>512.24755623483645</v>
      </c>
      <c r="E723" s="85">
        <v>30018310.849589702</v>
      </c>
      <c r="F723" s="83" t="s">
        <v>728</v>
      </c>
      <c r="G723" s="25">
        <f t="shared" si="21"/>
        <v>3.2380952380939299E-4</v>
      </c>
      <c r="I723" s="84">
        <v>116.18294191295216</v>
      </c>
      <c r="J723" s="84">
        <v>116.38580561796356</v>
      </c>
      <c r="K723" s="84">
        <v>114.19294556855471</v>
      </c>
      <c r="L723" s="84">
        <v>114.63731368429394</v>
      </c>
      <c r="M723" s="85">
        <v>6993056.5446408689</v>
      </c>
      <c r="N723" s="83" t="s">
        <v>728</v>
      </c>
      <c r="O723" s="25">
        <f t="shared" si="22"/>
        <v>1.3482767337996249E-2</v>
      </c>
    </row>
    <row r="724" spans="1:15">
      <c r="A724" s="84">
        <v>511.15476144820212</v>
      </c>
      <c r="B724" s="84">
        <v>512.1694994643625</v>
      </c>
      <c r="C724" s="84">
        <v>508.46180286685325</v>
      </c>
      <c r="D724" s="84">
        <v>510.79374888476042</v>
      </c>
      <c r="E724" s="85">
        <v>5752406.0664315317</v>
      </c>
      <c r="F724" s="83" t="s">
        <v>729</v>
      </c>
      <c r="G724" s="25">
        <f t="shared" si="21"/>
        <v>7.0676777903000421E-4</v>
      </c>
      <c r="I724" s="84">
        <v>114.13498450998003</v>
      </c>
      <c r="J724" s="84">
        <v>114.84983756573445</v>
      </c>
      <c r="K724" s="84">
        <v>113.85483939353573</v>
      </c>
      <c r="L724" s="84">
        <v>114.1832853921256</v>
      </c>
      <c r="M724" s="85">
        <v>17555098.630383566</v>
      </c>
      <c r="N724" s="83" t="s">
        <v>729</v>
      </c>
      <c r="O724" s="25">
        <f t="shared" si="22"/>
        <v>-4.2301184433168881E-4</v>
      </c>
    </row>
    <row r="725" spans="1:15">
      <c r="A725" s="84">
        <v>512.15974236805323</v>
      </c>
      <c r="B725" s="84">
        <v>513.80869164431408</v>
      </c>
      <c r="C725" s="84">
        <v>509.50581217194144</v>
      </c>
      <c r="D725" s="84">
        <v>512.13047107912564</v>
      </c>
      <c r="E725" s="85">
        <v>5696747.0893354472</v>
      </c>
      <c r="F725" s="83" t="s">
        <v>730</v>
      </c>
      <c r="G725" s="25">
        <f t="shared" si="21"/>
        <v>5.7155921353135852E-5</v>
      </c>
      <c r="I725" s="84">
        <v>114.78221633073065</v>
      </c>
      <c r="J725" s="84">
        <v>115.15896321146609</v>
      </c>
      <c r="K725" s="84">
        <v>113.27522880778889</v>
      </c>
      <c r="L725" s="84">
        <v>114.66629421358128</v>
      </c>
      <c r="M725" s="85">
        <v>5456174.6761839464</v>
      </c>
      <c r="N725" s="83" t="s">
        <v>730</v>
      </c>
      <c r="O725" s="25">
        <f t="shared" si="22"/>
        <v>1.0109519797809607E-3</v>
      </c>
    </row>
    <row r="726" spans="1:15">
      <c r="A726" s="84">
        <v>503.3783556897418</v>
      </c>
      <c r="B726" s="84">
        <v>510.03269537264009</v>
      </c>
      <c r="C726" s="84">
        <v>502.94904345213553</v>
      </c>
      <c r="D726" s="84">
        <v>505.5932165519381</v>
      </c>
      <c r="E726" s="85">
        <v>7093583.7677948205</v>
      </c>
      <c r="F726" s="83" t="s">
        <v>731</v>
      </c>
      <c r="G726" s="25">
        <f t="shared" si="21"/>
        <v>-4.3807171253231747E-3</v>
      </c>
      <c r="I726" s="84">
        <v>114.02872256925978</v>
      </c>
      <c r="J726" s="84">
        <v>115.54537026863065</v>
      </c>
      <c r="K726" s="84">
        <v>113.7678978056737</v>
      </c>
      <c r="L726" s="84">
        <v>114.92711897716735</v>
      </c>
      <c r="M726" s="85">
        <v>4591041.4085541079</v>
      </c>
      <c r="N726" s="83" t="s">
        <v>731</v>
      </c>
      <c r="O726" s="25">
        <f t="shared" si="22"/>
        <v>-7.8170967470789776E-3</v>
      </c>
    </row>
    <row r="727" spans="1:15">
      <c r="A727" s="84">
        <v>505.01754786969332</v>
      </c>
      <c r="B727" s="84">
        <v>508.08615465894769</v>
      </c>
      <c r="C727" s="84">
        <v>502.97831474106317</v>
      </c>
      <c r="D727" s="84">
        <v>506.82261068690184</v>
      </c>
      <c r="E727" s="85">
        <v>8352850.8294892609</v>
      </c>
      <c r="F727" s="83" t="s">
        <v>732</v>
      </c>
      <c r="G727" s="25">
        <f t="shared" si="21"/>
        <v>-3.5615277991684069E-3</v>
      </c>
      <c r="I727" s="84">
        <v>114.69527474286863</v>
      </c>
      <c r="J727" s="84">
        <v>114.98991012395659</v>
      </c>
      <c r="K727" s="84">
        <v>113.74857745281547</v>
      </c>
      <c r="L727" s="84">
        <v>114.47309068499901</v>
      </c>
      <c r="M727" s="85">
        <v>5281187.1889052009</v>
      </c>
      <c r="N727" s="83" t="s">
        <v>732</v>
      </c>
      <c r="O727" s="25">
        <f t="shared" si="22"/>
        <v>1.9409282700422192E-3</v>
      </c>
    </row>
    <row r="728" spans="1:15">
      <c r="A728" s="84">
        <v>504.7833775582717</v>
      </c>
      <c r="B728" s="84">
        <v>505.01754786969332</v>
      </c>
      <c r="C728" s="84">
        <v>502.14896155477817</v>
      </c>
      <c r="D728" s="84">
        <v>503.79791083103896</v>
      </c>
      <c r="E728" s="85">
        <v>4362212.7578791091</v>
      </c>
      <c r="F728" s="83" t="s">
        <v>733</v>
      </c>
      <c r="G728" s="25">
        <f t="shared" si="21"/>
        <v>1.9560754541581016E-3</v>
      </c>
      <c r="I728" s="84">
        <v>115.14930303503698</v>
      </c>
      <c r="J728" s="84">
        <v>116.45342685296734</v>
      </c>
      <c r="K728" s="84">
        <v>114.048042922118</v>
      </c>
      <c r="L728" s="84">
        <v>115.89313662007874</v>
      </c>
      <c r="M728" s="85">
        <v>6237458.5435524378</v>
      </c>
      <c r="N728" s="83" t="s">
        <v>733</v>
      </c>
      <c r="O728" s="25">
        <f t="shared" si="22"/>
        <v>-6.4182712344752479E-3</v>
      </c>
    </row>
    <row r="729" spans="1:15">
      <c r="A729" s="84">
        <v>504.02232404615137</v>
      </c>
      <c r="B729" s="84">
        <v>504.95900529183785</v>
      </c>
      <c r="C729" s="84">
        <v>501.73916350979039</v>
      </c>
      <c r="D729" s="84">
        <v>501.93430543597498</v>
      </c>
      <c r="E729" s="85">
        <v>4526593.6299303519</v>
      </c>
      <c r="F729" s="83" t="s">
        <v>734</v>
      </c>
      <c r="G729" s="25">
        <f t="shared" si="21"/>
        <v>4.1599440157069623E-3</v>
      </c>
      <c r="I729" s="84">
        <v>115.07202162360407</v>
      </c>
      <c r="J729" s="84">
        <v>116.1104905897338</v>
      </c>
      <c r="K729" s="84">
        <v>114.84983756573445</v>
      </c>
      <c r="L729" s="84">
        <v>115.82551538507495</v>
      </c>
      <c r="M729" s="85">
        <v>4873629.4151015636</v>
      </c>
      <c r="N729" s="83" t="s">
        <v>734</v>
      </c>
      <c r="O729" s="25">
        <f t="shared" si="22"/>
        <v>-6.5054211843202925E-3</v>
      </c>
    </row>
    <row r="730" spans="1:15">
      <c r="A730" s="84">
        <v>501.3586367537302</v>
      </c>
      <c r="B730" s="84">
        <v>501.65115450108107</v>
      </c>
      <c r="C730" s="84">
        <v>495.71903508699239</v>
      </c>
      <c r="D730" s="84">
        <v>497.69972563776702</v>
      </c>
      <c r="E730" s="85">
        <v>4201596.325455796</v>
      </c>
      <c r="F730" s="83" t="s">
        <v>735</v>
      </c>
      <c r="G730" s="25">
        <f t="shared" si="21"/>
        <v>7.3516438275600393E-3</v>
      </c>
      <c r="I730" s="84">
        <v>116.01871891365721</v>
      </c>
      <c r="J730" s="84">
        <v>116.06701979580279</v>
      </c>
      <c r="K730" s="84">
        <v>114.76289597787242</v>
      </c>
      <c r="L730" s="84">
        <v>114.95609950645471</v>
      </c>
      <c r="M730" s="85">
        <v>4378587.7318474744</v>
      </c>
      <c r="N730" s="83" t="s">
        <v>735</v>
      </c>
      <c r="O730" s="25">
        <f t="shared" si="22"/>
        <v>9.2436974789913418E-3</v>
      </c>
    </row>
    <row r="731" spans="1:15">
      <c r="A731" s="84">
        <v>497.08502857028526</v>
      </c>
      <c r="B731" s="84">
        <v>498.04122400859029</v>
      </c>
      <c r="C731" s="84">
        <v>484.19590434578583</v>
      </c>
      <c r="D731" s="84">
        <v>492.06012397102927</v>
      </c>
      <c r="E731" s="85">
        <v>5068958.88207932</v>
      </c>
      <c r="F731" s="83" t="s">
        <v>736</v>
      </c>
      <c r="G731" s="25">
        <f t="shared" si="21"/>
        <v>1.0211972794511359E-2</v>
      </c>
      <c r="I731" s="84">
        <v>115.20726409361167</v>
      </c>
      <c r="J731" s="84">
        <v>115.79653485578761</v>
      </c>
      <c r="K731" s="84">
        <v>113.36275000623667</v>
      </c>
      <c r="L731" s="84">
        <v>115.79653485578761</v>
      </c>
      <c r="M731" s="85">
        <v>5028090.3621607758</v>
      </c>
      <c r="N731" s="83" t="s">
        <v>736</v>
      </c>
      <c r="O731" s="25">
        <f t="shared" si="22"/>
        <v>-5.0888462501043064E-3</v>
      </c>
    </row>
    <row r="732" spans="1:15">
      <c r="A732" s="84">
        <v>492.05036687472</v>
      </c>
      <c r="B732" s="84">
        <v>492.44552927524398</v>
      </c>
      <c r="C732" s="84">
        <v>487.36666793339793</v>
      </c>
      <c r="D732" s="84">
        <v>491.70886850389678</v>
      </c>
      <c r="E732" s="85">
        <v>3049457.446867499</v>
      </c>
      <c r="F732" s="83" t="s">
        <v>737</v>
      </c>
      <c r="G732" s="25">
        <f t="shared" si="21"/>
        <v>6.9451334457792946E-4</v>
      </c>
      <c r="I732" s="84">
        <v>116.2119224422395</v>
      </c>
      <c r="J732" s="84">
        <v>117.57400731874455</v>
      </c>
      <c r="K732" s="84">
        <v>115.83517556150406</v>
      </c>
      <c r="L732" s="84">
        <v>117.38080379016228</v>
      </c>
      <c r="M732" s="85">
        <v>3940628.8569713035</v>
      </c>
      <c r="N732" s="83" t="s">
        <v>737</v>
      </c>
      <c r="O732" s="25">
        <f t="shared" si="22"/>
        <v>-9.9580281458316877E-3</v>
      </c>
    </row>
    <row r="733" spans="1:15">
      <c r="A733" s="84">
        <v>490.0306479387084</v>
      </c>
      <c r="B733" s="84">
        <v>491.14295691796116</v>
      </c>
      <c r="C733" s="84">
        <v>486.6351784230946</v>
      </c>
      <c r="D733" s="84">
        <v>488.44024124030307</v>
      </c>
      <c r="E733" s="85">
        <v>3747833.2529513761</v>
      </c>
      <c r="F733" s="83" t="s">
        <v>738</v>
      </c>
      <c r="G733" s="25">
        <f t="shared" si="21"/>
        <v>3.2560926887734709E-3</v>
      </c>
      <c r="I733" s="84">
        <v>117.04269761514328</v>
      </c>
      <c r="J733" s="84">
        <v>117.20692061443822</v>
      </c>
      <c r="K733" s="84">
        <v>115.12032250574964</v>
      </c>
      <c r="L733" s="84">
        <v>115.57435079791799</v>
      </c>
      <c r="M733" s="85">
        <v>4650057.9290269436</v>
      </c>
      <c r="N733" s="83" t="s">
        <v>738</v>
      </c>
      <c r="O733" s="25">
        <f t="shared" si="22"/>
        <v>1.2704781009695632E-2</v>
      </c>
    </row>
    <row r="734" spans="1:15">
      <c r="A734" s="84">
        <v>484.57643110184603</v>
      </c>
      <c r="B734" s="84">
        <v>494.62624030035806</v>
      </c>
      <c r="C734" s="84">
        <v>483.75683501187029</v>
      </c>
      <c r="D734" s="84">
        <v>493.06510489088043</v>
      </c>
      <c r="E734" s="85">
        <v>7595947.3649810739</v>
      </c>
      <c r="F734" s="83" t="s">
        <v>739</v>
      </c>
      <c r="G734" s="25">
        <f t="shared" si="21"/>
        <v>-1.7216131713301941E-2</v>
      </c>
      <c r="I734" s="84">
        <v>114.41512962642432</v>
      </c>
      <c r="J734" s="84">
        <v>116.66595073440784</v>
      </c>
      <c r="K734" s="84">
        <v>114.05770309854711</v>
      </c>
      <c r="L734" s="84">
        <v>115.58401097434711</v>
      </c>
      <c r="M734" s="85">
        <v>4123843.9372534715</v>
      </c>
      <c r="N734" s="83" t="s">
        <v>739</v>
      </c>
      <c r="O734" s="25">
        <f t="shared" si="22"/>
        <v>-1.011282908483091E-2</v>
      </c>
    </row>
    <row r="735" spans="1:15">
      <c r="A735" s="84">
        <v>492.78214909791262</v>
      </c>
      <c r="B735" s="84">
        <v>496.57765956220504</v>
      </c>
      <c r="C735" s="84">
        <v>490.62583081357167</v>
      </c>
      <c r="D735" s="84">
        <v>494.06032871442244</v>
      </c>
      <c r="E735" s="85">
        <v>3510848.8134505125</v>
      </c>
      <c r="F735" s="83" t="s">
        <v>740</v>
      </c>
      <c r="G735" s="25">
        <f t="shared" si="21"/>
        <v>-2.5870921873766273E-3</v>
      </c>
      <c r="I735" s="84">
        <v>115.57435079791799</v>
      </c>
      <c r="J735" s="84">
        <v>117.47740555445341</v>
      </c>
      <c r="K735" s="84">
        <v>114.61799333143573</v>
      </c>
      <c r="L735" s="84">
        <v>117.07167814443063</v>
      </c>
      <c r="M735" s="85">
        <v>5967306.1276881862</v>
      </c>
      <c r="N735" s="83" t="s">
        <v>740</v>
      </c>
      <c r="O735" s="25">
        <f t="shared" si="22"/>
        <v>-1.2789834144731449E-2</v>
      </c>
    </row>
    <row r="736" spans="1:15">
      <c r="A736" s="84">
        <v>494.00178613656703</v>
      </c>
      <c r="B736" s="84">
        <v>497.15332824444988</v>
      </c>
      <c r="C736" s="84">
        <v>492.75287780898492</v>
      </c>
      <c r="D736" s="84">
        <v>493.39684616539444</v>
      </c>
      <c r="E736" s="85">
        <v>3691029.4680512091</v>
      </c>
      <c r="F736" s="83" t="s">
        <v>741</v>
      </c>
      <c r="G736" s="25">
        <f t="shared" si="21"/>
        <v>1.2260718240786339E-3</v>
      </c>
      <c r="I736" s="84">
        <v>116.99439673299771</v>
      </c>
      <c r="J736" s="84">
        <v>118.16327808092049</v>
      </c>
      <c r="K736" s="84">
        <v>116.66595073440784</v>
      </c>
      <c r="L736" s="84">
        <v>116.98473655656861</v>
      </c>
      <c r="M736" s="85">
        <v>4641979.4016239857</v>
      </c>
      <c r="N736" s="83" t="s">
        <v>741</v>
      </c>
      <c r="O736" s="25">
        <f t="shared" si="22"/>
        <v>8.2576383154453481E-5</v>
      </c>
    </row>
    <row r="737" spans="1:15">
      <c r="A737" s="84">
        <v>495.2311802715306</v>
      </c>
      <c r="B737" s="84">
        <v>502.9100150668985</v>
      </c>
      <c r="C737" s="84">
        <v>492.83093457945881</v>
      </c>
      <c r="D737" s="84">
        <v>502.60754508131225</v>
      </c>
      <c r="E737" s="85">
        <v>6012486.5165546034</v>
      </c>
      <c r="F737" s="83" t="s">
        <v>742</v>
      </c>
      <c r="G737" s="25">
        <f t="shared" si="21"/>
        <v>-1.4676191955272588E-2</v>
      </c>
      <c r="I737" s="84">
        <v>116.87847461584835</v>
      </c>
      <c r="J737" s="84">
        <v>119.45774172242174</v>
      </c>
      <c r="K737" s="84">
        <v>116.57900914654583</v>
      </c>
      <c r="L737" s="84">
        <v>118.9360921952496</v>
      </c>
      <c r="M737" s="85">
        <v>5738888.9744206844</v>
      </c>
      <c r="N737" s="83" t="s">
        <v>742</v>
      </c>
      <c r="O737" s="25">
        <f t="shared" si="22"/>
        <v>-1.7300194931773927E-2</v>
      </c>
    </row>
    <row r="738" spans="1:15">
      <c r="A738" s="84">
        <v>505.45661720360886</v>
      </c>
      <c r="B738" s="84">
        <v>505.98350040430762</v>
      </c>
      <c r="C738" s="84">
        <v>499.68041618854176</v>
      </c>
      <c r="D738" s="84">
        <v>502.90025797058928</v>
      </c>
      <c r="E738" s="85">
        <v>5778076.6134940758</v>
      </c>
      <c r="F738" s="83" t="s">
        <v>743</v>
      </c>
      <c r="G738" s="25">
        <f t="shared" ref="G738:G801" si="23">A738/D738-1</f>
        <v>5.0832330914594159E-3</v>
      </c>
      <c r="I738" s="84">
        <v>119.1486160766901</v>
      </c>
      <c r="J738" s="84">
        <v>119.4963824281382</v>
      </c>
      <c r="K738" s="84">
        <v>117.81551172947239</v>
      </c>
      <c r="L738" s="84">
        <v>117.90245331733442</v>
      </c>
      <c r="M738" s="85">
        <v>6596145.5743148616</v>
      </c>
      <c r="N738" s="83" t="s">
        <v>743</v>
      </c>
      <c r="O738" s="25">
        <f t="shared" ref="O738:O801" si="24">I738/L738-1</f>
        <v>1.0569438754608695E-2</v>
      </c>
    </row>
    <row r="739" spans="1:15">
      <c r="A739" s="84">
        <v>500.74393968624844</v>
      </c>
      <c r="B739" s="84">
        <v>505.5054026851551</v>
      </c>
      <c r="C739" s="84">
        <v>499.69017328485097</v>
      </c>
      <c r="D739" s="84">
        <v>502.48070282929223</v>
      </c>
      <c r="E739" s="85">
        <v>3573957.7528813132</v>
      </c>
      <c r="F739" s="83" t="s">
        <v>744</v>
      </c>
      <c r="G739" s="25">
        <f t="shared" si="23"/>
        <v>-3.4563777937435258E-3</v>
      </c>
      <c r="I739" s="84">
        <v>118.13429755163315</v>
      </c>
      <c r="J739" s="84">
        <v>118.56900549094327</v>
      </c>
      <c r="K739" s="84">
        <v>116.44376667653823</v>
      </c>
      <c r="L739" s="84">
        <v>116.9750763801395</v>
      </c>
      <c r="M739" s="85">
        <v>3672570.6057580239</v>
      </c>
      <c r="N739" s="83" t="s">
        <v>744</v>
      </c>
      <c r="O739" s="25">
        <f t="shared" si="24"/>
        <v>9.909984309191433E-3</v>
      </c>
    </row>
    <row r="740" spans="1:15">
      <c r="A740" s="84">
        <v>500.66588291577449</v>
      </c>
      <c r="B740" s="84">
        <v>503.69058277163737</v>
      </c>
      <c r="C740" s="84">
        <v>497.76802531193175</v>
      </c>
      <c r="D740" s="84">
        <v>503.2710276303402</v>
      </c>
      <c r="E740" s="85">
        <v>4038525.2693164772</v>
      </c>
      <c r="F740" s="83" t="s">
        <v>745</v>
      </c>
      <c r="G740" s="25">
        <f t="shared" si="23"/>
        <v>-5.1764249709188581E-3</v>
      </c>
      <c r="I740" s="84">
        <v>116.73357196941166</v>
      </c>
      <c r="J740" s="84">
        <v>117.22624096729645</v>
      </c>
      <c r="K740" s="84">
        <v>115.61299150363445</v>
      </c>
      <c r="L740" s="84">
        <v>115.69993309149646</v>
      </c>
      <c r="M740" s="85">
        <v>4437985.1977437194</v>
      </c>
      <c r="N740" s="83" t="s">
        <v>745</v>
      </c>
      <c r="O740" s="25">
        <f t="shared" si="24"/>
        <v>8.9337897637138397E-3</v>
      </c>
    </row>
    <row r="741" spans="1:15">
      <c r="A741" s="84">
        <v>503.54422632699885</v>
      </c>
      <c r="B741" s="84">
        <v>504.04183823876986</v>
      </c>
      <c r="C741" s="84">
        <v>500.69515420470219</v>
      </c>
      <c r="D741" s="84">
        <v>501.76843479871803</v>
      </c>
      <c r="E741" s="85">
        <v>3107254.3550999463</v>
      </c>
      <c r="F741" s="83" t="s">
        <v>746</v>
      </c>
      <c r="G741" s="25">
        <f t="shared" si="23"/>
        <v>3.5390658421809995E-3</v>
      </c>
      <c r="I741" s="84">
        <v>115.42944815148127</v>
      </c>
      <c r="J741" s="84">
        <v>115.52604991577242</v>
      </c>
      <c r="K741" s="84">
        <v>114.36682874427876</v>
      </c>
      <c r="L741" s="84">
        <v>114.64697386072307</v>
      </c>
      <c r="M741" s="85">
        <v>4245425.5676324256</v>
      </c>
      <c r="N741" s="83" t="s">
        <v>746</v>
      </c>
      <c r="O741" s="25">
        <f t="shared" si="24"/>
        <v>6.8250758341756868E-3</v>
      </c>
    </row>
    <row r="742" spans="1:15">
      <c r="A742" s="84">
        <v>502.87098668166158</v>
      </c>
      <c r="B742" s="84">
        <v>505.70054461133969</v>
      </c>
      <c r="C742" s="84">
        <v>501.39278659081248</v>
      </c>
      <c r="D742" s="84">
        <v>505.06633335123945</v>
      </c>
      <c r="E742" s="85">
        <v>3483249.4138478744</v>
      </c>
      <c r="F742" s="83" t="s">
        <v>747</v>
      </c>
      <c r="G742" s="25">
        <f t="shared" si="23"/>
        <v>-4.3466501815934144E-3</v>
      </c>
      <c r="I742" s="84">
        <v>114.66629421358128</v>
      </c>
      <c r="J742" s="84">
        <v>115.66129238578002</v>
      </c>
      <c r="K742" s="84">
        <v>114.3619986560642</v>
      </c>
      <c r="L742" s="84">
        <v>114.65663403715217</v>
      </c>
      <c r="M742" s="85">
        <v>6480811.2418442685</v>
      </c>
      <c r="N742" s="83" t="s">
        <v>747</v>
      </c>
      <c r="O742" s="25">
        <f t="shared" si="24"/>
        <v>8.4253096301223351E-5</v>
      </c>
    </row>
    <row r="743" spans="1:15">
      <c r="A743" s="84">
        <v>504.11013791293442</v>
      </c>
      <c r="B743" s="84">
        <v>504.97851948445634</v>
      </c>
      <c r="C743" s="84">
        <v>499.80930743078682</v>
      </c>
      <c r="D743" s="84">
        <v>501.83673447288271</v>
      </c>
      <c r="E743" s="85">
        <v>5229825.3889020924</v>
      </c>
      <c r="F743" s="83" t="s">
        <v>748</v>
      </c>
      <c r="G743" s="25">
        <f t="shared" si="23"/>
        <v>4.5301654579743555E-3</v>
      </c>
      <c r="I743" s="84">
        <v>114.49241103785724</v>
      </c>
      <c r="J743" s="84">
        <v>114.84983756573445</v>
      </c>
      <c r="K743" s="84">
        <v>113.9031402756813</v>
      </c>
      <c r="L743" s="84">
        <v>114.27022697998763</v>
      </c>
      <c r="M743" s="85">
        <v>3548082.1961700101</v>
      </c>
      <c r="N743" s="83" t="s">
        <v>748</v>
      </c>
      <c r="O743" s="25">
        <f t="shared" si="24"/>
        <v>1.9443739961111373E-3</v>
      </c>
    </row>
    <row r="744" spans="1:15">
      <c r="A744" s="84">
        <v>498.71446365392751</v>
      </c>
      <c r="B744" s="84">
        <v>505.05657625493023</v>
      </c>
      <c r="C744" s="84">
        <v>497.70948273407635</v>
      </c>
      <c r="D744" s="84">
        <v>504.49066466899455</v>
      </c>
      <c r="E744" s="85">
        <v>3768628.3741195416</v>
      </c>
      <c r="F744" s="83" t="s">
        <v>749</v>
      </c>
      <c r="G744" s="25">
        <f t="shared" si="23"/>
        <v>-1.1449569674112592E-2</v>
      </c>
      <c r="I744" s="84">
        <v>114.00940221640154</v>
      </c>
      <c r="J744" s="84">
        <v>114.048042922118</v>
      </c>
      <c r="K744" s="84">
        <v>113.19311730814142</v>
      </c>
      <c r="L744" s="84">
        <v>113.37183057208003</v>
      </c>
      <c r="M744" s="85">
        <v>3875291.5409676558</v>
      </c>
      <c r="N744" s="83" t="s">
        <v>749</v>
      </c>
      <c r="O744" s="25">
        <f t="shared" si="24"/>
        <v>5.6237218813905976E-3</v>
      </c>
    </row>
    <row r="745" spans="1:15">
      <c r="A745" s="84">
        <v>502.78317281487847</v>
      </c>
      <c r="B745" s="84">
        <v>504.11004034197134</v>
      </c>
      <c r="C745" s="84">
        <v>500.39268421911595</v>
      </c>
      <c r="D745" s="84">
        <v>501.97333382121201</v>
      </c>
      <c r="E745" s="85">
        <v>3427300.3914442202</v>
      </c>
      <c r="F745" s="83" t="s">
        <v>750</v>
      </c>
      <c r="G745" s="25">
        <f t="shared" si="23"/>
        <v>1.6133107858571361E-3</v>
      </c>
      <c r="I745" s="84">
        <v>113.27522880778889</v>
      </c>
      <c r="J745" s="84">
        <v>114.6083331550066</v>
      </c>
      <c r="K745" s="84">
        <v>112.97576333848636</v>
      </c>
      <c r="L745" s="84">
        <v>114.47309068499901</v>
      </c>
      <c r="M745" s="85">
        <v>3158325.3394885231</v>
      </c>
      <c r="N745" s="83" t="s">
        <v>750</v>
      </c>
      <c r="O745" s="25">
        <f t="shared" si="24"/>
        <v>-1.0464135021096999E-2</v>
      </c>
    </row>
    <row r="746" spans="1:15">
      <c r="A746" s="84">
        <v>501.02689547921619</v>
      </c>
      <c r="B746" s="84">
        <v>502.95870297748166</v>
      </c>
      <c r="C746" s="84">
        <v>499.80725844056184</v>
      </c>
      <c r="D746" s="84">
        <v>501.43669352420403</v>
      </c>
      <c r="E746" s="85">
        <v>3234549.3986903667</v>
      </c>
      <c r="F746" s="83" t="s">
        <v>751</v>
      </c>
      <c r="G746" s="25">
        <f t="shared" si="23"/>
        <v>-8.1724782067238433E-4</v>
      </c>
      <c r="I746" s="84">
        <v>113.94178098139776</v>
      </c>
      <c r="J746" s="84">
        <v>114.64697386072307</v>
      </c>
      <c r="K746" s="84">
        <v>113.25590845493066</v>
      </c>
      <c r="L746" s="84">
        <v>114.30886768570407</v>
      </c>
      <c r="M746" s="85">
        <v>6344776.4592869328</v>
      </c>
      <c r="N746" s="83" t="s">
        <v>751</v>
      </c>
      <c r="O746" s="25">
        <f t="shared" si="24"/>
        <v>-3.2113580664243635E-3</v>
      </c>
    </row>
    <row r="747" spans="1:15">
      <c r="A747" s="84">
        <v>501.8562486655012</v>
      </c>
      <c r="B747" s="84">
        <v>501.8562486655012</v>
      </c>
      <c r="C747" s="84">
        <v>496.69474471791585</v>
      </c>
      <c r="D747" s="84">
        <v>497.47531242265467</v>
      </c>
      <c r="E747" s="85">
        <v>3899021.6755360523</v>
      </c>
      <c r="F747" s="83" t="s">
        <v>752</v>
      </c>
      <c r="G747" s="25">
        <f t="shared" si="23"/>
        <v>8.8063389950183701E-3</v>
      </c>
      <c r="I747" s="84">
        <v>114.32818803856229</v>
      </c>
      <c r="J747" s="84">
        <v>114.49241103785724</v>
      </c>
      <c r="K747" s="84">
        <v>113.96593142247053</v>
      </c>
      <c r="L747" s="84">
        <v>113.99008186354331</v>
      </c>
      <c r="M747" s="85">
        <v>5579514.0384350456</v>
      </c>
      <c r="N747" s="83" t="s">
        <v>752</v>
      </c>
      <c r="O747" s="25">
        <f t="shared" si="24"/>
        <v>2.9661016949151797E-3</v>
      </c>
    </row>
    <row r="748" spans="1:15">
      <c r="A748" s="84">
        <v>497.07527147397599</v>
      </c>
      <c r="B748" s="84">
        <v>497.71923983038556</v>
      </c>
      <c r="C748" s="84">
        <v>494.34328450739019</v>
      </c>
      <c r="D748" s="84">
        <v>494.52866933726568</v>
      </c>
      <c r="E748" s="85">
        <v>3535156.2500569872</v>
      </c>
      <c r="F748" s="83" t="s">
        <v>753</v>
      </c>
      <c r="G748" s="25">
        <f t="shared" si="23"/>
        <v>5.149554099913134E-3</v>
      </c>
      <c r="I748" s="84">
        <v>113.94178098139776</v>
      </c>
      <c r="J748" s="84">
        <v>114.58901280214837</v>
      </c>
      <c r="K748" s="84">
        <v>113.57469427709141</v>
      </c>
      <c r="L748" s="84">
        <v>113.86449956996483</v>
      </c>
      <c r="M748" s="85">
        <v>5436212.3078550594</v>
      </c>
      <c r="N748" s="83" t="s">
        <v>753</v>
      </c>
      <c r="O748" s="25">
        <f t="shared" si="24"/>
        <v>6.7871383727835521E-4</v>
      </c>
    </row>
    <row r="749" spans="1:15">
      <c r="A749" s="84">
        <v>496.03126216888791</v>
      </c>
      <c r="B749" s="84">
        <v>496.23616119138177</v>
      </c>
      <c r="C749" s="84">
        <v>492.23155615318251</v>
      </c>
      <c r="D749" s="84">
        <v>492.82117748314954</v>
      </c>
      <c r="E749" s="85">
        <v>4385477.8761894768</v>
      </c>
      <c r="F749" s="83" t="s">
        <v>754</v>
      </c>
      <c r="G749" s="25">
        <f t="shared" si="23"/>
        <v>6.5136906293929986E-3</v>
      </c>
      <c r="I749" s="84">
        <v>113.72925709656458</v>
      </c>
      <c r="J749" s="84">
        <v>114.33922104050593</v>
      </c>
      <c r="K749" s="84">
        <v>112.93173020073704</v>
      </c>
      <c r="L749" s="84">
        <v>113.87338846328041</v>
      </c>
      <c r="M749" s="85">
        <v>5859107.0024683075</v>
      </c>
      <c r="N749" s="83" t="s">
        <v>754</v>
      </c>
      <c r="O749" s="25">
        <f t="shared" si="24"/>
        <v>-1.2657159733355794E-3</v>
      </c>
    </row>
    <row r="750" spans="1:15">
      <c r="A750" s="84">
        <v>487.65967353556431</v>
      </c>
      <c r="B750" s="84">
        <v>488.68416864803396</v>
      </c>
      <c r="C750" s="84">
        <v>484.4183661416364</v>
      </c>
      <c r="D750" s="84">
        <v>486.8010490603516</v>
      </c>
      <c r="E750" s="85">
        <v>3792627.3173070112</v>
      </c>
      <c r="F750" s="83" t="s">
        <v>755</v>
      </c>
      <c r="G750" s="25">
        <f t="shared" si="23"/>
        <v>1.7638098292311888E-3</v>
      </c>
      <c r="I750" s="84">
        <v>113.0470352941097</v>
      </c>
      <c r="J750" s="84">
        <v>113.21999293416867</v>
      </c>
      <c r="K750" s="84">
        <v>112.08135513711368</v>
      </c>
      <c r="L750" s="84">
        <v>112.26872591384426</v>
      </c>
      <c r="M750" s="85">
        <v>6063942.0128669087</v>
      </c>
      <c r="N750" s="83" t="s">
        <v>755</v>
      </c>
      <c r="O750" s="25">
        <f t="shared" si="24"/>
        <v>6.9325573433756116E-3</v>
      </c>
    </row>
    <row r="751" spans="1:15">
      <c r="A751" s="84">
        <v>486.1082952223959</v>
      </c>
      <c r="B751" s="84">
        <v>486.2741658596529</v>
      </c>
      <c r="C751" s="84">
        <v>480.94679127481061</v>
      </c>
      <c r="D751" s="84">
        <v>481.16144739361374</v>
      </c>
      <c r="E751" s="85">
        <v>3328743.4058900415</v>
      </c>
      <c r="F751" s="83" t="s">
        <v>756</v>
      </c>
      <c r="G751" s="25">
        <f t="shared" si="23"/>
        <v>1.0281056089548546E-2</v>
      </c>
      <c r="I751" s="84">
        <v>112.28794342940637</v>
      </c>
      <c r="J751" s="84">
        <v>112.67229374064856</v>
      </c>
      <c r="K751" s="84">
        <v>111.52885156470303</v>
      </c>
      <c r="L751" s="84">
        <v>112.22068212493899</v>
      </c>
      <c r="M751" s="85">
        <v>6152588.2270195251</v>
      </c>
      <c r="N751" s="83" t="s">
        <v>756</v>
      </c>
      <c r="O751" s="25">
        <f t="shared" si="24"/>
        <v>5.9936638410817977E-4</v>
      </c>
    </row>
    <row r="752" spans="1:15">
      <c r="A752" s="84">
        <v>478.16601882667862</v>
      </c>
      <c r="B752" s="84">
        <v>480.39063678518426</v>
      </c>
      <c r="C752" s="84">
        <v>476.12678569804854</v>
      </c>
      <c r="D752" s="84">
        <v>479.01488620558206</v>
      </c>
      <c r="E752" s="85">
        <v>3667211.9312928552</v>
      </c>
      <c r="F752" s="83" t="s">
        <v>757</v>
      </c>
      <c r="G752" s="25">
        <f t="shared" si="23"/>
        <v>-1.7721106448853607E-3</v>
      </c>
      <c r="I752" s="84">
        <v>112.03811572709893</v>
      </c>
      <c r="J752" s="84">
        <v>112.84525138070754</v>
      </c>
      <c r="K752" s="84">
        <v>111.23098007349034</v>
      </c>
      <c r="L752" s="84">
        <v>112.28794342940637</v>
      </c>
      <c r="M752" s="85">
        <v>8952256.0522445794</v>
      </c>
      <c r="N752" s="83" t="s">
        <v>757</v>
      </c>
      <c r="O752" s="25">
        <f t="shared" si="24"/>
        <v>-2.2248844771523002E-3</v>
      </c>
    </row>
    <row r="753" spans="1:15">
      <c r="A753" s="84">
        <v>477.92209141894773</v>
      </c>
      <c r="B753" s="84">
        <v>479.27832780593138</v>
      </c>
      <c r="C753" s="84">
        <v>474.01925289525377</v>
      </c>
      <c r="D753" s="84">
        <v>475.10229058557888</v>
      </c>
      <c r="E753" s="85">
        <v>7852060.4462504266</v>
      </c>
      <c r="F753" s="83" t="s">
        <v>758</v>
      </c>
      <c r="G753" s="25">
        <f t="shared" si="23"/>
        <v>5.9351446819870812E-3</v>
      </c>
      <c r="I753" s="84">
        <v>111.60572162695148</v>
      </c>
      <c r="J753" s="84">
        <v>111.74024423588625</v>
      </c>
      <c r="K753" s="84">
        <v>110.37580063097646</v>
      </c>
      <c r="L753" s="84">
        <v>110.5391495132544</v>
      </c>
      <c r="M753" s="85">
        <v>5759687.2833154816</v>
      </c>
      <c r="N753" s="83" t="s">
        <v>758</v>
      </c>
      <c r="O753" s="25">
        <f t="shared" si="24"/>
        <v>9.6488178025033733E-3</v>
      </c>
    </row>
    <row r="754" spans="1:15">
      <c r="A754" s="84">
        <v>475.88285829031764</v>
      </c>
      <c r="B754" s="84">
        <v>476.40974149101635</v>
      </c>
      <c r="C754" s="84">
        <v>467.98936737614656</v>
      </c>
      <c r="D754" s="84">
        <v>469.79443019335503</v>
      </c>
      <c r="E754" s="85">
        <v>4281226.573572197</v>
      </c>
      <c r="F754" s="83" t="s">
        <v>759</v>
      </c>
      <c r="G754" s="25">
        <f t="shared" si="23"/>
        <v>1.295977071174903E-2</v>
      </c>
      <c r="I754" s="84">
        <v>110.59680205994071</v>
      </c>
      <c r="J754" s="84">
        <v>111.30890709909468</v>
      </c>
      <c r="K754" s="84">
        <v>109.25157597059305</v>
      </c>
      <c r="L754" s="84">
        <v>109.44375112621415</v>
      </c>
      <c r="M754" s="85">
        <v>9251061.5862607379</v>
      </c>
      <c r="N754" s="83" t="s">
        <v>759</v>
      </c>
      <c r="O754" s="25">
        <f t="shared" si="24"/>
        <v>1.0535557506584636E-2</v>
      </c>
    </row>
    <row r="755" spans="1:15">
      <c r="A755" s="84">
        <v>465.03296719444836</v>
      </c>
      <c r="B755" s="84">
        <v>476.68294018767494</v>
      </c>
      <c r="C755" s="84">
        <v>464.54511237898663</v>
      </c>
      <c r="D755" s="84">
        <v>473.90216773954296</v>
      </c>
      <c r="E755" s="85">
        <v>6125132.7347701313</v>
      </c>
      <c r="F755" s="83" t="s">
        <v>760</v>
      </c>
      <c r="G755" s="25">
        <f t="shared" si="23"/>
        <v>-1.8715256331068519E-2</v>
      </c>
      <c r="I755" s="84">
        <v>109.68397007074051</v>
      </c>
      <c r="J755" s="84">
        <v>111.44237274467355</v>
      </c>
      <c r="K755" s="84">
        <v>109.16509715056355</v>
      </c>
      <c r="L755" s="84">
        <v>109.82810143745633</v>
      </c>
      <c r="M755" s="85">
        <v>5779348.5136539638</v>
      </c>
      <c r="N755" s="83" t="s">
        <v>760</v>
      </c>
      <c r="O755" s="25">
        <f t="shared" si="24"/>
        <v>-1.312335958005173E-3</v>
      </c>
    </row>
    <row r="756" spans="1:15">
      <c r="A756" s="84">
        <v>468.28208026542359</v>
      </c>
      <c r="B756" s="84">
        <v>475.03399091141421</v>
      </c>
      <c r="C756" s="84">
        <v>464.37924174172963</v>
      </c>
      <c r="D756" s="84">
        <v>465.79402070656869</v>
      </c>
      <c r="E756" s="85">
        <v>8460549.8791548256</v>
      </c>
      <c r="F756" s="83" t="s">
        <v>761</v>
      </c>
      <c r="G756" s="25">
        <f t="shared" si="23"/>
        <v>5.3415446490290286E-3</v>
      </c>
      <c r="I756" s="84">
        <v>109.92418901526689</v>
      </c>
      <c r="J756" s="84">
        <v>112.24950839828213</v>
      </c>
      <c r="K756" s="84">
        <v>109.65033941850682</v>
      </c>
      <c r="L756" s="84">
        <v>111.06763119121241</v>
      </c>
      <c r="M756" s="85">
        <v>4831381.0232090037</v>
      </c>
      <c r="N756" s="83" t="s">
        <v>761</v>
      </c>
      <c r="O756" s="25">
        <f t="shared" si="24"/>
        <v>-1.0295008218704105E-2</v>
      </c>
    </row>
    <row r="757" spans="1:15">
      <c r="A757" s="84">
        <v>463.65721661484622</v>
      </c>
      <c r="B757" s="84">
        <v>469.49196020776873</v>
      </c>
      <c r="C757" s="84">
        <v>457.50048884371893</v>
      </c>
      <c r="D757" s="84">
        <v>458.74939717130104</v>
      </c>
      <c r="E757" s="85">
        <v>15623783.466779424</v>
      </c>
      <c r="F757" s="83" t="s">
        <v>762</v>
      </c>
      <c r="G757" s="25">
        <f t="shared" si="23"/>
        <v>1.0698258076865752E-2</v>
      </c>
      <c r="I757" s="84">
        <v>110.66406336440811</v>
      </c>
      <c r="J757" s="84">
        <v>111.88437560260206</v>
      </c>
      <c r="K757" s="84">
        <v>109.89536274192372</v>
      </c>
      <c r="L757" s="84">
        <v>110.60641081772178</v>
      </c>
      <c r="M757" s="85">
        <v>6128410.2838042164</v>
      </c>
      <c r="N757" s="83" t="s">
        <v>762</v>
      </c>
      <c r="O757" s="25">
        <f t="shared" si="24"/>
        <v>5.2124055251501211E-4</v>
      </c>
    </row>
    <row r="758" spans="1:15">
      <c r="A758" s="84">
        <v>478.00990528573089</v>
      </c>
      <c r="B758" s="84">
        <v>481.53221705336466</v>
      </c>
      <c r="C758" s="84">
        <v>473.99973870263528</v>
      </c>
      <c r="D758" s="84">
        <v>480.44917936303966</v>
      </c>
      <c r="E758" s="85">
        <v>8774296.9103389438</v>
      </c>
      <c r="F758" s="83" t="s">
        <v>763</v>
      </c>
      <c r="G758" s="25">
        <f t="shared" si="23"/>
        <v>-5.0770699214069959E-3</v>
      </c>
      <c r="I758" s="84">
        <v>111.88437560260206</v>
      </c>
      <c r="J758" s="84">
        <v>113.67160454987825</v>
      </c>
      <c r="K758" s="84">
        <v>110.56797578659754</v>
      </c>
      <c r="L758" s="84">
        <v>111.70180920476201</v>
      </c>
      <c r="M758" s="85">
        <v>4764824.0327454768</v>
      </c>
      <c r="N758" s="83" t="s">
        <v>763</v>
      </c>
      <c r="O758" s="25">
        <f t="shared" si="24"/>
        <v>1.6344086021506943E-3</v>
      </c>
    </row>
    <row r="759" spans="1:15">
      <c r="A759" s="84">
        <v>486.90837711975314</v>
      </c>
      <c r="B759" s="84">
        <v>497.51434080789159</v>
      </c>
      <c r="C759" s="84">
        <v>483.7080495303241</v>
      </c>
      <c r="D759" s="84">
        <v>495.50437896818914</v>
      </c>
      <c r="E759" s="85">
        <v>7111969.360630489</v>
      </c>
      <c r="F759" s="83" t="s">
        <v>764</v>
      </c>
      <c r="G759" s="25">
        <f t="shared" si="23"/>
        <v>-1.7347983616887164E-2</v>
      </c>
      <c r="I759" s="84">
        <v>112.1726383360337</v>
      </c>
      <c r="J759" s="84">
        <v>113.37373305866555</v>
      </c>
      <c r="K759" s="84">
        <v>111.51924280692198</v>
      </c>
      <c r="L759" s="84">
        <v>113.11429659857707</v>
      </c>
      <c r="M759" s="85">
        <v>5344151.7800819203</v>
      </c>
      <c r="N759" s="83" t="s">
        <v>764</v>
      </c>
      <c r="O759" s="25">
        <f t="shared" si="24"/>
        <v>-8.3248386000679409E-3</v>
      </c>
    </row>
    <row r="760" spans="1:15">
      <c r="A760" s="84">
        <v>493.64077357312533</v>
      </c>
      <c r="B760" s="84">
        <v>496.29782604005624</v>
      </c>
      <c r="C760" s="84">
        <v>491.07953579195112</v>
      </c>
      <c r="D760" s="84">
        <v>492.22599460828627</v>
      </c>
      <c r="E760" s="85">
        <v>5501213.5064400677</v>
      </c>
      <c r="F760" s="83" t="s">
        <v>765</v>
      </c>
      <c r="G760" s="25">
        <f t="shared" si="23"/>
        <v>2.8742467491278401E-3</v>
      </c>
      <c r="I760" s="84">
        <v>112.89329516961281</v>
      </c>
      <c r="J760" s="84">
        <v>113.59473448762982</v>
      </c>
      <c r="K760" s="84">
        <v>111.90359311816417</v>
      </c>
      <c r="L760" s="84">
        <v>112.90290392739387</v>
      </c>
      <c r="M760" s="85">
        <v>7056438.6724042166</v>
      </c>
      <c r="N760" s="83" t="s">
        <v>765</v>
      </c>
      <c r="O760" s="25">
        <f t="shared" si="24"/>
        <v>-8.5106382978650252E-5</v>
      </c>
    </row>
    <row r="761" spans="1:15">
      <c r="A761" s="84">
        <v>485.98145297037581</v>
      </c>
      <c r="B761" s="84">
        <v>490.79170145082867</v>
      </c>
      <c r="C761" s="84">
        <v>482.89333198850301</v>
      </c>
      <c r="D761" s="84">
        <v>489.85502020514213</v>
      </c>
      <c r="E761" s="85">
        <v>3912844.4354766654</v>
      </c>
      <c r="F761" s="83" t="s">
        <v>766</v>
      </c>
      <c r="G761" s="25">
        <f t="shared" si="23"/>
        <v>-7.9075789264018148E-3</v>
      </c>
      <c r="I761" s="84">
        <v>112.30716094496847</v>
      </c>
      <c r="J761" s="84">
        <v>112.4512923116843</v>
      </c>
      <c r="K761" s="84">
        <v>110.07792913976377</v>
      </c>
      <c r="L761" s="84">
        <v>110.69288963775126</v>
      </c>
      <c r="M761" s="85">
        <v>6321705.8213046016</v>
      </c>
      <c r="N761" s="83" t="s">
        <v>766</v>
      </c>
      <c r="O761" s="25">
        <f t="shared" si="24"/>
        <v>1.4583333333333393E-2</v>
      </c>
    </row>
    <row r="762" spans="1:15">
      <c r="A762" s="84">
        <v>488.53781220339539</v>
      </c>
      <c r="B762" s="84">
        <v>490.55265259125241</v>
      </c>
      <c r="C762" s="84">
        <v>486.65918088001536</v>
      </c>
      <c r="D762" s="84">
        <v>489.63060699002972</v>
      </c>
      <c r="E762" s="85">
        <v>3173257.5982359662</v>
      </c>
      <c r="F762" s="83" t="s">
        <v>767</v>
      </c>
      <c r="G762" s="25">
        <f t="shared" si="23"/>
        <v>-2.2318759714639036E-3</v>
      </c>
      <c r="I762" s="84">
        <v>109.9626240463911</v>
      </c>
      <c r="J762" s="84">
        <v>110.14519044423113</v>
      </c>
      <c r="K762" s="84">
        <v>108.86722565935085</v>
      </c>
      <c r="L762" s="84">
        <v>109.53983870402469</v>
      </c>
      <c r="M762" s="85">
        <v>4307454.8181041265</v>
      </c>
      <c r="N762" s="83" t="s">
        <v>767</v>
      </c>
      <c r="O762" s="25">
        <f t="shared" si="24"/>
        <v>3.8596491228071184E-3</v>
      </c>
    </row>
    <row r="763" spans="1:15">
      <c r="A763" s="84">
        <v>488.17679963995369</v>
      </c>
      <c r="B763" s="84">
        <v>490.66973774696328</v>
      </c>
      <c r="C763" s="84">
        <v>485.58141202169725</v>
      </c>
      <c r="D763" s="84">
        <v>486.25465166703447</v>
      </c>
      <c r="E763" s="85">
        <v>3726502.1116565005</v>
      </c>
      <c r="F763" s="83" t="s">
        <v>768</v>
      </c>
      <c r="G763" s="25">
        <f t="shared" si="23"/>
        <v>3.9529657275862995E-3</v>
      </c>
      <c r="I763" s="84">
        <v>109.49179491511941</v>
      </c>
      <c r="J763" s="84">
        <v>110.72171591109444</v>
      </c>
      <c r="K763" s="84">
        <v>109.05940081497195</v>
      </c>
      <c r="L763" s="84">
        <v>109.50140367290047</v>
      </c>
      <c r="M763" s="85">
        <v>7832971.9319595341</v>
      </c>
      <c r="N763" s="83" t="s">
        <v>768</v>
      </c>
      <c r="O763" s="25">
        <f t="shared" si="24"/>
        <v>-8.7750087750082528E-5</v>
      </c>
    </row>
    <row r="764" spans="1:15">
      <c r="A764" s="84">
        <v>482.76161118832829</v>
      </c>
      <c r="B764" s="84">
        <v>490.91854370284875</v>
      </c>
      <c r="C764" s="84">
        <v>481.92250090573413</v>
      </c>
      <c r="D764" s="84">
        <v>485.46432686598644</v>
      </c>
      <c r="E764" s="85">
        <v>5787173.5822219541</v>
      </c>
      <c r="F764" s="83" t="s">
        <v>769</v>
      </c>
      <c r="G764" s="25">
        <f t="shared" si="23"/>
        <v>-5.5672796703850613E-3</v>
      </c>
      <c r="I764" s="84">
        <v>109.03057454162878</v>
      </c>
      <c r="J764" s="84">
        <v>111.28863262017666</v>
      </c>
      <c r="K764" s="84">
        <v>105.16785391364476</v>
      </c>
      <c r="L764" s="84">
        <v>105.91733702056703</v>
      </c>
      <c r="M764" s="85">
        <v>15607634.557683388</v>
      </c>
      <c r="N764" s="83" t="s">
        <v>769</v>
      </c>
      <c r="O764" s="25">
        <f t="shared" si="24"/>
        <v>2.9393087181348143E-2</v>
      </c>
    </row>
    <row r="765" spans="1:15">
      <c r="A765" s="84">
        <v>485.21064236194633</v>
      </c>
      <c r="B765" s="84">
        <v>492.44065072708941</v>
      </c>
      <c r="C765" s="84">
        <v>484.48373868690828</v>
      </c>
      <c r="D765" s="84">
        <v>492.17720912674008</v>
      </c>
      <c r="E765" s="85">
        <v>6310691.0138542857</v>
      </c>
      <c r="F765" s="83" t="s">
        <v>770</v>
      </c>
      <c r="G765" s="25">
        <f t="shared" si="23"/>
        <v>-1.4154590329679029E-2</v>
      </c>
      <c r="I765" s="84">
        <v>100.72860781879744</v>
      </c>
      <c r="J765" s="84">
        <v>101.71830987024609</v>
      </c>
      <c r="K765" s="84">
        <v>99.950298438532002</v>
      </c>
      <c r="L765" s="84">
        <v>100.94000048998065</v>
      </c>
      <c r="M765" s="85">
        <v>7472603.809575676</v>
      </c>
      <c r="N765" s="83" t="s">
        <v>770</v>
      </c>
      <c r="O765" s="25">
        <f t="shared" si="24"/>
        <v>-2.0942408376963817E-3</v>
      </c>
    </row>
    <row r="766" spans="1:15">
      <c r="A766" s="84">
        <v>496.57765956220504</v>
      </c>
      <c r="B766" s="84">
        <v>499.22183266200767</v>
      </c>
      <c r="C766" s="84">
        <v>496.1385902282895</v>
      </c>
      <c r="D766" s="84">
        <v>497.28017049646996</v>
      </c>
      <c r="E766" s="85">
        <v>3193619.1887853965</v>
      </c>
      <c r="F766" s="83" t="s">
        <v>771</v>
      </c>
      <c r="G766" s="25">
        <f t="shared" si="23"/>
        <v>-1.4127065102225167E-3</v>
      </c>
      <c r="I766" s="84">
        <v>100.8631304277322</v>
      </c>
      <c r="J766" s="84">
        <v>101.44446027348603</v>
      </c>
      <c r="K766" s="84">
        <v>99.565948127289815</v>
      </c>
      <c r="L766" s="84">
        <v>99.710079494005626</v>
      </c>
      <c r="M766" s="85">
        <v>7911573.1431888472</v>
      </c>
      <c r="N766" s="83" t="s">
        <v>771</v>
      </c>
      <c r="O766" s="25">
        <f t="shared" si="24"/>
        <v>1.1564035848511178E-2</v>
      </c>
    </row>
    <row r="767" spans="1:15">
      <c r="A767" s="84">
        <v>497.40701274849005</v>
      </c>
      <c r="B767" s="84">
        <v>497.92413885287948</v>
      </c>
      <c r="C767" s="84">
        <v>494.13838548489628</v>
      </c>
      <c r="D767" s="84">
        <v>495.92393410948625</v>
      </c>
      <c r="E767" s="85">
        <v>4451046.5638116822</v>
      </c>
      <c r="F767" s="83" t="s">
        <v>772</v>
      </c>
      <c r="G767" s="25">
        <f t="shared" si="23"/>
        <v>2.9905365258624528E-3</v>
      </c>
      <c r="I767" s="84">
        <v>99.710079494005626</v>
      </c>
      <c r="J767" s="84">
        <v>99.758123282910901</v>
      </c>
      <c r="K767" s="84">
        <v>98.60507234918434</v>
      </c>
      <c r="L767" s="84">
        <v>98.662724895870667</v>
      </c>
      <c r="M767" s="85">
        <v>6460864.2880354822</v>
      </c>
      <c r="N767" s="83" t="s">
        <v>772</v>
      </c>
      <c r="O767" s="25">
        <f t="shared" si="24"/>
        <v>1.0615504479937421E-2</v>
      </c>
    </row>
    <row r="768" spans="1:15">
      <c r="A768" s="84">
        <v>492.29429428245089</v>
      </c>
      <c r="B768" s="84">
        <v>496.83134406624515</v>
      </c>
      <c r="C768" s="84">
        <v>491.32834174783665</v>
      </c>
      <c r="D768" s="84">
        <v>495.3092370420045</v>
      </c>
      <c r="E768" s="85">
        <v>4139999.1062676292</v>
      </c>
      <c r="F768" s="83" t="s">
        <v>773</v>
      </c>
      <c r="G768" s="25">
        <f t="shared" si="23"/>
        <v>-6.0869907808682733E-3</v>
      </c>
      <c r="I768" s="84">
        <v>98.787638747024374</v>
      </c>
      <c r="J768" s="84">
        <v>100.41151881202263</v>
      </c>
      <c r="K768" s="84">
        <v>98.624289864746444</v>
      </c>
      <c r="L768" s="84">
        <v>100.41151881202263</v>
      </c>
      <c r="M768" s="85">
        <v>7524171.3494482031</v>
      </c>
      <c r="N768" s="83" t="s">
        <v>773</v>
      </c>
      <c r="O768" s="25">
        <f t="shared" si="24"/>
        <v>-1.6172248803827727E-2</v>
      </c>
    </row>
    <row r="769" spans="1:15">
      <c r="A769" s="84">
        <v>495.60194993128152</v>
      </c>
      <c r="B769" s="84">
        <v>501.70013512455347</v>
      </c>
      <c r="C769" s="84">
        <v>493.58320670490082</v>
      </c>
      <c r="D769" s="84">
        <v>500.7829680714853</v>
      </c>
      <c r="E769" s="85">
        <v>5181715.7889634604</v>
      </c>
      <c r="F769" s="83" t="s">
        <v>774</v>
      </c>
      <c r="G769" s="25">
        <f t="shared" si="23"/>
        <v>-1.0345835362883582E-2</v>
      </c>
      <c r="I769" s="84">
        <v>99.77734079847302</v>
      </c>
      <c r="J769" s="84">
        <v>101.33395955900389</v>
      </c>
      <c r="K769" s="84">
        <v>99.719688251786692</v>
      </c>
      <c r="L769" s="84">
        <v>100.89195670107537</v>
      </c>
      <c r="M769" s="85">
        <v>4631482.134740077</v>
      </c>
      <c r="N769" s="83" t="s">
        <v>774</v>
      </c>
      <c r="O769" s="25">
        <f t="shared" si="24"/>
        <v>-1.1047619047618973E-2</v>
      </c>
    </row>
    <row r="770" spans="1:15">
      <c r="A770" s="84">
        <v>499.35843201033703</v>
      </c>
      <c r="B770" s="84">
        <v>502.59778798500304</v>
      </c>
      <c r="C770" s="84">
        <v>499.13401879522462</v>
      </c>
      <c r="D770" s="84">
        <v>501.08543805707154</v>
      </c>
      <c r="E770" s="85">
        <v>5108390.6953776935</v>
      </c>
      <c r="F770" s="83" t="s">
        <v>775</v>
      </c>
      <c r="G770" s="25">
        <f t="shared" si="23"/>
        <v>-3.4465301035904172E-3</v>
      </c>
      <c r="I770" s="84">
        <v>100.88234794329432</v>
      </c>
      <c r="J770" s="84">
        <v>101.1610019189449</v>
      </c>
      <c r="K770" s="84">
        <v>99.758123282910901</v>
      </c>
      <c r="L770" s="84">
        <v>99.758123282910901</v>
      </c>
      <c r="M770" s="85">
        <v>5654185.6125377305</v>
      </c>
      <c r="N770" s="83" t="s">
        <v>775</v>
      </c>
      <c r="O770" s="25">
        <f t="shared" si="24"/>
        <v>1.1269504912348349E-2</v>
      </c>
    </row>
    <row r="771" spans="1:15">
      <c r="A771" s="84">
        <v>506.43232683453232</v>
      </c>
      <c r="B771" s="84">
        <v>506.78358230166481</v>
      </c>
      <c r="C771" s="84">
        <v>504.05159533507907</v>
      </c>
      <c r="D771" s="84">
        <v>504.76386336565321</v>
      </c>
      <c r="E771" s="85">
        <v>4267970.580610686</v>
      </c>
      <c r="F771" s="83" t="s">
        <v>776</v>
      </c>
      <c r="G771" s="25">
        <f t="shared" si="23"/>
        <v>3.3054336690312436E-3</v>
      </c>
      <c r="I771" s="84">
        <v>99.623600673976142</v>
      </c>
      <c r="J771" s="84">
        <v>99.633209431757194</v>
      </c>
      <c r="K771" s="84">
        <v>97.769110422232558</v>
      </c>
      <c r="L771" s="84">
        <v>97.884415515605227</v>
      </c>
      <c r="M771" s="85">
        <v>4517953.4117920576</v>
      </c>
      <c r="N771" s="83" t="s">
        <v>776</v>
      </c>
      <c r="O771" s="25">
        <f t="shared" si="24"/>
        <v>1.7767743202120378E-2</v>
      </c>
    </row>
    <row r="772" spans="1:15">
      <c r="A772" s="84">
        <v>503.57349761592656</v>
      </c>
      <c r="B772" s="84">
        <v>506.51038360500627</v>
      </c>
      <c r="C772" s="84">
        <v>501.84649156919198</v>
      </c>
      <c r="D772" s="84">
        <v>504.03208114246058</v>
      </c>
      <c r="E772" s="85">
        <v>7964996.7097735237</v>
      </c>
      <c r="F772" s="83" t="s">
        <v>777</v>
      </c>
      <c r="G772" s="25">
        <f t="shared" si="23"/>
        <v>-9.0983003600597634E-4</v>
      </c>
      <c r="I772" s="84">
        <v>97.644196571078851</v>
      </c>
      <c r="J772" s="84">
        <v>98.633898622527497</v>
      </c>
      <c r="K772" s="84">
        <v>97.548108993268301</v>
      </c>
      <c r="L772" s="84">
        <v>98.287983342409532</v>
      </c>
      <c r="M772" s="85">
        <v>3930059.5207484337</v>
      </c>
      <c r="N772" s="83" t="s">
        <v>777</v>
      </c>
      <c r="O772" s="25">
        <f t="shared" si="24"/>
        <v>-6.5500048880634543E-3</v>
      </c>
    </row>
    <row r="773" spans="1:15">
      <c r="A773" s="84">
        <v>502.05139059168584</v>
      </c>
      <c r="B773" s="84">
        <v>505.44686010729959</v>
      </c>
      <c r="C773" s="84">
        <v>499.72920167008789</v>
      </c>
      <c r="D773" s="84">
        <v>500.04142875198346</v>
      </c>
      <c r="E773" s="85">
        <v>5368574.6599038206</v>
      </c>
      <c r="F773" s="83" t="s">
        <v>778</v>
      </c>
      <c r="G773" s="25">
        <f t="shared" si="23"/>
        <v>4.0195906261584202E-3</v>
      </c>
      <c r="I773" s="84">
        <v>97.317498806522991</v>
      </c>
      <c r="J773" s="84">
        <v>98.826073778148583</v>
      </c>
      <c r="K773" s="84">
        <v>97.067671104215563</v>
      </c>
      <c r="L773" s="84">
        <v>98.009329366758934</v>
      </c>
      <c r="M773" s="85">
        <v>6247568.2463722257</v>
      </c>
      <c r="N773" s="83" t="s">
        <v>778</v>
      </c>
      <c r="O773" s="25">
        <f t="shared" si="24"/>
        <v>-7.058823529411784E-3</v>
      </c>
    </row>
    <row r="774" spans="1:15">
      <c r="A774" s="84">
        <v>498.96814815796762</v>
      </c>
      <c r="B774" s="84">
        <v>504.23698016495445</v>
      </c>
      <c r="C774" s="84">
        <v>498.41687221649585</v>
      </c>
      <c r="D774" s="84">
        <v>503.46616955652496</v>
      </c>
      <c r="E774" s="85">
        <v>5684383.7799883997</v>
      </c>
      <c r="F774" s="83" t="s">
        <v>779</v>
      </c>
      <c r="G774" s="25">
        <f t="shared" si="23"/>
        <v>-8.9341085271318343E-3</v>
      </c>
      <c r="I774" s="84">
        <v>97.740284148889401</v>
      </c>
      <c r="J774" s="84">
        <v>98.633898622527497</v>
      </c>
      <c r="K774" s="84">
        <v>96.298970481731175</v>
      </c>
      <c r="L774" s="84">
        <v>96.587233215162826</v>
      </c>
      <c r="M774" s="85">
        <v>7904860.5169087704</v>
      </c>
      <c r="N774" s="83" t="s">
        <v>779</v>
      </c>
      <c r="O774" s="25">
        <f t="shared" si="24"/>
        <v>1.1937922801432466E-2</v>
      </c>
    </row>
    <row r="775" spans="1:15">
      <c r="A775" s="84">
        <v>503.28078472664942</v>
      </c>
      <c r="B775" s="84">
        <v>503.64667583824576</v>
      </c>
      <c r="C775" s="84">
        <v>499.26086104724465</v>
      </c>
      <c r="D775" s="84">
        <v>499.54381684021251</v>
      </c>
      <c r="E775" s="85">
        <v>3532734.4229835337</v>
      </c>
      <c r="F775" s="83" t="s">
        <v>780</v>
      </c>
      <c r="G775" s="25">
        <f t="shared" si="23"/>
        <v>7.480760967225164E-3</v>
      </c>
      <c r="I775" s="84">
        <v>96.740973339659703</v>
      </c>
      <c r="J775" s="84">
        <v>97.221411228712441</v>
      </c>
      <c r="K775" s="84">
        <v>95.5302698592468</v>
      </c>
      <c r="L775" s="84">
        <v>96.952366010842908</v>
      </c>
      <c r="M775" s="85">
        <v>6747591.2576165134</v>
      </c>
      <c r="N775" s="83" t="s">
        <v>780</v>
      </c>
      <c r="O775" s="25">
        <f t="shared" si="24"/>
        <v>-2.1803766105054079E-3</v>
      </c>
    </row>
    <row r="776" spans="1:15">
      <c r="A776" s="84">
        <v>498.48029334250583</v>
      </c>
      <c r="B776" s="84">
        <v>499.57308812914016</v>
      </c>
      <c r="C776" s="84">
        <v>498.13879497168267</v>
      </c>
      <c r="D776" s="84">
        <v>498.79252042440135</v>
      </c>
      <c r="E776" s="85">
        <v>3224138.5144702476</v>
      </c>
      <c r="F776" s="83" t="s">
        <v>781</v>
      </c>
      <c r="G776" s="25">
        <f t="shared" si="23"/>
        <v>-6.2596584573848535E-4</v>
      </c>
      <c r="I776" s="84">
        <v>97.154149924245061</v>
      </c>
      <c r="J776" s="84">
        <v>97.701849117765192</v>
      </c>
      <c r="K776" s="84">
        <v>96.106795326110074</v>
      </c>
      <c r="L776" s="84">
        <v>96.318187997293279</v>
      </c>
      <c r="M776" s="85">
        <v>5879453.0247590831</v>
      </c>
      <c r="N776" s="83" t="s">
        <v>781</v>
      </c>
      <c r="O776" s="25">
        <f t="shared" si="24"/>
        <v>8.6791699920192311E-3</v>
      </c>
    </row>
    <row r="777" spans="1:15">
      <c r="A777" s="84">
        <v>497.9338959491887</v>
      </c>
      <c r="B777" s="84">
        <v>498.78764187624677</v>
      </c>
      <c r="C777" s="84">
        <v>496.94842922195596</v>
      </c>
      <c r="D777" s="84">
        <v>498.0997665864457</v>
      </c>
      <c r="E777" s="85">
        <v>3221633.6708953339</v>
      </c>
      <c r="F777" s="83" t="s">
        <v>782</v>
      </c>
      <c r="G777" s="25">
        <f t="shared" si="23"/>
        <v>-3.330068560235544E-4</v>
      </c>
      <c r="I777" s="84">
        <v>96.18366538835852</v>
      </c>
      <c r="J777" s="84">
        <v>97.245721385898506</v>
      </c>
      <c r="K777" s="84">
        <v>96.068360294985865</v>
      </c>
      <c r="L777" s="84">
        <v>96.712147066316547</v>
      </c>
      <c r="M777" s="85">
        <v>9093864.3673883732</v>
      </c>
      <c r="N777" s="83" t="s">
        <v>782</v>
      </c>
      <c r="O777" s="25">
        <f t="shared" si="24"/>
        <v>-5.464480874317057E-3</v>
      </c>
    </row>
    <row r="778" spans="1:15">
      <c r="A778" s="84">
        <v>497.45579823003618</v>
      </c>
      <c r="B778" s="84">
        <v>497.70948273407635</v>
      </c>
      <c r="C778" s="84">
        <v>494.18717096644247</v>
      </c>
      <c r="D778" s="84">
        <v>494.81162513023349</v>
      </c>
      <c r="E778" s="85">
        <v>3235513.8249604134</v>
      </c>
      <c r="F778" s="83" t="s">
        <v>783</v>
      </c>
      <c r="G778" s="25">
        <f t="shared" si="23"/>
        <v>5.3437974483860895E-3</v>
      </c>
      <c r="I778" s="84">
        <v>96.443101848447</v>
      </c>
      <c r="J778" s="84">
        <v>96.635277004068087</v>
      </c>
      <c r="K778" s="84">
        <v>95.669404671916482</v>
      </c>
      <c r="L778" s="84">
        <v>96.558406941819655</v>
      </c>
      <c r="M778" s="85">
        <v>6404073.3882715274</v>
      </c>
      <c r="N778" s="83" t="s">
        <v>783</v>
      </c>
      <c r="O778" s="25">
        <f t="shared" si="24"/>
        <v>-1.1941486715095762E-3</v>
      </c>
    </row>
    <row r="779" spans="1:15">
      <c r="A779" s="84">
        <v>494.49939804833798</v>
      </c>
      <c r="B779" s="84">
        <v>494.82138222654271</v>
      </c>
      <c r="C779" s="84">
        <v>491.97231010424616</v>
      </c>
      <c r="D779" s="84">
        <v>491.97231010424616</v>
      </c>
      <c r="E779" s="85">
        <v>2184139.5559280803</v>
      </c>
      <c r="F779" s="83" t="s">
        <v>784</v>
      </c>
      <c r="G779" s="25">
        <f t="shared" si="23"/>
        <v>5.1366467018363338E-3</v>
      </c>
      <c r="I779" s="84">
        <v>96.798625886346031</v>
      </c>
      <c r="J779" s="84">
        <v>97.086888619777682</v>
      </c>
      <c r="K779" s="84">
        <v>96.455593233562368</v>
      </c>
      <c r="L779" s="84">
        <v>96.952366010842908</v>
      </c>
      <c r="M779" s="85">
        <v>2236722.0081637558</v>
      </c>
      <c r="N779" s="83" t="s">
        <v>784</v>
      </c>
      <c r="O779" s="25">
        <f t="shared" si="24"/>
        <v>-1.5857284440039532E-3</v>
      </c>
    </row>
    <row r="780" spans="1:15">
      <c r="A780" s="84">
        <v>492.2747800898324</v>
      </c>
      <c r="B780" s="84">
        <v>492.3528368603063</v>
      </c>
      <c r="C780" s="84">
        <v>487.47428870568882</v>
      </c>
      <c r="D780" s="84">
        <v>487.55234547616266</v>
      </c>
      <c r="E780" s="85">
        <v>4314893.3520469656</v>
      </c>
      <c r="F780" s="83" t="s">
        <v>785</v>
      </c>
      <c r="G780" s="25">
        <f t="shared" si="23"/>
        <v>9.6860053233005505E-3</v>
      </c>
      <c r="I780" s="84">
        <v>96.481536879571223</v>
      </c>
      <c r="J780" s="84">
        <v>96.692929550754428</v>
      </c>
      <c r="K780" s="84">
        <v>95.19492421268798</v>
      </c>
      <c r="L780" s="84">
        <v>95.405356008093094</v>
      </c>
      <c r="M780" s="85">
        <v>8637891.7953001801</v>
      </c>
      <c r="N780" s="83" t="s">
        <v>785</v>
      </c>
      <c r="O780" s="25">
        <f t="shared" si="24"/>
        <v>1.1280088629267659E-2</v>
      </c>
    </row>
    <row r="781" spans="1:15">
      <c r="A781" s="84">
        <v>489.10372378933101</v>
      </c>
      <c r="B781" s="84">
        <v>489.49391007073734</v>
      </c>
      <c r="C781" s="84">
        <v>486.48882197845609</v>
      </c>
      <c r="D781" s="84">
        <v>489.30862281182499</v>
      </c>
      <c r="E781" s="85">
        <v>4477280.8031680901</v>
      </c>
      <c r="F781" s="83" t="s">
        <v>786</v>
      </c>
      <c r="G781" s="25">
        <f t="shared" si="23"/>
        <v>-4.1875211868636075E-4</v>
      </c>
      <c r="I781" s="84">
        <v>95.655183710400507</v>
      </c>
      <c r="J781" s="84">
        <v>97.701849117765192</v>
      </c>
      <c r="K781" s="84">
        <v>95.424573523655198</v>
      </c>
      <c r="L781" s="84">
        <v>96.93314849528079</v>
      </c>
      <c r="M781" s="85">
        <v>4657495.9031891935</v>
      </c>
      <c r="N781" s="83" t="s">
        <v>786</v>
      </c>
      <c r="O781" s="25">
        <f t="shared" si="24"/>
        <v>-1.3183980967486075E-2</v>
      </c>
    </row>
    <row r="782" spans="1:15">
      <c r="A782" s="84">
        <v>487.98165771376904</v>
      </c>
      <c r="B782" s="84">
        <v>493.44563164694063</v>
      </c>
      <c r="C782" s="84">
        <v>486.88886292713471</v>
      </c>
      <c r="D782" s="84">
        <v>490.75267306559181</v>
      </c>
      <c r="E782" s="85">
        <v>5737947.8715414722</v>
      </c>
      <c r="F782" s="83" t="s">
        <v>787</v>
      </c>
      <c r="G782" s="25">
        <f t="shared" si="23"/>
        <v>-5.6464600274370724E-3</v>
      </c>
      <c r="I782" s="84">
        <v>96.462319364009119</v>
      </c>
      <c r="J782" s="84">
        <v>96.952366010842908</v>
      </c>
      <c r="K782" s="84">
        <v>96.145230357234311</v>
      </c>
      <c r="L782" s="84">
        <v>96.952366010842908</v>
      </c>
      <c r="M782" s="85">
        <v>14417284.019078758</v>
      </c>
      <c r="N782" s="83" t="s">
        <v>787</v>
      </c>
      <c r="O782" s="25">
        <f t="shared" si="24"/>
        <v>-5.0545094152625314E-3</v>
      </c>
    </row>
    <row r="783" spans="1:15">
      <c r="A783" s="84">
        <v>489.87111940000216</v>
      </c>
      <c r="B783" s="84">
        <v>490.48364059722752</v>
      </c>
      <c r="C783" s="84">
        <v>488.38356792102621</v>
      </c>
      <c r="D783" s="84">
        <v>489.04470191168218</v>
      </c>
      <c r="E783" s="85">
        <v>3722944.871671061</v>
      </c>
      <c r="F783" s="83" t="s">
        <v>788</v>
      </c>
      <c r="G783" s="25">
        <f t="shared" si="23"/>
        <v>1.6898608349902311E-3</v>
      </c>
      <c r="I783" s="84">
        <v>96.683320792973376</v>
      </c>
      <c r="J783" s="84">
        <v>97.797936695575729</v>
      </c>
      <c r="K783" s="84">
        <v>96.495950016242801</v>
      </c>
      <c r="L783" s="84">
        <v>97.500065204363025</v>
      </c>
      <c r="M783" s="85">
        <v>7238666.1819218714</v>
      </c>
      <c r="N783" s="83" t="s">
        <v>788</v>
      </c>
      <c r="O783" s="25">
        <f t="shared" si="24"/>
        <v>-8.3768601557109301E-3</v>
      </c>
    </row>
    <row r="784" spans="1:15">
      <c r="A784" s="84">
        <v>489.11275982248503</v>
      </c>
      <c r="B784" s="84">
        <v>489.79333893051319</v>
      </c>
      <c r="C784" s="84">
        <v>486.99324202891148</v>
      </c>
      <c r="D784" s="84">
        <v>487.55715043270635</v>
      </c>
      <c r="E784" s="85">
        <v>3294091.713298894</v>
      </c>
      <c r="F784" s="83" t="s">
        <v>789</v>
      </c>
      <c r="G784" s="25">
        <f t="shared" si="23"/>
        <v>3.1906195784392466E-3</v>
      </c>
      <c r="I784" s="84">
        <v>97.298281290960887</v>
      </c>
      <c r="J784" s="84">
        <v>97.423195142114594</v>
      </c>
      <c r="K784" s="84">
        <v>96.234495717020309</v>
      </c>
      <c r="L784" s="84">
        <v>96.981192284186079</v>
      </c>
      <c r="M784" s="85">
        <v>7236966.6906481711</v>
      </c>
      <c r="N784" s="83" t="s">
        <v>789</v>
      </c>
      <c r="O784" s="25">
        <f t="shared" si="24"/>
        <v>3.2695927870800556E-3</v>
      </c>
    </row>
    <row r="785" spans="1:15">
      <c r="A785" s="84">
        <v>488.56829653606246</v>
      </c>
      <c r="B785" s="84">
        <v>488.87941841401818</v>
      </c>
      <c r="C785" s="84">
        <v>486.43905618380285</v>
      </c>
      <c r="D785" s="84">
        <v>487.79049184117309</v>
      </c>
      <c r="E785" s="85">
        <v>6517547.6997103132</v>
      </c>
      <c r="F785" s="83" t="s">
        <v>790</v>
      </c>
      <c r="G785" s="25">
        <f t="shared" si="23"/>
        <v>1.5945466504554417E-3</v>
      </c>
      <c r="I785" s="84">
        <v>97.596152782173576</v>
      </c>
      <c r="J785" s="84">
        <v>98.681942411432772</v>
      </c>
      <c r="K785" s="84">
        <v>96.11640408389114</v>
      </c>
      <c r="L785" s="84">
        <v>97.423195142114594</v>
      </c>
      <c r="M785" s="85">
        <v>10726357.386509733</v>
      </c>
      <c r="N785" s="83" t="s">
        <v>790</v>
      </c>
      <c r="O785" s="25">
        <f t="shared" si="24"/>
        <v>1.7753230101587025E-3</v>
      </c>
    </row>
    <row r="786" spans="1:15">
      <c r="A786" s="84">
        <v>486.54600432935013</v>
      </c>
      <c r="B786" s="84">
        <v>490.44426423454871</v>
      </c>
      <c r="C786" s="84">
        <v>486.54600432935013</v>
      </c>
      <c r="D786" s="84">
        <v>488.10161371912881</v>
      </c>
      <c r="E786" s="85">
        <v>7223246.7056517489</v>
      </c>
      <c r="F786" s="83" t="s">
        <v>791</v>
      </c>
      <c r="G786" s="25">
        <f t="shared" si="23"/>
        <v>-3.1870605342310121E-3</v>
      </c>
      <c r="I786" s="84">
        <v>97.970894335634711</v>
      </c>
      <c r="J786" s="84">
        <v>103.27012425188643</v>
      </c>
      <c r="K786" s="84">
        <v>96.990801041967117</v>
      </c>
      <c r="L786" s="84">
        <v>101.60300477687342</v>
      </c>
      <c r="M786" s="85">
        <v>14262787.461477216</v>
      </c>
      <c r="N786" s="83" t="s">
        <v>791</v>
      </c>
      <c r="O786" s="25">
        <f t="shared" si="24"/>
        <v>-3.574806128239072E-2</v>
      </c>
    </row>
    <row r="787" spans="1:15">
      <c r="A787" s="84">
        <v>487.85854975197589</v>
      </c>
      <c r="B787" s="84">
        <v>489.25441750254174</v>
      </c>
      <c r="C787" s="84">
        <v>486.95435179416705</v>
      </c>
      <c r="D787" s="84">
        <v>488.16967162993171</v>
      </c>
      <c r="E787" s="85">
        <v>4471907.1803684505</v>
      </c>
      <c r="F787" s="83" t="s">
        <v>792</v>
      </c>
      <c r="G787" s="25">
        <f t="shared" si="23"/>
        <v>-6.3732324238219284E-4</v>
      </c>
      <c r="I787" s="84">
        <v>101.47809092571971</v>
      </c>
      <c r="J787" s="84">
        <v>102.0353988770209</v>
      </c>
      <c r="K787" s="84">
        <v>100.58447645208163</v>
      </c>
      <c r="L787" s="84">
        <v>101.07452309891541</v>
      </c>
      <c r="M787" s="85">
        <v>13853914.630095601</v>
      </c>
      <c r="N787" s="83" t="s">
        <v>792</v>
      </c>
      <c r="O787" s="25">
        <f t="shared" si="24"/>
        <v>3.9927749786101696E-3</v>
      </c>
    </row>
    <row r="788" spans="1:15">
      <c r="A788" s="84">
        <v>488.92803120744878</v>
      </c>
      <c r="B788" s="84">
        <v>491.70868299167824</v>
      </c>
      <c r="C788" s="84">
        <v>487.28491878949501</v>
      </c>
      <c r="D788" s="84">
        <v>491.12532947051119</v>
      </c>
      <c r="E788" s="85">
        <v>4948149.0987239238</v>
      </c>
      <c r="F788" s="83" t="s">
        <v>793</v>
      </c>
      <c r="G788" s="25">
        <f t="shared" si="23"/>
        <v>-4.4740072059230585E-3</v>
      </c>
      <c r="I788" s="84">
        <v>100.95921800554275</v>
      </c>
      <c r="J788" s="84">
        <v>101.59339601909238</v>
      </c>
      <c r="K788" s="84">
        <v>100.45956260092791</v>
      </c>
      <c r="L788" s="84">
        <v>100.53643266317634</v>
      </c>
      <c r="M788" s="85">
        <v>7281296.042027995</v>
      </c>
      <c r="N788" s="83" t="s">
        <v>793</v>
      </c>
      <c r="O788" s="25">
        <f t="shared" si="24"/>
        <v>4.2052948485138408E-3</v>
      </c>
    </row>
    <row r="789" spans="1:15">
      <c r="A789" s="84">
        <v>490.28918942350515</v>
      </c>
      <c r="B789" s="84">
        <v>490.3623030648248</v>
      </c>
      <c r="C789" s="84">
        <v>488.68496724029586</v>
      </c>
      <c r="D789" s="84">
        <v>489.09331470511279</v>
      </c>
      <c r="E789" s="85">
        <v>3529590.4203696409</v>
      </c>
      <c r="F789" s="83" t="s">
        <v>794</v>
      </c>
      <c r="G789" s="25">
        <f t="shared" si="23"/>
        <v>2.4450849816122222E-3</v>
      </c>
      <c r="I789" s="84">
        <v>100.67095527211112</v>
      </c>
      <c r="J789" s="84">
        <v>101.18982819228808</v>
      </c>
      <c r="K789" s="84">
        <v>100.29140933975945</v>
      </c>
      <c r="L789" s="84">
        <v>100.47878011649001</v>
      </c>
      <c r="M789" s="85">
        <v>4154030.1992728906</v>
      </c>
      <c r="N789" s="83" t="s">
        <v>794</v>
      </c>
      <c r="O789" s="25">
        <f t="shared" si="24"/>
        <v>1.9125944343503232E-3</v>
      </c>
    </row>
    <row r="790" spans="1:15">
      <c r="A790" s="84">
        <v>488.98636655956551</v>
      </c>
      <c r="B790" s="84">
        <v>490.19196383664399</v>
      </c>
      <c r="C790" s="84">
        <v>484.09591954044868</v>
      </c>
      <c r="D790" s="84">
        <v>484.65010538555737</v>
      </c>
      <c r="E790" s="85">
        <v>4741076.0364779932</v>
      </c>
      <c r="F790" s="83" t="s">
        <v>795</v>
      </c>
      <c r="G790" s="25">
        <f t="shared" si="23"/>
        <v>8.9471994864387394E-3</v>
      </c>
      <c r="I790" s="84">
        <v>100.38269253867946</v>
      </c>
      <c r="J790" s="84">
        <v>100.40191005424157</v>
      </c>
      <c r="K790" s="84">
        <v>99.421816760573989</v>
      </c>
      <c r="L790" s="84">
        <v>99.931080922969898</v>
      </c>
      <c r="M790" s="85">
        <v>4104261.0188130722</v>
      </c>
      <c r="N790" s="83" t="s">
        <v>795</v>
      </c>
      <c r="O790" s="25">
        <f t="shared" si="24"/>
        <v>4.5192307692307754E-3</v>
      </c>
    </row>
    <row r="791" spans="1:15">
      <c r="A791" s="84">
        <v>485.13623331986321</v>
      </c>
      <c r="B791" s="84">
        <v>485.19456867197988</v>
      </c>
      <c r="C791" s="84">
        <v>482.52086503329775</v>
      </c>
      <c r="D791" s="84">
        <v>483.46395322585107</v>
      </c>
      <c r="E791" s="85">
        <v>5977897.5757679399</v>
      </c>
      <c r="F791" s="83" t="s">
        <v>796</v>
      </c>
      <c r="G791" s="25">
        <f t="shared" si="23"/>
        <v>3.4589550738044483E-3</v>
      </c>
      <c r="I791" s="84">
        <v>100.15208235193415</v>
      </c>
      <c r="J791" s="84">
        <v>100.8812909799384</v>
      </c>
      <c r="K791" s="84">
        <v>99.392990487230819</v>
      </c>
      <c r="L791" s="84">
        <v>100.49799763205213</v>
      </c>
      <c r="M791" s="85">
        <v>5117460.6666588401</v>
      </c>
      <c r="N791" s="83" t="s">
        <v>796</v>
      </c>
      <c r="O791" s="25">
        <f t="shared" si="24"/>
        <v>-3.4420116645951238E-3</v>
      </c>
    </row>
    <row r="792" spans="1:15">
      <c r="A792" s="84">
        <v>484.74733097241847</v>
      </c>
      <c r="B792" s="84">
        <v>485.59319357811069</v>
      </c>
      <c r="C792" s="84">
        <v>482.29724618351702</v>
      </c>
      <c r="D792" s="84">
        <v>485.44735519781892</v>
      </c>
      <c r="E792" s="85">
        <v>9060247.7026735712</v>
      </c>
      <c r="F792" s="83" t="s">
        <v>797</v>
      </c>
      <c r="G792" s="25">
        <f t="shared" si="23"/>
        <v>-1.4420188263569722E-3</v>
      </c>
      <c r="I792" s="84">
        <v>100.92078297441854</v>
      </c>
      <c r="J792" s="84">
        <v>102.67438126946104</v>
      </c>
      <c r="K792" s="84">
        <v>99.77734079847302</v>
      </c>
      <c r="L792" s="84">
        <v>102.40053167270096</v>
      </c>
      <c r="M792" s="85">
        <v>7402564.5791845312</v>
      </c>
      <c r="N792" s="83" t="s">
        <v>797</v>
      </c>
      <c r="O792" s="25">
        <f t="shared" si="24"/>
        <v>-1.4450595852491199E-2</v>
      </c>
    </row>
    <row r="793" spans="1:15">
      <c r="A793" s="84">
        <v>483.83341045592351</v>
      </c>
      <c r="B793" s="84">
        <v>486.27377268613884</v>
      </c>
      <c r="C793" s="84">
        <v>482.92921249811462</v>
      </c>
      <c r="D793" s="84">
        <v>484.11536465782092</v>
      </c>
      <c r="E793" s="85">
        <v>3804334.9692314845</v>
      </c>
      <c r="F793" s="83" t="s">
        <v>798</v>
      </c>
      <c r="G793" s="25">
        <f t="shared" si="23"/>
        <v>-5.8241118229473976E-4</v>
      </c>
      <c r="I793" s="84">
        <v>102.59270682832206</v>
      </c>
      <c r="J793" s="84">
        <v>103.50553881752228</v>
      </c>
      <c r="K793" s="84">
        <v>102.41014043048203</v>
      </c>
      <c r="L793" s="84">
        <v>102.82331701506739</v>
      </c>
      <c r="M793" s="85">
        <v>3569651.8511089724</v>
      </c>
      <c r="N793" s="83" t="s">
        <v>798</v>
      </c>
      <c r="O793" s="25">
        <f t="shared" si="24"/>
        <v>-2.2427810485001753E-3</v>
      </c>
    </row>
    <row r="794" spans="1:15">
      <c r="A794" s="84">
        <v>479.83743883592945</v>
      </c>
      <c r="B794" s="84">
        <v>479.96383209884897</v>
      </c>
      <c r="C794" s="84">
        <v>475.53909564079714</v>
      </c>
      <c r="D794" s="84">
        <v>477.36790892965575</v>
      </c>
      <c r="E794" s="85">
        <v>4143377.4071760294</v>
      </c>
      <c r="F794" s="83" t="s">
        <v>799</v>
      </c>
      <c r="G794" s="25">
        <f t="shared" si="23"/>
        <v>5.1732214505386676E-3</v>
      </c>
      <c r="I794" s="84">
        <v>102.73683819503789</v>
      </c>
      <c r="J794" s="84">
        <v>102.95303524511162</v>
      </c>
      <c r="K794" s="84">
        <v>101.98735508811562</v>
      </c>
      <c r="L794" s="84">
        <v>102.227574032642</v>
      </c>
      <c r="M794" s="85">
        <v>6004373.4387554312</v>
      </c>
      <c r="N794" s="83" t="s">
        <v>799</v>
      </c>
      <c r="O794" s="25">
        <f t="shared" si="24"/>
        <v>4.981671209700167E-3</v>
      </c>
    </row>
    <row r="795" spans="1:15">
      <c r="A795" s="84">
        <v>478.74851226308436</v>
      </c>
      <c r="B795" s="84">
        <v>479.02074390629565</v>
      </c>
      <c r="C795" s="84">
        <v>475.97758303754102</v>
      </c>
      <c r="D795" s="84">
        <v>476.57065911739414</v>
      </c>
      <c r="E795" s="85">
        <v>3564104.9973275736</v>
      </c>
      <c r="F795" s="83" t="s">
        <v>800</v>
      </c>
      <c r="G795" s="25">
        <f t="shared" si="23"/>
        <v>4.5698431156537822E-3</v>
      </c>
      <c r="I795" s="84">
        <v>102.90018707731583</v>
      </c>
      <c r="J795" s="84">
        <v>103.87067161320236</v>
      </c>
      <c r="K795" s="84">
        <v>102.49671533808934</v>
      </c>
      <c r="L795" s="84">
        <v>103.77458403539181</v>
      </c>
      <c r="M795" s="85">
        <v>6159477.7752325647</v>
      </c>
      <c r="N795" s="83" t="s">
        <v>800</v>
      </c>
      <c r="O795" s="25">
        <f t="shared" si="24"/>
        <v>-8.4259259259258368E-3</v>
      </c>
    </row>
    <row r="796" spans="1:15">
      <c r="A796" s="84">
        <v>477.18318031461951</v>
      </c>
      <c r="B796" s="84">
        <v>479.83743883592945</v>
      </c>
      <c r="C796" s="84">
        <v>475.95813792016878</v>
      </c>
      <c r="D796" s="84">
        <v>476.94011634746659</v>
      </c>
      <c r="E796" s="85">
        <v>3151009.0079215094</v>
      </c>
      <c r="F796" s="83" t="s">
        <v>801</v>
      </c>
      <c r="G796" s="25">
        <f t="shared" si="23"/>
        <v>5.0963204566301101E-4</v>
      </c>
      <c r="I796" s="84">
        <v>103.88028037098341</v>
      </c>
      <c r="J796" s="84">
        <v>104.31267447113089</v>
      </c>
      <c r="K796" s="84">
        <v>103.65447456312863</v>
      </c>
      <c r="L796" s="84">
        <v>103.87067161320236</v>
      </c>
      <c r="M796" s="85">
        <v>3670123.7354043033</v>
      </c>
      <c r="N796" s="83" t="s">
        <v>801</v>
      </c>
      <c r="O796" s="25">
        <f t="shared" si="24"/>
        <v>9.2506938020431306E-5</v>
      </c>
    </row>
    <row r="797" spans="1:15">
      <c r="A797" s="84">
        <v>477.80542407053099</v>
      </c>
      <c r="B797" s="84">
        <v>478.52489341330369</v>
      </c>
      <c r="C797" s="84">
        <v>476.05546073261684</v>
      </c>
      <c r="D797" s="84">
        <v>478.19432641797567</v>
      </c>
      <c r="E797" s="85">
        <v>21953031.798591785</v>
      </c>
      <c r="F797" s="83" t="s">
        <v>802</v>
      </c>
      <c r="G797" s="25">
        <f t="shared" si="23"/>
        <v>-8.1327260897856579E-4</v>
      </c>
      <c r="I797" s="84">
        <v>103.94754167545081</v>
      </c>
      <c r="J797" s="84">
        <v>104.22619565110139</v>
      </c>
      <c r="K797" s="84">
        <v>103.53436509086545</v>
      </c>
      <c r="L797" s="84">
        <v>104.13971683107189</v>
      </c>
      <c r="M797" s="85">
        <v>4032920.8918560217</v>
      </c>
      <c r="N797" s="83" t="s">
        <v>802</v>
      </c>
      <c r="O797" s="25">
        <f t="shared" si="24"/>
        <v>-1.8453589223103029E-3</v>
      </c>
    </row>
    <row r="798" spans="1:15">
      <c r="A798" s="84">
        <v>477.91237221607832</v>
      </c>
      <c r="B798" s="84">
        <v>477.91237221607832</v>
      </c>
      <c r="C798" s="84">
        <v>472.57468749740008</v>
      </c>
      <c r="D798" s="84">
        <v>474.33447061958725</v>
      </c>
      <c r="E798" s="85">
        <v>3112499.5977870529</v>
      </c>
      <c r="F798" s="83" t="s">
        <v>803</v>
      </c>
      <c r="G798" s="25">
        <f t="shared" si="23"/>
        <v>7.5429930104331522E-3</v>
      </c>
      <c r="I798" s="84">
        <v>104.19736937775822</v>
      </c>
      <c r="J798" s="84">
        <v>104.26943506111614</v>
      </c>
      <c r="K798" s="84">
        <v>103.27588950655506</v>
      </c>
      <c r="L798" s="84">
        <v>103.78419279317288</v>
      </c>
      <c r="M798" s="85">
        <v>3269123.9300395534</v>
      </c>
      <c r="N798" s="83" t="s">
        <v>803</v>
      </c>
      <c r="O798" s="25">
        <f t="shared" si="24"/>
        <v>3.9811128599203105E-3</v>
      </c>
    </row>
    <row r="799" spans="1:15">
      <c r="A799" s="84">
        <v>472.26356561944436</v>
      </c>
      <c r="B799" s="84">
        <v>472.91497705141421</v>
      </c>
      <c r="C799" s="84">
        <v>469.17179195725919</v>
      </c>
      <c r="D799" s="84">
        <v>470.57184040805998</v>
      </c>
      <c r="E799" s="85">
        <v>2633328.4093783512</v>
      </c>
      <c r="F799" s="83" t="s">
        <v>804</v>
      </c>
      <c r="G799" s="25">
        <f t="shared" si="23"/>
        <v>3.5950413223140298E-3</v>
      </c>
      <c r="I799" s="84">
        <v>103.67849645758128</v>
      </c>
      <c r="J799" s="84">
        <v>104.14452120996243</v>
      </c>
      <c r="K799" s="84">
        <v>102.73683819503789</v>
      </c>
      <c r="L799" s="84">
        <v>103.20766732630958</v>
      </c>
      <c r="M799" s="85">
        <v>8323695.0938334698</v>
      </c>
      <c r="N799" s="83" t="s">
        <v>804</v>
      </c>
      <c r="O799" s="25">
        <f t="shared" si="24"/>
        <v>4.5619588492693541E-3</v>
      </c>
    </row>
    <row r="800" spans="1:15">
      <c r="A800" s="84">
        <v>471.68993465696343</v>
      </c>
      <c r="B800" s="84">
        <v>472.91497705141421</v>
      </c>
      <c r="C800" s="84">
        <v>467.07171928105788</v>
      </c>
      <c r="D800" s="84">
        <v>472.80802890586693</v>
      </c>
      <c r="E800" s="85">
        <v>4331427.6991851395</v>
      </c>
      <c r="F800" s="83" t="s">
        <v>805</v>
      </c>
      <c r="G800" s="25">
        <f t="shared" si="23"/>
        <v>-2.3647953937899757E-3</v>
      </c>
      <c r="I800" s="84">
        <v>103.16923229518537</v>
      </c>
      <c r="J800" s="84">
        <v>104.39915329116037</v>
      </c>
      <c r="K800" s="84">
        <v>102.64075061722734</v>
      </c>
      <c r="L800" s="84">
        <v>103.04431844403165</v>
      </c>
      <c r="M800" s="85">
        <v>6149386.9807501426</v>
      </c>
      <c r="N800" s="83" t="s">
        <v>805</v>
      </c>
      <c r="O800" s="25">
        <f t="shared" si="24"/>
        <v>1.2122342409548459E-3</v>
      </c>
    </row>
    <row r="801" spans="1:15">
      <c r="A801" s="84">
        <v>471.17463904659928</v>
      </c>
      <c r="B801" s="84">
        <v>471.45659324849669</v>
      </c>
      <c r="C801" s="84">
        <v>463.255614996757</v>
      </c>
      <c r="D801" s="84">
        <v>467.88841421069174</v>
      </c>
      <c r="E801" s="85">
        <v>5486180.3072646875</v>
      </c>
      <c r="F801" s="83" t="s">
        <v>806</v>
      </c>
      <c r="G801" s="25">
        <f t="shared" si="23"/>
        <v>7.0235225667028001E-3</v>
      </c>
      <c r="I801" s="84">
        <v>103.59201763755178</v>
      </c>
      <c r="J801" s="84">
        <v>103.65927894201916</v>
      </c>
      <c r="K801" s="84">
        <v>101.33395955900389</v>
      </c>
      <c r="L801" s="84">
        <v>101.67987483912187</v>
      </c>
      <c r="M801" s="85">
        <v>10835875.18516575</v>
      </c>
      <c r="N801" s="83" t="s">
        <v>806</v>
      </c>
      <c r="O801" s="25">
        <f t="shared" si="24"/>
        <v>1.880551880551895E-2</v>
      </c>
    </row>
    <row r="802" spans="1:15">
      <c r="A802" s="84">
        <v>467.11060951580237</v>
      </c>
      <c r="B802" s="84">
        <v>469.35690947464286</v>
      </c>
      <c r="C802" s="84">
        <v>465.90501223872388</v>
      </c>
      <c r="D802" s="84">
        <v>468.74399937507002</v>
      </c>
      <c r="E802" s="85">
        <v>3490427.8899810407</v>
      </c>
      <c r="F802" s="83" t="s">
        <v>807</v>
      </c>
      <c r="G802" s="25">
        <f t="shared" ref="G802:G865" si="25">A802/D802-1</f>
        <v>-3.4846096407533667E-3</v>
      </c>
      <c r="I802" s="84">
        <v>101.58378726131131</v>
      </c>
      <c r="J802" s="84">
        <v>101.70870111246502</v>
      </c>
      <c r="K802" s="84">
        <v>100.48838887427107</v>
      </c>
      <c r="L802" s="84">
        <v>100.79586912326484</v>
      </c>
      <c r="M802" s="85">
        <v>4578011.1230123155</v>
      </c>
      <c r="N802" s="83" t="s">
        <v>807</v>
      </c>
      <c r="O802" s="25">
        <f t="shared" ref="O802:O865" si="26">I802/L802-1</f>
        <v>7.8169685414679613E-3</v>
      </c>
    </row>
    <row r="803" spans="1:15">
      <c r="A803" s="84">
        <v>470.27044108879039</v>
      </c>
      <c r="B803" s="84">
        <v>471.23297439871595</v>
      </c>
      <c r="C803" s="84">
        <v>469.56069430470382</v>
      </c>
      <c r="D803" s="84">
        <v>469.78431315448455</v>
      </c>
      <c r="E803" s="85">
        <v>5764903.2327297218</v>
      </c>
      <c r="F803" s="83" t="s">
        <v>808</v>
      </c>
      <c r="G803" s="25">
        <f t="shared" si="25"/>
        <v>1.0347896272686619E-3</v>
      </c>
      <c r="I803" s="84">
        <v>100.47878011649001</v>
      </c>
      <c r="J803" s="84">
        <v>101.10334937225858</v>
      </c>
      <c r="K803" s="84">
        <v>100.41151881202263</v>
      </c>
      <c r="L803" s="84">
        <v>100.91117421663748</v>
      </c>
      <c r="M803" s="85">
        <v>4992241.566810959</v>
      </c>
      <c r="N803" s="83" t="s">
        <v>808</v>
      </c>
      <c r="O803" s="25">
        <f t="shared" si="26"/>
        <v>-4.2848981146448306E-3</v>
      </c>
    </row>
    <row r="804" spans="1:15">
      <c r="A804" s="84">
        <v>473.60527871812849</v>
      </c>
      <c r="B804" s="84">
        <v>474.11571304914963</v>
      </c>
      <c r="C804" s="84">
        <v>471.08227473908113</v>
      </c>
      <c r="D804" s="84">
        <v>473.87751036133972</v>
      </c>
      <c r="E804" s="85">
        <v>4149849.9831749648</v>
      </c>
      <c r="F804" s="83" t="s">
        <v>809</v>
      </c>
      <c r="G804" s="25">
        <f t="shared" si="25"/>
        <v>-5.7447681575695242E-4</v>
      </c>
      <c r="I804" s="84">
        <v>101.39161210569021</v>
      </c>
      <c r="J804" s="84">
        <v>102.18913900151776</v>
      </c>
      <c r="K804" s="84">
        <v>101.1610019189449</v>
      </c>
      <c r="L804" s="84">
        <v>101.88165875252402</v>
      </c>
      <c r="M804" s="85">
        <v>5346342.489898907</v>
      </c>
      <c r="N804" s="83" t="s">
        <v>809</v>
      </c>
      <c r="O804" s="25">
        <f t="shared" si="26"/>
        <v>-4.8099594454400485E-3</v>
      </c>
    </row>
    <row r="805" spans="1:15">
      <c r="A805" s="84">
        <v>473.22609892936993</v>
      </c>
      <c r="B805" s="84">
        <v>473.87751036133972</v>
      </c>
      <c r="C805" s="84">
        <v>470.89268484470182</v>
      </c>
      <c r="D805" s="84">
        <v>471.71910233302179</v>
      </c>
      <c r="E805" s="85">
        <v>2628156.931208536</v>
      </c>
      <c r="F805" s="83" t="s">
        <v>810</v>
      </c>
      <c r="G805" s="25">
        <f t="shared" si="25"/>
        <v>3.1946906302815492E-3</v>
      </c>
      <c r="I805" s="84">
        <v>102.11226893926933</v>
      </c>
      <c r="J805" s="84">
        <v>102.40053167270096</v>
      </c>
      <c r="K805" s="84">
        <v>101.68948359690292</v>
      </c>
      <c r="L805" s="84">
        <v>101.68948359690292</v>
      </c>
      <c r="M805" s="85">
        <v>3571021.4350135587</v>
      </c>
      <c r="N805" s="83" t="s">
        <v>810</v>
      </c>
      <c r="O805" s="25">
        <f t="shared" si="26"/>
        <v>4.1576112633467943E-3</v>
      </c>
    </row>
    <row r="806" spans="1:15">
      <c r="A806" s="84">
        <v>470.02737712163747</v>
      </c>
      <c r="B806" s="84">
        <v>476.39565306104407</v>
      </c>
      <c r="C806" s="84">
        <v>468.90928287273402</v>
      </c>
      <c r="D806" s="84">
        <v>476.31787259155516</v>
      </c>
      <c r="E806" s="85">
        <v>3920065.8211940136</v>
      </c>
      <c r="F806" s="83" t="s">
        <v>811</v>
      </c>
      <c r="G806" s="25">
        <f t="shared" si="25"/>
        <v>-1.320650731767059E-2</v>
      </c>
      <c r="I806" s="84">
        <v>101.28591577009861</v>
      </c>
      <c r="J806" s="84">
        <v>103.12118850628008</v>
      </c>
      <c r="K806" s="84">
        <v>101.21865446563125</v>
      </c>
      <c r="L806" s="84">
        <v>102.27561782154726</v>
      </c>
      <c r="M806" s="85">
        <v>6022762.9126110831</v>
      </c>
      <c r="N806" s="83" t="s">
        <v>811</v>
      </c>
      <c r="O806" s="25">
        <f t="shared" si="26"/>
        <v>-9.6768132281097596E-3</v>
      </c>
    </row>
    <row r="807" spans="1:15">
      <c r="A807" s="84">
        <v>473.54694336601176</v>
      </c>
      <c r="B807" s="84">
        <v>474.87893390600982</v>
      </c>
      <c r="C807" s="84">
        <v>471.485760924555</v>
      </c>
      <c r="D807" s="84">
        <v>474.25669015009834</v>
      </c>
      <c r="E807" s="85">
        <v>3343339.0375329666</v>
      </c>
      <c r="F807" s="83" t="s">
        <v>812</v>
      </c>
      <c r="G807" s="25">
        <f t="shared" si="25"/>
        <v>-1.4965456446422998E-3</v>
      </c>
      <c r="I807" s="84">
        <v>102.15070397039355</v>
      </c>
      <c r="J807" s="84">
        <v>102.28522657932832</v>
      </c>
      <c r="K807" s="84">
        <v>101.28591577009861</v>
      </c>
      <c r="L807" s="84">
        <v>101.49730844128182</v>
      </c>
      <c r="M807" s="85">
        <v>3773905.1005633003</v>
      </c>
      <c r="N807" s="83" t="s">
        <v>812</v>
      </c>
      <c r="O807" s="25">
        <f t="shared" si="26"/>
        <v>6.4375650856764999E-3</v>
      </c>
    </row>
    <row r="808" spans="1:15">
      <c r="A808" s="84">
        <v>474.92754669944043</v>
      </c>
      <c r="B808" s="84">
        <v>475.02477228630153</v>
      </c>
      <c r="C808" s="84">
        <v>472.85664169929748</v>
      </c>
      <c r="D808" s="84">
        <v>473.03164775564755</v>
      </c>
      <c r="E808" s="85">
        <v>2523590.8357164413</v>
      </c>
      <c r="F808" s="83" t="s">
        <v>813</v>
      </c>
      <c r="G808" s="25">
        <f t="shared" si="25"/>
        <v>4.0079748422503503E-3</v>
      </c>
      <c r="I808" s="84">
        <v>101.30513328566073</v>
      </c>
      <c r="J808" s="84">
        <v>101.78557117471348</v>
      </c>
      <c r="K808" s="84">
        <v>100.98804427888592</v>
      </c>
      <c r="L808" s="84">
        <v>101.08413185669647</v>
      </c>
      <c r="M808" s="85">
        <v>4948428.411188487</v>
      </c>
      <c r="N808" s="83" t="s">
        <v>813</v>
      </c>
      <c r="O808" s="25">
        <f t="shared" si="26"/>
        <v>2.1863117870721815E-3</v>
      </c>
    </row>
    <row r="809" spans="1:15">
      <c r="A809" s="84">
        <v>473.6538915115591</v>
      </c>
      <c r="B809" s="84">
        <v>475.05384273677305</v>
      </c>
      <c r="C809" s="84">
        <v>472.95386728615864</v>
      </c>
      <c r="D809" s="84">
        <v>473.27471172280048</v>
      </c>
      <c r="E809" s="85">
        <v>2673766.324200239</v>
      </c>
      <c r="F809" s="83" t="s">
        <v>814</v>
      </c>
      <c r="G809" s="25">
        <f t="shared" si="25"/>
        <v>8.0118328608413947E-4</v>
      </c>
      <c r="I809" s="84">
        <v>100.91117421663748</v>
      </c>
      <c r="J809" s="84">
        <v>101.29552452787968</v>
      </c>
      <c r="K809" s="84">
        <v>100.26738744530681</v>
      </c>
      <c r="L809" s="84">
        <v>100.32503999199314</v>
      </c>
      <c r="M809" s="85">
        <v>4592473.9706734363</v>
      </c>
      <c r="N809" s="83" t="s">
        <v>814</v>
      </c>
      <c r="O809" s="25">
        <f t="shared" si="26"/>
        <v>5.8423522651087634E-3</v>
      </c>
    </row>
    <row r="810" spans="1:15">
      <c r="A810" s="84">
        <v>473.18720869462544</v>
      </c>
      <c r="B810" s="84">
        <v>473.22609892936993</v>
      </c>
      <c r="C810" s="84">
        <v>471.2524195160882</v>
      </c>
      <c r="D810" s="84">
        <v>472.60385517345844</v>
      </c>
      <c r="E810" s="85">
        <v>3367462.3169671041</v>
      </c>
      <c r="F810" s="83" t="s">
        <v>815</v>
      </c>
      <c r="G810" s="25">
        <f t="shared" si="25"/>
        <v>1.2343393198790409E-3</v>
      </c>
      <c r="I810" s="84">
        <v>100.10403856302889</v>
      </c>
      <c r="J810" s="84">
        <v>100.67575965100164</v>
      </c>
      <c r="K810" s="84">
        <v>99.652426947319299</v>
      </c>
      <c r="L810" s="84">
        <v>100.59408520986267</v>
      </c>
      <c r="M810" s="85">
        <v>8847150.8947401159</v>
      </c>
      <c r="N810" s="83" t="s">
        <v>815</v>
      </c>
      <c r="O810" s="25">
        <f t="shared" si="26"/>
        <v>-4.871525456108361E-3</v>
      </c>
    </row>
    <row r="811" spans="1:15">
      <c r="A811" s="84">
        <v>472.48718446922504</v>
      </c>
      <c r="B811" s="84">
        <v>475.01504972761546</v>
      </c>
      <c r="C811" s="84">
        <v>472.3510686476194</v>
      </c>
      <c r="D811" s="84">
        <v>473.5372208073257</v>
      </c>
      <c r="E811" s="85">
        <v>3442901.3061960735</v>
      </c>
      <c r="F811" s="83" t="s">
        <v>816</v>
      </c>
      <c r="G811" s="25">
        <f t="shared" si="25"/>
        <v>-2.2174314752079205E-3</v>
      </c>
      <c r="I811" s="84">
        <v>100.16169110971521</v>
      </c>
      <c r="J811" s="84">
        <v>101.23787198119335</v>
      </c>
      <c r="K811" s="84">
        <v>100.07521228968572</v>
      </c>
      <c r="L811" s="84">
        <v>100.41151881202263</v>
      </c>
      <c r="M811" s="85">
        <v>9079003.9657367133</v>
      </c>
      <c r="N811" s="83" t="s">
        <v>816</v>
      </c>
      <c r="O811" s="25">
        <f t="shared" si="26"/>
        <v>-2.4880382775119836E-3</v>
      </c>
    </row>
    <row r="812" spans="1:15">
      <c r="A812" s="84">
        <v>473.39138242703388</v>
      </c>
      <c r="B812" s="84">
        <v>473.71222686367577</v>
      </c>
      <c r="C812" s="84">
        <v>469.3419367342662</v>
      </c>
      <c r="D812" s="84">
        <v>469.93015153477626</v>
      </c>
      <c r="E812" s="85">
        <v>4525027.9705507178</v>
      </c>
      <c r="F812" s="83" t="s">
        <v>817</v>
      </c>
      <c r="G812" s="25">
        <f t="shared" si="25"/>
        <v>7.3654156494393774E-3</v>
      </c>
      <c r="I812" s="84">
        <v>100.6229114877796</v>
      </c>
      <c r="J812" s="84">
        <v>101.22464318438428</v>
      </c>
      <c r="K812" s="84">
        <v>100.42233425557805</v>
      </c>
      <c r="L812" s="84">
        <v>100.75662964258063</v>
      </c>
      <c r="M812" s="85">
        <v>5955529.5328815738</v>
      </c>
      <c r="N812" s="83" t="s">
        <v>817</v>
      </c>
      <c r="O812" s="25">
        <f t="shared" si="26"/>
        <v>-1.3271400132713884E-3</v>
      </c>
    </row>
    <row r="813" spans="1:15">
      <c r="A813" s="84">
        <v>467.69396303696942</v>
      </c>
      <c r="B813" s="84">
        <v>468.11203306047247</v>
      </c>
      <c r="C813" s="84">
        <v>465.20498801332349</v>
      </c>
      <c r="D813" s="84">
        <v>465.69111594762933</v>
      </c>
      <c r="E813" s="85">
        <v>3350685.8689902038</v>
      </c>
      <c r="F813" s="83" t="s">
        <v>818</v>
      </c>
      <c r="G813" s="25">
        <f t="shared" si="25"/>
        <v>4.3008058791598192E-3</v>
      </c>
      <c r="I813" s="84">
        <v>100.9572068747822</v>
      </c>
      <c r="J813" s="84">
        <v>101.52073338430085</v>
      </c>
      <c r="K813" s="84">
        <v>100.90945039092469</v>
      </c>
      <c r="L813" s="84">
        <v>101.05271984249723</v>
      </c>
      <c r="M813" s="85">
        <v>3901256.64518935</v>
      </c>
      <c r="N813" s="83" t="s">
        <v>818</v>
      </c>
      <c r="O813" s="25">
        <f t="shared" si="26"/>
        <v>-9.4517958412099201E-4</v>
      </c>
    </row>
    <row r="814" spans="1:15">
      <c r="A814" s="84">
        <v>465.48694221522084</v>
      </c>
      <c r="B814" s="84">
        <v>467.09116439843012</v>
      </c>
      <c r="C814" s="84">
        <v>464.47579611186472</v>
      </c>
      <c r="D814" s="84">
        <v>467.02310648762733</v>
      </c>
      <c r="E814" s="85">
        <v>3197143.9827240268</v>
      </c>
      <c r="F814" s="83" t="s">
        <v>819</v>
      </c>
      <c r="G814" s="25">
        <f t="shared" si="25"/>
        <v>-3.2892682419070063E-3</v>
      </c>
      <c r="I814" s="84">
        <v>101.05271984249723</v>
      </c>
      <c r="J814" s="84">
        <v>102.977306141955</v>
      </c>
      <c r="K814" s="84">
        <v>100.93810428123921</v>
      </c>
      <c r="L814" s="84">
        <v>101.66400283587339</v>
      </c>
      <c r="M814" s="85">
        <v>6329501.7887387304</v>
      </c>
      <c r="N814" s="83" t="s">
        <v>819</v>
      </c>
      <c r="O814" s="25">
        <f t="shared" si="26"/>
        <v>-6.0127771514467687E-3</v>
      </c>
    </row>
    <row r="815" spans="1:15">
      <c r="A815" s="84">
        <v>465.45777453916247</v>
      </c>
      <c r="B815" s="84">
        <v>467.06199672237176</v>
      </c>
      <c r="C815" s="84">
        <v>464.33968029025903</v>
      </c>
      <c r="D815" s="84">
        <v>466.3814176143436</v>
      </c>
      <c r="E815" s="85">
        <v>3442672.9712410816</v>
      </c>
      <c r="F815" s="83" t="s">
        <v>820</v>
      </c>
      <c r="G815" s="25">
        <f t="shared" si="25"/>
        <v>-1.9804457045174972E-3</v>
      </c>
      <c r="I815" s="84">
        <v>101.54938727461536</v>
      </c>
      <c r="J815" s="84">
        <v>101.74996450681691</v>
      </c>
      <c r="K815" s="84">
        <v>100.80438612643816</v>
      </c>
      <c r="L815" s="84">
        <v>101.24374577792727</v>
      </c>
      <c r="M815" s="85">
        <v>5890354.0897043357</v>
      </c>
      <c r="N815" s="83" t="s">
        <v>820</v>
      </c>
      <c r="O815" s="25">
        <f t="shared" si="26"/>
        <v>3.0188679245282124E-3</v>
      </c>
    </row>
    <row r="816" spans="1:15">
      <c r="A816" s="84">
        <v>464.88414357668159</v>
      </c>
      <c r="B816" s="84">
        <v>464.88414357668159</v>
      </c>
      <c r="C816" s="84">
        <v>461.76320223843805</v>
      </c>
      <c r="D816" s="84">
        <v>462.3951685530356</v>
      </c>
      <c r="E816" s="85">
        <v>3585526.3131276411</v>
      </c>
      <c r="F816" s="83" t="s">
        <v>821</v>
      </c>
      <c r="G816" s="25">
        <f t="shared" si="25"/>
        <v>5.382787695283886E-3</v>
      </c>
      <c r="I816" s="84">
        <v>100.99541206186821</v>
      </c>
      <c r="J816" s="84">
        <v>101.01451465541122</v>
      </c>
      <c r="K816" s="84">
        <v>99.40989679779878</v>
      </c>
      <c r="L816" s="84">
        <v>99.438550688113295</v>
      </c>
      <c r="M816" s="85">
        <v>7550074.2700360529</v>
      </c>
      <c r="N816" s="83" t="s">
        <v>821</v>
      </c>
      <c r="O816" s="25">
        <f t="shared" si="26"/>
        <v>1.5656517145326898E-2</v>
      </c>
    </row>
    <row r="817" spans="1:15">
      <c r="A817" s="84">
        <v>462.22988505537165</v>
      </c>
      <c r="B817" s="84">
        <v>462.65767763756082</v>
      </c>
      <c r="C817" s="84">
        <v>460.3631537876372</v>
      </c>
      <c r="D817" s="84">
        <v>460.45065681581224</v>
      </c>
      <c r="E817" s="85">
        <v>3306617.2226767791</v>
      </c>
      <c r="F817" s="83" t="s">
        <v>822</v>
      </c>
      <c r="G817" s="25">
        <f t="shared" si="25"/>
        <v>3.8641018602589838E-3</v>
      </c>
      <c r="I817" s="84">
        <v>99.276178642997749</v>
      </c>
      <c r="J817" s="84">
        <v>99.419352581602567</v>
      </c>
      <c r="K817" s="84">
        <v>98.196882107817956</v>
      </c>
      <c r="L817" s="84">
        <v>98.607587868992567</v>
      </c>
      <c r="M817" s="85">
        <v>5421008.3969419515</v>
      </c>
      <c r="N817" s="83" t="s">
        <v>822</v>
      </c>
      <c r="O817" s="25">
        <f t="shared" si="26"/>
        <v>6.7803177063154862E-3</v>
      </c>
    </row>
    <row r="818" spans="1:15">
      <c r="A818" s="84">
        <v>462.21043993799941</v>
      </c>
      <c r="B818" s="84">
        <v>463.41603721507789</v>
      </c>
      <c r="C818" s="84">
        <v>461.53958338865732</v>
      </c>
      <c r="D818" s="84">
        <v>462.50211669858294</v>
      </c>
      <c r="E818" s="85">
        <v>3549787.7785280854</v>
      </c>
      <c r="F818" s="83" t="s">
        <v>823</v>
      </c>
      <c r="G818" s="25">
        <f t="shared" si="25"/>
        <v>-6.3064956905611869E-4</v>
      </c>
      <c r="I818" s="84">
        <v>98.598036572221062</v>
      </c>
      <c r="J818" s="84">
        <v>98.626690462535578</v>
      </c>
      <c r="K818" s="84">
        <v>97.537842630584279</v>
      </c>
      <c r="L818" s="84">
        <v>97.681112082156815</v>
      </c>
      <c r="M818" s="85">
        <v>7258947.3093183869</v>
      </c>
      <c r="N818" s="83" t="s">
        <v>823</v>
      </c>
      <c r="O818" s="25">
        <f t="shared" si="26"/>
        <v>9.386916984452931E-3</v>
      </c>
    </row>
    <row r="819" spans="1:15">
      <c r="A819" s="84">
        <v>461.5493059473435</v>
      </c>
      <c r="B819" s="84">
        <v>461.63680897551853</v>
      </c>
      <c r="C819" s="84">
        <v>458.72976392836955</v>
      </c>
      <c r="D819" s="84">
        <v>459.11866627581429</v>
      </c>
      <c r="E819" s="85">
        <v>4919015.8212457979</v>
      </c>
      <c r="F819" s="83" t="s">
        <v>824</v>
      </c>
      <c r="G819" s="25">
        <f t="shared" si="25"/>
        <v>5.2941425606707337E-3</v>
      </c>
      <c r="I819" s="84">
        <v>97.337265398382726</v>
      </c>
      <c r="J819" s="84">
        <v>97.470983553183757</v>
      </c>
      <c r="K819" s="84">
        <v>97.055502143623386</v>
      </c>
      <c r="L819" s="84">
        <v>97.222649837124692</v>
      </c>
      <c r="M819" s="85">
        <v>3568796.0300533748</v>
      </c>
      <c r="N819" s="83" t="s">
        <v>824</v>
      </c>
      <c r="O819" s="25">
        <f t="shared" si="26"/>
        <v>1.1788977306219639E-3</v>
      </c>
    </row>
    <row r="820" spans="1:15">
      <c r="A820" s="84">
        <v>456.94081313012407</v>
      </c>
      <c r="B820" s="84">
        <v>457.932514116108</v>
      </c>
      <c r="C820" s="84">
        <v>454.47138044943716</v>
      </c>
      <c r="D820" s="84">
        <v>456.72691683902946</v>
      </c>
      <c r="E820" s="85">
        <v>4717748.8437788272</v>
      </c>
      <c r="F820" s="83" t="s">
        <v>825</v>
      </c>
      <c r="G820" s="25">
        <f t="shared" si="25"/>
        <v>4.6832425068132899E-4</v>
      </c>
      <c r="I820" s="84">
        <v>96.850149263036101</v>
      </c>
      <c r="J820" s="84">
        <v>97.585599114441791</v>
      </c>
      <c r="K820" s="84">
        <v>96.152904598716404</v>
      </c>
      <c r="L820" s="84">
        <v>97.423227069326245</v>
      </c>
      <c r="M820" s="85">
        <v>13950848.056314539</v>
      </c>
      <c r="N820" s="83" t="s">
        <v>825</v>
      </c>
      <c r="O820" s="25">
        <f t="shared" si="26"/>
        <v>-5.8823529411763387E-3</v>
      </c>
    </row>
    <row r="821" spans="1:15">
      <c r="A821" s="84">
        <v>451.34061932692072</v>
      </c>
      <c r="B821" s="84">
        <v>452.05036611100724</v>
      </c>
      <c r="C821" s="84">
        <v>446.42100463174552</v>
      </c>
      <c r="D821" s="84">
        <v>450.50447927991462</v>
      </c>
      <c r="E821" s="85">
        <v>4085780.4290472553</v>
      </c>
      <c r="F821" s="83" t="s">
        <v>826</v>
      </c>
      <c r="G821" s="25">
        <f t="shared" si="25"/>
        <v>1.8560082872929318E-3</v>
      </c>
      <c r="I821" s="84">
        <v>97.318162804839716</v>
      </c>
      <c r="J821" s="84">
        <v>97.337265398382726</v>
      </c>
      <c r="K821" s="84">
        <v>96.487199985718988</v>
      </c>
      <c r="L821" s="84">
        <v>96.659123327606039</v>
      </c>
      <c r="M821" s="85">
        <v>6370250.1823140644</v>
      </c>
      <c r="N821" s="83" t="s">
        <v>826</v>
      </c>
      <c r="O821" s="25">
        <f t="shared" si="26"/>
        <v>6.8181818181818343E-3</v>
      </c>
    </row>
    <row r="822" spans="1:15">
      <c r="A822" s="84">
        <v>447.16964165057652</v>
      </c>
      <c r="B822" s="84">
        <v>454.111548552464</v>
      </c>
      <c r="C822" s="84">
        <v>446.6932362749568</v>
      </c>
      <c r="D822" s="84">
        <v>447.98633658021032</v>
      </c>
      <c r="E822" s="85">
        <v>6289884.3786176192</v>
      </c>
      <c r="F822" s="83" t="s">
        <v>827</v>
      </c>
      <c r="G822" s="25">
        <f t="shared" si="25"/>
        <v>-1.8230353538640776E-3</v>
      </c>
      <c r="I822" s="84">
        <v>96.67822592114905</v>
      </c>
      <c r="J822" s="84">
        <v>97.451880959640761</v>
      </c>
      <c r="K822" s="84">
        <v>96.601815546977022</v>
      </c>
      <c r="L822" s="84">
        <v>96.77373888886406</v>
      </c>
      <c r="M822" s="85">
        <v>10451524.268185399</v>
      </c>
      <c r="N822" s="83" t="s">
        <v>827</v>
      </c>
      <c r="O822" s="25">
        <f t="shared" si="26"/>
        <v>-9.8697196999586456E-4</v>
      </c>
    </row>
    <row r="823" spans="1:15">
      <c r="A823" s="84">
        <v>448.62802545349405</v>
      </c>
      <c r="B823" s="84">
        <v>455.34631350560085</v>
      </c>
      <c r="C823" s="84">
        <v>448.55996754269125</v>
      </c>
      <c r="D823" s="84">
        <v>454.45183810647814</v>
      </c>
      <c r="E823" s="85">
        <v>4489390.2324628253</v>
      </c>
      <c r="F823" s="83" t="s">
        <v>828</v>
      </c>
      <c r="G823" s="25">
        <f t="shared" si="25"/>
        <v>-1.2815027170424931E-2</v>
      </c>
      <c r="I823" s="84">
        <v>96.964764824294122</v>
      </c>
      <c r="J823" s="84">
        <v>98.206433404589447</v>
      </c>
      <c r="K823" s="84">
        <v>96.91700834043661</v>
      </c>
      <c r="L823" s="84">
        <v>97.747971159557338</v>
      </c>
      <c r="M823" s="85">
        <v>5676476.325368192</v>
      </c>
      <c r="N823" s="83" t="s">
        <v>828</v>
      </c>
      <c r="O823" s="25">
        <f t="shared" si="26"/>
        <v>-8.0125073285128856E-3</v>
      </c>
    </row>
    <row r="824" spans="1:15">
      <c r="A824" s="84">
        <v>455.83244143990669</v>
      </c>
      <c r="B824" s="84">
        <v>456.3963498437015</v>
      </c>
      <c r="C824" s="84">
        <v>453.27540850545796</v>
      </c>
      <c r="D824" s="84">
        <v>455.83244143990669</v>
      </c>
      <c r="E824" s="85">
        <v>3346037.9155595368</v>
      </c>
      <c r="F824" s="83" t="s">
        <v>829</v>
      </c>
      <c r="G824" s="25">
        <f t="shared" si="25"/>
        <v>0</v>
      </c>
      <c r="I824" s="84">
        <v>97.843484127272362</v>
      </c>
      <c r="J824" s="84">
        <v>98.005856172387908</v>
      </c>
      <c r="K824" s="84">
        <v>97.088931682323661</v>
      </c>
      <c r="L824" s="84">
        <v>97.279957617753709</v>
      </c>
      <c r="M824" s="85">
        <v>4680400.0618407503</v>
      </c>
      <c r="N824" s="83" t="s">
        <v>829</v>
      </c>
      <c r="O824" s="25">
        <f t="shared" si="26"/>
        <v>5.7928325969562877E-3</v>
      </c>
    </row>
    <row r="825" spans="1:15">
      <c r="A825" s="84">
        <v>454.24766437406964</v>
      </c>
      <c r="B825" s="84">
        <v>455.62826770749825</v>
      </c>
      <c r="C825" s="84">
        <v>451.91425028940159</v>
      </c>
      <c r="D825" s="84">
        <v>452.41982334107968</v>
      </c>
      <c r="E825" s="85">
        <v>5047141.558535384</v>
      </c>
      <c r="F825" s="83" t="s">
        <v>830</v>
      </c>
      <c r="G825" s="25">
        <f t="shared" si="25"/>
        <v>4.0401435540369235E-3</v>
      </c>
      <c r="I825" s="84">
        <v>96.859700559807592</v>
      </c>
      <c r="J825" s="84">
        <v>97.232201133896197</v>
      </c>
      <c r="K825" s="84">
        <v>95.789955321399319</v>
      </c>
      <c r="L825" s="84">
        <v>96.983867417837132</v>
      </c>
      <c r="M825" s="85">
        <v>4636352.639792758</v>
      </c>
      <c r="N825" s="83" t="s">
        <v>830</v>
      </c>
      <c r="O825" s="25">
        <f t="shared" si="26"/>
        <v>-1.2802836320662259E-3</v>
      </c>
    </row>
    <row r="826" spans="1:15">
      <c r="A826" s="84">
        <v>449.74611970239749</v>
      </c>
      <c r="B826" s="84">
        <v>450.60170486677578</v>
      </c>
      <c r="C826" s="84">
        <v>444.57371848138331</v>
      </c>
      <c r="D826" s="84">
        <v>446.04182484298695</v>
      </c>
      <c r="E826" s="85">
        <v>5015375.2293240195</v>
      </c>
      <c r="F826" s="83" t="s">
        <v>831</v>
      </c>
      <c r="G826" s="25">
        <f t="shared" si="25"/>
        <v>8.3048150489350991E-3</v>
      </c>
      <c r="I826" s="84">
        <v>97.146239462952664</v>
      </c>
      <c r="J826" s="84">
        <v>97.308611508068211</v>
      </c>
      <c r="K826" s="84">
        <v>96.07649422454439</v>
      </c>
      <c r="L826" s="84">
        <v>96.372584424460968</v>
      </c>
      <c r="M826" s="85">
        <v>6476666.0988451662</v>
      </c>
      <c r="N826" s="83" t="s">
        <v>831</v>
      </c>
      <c r="O826" s="25">
        <f t="shared" si="26"/>
        <v>8.0277502477699159E-3</v>
      </c>
    </row>
    <row r="827" spans="1:15">
      <c r="A827" s="84">
        <v>451.61285097013194</v>
      </c>
      <c r="B827" s="84">
        <v>453.37263409231912</v>
      </c>
      <c r="C827" s="84">
        <v>449.61000388079185</v>
      </c>
      <c r="D827" s="84">
        <v>452.65316474954648</v>
      </c>
      <c r="E827" s="85">
        <v>7907215.8350431286</v>
      </c>
      <c r="F827" s="83" t="s">
        <v>832</v>
      </c>
      <c r="G827" s="25">
        <f t="shared" si="25"/>
        <v>-2.2982580492729721E-3</v>
      </c>
      <c r="I827" s="84">
        <v>96.487199985718988</v>
      </c>
      <c r="J827" s="84">
        <v>97.318162804839716</v>
      </c>
      <c r="K827" s="84">
        <v>95.522519011797243</v>
      </c>
      <c r="L827" s="84">
        <v>97.155790759724169</v>
      </c>
      <c r="M827" s="85">
        <v>8084824.6942129051</v>
      </c>
      <c r="N827" s="83" t="s">
        <v>832</v>
      </c>
      <c r="O827" s="25">
        <f t="shared" si="26"/>
        <v>-6.8816358631538233E-3</v>
      </c>
    </row>
    <row r="828" spans="1:15">
      <c r="A828" s="84">
        <v>451.9434179654599</v>
      </c>
      <c r="B828" s="84">
        <v>452.22537216735731</v>
      </c>
      <c r="C828" s="84">
        <v>447.88911099334916</v>
      </c>
      <c r="D828" s="84">
        <v>448.38496148634113</v>
      </c>
      <c r="E828" s="85">
        <v>4378888.4566767756</v>
      </c>
      <c r="F828" s="83" t="s">
        <v>833</v>
      </c>
      <c r="G828" s="25">
        <f t="shared" si="25"/>
        <v>7.9361637538488683E-3</v>
      </c>
      <c r="I828" s="84">
        <v>96.831046669493077</v>
      </c>
      <c r="J828" s="84">
        <v>99.228422159140237</v>
      </c>
      <c r="K828" s="84">
        <v>95.398352153767703</v>
      </c>
      <c r="L828" s="84">
        <v>96.468097392175991</v>
      </c>
      <c r="M828" s="85">
        <v>8970670.8994365074</v>
      </c>
      <c r="N828" s="83" t="s">
        <v>833</v>
      </c>
      <c r="O828" s="25">
        <f t="shared" si="26"/>
        <v>3.7623762376235437E-3</v>
      </c>
    </row>
    <row r="829" spans="1:15">
      <c r="A829" s="84">
        <v>446.31405648619824</v>
      </c>
      <c r="B829" s="84">
        <v>448.91960498849068</v>
      </c>
      <c r="C829" s="84">
        <v>442.71670977233498</v>
      </c>
      <c r="D829" s="84">
        <v>444.85567268328072</v>
      </c>
      <c r="E829" s="85">
        <v>5984111.9892727183</v>
      </c>
      <c r="F829" s="83" t="s">
        <v>834</v>
      </c>
      <c r="G829" s="25">
        <f t="shared" si="25"/>
        <v>3.2783302371324208E-3</v>
      </c>
      <c r="I829" s="84">
        <v>97.002970011380128</v>
      </c>
      <c r="J829" s="84">
        <v>97.662009488613805</v>
      </c>
      <c r="K829" s="84">
        <v>96.816719724335826</v>
      </c>
      <c r="L829" s="84">
        <v>97.423227069326245</v>
      </c>
      <c r="M829" s="85">
        <v>7950807.2900192514</v>
      </c>
      <c r="N829" s="83" t="s">
        <v>834</v>
      </c>
      <c r="O829" s="25">
        <f t="shared" si="26"/>
        <v>-4.3137254901961519E-3</v>
      </c>
    </row>
    <row r="830" spans="1:15">
      <c r="A830" s="84">
        <v>442.47364580518206</v>
      </c>
      <c r="B830" s="84">
        <v>447.17936420926264</v>
      </c>
      <c r="C830" s="84">
        <v>441.30693876284801</v>
      </c>
      <c r="D830" s="84">
        <v>446.25572113408151</v>
      </c>
      <c r="E830" s="85">
        <v>10066747.155741753</v>
      </c>
      <c r="F830" s="83" t="s">
        <v>835</v>
      </c>
      <c r="G830" s="25">
        <f t="shared" si="25"/>
        <v>-8.4751301771279763E-3</v>
      </c>
      <c r="I830" s="84">
        <v>97.002970011380128</v>
      </c>
      <c r="J830" s="84">
        <v>97.671560785385324</v>
      </c>
      <c r="K830" s="84">
        <v>96.496751282490493</v>
      </c>
      <c r="L830" s="84">
        <v>96.974316121065627</v>
      </c>
      <c r="M830" s="85">
        <v>10814016.407507265</v>
      </c>
      <c r="N830" s="83" t="s">
        <v>835</v>
      </c>
      <c r="O830" s="25">
        <f t="shared" si="26"/>
        <v>2.9547916871863755E-4</v>
      </c>
    </row>
    <row r="831" spans="1:15">
      <c r="A831" s="84">
        <v>446.20710834065096</v>
      </c>
      <c r="B831" s="84">
        <v>450.44614392779795</v>
      </c>
      <c r="C831" s="84">
        <v>445.49736155656439</v>
      </c>
      <c r="D831" s="84">
        <v>448.55996754269125</v>
      </c>
      <c r="E831" s="85">
        <v>5798150.6535410332</v>
      </c>
      <c r="F831" s="83" t="s">
        <v>836</v>
      </c>
      <c r="G831" s="25">
        <f t="shared" si="25"/>
        <v>-5.245361539795379E-3</v>
      </c>
      <c r="I831" s="84">
        <v>96.191109785802411</v>
      </c>
      <c r="J831" s="84">
        <v>97.327714101611221</v>
      </c>
      <c r="K831" s="84">
        <v>96.000083850372363</v>
      </c>
      <c r="L831" s="84">
        <v>96.009635147143868</v>
      </c>
      <c r="M831" s="85">
        <v>4437683.2815479627</v>
      </c>
      <c r="N831" s="83" t="s">
        <v>836</v>
      </c>
      <c r="O831" s="25">
        <f t="shared" si="26"/>
        <v>1.8901711102268237E-3</v>
      </c>
    </row>
    <row r="832" spans="1:15">
      <c r="A832" s="84">
        <v>447.22797700269325</v>
      </c>
      <c r="B832" s="84">
        <v>452.33232031290464</v>
      </c>
      <c r="C832" s="84">
        <v>446.00293460824253</v>
      </c>
      <c r="D832" s="84">
        <v>452.20592704998512</v>
      </c>
      <c r="E832" s="85">
        <v>7360437.957776011</v>
      </c>
      <c r="F832" s="83" t="s">
        <v>837</v>
      </c>
      <c r="G832" s="25">
        <f t="shared" si="25"/>
        <v>-1.1008148610006208E-2</v>
      </c>
      <c r="I832" s="84">
        <v>96.229314972888432</v>
      </c>
      <c r="J832" s="84">
        <v>97.222649837124692</v>
      </c>
      <c r="K832" s="84">
        <v>95.656237166598274</v>
      </c>
      <c r="L832" s="84">
        <v>96.716431108235057</v>
      </c>
      <c r="M832" s="85">
        <v>5630201.9805777855</v>
      </c>
      <c r="N832" s="83" t="s">
        <v>837</v>
      </c>
      <c r="O832" s="25">
        <f t="shared" si="26"/>
        <v>-5.0365396010270125E-3</v>
      </c>
    </row>
    <row r="833" spans="1:15">
      <c r="A833" s="84">
        <v>449.94057087611981</v>
      </c>
      <c r="B833" s="84">
        <v>452.59482939742975</v>
      </c>
      <c r="C833" s="84">
        <v>448.78358639247193</v>
      </c>
      <c r="D833" s="84">
        <v>451.17533582925671</v>
      </c>
      <c r="E833" s="85">
        <v>6954361.7254321957</v>
      </c>
      <c r="F833" s="83" t="s">
        <v>838</v>
      </c>
      <c r="G833" s="25">
        <f t="shared" si="25"/>
        <v>-2.736774054520108E-3</v>
      </c>
      <c r="I833" s="84">
        <v>96.31527664383195</v>
      </c>
      <c r="J833" s="84">
        <v>96.77373888886406</v>
      </c>
      <c r="K833" s="84">
        <v>95.732647540770301</v>
      </c>
      <c r="L833" s="84">
        <v>95.751750134313298</v>
      </c>
      <c r="M833" s="85">
        <v>7421607.9445355246</v>
      </c>
      <c r="N833" s="83" t="s">
        <v>838</v>
      </c>
      <c r="O833" s="25">
        <f t="shared" si="26"/>
        <v>5.8852867830423428E-3</v>
      </c>
    </row>
    <row r="834" spans="1:15">
      <c r="A834" s="84">
        <v>450.7475432470676</v>
      </c>
      <c r="B834" s="84">
        <v>460.45065681581224</v>
      </c>
      <c r="C834" s="84">
        <v>450.00862878692271</v>
      </c>
      <c r="D834" s="84">
        <v>460.33398611157889</v>
      </c>
      <c r="E834" s="85">
        <v>9801991.7468928844</v>
      </c>
      <c r="F834" s="83" t="s">
        <v>839</v>
      </c>
      <c r="G834" s="25">
        <f t="shared" si="25"/>
        <v>-2.0824973071155495E-2</v>
      </c>
      <c r="I834" s="84">
        <v>95.532070308568734</v>
      </c>
      <c r="J834" s="84">
        <v>97.251303727439193</v>
      </c>
      <c r="K834" s="84">
        <v>95.417454747310714</v>
      </c>
      <c r="L834" s="84">
        <v>97.002970011380128</v>
      </c>
      <c r="M834" s="85">
        <v>10089343.081404435</v>
      </c>
      <c r="N834" s="83" t="s">
        <v>839</v>
      </c>
      <c r="O834" s="25">
        <f t="shared" si="26"/>
        <v>-1.5163450177235083E-2</v>
      </c>
    </row>
    <row r="835" spans="1:15">
      <c r="A835" s="84">
        <v>456.54218822399326</v>
      </c>
      <c r="B835" s="84">
        <v>460.89789451537365</v>
      </c>
      <c r="C835" s="84">
        <v>454.92824348209786</v>
      </c>
      <c r="D835" s="84">
        <v>459.65340700355068</v>
      </c>
      <c r="E835" s="85">
        <v>7158324.4953182368</v>
      </c>
      <c r="F835" s="83" t="s">
        <v>840</v>
      </c>
      <c r="G835" s="25">
        <f t="shared" si="25"/>
        <v>-6.7686189902066429E-3</v>
      </c>
      <c r="I835" s="84">
        <v>95.608480682740748</v>
      </c>
      <c r="J835" s="84">
        <v>97.757522456328829</v>
      </c>
      <c r="K835" s="84">
        <v>95.006748986136088</v>
      </c>
      <c r="L835" s="84">
        <v>97.151015111338424</v>
      </c>
      <c r="M835" s="85">
        <v>7671548.8747684397</v>
      </c>
      <c r="N835" s="83" t="s">
        <v>840</v>
      </c>
      <c r="O835" s="25">
        <f t="shared" si="26"/>
        <v>-1.5877697488079545E-2</v>
      </c>
    </row>
    <row r="836" spans="1:15">
      <c r="A836" s="84">
        <v>462.85212881128314</v>
      </c>
      <c r="B836" s="84">
        <v>464.1841193512812</v>
      </c>
      <c r="C836" s="84">
        <v>457.61166967946616</v>
      </c>
      <c r="D836" s="84">
        <v>460.82983660457086</v>
      </c>
      <c r="E836" s="85">
        <v>5255716.2830979265</v>
      </c>
      <c r="F836" s="83" t="s">
        <v>841</v>
      </c>
      <c r="G836" s="25">
        <f t="shared" si="25"/>
        <v>4.3883708173340086E-3</v>
      </c>
      <c r="I836" s="84">
        <v>96.257968863202933</v>
      </c>
      <c r="J836" s="84">
        <v>97.012521308151634</v>
      </c>
      <c r="K836" s="84">
        <v>95.312390482824185</v>
      </c>
      <c r="L836" s="84">
        <v>96.802392779178575</v>
      </c>
      <c r="M836" s="85">
        <v>7104846.7682911763</v>
      </c>
      <c r="N836" s="83" t="s">
        <v>841</v>
      </c>
      <c r="O836" s="25">
        <f t="shared" si="26"/>
        <v>-5.6240749876664831E-3</v>
      </c>
    </row>
    <row r="837" spans="1:15">
      <c r="A837" s="84">
        <v>459.53673629931723</v>
      </c>
      <c r="B837" s="84">
        <v>461.22846151070161</v>
      </c>
      <c r="C837" s="84">
        <v>457.61166967946616</v>
      </c>
      <c r="D837" s="84">
        <v>458.81726695654464</v>
      </c>
      <c r="E837" s="85">
        <v>7131238.0041483715</v>
      </c>
      <c r="F837" s="83" t="s">
        <v>842</v>
      </c>
      <c r="G837" s="25">
        <f t="shared" si="25"/>
        <v>1.5680956114512146E-3</v>
      </c>
      <c r="I837" s="84">
        <v>96.81194407595008</v>
      </c>
      <c r="J837" s="84">
        <v>97.19399594681019</v>
      </c>
      <c r="K837" s="84">
        <v>95.732647540770301</v>
      </c>
      <c r="L837" s="84">
        <v>96.391687018003964</v>
      </c>
      <c r="M837" s="85">
        <v>5792797.7031432875</v>
      </c>
      <c r="N837" s="83" t="s">
        <v>842</v>
      </c>
      <c r="O837" s="25">
        <f t="shared" si="26"/>
        <v>4.3598890210068131E-3</v>
      </c>
    </row>
    <row r="838" spans="1:15">
      <c r="A838" s="84">
        <v>464.02855841230325</v>
      </c>
      <c r="B838" s="84">
        <v>465.32165871755689</v>
      </c>
      <c r="C838" s="84">
        <v>459.62423932749232</v>
      </c>
      <c r="D838" s="84">
        <v>465.10776242646227</v>
      </c>
      <c r="E838" s="85">
        <v>5404123.7184842881</v>
      </c>
      <c r="F838" s="83" t="s">
        <v>843</v>
      </c>
      <c r="G838" s="25">
        <f t="shared" si="25"/>
        <v>-2.3203311175217234E-3</v>
      </c>
      <c r="I838" s="84">
        <v>97.041175198466135</v>
      </c>
      <c r="J838" s="84">
        <v>97.079380385552156</v>
      </c>
      <c r="K838" s="84">
        <v>95.789955321399319</v>
      </c>
      <c r="L838" s="84">
        <v>96.5349564695765</v>
      </c>
      <c r="M838" s="85">
        <v>13510242.963553092</v>
      </c>
      <c r="N838" s="83" t="s">
        <v>843</v>
      </c>
      <c r="O838" s="25">
        <f t="shared" si="26"/>
        <v>5.2438903730087638E-3</v>
      </c>
    </row>
    <row r="839" spans="1:15">
      <c r="A839" s="84">
        <v>463.45492744982243</v>
      </c>
      <c r="B839" s="84">
        <v>464.80636310719262</v>
      </c>
      <c r="C839" s="84">
        <v>462.7646257831081</v>
      </c>
      <c r="D839" s="84">
        <v>463.91188770806986</v>
      </c>
      <c r="E839" s="85">
        <v>4871945.9073708141</v>
      </c>
      <c r="F839" s="83" t="s">
        <v>844</v>
      </c>
      <c r="G839" s="25">
        <f t="shared" si="25"/>
        <v>-9.850151943830987E-4</v>
      </c>
      <c r="I839" s="84">
        <v>97.308611508068211</v>
      </c>
      <c r="J839" s="84">
        <v>97.671560785385324</v>
      </c>
      <c r="K839" s="84">
        <v>96.725982405006562</v>
      </c>
      <c r="L839" s="84">
        <v>97.127136869409668</v>
      </c>
      <c r="M839" s="85">
        <v>10366482.412672808</v>
      </c>
      <c r="N839" s="83" t="s">
        <v>844</v>
      </c>
      <c r="O839" s="25">
        <f t="shared" si="26"/>
        <v>1.8684236404757915E-3</v>
      </c>
    </row>
    <row r="840" spans="1:15">
      <c r="A840" s="84">
        <v>463.27019883478619</v>
      </c>
      <c r="B840" s="84">
        <v>465.05914963303167</v>
      </c>
      <c r="C840" s="84">
        <v>459.31311744953661</v>
      </c>
      <c r="D840" s="84">
        <v>459.73118747303965</v>
      </c>
      <c r="E840" s="85">
        <v>5747622.8021945069</v>
      </c>
      <c r="F840" s="83" t="s">
        <v>845</v>
      </c>
      <c r="G840" s="25">
        <f t="shared" si="25"/>
        <v>7.6980014803849084E-3</v>
      </c>
      <c r="I840" s="84">
        <v>97.127136869409668</v>
      </c>
      <c r="J840" s="84">
        <v>97.184444650038685</v>
      </c>
      <c r="K840" s="84">
        <v>94.987646392593092</v>
      </c>
      <c r="L840" s="84">
        <v>94.987646392593092</v>
      </c>
      <c r="M840" s="85">
        <v>10696495.192655157</v>
      </c>
      <c r="N840" s="83" t="s">
        <v>845</v>
      </c>
      <c r="O840" s="25">
        <f t="shared" si="26"/>
        <v>2.2523881347410679E-2</v>
      </c>
    </row>
    <row r="841" spans="1:15">
      <c r="A841" s="84">
        <v>458.39919693304159</v>
      </c>
      <c r="B841" s="84">
        <v>468.12175561915853</v>
      </c>
      <c r="C841" s="84">
        <v>458.1950232006331</v>
      </c>
      <c r="D841" s="84">
        <v>467.84952397594725</v>
      </c>
      <c r="E841" s="85">
        <v>7067265.1323889922</v>
      </c>
      <c r="F841" s="83" t="s">
        <v>846</v>
      </c>
      <c r="G841" s="25">
        <f t="shared" si="25"/>
        <v>-2.0199501246882745E-2</v>
      </c>
      <c r="I841" s="84">
        <v>94.853928237792061</v>
      </c>
      <c r="J841" s="84">
        <v>94.877806479720803</v>
      </c>
      <c r="K841" s="84">
        <v>93.507195393010193</v>
      </c>
      <c r="L841" s="84">
        <v>93.870144670327292</v>
      </c>
      <c r="M841" s="85">
        <v>14001405.589134663</v>
      </c>
      <c r="N841" s="83" t="s">
        <v>846</v>
      </c>
      <c r="O841" s="25">
        <f t="shared" si="26"/>
        <v>1.0480260480260517E-2</v>
      </c>
    </row>
    <row r="842" spans="1:15">
      <c r="A842" s="84">
        <v>464.11606144047835</v>
      </c>
      <c r="B842" s="84">
        <v>465.51805440301644</v>
      </c>
      <c r="C842" s="84">
        <v>462.58961972675803</v>
      </c>
      <c r="D842" s="84">
        <v>462.63823252018858</v>
      </c>
      <c r="E842" s="85">
        <v>6402442.197534428</v>
      </c>
      <c r="F842" s="83" t="s">
        <v>847</v>
      </c>
      <c r="G842" s="25">
        <f t="shared" si="25"/>
        <v>3.194351042367094E-3</v>
      </c>
      <c r="I842" s="84">
        <v>93.172900006007595</v>
      </c>
      <c r="J842" s="84">
        <v>93.660016141354234</v>
      </c>
      <c r="K842" s="84">
        <v>92.676232573889465</v>
      </c>
      <c r="L842" s="84">
        <v>92.905463696405519</v>
      </c>
      <c r="M842" s="85">
        <v>14710360.630737329</v>
      </c>
      <c r="N842" s="83" t="s">
        <v>847</v>
      </c>
      <c r="O842" s="25">
        <f t="shared" si="26"/>
        <v>2.8785853808985795E-3</v>
      </c>
    </row>
    <row r="843" spans="1:15">
      <c r="A843" s="84">
        <v>463.69799141697536</v>
      </c>
      <c r="B843" s="84">
        <v>463.75632676909203</v>
      </c>
      <c r="C843" s="84">
        <v>461.53958338865732</v>
      </c>
      <c r="D843" s="84">
        <v>463.1146378958083</v>
      </c>
      <c r="E843" s="85">
        <v>4955302.5654445011</v>
      </c>
      <c r="F843" s="83" t="s">
        <v>848</v>
      </c>
      <c r="G843" s="25">
        <f t="shared" si="25"/>
        <v>1.259630928138078E-3</v>
      </c>
      <c r="I843" s="84">
        <v>94.128029683157862</v>
      </c>
      <c r="J843" s="84">
        <v>94.271299134730398</v>
      </c>
      <c r="K843" s="84">
        <v>93.199261585096949</v>
      </c>
      <c r="L843" s="84">
        <v>93.373477238209162</v>
      </c>
      <c r="M843" s="85">
        <v>7077125.925107874</v>
      </c>
      <c r="N843" s="83" t="s">
        <v>848</v>
      </c>
      <c r="O843" s="25">
        <f t="shared" si="26"/>
        <v>8.0810147299508195E-3</v>
      </c>
    </row>
    <row r="844" spans="1:15">
      <c r="A844" s="84">
        <v>466.75087484441605</v>
      </c>
      <c r="B844" s="84">
        <v>468.58843843609213</v>
      </c>
      <c r="C844" s="84">
        <v>465.54527756733751</v>
      </c>
      <c r="D844" s="84">
        <v>468.08286538441405</v>
      </c>
      <c r="E844" s="85">
        <v>5897583.3266891455</v>
      </c>
      <c r="F844" s="83" t="s">
        <v>849</v>
      </c>
      <c r="G844" s="25">
        <f t="shared" si="25"/>
        <v>-2.8456297773346018E-3</v>
      </c>
      <c r="I844" s="84">
        <v>93.373477238209162</v>
      </c>
      <c r="J844" s="84">
        <v>93.760304757455017</v>
      </c>
      <c r="K844" s="84">
        <v>92.781296838375994</v>
      </c>
      <c r="L844" s="84">
        <v>93.086938335064076</v>
      </c>
      <c r="M844" s="85">
        <v>9950954.5430078767</v>
      </c>
      <c r="N844" s="83" t="s">
        <v>849</v>
      </c>
      <c r="O844" s="25">
        <f t="shared" si="26"/>
        <v>3.0781859224298103E-3</v>
      </c>
    </row>
    <row r="845" spans="1:15">
      <c r="A845" s="84">
        <v>467.36339604164141</v>
      </c>
      <c r="B845" s="84">
        <v>468.78269515864076</v>
      </c>
      <c r="C845" s="84">
        <v>467.17225053787234</v>
      </c>
      <c r="D845" s="84">
        <v>467.52867953930541</v>
      </c>
      <c r="E845" s="85">
        <v>4181016.6759955171</v>
      </c>
      <c r="F845" s="83" t="s">
        <v>850</v>
      </c>
      <c r="G845" s="25">
        <f t="shared" si="25"/>
        <v>-3.5352590097115222E-4</v>
      </c>
      <c r="I845" s="84">
        <v>93.153797412464598</v>
      </c>
      <c r="J845" s="84">
        <v>93.67911873489723</v>
      </c>
      <c r="K845" s="84">
        <v>93.096489631835581</v>
      </c>
      <c r="L845" s="84">
        <v>93.30661816080864</v>
      </c>
      <c r="M845" s="85">
        <v>11203694.384125562</v>
      </c>
      <c r="N845" s="83" t="s">
        <v>850</v>
      </c>
      <c r="O845" s="25">
        <f t="shared" si="26"/>
        <v>-1.6378339645818363E-3</v>
      </c>
    </row>
    <row r="846" spans="1:15">
      <c r="A846" s="84">
        <v>467.42173139375808</v>
      </c>
      <c r="B846" s="84">
        <v>467.52867953930541</v>
      </c>
      <c r="C846" s="84">
        <v>464.20356446865338</v>
      </c>
      <c r="D846" s="84">
        <v>466.20641155799348</v>
      </c>
      <c r="E846" s="85">
        <v>5092722.1525237542</v>
      </c>
      <c r="F846" s="83" t="s">
        <v>851</v>
      </c>
      <c r="G846" s="25">
        <f t="shared" si="25"/>
        <v>2.6068278033826164E-3</v>
      </c>
      <c r="I846" s="84">
        <v>93.077387038292585</v>
      </c>
      <c r="J846" s="84">
        <v>93.125143522150083</v>
      </c>
      <c r="K846" s="84">
        <v>92.009743085174023</v>
      </c>
      <c r="L846" s="84">
        <v>92.103154767599321</v>
      </c>
      <c r="M846" s="85">
        <v>7609279.8432192886</v>
      </c>
      <c r="N846" s="83" t="s">
        <v>851</v>
      </c>
      <c r="O846" s="25">
        <f t="shared" si="26"/>
        <v>1.057762107228033E-2</v>
      </c>
    </row>
    <row r="847" spans="1:15">
      <c r="A847" s="84">
        <v>463.37714698033346</v>
      </c>
      <c r="B847" s="84">
        <v>466.07029573638783</v>
      </c>
      <c r="C847" s="84">
        <v>463.21186348266946</v>
      </c>
      <c r="D847" s="84">
        <v>465.76889641711824</v>
      </c>
      <c r="E847" s="85">
        <v>8303886.1071914462</v>
      </c>
      <c r="F847" s="83" t="s">
        <v>852</v>
      </c>
      <c r="G847" s="25">
        <f t="shared" si="25"/>
        <v>-5.1350561516303461E-3</v>
      </c>
      <c r="I847" s="84">
        <v>91.749756787053727</v>
      </c>
      <c r="J847" s="84">
        <v>92.212994680471596</v>
      </c>
      <c r="K847" s="84">
        <v>91.289957360473579</v>
      </c>
      <c r="L847" s="84">
        <v>91.339051025879101</v>
      </c>
      <c r="M847" s="85">
        <v>5731675.1127802869</v>
      </c>
      <c r="N847" s="83" t="s">
        <v>852</v>
      </c>
      <c r="O847" s="25">
        <f t="shared" si="26"/>
        <v>4.4964969151941592E-3</v>
      </c>
    </row>
    <row r="848" spans="1:15">
      <c r="A848" s="84">
        <v>464.67996984427316</v>
      </c>
      <c r="B848" s="84">
        <v>465.50638733259308</v>
      </c>
      <c r="C848" s="84">
        <v>464.3007900555146</v>
      </c>
      <c r="D848" s="84">
        <v>464.47579611186472</v>
      </c>
      <c r="E848" s="85">
        <v>6254811.3067022068</v>
      </c>
      <c r="F848" s="83" t="s">
        <v>853</v>
      </c>
      <c r="G848" s="25">
        <f t="shared" si="25"/>
        <v>4.3957884160494842E-4</v>
      </c>
      <c r="I848" s="84">
        <v>91.339051025879101</v>
      </c>
      <c r="J848" s="84">
        <v>91.921680128940764</v>
      </c>
      <c r="K848" s="84">
        <v>90.990428693719267</v>
      </c>
      <c r="L848" s="84">
        <v>91.415461400051129</v>
      </c>
      <c r="M848" s="85">
        <v>5475109.9511457486</v>
      </c>
      <c r="N848" s="83" t="s">
        <v>853</v>
      </c>
      <c r="O848" s="25">
        <f t="shared" si="26"/>
        <v>-8.3585832201449328E-4</v>
      </c>
    </row>
    <row r="849" spans="1:15">
      <c r="A849" s="84">
        <v>465.88556712135164</v>
      </c>
      <c r="B849" s="84">
        <v>466.99393881156897</v>
      </c>
      <c r="C849" s="84">
        <v>465.53555500865144</v>
      </c>
      <c r="D849" s="84">
        <v>466.55642367069373</v>
      </c>
      <c r="E849" s="85">
        <v>6049336.5891412199</v>
      </c>
      <c r="F849" s="83" t="s">
        <v>854</v>
      </c>
      <c r="G849" s="25">
        <f t="shared" si="25"/>
        <v>-1.4378894283868515E-3</v>
      </c>
      <c r="I849" s="84">
        <v>91.253089354935597</v>
      </c>
      <c r="J849" s="84">
        <v>91.525301312923403</v>
      </c>
      <c r="K849" s="84">
        <v>89.963664290782731</v>
      </c>
      <c r="L849" s="84">
        <v>89.963664290782731</v>
      </c>
      <c r="M849" s="85">
        <v>7121542.9304788904</v>
      </c>
      <c r="N849" s="83" t="s">
        <v>854</v>
      </c>
      <c r="O849" s="25">
        <f t="shared" si="26"/>
        <v>1.4332731712496161E-2</v>
      </c>
    </row>
    <row r="850" spans="1:15">
      <c r="A850" s="84">
        <v>466.49526878835638</v>
      </c>
      <c r="B850" s="84">
        <v>468.32209663018881</v>
      </c>
      <c r="C850" s="84">
        <v>466.35958926694701</v>
      </c>
      <c r="D850" s="84">
        <v>467.72607587542649</v>
      </c>
      <c r="E850" s="85">
        <v>5205319.0685234424</v>
      </c>
      <c r="F850" s="83" t="s">
        <v>855</v>
      </c>
      <c r="G850" s="25">
        <f t="shared" si="25"/>
        <v>-2.6314698934979397E-3</v>
      </c>
      <c r="I850" s="84">
        <v>90.030523368183253</v>
      </c>
      <c r="J850" s="84">
        <v>91.207243130432374</v>
      </c>
      <c r="K850" s="84">
        <v>89.858600026296202</v>
      </c>
      <c r="L850" s="84">
        <v>90.737319329274442</v>
      </c>
      <c r="M850" s="85">
        <v>6781796.3936859071</v>
      </c>
      <c r="N850" s="83" t="s">
        <v>855</v>
      </c>
      <c r="O850" s="25">
        <f t="shared" si="26"/>
        <v>-7.7894736842104573E-3</v>
      </c>
    </row>
    <row r="851" spans="1:15">
      <c r="A851" s="84">
        <v>464.94464568653569</v>
      </c>
      <c r="B851" s="84">
        <v>465.20631333496794</v>
      </c>
      <c r="C851" s="84">
        <v>460.27339359230103</v>
      </c>
      <c r="D851" s="84">
        <v>460.86456864987014</v>
      </c>
      <c r="E851" s="85">
        <v>6376126.8540313253</v>
      </c>
      <c r="F851" s="83" t="s">
        <v>856</v>
      </c>
      <c r="G851" s="25">
        <f t="shared" si="25"/>
        <v>8.8530933254824529E-3</v>
      </c>
      <c r="I851" s="84">
        <v>90.594049877701906</v>
      </c>
      <c r="J851" s="84">
        <v>91.229211113006826</v>
      </c>
      <c r="K851" s="84">
        <v>90.106933742355281</v>
      </c>
      <c r="L851" s="84">
        <v>90.737319329274442</v>
      </c>
      <c r="M851" s="85">
        <v>8223178.6823271401</v>
      </c>
      <c r="N851" s="83" t="s">
        <v>856</v>
      </c>
      <c r="O851" s="25">
        <f t="shared" si="26"/>
        <v>-1.5789473684210131E-3</v>
      </c>
    </row>
    <row r="852" spans="1:15">
      <c r="A852" s="84">
        <v>460.92271701618841</v>
      </c>
      <c r="B852" s="84">
        <v>461.05839653759773</v>
      </c>
      <c r="C852" s="84">
        <v>456.74572603565906</v>
      </c>
      <c r="D852" s="84">
        <v>457.6276429248195</v>
      </c>
      <c r="E852" s="85">
        <v>4695142.740651668</v>
      </c>
      <c r="F852" s="83" t="s">
        <v>857</v>
      </c>
      <c r="G852" s="25">
        <f t="shared" si="25"/>
        <v>7.2003388394747958E-3</v>
      </c>
      <c r="I852" s="84">
        <v>90.603601174473411</v>
      </c>
      <c r="J852" s="84">
        <v>91.109819903363046</v>
      </c>
      <c r="K852" s="84">
        <v>89.808455718245824</v>
      </c>
      <c r="L852" s="84">
        <v>90.21199800684181</v>
      </c>
      <c r="M852" s="85">
        <v>8374525.6705510849</v>
      </c>
      <c r="N852" s="83" t="s">
        <v>857</v>
      </c>
      <c r="O852" s="25">
        <f t="shared" si="26"/>
        <v>4.3409211222869004E-3</v>
      </c>
    </row>
    <row r="853" spans="1:15">
      <c r="A853" s="84">
        <v>458.35449750379792</v>
      </c>
      <c r="B853" s="84">
        <v>460.6116232563856</v>
      </c>
      <c r="C853" s="84">
        <v>457.91838475641089</v>
      </c>
      <c r="D853" s="84">
        <v>459.32363694243583</v>
      </c>
      <c r="E853" s="85">
        <v>4064538.9537921203</v>
      </c>
      <c r="F853" s="83" t="s">
        <v>858</v>
      </c>
      <c r="G853" s="25">
        <f t="shared" si="25"/>
        <v>-2.1099272075113529E-3</v>
      </c>
      <c r="I853" s="84">
        <v>89.266419626463048</v>
      </c>
      <c r="J853" s="84">
        <v>89.705683764984457</v>
      </c>
      <c r="K853" s="84">
        <v>88.206225684826251</v>
      </c>
      <c r="L853" s="84">
        <v>88.674239226629894</v>
      </c>
      <c r="M853" s="85">
        <v>7407741.764563486</v>
      </c>
      <c r="N853" s="83" t="s">
        <v>858</v>
      </c>
      <c r="O853" s="25">
        <f t="shared" si="26"/>
        <v>6.6781559672555169E-3</v>
      </c>
    </row>
    <row r="854" spans="1:15">
      <c r="A854" s="84">
        <v>455.50522755420246</v>
      </c>
      <c r="B854" s="84">
        <v>457.22196115580573</v>
      </c>
      <c r="C854" s="84">
        <v>454.25513459230348</v>
      </c>
      <c r="D854" s="84">
        <v>455.89288332965771</v>
      </c>
      <c r="E854" s="85">
        <v>7023846.8569261152</v>
      </c>
      <c r="F854" s="83" t="s">
        <v>859</v>
      </c>
      <c r="G854" s="25">
        <f t="shared" si="25"/>
        <v>-8.50322059480213E-4</v>
      </c>
      <c r="I854" s="84">
        <v>88.760200897573412</v>
      </c>
      <c r="J854" s="84">
        <v>88.893919052374443</v>
      </c>
      <c r="K854" s="84">
        <v>86.964557104530925</v>
      </c>
      <c r="L854" s="84">
        <v>86.964557104530925</v>
      </c>
      <c r="M854" s="85">
        <v>37422783.371829994</v>
      </c>
      <c r="N854" s="83" t="s">
        <v>859</v>
      </c>
      <c r="O854" s="25">
        <f t="shared" si="26"/>
        <v>2.0647995606809522E-2</v>
      </c>
    </row>
    <row r="855" spans="1:15">
      <c r="A855" s="84">
        <v>458.66462212416207</v>
      </c>
      <c r="B855" s="84">
        <v>460.65620367056295</v>
      </c>
      <c r="C855" s="84">
        <v>455.93164890720317</v>
      </c>
      <c r="D855" s="84">
        <v>460.49629566318777</v>
      </c>
      <c r="E855" s="85">
        <v>5317067.6938319039</v>
      </c>
      <c r="F855" s="83" t="s">
        <v>860</v>
      </c>
      <c r="G855" s="25">
        <f t="shared" si="25"/>
        <v>-3.9776075427225832E-3</v>
      </c>
      <c r="I855" s="84">
        <v>87.642699175307612</v>
      </c>
      <c r="J855" s="84">
        <v>88.827059974973935</v>
      </c>
      <c r="K855" s="84">
        <v>87.375262865705537</v>
      </c>
      <c r="L855" s="84">
        <v>87.929238078452684</v>
      </c>
      <c r="M855" s="85">
        <v>12732743.302757634</v>
      </c>
      <c r="N855" s="83" t="s">
        <v>860</v>
      </c>
      <c r="O855" s="25">
        <f t="shared" si="26"/>
        <v>-3.2587442971974134E-3</v>
      </c>
    </row>
    <row r="856" spans="1:15">
      <c r="A856" s="84">
        <v>459.67252714034549</v>
      </c>
      <c r="B856" s="84">
        <v>460.79672888916548</v>
      </c>
      <c r="C856" s="84">
        <v>458.30604053186602</v>
      </c>
      <c r="D856" s="84">
        <v>460.6416665789834</v>
      </c>
      <c r="E856" s="85">
        <v>3657395.2711920524</v>
      </c>
      <c r="F856" s="83" t="s">
        <v>861</v>
      </c>
      <c r="G856" s="25">
        <f t="shared" si="25"/>
        <v>-2.1038900927815574E-3</v>
      </c>
      <c r="I856" s="84">
        <v>86.496543562727311</v>
      </c>
      <c r="J856" s="84">
        <v>86.644588662685592</v>
      </c>
      <c r="K856" s="84">
        <v>85.789747601636108</v>
      </c>
      <c r="L856" s="84">
        <v>86.028530020923668</v>
      </c>
      <c r="M856" s="85">
        <v>9071688.596099304</v>
      </c>
      <c r="N856" s="83" t="s">
        <v>861</v>
      </c>
      <c r="O856" s="25">
        <f t="shared" si="26"/>
        <v>5.4402131675366228E-3</v>
      </c>
    </row>
    <row r="857" spans="1:15">
      <c r="A857" s="84">
        <v>460.37030753616477</v>
      </c>
      <c r="B857" s="84">
        <v>460.87426004425652</v>
      </c>
      <c r="C857" s="84">
        <v>455.07880620120181</v>
      </c>
      <c r="D857" s="84">
        <v>457.35628388200092</v>
      </c>
      <c r="E857" s="85">
        <v>4964235.0813436629</v>
      </c>
      <c r="F857" s="83" t="s">
        <v>862</v>
      </c>
      <c r="G857" s="25">
        <f t="shared" si="25"/>
        <v>6.5901000169519275E-3</v>
      </c>
      <c r="I857" s="84">
        <v>85.913914459665648</v>
      </c>
      <c r="J857" s="84">
        <v>86.974108401302431</v>
      </c>
      <c r="K857" s="84">
        <v>85.430045765221323</v>
      </c>
      <c r="L857" s="84">
        <v>86.792633762643888</v>
      </c>
      <c r="M857" s="85">
        <v>9883291.4795034304</v>
      </c>
      <c r="N857" s="83" t="s">
        <v>862</v>
      </c>
      <c r="O857" s="25">
        <f t="shared" si="26"/>
        <v>-1.0124353471993031E-2</v>
      </c>
    </row>
    <row r="858" spans="1:15">
      <c r="A858" s="84">
        <v>455.49553615981614</v>
      </c>
      <c r="B858" s="84">
        <v>455.93649460439633</v>
      </c>
      <c r="C858" s="84">
        <v>452.96608222497116</v>
      </c>
      <c r="D858" s="84">
        <v>454.72022460890577</v>
      </c>
      <c r="E858" s="85">
        <v>5493395.2615554649</v>
      </c>
      <c r="F858" s="83" t="s">
        <v>863</v>
      </c>
      <c r="G858" s="25">
        <f t="shared" si="25"/>
        <v>1.7050298380223428E-3</v>
      </c>
      <c r="I858" s="84">
        <v>87.298852491533523</v>
      </c>
      <c r="J858" s="84">
        <v>87.709558252708135</v>
      </c>
      <c r="K858" s="84">
        <v>86.143145582181702</v>
      </c>
      <c r="L858" s="84">
        <v>86.143145582181702</v>
      </c>
      <c r="M858" s="85">
        <v>7614860.2373034749</v>
      </c>
      <c r="N858" s="83" t="s">
        <v>863</v>
      </c>
      <c r="O858" s="25">
        <f t="shared" si="26"/>
        <v>1.3416121521233171E-2</v>
      </c>
    </row>
    <row r="859" spans="1:15">
      <c r="A859" s="84">
        <v>455.87350054088489</v>
      </c>
      <c r="B859" s="84">
        <v>461.60053313957172</v>
      </c>
      <c r="C859" s="84">
        <v>455.32109106086131</v>
      </c>
      <c r="D859" s="84">
        <v>459.14919184348099</v>
      </c>
      <c r="E859" s="85">
        <v>6485779.8056740295</v>
      </c>
      <c r="F859" s="83" t="s">
        <v>864</v>
      </c>
      <c r="G859" s="25">
        <f t="shared" si="25"/>
        <v>-7.1342634611730738E-3</v>
      </c>
      <c r="I859" s="84">
        <v>86.802185059415379</v>
      </c>
      <c r="J859" s="84">
        <v>86.830838949729895</v>
      </c>
      <c r="K859" s="84">
        <v>86.095389098324191</v>
      </c>
      <c r="L859" s="84">
        <v>86.229107253125235</v>
      </c>
      <c r="M859" s="85">
        <v>5996649.6037364351</v>
      </c>
      <c r="N859" s="83" t="s">
        <v>864</v>
      </c>
      <c r="O859" s="25">
        <f t="shared" si="26"/>
        <v>6.645990252547529E-3</v>
      </c>
    </row>
    <row r="860" spans="1:15">
      <c r="A860" s="84">
        <v>458.65493072977569</v>
      </c>
      <c r="B860" s="84">
        <v>459.55623040770894</v>
      </c>
      <c r="C860" s="84">
        <v>456.25146492195364</v>
      </c>
      <c r="D860" s="84">
        <v>457.07523344479591</v>
      </c>
      <c r="E860" s="85">
        <v>7377475.0205695992</v>
      </c>
      <c r="F860" s="83" t="s">
        <v>865</v>
      </c>
      <c r="G860" s="25">
        <f t="shared" si="25"/>
        <v>3.4560990607044317E-3</v>
      </c>
      <c r="I860" s="84">
        <v>86.486992265955791</v>
      </c>
      <c r="J860" s="84">
        <v>87.146031743189468</v>
      </c>
      <c r="K860" s="84">
        <v>85.990324833837661</v>
      </c>
      <c r="L860" s="84">
        <v>86.467889672412795</v>
      </c>
      <c r="M860" s="85">
        <v>7097016.4179430278</v>
      </c>
      <c r="N860" s="83" t="s">
        <v>865</v>
      </c>
      <c r="O860" s="25">
        <f t="shared" si="26"/>
        <v>2.2092124157735427E-4</v>
      </c>
    </row>
    <row r="861" spans="1:15">
      <c r="A861" s="84">
        <v>454.1581237344958</v>
      </c>
      <c r="B861" s="84">
        <v>456.13516818931714</v>
      </c>
      <c r="C861" s="84">
        <v>452.89814555032268</v>
      </c>
      <c r="D861" s="84">
        <v>454.76868158083767</v>
      </c>
      <c r="E861" s="85">
        <v>5494616.9639780438</v>
      </c>
      <c r="F861" s="83" t="s">
        <v>866</v>
      </c>
      <c r="G861" s="25">
        <f t="shared" si="25"/>
        <v>-1.3425679275439473E-3</v>
      </c>
      <c r="I861" s="84">
        <v>86.210004659582225</v>
      </c>
      <c r="J861" s="84">
        <v>86.673242553000108</v>
      </c>
      <c r="K861" s="84">
        <v>85.713337227464081</v>
      </c>
      <c r="L861" s="84">
        <v>85.827952788722115</v>
      </c>
      <c r="M861" s="85">
        <v>5825152.4720707936</v>
      </c>
      <c r="N861" s="83" t="s">
        <v>866</v>
      </c>
      <c r="O861" s="25">
        <f t="shared" si="26"/>
        <v>4.4513687959049086E-3</v>
      </c>
    </row>
    <row r="862" spans="1:15">
      <c r="A862" s="84">
        <v>451.76434932106014</v>
      </c>
      <c r="B862" s="84">
        <v>454.8946697078606</v>
      </c>
      <c r="C862" s="84">
        <v>449.73884789430696</v>
      </c>
      <c r="D862" s="84">
        <v>454.47793974924633</v>
      </c>
      <c r="E862" s="85">
        <v>4763507.5159961935</v>
      </c>
      <c r="F862" s="83" t="s">
        <v>867</v>
      </c>
      <c r="G862" s="25">
        <f t="shared" si="25"/>
        <v>-5.9707857980596524E-3</v>
      </c>
      <c r="I862" s="84">
        <v>86.018978724152177</v>
      </c>
      <c r="J862" s="84">
        <v>86.783082465872383</v>
      </c>
      <c r="K862" s="84">
        <v>85.580860741243342</v>
      </c>
      <c r="L862" s="84">
        <v>85.684683337149579</v>
      </c>
      <c r="M862" s="85">
        <v>7064588.3605378689</v>
      </c>
      <c r="N862" s="83" t="s">
        <v>867</v>
      </c>
      <c r="O862" s="25">
        <f t="shared" si="26"/>
        <v>3.9014602608404836E-3</v>
      </c>
    </row>
    <row r="863" spans="1:15">
      <c r="A863" s="84">
        <v>456.33868747143111</v>
      </c>
      <c r="B863" s="84">
        <v>458.01529870027468</v>
      </c>
      <c r="C863" s="84">
        <v>456.07701982299886</v>
      </c>
      <c r="D863" s="84">
        <v>456.08671121738524</v>
      </c>
      <c r="E863" s="85">
        <v>4096667.4574507498</v>
      </c>
      <c r="F863" s="83" t="s">
        <v>868</v>
      </c>
      <c r="G863" s="25">
        <f t="shared" si="25"/>
        <v>5.5247444805672785E-4</v>
      </c>
      <c r="I863" s="84">
        <v>85.875709272579627</v>
      </c>
      <c r="J863" s="84">
        <v>86.095389098324191</v>
      </c>
      <c r="K863" s="84">
        <v>85.140259421173937</v>
      </c>
      <c r="L863" s="84">
        <v>86.047632614466679</v>
      </c>
      <c r="M863" s="85">
        <v>7251495.9650975326</v>
      </c>
      <c r="N863" s="83" t="s">
        <v>868</v>
      </c>
      <c r="O863" s="25">
        <f t="shared" si="26"/>
        <v>-1.9980019980020414E-3</v>
      </c>
    </row>
    <row r="864" spans="1:15">
      <c r="A864" s="84">
        <v>456.88140555706832</v>
      </c>
      <c r="B864" s="84">
        <v>457.21091296620517</v>
      </c>
      <c r="C864" s="84">
        <v>453.00484780251668</v>
      </c>
      <c r="D864" s="84">
        <v>453.39250357797187</v>
      </c>
      <c r="E864" s="85">
        <v>4993523.9523444073</v>
      </c>
      <c r="F864" s="83" t="s">
        <v>869</v>
      </c>
      <c r="G864" s="25">
        <f t="shared" si="25"/>
        <v>7.6951029220015954E-3</v>
      </c>
      <c r="I864" s="84">
        <v>85.770645008093098</v>
      </c>
      <c r="J864" s="84">
        <v>85.999876130609181</v>
      </c>
      <c r="K864" s="84">
        <v>84.958784782515394</v>
      </c>
      <c r="L864" s="84">
        <v>85.694234633921084</v>
      </c>
      <c r="M864" s="85">
        <v>14203922.592456266</v>
      </c>
      <c r="N864" s="83" t="s">
        <v>869</v>
      </c>
      <c r="O864" s="25">
        <f t="shared" si="26"/>
        <v>8.9166295140419294E-4</v>
      </c>
    </row>
    <row r="865" spans="1:15">
      <c r="A865" s="84">
        <v>452.52027808319775</v>
      </c>
      <c r="B865" s="84">
        <v>454.03213560747287</v>
      </c>
      <c r="C865" s="84">
        <v>450.13619506414852</v>
      </c>
      <c r="D865" s="84">
        <v>452.55904366074327</v>
      </c>
      <c r="E865" s="85">
        <v>7566425.1269210316</v>
      </c>
      <c r="F865" s="83" t="s">
        <v>870</v>
      </c>
      <c r="G865" s="25">
        <f t="shared" si="25"/>
        <v>-8.5658607619332194E-5</v>
      </c>
      <c r="I865" s="84">
        <v>85.646478150063572</v>
      </c>
      <c r="J865" s="84">
        <v>86.496543562727311</v>
      </c>
      <c r="K865" s="84">
        <v>85.245323685660466</v>
      </c>
      <c r="L865" s="84">
        <v>86.353274111154761</v>
      </c>
      <c r="M865" s="85">
        <v>6150740.7219593767</v>
      </c>
      <c r="N865" s="83" t="s">
        <v>870</v>
      </c>
      <c r="O865" s="25">
        <f t="shared" si="26"/>
        <v>-8.1849352947682696E-3</v>
      </c>
    </row>
    <row r="866" spans="1:15">
      <c r="A866" s="84">
        <v>450.85335824874051</v>
      </c>
      <c r="B866" s="84">
        <v>451.45422470069605</v>
      </c>
      <c r="C866" s="84">
        <v>449.78730486623886</v>
      </c>
      <c r="D866" s="84">
        <v>450.15557785292128</v>
      </c>
      <c r="E866" s="85">
        <v>2889782.3041193672</v>
      </c>
      <c r="F866" s="83" t="s">
        <v>871</v>
      </c>
      <c r="G866" s="25">
        <f t="shared" ref="G866:G929" si="27">A866/D866-1</f>
        <v>1.550087192404348E-3</v>
      </c>
      <c r="I866" s="84">
        <v>85.885260569351146</v>
      </c>
      <c r="J866" s="84">
        <v>87.155583039960973</v>
      </c>
      <c r="K866" s="84">
        <v>85.517535643648287</v>
      </c>
      <c r="L866" s="84">
        <v>86.353274111154761</v>
      </c>
      <c r="M866" s="85">
        <v>5890492.290833625</v>
      </c>
      <c r="N866" s="83" t="s">
        <v>871</v>
      </c>
      <c r="O866" s="25">
        <f t="shared" ref="O866:O929" si="28">I866/L866-1</f>
        <v>-5.4197544519409835E-3</v>
      </c>
    </row>
    <row r="867" spans="1:15">
      <c r="A867" s="84">
        <v>451.55113864455984</v>
      </c>
      <c r="B867" s="84">
        <v>451.73527513790106</v>
      </c>
      <c r="C867" s="84">
        <v>449.59347697851132</v>
      </c>
      <c r="D867" s="84">
        <v>451.33792796805949</v>
      </c>
      <c r="E867" s="85">
        <v>3701162.9668495688</v>
      </c>
      <c r="F867" s="83" t="s">
        <v>872</v>
      </c>
      <c r="G867" s="25">
        <f t="shared" si="27"/>
        <v>4.7239698524825791E-4</v>
      </c>
      <c r="I867" s="84">
        <v>86.362825407926266</v>
      </c>
      <c r="J867" s="84">
        <v>86.420133188555283</v>
      </c>
      <c r="K867" s="84">
        <v>85.436349621090514</v>
      </c>
      <c r="L867" s="84">
        <v>85.990324833837661</v>
      </c>
      <c r="M867" s="85">
        <v>5081929.832273867</v>
      </c>
      <c r="N867" s="83" t="s">
        <v>872</v>
      </c>
      <c r="O867" s="25">
        <f t="shared" si="28"/>
        <v>4.331889370210007E-3</v>
      </c>
    </row>
    <row r="868" spans="1:15">
      <c r="A868" s="84">
        <v>450.71767872733125</v>
      </c>
      <c r="B868" s="84">
        <v>453.15991011269875</v>
      </c>
      <c r="C868" s="84">
        <v>450.59169060030831</v>
      </c>
      <c r="D868" s="84">
        <v>452.77225433724362</v>
      </c>
      <c r="E868" s="85">
        <v>3560688.8569615851</v>
      </c>
      <c r="F868" s="83" t="s">
        <v>873</v>
      </c>
      <c r="G868" s="25">
        <f t="shared" si="27"/>
        <v>-4.5377683597680463E-3</v>
      </c>
      <c r="I868" s="84">
        <v>85.980773537066156</v>
      </c>
      <c r="J868" s="84">
        <v>86.773531169100877</v>
      </c>
      <c r="K868" s="84">
        <v>85.894811866122652</v>
      </c>
      <c r="L868" s="84">
        <v>86.018978724152177</v>
      </c>
      <c r="M868" s="85">
        <v>5542204.5054592555</v>
      </c>
      <c r="N868" s="83" t="s">
        <v>873</v>
      </c>
      <c r="O868" s="25">
        <f t="shared" si="28"/>
        <v>-4.4414834554751259E-4</v>
      </c>
    </row>
    <row r="869" spans="1:15">
      <c r="A869" s="84">
        <v>452.37490716740206</v>
      </c>
      <c r="B869" s="84">
        <v>454.40040859415529</v>
      </c>
      <c r="C869" s="84">
        <v>451.70687935234895</v>
      </c>
      <c r="D869" s="84">
        <v>453.64447983201768</v>
      </c>
      <c r="E869" s="85">
        <v>4179605.9870321793</v>
      </c>
      <c r="F869" s="83" t="s">
        <v>874</v>
      </c>
      <c r="G869" s="25">
        <f t="shared" si="27"/>
        <v>-2.7986071054710848E-3</v>
      </c>
      <c r="I869" s="84">
        <v>85.971222240294665</v>
      </c>
      <c r="J869" s="84">
        <v>86.429684485326774</v>
      </c>
      <c r="K869" s="84">
        <v>85.283528872746487</v>
      </c>
      <c r="L869" s="84">
        <v>85.484106104948026</v>
      </c>
      <c r="M869" s="85">
        <v>6082941.5512821442</v>
      </c>
      <c r="N869" s="83" t="s">
        <v>874</v>
      </c>
      <c r="O869" s="25">
        <f t="shared" si="28"/>
        <v>5.6983240223464904E-3</v>
      </c>
    </row>
    <row r="870" spans="1:15">
      <c r="A870" s="84">
        <v>452.17138788528808</v>
      </c>
      <c r="B870" s="84">
        <v>452.90793385865288</v>
      </c>
      <c r="C870" s="84">
        <v>448.04769957388379</v>
      </c>
      <c r="D870" s="84">
        <v>448.92477076585112</v>
      </c>
      <c r="E870" s="85">
        <v>4466370.7072778028</v>
      </c>
      <c r="F870" s="83" t="s">
        <v>875</v>
      </c>
      <c r="G870" s="25">
        <f t="shared" si="27"/>
        <v>7.2319848020379052E-3</v>
      </c>
      <c r="I870" s="84">
        <v>85.512759995262542</v>
      </c>
      <c r="J870" s="84">
        <v>85.799298898407613</v>
      </c>
      <c r="K870" s="84">
        <v>84.911028298657882</v>
      </c>
      <c r="L870" s="84">
        <v>85.694234633921084</v>
      </c>
      <c r="M870" s="85">
        <v>7957183.3875751039</v>
      </c>
      <c r="N870" s="83" t="s">
        <v>875</v>
      </c>
      <c r="O870" s="25">
        <f t="shared" si="28"/>
        <v>-2.1176995095852913E-3</v>
      </c>
    </row>
    <row r="871" spans="1:15">
      <c r="A871" s="84">
        <v>442.86764927436423</v>
      </c>
      <c r="B871" s="84">
        <v>443.01302019015986</v>
      </c>
      <c r="C871" s="84">
        <v>439.60164936615445</v>
      </c>
      <c r="D871" s="84">
        <v>441.26856920061164</v>
      </c>
      <c r="E871" s="85">
        <v>4357554.5805208338</v>
      </c>
      <c r="F871" s="83" t="s">
        <v>876</v>
      </c>
      <c r="G871" s="25">
        <f t="shared" si="27"/>
        <v>3.6238250021962681E-3</v>
      </c>
      <c r="I871" s="84">
        <v>85.598721663408483</v>
      </c>
      <c r="J871" s="84">
        <v>86.775336394176989</v>
      </c>
      <c r="K871" s="84">
        <v>85.404200679692721</v>
      </c>
      <c r="L871" s="84">
        <v>86.319872627427898</v>
      </c>
      <c r="M871" s="85">
        <v>13898033.920856439</v>
      </c>
      <c r="N871" s="83" t="s">
        <v>876</v>
      </c>
      <c r="O871" s="25">
        <f t="shared" si="28"/>
        <v>-8.3544025502914065E-3</v>
      </c>
    </row>
    <row r="872" spans="1:15">
      <c r="A872" s="84">
        <v>442.42184513259076</v>
      </c>
      <c r="B872" s="84">
        <v>443.9240112624795</v>
      </c>
      <c r="C872" s="84">
        <v>440.4060351002239</v>
      </c>
      <c r="D872" s="84">
        <v>443.32314481052401</v>
      </c>
      <c r="E872" s="85">
        <v>5475769.3149486408</v>
      </c>
      <c r="F872" s="83" t="s">
        <v>877</v>
      </c>
      <c r="G872" s="25">
        <f t="shared" si="27"/>
        <v>-2.0330535152150997E-3</v>
      </c>
      <c r="I872" s="84">
        <v>86.329361455901832</v>
      </c>
      <c r="J872" s="84">
        <v>87.572397985987919</v>
      </c>
      <c r="K872" s="84">
        <v>85.949808316944257</v>
      </c>
      <c r="L872" s="84">
        <v>86.822780536546688</v>
      </c>
      <c r="M872" s="85">
        <v>6348230.4654824222</v>
      </c>
      <c r="N872" s="83" t="s">
        <v>877</v>
      </c>
      <c r="O872" s="25">
        <f t="shared" si="28"/>
        <v>-5.6830601092896504E-3</v>
      </c>
    </row>
    <row r="873" spans="1:15">
      <c r="A873" s="84">
        <v>444.86407651795827</v>
      </c>
      <c r="B873" s="84">
        <v>447.88779156650855</v>
      </c>
      <c r="C873" s="84">
        <v>444.2535186716164</v>
      </c>
      <c r="D873" s="84">
        <v>446.85081236716599</v>
      </c>
      <c r="E873" s="85">
        <v>5703919.1468353309</v>
      </c>
      <c r="F873" s="83" t="s">
        <v>878</v>
      </c>
      <c r="G873" s="25">
        <f t="shared" si="27"/>
        <v>-4.4460831092218989E-3</v>
      </c>
      <c r="I873" s="84">
        <v>86.357827941323663</v>
      </c>
      <c r="J873" s="84">
        <v>87.382621416509124</v>
      </c>
      <c r="K873" s="84">
        <v>86.300894970480016</v>
      </c>
      <c r="L873" s="84">
        <v>86.680448109437592</v>
      </c>
      <c r="M873" s="85">
        <v>5216486.9600018701</v>
      </c>
      <c r="N873" s="83" t="s">
        <v>878</v>
      </c>
      <c r="O873" s="25">
        <f t="shared" si="28"/>
        <v>-3.7219485495345594E-3</v>
      </c>
    </row>
    <row r="874" spans="1:15">
      <c r="A874" s="84">
        <v>447.15124559314376</v>
      </c>
      <c r="B874" s="84">
        <v>447.29661650893945</v>
      </c>
      <c r="C874" s="84">
        <v>444.28259285477554</v>
      </c>
      <c r="D874" s="84">
        <v>444.73808839093533</v>
      </c>
      <c r="E874" s="85">
        <v>5877081.0194301177</v>
      </c>
      <c r="F874" s="83" t="s">
        <v>879</v>
      </c>
      <c r="G874" s="25">
        <f t="shared" si="27"/>
        <v>5.4260187404664428E-3</v>
      </c>
      <c r="I874" s="84">
        <v>87.097956562290946</v>
      </c>
      <c r="J874" s="84">
        <v>87.534442672092155</v>
      </c>
      <c r="K874" s="84">
        <v>86.633003967067893</v>
      </c>
      <c r="L874" s="84">
        <v>86.737381080281224</v>
      </c>
      <c r="M874" s="85">
        <v>5551075.1558702569</v>
      </c>
      <c r="N874" s="83" t="s">
        <v>879</v>
      </c>
      <c r="O874" s="25">
        <f t="shared" si="28"/>
        <v>4.1570944098021645E-3</v>
      </c>
    </row>
    <row r="875" spans="1:15">
      <c r="A875" s="84">
        <v>444.14691333336623</v>
      </c>
      <c r="B875" s="84">
        <v>444.51518632004866</v>
      </c>
      <c r="C875" s="84">
        <v>440.37696091706476</v>
      </c>
      <c r="D875" s="84">
        <v>442.4848391961022</v>
      </c>
      <c r="E875" s="85">
        <v>5803095.793835775</v>
      </c>
      <c r="F875" s="83" t="s">
        <v>880</v>
      </c>
      <c r="G875" s="25">
        <f t="shared" si="27"/>
        <v>3.7562284400154411E-3</v>
      </c>
      <c r="I875" s="84">
        <v>86.718403423333356</v>
      </c>
      <c r="J875" s="84">
        <v>86.917668821286085</v>
      </c>
      <c r="K875" s="84">
        <v>86.215495514214567</v>
      </c>
      <c r="L875" s="84">
        <v>86.31038379895395</v>
      </c>
      <c r="M875" s="85">
        <v>7037694.9255016726</v>
      </c>
      <c r="N875" s="83" t="s">
        <v>880</v>
      </c>
      <c r="O875" s="25">
        <f t="shared" si="28"/>
        <v>4.7273526824977985E-3</v>
      </c>
    </row>
    <row r="876" spans="1:15">
      <c r="A876" s="84">
        <v>439.9602309584505</v>
      </c>
      <c r="B876" s="84">
        <v>441.63684218729406</v>
      </c>
      <c r="C876" s="84">
        <v>437.07704112850269</v>
      </c>
      <c r="D876" s="84">
        <v>440.4544920721558</v>
      </c>
      <c r="E876" s="85">
        <v>8411835.9804423042</v>
      </c>
      <c r="F876" s="83" t="s">
        <v>881</v>
      </c>
      <c r="G876" s="25">
        <f t="shared" si="27"/>
        <v>-1.1221615912690996E-3</v>
      </c>
      <c r="I876" s="84">
        <v>85.959297145418191</v>
      </c>
      <c r="J876" s="84">
        <v>87.031534762973365</v>
      </c>
      <c r="K876" s="84">
        <v>85.261868252583639</v>
      </c>
      <c r="L876" s="84">
        <v>86.53811568232851</v>
      </c>
      <c r="M876" s="85">
        <v>6365188.3017887622</v>
      </c>
      <c r="N876" s="83" t="s">
        <v>881</v>
      </c>
      <c r="O876" s="25">
        <f t="shared" si="28"/>
        <v>-6.6885964912281048E-3</v>
      </c>
    </row>
    <row r="877" spans="1:15">
      <c r="A877" s="84">
        <v>446.24994591521045</v>
      </c>
      <c r="B877" s="84">
        <v>448.4595838353049</v>
      </c>
      <c r="C877" s="84">
        <v>445.5618569137776</v>
      </c>
      <c r="D877" s="84">
        <v>446.3953168310062</v>
      </c>
      <c r="E877" s="85">
        <v>4709573.068675111</v>
      </c>
      <c r="F877" s="83" t="s">
        <v>882</v>
      </c>
      <c r="G877" s="25">
        <f t="shared" si="27"/>
        <v>-3.2565510952886623E-4</v>
      </c>
      <c r="I877" s="84">
        <v>86.481182711484863</v>
      </c>
      <c r="J877" s="84">
        <v>87.211822503978212</v>
      </c>
      <c r="K877" s="84">
        <v>85.61769932035638</v>
      </c>
      <c r="L877" s="84">
        <v>85.883386517626676</v>
      </c>
      <c r="M877" s="85">
        <v>5779130.7062412258</v>
      </c>
      <c r="N877" s="83" t="s">
        <v>882</v>
      </c>
      <c r="O877" s="25">
        <f t="shared" si="28"/>
        <v>6.9605568445474386E-3</v>
      </c>
    </row>
    <row r="878" spans="1:15">
      <c r="A878" s="84">
        <v>446.45346519732448</v>
      </c>
      <c r="B878" s="84">
        <v>446.80235539523409</v>
      </c>
      <c r="C878" s="84">
        <v>444.03061660072967</v>
      </c>
      <c r="D878" s="84">
        <v>444.38919819302572</v>
      </c>
      <c r="E878" s="85">
        <v>4130049.6506730891</v>
      </c>
      <c r="F878" s="83" t="s">
        <v>883</v>
      </c>
      <c r="G878" s="25">
        <f t="shared" si="27"/>
        <v>4.6451781742051779E-3</v>
      </c>
      <c r="I878" s="84">
        <v>85.883386517626676</v>
      </c>
      <c r="J878" s="84">
        <v>86.927157649760019</v>
      </c>
      <c r="K878" s="84">
        <v>85.712587605095763</v>
      </c>
      <c r="L878" s="84">
        <v>86.471693883010929</v>
      </c>
      <c r="M878" s="85">
        <v>6268574.6890000179</v>
      </c>
      <c r="N878" s="83" t="s">
        <v>883</v>
      </c>
      <c r="O878" s="25">
        <f t="shared" si="28"/>
        <v>-6.8034675737956851E-3</v>
      </c>
    </row>
    <row r="879" spans="1:15">
      <c r="A879" s="84">
        <v>443.93370265686588</v>
      </c>
      <c r="B879" s="84">
        <v>444.18567891091175</v>
      </c>
      <c r="C879" s="84">
        <v>442.92579764068245</v>
      </c>
      <c r="D879" s="84">
        <v>443.68172640282006</v>
      </c>
      <c r="E879" s="85">
        <v>4317843.0607274687</v>
      </c>
      <c r="F879" s="83" t="s">
        <v>884</v>
      </c>
      <c r="G879" s="25">
        <f t="shared" si="27"/>
        <v>5.6792119001314312E-4</v>
      </c>
      <c r="I879" s="84">
        <v>86.386294426745479</v>
      </c>
      <c r="J879" s="84">
        <v>87.667286270727303</v>
      </c>
      <c r="K879" s="84">
        <v>86.277172899295167</v>
      </c>
      <c r="L879" s="84">
        <v>87.154889533134565</v>
      </c>
      <c r="M879" s="85">
        <v>6531611.3754418548</v>
      </c>
      <c r="N879" s="83" t="s">
        <v>884</v>
      </c>
      <c r="O879" s="25">
        <f t="shared" si="28"/>
        <v>-8.8187261839954845E-3</v>
      </c>
    </row>
    <row r="880" spans="1:15">
      <c r="A880" s="84">
        <v>443.63326943088811</v>
      </c>
      <c r="B880" s="84">
        <v>444.04030799511605</v>
      </c>
      <c r="C880" s="84">
        <v>441.22011222867974</v>
      </c>
      <c r="D880" s="84">
        <v>442.07295493468109</v>
      </c>
      <c r="E880" s="85">
        <v>6978784.1979743959</v>
      </c>
      <c r="F880" s="83" t="s">
        <v>885</v>
      </c>
      <c r="G880" s="25">
        <f t="shared" si="27"/>
        <v>3.5295407212538876E-3</v>
      </c>
      <c r="I880" s="84">
        <v>87.230800160926094</v>
      </c>
      <c r="J880" s="84">
        <v>88.065817066632775</v>
      </c>
      <c r="K880" s="84">
        <v>87.126423047712748</v>
      </c>
      <c r="L880" s="84">
        <v>87.847574011732164</v>
      </c>
      <c r="M880" s="85">
        <v>4874358.31799764</v>
      </c>
      <c r="N880" s="83" t="s">
        <v>885</v>
      </c>
      <c r="O880" s="25">
        <f t="shared" si="28"/>
        <v>-7.0209548498595398E-3</v>
      </c>
    </row>
    <row r="881" spans="1:15">
      <c r="A881" s="84">
        <v>440.01837932476872</v>
      </c>
      <c r="B881" s="84">
        <v>440.27035557881464</v>
      </c>
      <c r="C881" s="84">
        <v>438.25454554644773</v>
      </c>
      <c r="D881" s="84">
        <v>439.58226657738169</v>
      </c>
      <c r="E881" s="85">
        <v>4523189.1565170493</v>
      </c>
      <c r="F881" s="83" t="s">
        <v>886</v>
      </c>
      <c r="G881" s="25">
        <f t="shared" si="27"/>
        <v>9.9210723576881321E-4</v>
      </c>
      <c r="I881" s="84">
        <v>87.562909157513971</v>
      </c>
      <c r="J881" s="84">
        <v>87.931929696865481</v>
      </c>
      <c r="K881" s="84">
        <v>86.528626853854561</v>
      </c>
      <c r="L881" s="84">
        <v>86.775336394176989</v>
      </c>
      <c r="M881" s="85">
        <v>4972367.2558295513</v>
      </c>
      <c r="N881" s="83" t="s">
        <v>886</v>
      </c>
      <c r="O881" s="25">
        <f t="shared" si="28"/>
        <v>9.075997813012604E-3</v>
      </c>
    </row>
    <row r="882" spans="1:15">
      <c r="A882" s="84">
        <v>438.6518927162893</v>
      </c>
      <c r="B882" s="84">
        <v>440.13467605740527</v>
      </c>
      <c r="C882" s="84">
        <v>436.6360826839225</v>
      </c>
      <c r="D882" s="84">
        <v>439.72763749317738</v>
      </c>
      <c r="E882" s="85">
        <v>7328003.2953580189</v>
      </c>
      <c r="F882" s="83" t="s">
        <v>887</v>
      </c>
      <c r="G882" s="25">
        <f t="shared" si="27"/>
        <v>-2.4463888215459084E-3</v>
      </c>
      <c r="I882" s="84">
        <v>87.524953843618206</v>
      </c>
      <c r="J882" s="84">
        <v>87.913995811049745</v>
      </c>
      <c r="K882" s="84">
        <v>86.243961999636383</v>
      </c>
      <c r="L882" s="84">
        <v>86.595048653172142</v>
      </c>
      <c r="M882" s="85">
        <v>7129025.4835763723</v>
      </c>
      <c r="N882" s="83" t="s">
        <v>887</v>
      </c>
      <c r="O882" s="25">
        <f t="shared" si="28"/>
        <v>1.0738549200087544E-2</v>
      </c>
    </row>
    <row r="883" spans="1:15">
      <c r="A883" s="84">
        <v>440.26066418442821</v>
      </c>
      <c r="B883" s="84">
        <v>441.8112872862489</v>
      </c>
      <c r="C883" s="84">
        <v>435.81231416108022</v>
      </c>
      <c r="D883" s="84">
        <v>436.12243878144437</v>
      </c>
      <c r="E883" s="85">
        <v>6452613.2676935131</v>
      </c>
      <c r="F883" s="83" t="s">
        <v>888</v>
      </c>
      <c r="G883" s="25">
        <f t="shared" si="27"/>
        <v>9.488678029377029E-3</v>
      </c>
      <c r="I883" s="84">
        <v>87.278244303295793</v>
      </c>
      <c r="J883" s="84">
        <v>87.959637076009386</v>
      </c>
      <c r="K883" s="84">
        <v>86.770591979940022</v>
      </c>
      <c r="L883" s="84">
        <v>87.524953843618206</v>
      </c>
      <c r="M883" s="85">
        <v>6394642.9389726464</v>
      </c>
      <c r="N883" s="83" t="s">
        <v>888</v>
      </c>
      <c r="O883" s="25">
        <f t="shared" si="28"/>
        <v>-2.8187337380743971E-3</v>
      </c>
    </row>
    <row r="884" spans="1:15">
      <c r="A884" s="84">
        <v>435.78323997792114</v>
      </c>
      <c r="B884" s="84">
        <v>435.78323997792114</v>
      </c>
      <c r="C884" s="84">
        <v>430.92804521823291</v>
      </c>
      <c r="D884" s="84">
        <v>431.60624899739173</v>
      </c>
      <c r="E884" s="85">
        <v>6333825.4076495552</v>
      </c>
      <c r="F884" s="83" t="s">
        <v>889</v>
      </c>
      <c r="G884" s="25">
        <f t="shared" si="27"/>
        <v>9.6777815201527506E-3</v>
      </c>
      <c r="I884" s="84">
        <v>87.45853204430064</v>
      </c>
      <c r="J884" s="84">
        <v>87.463276458537607</v>
      </c>
      <c r="K884" s="84">
        <v>86.120607229475169</v>
      </c>
      <c r="L884" s="84">
        <v>87.012557106025483</v>
      </c>
      <c r="M884" s="85">
        <v>14571988.563156441</v>
      </c>
      <c r="N884" s="83" t="s">
        <v>889</v>
      </c>
      <c r="O884" s="25">
        <f t="shared" si="28"/>
        <v>5.1254089422028137E-3</v>
      </c>
    </row>
    <row r="885" spans="1:15">
      <c r="A885" s="84">
        <v>430.1234656562757</v>
      </c>
      <c r="B885" s="84">
        <v>435.59425778738671</v>
      </c>
      <c r="C885" s="84">
        <v>430.0556258955711</v>
      </c>
      <c r="D885" s="84">
        <v>435.1823735259656</v>
      </c>
      <c r="E885" s="85">
        <v>7334386.2777786851</v>
      </c>
      <c r="F885" s="83" t="s">
        <v>890</v>
      </c>
      <c r="G885" s="25">
        <f t="shared" si="27"/>
        <v>-1.1624799572421241E-2</v>
      </c>
      <c r="I885" s="84">
        <v>86.462205054536994</v>
      </c>
      <c r="J885" s="84">
        <v>87.164378361608513</v>
      </c>
      <c r="K885" s="84">
        <v>86.054185430157588</v>
      </c>
      <c r="L885" s="84">
        <v>86.215495514214567</v>
      </c>
      <c r="M885" s="85">
        <v>5860264.0096953213</v>
      </c>
      <c r="N885" s="83" t="s">
        <v>890</v>
      </c>
      <c r="O885" s="25">
        <f t="shared" si="28"/>
        <v>2.8615452344264991E-3</v>
      </c>
    </row>
    <row r="886" spans="1:15">
      <c r="A886" s="84">
        <v>437.24664053026436</v>
      </c>
      <c r="B886" s="84">
        <v>437.8668897709926</v>
      </c>
      <c r="C886" s="84">
        <v>436.53916874005864</v>
      </c>
      <c r="D886" s="84">
        <v>436.92682451551383</v>
      </c>
      <c r="E886" s="85">
        <v>3518537.0278528505</v>
      </c>
      <c r="F886" s="83" t="s">
        <v>891</v>
      </c>
      <c r="G886" s="25">
        <f t="shared" si="27"/>
        <v>7.3196699494282313E-4</v>
      </c>
      <c r="I886" s="84">
        <v>85.968785973892125</v>
      </c>
      <c r="J886" s="84">
        <v>86.433738569115178</v>
      </c>
      <c r="K886" s="84">
        <v>85.456389236299401</v>
      </c>
      <c r="L886" s="84">
        <v>85.551277521038784</v>
      </c>
      <c r="M886" s="85">
        <v>9562265.8001667075</v>
      </c>
      <c r="N886" s="83" t="s">
        <v>891</v>
      </c>
      <c r="O886" s="25">
        <f t="shared" si="28"/>
        <v>4.8802129547471651E-3</v>
      </c>
    </row>
    <row r="887" spans="1:15">
      <c r="A887" s="84">
        <v>437.55676515062845</v>
      </c>
      <c r="B887" s="84">
        <v>437.67286805537731</v>
      </c>
      <c r="C887" s="84">
        <v>433.89458103990358</v>
      </c>
      <c r="D887" s="84">
        <v>434.39737058066891</v>
      </c>
      <c r="E887" s="85">
        <v>4687923.9651885284</v>
      </c>
      <c r="F887" s="83" t="s">
        <v>892</v>
      </c>
      <c r="G887" s="25">
        <f t="shared" si="27"/>
        <v>7.2730517814514339E-3</v>
      </c>
      <c r="I887" s="84">
        <v>85.475366893247269</v>
      </c>
      <c r="J887" s="84">
        <v>86.044696601683654</v>
      </c>
      <c r="K887" s="84">
        <v>85.110046997000595</v>
      </c>
      <c r="L887" s="84">
        <v>85.816964718309094</v>
      </c>
      <c r="M887" s="85">
        <v>8945960.0026637577</v>
      </c>
      <c r="N887" s="83" t="s">
        <v>892</v>
      </c>
      <c r="O887" s="25">
        <f t="shared" si="28"/>
        <v>-3.9805395842548164E-3</v>
      </c>
    </row>
    <row r="888" spans="1:15">
      <c r="A888" s="84">
        <v>434.39737058066891</v>
      </c>
      <c r="B888" s="84">
        <v>435.63786906212539</v>
      </c>
      <c r="C888" s="84">
        <v>433.36039138132634</v>
      </c>
      <c r="D888" s="84">
        <v>434.27138245364597</v>
      </c>
      <c r="E888" s="85">
        <v>6607947.9842453236</v>
      </c>
      <c r="F888" s="83" t="s">
        <v>893</v>
      </c>
      <c r="G888" s="25">
        <f t="shared" si="27"/>
        <v>2.9011381388088786E-4</v>
      </c>
      <c r="I888" s="84">
        <v>85.788498232887278</v>
      </c>
      <c r="J888" s="84">
        <v>86.557093339276378</v>
      </c>
      <c r="K888" s="84">
        <v>85.532299864090916</v>
      </c>
      <c r="L888" s="84">
        <v>86.054185430157588</v>
      </c>
      <c r="M888" s="85">
        <v>6309933.8516277168</v>
      </c>
      <c r="N888" s="83" t="s">
        <v>893</v>
      </c>
      <c r="O888" s="25">
        <f t="shared" si="28"/>
        <v>-3.0874407321646036E-3</v>
      </c>
    </row>
    <row r="889" spans="1:15">
      <c r="A889" s="84">
        <v>434.6590382291011</v>
      </c>
      <c r="B889" s="84">
        <v>434.91101448314697</v>
      </c>
      <c r="C889" s="84">
        <v>432.34279497075653</v>
      </c>
      <c r="D889" s="84">
        <v>434.31014803119149</v>
      </c>
      <c r="E889" s="85">
        <v>4299747.625436292</v>
      </c>
      <c r="F889" s="83" t="s">
        <v>894</v>
      </c>
      <c r="G889" s="25">
        <f t="shared" si="27"/>
        <v>8.033203909492137E-4</v>
      </c>
      <c r="I889" s="84">
        <v>86.291406142006068</v>
      </c>
      <c r="J889" s="84">
        <v>86.447971811826079</v>
      </c>
      <c r="K889" s="84">
        <v>85.000925469550296</v>
      </c>
      <c r="L889" s="84">
        <v>85.636676977304248</v>
      </c>
      <c r="M889" s="85">
        <v>11154765.869221734</v>
      </c>
      <c r="N889" s="83" t="s">
        <v>894</v>
      </c>
      <c r="O889" s="25">
        <f t="shared" si="28"/>
        <v>7.6454293628807068E-3</v>
      </c>
    </row>
    <row r="890" spans="1:15">
      <c r="A890" s="84">
        <v>432.22649823811997</v>
      </c>
      <c r="B890" s="84">
        <v>435.32735678598578</v>
      </c>
      <c r="C890" s="84">
        <v>431.99390477284686</v>
      </c>
      <c r="D890" s="84">
        <v>434.48459313014632</v>
      </c>
      <c r="E890" s="85">
        <v>4713670.518269754</v>
      </c>
      <c r="F890" s="83" t="s">
        <v>895</v>
      </c>
      <c r="G890" s="25">
        <f t="shared" si="27"/>
        <v>-5.1971805852962794E-3</v>
      </c>
      <c r="I890" s="84">
        <v>84.915526013284847</v>
      </c>
      <c r="J890" s="84">
        <v>85.446900407825453</v>
      </c>
      <c r="K890" s="84">
        <v>84.166003452128365</v>
      </c>
      <c r="L890" s="84">
        <v>85.048369611919995</v>
      </c>
      <c r="M890" s="85">
        <v>13565744.217374114</v>
      </c>
      <c r="N890" s="83" t="s">
        <v>895</v>
      </c>
      <c r="O890" s="25">
        <f t="shared" si="28"/>
        <v>-1.5619770166238611E-3</v>
      </c>
    </row>
    <row r="891" spans="1:15">
      <c r="A891" s="84">
        <v>431.86791664582398</v>
      </c>
      <c r="B891" s="84">
        <v>432.06174453355152</v>
      </c>
      <c r="C891" s="84">
        <v>430.08470007873018</v>
      </c>
      <c r="D891" s="84">
        <v>431.10229648929999</v>
      </c>
      <c r="E891" s="85">
        <v>3355127.1059301812</v>
      </c>
      <c r="F891" s="83" t="s">
        <v>896</v>
      </c>
      <c r="G891" s="25">
        <f t="shared" si="27"/>
        <v>1.7759593552593156E-3</v>
      </c>
      <c r="I891" s="84">
        <v>84.97245898412848</v>
      </c>
      <c r="J891" s="84">
        <v>87.657797442253369</v>
      </c>
      <c r="K891" s="84">
        <v>83.463735256772097</v>
      </c>
      <c r="L891" s="84">
        <v>83.719933625568473</v>
      </c>
      <c r="M891" s="85">
        <v>20481759.211241335</v>
      </c>
      <c r="N891" s="83" t="s">
        <v>896</v>
      </c>
      <c r="O891" s="25">
        <f t="shared" si="28"/>
        <v>1.4960897653859107E-2</v>
      </c>
    </row>
    <row r="892" spans="1:15">
      <c r="A892" s="84">
        <v>430.58865258682192</v>
      </c>
      <c r="B892" s="84">
        <v>432.15865847741532</v>
      </c>
      <c r="C892" s="84">
        <v>429.98778613486644</v>
      </c>
      <c r="D892" s="84">
        <v>431.04414812298171</v>
      </c>
      <c r="E892" s="85">
        <v>6057345.0691994019</v>
      </c>
      <c r="F892" s="83" t="s">
        <v>897</v>
      </c>
      <c r="G892" s="25">
        <f t="shared" si="27"/>
        <v>-1.0567259482427982E-3</v>
      </c>
      <c r="I892" s="84">
        <v>80.674019685433876</v>
      </c>
      <c r="J892" s="84">
        <v>81.774723788410867</v>
      </c>
      <c r="K892" s="84">
        <v>80.664530856959942</v>
      </c>
      <c r="L892" s="84">
        <v>81.423637134875094</v>
      </c>
      <c r="M892" s="85">
        <v>14809820.873667482</v>
      </c>
      <c r="N892" s="83" t="s">
        <v>897</v>
      </c>
      <c r="O892" s="25">
        <f t="shared" si="28"/>
        <v>-9.2063862020742571E-3</v>
      </c>
    </row>
    <row r="893" spans="1:15">
      <c r="A893" s="84">
        <v>429.60982175379763</v>
      </c>
      <c r="B893" s="84">
        <v>429.91994637416178</v>
      </c>
      <c r="C893" s="84">
        <v>424.78350734938084</v>
      </c>
      <c r="D893" s="84">
        <v>425.45221356204104</v>
      </c>
      <c r="E893" s="85">
        <v>4990821.5548404111</v>
      </c>
      <c r="F893" s="83" t="s">
        <v>898</v>
      </c>
      <c r="G893" s="25">
        <f t="shared" si="27"/>
        <v>9.7722095671981535E-3</v>
      </c>
      <c r="I893" s="84">
        <v>81.157949937604798</v>
      </c>
      <c r="J893" s="84">
        <v>81.409403892164192</v>
      </c>
      <c r="K893" s="84">
        <v>80.114178805471454</v>
      </c>
      <c r="L893" s="84">
        <v>81.21488290844843</v>
      </c>
      <c r="M893" s="85">
        <v>7914130.833563488</v>
      </c>
      <c r="N893" s="83" t="s">
        <v>898</v>
      </c>
      <c r="O893" s="25">
        <f t="shared" si="28"/>
        <v>-7.0101647388709498E-4</v>
      </c>
    </row>
    <row r="894" spans="1:15">
      <c r="A894" s="84">
        <v>424.41523436269847</v>
      </c>
      <c r="B894" s="84">
        <v>424.86103850447188</v>
      </c>
      <c r="C894" s="84">
        <v>420.76157867903356</v>
      </c>
      <c r="D894" s="84">
        <v>422.13775668189936</v>
      </c>
      <c r="E894" s="85">
        <v>4469207.2444059001</v>
      </c>
      <c r="F894" s="83" t="s">
        <v>899</v>
      </c>
      <c r="G894" s="25">
        <f t="shared" si="27"/>
        <v>5.395105376739151E-3</v>
      </c>
      <c r="I894" s="84">
        <v>81.101016966761151</v>
      </c>
      <c r="J894" s="84">
        <v>81.447359206059943</v>
      </c>
      <c r="K894" s="84">
        <v>80.465265459007199</v>
      </c>
      <c r="L894" s="84">
        <v>80.702486170855693</v>
      </c>
      <c r="M894" s="85">
        <v>6950104.5551748564</v>
      </c>
      <c r="N894" s="83" t="s">
        <v>899</v>
      </c>
      <c r="O894" s="25">
        <f t="shared" si="28"/>
        <v>4.9382716049382047E-3</v>
      </c>
    </row>
    <row r="895" spans="1:15">
      <c r="A895" s="84">
        <v>420.67435612955614</v>
      </c>
      <c r="B895" s="84">
        <v>421.07170329939771</v>
      </c>
      <c r="C895" s="84">
        <v>418.48410099823445</v>
      </c>
      <c r="D895" s="84">
        <v>420.21886059339636</v>
      </c>
      <c r="E895" s="85">
        <v>6237091.1336510051</v>
      </c>
      <c r="F895" s="83" t="s">
        <v>900</v>
      </c>
      <c r="G895" s="25">
        <f t="shared" si="27"/>
        <v>1.0839483394833316E-3</v>
      </c>
      <c r="I895" s="84">
        <v>80.702486170855693</v>
      </c>
      <c r="J895" s="84">
        <v>82.367775568032087</v>
      </c>
      <c r="K895" s="84">
        <v>80.574386986457512</v>
      </c>
      <c r="L895" s="84">
        <v>81.0630616528654</v>
      </c>
      <c r="M895" s="85">
        <v>8082724.8812263412</v>
      </c>
      <c r="N895" s="83" t="s">
        <v>900</v>
      </c>
      <c r="O895" s="25">
        <f t="shared" si="28"/>
        <v>-4.4480861524055504E-3</v>
      </c>
    </row>
    <row r="896" spans="1:15">
      <c r="A896" s="84">
        <v>423.02936496544623</v>
      </c>
      <c r="B896" s="84">
        <v>424.46369133463037</v>
      </c>
      <c r="C896" s="84">
        <v>421.32367955344353</v>
      </c>
      <c r="D896" s="84">
        <v>423.31041540265124</v>
      </c>
      <c r="E896" s="85">
        <v>5913327.6095486367</v>
      </c>
      <c r="F896" s="83" t="s">
        <v>901</v>
      </c>
      <c r="G896" s="25">
        <f t="shared" si="27"/>
        <v>-6.6393461388769559E-4</v>
      </c>
      <c r="I896" s="84">
        <v>81.129483452182967</v>
      </c>
      <c r="J896" s="84">
        <v>81.86961207315025</v>
      </c>
      <c r="K896" s="84">
        <v>80.692997342381759</v>
      </c>
      <c r="L896" s="84">
        <v>81.708301989093286</v>
      </c>
      <c r="M896" s="85">
        <v>10083658.932478851</v>
      </c>
      <c r="N896" s="83" t="s">
        <v>901</v>
      </c>
      <c r="O896" s="25">
        <f t="shared" si="28"/>
        <v>-7.0839623737081192E-3</v>
      </c>
    </row>
    <row r="897" spans="1:15">
      <c r="A897" s="84">
        <v>424.47338272901675</v>
      </c>
      <c r="B897" s="84">
        <v>426.22752511295135</v>
      </c>
      <c r="C897" s="84">
        <v>423.25226703633297</v>
      </c>
      <c r="D897" s="84">
        <v>425.55881890029121</v>
      </c>
      <c r="E897" s="85">
        <v>5347702.0884467047</v>
      </c>
      <c r="F897" s="83" t="s">
        <v>902</v>
      </c>
      <c r="G897" s="25">
        <f t="shared" si="27"/>
        <v>-2.5506137414315067E-3</v>
      </c>
      <c r="I897" s="84">
        <v>81.917056215519949</v>
      </c>
      <c r="J897" s="84">
        <v>82.296609354477539</v>
      </c>
      <c r="K897" s="84">
        <v>81.594436047406006</v>
      </c>
      <c r="L897" s="84">
        <v>82.13529927042056</v>
      </c>
      <c r="M897" s="85">
        <v>5561593.8411088111</v>
      </c>
      <c r="N897" s="83" t="s">
        <v>902</v>
      </c>
      <c r="O897" s="25">
        <f t="shared" si="28"/>
        <v>-2.6571164510166279E-3</v>
      </c>
    </row>
    <row r="898" spans="1:15">
      <c r="A898" s="84">
        <v>424.27955484128915</v>
      </c>
      <c r="B898" s="84">
        <v>425.79625806275749</v>
      </c>
      <c r="C898" s="84">
        <v>420.60651636885149</v>
      </c>
      <c r="D898" s="84">
        <v>425.39406519572276</v>
      </c>
      <c r="E898" s="85">
        <v>4949325.9780465066</v>
      </c>
      <c r="F898" s="83" t="s">
        <v>903</v>
      </c>
      <c r="G898" s="25">
        <f t="shared" si="27"/>
        <v>-2.6199480566820865E-3</v>
      </c>
      <c r="I898" s="84">
        <v>80.958684539652054</v>
      </c>
      <c r="J898" s="84">
        <v>81.613413704353889</v>
      </c>
      <c r="K898" s="84">
        <v>80.398843659689632</v>
      </c>
      <c r="L898" s="84">
        <v>81.518525419614491</v>
      </c>
      <c r="M898" s="85">
        <v>6175807.7049178891</v>
      </c>
      <c r="N898" s="83" t="s">
        <v>903</v>
      </c>
      <c r="O898" s="25">
        <f t="shared" si="28"/>
        <v>-6.8676521941567481E-3</v>
      </c>
    </row>
    <row r="899" spans="1:15">
      <c r="A899" s="84">
        <v>424.42492575708485</v>
      </c>
      <c r="B899" s="84">
        <v>425.19539161080201</v>
      </c>
      <c r="C899" s="84">
        <v>422.04084273803562</v>
      </c>
      <c r="D899" s="84">
        <v>422.32189317524058</v>
      </c>
      <c r="E899" s="85">
        <v>4415093.2563571753</v>
      </c>
      <c r="F899" s="83" t="s">
        <v>904</v>
      </c>
      <c r="G899" s="25">
        <f t="shared" si="27"/>
        <v>4.9796911214632367E-3</v>
      </c>
      <c r="I899" s="84">
        <v>81.67983550367147</v>
      </c>
      <c r="J899" s="84">
        <v>82.040410985681163</v>
      </c>
      <c r="K899" s="84">
        <v>81.281304707765997</v>
      </c>
      <c r="L899" s="84">
        <v>81.41414830640116</v>
      </c>
      <c r="M899" s="85">
        <v>6013954.2153940797</v>
      </c>
      <c r="N899" s="83" t="s">
        <v>904</v>
      </c>
      <c r="O899" s="25">
        <f t="shared" si="28"/>
        <v>3.2634032634033527E-3</v>
      </c>
    </row>
    <row r="900" spans="1:15">
      <c r="A900" s="84">
        <v>421.64349556819406</v>
      </c>
      <c r="B900" s="84">
        <v>422.96152520474158</v>
      </c>
      <c r="C900" s="84">
        <v>419.79563740054311</v>
      </c>
      <c r="D900" s="84">
        <v>420.23824338216906</v>
      </c>
      <c r="E900" s="85">
        <v>8192388.7146299593</v>
      </c>
      <c r="F900" s="83" t="s">
        <v>905</v>
      </c>
      <c r="G900" s="25">
        <f t="shared" si="27"/>
        <v>3.3439417001062122E-3</v>
      </c>
      <c r="I900" s="84">
        <v>81.41414830640116</v>
      </c>
      <c r="J900" s="84">
        <v>81.580202804695091</v>
      </c>
      <c r="K900" s="84">
        <v>80.626575543064178</v>
      </c>
      <c r="L900" s="84">
        <v>81.376192992505409</v>
      </c>
      <c r="M900" s="85">
        <v>5691477.1036616983</v>
      </c>
      <c r="N900" s="83" t="s">
        <v>905</v>
      </c>
      <c r="O900" s="25">
        <f t="shared" si="28"/>
        <v>4.6641791044765846E-4</v>
      </c>
    </row>
    <row r="901" spans="1:15">
      <c r="A901" s="84">
        <v>422.67078337315024</v>
      </c>
      <c r="B901" s="84">
        <v>422.8064628945595</v>
      </c>
      <c r="C901" s="84">
        <v>417.08854020659589</v>
      </c>
      <c r="D901" s="84">
        <v>417.16607136168687</v>
      </c>
      <c r="E901" s="85">
        <v>7452345.5676830057</v>
      </c>
      <c r="F901" s="83" t="s">
        <v>906</v>
      </c>
      <c r="G901" s="25">
        <f t="shared" si="27"/>
        <v>1.3195493088628218E-2</v>
      </c>
      <c r="I901" s="84">
        <v>81.452103620296924</v>
      </c>
      <c r="J901" s="84">
        <v>81.774723788410867</v>
      </c>
      <c r="K901" s="84">
        <v>80.389354831215684</v>
      </c>
      <c r="L901" s="84">
        <v>80.56964257222053</v>
      </c>
      <c r="M901" s="85">
        <v>8036511.5893321577</v>
      </c>
      <c r="N901" s="83" t="s">
        <v>906</v>
      </c>
      <c r="O901" s="25">
        <f t="shared" si="28"/>
        <v>1.0952773524908865E-2</v>
      </c>
    </row>
    <row r="902" spans="1:15">
      <c r="A902" s="84">
        <v>416.71057582552709</v>
      </c>
      <c r="B902" s="84">
        <v>418.95897932316706</v>
      </c>
      <c r="C902" s="84">
        <v>415.41192897775227</v>
      </c>
      <c r="D902" s="84">
        <v>416.33261144445828</v>
      </c>
      <c r="E902" s="85">
        <v>5906898.1941811666</v>
      </c>
      <c r="F902" s="83" t="s">
        <v>907</v>
      </c>
      <c r="G902" s="25">
        <f t="shared" si="27"/>
        <v>9.0784236132135376E-4</v>
      </c>
      <c r="I902" s="84">
        <v>81.015617510495687</v>
      </c>
      <c r="J902" s="84">
        <v>81.376192992505409</v>
      </c>
      <c r="K902" s="84">
        <v>80.517454015613879</v>
      </c>
      <c r="L902" s="84">
        <v>81.376192992505409</v>
      </c>
      <c r="M902" s="85">
        <v>7162378.3891399186</v>
      </c>
      <c r="N902" s="83" t="s">
        <v>907</v>
      </c>
      <c r="O902" s="25">
        <f t="shared" si="28"/>
        <v>-4.4309701492539766E-3</v>
      </c>
    </row>
    <row r="903" spans="1:15">
      <c r="A903" s="84">
        <v>416.17754913427626</v>
      </c>
      <c r="B903" s="84">
        <v>419.42416625371322</v>
      </c>
      <c r="C903" s="84">
        <v>415.96433845777591</v>
      </c>
      <c r="D903" s="84">
        <v>417.04977462905038</v>
      </c>
      <c r="E903" s="85">
        <v>4070888.9172283928</v>
      </c>
      <c r="F903" s="83" t="s">
        <v>908</v>
      </c>
      <c r="G903" s="25">
        <f t="shared" si="27"/>
        <v>-2.0914182139288862E-3</v>
      </c>
      <c r="I903" s="84">
        <v>81.044083995917518</v>
      </c>
      <c r="J903" s="84">
        <v>82.163765755842391</v>
      </c>
      <c r="K903" s="84">
        <v>80.977662196599937</v>
      </c>
      <c r="L903" s="84">
        <v>81.594436047406006</v>
      </c>
      <c r="M903" s="85">
        <v>7015106.257091376</v>
      </c>
      <c r="N903" s="83" t="s">
        <v>908</v>
      </c>
      <c r="O903" s="25">
        <f t="shared" si="28"/>
        <v>-6.7449703453889009E-3</v>
      </c>
    </row>
    <row r="904" spans="1:15">
      <c r="A904" s="84">
        <v>417.49557877082384</v>
      </c>
      <c r="B904" s="84">
        <v>419.63737693021358</v>
      </c>
      <c r="C904" s="84">
        <v>416.97224347395934</v>
      </c>
      <c r="D904" s="84">
        <v>418.97836211193982</v>
      </c>
      <c r="E904" s="85">
        <v>4958057.435732197</v>
      </c>
      <c r="F904" s="83" t="s">
        <v>909</v>
      </c>
      <c r="G904" s="25">
        <f t="shared" si="27"/>
        <v>-3.5390451517394172E-3</v>
      </c>
      <c r="I904" s="84">
        <v>81.233860565396313</v>
      </c>
      <c r="J904" s="84">
        <v>82.453175024297536</v>
      </c>
      <c r="K904" s="84">
        <v>80.987151025073871</v>
      </c>
      <c r="L904" s="84">
        <v>81.110505795235099</v>
      </c>
      <c r="M904" s="85">
        <v>10493924.542263212</v>
      </c>
      <c r="N904" s="83" t="s">
        <v>909</v>
      </c>
      <c r="O904" s="25">
        <f t="shared" si="28"/>
        <v>1.5208235844641482E-3</v>
      </c>
    </row>
    <row r="905" spans="1:15">
      <c r="A905" s="84">
        <v>420.61620776323787</v>
      </c>
      <c r="B905" s="84">
        <v>421.83732345592159</v>
      </c>
      <c r="C905" s="84">
        <v>419.01712768948533</v>
      </c>
      <c r="D905" s="84">
        <v>420.51929381937407</v>
      </c>
      <c r="E905" s="85">
        <v>9365051.7543234807</v>
      </c>
      <c r="F905" s="83" t="s">
        <v>910</v>
      </c>
      <c r="G905" s="25">
        <f t="shared" si="27"/>
        <v>2.3046253831449093E-4</v>
      </c>
      <c r="I905" s="84">
        <v>80.863796254912671</v>
      </c>
      <c r="J905" s="84">
        <v>81.618158118590856</v>
      </c>
      <c r="K905" s="84">
        <v>79.668203867196283</v>
      </c>
      <c r="L905" s="84">
        <v>79.753603323461732</v>
      </c>
      <c r="M905" s="85">
        <v>11018859.734598078</v>
      </c>
      <c r="N905" s="83" t="s">
        <v>910</v>
      </c>
      <c r="O905" s="25">
        <f t="shared" si="28"/>
        <v>1.3920285544319011E-2</v>
      </c>
    </row>
    <row r="906" spans="1:15">
      <c r="A906" s="84">
        <v>423.32010679703762</v>
      </c>
      <c r="B906" s="84">
        <v>424.81258153253998</v>
      </c>
      <c r="C906" s="84">
        <v>421.51750744117112</v>
      </c>
      <c r="D906" s="84">
        <v>424.35708599638019</v>
      </c>
      <c r="E906" s="85">
        <v>4516259.297167358</v>
      </c>
      <c r="F906" s="83" t="s">
        <v>911</v>
      </c>
      <c r="G906" s="25">
        <f t="shared" si="27"/>
        <v>-2.4436476579806632E-3</v>
      </c>
      <c r="I906" s="84">
        <v>79.839002779727196</v>
      </c>
      <c r="J906" s="84">
        <v>80.095201148523557</v>
      </c>
      <c r="K906" s="84">
        <v>79.49740495466537</v>
      </c>
      <c r="L906" s="84">
        <v>79.905424579044762</v>
      </c>
      <c r="M906" s="85">
        <v>4873936.7696462302</v>
      </c>
      <c r="N906" s="83" t="s">
        <v>911</v>
      </c>
      <c r="O906" s="25">
        <f t="shared" si="28"/>
        <v>-8.3125519534488213E-4</v>
      </c>
    </row>
    <row r="907" spans="1:15">
      <c r="A907" s="84">
        <v>424.45399994024399</v>
      </c>
      <c r="B907" s="84">
        <v>425.29715125185891</v>
      </c>
      <c r="C907" s="84">
        <v>424.15356671426622</v>
      </c>
      <c r="D907" s="84">
        <v>424.72535898306256</v>
      </c>
      <c r="E907" s="85">
        <v>4853434.7199932663</v>
      </c>
      <c r="F907" s="83" t="s">
        <v>912</v>
      </c>
      <c r="G907" s="25">
        <f t="shared" si="27"/>
        <v>-6.3890473474037535E-4</v>
      </c>
      <c r="I907" s="84">
        <v>79.867469265149012</v>
      </c>
      <c r="J907" s="84">
        <v>80.281182186612767</v>
      </c>
      <c r="K907" s="84">
        <v>79.791558637357497</v>
      </c>
      <c r="L907" s="84">
        <v>79.867469265149012</v>
      </c>
      <c r="M907" s="85">
        <v>4871768.9572491059</v>
      </c>
      <c r="N907" s="83" t="s">
        <v>912</v>
      </c>
      <c r="O907" s="25">
        <f t="shared" si="28"/>
        <v>0</v>
      </c>
    </row>
    <row r="908" spans="1:15">
      <c r="A908" s="84">
        <v>424.38616017953927</v>
      </c>
      <c r="B908" s="84">
        <v>424.50245691217583</v>
      </c>
      <c r="C908" s="84">
        <v>422.95183381035525</v>
      </c>
      <c r="D908" s="84">
        <v>423.4121750437082</v>
      </c>
      <c r="E908" s="85">
        <v>4407011.8599267425</v>
      </c>
      <c r="F908" s="83" t="s">
        <v>913</v>
      </c>
      <c r="G908" s="25">
        <f t="shared" si="27"/>
        <v>2.3003238764462974E-3</v>
      </c>
      <c r="I908" s="84">
        <v>79.867469265149012</v>
      </c>
      <c r="J908" s="84">
        <v>80.147389705130237</v>
      </c>
      <c r="K908" s="84">
        <v>79.416749912636888</v>
      </c>
      <c r="L908" s="84">
        <v>79.61127089635265</v>
      </c>
      <c r="M908" s="85">
        <v>5733689.9017010015</v>
      </c>
      <c r="N908" s="83" t="s">
        <v>913</v>
      </c>
      <c r="O908" s="25">
        <f t="shared" si="28"/>
        <v>3.2181168057210385E-3</v>
      </c>
    </row>
    <row r="909" spans="1:15">
      <c r="A909" s="84">
        <v>423.61084862862901</v>
      </c>
      <c r="B909" s="84">
        <v>424.40554296831209</v>
      </c>
      <c r="C909" s="84">
        <v>422.13775668189936</v>
      </c>
      <c r="D909" s="84">
        <v>422.22071501784677</v>
      </c>
      <c r="E909" s="85">
        <v>3957982.5637796163</v>
      </c>
      <c r="F909" s="83" t="s">
        <v>914</v>
      </c>
      <c r="G909" s="25">
        <f t="shared" si="27"/>
        <v>3.2924334627293383E-3</v>
      </c>
      <c r="I909" s="84">
        <v>79.753603323461732</v>
      </c>
      <c r="J909" s="84">
        <v>79.990824035310226</v>
      </c>
      <c r="K909" s="84">
        <v>78.833186961489602</v>
      </c>
      <c r="L909" s="84">
        <v>78.899608760807183</v>
      </c>
      <c r="M909" s="85">
        <v>4681964.7042850656</v>
      </c>
      <c r="N909" s="83" t="s">
        <v>914</v>
      </c>
      <c r="O909" s="25">
        <f t="shared" si="28"/>
        <v>1.0823812387251941E-2</v>
      </c>
    </row>
    <row r="910" spans="1:15">
      <c r="A910" s="84">
        <v>421.85670624469441</v>
      </c>
      <c r="B910" s="84">
        <v>423.35693409570587</v>
      </c>
      <c r="C910" s="84">
        <v>420.1025638607598</v>
      </c>
      <c r="D910" s="84">
        <v>422.02145994926281</v>
      </c>
      <c r="E910" s="85">
        <v>4166406.6480206759</v>
      </c>
      <c r="F910" s="83" t="s">
        <v>915</v>
      </c>
      <c r="G910" s="25">
        <f t="shared" si="27"/>
        <v>-3.9039176962285538E-4</v>
      </c>
      <c r="I910" s="84">
        <v>78.975519388598698</v>
      </c>
      <c r="J910" s="84">
        <v>79.573315582456885</v>
      </c>
      <c r="K910" s="84">
        <v>77.846348800199905</v>
      </c>
      <c r="L910" s="84">
        <v>77.89379294256959</v>
      </c>
      <c r="M910" s="85">
        <v>10295753.608394565</v>
      </c>
      <c r="N910" s="83" t="s">
        <v>915</v>
      </c>
      <c r="O910" s="25">
        <f t="shared" si="28"/>
        <v>1.3887196978925598E-2</v>
      </c>
    </row>
    <row r="911" spans="1:15">
      <c r="A911" s="84">
        <v>420.87787541167006</v>
      </c>
      <c r="B911" s="84">
        <v>421.22676560957973</v>
      </c>
      <c r="C911" s="84">
        <v>417.55876666222304</v>
      </c>
      <c r="D911" s="84">
        <v>419.76336505723651</v>
      </c>
      <c r="E911" s="85">
        <v>4768773.012163775</v>
      </c>
      <c r="F911" s="83" t="s">
        <v>916</v>
      </c>
      <c r="G911" s="25">
        <f t="shared" si="27"/>
        <v>2.6550920047097026E-3</v>
      </c>
      <c r="I911" s="84">
        <v>77.817882314778089</v>
      </c>
      <c r="J911" s="84">
        <v>78.743707308980348</v>
      </c>
      <c r="K911" s="84">
        <v>77.210597292445954</v>
      </c>
      <c r="L911" s="84">
        <v>77.846348800199905</v>
      </c>
      <c r="M911" s="85">
        <v>8149380.1065512653</v>
      </c>
      <c r="N911" s="83" t="s">
        <v>916</v>
      </c>
      <c r="O911" s="25">
        <f t="shared" si="28"/>
        <v>-3.6567528035102992E-4</v>
      </c>
    </row>
    <row r="912" spans="1:15">
      <c r="A912" s="84">
        <v>416.81718116377726</v>
      </c>
      <c r="B912" s="84">
        <v>423.80952221354977</v>
      </c>
      <c r="C912" s="84">
        <v>416.63304467043605</v>
      </c>
      <c r="D912" s="84">
        <v>422.0699169211947</v>
      </c>
      <c r="E912" s="85">
        <v>5967391.0372775085</v>
      </c>
      <c r="F912" s="83" t="s">
        <v>917</v>
      </c>
      <c r="G912" s="25">
        <f t="shared" si="27"/>
        <v>-1.2445179215172963E-2</v>
      </c>
      <c r="I912" s="84">
        <v>77.466795661242315</v>
      </c>
      <c r="J912" s="84">
        <v>78.657643634721722</v>
      </c>
      <c r="K912" s="84">
        <v>77.386140619213833</v>
      </c>
      <c r="L912" s="84">
        <v>77.998170055782936</v>
      </c>
      <c r="M912" s="85">
        <v>7336802.45050277</v>
      </c>
      <c r="N912" s="83" t="s">
        <v>917</v>
      </c>
      <c r="O912" s="25">
        <f t="shared" si="28"/>
        <v>-6.8126520681266456E-3</v>
      </c>
    </row>
    <row r="913" spans="1:15">
      <c r="A913" s="84">
        <v>422.92169359173687</v>
      </c>
      <c r="B913" s="84">
        <v>422.9506482707751</v>
      </c>
      <c r="C913" s="84">
        <v>420.75974422355068</v>
      </c>
      <c r="D913" s="84">
        <v>420.84660826066533</v>
      </c>
      <c r="E913" s="85">
        <v>4208136.4410642581</v>
      </c>
      <c r="F913" s="83" t="s">
        <v>918</v>
      </c>
      <c r="G913" s="25">
        <f t="shared" si="27"/>
        <v>4.9307402990550475E-3</v>
      </c>
      <c r="I913" s="84">
        <v>78.396700851688394</v>
      </c>
      <c r="J913" s="84">
        <v>78.434656165584144</v>
      </c>
      <c r="K913" s="84">
        <v>76.783600011118665</v>
      </c>
      <c r="L913" s="84">
        <v>76.783600011118665</v>
      </c>
      <c r="M913" s="85">
        <v>10446629.978847662</v>
      </c>
      <c r="N913" s="83" t="s">
        <v>918</v>
      </c>
      <c r="O913" s="25">
        <f t="shared" si="28"/>
        <v>2.1008403361344685E-2</v>
      </c>
    </row>
    <row r="914" spans="1:15">
      <c r="A914" s="84">
        <v>420.36403027669525</v>
      </c>
      <c r="B914" s="84">
        <v>421.19406440912377</v>
      </c>
      <c r="C914" s="84">
        <v>419.3120102716403</v>
      </c>
      <c r="D914" s="84">
        <v>419.49538990554896</v>
      </c>
      <c r="E914" s="85">
        <v>4435008.581188201</v>
      </c>
      <c r="F914" s="83" t="s">
        <v>919</v>
      </c>
      <c r="G914" s="25">
        <f t="shared" si="27"/>
        <v>2.0706791827720394E-3</v>
      </c>
      <c r="I914" s="84">
        <v>76.565356956218054</v>
      </c>
      <c r="J914" s="84">
        <v>77.319718819896252</v>
      </c>
      <c r="K914" s="84">
        <v>76.252225616578059</v>
      </c>
      <c r="L914" s="84">
        <v>76.252225616578059</v>
      </c>
      <c r="M914" s="85">
        <v>8115951.3222844647</v>
      </c>
      <c r="N914" s="83" t="s">
        <v>919</v>
      </c>
      <c r="O914" s="25">
        <f t="shared" si="28"/>
        <v>4.1065206570432E-3</v>
      </c>
    </row>
    <row r="915" spans="1:15">
      <c r="A915" s="84">
        <v>417.99939815524158</v>
      </c>
      <c r="B915" s="84">
        <v>419.11897907805229</v>
      </c>
      <c r="C915" s="84">
        <v>417.17901558249241</v>
      </c>
      <c r="D915" s="84">
        <v>418.09591375203564</v>
      </c>
      <c r="E915" s="85">
        <v>5518321.5738347238</v>
      </c>
      <c r="F915" s="83" t="s">
        <v>920</v>
      </c>
      <c r="G915" s="25">
        <f t="shared" si="27"/>
        <v>-2.3084558738672989E-4</v>
      </c>
      <c r="I915" s="84">
        <v>76.176314988786544</v>
      </c>
      <c r="J915" s="84">
        <v>77.798904657830192</v>
      </c>
      <c r="K915" s="84">
        <v>75.597496451876225</v>
      </c>
      <c r="L915" s="84">
        <v>77.561683945981699</v>
      </c>
      <c r="M915" s="85">
        <v>20230698.713463053</v>
      </c>
      <c r="N915" s="83" t="s">
        <v>920</v>
      </c>
      <c r="O915" s="25">
        <f t="shared" si="28"/>
        <v>-1.7861512111573052E-2</v>
      </c>
    </row>
    <row r="916" spans="1:15">
      <c r="A916" s="84">
        <v>418.63640109408215</v>
      </c>
      <c r="B916" s="84">
        <v>420.19435585753126</v>
      </c>
      <c r="C916" s="84">
        <v>416.21385961455212</v>
      </c>
      <c r="D916" s="84">
        <v>419.09002439901411</v>
      </c>
      <c r="E916" s="85">
        <v>8650563.5123595856</v>
      </c>
      <c r="F916" s="83" t="s">
        <v>921</v>
      </c>
      <c r="G916" s="25">
        <f t="shared" si="27"/>
        <v>-1.08240062641074E-3</v>
      </c>
      <c r="I916" s="84">
        <v>77.675549887668978</v>
      </c>
      <c r="J916" s="84">
        <v>79.791558637357497</v>
      </c>
      <c r="K916" s="84">
        <v>77.248552606341704</v>
      </c>
      <c r="L916" s="84">
        <v>79.582804410930834</v>
      </c>
      <c r="M916" s="85">
        <v>11723955.207487604</v>
      </c>
      <c r="N916" s="83" t="s">
        <v>921</v>
      </c>
      <c r="O916" s="25">
        <f t="shared" si="28"/>
        <v>-2.3965661142244077E-2</v>
      </c>
    </row>
    <row r="917" spans="1:15">
      <c r="A917" s="84">
        <v>417.41065301479807</v>
      </c>
      <c r="B917" s="84">
        <v>417.53612329063031</v>
      </c>
      <c r="C917" s="84">
        <v>411.64867188619473</v>
      </c>
      <c r="D917" s="84">
        <v>412.00577959433264</v>
      </c>
      <c r="E917" s="85">
        <v>8971727.1483898517</v>
      </c>
      <c r="F917" s="83" t="s">
        <v>922</v>
      </c>
      <c r="G917" s="25">
        <f t="shared" si="27"/>
        <v>1.311844077961033E-2</v>
      </c>
      <c r="I917" s="84">
        <v>78.966030560124764</v>
      </c>
      <c r="J917" s="84">
        <v>79.132085058418696</v>
      </c>
      <c r="K917" s="84">
        <v>76.404046872161089</v>
      </c>
      <c r="L917" s="84">
        <v>77.039798379915027</v>
      </c>
      <c r="M917" s="85">
        <v>8492008.2833519168</v>
      </c>
      <c r="N917" s="83" t="s">
        <v>922</v>
      </c>
      <c r="O917" s="25">
        <f t="shared" si="28"/>
        <v>2.5003079196945555E-2</v>
      </c>
    </row>
    <row r="918" spans="1:15">
      <c r="A918" s="84">
        <v>411.80309684106521</v>
      </c>
      <c r="B918" s="84">
        <v>411.80309684106521</v>
      </c>
      <c r="C918" s="84">
        <v>408.52533065834336</v>
      </c>
      <c r="D918" s="84">
        <v>409.4384647196116</v>
      </c>
      <c r="E918" s="85">
        <v>6198539.0949480003</v>
      </c>
      <c r="F918" s="83" t="s">
        <v>923</v>
      </c>
      <c r="G918" s="25">
        <f t="shared" si="27"/>
        <v>5.7753052661355664E-3</v>
      </c>
      <c r="I918" s="84">
        <v>76.897465952805945</v>
      </c>
      <c r="J918" s="84">
        <v>77.405118276161716</v>
      </c>
      <c r="K918" s="84">
        <v>76.774111182644731</v>
      </c>
      <c r="L918" s="84">
        <v>77.058776036862909</v>
      </c>
      <c r="M918" s="85">
        <v>7178162.2132875817</v>
      </c>
      <c r="N918" s="83" t="s">
        <v>923</v>
      </c>
      <c r="O918" s="25">
        <f t="shared" si="28"/>
        <v>-2.0933382588350646E-3</v>
      </c>
    </row>
    <row r="919" spans="1:15">
      <c r="A919" s="84">
        <v>409.76661774871127</v>
      </c>
      <c r="B919" s="84">
        <v>409.91139114390228</v>
      </c>
      <c r="C919" s="84">
        <v>407.50815278373113</v>
      </c>
      <c r="D919" s="84">
        <v>407.69153241763979</v>
      </c>
      <c r="E919" s="85">
        <v>5436516.1427721158</v>
      </c>
      <c r="F919" s="83" t="s">
        <v>924</v>
      </c>
      <c r="G919" s="25">
        <f t="shared" si="27"/>
        <v>5.0898416230675814E-3</v>
      </c>
      <c r="I919" s="84">
        <v>77.704016373090809</v>
      </c>
      <c r="J919" s="84">
        <v>78.083569512048385</v>
      </c>
      <c r="K919" s="84">
        <v>77.172641978550189</v>
      </c>
      <c r="L919" s="84">
        <v>77.172641978550189</v>
      </c>
      <c r="M919" s="85">
        <v>6214983.2470852844</v>
      </c>
      <c r="N919" s="83" t="s">
        <v>924</v>
      </c>
      <c r="O919" s="25">
        <f t="shared" si="28"/>
        <v>6.8855280954138731E-3</v>
      </c>
    </row>
    <row r="920" spans="1:15">
      <c r="A920" s="84">
        <v>408.18376196128929</v>
      </c>
      <c r="B920" s="84">
        <v>408.61808214686238</v>
      </c>
      <c r="C920" s="84">
        <v>405.51027993009478</v>
      </c>
      <c r="D920" s="84">
        <v>405.72261424304168</v>
      </c>
      <c r="E920" s="85">
        <v>5310310.6339775613</v>
      </c>
      <c r="F920" s="83" t="s">
        <v>925</v>
      </c>
      <c r="G920" s="25">
        <f t="shared" si="27"/>
        <v>6.0660846397220247E-3</v>
      </c>
      <c r="I920" s="84">
        <v>77.163153150076241</v>
      </c>
      <c r="J920" s="84">
        <v>77.903281771043524</v>
      </c>
      <c r="K920" s="84">
        <v>77.006587480256243</v>
      </c>
      <c r="L920" s="84">
        <v>77.514239803612014</v>
      </c>
      <c r="M920" s="85">
        <v>5833210.0903727161</v>
      </c>
      <c r="N920" s="83" t="s">
        <v>925</v>
      </c>
      <c r="O920" s="25">
        <f t="shared" si="28"/>
        <v>-4.5293181539969307E-3</v>
      </c>
    </row>
    <row r="921" spans="1:15">
      <c r="A921" s="84">
        <v>406.45613277867625</v>
      </c>
      <c r="B921" s="84">
        <v>406.97731700136399</v>
      </c>
      <c r="C921" s="84">
        <v>404.67059423798673</v>
      </c>
      <c r="D921" s="84">
        <v>405.18212690099512</v>
      </c>
      <c r="E921" s="85">
        <v>3365519.2610290111</v>
      </c>
      <c r="F921" s="83" t="s">
        <v>926</v>
      </c>
      <c r="G921" s="25">
        <f t="shared" si="27"/>
        <v>3.1442795550367109E-3</v>
      </c>
      <c r="I921" s="84">
        <v>77.333952062607167</v>
      </c>
      <c r="J921" s="84">
        <v>78.899608760807183</v>
      </c>
      <c r="K921" s="84">
        <v>77.267530263289586</v>
      </c>
      <c r="L921" s="84">
        <v>78.757276333698087</v>
      </c>
      <c r="M921" s="85">
        <v>5737215.099789666</v>
      </c>
      <c r="N921" s="83" t="s">
        <v>926</v>
      </c>
      <c r="O921" s="25">
        <f t="shared" si="28"/>
        <v>-1.8072289156626398E-2</v>
      </c>
    </row>
    <row r="922" spans="1:15">
      <c r="A922" s="84">
        <v>403.30007276351165</v>
      </c>
      <c r="B922" s="84">
        <v>406.97731700136399</v>
      </c>
      <c r="C922" s="84">
        <v>402.91401037633551</v>
      </c>
      <c r="D922" s="84">
        <v>406.91940764328757</v>
      </c>
      <c r="E922" s="85">
        <v>4353494.2947792392</v>
      </c>
      <c r="F922" s="83" t="s">
        <v>927</v>
      </c>
      <c r="G922" s="25">
        <f t="shared" si="27"/>
        <v>-8.8944759374777194E-3</v>
      </c>
      <c r="I922" s="84">
        <v>78.482100307953843</v>
      </c>
      <c r="J922" s="84">
        <v>79.165295958077493</v>
      </c>
      <c r="K922" s="84">
        <v>78.121524825944135</v>
      </c>
      <c r="L922" s="84">
        <v>78.396700851688394</v>
      </c>
      <c r="M922" s="85">
        <v>6455835.9515341781</v>
      </c>
      <c r="N922" s="83" t="s">
        <v>927</v>
      </c>
      <c r="O922" s="25">
        <f t="shared" si="28"/>
        <v>1.0893246187362315E-3</v>
      </c>
    </row>
    <row r="923" spans="1:15">
      <c r="A923" s="84">
        <v>404.9890957074071</v>
      </c>
      <c r="B923" s="84">
        <v>405.81912983983568</v>
      </c>
      <c r="C923" s="84">
        <v>403.43519459902325</v>
      </c>
      <c r="D923" s="84">
        <v>403.76334762812292</v>
      </c>
      <c r="E923" s="85">
        <v>3542725.8532080986</v>
      </c>
      <c r="F923" s="83" t="s">
        <v>928</v>
      </c>
      <c r="G923" s="25">
        <f t="shared" si="27"/>
        <v>3.0358081942918336E-3</v>
      </c>
      <c r="I923" s="84">
        <v>78.463122651005961</v>
      </c>
      <c r="J923" s="84">
        <v>79.089385330285964</v>
      </c>
      <c r="K923" s="84">
        <v>78.434656165584144</v>
      </c>
      <c r="L923" s="84">
        <v>78.69085453438052</v>
      </c>
      <c r="M923" s="85">
        <v>6266020.1059904741</v>
      </c>
      <c r="N923" s="83" t="s">
        <v>928</v>
      </c>
      <c r="O923" s="25">
        <f t="shared" si="28"/>
        <v>-2.8940069938503399E-3</v>
      </c>
    </row>
    <row r="924" spans="1:15">
      <c r="A924" s="84">
        <v>405.11456598323929</v>
      </c>
      <c r="B924" s="84">
        <v>405.24003625907153</v>
      </c>
      <c r="C924" s="84">
        <v>402.95261661505316</v>
      </c>
      <c r="D924" s="84">
        <v>404.0625459781844</v>
      </c>
      <c r="E924" s="85">
        <v>6015689.891438826</v>
      </c>
      <c r="F924" s="83" t="s">
        <v>929</v>
      </c>
      <c r="G924" s="25">
        <f t="shared" si="27"/>
        <v>2.6036068314820859E-3</v>
      </c>
      <c r="I924" s="84">
        <v>78.880631103859301</v>
      </c>
      <c r="J924" s="84">
        <v>78.932819660465981</v>
      </c>
      <c r="K924" s="84">
        <v>77.751460515460494</v>
      </c>
      <c r="L924" s="84">
        <v>77.874815285621708</v>
      </c>
      <c r="M924" s="85">
        <v>5822911.6641477738</v>
      </c>
      <c r="N924" s="83" t="s">
        <v>929</v>
      </c>
      <c r="O924" s="25">
        <f t="shared" si="28"/>
        <v>1.2915803582307817E-2</v>
      </c>
    </row>
    <row r="925" spans="1:15">
      <c r="A925" s="84">
        <v>407.16069663527264</v>
      </c>
      <c r="B925" s="84">
        <v>407.65292617892214</v>
      </c>
      <c r="C925" s="84">
        <v>403.67648359100832</v>
      </c>
      <c r="D925" s="84">
        <v>404.23627405241365</v>
      </c>
      <c r="E925" s="85">
        <v>5153182.6618803209</v>
      </c>
      <c r="F925" s="83" t="s">
        <v>930</v>
      </c>
      <c r="G925" s="25">
        <f t="shared" si="27"/>
        <v>7.2344387937828269E-3</v>
      </c>
      <c r="I925" s="84">
        <v>78.112035997470201</v>
      </c>
      <c r="J925" s="84">
        <v>78.192691039498683</v>
      </c>
      <c r="K925" s="84">
        <v>77.210597292445954</v>
      </c>
      <c r="L925" s="84">
        <v>77.314974405659285</v>
      </c>
      <c r="M925" s="85">
        <v>5782991.0352692613</v>
      </c>
      <c r="N925" s="83" t="s">
        <v>930</v>
      </c>
      <c r="O925" s="25">
        <f t="shared" si="28"/>
        <v>1.0309278350515427E-2</v>
      </c>
    </row>
    <row r="926" spans="1:15">
      <c r="A926" s="84">
        <v>404.78641295413956</v>
      </c>
      <c r="B926" s="84">
        <v>405.0759597445217</v>
      </c>
      <c r="C926" s="84">
        <v>402.0550215648687</v>
      </c>
      <c r="D926" s="84">
        <v>403.95637882171104</v>
      </c>
      <c r="E926" s="85">
        <v>4564744.0893954635</v>
      </c>
      <c r="F926" s="83" t="s">
        <v>931</v>
      </c>
      <c r="G926" s="25">
        <f t="shared" si="27"/>
        <v>2.0547617909874027E-3</v>
      </c>
      <c r="I926" s="84">
        <v>77.314974405659285</v>
      </c>
      <c r="J926" s="84">
        <v>77.727738444275658</v>
      </c>
      <c r="K926" s="84">
        <v>76.906954781279879</v>
      </c>
      <c r="L926" s="84">
        <v>76.992354237545342</v>
      </c>
      <c r="M926" s="85">
        <v>8817019.9545471482</v>
      </c>
      <c r="N926" s="83" t="s">
        <v>931</v>
      </c>
      <c r="O926" s="25">
        <f t="shared" si="28"/>
        <v>4.1902883904363364E-3</v>
      </c>
    </row>
    <row r="927" spans="1:15">
      <c r="A927" s="84">
        <v>403.22286028607641</v>
      </c>
      <c r="B927" s="84">
        <v>406.44648121899684</v>
      </c>
      <c r="C927" s="84">
        <v>402.82232055938124</v>
      </c>
      <c r="D927" s="84">
        <v>405.42283679939942</v>
      </c>
      <c r="E927" s="85">
        <v>4240369.5733593339</v>
      </c>
      <c r="F927" s="83" t="s">
        <v>932</v>
      </c>
      <c r="G927" s="25">
        <f t="shared" si="27"/>
        <v>-5.4263754126202546E-3</v>
      </c>
      <c r="I927" s="84">
        <v>76.812066496540496</v>
      </c>
      <c r="J927" s="84">
        <v>77.172641978550189</v>
      </c>
      <c r="K927" s="84">
        <v>76.024493733203514</v>
      </c>
      <c r="L927" s="84">
        <v>76.119382017942897</v>
      </c>
      <c r="M927" s="85">
        <v>7221189.6535159852</v>
      </c>
      <c r="N927" s="83" t="s">
        <v>932</v>
      </c>
      <c r="O927" s="25">
        <f t="shared" si="28"/>
        <v>9.0999750685616387E-3</v>
      </c>
    </row>
    <row r="928" spans="1:15">
      <c r="A928" s="84">
        <v>403.48345239742031</v>
      </c>
      <c r="B928" s="84">
        <v>404.64163955894855</v>
      </c>
      <c r="C928" s="84">
        <v>402.19014340038035</v>
      </c>
      <c r="D928" s="84">
        <v>402.71132762306809</v>
      </c>
      <c r="E928" s="85">
        <v>3504554.8205214096</v>
      </c>
      <c r="F928" s="83" t="s">
        <v>933</v>
      </c>
      <c r="G928" s="25">
        <f t="shared" si="27"/>
        <v>1.9173157579388533E-3</v>
      </c>
      <c r="I928" s="84">
        <v>76.09091553252108</v>
      </c>
      <c r="J928" s="84">
        <v>76.655500826720484</v>
      </c>
      <c r="K928" s="84">
        <v>75.506119033672192</v>
      </c>
      <c r="L928" s="84">
        <v>75.901138963042285</v>
      </c>
      <c r="M928" s="85">
        <v>7477063.1795964893</v>
      </c>
      <c r="N928" s="83" t="s">
        <v>933</v>
      </c>
      <c r="O928" s="25">
        <f t="shared" si="28"/>
        <v>2.5003125390674619E-3</v>
      </c>
    </row>
    <row r="929" spans="1:15">
      <c r="A929" s="84">
        <v>403.08773845056476</v>
      </c>
      <c r="B929" s="84">
        <v>403.94412134091817</v>
      </c>
      <c r="C929" s="84">
        <v>402.69202450370932</v>
      </c>
      <c r="D929" s="84">
        <v>403.23251184575582</v>
      </c>
      <c r="E929" s="85">
        <v>3763694.2843054482</v>
      </c>
      <c r="F929" s="83" t="s">
        <v>934</v>
      </c>
      <c r="G929" s="25">
        <f t="shared" si="27"/>
        <v>-3.5903204959442103E-4</v>
      </c>
      <c r="I929" s="84">
        <v>75.40771988239743</v>
      </c>
      <c r="J929" s="84">
        <v>75.901138963042285</v>
      </c>
      <c r="K929" s="84">
        <v>75.085099714283487</v>
      </c>
      <c r="L929" s="84">
        <v>75.682895908141688</v>
      </c>
      <c r="M929" s="85">
        <v>9883648.9939271789</v>
      </c>
      <c r="N929" s="83" t="s">
        <v>934</v>
      </c>
      <c r="O929" s="25">
        <f t="shared" si="28"/>
        <v>-3.6359077231696846E-3</v>
      </c>
    </row>
    <row r="930" spans="1:15">
      <c r="A930" s="84">
        <v>403.79230230716115</v>
      </c>
      <c r="B930" s="84">
        <v>403.90812102331398</v>
      </c>
      <c r="C930" s="84">
        <v>403.28076964415283</v>
      </c>
      <c r="D930" s="84">
        <v>403.61857423293191</v>
      </c>
      <c r="E930" s="85">
        <v>1400055.5815696488</v>
      </c>
      <c r="F930" s="83" t="s">
        <v>935</v>
      </c>
      <c r="G930" s="25">
        <f t="shared" ref="G930:G993" si="29">A930/D930-1</f>
        <v>4.304263612233683E-4</v>
      </c>
      <c r="I930" s="84">
        <v>75.891650134568351</v>
      </c>
      <c r="J930" s="84">
        <v>75.996027247781697</v>
      </c>
      <c r="K930" s="84">
        <v>75.365020154264712</v>
      </c>
      <c r="L930" s="84">
        <v>75.739828878985307</v>
      </c>
      <c r="M930" s="85">
        <v>2472659.3029306689</v>
      </c>
      <c r="N930" s="83" t="s">
        <v>935</v>
      </c>
      <c r="O930" s="25">
        <f t="shared" ref="O930:O993" si="30">I930/L930-1</f>
        <v>2.0045101478327609E-3</v>
      </c>
    </row>
    <row r="931" spans="1:15">
      <c r="A931" s="84">
        <v>403.5703164345349</v>
      </c>
      <c r="B931" s="84">
        <v>404.69954891702497</v>
      </c>
      <c r="C931" s="84">
        <v>402.52794798915943</v>
      </c>
      <c r="D931" s="84">
        <v>403.50275551677908</v>
      </c>
      <c r="E931" s="85">
        <v>3827426.9887006492</v>
      </c>
      <c r="F931" s="83" t="s">
        <v>936</v>
      </c>
      <c r="G931" s="25">
        <f t="shared" si="29"/>
        <v>1.6743607529834392E-4</v>
      </c>
      <c r="I931" s="84">
        <v>75.739828878985307</v>
      </c>
      <c r="J931" s="84">
        <v>75.78727302135502</v>
      </c>
      <c r="K931" s="84">
        <v>74.012862096728327</v>
      </c>
      <c r="L931" s="84">
        <v>74.022350925202275</v>
      </c>
      <c r="M931" s="85">
        <v>7403828.6383769354</v>
      </c>
      <c r="N931" s="83" t="s">
        <v>936</v>
      </c>
      <c r="O931" s="25">
        <f t="shared" si="30"/>
        <v>2.320215357005484E-2</v>
      </c>
    </row>
    <row r="932" spans="1:15">
      <c r="A932" s="84">
        <v>401.83303569224245</v>
      </c>
      <c r="B932" s="84">
        <v>402.31561367621254</v>
      </c>
      <c r="C932" s="84">
        <v>400.82927348558462</v>
      </c>
      <c r="D932" s="84">
        <v>401.89094505031886</v>
      </c>
      <c r="E932" s="85">
        <v>5437656.8910413822</v>
      </c>
      <c r="F932" s="83" t="s">
        <v>937</v>
      </c>
      <c r="G932" s="25">
        <f t="shared" si="29"/>
        <v>-1.4409221902011993E-4</v>
      </c>
      <c r="I932" s="84">
        <v>74.155194523837423</v>
      </c>
      <c r="J932" s="84">
        <v>75.056633228861671</v>
      </c>
      <c r="K932" s="84">
        <v>74.121983624178625</v>
      </c>
      <c r="L932" s="84">
        <v>74.895323144804706</v>
      </c>
      <c r="M932" s="85">
        <v>7508876.379806512</v>
      </c>
      <c r="N932" s="83" t="s">
        <v>937</v>
      </c>
      <c r="O932" s="25">
        <f t="shared" si="30"/>
        <v>-9.8821740782972789E-3</v>
      </c>
    </row>
    <row r="933" spans="1:15">
      <c r="A933" s="84">
        <v>402.88505569729733</v>
      </c>
      <c r="B933" s="84">
        <v>403.62822579261132</v>
      </c>
      <c r="C933" s="84">
        <v>399.55517109230669</v>
      </c>
      <c r="D933" s="84">
        <v>399.5649191675829</v>
      </c>
      <c r="E933" s="85">
        <v>3651650.2172405329</v>
      </c>
      <c r="F933" s="83" t="s">
        <v>938</v>
      </c>
      <c r="G933" s="25">
        <f t="shared" si="29"/>
        <v>8.3093794536099885E-3</v>
      </c>
      <c r="I933" s="84">
        <v>75.123055028179252</v>
      </c>
      <c r="J933" s="84">
        <v>75.739828878985307</v>
      </c>
      <c r="K933" s="84">
        <v>74.952256115648339</v>
      </c>
      <c r="L933" s="84">
        <v>75.493119338662893</v>
      </c>
      <c r="M933" s="85">
        <v>8813065.8310109247</v>
      </c>
      <c r="N933" s="83" t="s">
        <v>938</v>
      </c>
      <c r="O933" s="25">
        <f t="shared" si="30"/>
        <v>-4.9019607843137081E-3</v>
      </c>
    </row>
    <row r="934" spans="1:15">
      <c r="A934" s="84">
        <v>399.87376907732374</v>
      </c>
      <c r="B934" s="84">
        <v>400.33704394193512</v>
      </c>
      <c r="C934" s="84">
        <v>398.48394448348978</v>
      </c>
      <c r="D934" s="84">
        <v>399.51666136918584</v>
      </c>
      <c r="E934" s="85">
        <v>4869823.2784392694</v>
      </c>
      <c r="F934" s="83" t="s">
        <v>939</v>
      </c>
      <c r="G934" s="25">
        <f t="shared" si="29"/>
        <v>8.9384935014735767E-4</v>
      </c>
      <c r="I934" s="84">
        <v>75.606985280350173</v>
      </c>
      <c r="J934" s="84">
        <v>76.55586812774412</v>
      </c>
      <c r="K934" s="84">
        <v>75.355531325790778</v>
      </c>
      <c r="L934" s="84">
        <v>76.517912813848369</v>
      </c>
      <c r="M934" s="85">
        <v>8319996.5324300071</v>
      </c>
      <c r="N934" s="83" t="s">
        <v>939</v>
      </c>
      <c r="O934" s="25">
        <f t="shared" si="30"/>
        <v>-1.1904761904761973E-2</v>
      </c>
    </row>
    <row r="935" spans="1:15">
      <c r="A935" s="84">
        <v>399.28502393688018</v>
      </c>
      <c r="B935" s="84">
        <v>399.52631292886525</v>
      </c>
      <c r="C935" s="84">
        <v>397.40296979939671</v>
      </c>
      <c r="D935" s="84">
        <v>398.35847420765759</v>
      </c>
      <c r="E935" s="85">
        <v>3936036.3777341214</v>
      </c>
      <c r="F935" s="83" t="s">
        <v>940</v>
      </c>
      <c r="G935" s="25">
        <f t="shared" si="29"/>
        <v>2.3259194650384618E-3</v>
      </c>
      <c r="I935" s="84">
        <v>76.128870846416845</v>
      </c>
      <c r="J935" s="84">
        <v>76.698200554853216</v>
      </c>
      <c r="K935" s="84">
        <v>75.844205992198667</v>
      </c>
      <c r="L935" s="84">
        <v>76.356602729791391</v>
      </c>
      <c r="M935" s="85">
        <v>7986939.6109481174</v>
      </c>
      <c r="N935" s="83" t="s">
        <v>940</v>
      </c>
      <c r="O935" s="25">
        <f t="shared" si="30"/>
        <v>-2.982477942090167E-3</v>
      </c>
    </row>
    <row r="936" spans="1:15">
      <c r="A936" s="84">
        <v>398.72523347547485</v>
      </c>
      <c r="B936" s="84">
        <v>400.26948302417929</v>
      </c>
      <c r="C936" s="84">
        <v>398.00136649951969</v>
      </c>
      <c r="D936" s="84">
        <v>399.13059898200976</v>
      </c>
      <c r="E936" s="85">
        <v>4574190.2310584076</v>
      </c>
      <c r="F936" s="83" t="s">
        <v>941</v>
      </c>
      <c r="G936" s="25">
        <f t="shared" si="29"/>
        <v>-1.0156212216472227E-3</v>
      </c>
      <c r="I936" s="84">
        <v>75.948583102858535</v>
      </c>
      <c r="J936" s="84">
        <v>76.527875904647686</v>
      </c>
      <c r="K936" s="84">
        <v>75.143224817444377</v>
      </c>
      <c r="L936" s="84">
        <v>75.835550361046032</v>
      </c>
      <c r="M936" s="85">
        <v>11420854.34095943</v>
      </c>
      <c r="N936" s="83" t="s">
        <v>941</v>
      </c>
      <c r="O936" s="25">
        <f t="shared" si="30"/>
        <v>1.4904980747731944E-3</v>
      </c>
    </row>
    <row r="937" spans="1:15">
      <c r="A937" s="84">
        <v>397.85659310432868</v>
      </c>
      <c r="B937" s="84">
        <v>399.10164430297152</v>
      </c>
      <c r="C937" s="84">
        <v>395.60353301276893</v>
      </c>
      <c r="D937" s="84">
        <v>395.75255309421891</v>
      </c>
      <c r="E937" s="85">
        <v>7224858.1904139528</v>
      </c>
      <c r="F937" s="83" t="s">
        <v>942</v>
      </c>
      <c r="G937" s="25">
        <f t="shared" si="29"/>
        <v>5.3165544824895772E-3</v>
      </c>
      <c r="I937" s="84">
        <v>76.005099473764801</v>
      </c>
      <c r="J937" s="84">
        <v>77.474525117327488</v>
      </c>
      <c r="K937" s="84">
        <v>75.929744312556451</v>
      </c>
      <c r="L937" s="84">
        <v>77.408589351270194</v>
      </c>
      <c r="M937" s="85">
        <v>13938190.074281413</v>
      </c>
      <c r="N937" s="83" t="s">
        <v>942</v>
      </c>
      <c r="O937" s="25">
        <f t="shared" si="30"/>
        <v>-1.8130932100267838E-2</v>
      </c>
    </row>
    <row r="938" spans="1:15">
      <c r="A938" s="84">
        <v>390.35733123343289</v>
      </c>
      <c r="B938" s="84">
        <v>391.36109344009077</v>
      </c>
      <c r="C938" s="84">
        <v>388.78412700569032</v>
      </c>
      <c r="D938" s="84">
        <v>389.52729710100431</v>
      </c>
      <c r="E938" s="85">
        <v>2976659.8305672645</v>
      </c>
      <c r="F938" s="83" t="s">
        <v>943</v>
      </c>
      <c r="G938" s="25">
        <f t="shared" si="29"/>
        <v>2.1308753933446667E-3</v>
      </c>
      <c r="I938" s="84">
        <v>77.267298424004537</v>
      </c>
      <c r="J938" s="84">
        <v>78.00201124578588</v>
      </c>
      <c r="K938" s="84">
        <v>76.86226443250969</v>
      </c>
      <c r="L938" s="84">
        <v>77.48394451247853</v>
      </c>
      <c r="M938" s="85">
        <v>8217439.5233254861</v>
      </c>
      <c r="N938" s="83" t="s">
        <v>943</v>
      </c>
      <c r="O938" s="25">
        <f t="shared" si="30"/>
        <v>-2.7960126428399068E-3</v>
      </c>
    </row>
    <row r="939" spans="1:15">
      <c r="A939" s="84">
        <v>390.75304518028844</v>
      </c>
      <c r="B939" s="84">
        <v>390.99336901630551</v>
      </c>
      <c r="C939" s="84">
        <v>385.23235304367017</v>
      </c>
      <c r="D939" s="84">
        <v>386.63182919718355</v>
      </c>
      <c r="E939" s="85">
        <v>4138646.1180202705</v>
      </c>
      <c r="F939" s="83" t="s">
        <v>944</v>
      </c>
      <c r="G939" s="25">
        <f t="shared" si="29"/>
        <v>1.065927756559093E-2</v>
      </c>
      <c r="I939" s="84">
        <v>77.446266931874362</v>
      </c>
      <c r="J939" s="84">
        <v>78.049108221541104</v>
      </c>
      <c r="K939" s="84">
        <v>77.031813545228474</v>
      </c>
      <c r="L939" s="84">
        <v>77.95491427003067</v>
      </c>
      <c r="M939" s="85">
        <v>10991134.60470313</v>
      </c>
      <c r="N939" s="83" t="s">
        <v>944</v>
      </c>
      <c r="O939" s="25">
        <f t="shared" si="30"/>
        <v>-6.5248912518124369E-3</v>
      </c>
    </row>
    <row r="940" spans="1:15">
      <c r="A940" s="84">
        <v>384.74977505970008</v>
      </c>
      <c r="B940" s="84">
        <v>388.84203636376674</v>
      </c>
      <c r="C940" s="84">
        <v>384.33475799348577</v>
      </c>
      <c r="D940" s="84">
        <v>388.77447544601091</v>
      </c>
      <c r="E940" s="85">
        <v>4295279.8694776921</v>
      </c>
      <c r="F940" s="83" t="s">
        <v>945</v>
      </c>
      <c r="G940" s="25">
        <f t="shared" si="29"/>
        <v>-1.0352275266254596E-2</v>
      </c>
      <c r="I940" s="84">
        <v>77.644074230046257</v>
      </c>
      <c r="J940" s="84">
        <v>78.981628341494343</v>
      </c>
      <c r="K940" s="84">
        <v>77.374491140823409</v>
      </c>
      <c r="L940" s="84">
        <v>78.802659833624517</v>
      </c>
      <c r="M940" s="85">
        <v>10232166.551514652</v>
      </c>
      <c r="N940" s="83" t="s">
        <v>945</v>
      </c>
      <c r="O940" s="25">
        <f t="shared" si="30"/>
        <v>-1.4702366722447846E-2</v>
      </c>
    </row>
    <row r="941" spans="1:15">
      <c r="A941" s="84">
        <v>387.67419764255902</v>
      </c>
      <c r="B941" s="84">
        <v>388.47778650146603</v>
      </c>
      <c r="C941" s="84">
        <v>385.63771855020514</v>
      </c>
      <c r="D941" s="84">
        <v>387.98304755229992</v>
      </c>
      <c r="E941" s="85">
        <v>3866585.4265650045</v>
      </c>
      <c r="F941" s="83" t="s">
        <v>946</v>
      </c>
      <c r="G941" s="25">
        <f t="shared" si="29"/>
        <v>-7.9603970248021128E-4</v>
      </c>
      <c r="I941" s="84">
        <v>78.369367656676559</v>
      </c>
      <c r="J941" s="84">
        <v>78.444722817884895</v>
      </c>
      <c r="K941" s="84">
        <v>77.719429391254607</v>
      </c>
      <c r="L941" s="84">
        <v>78.039688826390048</v>
      </c>
      <c r="M941" s="85">
        <v>10451507.599094681</v>
      </c>
      <c r="N941" s="83" t="s">
        <v>946</v>
      </c>
      <c r="O941" s="25">
        <f t="shared" si="30"/>
        <v>4.2245021122511162E-3</v>
      </c>
    </row>
    <row r="942" spans="1:15">
      <c r="A942" s="84">
        <v>387.35569617313871</v>
      </c>
      <c r="B942" s="84">
        <v>388.03130535069693</v>
      </c>
      <c r="C942" s="84">
        <v>385.31921708078482</v>
      </c>
      <c r="D942" s="84">
        <v>386.31332772776329</v>
      </c>
      <c r="E942" s="85">
        <v>3479829.2831029049</v>
      </c>
      <c r="F942" s="83" t="s">
        <v>947</v>
      </c>
      <c r="G942" s="25">
        <f t="shared" si="29"/>
        <v>2.6982461400089086E-3</v>
      </c>
      <c r="I942" s="84">
        <v>77.870139713671293</v>
      </c>
      <c r="J942" s="84">
        <v>77.888978503973362</v>
      </c>
      <c r="K942" s="84">
        <v>77.36149237551497</v>
      </c>
      <c r="L942" s="84">
        <v>77.615816044593132</v>
      </c>
      <c r="M942" s="85">
        <v>6744507.3681792039</v>
      </c>
      <c r="N942" s="83" t="s">
        <v>947</v>
      </c>
      <c r="O942" s="25">
        <f t="shared" si="30"/>
        <v>3.2766990291261955E-3</v>
      </c>
    </row>
    <row r="943" spans="1:15">
      <c r="A943" s="84">
        <v>386.26506992936623</v>
      </c>
      <c r="B943" s="84">
        <v>386.76984650059904</v>
      </c>
      <c r="C943" s="84">
        <v>384.57604698547084</v>
      </c>
      <c r="D943" s="84">
        <v>386.17820589225164</v>
      </c>
      <c r="E943" s="85">
        <v>4151769.3855757006</v>
      </c>
      <c r="F943" s="83" t="s">
        <v>948</v>
      </c>
      <c r="G943" s="25">
        <f t="shared" si="29"/>
        <v>2.2493252024391452E-4</v>
      </c>
      <c r="I943" s="84">
        <v>77.615816044593132</v>
      </c>
      <c r="J943" s="84">
        <v>78.133882777900482</v>
      </c>
      <c r="K943" s="84">
        <v>77.295556609457677</v>
      </c>
      <c r="L943" s="84">
        <v>77.898397899124419</v>
      </c>
      <c r="M943" s="85">
        <v>6317464.0245782444</v>
      </c>
      <c r="N943" s="83" t="s">
        <v>948</v>
      </c>
      <c r="O943" s="25">
        <f t="shared" si="30"/>
        <v>-3.6275695284160303E-3</v>
      </c>
    </row>
    <row r="944" spans="1:15">
      <c r="A944" s="84">
        <v>385.52189983405231</v>
      </c>
      <c r="B944" s="84">
        <v>386.88276974884803</v>
      </c>
      <c r="C944" s="84">
        <v>383.97765028534786</v>
      </c>
      <c r="D944" s="84">
        <v>384.0548627627831</v>
      </c>
      <c r="E944" s="85">
        <v>6197376.5885373577</v>
      </c>
      <c r="F944" s="83" t="s">
        <v>949</v>
      </c>
      <c r="G944" s="25">
        <f t="shared" si="29"/>
        <v>3.8198632891033313E-3</v>
      </c>
      <c r="I944" s="84">
        <v>77.917236689426502</v>
      </c>
      <c r="J944" s="84">
        <v>78.991047736645385</v>
      </c>
      <c r="K944" s="84">
        <v>77.870139713671293</v>
      </c>
      <c r="L944" s="84">
        <v>78.341109471223433</v>
      </c>
      <c r="M944" s="85">
        <v>22580487.02590546</v>
      </c>
      <c r="N944" s="83" t="s">
        <v>949</v>
      </c>
      <c r="O944" s="25">
        <f t="shared" si="30"/>
        <v>-5.4106047853793582E-3</v>
      </c>
    </row>
    <row r="945" spans="1:15">
      <c r="A945" s="84">
        <v>381.98942899139092</v>
      </c>
      <c r="B945" s="84">
        <v>382.11451320483604</v>
      </c>
      <c r="C945" s="84">
        <v>378.26392695514164</v>
      </c>
      <c r="D945" s="84">
        <v>378.27357851482105</v>
      </c>
      <c r="E945" s="85">
        <v>4923726.4834425263</v>
      </c>
      <c r="F945" s="83" t="s">
        <v>950</v>
      </c>
      <c r="G945" s="25">
        <f t="shared" si="29"/>
        <v>9.8231827111983083E-3</v>
      </c>
      <c r="I945" s="84">
        <v>77.973753060332754</v>
      </c>
      <c r="J945" s="84">
        <v>78.369367656676559</v>
      </c>
      <c r="K945" s="84">
        <v>77.455686327025404</v>
      </c>
      <c r="L945" s="84">
        <v>77.568719068837908</v>
      </c>
      <c r="M945" s="85">
        <v>16726822.42049866</v>
      </c>
      <c r="N945" s="83" t="s">
        <v>950</v>
      </c>
      <c r="O945" s="25">
        <f t="shared" si="30"/>
        <v>5.2216150576807063E-3</v>
      </c>
    </row>
    <row r="946" spans="1:15">
      <c r="A946" s="84">
        <v>374.86657794799191</v>
      </c>
      <c r="B946" s="84">
        <v>375.5228840061913</v>
      </c>
      <c r="C946" s="84">
        <v>371.21828838917781</v>
      </c>
      <c r="D946" s="84">
        <v>371.67191169410972</v>
      </c>
      <c r="E946" s="85">
        <v>5749494.5732372543</v>
      </c>
      <c r="F946" s="83" t="s">
        <v>951</v>
      </c>
      <c r="G946" s="25">
        <f t="shared" si="29"/>
        <v>8.5953932846867254E-3</v>
      </c>
      <c r="I946" s="84">
        <v>77.380331165817068</v>
      </c>
      <c r="J946" s="84">
        <v>77.992591850634838</v>
      </c>
      <c r="K946" s="84">
        <v>76.603231065856022</v>
      </c>
      <c r="L946" s="84">
        <v>77.239040238551411</v>
      </c>
      <c r="M946" s="85">
        <v>21445320.719731737</v>
      </c>
      <c r="N946" s="83" t="s">
        <v>951</v>
      </c>
      <c r="O946" s="25">
        <f t="shared" si="30"/>
        <v>1.8292682926830395E-3</v>
      </c>
    </row>
    <row r="947" spans="1:15">
      <c r="A947" s="84">
        <v>370.78396820360473</v>
      </c>
      <c r="B947" s="84">
        <v>371.08316655366622</v>
      </c>
      <c r="C947" s="84">
        <v>367.29975515934041</v>
      </c>
      <c r="D947" s="84">
        <v>369.02738434195351</v>
      </c>
      <c r="E947" s="85">
        <v>4686454.9878429901</v>
      </c>
      <c r="F947" s="83" t="s">
        <v>952</v>
      </c>
      <c r="G947" s="25">
        <f t="shared" si="29"/>
        <v>4.7600366156661522E-3</v>
      </c>
      <c r="I947" s="84">
        <v>76.664457134337795</v>
      </c>
      <c r="J947" s="84">
        <v>76.81516745675448</v>
      </c>
      <c r="K947" s="84">
        <v>74.158898024160408</v>
      </c>
      <c r="L947" s="84">
        <v>74.271930765972911</v>
      </c>
      <c r="M947" s="85">
        <v>19814192.632032923</v>
      </c>
      <c r="N947" s="83" t="s">
        <v>952</v>
      </c>
      <c r="O947" s="25">
        <f t="shared" si="30"/>
        <v>3.2213062777425527E-2</v>
      </c>
    </row>
    <row r="948" spans="1:15">
      <c r="A948" s="84">
        <v>368.55445791766277</v>
      </c>
      <c r="B948" s="84">
        <v>369.46170452752659</v>
      </c>
      <c r="C948" s="84">
        <v>365.51421661865095</v>
      </c>
      <c r="D948" s="84">
        <v>366.67240378017931</v>
      </c>
      <c r="E948" s="85">
        <v>6004999.3913095882</v>
      </c>
      <c r="F948" s="83" t="s">
        <v>953</v>
      </c>
      <c r="G948" s="25">
        <f t="shared" si="29"/>
        <v>5.1327946092494248E-3</v>
      </c>
      <c r="I948" s="84">
        <v>74.008187701743708</v>
      </c>
      <c r="J948" s="84">
        <v>75.166773305321982</v>
      </c>
      <c r="K948" s="84">
        <v>73.24992639208476</v>
      </c>
      <c r="L948" s="84">
        <v>74.479157459295848</v>
      </c>
      <c r="M948" s="85">
        <v>24821800.78984312</v>
      </c>
      <c r="N948" s="83" t="s">
        <v>953</v>
      </c>
      <c r="O948" s="25">
        <f t="shared" si="30"/>
        <v>-6.3235108132034812E-3</v>
      </c>
    </row>
    <row r="949" spans="1:15">
      <c r="A949" s="84">
        <v>364.17264982321399</v>
      </c>
      <c r="B949" s="84">
        <v>367.61825662876066</v>
      </c>
      <c r="C949" s="84">
        <v>362.84556036729617</v>
      </c>
      <c r="D949" s="84">
        <v>367.27080048030217</v>
      </c>
      <c r="E949" s="85">
        <v>5842322.057059586</v>
      </c>
      <c r="F949" s="83" t="s">
        <v>954</v>
      </c>
      <c r="G949" s="25">
        <f t="shared" si="29"/>
        <v>-8.4356029747982841E-3</v>
      </c>
      <c r="I949" s="84">
        <v>74.56393201565524</v>
      </c>
      <c r="J949" s="84">
        <v>75.138515119868856</v>
      </c>
      <c r="K949" s="84">
        <v>73.866896774478079</v>
      </c>
      <c r="L949" s="84">
        <v>73.97051012113954</v>
      </c>
      <c r="M949" s="85">
        <v>23299607.50990491</v>
      </c>
      <c r="N949" s="83" t="s">
        <v>954</v>
      </c>
      <c r="O949" s="25">
        <f t="shared" si="30"/>
        <v>8.0224118171399184E-3</v>
      </c>
    </row>
    <row r="950" spans="1:15">
      <c r="A950" s="84">
        <v>365.79411184935361</v>
      </c>
      <c r="B950" s="84">
        <v>370.0379991559837</v>
      </c>
      <c r="C950" s="84">
        <v>364.97372927660439</v>
      </c>
      <c r="D950" s="84">
        <v>369.2976280129767</v>
      </c>
      <c r="E950" s="85">
        <v>7210649.0879936805</v>
      </c>
      <c r="F950" s="83" t="s">
        <v>955</v>
      </c>
      <c r="G950" s="25">
        <f t="shared" si="29"/>
        <v>-9.4869717481640414E-3</v>
      </c>
      <c r="I950" s="84">
        <v>74.554512620504198</v>
      </c>
      <c r="J950" s="84">
        <v>75.195031490775108</v>
      </c>
      <c r="K950" s="84">
        <v>73.386507621774882</v>
      </c>
      <c r="L950" s="84">
        <v>73.471282178134274</v>
      </c>
      <c r="M950" s="85">
        <v>35270203.094008461</v>
      </c>
      <c r="N950" s="83" t="s">
        <v>955</v>
      </c>
      <c r="O950" s="25">
        <f t="shared" si="30"/>
        <v>1.4743589743589691E-2</v>
      </c>
    </row>
    <row r="951" spans="1:15">
      <c r="A951" s="84">
        <v>370.33999645835218</v>
      </c>
      <c r="B951" s="84">
        <v>374.17166565107499</v>
      </c>
      <c r="C951" s="84">
        <v>369.77055443726744</v>
      </c>
      <c r="D951" s="84">
        <v>374.09445317363981</v>
      </c>
      <c r="E951" s="85">
        <v>5668735.6051646192</v>
      </c>
      <c r="F951" s="83" t="s">
        <v>956</v>
      </c>
      <c r="G951" s="25">
        <f t="shared" si="29"/>
        <v>-1.0036119711042457E-2</v>
      </c>
      <c r="I951" s="84">
        <v>73.857477379327023</v>
      </c>
      <c r="J951" s="84">
        <v>74.742900523525051</v>
      </c>
      <c r="K951" s="84">
        <v>73.254636089660281</v>
      </c>
      <c r="L951" s="84">
        <v>74.742900523525051</v>
      </c>
      <c r="M951" s="85">
        <v>23523386.209725846</v>
      </c>
      <c r="N951" s="83" t="s">
        <v>956</v>
      </c>
      <c r="O951" s="25">
        <f t="shared" si="30"/>
        <v>-1.184625078764967E-2</v>
      </c>
    </row>
    <row r="952" spans="1:15">
      <c r="A952" s="84">
        <v>375.63870272234414</v>
      </c>
      <c r="B952" s="84">
        <v>376.66176804836078</v>
      </c>
      <c r="C952" s="84">
        <v>373.08103940730251</v>
      </c>
      <c r="D952" s="84">
        <v>374.75075923183908</v>
      </c>
      <c r="E952" s="85">
        <v>4612221.3899791101</v>
      </c>
      <c r="F952" s="83" t="s">
        <v>957</v>
      </c>
      <c r="G952" s="25">
        <f t="shared" si="29"/>
        <v>2.3694241269187621E-3</v>
      </c>
      <c r="I952" s="84">
        <v>73.829219193873897</v>
      </c>
      <c r="J952" s="84">
        <v>74.224833790217701</v>
      </c>
      <c r="K952" s="84">
        <v>72.491665082425811</v>
      </c>
      <c r="L952" s="84">
        <v>74.177736814462492</v>
      </c>
      <c r="M952" s="85">
        <v>27122945.359364681</v>
      </c>
      <c r="N952" s="83" t="s">
        <v>957</v>
      </c>
      <c r="O952" s="25">
        <f t="shared" si="30"/>
        <v>-4.6984126984128682E-3</v>
      </c>
    </row>
    <row r="953" spans="1:15">
      <c r="A953" s="84">
        <v>372.84940197499685</v>
      </c>
      <c r="B953" s="84">
        <v>376.35291813861994</v>
      </c>
      <c r="C953" s="84">
        <v>370.47511829386383</v>
      </c>
      <c r="D953" s="84">
        <v>372.04832252160645</v>
      </c>
      <c r="E953" s="85">
        <v>5737032.3387388559</v>
      </c>
      <c r="F953" s="83" t="s">
        <v>958</v>
      </c>
      <c r="G953" s="25">
        <f t="shared" si="29"/>
        <v>2.1531596970010281E-3</v>
      </c>
      <c r="I953" s="84">
        <v>68.884036739576402</v>
      </c>
      <c r="J953" s="84">
        <v>69.712943512868179</v>
      </c>
      <c r="K953" s="84">
        <v>68.309453635362786</v>
      </c>
      <c r="L953" s="84">
        <v>68.365970006269038</v>
      </c>
      <c r="M953" s="85">
        <v>8872347.8163826074</v>
      </c>
      <c r="N953" s="83" t="s">
        <v>958</v>
      </c>
      <c r="O953" s="25">
        <f t="shared" si="30"/>
        <v>7.5778451364012511E-3</v>
      </c>
    </row>
    <row r="954" spans="1:15">
      <c r="A954" s="84">
        <v>373.50570803319624</v>
      </c>
      <c r="B954" s="84">
        <v>378.16741135834758</v>
      </c>
      <c r="C954" s="84">
        <v>373.36093463800512</v>
      </c>
      <c r="D954" s="84">
        <v>377.74274273245391</v>
      </c>
      <c r="E954" s="85">
        <v>7822169.9401721954</v>
      </c>
      <c r="F954" s="83" t="s">
        <v>959</v>
      </c>
      <c r="G954" s="25">
        <f t="shared" si="29"/>
        <v>-1.1216720322959728E-2</v>
      </c>
      <c r="I954" s="84">
        <v>68.337711820815912</v>
      </c>
      <c r="J954" s="84">
        <v>69.844815044982781</v>
      </c>
      <c r="K954" s="84">
        <v>68.271776054758618</v>
      </c>
      <c r="L954" s="84">
        <v>69.788298674076515</v>
      </c>
      <c r="M954" s="85">
        <v>8488404.9047616199</v>
      </c>
      <c r="N954" s="83" t="s">
        <v>959</v>
      </c>
      <c r="O954" s="25">
        <f t="shared" si="30"/>
        <v>-2.0785531110811273E-2</v>
      </c>
    </row>
    <row r="955" spans="1:15">
      <c r="A955" s="84">
        <v>378.21566915674464</v>
      </c>
      <c r="B955" s="84">
        <v>383.74601285304226</v>
      </c>
      <c r="C955" s="84">
        <v>377.50627952030851</v>
      </c>
      <c r="D955" s="84">
        <v>382.17280862529964</v>
      </c>
      <c r="E955" s="85">
        <v>6951107.6166451778</v>
      </c>
      <c r="F955" s="83" t="s">
        <v>960</v>
      </c>
      <c r="G955" s="25">
        <f t="shared" si="29"/>
        <v>-1.0354319771699871E-2</v>
      </c>
      <c r="I955" s="84">
        <v>69.599910771055661</v>
      </c>
      <c r="J955" s="84">
        <v>70.499463007980253</v>
      </c>
      <c r="K955" s="84">
        <v>69.562233190451479</v>
      </c>
      <c r="L955" s="84">
        <v>69.684685327415053</v>
      </c>
      <c r="M955" s="85">
        <v>7878822.2396406764</v>
      </c>
      <c r="N955" s="83" t="s">
        <v>960</v>
      </c>
      <c r="O955" s="25">
        <f t="shared" si="30"/>
        <v>-1.2165450121655041E-3</v>
      </c>
    </row>
    <row r="956" spans="1:15">
      <c r="A956" s="84">
        <v>381.44894164934448</v>
      </c>
      <c r="B956" s="84">
        <v>385.87900754219015</v>
      </c>
      <c r="C956" s="84">
        <v>380.48378568140424</v>
      </c>
      <c r="D956" s="84">
        <v>384.99106405168516</v>
      </c>
      <c r="E956" s="85">
        <v>7593861.7627174594</v>
      </c>
      <c r="F956" s="83" t="s">
        <v>961</v>
      </c>
      <c r="G956" s="25">
        <f t="shared" si="29"/>
        <v>-9.2005314748425659E-3</v>
      </c>
      <c r="I956" s="84">
        <v>69.929589601342158</v>
      </c>
      <c r="J956" s="84">
        <v>70.546559983735463</v>
      </c>
      <c r="K956" s="84">
        <v>69.628168956508787</v>
      </c>
      <c r="L956" s="84">
        <v>69.712943512868179</v>
      </c>
      <c r="M956" s="85">
        <v>8271274.1901877066</v>
      </c>
      <c r="N956" s="83" t="s">
        <v>961</v>
      </c>
      <c r="O956" s="25">
        <f t="shared" si="30"/>
        <v>3.1076881502498654E-3</v>
      </c>
    </row>
    <row r="957" spans="1:15">
      <c r="A957" s="84">
        <v>386.62217763750414</v>
      </c>
      <c r="B957" s="84">
        <v>388.47527709594942</v>
      </c>
      <c r="C957" s="84">
        <v>383.46370473241973</v>
      </c>
      <c r="D957" s="84">
        <v>383.77496753208044</v>
      </c>
      <c r="E957" s="85">
        <v>4366764.6888144482</v>
      </c>
      <c r="F957" s="83" t="s">
        <v>962</v>
      </c>
      <c r="G957" s="25">
        <f t="shared" si="29"/>
        <v>7.4189573221334904E-3</v>
      </c>
      <c r="I957" s="84">
        <v>69.599910771055661</v>
      </c>
      <c r="J957" s="84">
        <v>70.570108471613068</v>
      </c>
      <c r="K957" s="84">
        <v>69.091263432899339</v>
      </c>
      <c r="L957" s="84">
        <v>69.46803923894106</v>
      </c>
      <c r="M957" s="85">
        <v>8530369.3826990649</v>
      </c>
      <c r="N957" s="83" t="s">
        <v>962</v>
      </c>
      <c r="O957" s="25">
        <f t="shared" si="30"/>
        <v>1.898305084745866E-3</v>
      </c>
    </row>
    <row r="958" spans="1:15">
      <c r="A958" s="84">
        <v>386.61252607782478</v>
      </c>
      <c r="B958" s="84">
        <v>387.60663672480325</v>
      </c>
      <c r="C958" s="84">
        <v>384.46022826931801</v>
      </c>
      <c r="D958" s="84">
        <v>384.68221414194426</v>
      </c>
      <c r="E958" s="85">
        <v>5336900.1188405808</v>
      </c>
      <c r="F958" s="83" t="s">
        <v>963</v>
      </c>
      <c r="G958" s="25">
        <f t="shared" si="29"/>
        <v>5.0179391323983413E-3</v>
      </c>
      <c r="I958" s="84">
        <v>69.684685327415053</v>
      </c>
      <c r="J958" s="84">
        <v>69.793008371652036</v>
      </c>
      <c r="K958" s="84">
        <v>68.375389401420094</v>
      </c>
      <c r="L958" s="84">
        <v>69.364425892279584</v>
      </c>
      <c r="M958" s="85">
        <v>6687987.815547307</v>
      </c>
      <c r="N958" s="83" t="s">
        <v>963</v>
      </c>
      <c r="O958" s="25">
        <f t="shared" si="30"/>
        <v>4.6170559478546647E-3</v>
      </c>
    </row>
    <row r="959" spans="1:15">
      <c r="A959" s="84">
        <v>382.60712881087272</v>
      </c>
      <c r="B959" s="84">
        <v>386.98893690532145</v>
      </c>
      <c r="C959" s="84">
        <v>381.19800109767993</v>
      </c>
      <c r="D959" s="84">
        <v>385.87900754219015</v>
      </c>
      <c r="E959" s="85">
        <v>3908403.5381870409</v>
      </c>
      <c r="F959" s="83" t="s">
        <v>964</v>
      </c>
      <c r="G959" s="25">
        <f t="shared" si="29"/>
        <v>-8.4790275380806079E-3</v>
      </c>
      <c r="I959" s="84">
        <v>68.99706948138892</v>
      </c>
      <c r="J959" s="84">
        <v>70.080299923758844</v>
      </c>
      <c r="K959" s="84">
        <v>68.851068856547755</v>
      </c>
      <c r="L959" s="84">
        <v>69.637588351659829</v>
      </c>
      <c r="M959" s="85">
        <v>9199986.68814799</v>
      </c>
      <c r="N959" s="83" t="s">
        <v>964</v>
      </c>
      <c r="O959" s="25">
        <f t="shared" si="30"/>
        <v>-9.1978898958473554E-3</v>
      </c>
    </row>
    <row r="960" spans="1:15">
      <c r="A960" s="84">
        <v>384.63395634354725</v>
      </c>
      <c r="B960" s="84">
        <v>387.79966791839126</v>
      </c>
      <c r="C960" s="84">
        <v>382.39479449792589</v>
      </c>
      <c r="D960" s="84">
        <v>387.49081800865042</v>
      </c>
      <c r="E960" s="85">
        <v>4012749.3676128555</v>
      </c>
      <c r="F960" s="83" t="s">
        <v>965</v>
      </c>
      <c r="G960" s="25">
        <f t="shared" si="29"/>
        <v>-7.3727209325497034E-3</v>
      </c>
      <c r="I960" s="84">
        <v>69.044166457144129</v>
      </c>
      <c r="J960" s="84">
        <v>69.279651335920192</v>
      </c>
      <c r="K960" s="84">
        <v>68.092807546888807</v>
      </c>
      <c r="L960" s="84">
        <v>69.147779803805591</v>
      </c>
      <c r="M960" s="85">
        <v>7347972.8676991677</v>
      </c>
      <c r="N960" s="83" t="s">
        <v>965</v>
      </c>
      <c r="O960" s="25">
        <f t="shared" si="30"/>
        <v>-1.4984334559322576E-3</v>
      </c>
    </row>
    <row r="961" spans="1:15">
      <c r="A961" s="84">
        <v>386.95998222628327</v>
      </c>
      <c r="B961" s="84">
        <v>387.11440718115364</v>
      </c>
      <c r="C961" s="84">
        <v>384.12242368053893</v>
      </c>
      <c r="D961" s="84">
        <v>386.32297928744265</v>
      </c>
      <c r="E961" s="85">
        <v>4332754.6416403605</v>
      </c>
      <c r="F961" s="83" t="s">
        <v>966</v>
      </c>
      <c r="G961" s="25">
        <f t="shared" si="29"/>
        <v>1.6488870012743018E-3</v>
      </c>
      <c r="I961" s="84">
        <v>69.053585852295171</v>
      </c>
      <c r="J961" s="84">
        <v>69.072424642597255</v>
      </c>
      <c r="K961" s="84">
        <v>68.40364758687322</v>
      </c>
      <c r="L961" s="84">
        <v>69.072424642597255</v>
      </c>
      <c r="M961" s="85">
        <v>7802874.6879636673</v>
      </c>
      <c r="N961" s="83" t="s">
        <v>966</v>
      </c>
      <c r="O961" s="25">
        <f t="shared" si="30"/>
        <v>-2.7273966998497823E-4</v>
      </c>
    </row>
    <row r="962" spans="1:15">
      <c r="A962" s="84">
        <v>385.32886864046424</v>
      </c>
      <c r="B962" s="84">
        <v>387.68384920223843</v>
      </c>
      <c r="C962" s="84">
        <v>383.54091720985491</v>
      </c>
      <c r="D962" s="84">
        <v>383.91008936759204</v>
      </c>
      <c r="E962" s="85">
        <v>3408402.4854764841</v>
      </c>
      <c r="F962" s="83" t="s">
        <v>967</v>
      </c>
      <c r="G962" s="25">
        <f t="shared" si="29"/>
        <v>3.6956029866506146E-3</v>
      </c>
      <c r="I962" s="84">
        <v>69.091263432899339</v>
      </c>
      <c r="J962" s="84">
        <v>69.383264682581668</v>
      </c>
      <c r="K962" s="84">
        <v>68.431905772326346</v>
      </c>
      <c r="L962" s="84">
        <v>69.194876779560815</v>
      </c>
      <c r="M962" s="85">
        <v>11289352.266767027</v>
      </c>
      <c r="N962" s="83" t="s">
        <v>967</v>
      </c>
      <c r="O962" s="25">
        <f t="shared" si="30"/>
        <v>-1.4974135583991632E-3</v>
      </c>
    </row>
    <row r="963" spans="1:15">
      <c r="A963" s="84">
        <v>383.35029890618671</v>
      </c>
      <c r="B963" s="84">
        <v>383.83287689015685</v>
      </c>
      <c r="C963" s="84">
        <v>378.64033778263831</v>
      </c>
      <c r="D963" s="84">
        <v>379.11326420692905</v>
      </c>
      <c r="E963" s="85">
        <v>3066345.8532157396</v>
      </c>
      <c r="F963" s="83" t="s">
        <v>968</v>
      </c>
      <c r="G963" s="25">
        <f t="shared" si="29"/>
        <v>1.1176171079429587E-2</v>
      </c>
      <c r="I963" s="84">
        <v>68.7521652074618</v>
      </c>
      <c r="J963" s="84">
        <v>68.99706948138892</v>
      </c>
      <c r="K963" s="84">
        <v>67.650095974789778</v>
      </c>
      <c r="L963" s="84">
        <v>68.94997250563371</v>
      </c>
      <c r="M963" s="85">
        <v>14572315.716556724</v>
      </c>
      <c r="N963" s="83" t="s">
        <v>968</v>
      </c>
      <c r="O963" s="25">
        <f t="shared" si="30"/>
        <v>-2.8688524590165798E-3</v>
      </c>
    </row>
    <row r="964" spans="1:15">
      <c r="A964" s="84">
        <v>380.81193871050385</v>
      </c>
      <c r="B964" s="84">
        <v>382.28380156161273</v>
      </c>
      <c r="C964" s="84">
        <v>372.94630363417804</v>
      </c>
      <c r="D964" s="84">
        <v>374.1813172107544</v>
      </c>
      <c r="E964" s="85">
        <v>5074018.2547399299</v>
      </c>
      <c r="F964" s="83" t="s">
        <v>969</v>
      </c>
      <c r="G964" s="25">
        <f t="shared" si="29"/>
        <v>1.7720343573473629E-2</v>
      </c>
      <c r="I964" s="84">
        <v>65.719119968825993</v>
      </c>
      <c r="J964" s="84">
        <v>66.299731485936277</v>
      </c>
      <c r="K964" s="84">
        <v>64.574663457974296</v>
      </c>
      <c r="L964" s="84">
        <v>65.088020493706125</v>
      </c>
      <c r="M964" s="85">
        <v>9066764.7583024129</v>
      </c>
      <c r="N964" s="83" t="s">
        <v>969</v>
      </c>
      <c r="O964" s="25">
        <f t="shared" si="30"/>
        <v>9.6960926193920827E-3</v>
      </c>
    </row>
    <row r="965" spans="1:15">
      <c r="A965" s="84">
        <v>376.32396345958176</v>
      </c>
      <c r="B965" s="84">
        <v>377.17223903980442</v>
      </c>
      <c r="C965" s="84">
        <v>373.46710179447859</v>
      </c>
      <c r="D965" s="84">
        <v>376.30466034022288</v>
      </c>
      <c r="E965" s="85">
        <v>3449277.7443055757</v>
      </c>
      <c r="F965" s="83" t="s">
        <v>970</v>
      </c>
      <c r="G965" s="25">
        <f t="shared" si="29"/>
        <v>5.1296519531396356E-5</v>
      </c>
      <c r="I965" s="84">
        <v>65.351763557935328</v>
      </c>
      <c r="J965" s="84">
        <v>66.284283677888581</v>
      </c>
      <c r="K965" s="84">
        <v>65.238730816122825</v>
      </c>
      <c r="L965" s="84">
        <v>66.086476379716672</v>
      </c>
      <c r="M965" s="85">
        <v>7858862.3593102302</v>
      </c>
      <c r="N965" s="83" t="s">
        <v>970</v>
      </c>
      <c r="O965" s="25">
        <f t="shared" si="30"/>
        <v>-1.1117445838084383E-2</v>
      </c>
    </row>
    <row r="966" spans="1:15">
      <c r="A966" s="84">
        <v>376.64246492900202</v>
      </c>
      <c r="B966" s="84">
        <v>377.23121006944558</v>
      </c>
      <c r="C966" s="84">
        <v>372.93626601211145</v>
      </c>
      <c r="D966" s="84">
        <v>374.21992344947199</v>
      </c>
      <c r="E966" s="85">
        <v>4490196.5526345922</v>
      </c>
      <c r="F966" s="83" t="s">
        <v>971</v>
      </c>
      <c r="G966" s="25">
        <f t="shared" si="29"/>
        <v>6.4735769736672388E-3</v>
      </c>
      <c r="I966" s="84">
        <v>66.048798799112504</v>
      </c>
      <c r="J966" s="84">
        <v>66.12886365789636</v>
      </c>
      <c r="K966" s="84">
        <v>65.205762933094164</v>
      </c>
      <c r="L966" s="84">
        <v>66.058218194263546</v>
      </c>
      <c r="M966" s="85">
        <v>10896925.795563007</v>
      </c>
      <c r="N966" s="83" t="s">
        <v>971</v>
      </c>
      <c r="O966" s="25">
        <f t="shared" si="30"/>
        <v>-1.425923285327535E-4</v>
      </c>
    </row>
    <row r="967" spans="1:15">
      <c r="A967" s="84">
        <v>373.89177042037227</v>
      </c>
      <c r="B967" s="84">
        <v>378.27357851482105</v>
      </c>
      <c r="C967" s="84">
        <v>372.57915830397354</v>
      </c>
      <c r="D967" s="84">
        <v>376.97061795810168</v>
      </c>
      <c r="E967" s="85">
        <v>7135285.1028802367</v>
      </c>
      <c r="F967" s="83" t="s">
        <v>972</v>
      </c>
      <c r="G967" s="25">
        <f t="shared" si="29"/>
        <v>-8.167340877669127E-3</v>
      </c>
      <c r="I967" s="84">
        <v>66.482090976060476</v>
      </c>
      <c r="J967" s="84">
        <v>68.055129966284625</v>
      </c>
      <c r="K967" s="84">
        <v>66.345509746370354</v>
      </c>
      <c r="L967" s="84">
        <v>67.26390077359703</v>
      </c>
      <c r="M967" s="85">
        <v>8679742.031095095</v>
      </c>
      <c r="N967" s="83" t="s">
        <v>972</v>
      </c>
      <c r="O967" s="25">
        <f t="shared" si="30"/>
        <v>-1.1623021985716186E-2</v>
      </c>
    </row>
    <row r="968" spans="1:15">
      <c r="A968" s="84">
        <v>378.9877939310968</v>
      </c>
      <c r="B968" s="84">
        <v>380.03971742055489</v>
      </c>
      <c r="C968" s="84">
        <v>376.38187281765818</v>
      </c>
      <c r="D968" s="84">
        <v>378.24462383578282</v>
      </c>
      <c r="E968" s="85">
        <v>6098654.720606165</v>
      </c>
      <c r="F968" s="83" t="s">
        <v>973</v>
      </c>
      <c r="G968" s="25">
        <f t="shared" si="29"/>
        <v>1.9647869354426639E-3</v>
      </c>
      <c r="I968" s="84">
        <v>67.197965007539736</v>
      </c>
      <c r="J968" s="84">
        <v>67.767838414177817</v>
      </c>
      <c r="K968" s="84">
        <v>66.783511620893847</v>
      </c>
      <c r="L968" s="84">
        <v>67.574740813581442</v>
      </c>
      <c r="M968" s="85">
        <v>7209888.6298958519</v>
      </c>
      <c r="N968" s="83" t="s">
        <v>973</v>
      </c>
      <c r="O968" s="25">
        <f t="shared" si="30"/>
        <v>-5.5756899916363789E-3</v>
      </c>
    </row>
    <row r="969" spans="1:15">
      <c r="A969" s="84">
        <v>379.01674861013498</v>
      </c>
      <c r="B969" s="84">
        <v>382.91597872061362</v>
      </c>
      <c r="C969" s="84">
        <v>377.66553025501867</v>
      </c>
      <c r="D969" s="84">
        <v>382.80016000446079</v>
      </c>
      <c r="E969" s="85">
        <v>5974770.0802250132</v>
      </c>
      <c r="F969" s="83" t="s">
        <v>974</v>
      </c>
      <c r="G969" s="25">
        <f t="shared" si="29"/>
        <v>-9.8835157077303837E-3</v>
      </c>
      <c r="I969" s="84">
        <v>67.791386902055422</v>
      </c>
      <c r="J969" s="84">
        <v>68.308511695847685</v>
      </c>
      <c r="K969" s="84">
        <v>67.405191700862673</v>
      </c>
      <c r="L969" s="84">
        <v>68.102226942039835</v>
      </c>
      <c r="M969" s="85">
        <v>6758691.9307607198</v>
      </c>
      <c r="N969" s="83" t="s">
        <v>974</v>
      </c>
      <c r="O969" s="25">
        <f t="shared" si="30"/>
        <v>-4.5643153526970792E-3</v>
      </c>
    </row>
    <row r="970" spans="1:15">
      <c r="A970" s="84">
        <v>379.92399521999886</v>
      </c>
      <c r="B970" s="84">
        <v>381.49719944774142</v>
      </c>
      <c r="C970" s="84">
        <v>376.72932896611661</v>
      </c>
      <c r="D970" s="84">
        <v>377.25051318880435</v>
      </c>
      <c r="E970" s="85">
        <v>4212557.4881713968</v>
      </c>
      <c r="F970" s="83" t="s">
        <v>975</v>
      </c>
      <c r="G970" s="25">
        <f t="shared" si="29"/>
        <v>7.0867551871467427E-3</v>
      </c>
      <c r="I970" s="84">
        <v>67.819645087508562</v>
      </c>
      <c r="J970" s="84">
        <v>68.836939763821178</v>
      </c>
      <c r="K970" s="84">
        <v>67.772548111753352</v>
      </c>
      <c r="L970" s="84">
        <v>68.026871780831499</v>
      </c>
      <c r="M970" s="85">
        <v>9013911.046146078</v>
      </c>
      <c r="N970" s="83" t="s">
        <v>975</v>
      </c>
      <c r="O970" s="25">
        <f t="shared" si="30"/>
        <v>-3.0462475768484598E-3</v>
      </c>
    </row>
    <row r="971" spans="1:15">
      <c r="A971" s="84">
        <v>377.72102671738435</v>
      </c>
      <c r="B971" s="84">
        <v>379.20172006381364</v>
      </c>
      <c r="C971" s="84">
        <v>374.45196348500781</v>
      </c>
      <c r="D971" s="84">
        <v>378.67290101151741</v>
      </c>
      <c r="E971" s="85">
        <v>5031463.7652459061</v>
      </c>
      <c r="F971" s="83" t="s">
        <v>976</v>
      </c>
      <c r="G971" s="25">
        <f t="shared" si="29"/>
        <v>-2.5137111517364863E-3</v>
      </c>
      <c r="I971" s="84">
        <v>68.648551860800325</v>
      </c>
      <c r="J971" s="84">
        <v>69.077134340172776</v>
      </c>
      <c r="K971" s="84">
        <v>68.243517869305492</v>
      </c>
      <c r="L971" s="84">
        <v>68.526099723836779</v>
      </c>
      <c r="M971" s="85">
        <v>9970611.5407635383</v>
      </c>
      <c r="N971" s="83" t="s">
        <v>976</v>
      </c>
      <c r="O971" s="25">
        <f t="shared" si="30"/>
        <v>1.7869415807558742E-3</v>
      </c>
    </row>
    <row r="972" spans="1:15">
      <c r="A972" s="84">
        <v>377.63449269064489</v>
      </c>
      <c r="B972" s="84">
        <v>381.09585376022005</v>
      </c>
      <c r="C972" s="84">
        <v>376.86530134185045</v>
      </c>
      <c r="D972" s="84">
        <v>380.48050068118448</v>
      </c>
      <c r="E972" s="85">
        <v>5964429.0165123409</v>
      </c>
      <c r="F972" s="83" t="s">
        <v>977</v>
      </c>
      <c r="G972" s="25">
        <f t="shared" si="29"/>
        <v>-7.4800363893663402E-3</v>
      </c>
      <c r="I972" s="84">
        <v>68.064549361435681</v>
      </c>
      <c r="J972" s="84">
        <v>68.215259683852366</v>
      </c>
      <c r="K972" s="84">
        <v>67.179126217237638</v>
      </c>
      <c r="L972" s="84">
        <v>67.282739563899128</v>
      </c>
      <c r="M972" s="85">
        <v>10959990.354430594</v>
      </c>
      <c r="N972" s="83" t="s">
        <v>977</v>
      </c>
      <c r="O972" s="25">
        <f t="shared" si="30"/>
        <v>1.161976760464789E-2</v>
      </c>
    </row>
    <row r="973" spans="1:15">
      <c r="A973" s="84">
        <v>383.25920442870449</v>
      </c>
      <c r="B973" s="84">
        <v>383.2872799129355</v>
      </c>
      <c r="C973" s="84">
        <v>380.14397946608688</v>
      </c>
      <c r="D973" s="84">
        <v>380.51896024862418</v>
      </c>
      <c r="E973" s="85">
        <v>3357188.0443626824</v>
      </c>
      <c r="F973" s="83" t="s">
        <v>978</v>
      </c>
      <c r="G973" s="25">
        <f t="shared" si="29"/>
        <v>7.2013341419041588E-3</v>
      </c>
      <c r="I973" s="84">
        <v>67.866742063263771</v>
      </c>
      <c r="J973" s="84">
        <v>67.913839039018981</v>
      </c>
      <c r="K973" s="84">
        <v>66.896544362706351</v>
      </c>
      <c r="L973" s="84">
        <v>67.160287426935554</v>
      </c>
      <c r="M973" s="85">
        <v>11073008.226908546</v>
      </c>
      <c r="N973" s="83" t="s">
        <v>978</v>
      </c>
      <c r="O973" s="25">
        <f t="shared" si="30"/>
        <v>1.051893408134652E-2</v>
      </c>
    </row>
    <row r="974" spans="1:15">
      <c r="A974" s="84">
        <v>381.67274727181587</v>
      </c>
      <c r="B974" s="84">
        <v>384.90911987186865</v>
      </c>
      <c r="C974" s="84">
        <v>381.28334415148868</v>
      </c>
      <c r="D974" s="84">
        <v>383.43707992811323</v>
      </c>
      <c r="E974" s="85">
        <v>7495173.2218981115</v>
      </c>
      <c r="F974" s="83" t="s">
        <v>979</v>
      </c>
      <c r="G974" s="25">
        <f t="shared" si="29"/>
        <v>-4.6013616018256709E-3</v>
      </c>
      <c r="I974" s="84">
        <v>67.424030491164757</v>
      </c>
      <c r="J974" s="84">
        <v>68.474293050506034</v>
      </c>
      <c r="K974" s="84">
        <v>67.278029866323593</v>
      </c>
      <c r="L974" s="84">
        <v>68.394228191722178</v>
      </c>
      <c r="M974" s="85">
        <v>10270275.155543251</v>
      </c>
      <c r="N974" s="83" t="s">
        <v>979</v>
      </c>
      <c r="O974" s="25">
        <f t="shared" si="30"/>
        <v>-1.4185373915438726E-2</v>
      </c>
    </row>
    <row r="975" spans="1:15">
      <c r="A975" s="84">
        <v>382.59577689036928</v>
      </c>
      <c r="B975" s="84">
        <v>386.56672722852073</v>
      </c>
      <c r="C975" s="84">
        <v>382.37463437759084</v>
      </c>
      <c r="D975" s="84">
        <v>386.32635493202247</v>
      </c>
      <c r="E975" s="85">
        <v>4818711.5024227751</v>
      </c>
      <c r="F975" s="83" t="s">
        <v>980</v>
      </c>
      <c r="G975" s="25">
        <f t="shared" si="29"/>
        <v>-9.656545545047357E-3</v>
      </c>
      <c r="I975" s="84">
        <v>68.422486377175304</v>
      </c>
      <c r="J975" s="84">
        <v>70.127396899514054</v>
      </c>
      <c r="K975" s="84">
        <v>68.238808171729957</v>
      </c>
      <c r="L975" s="84">
        <v>69.967267181946326</v>
      </c>
      <c r="M975" s="85">
        <v>13226015.896170061</v>
      </c>
      <c r="N975" s="83" t="s">
        <v>980</v>
      </c>
      <c r="O975" s="25">
        <f t="shared" si="30"/>
        <v>-2.2078621432417789E-2</v>
      </c>
    </row>
    <row r="976" spans="1:15">
      <c r="A976" s="84">
        <v>388.97045019350344</v>
      </c>
      <c r="B976" s="84">
        <v>394.05672798740682</v>
      </c>
      <c r="C976" s="84">
        <v>388.75892257258494</v>
      </c>
      <c r="D976" s="84">
        <v>393.69136209672945</v>
      </c>
      <c r="E976" s="85">
        <v>4170005.298456707</v>
      </c>
      <c r="F976" s="83" t="s">
        <v>981</v>
      </c>
      <c r="G976" s="25">
        <f t="shared" si="29"/>
        <v>-1.1991403311678694E-2</v>
      </c>
      <c r="I976" s="84">
        <v>70.108558109211984</v>
      </c>
      <c r="J976" s="84">
        <v>71.738113470342384</v>
      </c>
      <c r="K976" s="84">
        <v>70.06146113345676</v>
      </c>
      <c r="L976" s="84">
        <v>71.540306172170489</v>
      </c>
      <c r="M976" s="85">
        <v>11488498.811733061</v>
      </c>
      <c r="N976" s="83" t="s">
        <v>981</v>
      </c>
      <c r="O976" s="25">
        <f t="shared" si="30"/>
        <v>-2.0013166556945183E-2</v>
      </c>
    </row>
    <row r="977" spans="1:15">
      <c r="A977" s="84">
        <v>392.64333888399705</v>
      </c>
      <c r="B977" s="84">
        <v>393.061586679904</v>
      </c>
      <c r="C977" s="84">
        <v>390.08577764925536</v>
      </c>
      <c r="D977" s="84">
        <v>392.49911550609806</v>
      </c>
      <c r="E977" s="85">
        <v>3775157.3838565219</v>
      </c>
      <c r="F977" s="83" t="s">
        <v>982</v>
      </c>
      <c r="G977" s="25">
        <f t="shared" si="29"/>
        <v>3.6744892459950051E-4</v>
      </c>
      <c r="I977" s="84">
        <v>70.720818794029753</v>
      </c>
      <c r="J977" s="84">
        <v>71.050497624316264</v>
      </c>
      <c r="K977" s="84">
        <v>70.099138714060928</v>
      </c>
      <c r="L977" s="84">
        <v>70.626624842519334</v>
      </c>
      <c r="M977" s="85">
        <v>12091828.421423638</v>
      </c>
      <c r="N977" s="83" t="s">
        <v>982</v>
      </c>
      <c r="O977" s="25">
        <f t="shared" si="30"/>
        <v>1.3336889837287647E-3</v>
      </c>
    </row>
    <row r="978" spans="1:15">
      <c r="A978" s="84">
        <v>393.43176001651136</v>
      </c>
      <c r="B978" s="84">
        <v>394.53747258040335</v>
      </c>
      <c r="C978" s="84">
        <v>392.44142615493848</v>
      </c>
      <c r="D978" s="84">
        <v>392.84525161305555</v>
      </c>
      <c r="E978" s="85">
        <v>3135314.5141059067</v>
      </c>
      <c r="F978" s="83" t="s">
        <v>983</v>
      </c>
      <c r="G978" s="25">
        <f t="shared" si="29"/>
        <v>1.4929756718391474E-3</v>
      </c>
      <c r="I978" s="84">
        <v>70.815012745540187</v>
      </c>
      <c r="J978" s="84">
        <v>72.067792300628895</v>
      </c>
      <c r="K978" s="84">
        <v>70.758496374633935</v>
      </c>
      <c r="L978" s="84">
        <v>71.502628591566307</v>
      </c>
      <c r="M978" s="85">
        <v>10454127.724867541</v>
      </c>
      <c r="N978" s="83" t="s">
        <v>983</v>
      </c>
      <c r="O978" s="25">
        <f t="shared" si="30"/>
        <v>-9.6166512975891516E-3</v>
      </c>
    </row>
    <row r="979" spans="1:15">
      <c r="A979" s="84">
        <v>392.99908988281447</v>
      </c>
      <c r="B979" s="84">
        <v>396.7777423837673</v>
      </c>
      <c r="C979" s="84">
        <v>392.74910269445627</v>
      </c>
      <c r="D979" s="84">
        <v>396.46045095238952</v>
      </c>
      <c r="E979" s="85">
        <v>4164404.6114407238</v>
      </c>
      <c r="F979" s="83" t="s">
        <v>984</v>
      </c>
      <c r="G979" s="25">
        <f t="shared" si="29"/>
        <v>-8.7306591647667853E-3</v>
      </c>
      <c r="I979" s="84">
        <v>71.399015244904845</v>
      </c>
      <c r="J979" s="84">
        <v>71.964178953967419</v>
      </c>
      <c r="K979" s="84">
        <v>70.720818794029753</v>
      </c>
      <c r="L979" s="84">
        <v>70.739657584331837</v>
      </c>
      <c r="M979" s="85">
        <v>17039126.974329203</v>
      </c>
      <c r="N979" s="83" t="s">
        <v>984</v>
      </c>
      <c r="O979" s="25">
        <f t="shared" si="30"/>
        <v>9.320905459387685E-3</v>
      </c>
    </row>
    <row r="980" spans="1:15">
      <c r="A980" s="84">
        <v>397.96037408253875</v>
      </c>
      <c r="B980" s="84">
        <v>398.54688248599456</v>
      </c>
      <c r="C980" s="84">
        <v>395.57588090127592</v>
      </c>
      <c r="D980" s="84">
        <v>396.7777423837673</v>
      </c>
      <c r="E980" s="85">
        <v>3807532.1629528143</v>
      </c>
      <c r="F980" s="83" t="s">
        <v>985</v>
      </c>
      <c r="G980" s="25">
        <f t="shared" si="29"/>
        <v>2.9805898175296885E-3</v>
      </c>
      <c r="I980" s="84">
        <v>71.116433390373558</v>
      </c>
      <c r="J980" s="84">
        <v>71.24830492248816</v>
      </c>
      <c r="K980" s="84">
        <v>69.3455871019775</v>
      </c>
      <c r="L980" s="84">
        <v>69.402103472883766</v>
      </c>
      <c r="M980" s="85">
        <v>16561988.057452738</v>
      </c>
      <c r="N980" s="83" t="s">
        <v>985</v>
      </c>
      <c r="O980" s="25">
        <f t="shared" si="30"/>
        <v>2.4701411509228999E-2</v>
      </c>
    </row>
    <row r="981" spans="1:15">
      <c r="A981" s="84">
        <v>394.54708747226334</v>
      </c>
      <c r="B981" s="84">
        <v>395.55665111755604</v>
      </c>
      <c r="C981" s="84">
        <v>393.23946217931274</v>
      </c>
      <c r="D981" s="84">
        <v>394.2394109327455</v>
      </c>
      <c r="E981" s="85">
        <v>2631072.7534466395</v>
      </c>
      <c r="F981" s="83" t="s">
        <v>986</v>
      </c>
      <c r="G981" s="25">
        <f t="shared" si="29"/>
        <v>7.8043070019284677E-4</v>
      </c>
      <c r="I981" s="84">
        <v>71.17294976127981</v>
      </c>
      <c r="J981" s="84">
        <v>72.209083227894524</v>
      </c>
      <c r="K981" s="84">
        <v>71.078755809769376</v>
      </c>
      <c r="L981" s="84">
        <v>71.17294976127981</v>
      </c>
      <c r="M981" s="85">
        <v>12328851.071413305</v>
      </c>
      <c r="N981" s="83" t="s">
        <v>986</v>
      </c>
      <c r="O981" s="25">
        <f t="shared" si="30"/>
        <v>0</v>
      </c>
    </row>
    <row r="982" spans="1:15">
      <c r="A982" s="84">
        <v>394.08557266298664</v>
      </c>
      <c r="B982" s="84">
        <v>396.27776800705084</v>
      </c>
      <c r="C982" s="84">
        <v>393.5279089351107</v>
      </c>
      <c r="D982" s="84">
        <v>394.88360868736089</v>
      </c>
      <c r="E982" s="85">
        <v>7899512.6629064428</v>
      </c>
      <c r="F982" s="83" t="s">
        <v>987</v>
      </c>
      <c r="G982" s="25">
        <f t="shared" si="29"/>
        <v>-2.020939858777715E-3</v>
      </c>
      <c r="I982" s="84">
        <v>71.17294976127981</v>
      </c>
      <c r="J982" s="84">
        <v>71.314240688545453</v>
      </c>
      <c r="K982" s="84">
        <v>69.383264682581668</v>
      </c>
      <c r="L982" s="84">
        <v>70.362881778290131</v>
      </c>
      <c r="M982" s="85">
        <v>19037152.293175321</v>
      </c>
      <c r="N982" s="83" t="s">
        <v>987</v>
      </c>
      <c r="O982" s="25">
        <f t="shared" si="30"/>
        <v>1.1512717536813932E-2</v>
      </c>
    </row>
    <row r="983" spans="1:15">
      <c r="A983" s="84">
        <v>396.21046376403137</v>
      </c>
      <c r="B983" s="84">
        <v>396.49891051982928</v>
      </c>
      <c r="C983" s="84">
        <v>394.48939812110376</v>
      </c>
      <c r="D983" s="84">
        <v>396.01816592683275</v>
      </c>
      <c r="E983" s="85">
        <v>3480603.889001057</v>
      </c>
      <c r="F983" s="83" t="s">
        <v>988</v>
      </c>
      <c r="G983" s="25">
        <f t="shared" si="29"/>
        <v>4.8557832378359755E-4</v>
      </c>
      <c r="I983" s="84">
        <v>72.43514871151956</v>
      </c>
      <c r="J983" s="84">
        <v>75.82613096589499</v>
      </c>
      <c r="K983" s="84">
        <v>71.577983752774657</v>
      </c>
      <c r="L983" s="84">
        <v>75.543549111363703</v>
      </c>
      <c r="M983" s="85">
        <v>26032092.938881781</v>
      </c>
      <c r="N983" s="83" t="s">
        <v>988</v>
      </c>
      <c r="O983" s="25">
        <f t="shared" si="30"/>
        <v>-4.1147132169576106E-2</v>
      </c>
    </row>
    <row r="984" spans="1:15">
      <c r="A984" s="84">
        <v>393.62405785370993</v>
      </c>
      <c r="B984" s="84">
        <v>395.01821717339993</v>
      </c>
      <c r="C984" s="84">
        <v>392.75871758631621</v>
      </c>
      <c r="D984" s="84">
        <v>393.07600901769388</v>
      </c>
      <c r="E984" s="85">
        <v>4290451.7909259759</v>
      </c>
      <c r="F984" s="83" t="s">
        <v>989</v>
      </c>
      <c r="G984" s="25">
        <f t="shared" si="29"/>
        <v>1.3942566410645174E-3</v>
      </c>
      <c r="I984" s="84">
        <v>78.633110720905762</v>
      </c>
      <c r="J984" s="84">
        <v>79.499695074801707</v>
      </c>
      <c r="K984" s="84">
        <v>78.12446338274944</v>
      </c>
      <c r="L984" s="84">
        <v>79.433759308744399</v>
      </c>
      <c r="M984" s="85">
        <v>6355369.855502056</v>
      </c>
      <c r="N984" s="83" t="s">
        <v>989</v>
      </c>
      <c r="O984" s="25">
        <f t="shared" si="30"/>
        <v>-1.0079449780623695E-2</v>
      </c>
    </row>
    <row r="985" spans="1:15">
      <c r="A985" s="84">
        <v>393.08562390955382</v>
      </c>
      <c r="B985" s="84">
        <v>393.66251742114969</v>
      </c>
      <c r="C985" s="84">
        <v>391.18668276721752</v>
      </c>
      <c r="D985" s="84">
        <v>391.48955186080531</v>
      </c>
      <c r="E985" s="85">
        <v>2335709.0570711279</v>
      </c>
      <c r="F985" s="83" t="s">
        <v>990</v>
      </c>
      <c r="G985" s="25">
        <f t="shared" si="29"/>
        <v>4.0769211877103029E-3</v>
      </c>
      <c r="I985" s="84">
        <v>79.433759308744399</v>
      </c>
      <c r="J985" s="84">
        <v>79.509114469952735</v>
      </c>
      <c r="K985" s="84">
        <v>78.840337414228699</v>
      </c>
      <c r="L985" s="84">
        <v>78.943950760890175</v>
      </c>
      <c r="M985" s="85">
        <v>6769754.2121842215</v>
      </c>
      <c r="N985" s="83" t="s">
        <v>990</v>
      </c>
      <c r="O985" s="25">
        <f t="shared" si="30"/>
        <v>6.2045102016465847E-3</v>
      </c>
    </row>
    <row r="986" spans="1:15">
      <c r="A986" s="84">
        <v>394.25864071646544</v>
      </c>
      <c r="B986" s="84">
        <v>396.25853822333102</v>
      </c>
      <c r="C986" s="84">
        <v>392.12413472356076</v>
      </c>
      <c r="D986" s="84">
        <v>396.22969354775125</v>
      </c>
      <c r="E986" s="85">
        <v>3894030.2756841602</v>
      </c>
      <c r="F986" s="83" t="s">
        <v>991</v>
      </c>
      <c r="G986" s="25">
        <f t="shared" si="29"/>
        <v>-4.9745207473913533E-3</v>
      </c>
      <c r="I986" s="84">
        <v>78.661368906358888</v>
      </c>
      <c r="J986" s="84">
        <v>80.036600598411141</v>
      </c>
      <c r="K986" s="84">
        <v>78.416464632431769</v>
      </c>
      <c r="L986" s="84">
        <v>79.942406646900722</v>
      </c>
      <c r="M986" s="85">
        <v>7992883.7035427457</v>
      </c>
      <c r="N986" s="83" t="s">
        <v>991</v>
      </c>
      <c r="O986" s="25">
        <f t="shared" si="30"/>
        <v>-1.6024508071167731E-2</v>
      </c>
    </row>
    <row r="987" spans="1:15">
      <c r="A987" s="84">
        <v>396.99888489654569</v>
      </c>
      <c r="B987" s="84">
        <v>398.50842291855486</v>
      </c>
      <c r="C987" s="84">
        <v>396.87389130236659</v>
      </c>
      <c r="D987" s="84">
        <v>398.24882083833671</v>
      </c>
      <c r="E987" s="85">
        <v>4603990.4187043309</v>
      </c>
      <c r="F987" s="83" t="s">
        <v>992</v>
      </c>
      <c r="G987" s="25">
        <f t="shared" si="29"/>
        <v>-3.1385803959440572E-3</v>
      </c>
      <c r="I987" s="84">
        <v>80.111955759619477</v>
      </c>
      <c r="J987" s="84">
        <v>81.289380153499835</v>
      </c>
      <c r="K987" s="84">
        <v>80.083697574166351</v>
      </c>
      <c r="L987" s="84">
        <v>81.242283177744625</v>
      </c>
      <c r="M987" s="85">
        <v>5280624.6263586329</v>
      </c>
      <c r="N987" s="83" t="s">
        <v>992</v>
      </c>
      <c r="O987" s="25">
        <f t="shared" si="30"/>
        <v>-1.3913043478260945E-2</v>
      </c>
    </row>
    <row r="988" spans="1:15">
      <c r="A988" s="84">
        <v>398.73918032319318</v>
      </c>
      <c r="B988" s="84">
        <v>400.82561185679816</v>
      </c>
      <c r="C988" s="84">
        <v>397.29694654420354</v>
      </c>
      <c r="D988" s="84">
        <v>400.42178639868109</v>
      </c>
      <c r="E988" s="85">
        <v>3731681.0758449822</v>
      </c>
      <c r="F988" s="83" t="s">
        <v>993</v>
      </c>
      <c r="G988" s="25">
        <f t="shared" si="29"/>
        <v>-4.2020842337799902E-3</v>
      </c>
      <c r="I988" s="84">
        <v>81.270541363197751</v>
      </c>
      <c r="J988" s="84">
        <v>81.652026866814992</v>
      </c>
      <c r="K988" s="84">
        <v>80.903184952307086</v>
      </c>
      <c r="L988" s="84">
        <v>81.581381403182164</v>
      </c>
      <c r="M988" s="85">
        <v>2742418.126193597</v>
      </c>
      <c r="N988" s="83" t="s">
        <v>993</v>
      </c>
      <c r="O988" s="25">
        <f t="shared" si="30"/>
        <v>-3.8101835815725904E-3</v>
      </c>
    </row>
    <row r="989" spans="1:15">
      <c r="A989" s="84">
        <v>397.89306983951928</v>
      </c>
      <c r="B989" s="84">
        <v>400.09488007544343</v>
      </c>
      <c r="C989" s="84">
        <v>397.72961667790048</v>
      </c>
      <c r="D989" s="84">
        <v>399.00070538178335</v>
      </c>
      <c r="E989" s="85">
        <v>4941429.4712974122</v>
      </c>
      <c r="F989" s="83" t="s">
        <v>994</v>
      </c>
      <c r="G989" s="25">
        <f t="shared" si="29"/>
        <v>-2.7760240203190678E-3</v>
      </c>
      <c r="I989" s="84">
        <v>81.04447587957273</v>
      </c>
      <c r="J989" s="84">
        <v>81.967576604374926</v>
      </c>
      <c r="K989" s="84">
        <v>81.035056484421688</v>
      </c>
      <c r="L989" s="84">
        <v>81.666155959541555</v>
      </c>
      <c r="M989" s="85">
        <v>5217546.2661802499</v>
      </c>
      <c r="N989" s="83" t="s">
        <v>994</v>
      </c>
      <c r="O989" s="25">
        <f t="shared" si="30"/>
        <v>-7.6124567474048499E-3</v>
      </c>
    </row>
    <row r="990" spans="1:15">
      <c r="A990" s="84">
        <v>398.40265910809563</v>
      </c>
      <c r="B990" s="84">
        <v>399.04608767136216</v>
      </c>
      <c r="C990" s="84">
        <v>396.51814030354916</v>
      </c>
      <c r="D990" s="84">
        <v>397.12387849072479</v>
      </c>
      <c r="E990" s="85">
        <v>3124856.77818284</v>
      </c>
      <c r="F990" s="83" t="s">
        <v>995</v>
      </c>
      <c r="G990" s="25">
        <f t="shared" si="29"/>
        <v>3.2201050771132333E-3</v>
      </c>
      <c r="I990" s="84">
        <v>81.411832290463408</v>
      </c>
      <c r="J990" s="84">
        <v>81.694414144994681</v>
      </c>
      <c r="K990" s="84">
        <v>80.582925517171631</v>
      </c>
      <c r="L990" s="84">
        <v>80.667700073531009</v>
      </c>
      <c r="M990" s="85">
        <v>4745317.431029669</v>
      </c>
      <c r="N990" s="83" t="s">
        <v>995</v>
      </c>
      <c r="O990" s="25">
        <f t="shared" si="30"/>
        <v>9.2246613731903349E-3</v>
      </c>
    </row>
    <row r="991" spans="1:15">
      <c r="A991" s="84">
        <v>396.74889770818749</v>
      </c>
      <c r="B991" s="84">
        <v>397.07580403142515</v>
      </c>
      <c r="C991" s="84">
        <v>390.91265834920944</v>
      </c>
      <c r="D991" s="84">
        <v>391.114571078268</v>
      </c>
      <c r="E991" s="85">
        <v>3622156.1830702061</v>
      </c>
      <c r="F991" s="83" t="s">
        <v>996</v>
      </c>
      <c r="G991" s="25">
        <f t="shared" si="29"/>
        <v>1.4405821328482116E-2</v>
      </c>
      <c r="I991" s="84">
        <v>80.394537614150764</v>
      </c>
      <c r="J991" s="84">
        <v>81.138669831083149</v>
      </c>
      <c r="K991" s="84">
        <v>80.314472755366907</v>
      </c>
      <c r="L991" s="84">
        <v>80.780732815343526</v>
      </c>
      <c r="M991" s="85">
        <v>5447188.3998113582</v>
      </c>
      <c r="N991" s="83" t="s">
        <v>996</v>
      </c>
      <c r="O991" s="25">
        <f t="shared" si="30"/>
        <v>-4.7807835820896649E-3</v>
      </c>
    </row>
    <row r="992" spans="1:15">
      <c r="A992" s="84">
        <v>391.19149021314746</v>
      </c>
      <c r="B992" s="84">
        <v>391.74915394102345</v>
      </c>
      <c r="C992" s="84">
        <v>389.49926924579967</v>
      </c>
      <c r="D992" s="84">
        <v>390.71074562015093</v>
      </c>
      <c r="E992" s="85">
        <v>3366351.9539815928</v>
      </c>
      <c r="F992" s="83" t="s">
        <v>997</v>
      </c>
      <c r="G992" s="25">
        <f t="shared" si="29"/>
        <v>1.2304360665420511E-3</v>
      </c>
      <c r="I992" s="84">
        <v>80.761894025041443</v>
      </c>
      <c r="J992" s="84">
        <v>81.053895274723772</v>
      </c>
      <c r="K992" s="84">
        <v>79.885890275994456</v>
      </c>
      <c r="L992" s="84">
        <v>79.914148461447581</v>
      </c>
      <c r="M992" s="85">
        <v>5132567.3490454927</v>
      </c>
      <c r="N992" s="83" t="s">
        <v>997</v>
      </c>
      <c r="O992" s="25">
        <f t="shared" si="30"/>
        <v>1.0608203677510586E-2</v>
      </c>
    </row>
    <row r="993" spans="1:15">
      <c r="A993" s="84">
        <v>388.63392897840583</v>
      </c>
      <c r="B993" s="84">
        <v>390.17231167599482</v>
      </c>
      <c r="C993" s="84">
        <v>384.31684253329684</v>
      </c>
      <c r="D993" s="84">
        <v>387.55706109009355</v>
      </c>
      <c r="E993" s="85">
        <v>4594783.8669001553</v>
      </c>
      <c r="F993" s="83" t="s">
        <v>998</v>
      </c>
      <c r="G993" s="25">
        <f t="shared" si="29"/>
        <v>2.7786047434752437E-3</v>
      </c>
      <c r="I993" s="84">
        <v>79.772857534181938</v>
      </c>
      <c r="J993" s="84">
        <v>80.752474629890401</v>
      </c>
      <c r="K993" s="84">
        <v>79.73517995357777</v>
      </c>
      <c r="L993" s="84">
        <v>80.545247936567463</v>
      </c>
      <c r="M993" s="85">
        <v>5029670.0839389656</v>
      </c>
      <c r="N993" s="83" t="s">
        <v>998</v>
      </c>
      <c r="O993" s="25">
        <f t="shared" si="30"/>
        <v>-9.5895216933693517E-3</v>
      </c>
    </row>
    <row r="994" spans="1:15">
      <c r="A994" s="84">
        <v>386.07636774366426</v>
      </c>
      <c r="B994" s="84">
        <v>393.32503471686613</v>
      </c>
      <c r="C994" s="84">
        <v>385.94175925762516</v>
      </c>
      <c r="D994" s="84">
        <v>392.86448139677543</v>
      </c>
      <c r="E994" s="85">
        <v>3597326.9906593286</v>
      </c>
      <c r="F994" s="83" t="s">
        <v>999</v>
      </c>
      <c r="G994" s="25">
        <f t="shared" ref="G994:G1057" si="31">A994/D994-1</f>
        <v>-1.7278511992168344E-2</v>
      </c>
      <c r="I994" s="84">
        <v>80.206149711129925</v>
      </c>
      <c r="J994" s="84">
        <v>81.157508621385233</v>
      </c>
      <c r="K994" s="84">
        <v>80.206149711129925</v>
      </c>
      <c r="L994" s="84">
        <v>80.535828541416407</v>
      </c>
      <c r="M994" s="85">
        <v>4146564.5483272602</v>
      </c>
      <c r="N994" s="83" t="s">
        <v>999</v>
      </c>
      <c r="O994" s="25">
        <f t="shared" ref="O994:O1057" si="32">I994/L994-1</f>
        <v>-4.093567251461816E-3</v>
      </c>
    </row>
    <row r="995" spans="1:15">
      <c r="A995" s="84">
        <v>391.2780242398868</v>
      </c>
      <c r="B995" s="84">
        <v>391.97029645380189</v>
      </c>
      <c r="C995" s="84">
        <v>387.93204187263092</v>
      </c>
      <c r="D995" s="84">
        <v>388.01857589937026</v>
      </c>
      <c r="E995" s="85">
        <v>3380135.7803553771</v>
      </c>
      <c r="F995" s="83" t="s">
        <v>1000</v>
      </c>
      <c r="G995" s="25">
        <f t="shared" si="31"/>
        <v>8.4002378828427204E-3</v>
      </c>
      <c r="I995" s="84">
        <v>81.04447587957273</v>
      </c>
      <c r="J995" s="84">
        <v>81.148089226234205</v>
      </c>
      <c r="K995" s="84">
        <v>80.342730940820033</v>
      </c>
      <c r="L995" s="84">
        <v>80.582925517171631</v>
      </c>
      <c r="M995" s="85">
        <v>4737289.3147029392</v>
      </c>
      <c r="N995" s="83" t="s">
        <v>1000</v>
      </c>
      <c r="O995" s="25">
        <f t="shared" si="32"/>
        <v>5.7276446522500635E-3</v>
      </c>
    </row>
    <row r="996" spans="1:15">
      <c r="A996" s="84">
        <v>387.10516117267684</v>
      </c>
      <c r="B996" s="84">
        <v>389.78771600159752</v>
      </c>
      <c r="C996" s="84">
        <v>386.57634212038062</v>
      </c>
      <c r="D996" s="84">
        <v>389.73964154229793</v>
      </c>
      <c r="E996" s="85">
        <v>2754114.1788973161</v>
      </c>
      <c r="F996" s="83" t="s">
        <v>1001</v>
      </c>
      <c r="G996" s="25">
        <f t="shared" si="31"/>
        <v>-6.7595904773652959E-3</v>
      </c>
      <c r="I996" s="84">
        <v>80.37569882384868</v>
      </c>
      <c r="J996" s="84">
        <v>80.837249186249778</v>
      </c>
      <c r="K996" s="84">
        <v>80.124200973315837</v>
      </c>
      <c r="L996" s="84">
        <v>80.837249186249778</v>
      </c>
      <c r="M996" s="85">
        <v>4166961.8240460441</v>
      </c>
      <c r="N996" s="83" t="s">
        <v>1001</v>
      </c>
      <c r="O996" s="25">
        <f t="shared" si="32"/>
        <v>-5.7096247960848334E-3</v>
      </c>
    </row>
    <row r="997" spans="1:15">
      <c r="A997" s="84">
        <v>388.19164395284901</v>
      </c>
      <c r="B997" s="84">
        <v>388.81661192374452</v>
      </c>
      <c r="C997" s="84">
        <v>384.58605950537498</v>
      </c>
      <c r="D997" s="84">
        <v>386.65326125526008</v>
      </c>
      <c r="E997" s="85">
        <v>3424306.8439707565</v>
      </c>
      <c r="F997" s="83" t="s">
        <v>1002</v>
      </c>
      <c r="G997" s="25">
        <f t="shared" si="31"/>
        <v>3.9787138807381162E-3</v>
      </c>
      <c r="I997" s="84">
        <v>80.554667331718491</v>
      </c>
      <c r="J997" s="84">
        <v>81.016217694119604</v>
      </c>
      <c r="K997" s="84">
        <v>80.267375779611697</v>
      </c>
      <c r="L997" s="84">
        <v>80.648861283228925</v>
      </c>
      <c r="M997" s="85">
        <v>4771813.8244814677</v>
      </c>
      <c r="N997" s="83" t="s">
        <v>1002</v>
      </c>
      <c r="O997" s="25">
        <f t="shared" si="32"/>
        <v>-1.1679514132212354E-3</v>
      </c>
    </row>
    <row r="998" spans="1:15">
      <c r="A998" s="84">
        <v>385.64369760996732</v>
      </c>
      <c r="B998" s="84">
        <v>386.53788255294091</v>
      </c>
      <c r="C998" s="84">
        <v>382.52847264734976</v>
      </c>
      <c r="D998" s="84">
        <v>382.83614918686754</v>
      </c>
      <c r="E998" s="85">
        <v>4324195.2801639643</v>
      </c>
      <c r="F998" s="83" t="s">
        <v>1003</v>
      </c>
      <c r="G998" s="25">
        <f t="shared" si="31"/>
        <v>7.3335509958056821E-3</v>
      </c>
      <c r="I998" s="84">
        <v>80.818410395947694</v>
      </c>
      <c r="J998" s="84">
        <v>81.223444387442541</v>
      </c>
      <c r="K998" s="84">
        <v>79.706921768124644</v>
      </c>
      <c r="L998" s="84">
        <v>79.725760558426728</v>
      </c>
      <c r="M998" s="85">
        <v>8652801.8724192046</v>
      </c>
      <c r="N998" s="83" t="s">
        <v>1003</v>
      </c>
      <c r="O998" s="25">
        <f t="shared" si="32"/>
        <v>1.3705103969754218E-2</v>
      </c>
    </row>
    <row r="999" spans="1:15">
      <c r="A999" s="84">
        <v>385.28794661114995</v>
      </c>
      <c r="B999" s="84">
        <v>389.96078405507626</v>
      </c>
      <c r="C999" s="84">
        <v>384.95142539605234</v>
      </c>
      <c r="D999" s="84">
        <v>389.720411758578</v>
      </c>
      <c r="E999" s="85">
        <v>7386982.7175061591</v>
      </c>
      <c r="F999" s="83" t="s">
        <v>1004</v>
      </c>
      <c r="G999" s="25">
        <f t="shared" si="31"/>
        <v>-1.1373448794808949E-2</v>
      </c>
      <c r="I999" s="84">
        <v>80.206149711129925</v>
      </c>
      <c r="J999" s="84">
        <v>80.743055234739359</v>
      </c>
      <c r="K999" s="84">
        <v>79.622147211765252</v>
      </c>
      <c r="L999" s="84">
        <v>80.027181203260099</v>
      </c>
      <c r="M999" s="85">
        <v>5404492.4524016697</v>
      </c>
      <c r="N999" s="83" t="s">
        <v>1004</v>
      </c>
      <c r="O999" s="25">
        <f t="shared" si="32"/>
        <v>2.2363465160075702E-3</v>
      </c>
    </row>
    <row r="1000" spans="1:15">
      <c r="A1000" s="84">
        <v>388.43201624934733</v>
      </c>
      <c r="B1000" s="84">
        <v>392.39335169563884</v>
      </c>
      <c r="C1000" s="84">
        <v>388.31663754702811</v>
      </c>
      <c r="D1000" s="84">
        <v>390.93188813292932</v>
      </c>
      <c r="E1000" s="85">
        <v>3487977.8668921106</v>
      </c>
      <c r="F1000" s="83" t="s">
        <v>1005</v>
      </c>
      <c r="G1000" s="25">
        <f t="shared" si="31"/>
        <v>-6.3946481713764713E-3</v>
      </c>
      <c r="I1000" s="84">
        <v>79.640986005573239</v>
      </c>
      <c r="J1000" s="84">
        <v>80.249003869134697</v>
      </c>
      <c r="K1000" s="84">
        <v>79.594215400683893</v>
      </c>
      <c r="L1000" s="84">
        <v>80.015150844687994</v>
      </c>
      <c r="M1000" s="85">
        <v>4498206.7368544433</v>
      </c>
      <c r="N1000" s="83" t="s">
        <v>1005</v>
      </c>
      <c r="O1000" s="25">
        <f t="shared" si="32"/>
        <v>-4.6761748889410093E-3</v>
      </c>
    </row>
    <row r="1001" spans="1:15">
      <c r="A1001" s="84">
        <v>391.3260986991865</v>
      </c>
      <c r="B1001" s="84">
        <v>395.85711648817886</v>
      </c>
      <c r="C1001" s="84">
        <v>390.75882007945057</v>
      </c>
      <c r="D1001" s="84">
        <v>394.29710028390508</v>
      </c>
      <c r="E1001" s="85">
        <v>4873813.5262123393</v>
      </c>
      <c r="F1001" s="83" t="s">
        <v>1006</v>
      </c>
      <c r="G1001" s="25">
        <f t="shared" si="31"/>
        <v>-7.5349313565313825E-3</v>
      </c>
      <c r="I1001" s="84">
        <v>80.127400296422408</v>
      </c>
      <c r="J1001" s="84">
        <v>80.660585192160923</v>
      </c>
      <c r="K1001" s="84">
        <v>80.061921449577326</v>
      </c>
      <c r="L1001" s="84">
        <v>80.55768986140437</v>
      </c>
      <c r="M1001" s="85">
        <v>4463159.0823740652</v>
      </c>
      <c r="N1001" s="83" t="s">
        <v>1006</v>
      </c>
      <c r="O1001" s="25">
        <f t="shared" si="32"/>
        <v>-5.3413841151881414E-3</v>
      </c>
    </row>
    <row r="1002" spans="1:15">
      <c r="A1002" s="84">
        <v>395.86432765707389</v>
      </c>
      <c r="B1002" s="84">
        <v>395.88355744079371</v>
      </c>
      <c r="C1002" s="84">
        <v>392.58564953283741</v>
      </c>
      <c r="D1002" s="84">
        <v>392.82602182933573</v>
      </c>
      <c r="E1002" s="85">
        <v>2883976.2738838922</v>
      </c>
      <c r="F1002" s="83" t="s">
        <v>1007</v>
      </c>
      <c r="G1002" s="25">
        <f t="shared" si="31"/>
        <v>7.7344820834148731E-3</v>
      </c>
      <c r="I1002" s="84">
        <v>80.857021732696154</v>
      </c>
      <c r="J1002" s="84">
        <v>81.483747838213347</v>
      </c>
      <c r="K1002" s="84">
        <v>80.660585192160923</v>
      </c>
      <c r="L1002" s="84">
        <v>81.231186571810909</v>
      </c>
      <c r="M1002" s="85">
        <v>3764971.6187468711</v>
      </c>
      <c r="N1002" s="83" t="s">
        <v>1007</v>
      </c>
      <c r="O1002" s="25">
        <f t="shared" si="32"/>
        <v>-4.6061722708430342E-3</v>
      </c>
    </row>
    <row r="1003" spans="1:15">
      <c r="A1003" s="84">
        <v>393.64328763742986</v>
      </c>
      <c r="B1003" s="84">
        <v>394.60477682342292</v>
      </c>
      <c r="C1003" s="84">
        <v>391.65300502242411</v>
      </c>
      <c r="D1003" s="84">
        <v>392.23951342587992</v>
      </c>
      <c r="E1003" s="85">
        <v>3035772.0528964801</v>
      </c>
      <c r="F1003" s="83" t="s">
        <v>1008</v>
      </c>
      <c r="G1003" s="25">
        <f t="shared" si="31"/>
        <v>3.5788699595540319E-3</v>
      </c>
      <c r="I1003" s="84">
        <v>81.231186571810909</v>
      </c>
      <c r="J1003" s="84">
        <v>81.259248934744505</v>
      </c>
      <c r="K1003" s="84">
        <v>80.351899199891264</v>
      </c>
      <c r="L1003" s="84">
        <v>80.370607441846985</v>
      </c>
      <c r="M1003" s="85">
        <v>4039968.0621418259</v>
      </c>
      <c r="N1003" s="83" t="s">
        <v>1008</v>
      </c>
      <c r="O1003" s="25">
        <f t="shared" si="32"/>
        <v>1.0707635009311156E-2</v>
      </c>
    </row>
    <row r="1004" spans="1:15">
      <c r="A1004" s="84">
        <v>394.00865352810723</v>
      </c>
      <c r="B1004" s="84">
        <v>399.06608664643085</v>
      </c>
      <c r="C1004" s="84">
        <v>392.88371118049531</v>
      </c>
      <c r="D1004" s="84">
        <v>395.94124679195329</v>
      </c>
      <c r="E1004" s="85">
        <v>4772103.5939274607</v>
      </c>
      <c r="F1004" s="83" t="s">
        <v>1009</v>
      </c>
      <c r="G1004" s="25">
        <f t="shared" si="31"/>
        <v>-4.8810101991256793E-3</v>
      </c>
      <c r="I1004" s="84">
        <v>80.651231071183048</v>
      </c>
      <c r="J1004" s="84">
        <v>82.381743452088728</v>
      </c>
      <c r="K1004" s="84">
        <v>80.53898161944862</v>
      </c>
      <c r="L1004" s="84">
        <v>81.680184378748592</v>
      </c>
      <c r="M1004" s="85">
        <v>5729808.2980548032</v>
      </c>
      <c r="N1004" s="83" t="s">
        <v>1009</v>
      </c>
      <c r="O1004" s="25">
        <f t="shared" si="32"/>
        <v>-1.2597343105817616E-2</v>
      </c>
    </row>
    <row r="1005" spans="1:15">
      <c r="A1005" s="84">
        <v>393.77789612346885</v>
      </c>
      <c r="B1005" s="84">
        <v>396.83543173492689</v>
      </c>
      <c r="C1005" s="84">
        <v>393.1048536932737</v>
      </c>
      <c r="D1005" s="84">
        <v>396.76812749190736</v>
      </c>
      <c r="E1005" s="85">
        <v>3271939.0356436293</v>
      </c>
      <c r="F1005" s="83" t="s">
        <v>1010</v>
      </c>
      <c r="G1005" s="25">
        <f t="shared" si="31"/>
        <v>-7.5364707022731459E-3</v>
      </c>
      <c r="I1005" s="84">
        <v>82.101119822752679</v>
      </c>
      <c r="J1005" s="84">
        <v>82.227400455953912</v>
      </c>
      <c r="K1005" s="84">
        <v>80.412700986247401</v>
      </c>
      <c r="L1005" s="84">
        <v>80.520273377492884</v>
      </c>
      <c r="M1005" s="85">
        <v>9410385.0279748384</v>
      </c>
      <c r="N1005" s="83" t="s">
        <v>1010</v>
      </c>
      <c r="O1005" s="25">
        <f t="shared" si="32"/>
        <v>1.9632899628252876E-2</v>
      </c>
    </row>
    <row r="1006" spans="1:15">
      <c r="A1006" s="84">
        <v>396.41237649308994</v>
      </c>
      <c r="B1006" s="84">
        <v>396.84504662678683</v>
      </c>
      <c r="C1006" s="84">
        <v>393.36926321942178</v>
      </c>
      <c r="D1006" s="84">
        <v>395.90278722451359</v>
      </c>
      <c r="E1006" s="85">
        <v>3931490.9154133508</v>
      </c>
      <c r="F1006" s="83" t="s">
        <v>1011</v>
      </c>
      <c r="G1006" s="25">
        <f t="shared" si="31"/>
        <v>1.2871575675150737E-3</v>
      </c>
      <c r="I1006" s="84">
        <v>80.641876950205173</v>
      </c>
      <c r="J1006" s="84">
        <v>80.847667611718293</v>
      </c>
      <c r="K1006" s="84">
        <v>79.191988198635542</v>
      </c>
      <c r="L1006" s="84">
        <v>79.519382432860951</v>
      </c>
      <c r="M1006" s="85">
        <v>7718529.637453042</v>
      </c>
      <c r="N1006" s="83" t="s">
        <v>1011</v>
      </c>
      <c r="O1006" s="25">
        <f t="shared" si="32"/>
        <v>1.4115986354546362E-2</v>
      </c>
    </row>
    <row r="1007" spans="1:15">
      <c r="A1007" s="84">
        <v>398.13344213601755</v>
      </c>
      <c r="B1007" s="84">
        <v>398.28728040577647</v>
      </c>
      <c r="C1007" s="84">
        <v>395.78740852219443</v>
      </c>
      <c r="D1007" s="84">
        <v>396.41237649308994</v>
      </c>
      <c r="E1007" s="85">
        <v>2702034.5499951141</v>
      </c>
      <c r="F1007" s="83" t="s">
        <v>1012</v>
      </c>
      <c r="G1007" s="25">
        <f t="shared" si="31"/>
        <v>4.341604210628347E-3</v>
      </c>
      <c r="I1007" s="84">
        <v>79.949671997842898</v>
      </c>
      <c r="J1007" s="84">
        <v>80.225618566690031</v>
      </c>
      <c r="K1007" s="84">
        <v>79.238758803524888</v>
      </c>
      <c r="L1007" s="84">
        <v>79.276175287436359</v>
      </c>
      <c r="M1007" s="85">
        <v>7206385.3096926389</v>
      </c>
      <c r="N1007" s="83" t="s">
        <v>1012</v>
      </c>
      <c r="O1007" s="25">
        <f t="shared" si="32"/>
        <v>8.4955752212390045E-3</v>
      </c>
    </row>
    <row r="1008" spans="1:15">
      <c r="A1008" s="84">
        <v>394.5759321478431</v>
      </c>
      <c r="B1008" s="84">
        <v>400.10305273352435</v>
      </c>
      <c r="C1008" s="84">
        <v>394.2394109327455</v>
      </c>
      <c r="D1008" s="84">
        <v>398.20074637903701</v>
      </c>
      <c r="E1008" s="85">
        <v>5946261.3654825911</v>
      </c>
      <c r="F1008" s="83" t="s">
        <v>1013</v>
      </c>
      <c r="G1008" s="25">
        <f t="shared" si="31"/>
        <v>-9.1029820113485149E-3</v>
      </c>
      <c r="I1008" s="84">
        <v>79.089092867878989</v>
      </c>
      <c r="J1008" s="84">
        <v>79.697110731440446</v>
      </c>
      <c r="K1008" s="84">
        <v>78.892656327343758</v>
      </c>
      <c r="L1008" s="84">
        <v>79.556798916772422</v>
      </c>
      <c r="M1008" s="85">
        <v>5958149.3688035682</v>
      </c>
      <c r="N1008" s="83" t="s">
        <v>1013</v>
      </c>
      <c r="O1008" s="25">
        <f t="shared" si="32"/>
        <v>-5.8788947677836934E-3</v>
      </c>
    </row>
    <row r="1009" spans="1:15">
      <c r="A1009" s="84">
        <v>396.51814030354916</v>
      </c>
      <c r="B1009" s="84">
        <v>398.23920594647677</v>
      </c>
      <c r="C1009" s="84">
        <v>395.2585894698982</v>
      </c>
      <c r="D1009" s="84">
        <v>395.82586808963413</v>
      </c>
      <c r="E1009" s="85">
        <v>3149488.3604668765</v>
      </c>
      <c r="F1009" s="83" t="s">
        <v>1014</v>
      </c>
      <c r="G1009" s="25">
        <f t="shared" si="31"/>
        <v>1.748931208705784E-3</v>
      </c>
      <c r="I1009" s="84">
        <v>79.201342319613417</v>
      </c>
      <c r="J1009" s="84">
        <v>80.2209415062011</v>
      </c>
      <c r="K1009" s="84">
        <v>78.911364569299494</v>
      </c>
      <c r="L1009" s="84">
        <v>80.00579672371012</v>
      </c>
      <c r="M1009" s="85">
        <v>8497618.3425534274</v>
      </c>
      <c r="N1009" s="83" t="s">
        <v>1014</v>
      </c>
      <c r="O1009" s="25">
        <f t="shared" si="32"/>
        <v>-1.0054951479013252E-2</v>
      </c>
    </row>
    <row r="1010" spans="1:15">
      <c r="A1010" s="84">
        <v>397.64308265116108</v>
      </c>
      <c r="B1010" s="84">
        <v>400.65254380331942</v>
      </c>
      <c r="C1010" s="84">
        <v>396.97965511282581</v>
      </c>
      <c r="D1010" s="84">
        <v>400.42178639868109</v>
      </c>
      <c r="E1010" s="85">
        <v>5178496.100148336</v>
      </c>
      <c r="F1010" s="83" t="s">
        <v>1015</v>
      </c>
      <c r="G1010" s="25">
        <f t="shared" si="31"/>
        <v>-6.9394419632137216E-3</v>
      </c>
      <c r="I1010" s="84">
        <v>79.940317876865024</v>
      </c>
      <c r="J1010" s="84">
        <v>82.241431637420703</v>
      </c>
      <c r="K1010" s="84">
        <v>79.762589578285528</v>
      </c>
      <c r="L1010" s="84">
        <v>81.848558556350227</v>
      </c>
      <c r="M1010" s="85">
        <v>9215485.9023046233</v>
      </c>
      <c r="N1010" s="83" t="s">
        <v>1015</v>
      </c>
      <c r="O1010" s="25">
        <f t="shared" si="32"/>
        <v>-2.3314285714285843E-2</v>
      </c>
    </row>
    <row r="1011" spans="1:15">
      <c r="A1011" s="84">
        <v>403.22933482178092</v>
      </c>
      <c r="B1011" s="84">
        <v>403.90237725197608</v>
      </c>
      <c r="C1011" s="84">
        <v>402.43129879740667</v>
      </c>
      <c r="D1011" s="84">
        <v>403.1139561194617</v>
      </c>
      <c r="E1011" s="85">
        <v>3262933.214126192</v>
      </c>
      <c r="F1011" s="83" t="s">
        <v>1016</v>
      </c>
      <c r="G1011" s="25">
        <f t="shared" si="31"/>
        <v>2.8621857558563946E-4</v>
      </c>
      <c r="I1011" s="84">
        <v>82.288202242310049</v>
      </c>
      <c r="J1011" s="84">
        <v>82.512701145778891</v>
      </c>
      <c r="K1011" s="84">
        <v>81.446331354301876</v>
      </c>
      <c r="L1011" s="84">
        <v>81.521164322124832</v>
      </c>
      <c r="M1011" s="85">
        <v>7255921.765453293</v>
      </c>
      <c r="N1011" s="83" t="s">
        <v>1016</v>
      </c>
      <c r="O1011" s="25">
        <f t="shared" si="32"/>
        <v>9.4090648307514346E-3</v>
      </c>
    </row>
    <row r="1012" spans="1:15">
      <c r="A1012" s="84">
        <v>404.47927076357195</v>
      </c>
      <c r="B1012" s="84">
        <v>404.75810262750991</v>
      </c>
      <c r="C1012" s="84">
        <v>402.9120433904032</v>
      </c>
      <c r="D1012" s="84">
        <v>404.1331346566144</v>
      </c>
      <c r="E1012" s="85">
        <v>3592902.6039246968</v>
      </c>
      <c r="F1012" s="83" t="s">
        <v>1017</v>
      </c>
      <c r="G1012" s="25">
        <f t="shared" si="31"/>
        <v>8.5649029311007929E-4</v>
      </c>
      <c r="I1012" s="84">
        <v>82.250785758398578</v>
      </c>
      <c r="J1012" s="84">
        <v>82.961698952716588</v>
      </c>
      <c r="K1012" s="84">
        <v>81.588513993165478</v>
      </c>
      <c r="L1012" s="84">
        <v>81.801787951460881</v>
      </c>
      <c r="M1012" s="85">
        <v>10881354.885276729</v>
      </c>
      <c r="N1012" s="83" t="s">
        <v>1017</v>
      </c>
      <c r="O1012" s="25">
        <f t="shared" si="32"/>
        <v>5.4888507718697799E-3</v>
      </c>
    </row>
    <row r="1013" spans="1:15">
      <c r="A1013" s="84">
        <v>403.70046452291751</v>
      </c>
      <c r="B1013" s="84">
        <v>404.42158141241237</v>
      </c>
      <c r="C1013" s="84">
        <v>402.05631801486936</v>
      </c>
      <c r="D1013" s="84">
        <v>402.79666468808404</v>
      </c>
      <c r="E1013" s="85">
        <v>2810982.2131888564</v>
      </c>
      <c r="F1013" s="83" t="s">
        <v>1018</v>
      </c>
      <c r="G1013" s="25">
        <f t="shared" si="31"/>
        <v>2.2438116153056242E-3</v>
      </c>
      <c r="I1013" s="84">
        <v>81.698892620704328</v>
      </c>
      <c r="J1013" s="84">
        <v>81.895329161239573</v>
      </c>
      <c r="K1013" s="84">
        <v>79.885409186724956</v>
      </c>
      <c r="L1013" s="84">
        <v>79.977734360776509</v>
      </c>
      <c r="M1013" s="85">
        <v>12424071.729985332</v>
      </c>
      <c r="N1013" s="83" t="s">
        <v>1018</v>
      </c>
      <c r="O1013" s="25">
        <f t="shared" si="32"/>
        <v>2.1520467836257273E-2</v>
      </c>
    </row>
    <row r="1014" spans="1:15">
      <c r="A1014" s="84">
        <v>399.80643331964552</v>
      </c>
      <c r="B1014" s="84">
        <v>405.89265986698172</v>
      </c>
      <c r="C1014" s="84">
        <v>398.94109305225174</v>
      </c>
      <c r="D1014" s="84">
        <v>405.54652376002429</v>
      </c>
      <c r="E1014" s="85">
        <v>4315641.8818316627</v>
      </c>
      <c r="F1014" s="83" t="s">
        <v>1019</v>
      </c>
      <c r="G1014" s="25">
        <f t="shared" si="31"/>
        <v>-1.4153962872519577E-2</v>
      </c>
      <c r="I1014" s="84">
        <v>79.66904836850685</v>
      </c>
      <c r="J1014" s="84">
        <v>81.5866431689699</v>
      </c>
      <c r="K1014" s="84">
        <v>78.976843416144575</v>
      </c>
      <c r="L1014" s="84">
        <v>80.258357990112557</v>
      </c>
      <c r="M1014" s="85">
        <v>15065800.445966788</v>
      </c>
      <c r="N1014" s="83" t="s">
        <v>1019</v>
      </c>
      <c r="O1014" s="25">
        <f t="shared" si="32"/>
        <v>-7.3426573426571551E-3</v>
      </c>
    </row>
    <row r="1015" spans="1:15">
      <c r="A1015" s="84">
        <v>402.53706260786589</v>
      </c>
      <c r="B1015" s="84">
        <v>403.71969430663739</v>
      </c>
      <c r="C1015" s="84">
        <v>400.53716510100026</v>
      </c>
      <c r="D1015" s="84">
        <v>401.53711385443307</v>
      </c>
      <c r="E1015" s="85">
        <v>6384717.6748633096</v>
      </c>
      <c r="F1015" s="83" t="s">
        <v>1020</v>
      </c>
      <c r="G1015" s="25">
        <f t="shared" si="31"/>
        <v>2.4903021885924748E-3</v>
      </c>
      <c r="I1015" s="84">
        <v>80.72606403900599</v>
      </c>
      <c r="J1015" s="84">
        <v>81.567934927014178</v>
      </c>
      <c r="K1015" s="84">
        <v>79.379070618192912</v>
      </c>
      <c r="L1015" s="84">
        <v>81.212478329855159</v>
      </c>
      <c r="M1015" s="85">
        <v>21513492.339485854</v>
      </c>
      <c r="N1015" s="83" t="s">
        <v>1020</v>
      </c>
      <c r="O1015" s="25">
        <f t="shared" si="32"/>
        <v>-5.9894033632803545E-3</v>
      </c>
    </row>
    <row r="1016" spans="1:15">
      <c r="A1016" s="84">
        <v>402.44091368926655</v>
      </c>
      <c r="B1016" s="84">
        <v>403.48893690199901</v>
      </c>
      <c r="C1016" s="84">
        <v>401.00579493025333</v>
      </c>
      <c r="D1016" s="84">
        <v>401.01790969399678</v>
      </c>
      <c r="E1016" s="85">
        <v>4107490.8148040203</v>
      </c>
      <c r="F1016" s="83" t="s">
        <v>1021</v>
      </c>
      <c r="G1016" s="25">
        <f t="shared" si="31"/>
        <v>3.548479907931279E-3</v>
      </c>
      <c r="I1016" s="84">
        <v>81.474393717235472</v>
      </c>
      <c r="J1016" s="84">
        <v>81.61470553190351</v>
      </c>
      <c r="K1016" s="84">
        <v>76.095774154961035</v>
      </c>
      <c r="L1016" s="84">
        <v>80.314482715979779</v>
      </c>
      <c r="M1016" s="85">
        <v>53052172.531670161</v>
      </c>
      <c r="N1016" s="83" t="s">
        <v>1021</v>
      </c>
      <c r="O1016" s="25">
        <f t="shared" si="32"/>
        <v>1.4442115071045647E-2</v>
      </c>
    </row>
    <row r="1017" spans="1:15">
      <c r="A1017" s="84">
        <v>401.25828199049505</v>
      </c>
      <c r="B1017" s="84">
        <v>401.99862866370978</v>
      </c>
      <c r="C1017" s="84">
        <v>399.99392371091415</v>
      </c>
      <c r="D1017" s="84">
        <v>400.53716510100026</v>
      </c>
      <c r="E1017" s="85">
        <v>3610156.0481044832</v>
      </c>
      <c r="F1017" s="83" t="s">
        <v>1022</v>
      </c>
      <c r="G1017" s="25">
        <f t="shared" si="31"/>
        <v>1.8003744778913866E-3</v>
      </c>
      <c r="I1017" s="84">
        <v>90.744327606303273</v>
      </c>
      <c r="J1017" s="84">
        <v>90.898670602438088</v>
      </c>
      <c r="K1017" s="84">
        <v>90.27662155740984</v>
      </c>
      <c r="L1017" s="84">
        <v>90.64143227554672</v>
      </c>
      <c r="M1017" s="85">
        <v>5069175.4053842109</v>
      </c>
      <c r="N1017" s="83" t="s">
        <v>1022</v>
      </c>
      <c r="O1017" s="25">
        <f t="shared" si="32"/>
        <v>1.1351909184726949E-3</v>
      </c>
    </row>
    <row r="1018" spans="1:15">
      <c r="A1018" s="84">
        <v>399.56606102314726</v>
      </c>
      <c r="B1018" s="84">
        <v>401.22943731491529</v>
      </c>
      <c r="C1018" s="84">
        <v>399.47952699640786</v>
      </c>
      <c r="D1018" s="84">
        <v>401.0467543695766</v>
      </c>
      <c r="E1018" s="85">
        <v>3303950.8361385143</v>
      </c>
      <c r="F1018" s="83" t="s">
        <v>1023</v>
      </c>
      <c r="G1018" s="25">
        <f t="shared" si="31"/>
        <v>-3.6920716357795591E-3</v>
      </c>
      <c r="I1018" s="84">
        <v>90.164372105675412</v>
      </c>
      <c r="J1018" s="84">
        <v>91.145619396253821</v>
      </c>
      <c r="K1018" s="84">
        <v>90.145663863719676</v>
      </c>
      <c r="L1018" s="84">
        <v>90.922055904882768</v>
      </c>
      <c r="M1018" s="85">
        <v>3501014.1602275996</v>
      </c>
      <c r="N1018" s="83" t="s">
        <v>1023</v>
      </c>
      <c r="O1018" s="25">
        <f t="shared" si="32"/>
        <v>-8.3333333333333037E-3</v>
      </c>
    </row>
    <row r="1019" spans="1:15">
      <c r="A1019" s="84">
        <v>399.51798656384756</v>
      </c>
      <c r="B1019" s="84">
        <v>402.05631801486936</v>
      </c>
      <c r="C1019" s="84">
        <v>398.8449441336524</v>
      </c>
      <c r="D1019" s="84">
        <v>401.22943731491529</v>
      </c>
      <c r="E1019" s="85">
        <v>4248614.6069139149</v>
      </c>
      <c r="F1019" s="83" t="s">
        <v>1024</v>
      </c>
      <c r="G1019" s="25">
        <f t="shared" si="31"/>
        <v>-4.2655164150492419E-3</v>
      </c>
      <c r="I1019" s="84">
        <v>90.884639420971283</v>
      </c>
      <c r="J1019" s="84">
        <v>90.996888872705711</v>
      </c>
      <c r="K1019" s="84">
        <v>89.766821964116005</v>
      </c>
      <c r="L1019" s="84">
        <v>89.986643807095916</v>
      </c>
      <c r="M1019" s="85">
        <v>4612470.8138883868</v>
      </c>
      <c r="N1019" s="83" t="s">
        <v>1024</v>
      </c>
      <c r="O1019" s="25">
        <f t="shared" si="32"/>
        <v>9.9792099792097577E-3</v>
      </c>
    </row>
    <row r="1020" spans="1:15">
      <c r="A1020" s="84">
        <v>402.14285204160871</v>
      </c>
      <c r="B1020" s="84">
        <v>403.21971992992098</v>
      </c>
      <c r="C1020" s="84">
        <v>401.41212026025397</v>
      </c>
      <c r="D1020" s="84">
        <v>401.96978398812996</v>
      </c>
      <c r="E1020" s="85">
        <v>3634898.9160915297</v>
      </c>
      <c r="F1020" s="83" t="s">
        <v>1025</v>
      </c>
      <c r="G1020" s="25">
        <f t="shared" si="31"/>
        <v>4.3054990791002723E-4</v>
      </c>
      <c r="I1020" s="84">
        <v>89.39733418549018</v>
      </c>
      <c r="J1020" s="84">
        <v>90.239205073498354</v>
      </c>
      <c r="K1020" s="84">
        <v>89.112033495665187</v>
      </c>
      <c r="L1020" s="84">
        <v>89.649895451892647</v>
      </c>
      <c r="M1020" s="85">
        <v>4418700.6024181256</v>
      </c>
      <c r="N1020" s="83" t="s">
        <v>1025</v>
      </c>
      <c r="O1020" s="25">
        <f t="shared" si="32"/>
        <v>-2.8171953255426985E-3</v>
      </c>
    </row>
    <row r="1021" spans="1:15">
      <c r="A1021" s="84">
        <v>401.27751177421499</v>
      </c>
      <c r="B1021" s="84">
        <v>401.83517550209092</v>
      </c>
      <c r="C1021" s="84">
        <v>397.61423797558132</v>
      </c>
      <c r="D1021" s="84">
        <v>397.96998897439875</v>
      </c>
      <c r="E1021" s="85">
        <v>3741367.0922200712</v>
      </c>
      <c r="F1021" s="83" t="s">
        <v>1026</v>
      </c>
      <c r="G1021" s="25">
        <f t="shared" si="31"/>
        <v>8.3109854799352512E-3</v>
      </c>
      <c r="I1021" s="84">
        <v>89.57506248406969</v>
      </c>
      <c r="J1021" s="84">
        <v>91.371521417869346</v>
      </c>
      <c r="K1021" s="84">
        <v>89.322501217667238</v>
      </c>
      <c r="L1021" s="84">
        <v>90.192434468609022</v>
      </c>
      <c r="M1021" s="85">
        <v>5841902.2085869415</v>
      </c>
      <c r="N1021" s="83" t="s">
        <v>1026</v>
      </c>
      <c r="O1021" s="25">
        <f t="shared" si="32"/>
        <v>-6.8450528935906085E-3</v>
      </c>
    </row>
    <row r="1022" spans="1:15">
      <c r="A1022" s="84">
        <v>398.25843573019665</v>
      </c>
      <c r="B1022" s="84">
        <v>399.25790373903646</v>
      </c>
      <c r="C1022" s="84">
        <v>396.73928281632755</v>
      </c>
      <c r="D1022" s="84">
        <v>396.75851260004742</v>
      </c>
      <c r="E1022" s="85">
        <v>3087155.8861415433</v>
      </c>
      <c r="F1022" s="83" t="s">
        <v>1027</v>
      </c>
      <c r="G1022" s="25">
        <f t="shared" si="31"/>
        <v>3.7804434751000926E-3</v>
      </c>
      <c r="I1022" s="84">
        <v>90.09889325883033</v>
      </c>
      <c r="J1022" s="84">
        <v>90.62272403359097</v>
      </c>
      <c r="K1022" s="84">
        <v>89.425396548423791</v>
      </c>
      <c r="L1022" s="84">
        <v>89.883748476339349</v>
      </c>
      <c r="M1022" s="85">
        <v>3495151.503530113</v>
      </c>
      <c r="N1022" s="83" t="s">
        <v>1027</v>
      </c>
      <c r="O1022" s="25">
        <f t="shared" si="32"/>
        <v>2.3935893433240096E-3</v>
      </c>
    </row>
    <row r="1023" spans="1:15">
      <c r="A1023" s="84">
        <v>396.87389130236659</v>
      </c>
      <c r="B1023" s="84">
        <v>398.73918032319318</v>
      </c>
      <c r="C1023" s="84">
        <v>396.21046376403137</v>
      </c>
      <c r="D1023" s="84">
        <v>397.99883364997851</v>
      </c>
      <c r="E1023" s="85">
        <v>3828378.991281203</v>
      </c>
      <c r="F1023" s="83" t="s">
        <v>1028</v>
      </c>
      <c r="G1023" s="25">
        <f t="shared" si="31"/>
        <v>-2.8264965937092601E-3</v>
      </c>
      <c r="I1023" s="84">
        <v>89.958581444162306</v>
      </c>
      <c r="J1023" s="84">
        <v>90.875285299993436</v>
      </c>
      <c r="K1023" s="84">
        <v>89.547000121136094</v>
      </c>
      <c r="L1023" s="84">
        <v>90.819160574126215</v>
      </c>
      <c r="M1023" s="85">
        <v>3693160.4884878891</v>
      </c>
      <c r="N1023" s="83" t="s">
        <v>1028</v>
      </c>
      <c r="O1023" s="25">
        <f t="shared" si="32"/>
        <v>-9.475744154907817E-3</v>
      </c>
    </row>
    <row r="1024" spans="1:15">
      <c r="A1024" s="84">
        <v>397.19118273374431</v>
      </c>
      <c r="B1024" s="84">
        <v>397.87384005579941</v>
      </c>
      <c r="C1024" s="84">
        <v>395.29704903733796</v>
      </c>
      <c r="D1024" s="84">
        <v>395.69125960359514</v>
      </c>
      <c r="E1024" s="85">
        <v>3404538.5509135979</v>
      </c>
      <c r="F1024" s="83" t="s">
        <v>1029</v>
      </c>
      <c r="G1024" s="25">
        <f t="shared" si="31"/>
        <v>3.7906400349903002E-3</v>
      </c>
      <c r="I1024" s="84">
        <v>90.893993541949158</v>
      </c>
      <c r="J1024" s="84">
        <v>91.165263050307345</v>
      </c>
      <c r="K1024" s="84">
        <v>90.070830895896734</v>
      </c>
      <c r="L1024" s="84">
        <v>90.351454525232782</v>
      </c>
      <c r="M1024" s="85">
        <v>3589383.7678001062</v>
      </c>
      <c r="N1024" s="83" t="s">
        <v>1029</v>
      </c>
      <c r="O1024" s="25">
        <f t="shared" si="32"/>
        <v>6.0047623977637077E-3</v>
      </c>
    </row>
    <row r="1025" spans="1:15">
      <c r="A1025" s="84">
        <v>393.97980885252741</v>
      </c>
      <c r="B1025" s="84">
        <v>395.29704903733796</v>
      </c>
      <c r="C1025" s="84">
        <v>393.04716434211412</v>
      </c>
      <c r="D1025" s="84">
        <v>394.39324920250442</v>
      </c>
      <c r="E1025" s="85">
        <v>4416439.6873731762</v>
      </c>
      <c r="F1025" s="83" t="s">
        <v>1030</v>
      </c>
      <c r="G1025" s="25">
        <f t="shared" si="31"/>
        <v>-1.0482946927032888E-3</v>
      </c>
      <c r="I1025" s="84">
        <v>90.566599307723749</v>
      </c>
      <c r="J1025" s="84">
        <v>92.418715261341745</v>
      </c>
      <c r="K1025" s="84">
        <v>90.473058097945071</v>
      </c>
      <c r="L1025" s="84">
        <v>92.269049325695846</v>
      </c>
      <c r="M1025" s="85">
        <v>5284597.0366382413</v>
      </c>
      <c r="N1025" s="83" t="s">
        <v>1030</v>
      </c>
      <c r="O1025" s="25">
        <f t="shared" si="32"/>
        <v>-1.845093268450948E-2</v>
      </c>
    </row>
    <row r="1026" spans="1:15">
      <c r="A1026" s="84">
        <v>390.90304345734955</v>
      </c>
      <c r="B1026" s="84">
        <v>391.3260986991865</v>
      </c>
      <c r="C1026" s="84">
        <v>388.22048862842882</v>
      </c>
      <c r="D1026" s="84">
        <v>389.18197781442188</v>
      </c>
      <c r="E1026" s="85">
        <v>3309315.4310555882</v>
      </c>
      <c r="F1026" s="83" t="s">
        <v>1031</v>
      </c>
      <c r="G1026" s="25">
        <f t="shared" si="31"/>
        <v>4.4222644958866741E-3</v>
      </c>
      <c r="I1026" s="84">
        <v>91.69844794604586</v>
      </c>
      <c r="J1026" s="84">
        <v>91.754572671913081</v>
      </c>
      <c r="K1026" s="84">
        <v>90.30468392034345</v>
      </c>
      <c r="L1026" s="84">
        <v>90.828514695104076</v>
      </c>
      <c r="M1026" s="85">
        <v>6638703.9623417137</v>
      </c>
      <c r="N1026" s="83" t="s">
        <v>1031</v>
      </c>
      <c r="O1026" s="25">
        <f t="shared" si="32"/>
        <v>9.5777548918640765E-3</v>
      </c>
    </row>
    <row r="1027" spans="1:15">
      <c r="A1027" s="84">
        <v>388.41278646562745</v>
      </c>
      <c r="B1027" s="84">
        <v>388.54739495166649</v>
      </c>
      <c r="C1027" s="84">
        <v>386.57634212038062</v>
      </c>
      <c r="D1027" s="84">
        <v>387.12439095639667</v>
      </c>
      <c r="E1027" s="85">
        <v>3496947.2865440776</v>
      </c>
      <c r="F1027" s="83" t="s">
        <v>1032</v>
      </c>
      <c r="G1027" s="25">
        <f t="shared" si="31"/>
        <v>3.3281176266051204E-3</v>
      </c>
      <c r="I1027" s="84">
        <v>91.183971292263095</v>
      </c>
      <c r="J1027" s="84">
        <v>91.979071575381923</v>
      </c>
      <c r="K1027" s="84">
        <v>90.98753475172785</v>
      </c>
      <c r="L1027" s="84">
        <v>91.118492445417999</v>
      </c>
      <c r="M1027" s="85">
        <v>3528159.4153083027</v>
      </c>
      <c r="N1027" s="83" t="s">
        <v>1032</v>
      </c>
      <c r="O1027" s="25">
        <f t="shared" si="32"/>
        <v>7.1861205215095758E-4</v>
      </c>
    </row>
    <row r="1028" spans="1:15">
      <c r="A1028" s="84">
        <v>387.37437814475487</v>
      </c>
      <c r="B1028" s="84">
        <v>391.01746067048271</v>
      </c>
      <c r="C1028" s="84">
        <v>387.20131009127613</v>
      </c>
      <c r="D1028" s="84">
        <v>387.50898663079391</v>
      </c>
      <c r="E1028" s="85">
        <v>3820374.7410908579</v>
      </c>
      <c r="F1028" s="83" t="s">
        <v>1033</v>
      </c>
      <c r="G1028" s="25">
        <f t="shared" si="31"/>
        <v>-3.4736868223206319E-4</v>
      </c>
      <c r="I1028" s="84">
        <v>91.127846566395874</v>
      </c>
      <c r="J1028" s="84">
        <v>92.110029269072072</v>
      </c>
      <c r="K1028" s="84">
        <v>91.081075961506542</v>
      </c>
      <c r="L1028" s="84">
        <v>91.745218550935206</v>
      </c>
      <c r="M1028" s="85">
        <v>4885248.9836423341</v>
      </c>
      <c r="N1028" s="83" t="s">
        <v>1033</v>
      </c>
      <c r="O1028" s="25">
        <f t="shared" si="32"/>
        <v>-6.7292006525285775E-3</v>
      </c>
    </row>
    <row r="1029" spans="1:15">
      <c r="A1029" s="84">
        <v>388.27817797958841</v>
      </c>
      <c r="B1029" s="84">
        <v>388.77815235630482</v>
      </c>
      <c r="C1029" s="84">
        <v>386.09559752738409</v>
      </c>
      <c r="D1029" s="84">
        <v>388.23010352028871</v>
      </c>
      <c r="E1029" s="85">
        <v>6282203.7813781798</v>
      </c>
      <c r="F1029" s="83" t="s">
        <v>1034</v>
      </c>
      <c r="G1029" s="25">
        <f t="shared" si="31"/>
        <v>1.2382980831149304E-4</v>
      </c>
      <c r="I1029" s="84">
        <v>91.717156188001596</v>
      </c>
      <c r="J1029" s="84">
        <v>92.362590535474524</v>
      </c>
      <c r="K1029" s="84">
        <v>91.062367719550792</v>
      </c>
      <c r="L1029" s="84">
        <v>91.576844373333572</v>
      </c>
      <c r="M1029" s="85">
        <v>3934158.0130370813</v>
      </c>
      <c r="N1029" s="83" t="s">
        <v>1034</v>
      </c>
      <c r="O1029" s="25">
        <f t="shared" si="32"/>
        <v>1.5321756894790539E-3</v>
      </c>
    </row>
    <row r="1030" spans="1:15">
      <c r="A1030" s="84">
        <v>391.47032207708543</v>
      </c>
      <c r="B1030" s="84">
        <v>392.13374961542064</v>
      </c>
      <c r="C1030" s="84">
        <v>390.37422440505333</v>
      </c>
      <c r="D1030" s="84">
        <v>390.37422440505333</v>
      </c>
      <c r="E1030" s="85">
        <v>4403714.6352579379</v>
      </c>
      <c r="F1030" s="83" t="s">
        <v>1035</v>
      </c>
      <c r="G1030" s="25">
        <f t="shared" si="31"/>
        <v>2.8078126154527094E-3</v>
      </c>
      <c r="I1030" s="84">
        <v>91.894884486581091</v>
      </c>
      <c r="J1030" s="84">
        <v>92.097027040912849</v>
      </c>
      <c r="K1030" s="84">
        <v>91.141877747862679</v>
      </c>
      <c r="L1030" s="84">
        <v>91.689093825067985</v>
      </c>
      <c r="M1030" s="85">
        <v>3471761.8124498236</v>
      </c>
      <c r="N1030" s="83" t="s">
        <v>1035</v>
      </c>
      <c r="O1030" s="25">
        <f t="shared" si="32"/>
        <v>2.2444399102223844E-3</v>
      </c>
    </row>
    <row r="1031" spans="1:15">
      <c r="A1031" s="84">
        <v>392.34527723633914</v>
      </c>
      <c r="B1031" s="84">
        <v>392.34527723633914</v>
      </c>
      <c r="C1031" s="84">
        <v>391.01842215966872</v>
      </c>
      <c r="D1031" s="84">
        <v>391.24917956430704</v>
      </c>
      <c r="E1031" s="85">
        <v>2467026.1866232306</v>
      </c>
      <c r="F1031" s="83" t="s">
        <v>1036</v>
      </c>
      <c r="G1031" s="25">
        <f t="shared" si="31"/>
        <v>2.8015334709525774E-3</v>
      </c>
      <c r="I1031" s="84">
        <v>92.03519630124913</v>
      </c>
      <c r="J1031" s="84">
        <v>92.451454684764272</v>
      </c>
      <c r="K1031" s="84">
        <v>91.034305356617182</v>
      </c>
      <c r="L1031" s="84">
        <v>91.193325413240956</v>
      </c>
      <c r="M1031" s="85">
        <v>2298363.4753993461</v>
      </c>
      <c r="N1031" s="83" t="s">
        <v>1036</v>
      </c>
      <c r="O1031" s="25">
        <f t="shared" si="32"/>
        <v>9.2317160734434189E-3</v>
      </c>
    </row>
    <row r="1032" spans="1:15">
      <c r="A1032" s="84">
        <v>391.59531567126453</v>
      </c>
      <c r="B1032" s="84">
        <v>392.49911550609806</v>
      </c>
      <c r="C1032" s="84">
        <v>389.68195219113835</v>
      </c>
      <c r="D1032" s="84">
        <v>389.78771600159752</v>
      </c>
      <c r="E1032" s="85">
        <v>5380915.4334442997</v>
      </c>
      <c r="F1032" s="83" t="s">
        <v>1037</v>
      </c>
      <c r="G1032" s="25">
        <f t="shared" si="31"/>
        <v>4.6373951652689538E-3</v>
      </c>
      <c r="I1032" s="84">
        <v>91.632969099200778</v>
      </c>
      <c r="J1032" s="84">
        <v>92.03519630124913</v>
      </c>
      <c r="K1032" s="84">
        <v>91.001285309565318</v>
      </c>
      <c r="L1032" s="84">
        <v>91.763926792890942</v>
      </c>
      <c r="M1032" s="85">
        <v>4705969.711547425</v>
      </c>
      <c r="N1032" s="83" t="s">
        <v>1037</v>
      </c>
      <c r="O1032" s="25">
        <f t="shared" si="32"/>
        <v>-1.4271151885830724E-3</v>
      </c>
    </row>
    <row r="1033" spans="1:15">
      <c r="A1033" s="84">
        <v>387.0090122540775</v>
      </c>
      <c r="B1033" s="84">
        <v>387.16285052383643</v>
      </c>
      <c r="C1033" s="84">
        <v>384.77835734257354</v>
      </c>
      <c r="D1033" s="84">
        <v>385.17256790883073</v>
      </c>
      <c r="E1033" s="85">
        <v>4071651.6181682218</v>
      </c>
      <c r="F1033" s="83" t="s">
        <v>1038</v>
      </c>
      <c r="G1033" s="25">
        <f t="shared" si="31"/>
        <v>4.7678482276585221E-3</v>
      </c>
      <c r="I1033" s="84">
        <v>91.483303163554879</v>
      </c>
      <c r="J1033" s="84">
        <v>91.567490252355697</v>
      </c>
      <c r="K1033" s="84">
        <v>89.661868726744316</v>
      </c>
      <c r="L1033" s="84">
        <v>89.799561387538532</v>
      </c>
      <c r="M1033" s="85">
        <v>4352549.0098244417</v>
      </c>
      <c r="N1033" s="83" t="s">
        <v>1038</v>
      </c>
      <c r="O1033" s="25">
        <f t="shared" si="32"/>
        <v>1.8750000000000044E-2</v>
      </c>
    </row>
    <row r="1034" spans="1:15">
      <c r="A1034" s="84">
        <v>385.53197258297718</v>
      </c>
      <c r="B1034" s="84">
        <v>386.42744493266071</v>
      </c>
      <c r="C1034" s="84">
        <v>383.76975961675515</v>
      </c>
      <c r="D1034" s="84">
        <v>384.38270325718025</v>
      </c>
      <c r="E1034" s="85">
        <v>4511393.7034772318</v>
      </c>
      <c r="F1034" s="83" t="s">
        <v>1039</v>
      </c>
      <c r="G1034" s="25">
        <f t="shared" si="31"/>
        <v>2.9899090569327491E-3</v>
      </c>
      <c r="I1034" s="84">
        <v>89.677957814826243</v>
      </c>
      <c r="J1034" s="84">
        <v>90.173726226653287</v>
      </c>
      <c r="K1034" s="84">
        <v>88.976398741486108</v>
      </c>
      <c r="L1034" s="84">
        <v>90.164372105675412</v>
      </c>
      <c r="M1034" s="85">
        <v>4292137.1334613925</v>
      </c>
      <c r="N1034" s="83" t="s">
        <v>1039</v>
      </c>
      <c r="O1034" s="25">
        <f t="shared" si="32"/>
        <v>-5.3947504927897016E-3</v>
      </c>
    </row>
    <row r="1035" spans="1:15">
      <c r="A1035" s="84">
        <v>385.35958218410764</v>
      </c>
      <c r="B1035" s="84">
        <v>385.89590786947957</v>
      </c>
      <c r="C1035" s="84">
        <v>381.5478389202143</v>
      </c>
      <c r="D1035" s="84">
        <v>381.94050593986162</v>
      </c>
      <c r="E1035" s="85">
        <v>4492274.4252482038</v>
      </c>
      <c r="F1035" s="83" t="s">
        <v>1040</v>
      </c>
      <c r="G1035" s="25">
        <f t="shared" si="31"/>
        <v>8.9518555667000843E-3</v>
      </c>
      <c r="I1035" s="84">
        <v>90.295329799365575</v>
      </c>
      <c r="J1035" s="84">
        <v>90.501120460878681</v>
      </c>
      <c r="K1035" s="84">
        <v>89.659249572870507</v>
      </c>
      <c r="L1035" s="84">
        <v>90.126955621763926</v>
      </c>
      <c r="M1035" s="85">
        <v>4327906.3950298093</v>
      </c>
      <c r="N1035" s="83" t="s">
        <v>1040</v>
      </c>
      <c r="O1035" s="25">
        <f t="shared" si="32"/>
        <v>1.8681888946550096E-3</v>
      </c>
    </row>
    <row r="1036" spans="1:15">
      <c r="A1036" s="84">
        <v>381.13601741180372</v>
      </c>
      <c r="B1036" s="84">
        <v>383.91341828247977</v>
      </c>
      <c r="C1036" s="84">
        <v>380.915740791026</v>
      </c>
      <c r="D1036" s="84">
        <v>382.17035980502106</v>
      </c>
      <c r="E1036" s="85">
        <v>3394191.3461363041</v>
      </c>
      <c r="F1036" s="83" t="s">
        <v>1041</v>
      </c>
      <c r="G1036" s="25">
        <f t="shared" si="31"/>
        <v>-2.7064955894147147E-3</v>
      </c>
      <c r="I1036" s="84">
        <v>90.314038041321311</v>
      </c>
      <c r="J1036" s="84">
        <v>90.365485706699587</v>
      </c>
      <c r="K1036" s="84">
        <v>88.630296265304963</v>
      </c>
      <c r="L1036" s="84">
        <v>89.780853145582796</v>
      </c>
      <c r="M1036" s="85">
        <v>4269370.6970956614</v>
      </c>
      <c r="N1036" s="83" t="s">
        <v>1041</v>
      </c>
      <c r="O1036" s="25">
        <f t="shared" si="32"/>
        <v>5.9387372369243963E-3</v>
      </c>
    </row>
    <row r="1037" spans="1:15">
      <c r="A1037" s="84">
        <v>382.7162627347746</v>
      </c>
      <c r="B1037" s="84">
        <v>384.31566254650869</v>
      </c>
      <c r="C1037" s="84">
        <v>382.06501011682298</v>
      </c>
      <c r="D1037" s="84">
        <v>382.44809989208863</v>
      </c>
      <c r="E1037" s="85">
        <v>4401377.7157866871</v>
      </c>
      <c r="F1037" s="83" t="s">
        <v>1042</v>
      </c>
      <c r="G1037" s="25">
        <f t="shared" si="31"/>
        <v>7.0117446723272359E-4</v>
      </c>
      <c r="I1037" s="84">
        <v>90.65078639652458</v>
      </c>
      <c r="J1037" s="84">
        <v>91.006242993683585</v>
      </c>
      <c r="K1037" s="84">
        <v>90.117601500786066</v>
      </c>
      <c r="L1037" s="84">
        <v>90.454349855989335</v>
      </c>
      <c r="M1037" s="85">
        <v>6642378.2787292516</v>
      </c>
      <c r="N1037" s="83" t="s">
        <v>1042</v>
      </c>
      <c r="O1037" s="25">
        <f t="shared" si="32"/>
        <v>2.1716649431231527E-3</v>
      </c>
    </row>
    <row r="1038" spans="1:15">
      <c r="A1038" s="84">
        <v>385.60859053803034</v>
      </c>
      <c r="B1038" s="84">
        <v>385.69478573746511</v>
      </c>
      <c r="C1038" s="84">
        <v>383.04188904375042</v>
      </c>
      <c r="D1038" s="84">
        <v>383.35793810834457</v>
      </c>
      <c r="E1038" s="85">
        <v>3279670.931255545</v>
      </c>
      <c r="F1038" s="83" t="s">
        <v>1043</v>
      </c>
      <c r="G1038" s="25">
        <f t="shared" si="31"/>
        <v>5.8708903767363818E-3</v>
      </c>
      <c r="I1038" s="84">
        <v>90.660140517502441</v>
      </c>
      <c r="J1038" s="84">
        <v>92.259695204717971</v>
      </c>
      <c r="K1038" s="84">
        <v>90.360808646210643</v>
      </c>
      <c r="L1038" s="84">
        <v>92.231632841784361</v>
      </c>
      <c r="M1038" s="85">
        <v>4844365.3986529149</v>
      </c>
      <c r="N1038" s="83" t="s">
        <v>1043</v>
      </c>
      <c r="O1038" s="25">
        <f t="shared" si="32"/>
        <v>-1.7038539553752452E-2</v>
      </c>
    </row>
    <row r="1039" spans="1:15">
      <c r="A1039" s="84">
        <v>384.21031285831066</v>
      </c>
      <c r="B1039" s="84">
        <v>386.02041204644092</v>
      </c>
      <c r="C1039" s="84">
        <v>383.73145063922863</v>
      </c>
      <c r="D1039" s="84">
        <v>385.30211871781779</v>
      </c>
      <c r="E1039" s="85">
        <v>3574663.9258392104</v>
      </c>
      <c r="F1039" s="83" t="s">
        <v>1044</v>
      </c>
      <c r="G1039" s="25">
        <f t="shared" si="31"/>
        <v>-2.8336357535234669E-3</v>
      </c>
      <c r="I1039" s="84">
        <v>92.671276527744183</v>
      </c>
      <c r="J1039" s="84">
        <v>93.494439173796636</v>
      </c>
      <c r="K1039" s="84">
        <v>91.099784203462278</v>
      </c>
      <c r="L1039" s="84">
        <v>91.389761953776201</v>
      </c>
      <c r="M1039" s="85">
        <v>5106344.0501796538</v>
      </c>
      <c r="N1039" s="83" t="s">
        <v>1044</v>
      </c>
      <c r="O1039" s="25">
        <f t="shared" si="32"/>
        <v>1.4022517911975285E-2</v>
      </c>
    </row>
    <row r="1040" spans="1:15">
      <c r="A1040" s="84">
        <v>386.32688386665342</v>
      </c>
      <c r="B1040" s="84">
        <v>387.22714483852775</v>
      </c>
      <c r="C1040" s="84">
        <v>384.29650805774543</v>
      </c>
      <c r="D1040" s="84">
        <v>386.43223355485151</v>
      </c>
      <c r="E1040" s="85">
        <v>4434345.4450643528</v>
      </c>
      <c r="F1040" s="83" t="s">
        <v>1045</v>
      </c>
      <c r="G1040" s="25">
        <f t="shared" si="31"/>
        <v>-2.7262137847294809E-4</v>
      </c>
      <c r="I1040" s="84">
        <v>91.389761953776201</v>
      </c>
      <c r="J1040" s="84">
        <v>92.56838119698763</v>
      </c>
      <c r="K1040" s="84">
        <v>91.240096018130302</v>
      </c>
      <c r="L1040" s="84">
        <v>92.044550422227005</v>
      </c>
      <c r="M1040" s="85">
        <v>7415226.9533512956</v>
      </c>
      <c r="N1040" s="83" t="s">
        <v>1045</v>
      </c>
      <c r="O1040" s="25">
        <f t="shared" si="32"/>
        <v>-7.1138211382113514E-3</v>
      </c>
    </row>
    <row r="1041" spans="1:15">
      <c r="A1041" s="84">
        <v>388.11782856602036</v>
      </c>
      <c r="B1041" s="84">
        <v>391.47944134397653</v>
      </c>
      <c r="C1041" s="84">
        <v>387.77304776828129</v>
      </c>
      <c r="D1041" s="84">
        <v>391.41240063330503</v>
      </c>
      <c r="E1041" s="85">
        <v>5368856.421640899</v>
      </c>
      <c r="F1041" s="83" t="s">
        <v>1046</v>
      </c>
      <c r="G1041" s="25">
        <f t="shared" si="31"/>
        <v>-8.4171376838190204E-3</v>
      </c>
      <c r="I1041" s="84">
        <v>91.427178437687672</v>
      </c>
      <c r="J1041" s="84">
        <v>92.615151801876991</v>
      </c>
      <c r="K1041" s="84">
        <v>90.557245186745888</v>
      </c>
      <c r="L1041" s="84">
        <v>91.857468002669634</v>
      </c>
      <c r="M1041" s="85">
        <v>9661905.1874389388</v>
      </c>
      <c r="N1041" s="83" t="s">
        <v>1046</v>
      </c>
      <c r="O1041" s="25">
        <f t="shared" si="32"/>
        <v>-4.6843177189409557E-3</v>
      </c>
    </row>
    <row r="1042" spans="1:15">
      <c r="A1042" s="84">
        <v>389.55441522326663</v>
      </c>
      <c r="B1042" s="84">
        <v>390.68453006030029</v>
      </c>
      <c r="C1042" s="84">
        <v>383.94215001562469</v>
      </c>
      <c r="D1042" s="84">
        <v>384.04749970382278</v>
      </c>
      <c r="E1042" s="85">
        <v>5518272.0513331983</v>
      </c>
      <c r="F1042" s="83" t="s">
        <v>1047</v>
      </c>
      <c r="G1042" s="25">
        <f t="shared" si="31"/>
        <v>1.4339152119700715E-2</v>
      </c>
      <c r="I1042" s="84">
        <v>91.67038558311225</v>
      </c>
      <c r="J1042" s="84">
        <v>92.016488059293394</v>
      </c>
      <c r="K1042" s="84">
        <v>90.772389969236869</v>
      </c>
      <c r="L1042" s="84">
        <v>90.903347662927033</v>
      </c>
      <c r="M1042" s="85">
        <v>4842879.4225753238</v>
      </c>
      <c r="N1042" s="83" t="s">
        <v>1047</v>
      </c>
      <c r="O1042" s="25">
        <f t="shared" si="32"/>
        <v>8.4379501955134106E-3</v>
      </c>
    </row>
    <row r="1043" spans="1:15">
      <c r="A1043" s="84">
        <v>384.6221343667213</v>
      </c>
      <c r="B1043" s="84">
        <v>386.3805164351906</v>
      </c>
      <c r="C1043" s="84">
        <v>381.61487963088581</v>
      </c>
      <c r="D1043" s="84">
        <v>384.6317116111029</v>
      </c>
      <c r="E1043" s="85">
        <v>5389105.4611633467</v>
      </c>
      <c r="F1043" s="83" t="s">
        <v>1048</v>
      </c>
      <c r="G1043" s="25">
        <f t="shared" si="31"/>
        <v>-2.4899778391818117E-5</v>
      </c>
      <c r="I1043" s="84">
        <v>90.604015791635234</v>
      </c>
      <c r="J1043" s="84">
        <v>93.368158540595402</v>
      </c>
      <c r="K1043" s="84">
        <v>90.314038041321311</v>
      </c>
      <c r="L1043" s="84">
        <v>93.26994027032778</v>
      </c>
      <c r="M1043" s="85">
        <v>6803241.0688898796</v>
      </c>
      <c r="N1043" s="83" t="s">
        <v>1048</v>
      </c>
      <c r="O1043" s="25">
        <f t="shared" si="32"/>
        <v>-2.8582890382108039E-2</v>
      </c>
    </row>
    <row r="1044" spans="1:15">
      <c r="A1044" s="84">
        <v>384.32523979089041</v>
      </c>
      <c r="B1044" s="84">
        <v>384.86156547626229</v>
      </c>
      <c r="C1044" s="84">
        <v>382.51514060276008</v>
      </c>
      <c r="D1044" s="84">
        <v>383.10797202998373</v>
      </c>
      <c r="E1044" s="85">
        <v>4085815.130186046</v>
      </c>
      <c r="F1044" s="83" t="s">
        <v>1049</v>
      </c>
      <c r="G1044" s="25">
        <f t="shared" si="31"/>
        <v>3.1773490759190448E-3</v>
      </c>
      <c r="I1044" s="84">
        <v>93.251232028372044</v>
      </c>
      <c r="J1044" s="84">
        <v>94.17729000518105</v>
      </c>
      <c r="K1044" s="84">
        <v>93.092211971748284</v>
      </c>
      <c r="L1044" s="84">
        <v>93.541209778685968</v>
      </c>
      <c r="M1044" s="85">
        <v>4333353.1922350787</v>
      </c>
      <c r="N1044" s="83" t="s">
        <v>1049</v>
      </c>
      <c r="O1044" s="25">
        <f t="shared" si="32"/>
        <v>-3.0999999999999917E-3</v>
      </c>
    </row>
    <row r="1045" spans="1:15">
      <c r="A1045" s="84">
        <v>381.80642451851867</v>
      </c>
      <c r="B1045" s="84">
        <v>381.83036762947279</v>
      </c>
      <c r="C1045" s="84">
        <v>378.58847040628712</v>
      </c>
      <c r="D1045" s="84">
        <v>379.23972302423874</v>
      </c>
      <c r="E1045" s="85">
        <v>3964861.7584395208</v>
      </c>
      <c r="F1045" s="83" t="s">
        <v>1050</v>
      </c>
      <c r="G1045" s="25">
        <f t="shared" si="31"/>
        <v>6.7680185867973197E-3</v>
      </c>
      <c r="I1045" s="84">
        <v>92.998670761969592</v>
      </c>
      <c r="J1045" s="84">
        <v>93.344773238150736</v>
      </c>
      <c r="K1045" s="84">
        <v>92.652568285788462</v>
      </c>
      <c r="L1045" s="84">
        <v>92.970608399035996</v>
      </c>
      <c r="M1045" s="85">
        <v>3771131.4706598758</v>
      </c>
      <c r="N1045" s="83" t="s">
        <v>1050</v>
      </c>
      <c r="O1045" s="25">
        <f t="shared" si="32"/>
        <v>3.0184123151211217E-4</v>
      </c>
    </row>
    <row r="1046" spans="1:15">
      <c r="A1046" s="84">
        <v>378.32988480798281</v>
      </c>
      <c r="B1046" s="84">
        <v>380.14956124049468</v>
      </c>
      <c r="C1046" s="84">
        <v>377.42004659172687</v>
      </c>
      <c r="D1046" s="84">
        <v>378.34903929674613</v>
      </c>
      <c r="E1046" s="85">
        <v>3198068.1268520039</v>
      </c>
      <c r="F1046" s="83" t="s">
        <v>1051</v>
      </c>
      <c r="G1046" s="25">
        <f t="shared" si="31"/>
        <v>-5.0626502974382426E-5</v>
      </c>
      <c r="I1046" s="84">
        <v>92.92383779414665</v>
      </c>
      <c r="J1046" s="84">
        <v>93.073503729792549</v>
      </c>
      <c r="K1046" s="84">
        <v>92.465485866231077</v>
      </c>
      <c r="L1046" s="84">
        <v>93.008024882947467</v>
      </c>
      <c r="M1046" s="85">
        <v>2692433.6407009629</v>
      </c>
      <c r="N1046" s="83" t="s">
        <v>1051</v>
      </c>
      <c r="O1046" s="25">
        <f t="shared" si="32"/>
        <v>-9.0515940862923028E-4</v>
      </c>
    </row>
    <row r="1047" spans="1:15">
      <c r="A1047" s="84">
        <v>377.6977866787945</v>
      </c>
      <c r="B1047" s="84">
        <v>378.04256747653358</v>
      </c>
      <c r="C1047" s="84">
        <v>374.74799540924892</v>
      </c>
      <c r="D1047" s="84">
        <v>375.38967078281888</v>
      </c>
      <c r="E1047" s="85">
        <v>3613096.6926490003</v>
      </c>
      <c r="F1047" s="83" t="s">
        <v>1052</v>
      </c>
      <c r="G1047" s="25">
        <f t="shared" si="31"/>
        <v>6.1485865904684633E-3</v>
      </c>
      <c r="I1047" s="84">
        <v>92.680630648722058</v>
      </c>
      <c r="J1047" s="84">
        <v>93.101566092726145</v>
      </c>
      <c r="K1047" s="84">
        <v>91.845494727817965</v>
      </c>
      <c r="L1047" s="84">
        <v>92.072612785160615</v>
      </c>
      <c r="M1047" s="85">
        <v>3495439.0773177906</v>
      </c>
      <c r="N1047" s="83" t="s">
        <v>1052</v>
      </c>
      <c r="O1047" s="25">
        <f t="shared" si="32"/>
        <v>6.6036777405260594E-3</v>
      </c>
    </row>
    <row r="1048" spans="1:15">
      <c r="A1048" s="84">
        <v>375.44713424910873</v>
      </c>
      <c r="B1048" s="84">
        <v>378.0712992096785</v>
      </c>
      <c r="C1048" s="84">
        <v>374.98742651878996</v>
      </c>
      <c r="D1048" s="84">
        <v>377.02737957207961</v>
      </c>
      <c r="E1048" s="85">
        <v>4116938.9052639157</v>
      </c>
      <c r="F1048" s="83" t="s">
        <v>1053</v>
      </c>
      <c r="G1048" s="25">
        <f t="shared" si="31"/>
        <v>-4.1913277618310651E-3</v>
      </c>
      <c r="I1048" s="84">
        <v>92.2222787208065</v>
      </c>
      <c r="J1048" s="84">
        <v>92.405619491972729</v>
      </c>
      <c r="K1048" s="84">
        <v>90.384193948655323</v>
      </c>
      <c r="L1048" s="84">
        <v>91.240096018130302</v>
      </c>
      <c r="M1048" s="85">
        <v>4570587.6694510914</v>
      </c>
      <c r="N1048" s="83" t="s">
        <v>1053</v>
      </c>
      <c r="O1048" s="25">
        <f t="shared" si="32"/>
        <v>1.0764814435103576E-2</v>
      </c>
    </row>
    <row r="1049" spans="1:15">
      <c r="A1049" s="84">
        <v>376.68259877434048</v>
      </c>
      <c r="B1049" s="84">
        <v>377.1423065046593</v>
      </c>
      <c r="C1049" s="84">
        <v>374.86292234182861</v>
      </c>
      <c r="D1049" s="84">
        <v>375.47586598225365</v>
      </c>
      <c r="E1049" s="85">
        <v>3022438.276242333</v>
      </c>
      <c r="F1049" s="83" t="s">
        <v>1054</v>
      </c>
      <c r="G1049" s="25">
        <f t="shared" si="31"/>
        <v>3.2138757811503993E-3</v>
      </c>
      <c r="I1049" s="84">
        <v>91.14655480835161</v>
      </c>
      <c r="J1049" s="84">
        <v>91.380407832798326</v>
      </c>
      <c r="K1049" s="84">
        <v>89.200897644954949</v>
      </c>
      <c r="L1049" s="84">
        <v>89.930519081228695</v>
      </c>
      <c r="M1049" s="85">
        <v>5289372.4719897499</v>
      </c>
      <c r="N1049" s="83" t="s">
        <v>1054</v>
      </c>
      <c r="O1049" s="25">
        <f t="shared" si="32"/>
        <v>1.3521947160391123E-2</v>
      </c>
    </row>
    <row r="1050" spans="1:15">
      <c r="A1050" s="84">
        <v>375.9068419794275</v>
      </c>
      <c r="B1050" s="84">
        <v>378.0808764540601</v>
      </c>
      <c r="C1050" s="84">
        <v>375.226857628331</v>
      </c>
      <c r="D1050" s="84">
        <v>376.90287539511826</v>
      </c>
      <c r="E1050" s="85">
        <v>4188864.6046143938</v>
      </c>
      <c r="F1050" s="83" t="s">
        <v>1055</v>
      </c>
      <c r="G1050" s="25">
        <f t="shared" si="31"/>
        <v>-2.64267927021411E-3</v>
      </c>
      <c r="I1050" s="84">
        <v>89.565708363091815</v>
      </c>
      <c r="J1050" s="84">
        <v>90.678848759458177</v>
      </c>
      <c r="K1050" s="84">
        <v>89.472167153313137</v>
      </c>
      <c r="L1050" s="84">
        <v>90.370162767188518</v>
      </c>
      <c r="M1050" s="85">
        <v>4375393.4866604349</v>
      </c>
      <c r="N1050" s="83" t="s">
        <v>1055</v>
      </c>
      <c r="O1050" s="25">
        <f t="shared" si="32"/>
        <v>-8.9017700031053248E-3</v>
      </c>
    </row>
    <row r="1051" spans="1:15">
      <c r="A1051" s="84">
        <v>376.63471255243223</v>
      </c>
      <c r="B1051" s="84">
        <v>377.30511965914712</v>
      </c>
      <c r="C1051" s="84">
        <v>373.07197764246166</v>
      </c>
      <c r="D1051" s="84">
        <v>373.58914883907028</v>
      </c>
      <c r="E1051" s="85">
        <v>7694177.6844761139</v>
      </c>
      <c r="F1051" s="83" t="s">
        <v>1056</v>
      </c>
      <c r="G1051" s="25">
        <f t="shared" si="31"/>
        <v>8.152173913043459E-3</v>
      </c>
      <c r="I1051" s="84">
        <v>89.874394355361488</v>
      </c>
      <c r="J1051" s="84">
        <v>90.192434468609022</v>
      </c>
      <c r="K1051" s="84">
        <v>88.489984450636925</v>
      </c>
      <c r="L1051" s="84">
        <v>88.826732805840194</v>
      </c>
      <c r="M1051" s="85">
        <v>5943052.279474264</v>
      </c>
      <c r="N1051" s="83" t="s">
        <v>1056</v>
      </c>
      <c r="O1051" s="25">
        <f t="shared" si="32"/>
        <v>1.1794439764111431E-2</v>
      </c>
    </row>
    <row r="1052" spans="1:15">
      <c r="A1052" s="84">
        <v>371.18526049927829</v>
      </c>
      <c r="B1052" s="84">
        <v>372.14298493744241</v>
      </c>
      <c r="C1052" s="84">
        <v>366.77972808372323</v>
      </c>
      <c r="D1052" s="84">
        <v>367.95772914266507</v>
      </c>
      <c r="E1052" s="85">
        <v>3720856.2901777332</v>
      </c>
      <c r="F1052" s="83" t="s">
        <v>1057</v>
      </c>
      <c r="G1052" s="25">
        <f t="shared" si="31"/>
        <v>8.7714731910464305E-3</v>
      </c>
      <c r="I1052" s="84">
        <v>88.012924280765631</v>
      </c>
      <c r="J1052" s="84">
        <v>88.059694885654977</v>
      </c>
      <c r="K1052" s="84">
        <v>86.291766020837812</v>
      </c>
      <c r="L1052" s="84">
        <v>86.319828383771423</v>
      </c>
      <c r="M1052" s="85">
        <v>6025587.0255852677</v>
      </c>
      <c r="N1052" s="83" t="s">
        <v>1057</v>
      </c>
      <c r="O1052" s="25">
        <f t="shared" si="32"/>
        <v>1.9614217598612926E-2</v>
      </c>
    </row>
    <row r="1053" spans="1:15">
      <c r="A1053" s="84">
        <v>367.66083456683418</v>
      </c>
      <c r="B1053" s="84">
        <v>368.87714460330272</v>
      </c>
      <c r="C1053" s="84">
        <v>366.25297964273295</v>
      </c>
      <c r="D1053" s="84">
        <v>368.06307883086316</v>
      </c>
      <c r="E1053" s="85">
        <v>4390979.1088355165</v>
      </c>
      <c r="F1053" s="83" t="s">
        <v>1058</v>
      </c>
      <c r="G1053" s="25">
        <f t="shared" si="31"/>
        <v>-1.0928677369832496E-3</v>
      </c>
      <c r="I1053" s="84">
        <v>86.188870690081259</v>
      </c>
      <c r="J1053" s="84">
        <v>86.871721521465673</v>
      </c>
      <c r="K1053" s="84">
        <v>86.01114239150175</v>
      </c>
      <c r="L1053" s="84">
        <v>86.40401547257224</v>
      </c>
      <c r="M1053" s="85">
        <v>10661123.609149979</v>
      </c>
      <c r="N1053" s="83" t="s">
        <v>1058</v>
      </c>
      <c r="O1053" s="25">
        <f t="shared" si="32"/>
        <v>-2.4899859261665602E-3</v>
      </c>
    </row>
    <row r="1054" spans="1:15">
      <c r="A1054" s="84">
        <v>369.67205588697891</v>
      </c>
      <c r="B1054" s="84">
        <v>371.84609036161152</v>
      </c>
      <c r="C1054" s="84">
        <v>368.49405482803701</v>
      </c>
      <c r="D1054" s="84">
        <v>371.36722814252943</v>
      </c>
      <c r="E1054" s="85">
        <v>4143625.0782188335</v>
      </c>
      <c r="F1054" s="83" t="s">
        <v>1059</v>
      </c>
      <c r="G1054" s="25">
        <f t="shared" si="31"/>
        <v>-4.5646791829997424E-3</v>
      </c>
      <c r="I1054" s="84">
        <v>86.824950916576313</v>
      </c>
      <c r="J1054" s="84">
        <v>87.517155868938602</v>
      </c>
      <c r="K1054" s="84">
        <v>86.347890746705019</v>
      </c>
      <c r="L1054" s="84">
        <v>87.002679215155823</v>
      </c>
      <c r="M1054" s="85">
        <v>4874352.1820891825</v>
      </c>
      <c r="N1054" s="83" t="s">
        <v>1059</v>
      </c>
      <c r="O1054" s="25">
        <f t="shared" si="32"/>
        <v>-2.0427910977315333E-3</v>
      </c>
    </row>
    <row r="1055" spans="1:15">
      <c r="A1055" s="84">
        <v>369.55712895439922</v>
      </c>
      <c r="B1055" s="84">
        <v>370.22753606111411</v>
      </c>
      <c r="C1055" s="84">
        <v>365.40539351495767</v>
      </c>
      <c r="D1055" s="84">
        <v>365.5059545809649</v>
      </c>
      <c r="E1055" s="85">
        <v>3177105.9385648556</v>
      </c>
      <c r="F1055" s="83" t="s">
        <v>1060</v>
      </c>
      <c r="G1055" s="25">
        <f t="shared" si="31"/>
        <v>1.1083743842364546E-2</v>
      </c>
      <c r="I1055" s="84">
        <v>87.236532239602539</v>
      </c>
      <c r="J1055" s="84">
        <v>88.52740093454841</v>
      </c>
      <c r="K1055" s="84">
        <v>87.10557454591239</v>
      </c>
      <c r="L1055" s="84">
        <v>87.666821804584501</v>
      </c>
      <c r="M1055" s="85">
        <v>4336843.6324461093</v>
      </c>
      <c r="N1055" s="83" t="s">
        <v>1060</v>
      </c>
      <c r="O1055" s="25">
        <f t="shared" si="32"/>
        <v>-4.9082373026035908E-3</v>
      </c>
    </row>
    <row r="1056" spans="1:15">
      <c r="A1056" s="84">
        <v>364.81639298548674</v>
      </c>
      <c r="B1056" s="84">
        <v>366.11889822138994</v>
      </c>
      <c r="C1056" s="84">
        <v>362.90094410915844</v>
      </c>
      <c r="D1056" s="84">
        <v>364.88343369615819</v>
      </c>
      <c r="E1056" s="85">
        <v>3462240.1474438361</v>
      </c>
      <c r="F1056" s="83" t="s">
        <v>1061</v>
      </c>
      <c r="G1056" s="25">
        <f t="shared" si="31"/>
        <v>-1.8373185647901913E-4</v>
      </c>
      <c r="I1056" s="84">
        <v>87.10557454591239</v>
      </c>
      <c r="J1056" s="84">
        <v>87.666821804584501</v>
      </c>
      <c r="K1056" s="84">
        <v>86.114037722258317</v>
      </c>
      <c r="L1056" s="84">
        <v>87.470385264049256</v>
      </c>
      <c r="M1056" s="85">
        <v>5709234.4781891713</v>
      </c>
      <c r="N1056" s="83" t="s">
        <v>1061</v>
      </c>
      <c r="O1056" s="25">
        <f t="shared" si="32"/>
        <v>-4.1706769329482585E-3</v>
      </c>
    </row>
    <row r="1057" spans="1:15">
      <c r="A1057" s="84">
        <v>361.66547958392664</v>
      </c>
      <c r="B1057" s="84">
        <v>363.2169931737526</v>
      </c>
      <c r="C1057" s="84">
        <v>360.65029167947267</v>
      </c>
      <c r="D1057" s="84">
        <v>362.89136686477678</v>
      </c>
      <c r="E1057" s="85">
        <v>3771013.7238671998</v>
      </c>
      <c r="F1057" s="83" t="s">
        <v>1062</v>
      </c>
      <c r="G1057" s="25">
        <f t="shared" si="31"/>
        <v>-3.378110897046871E-3</v>
      </c>
      <c r="I1057" s="84">
        <v>87.61069707871728</v>
      </c>
      <c r="J1057" s="84">
        <v>88.480630329659064</v>
      </c>
      <c r="K1057" s="84">
        <v>87.133636908845986</v>
      </c>
      <c r="L1057" s="84">
        <v>87.722946530451708</v>
      </c>
      <c r="M1057" s="85">
        <v>3923941.1257179934</v>
      </c>
      <c r="N1057" s="83" t="s">
        <v>1062</v>
      </c>
      <c r="O1057" s="25">
        <f t="shared" si="32"/>
        <v>-1.2795905310301059E-3</v>
      </c>
    </row>
    <row r="1058" spans="1:15">
      <c r="A1058" s="84">
        <v>364.3949942326945</v>
      </c>
      <c r="B1058" s="84">
        <v>367.87153394323036</v>
      </c>
      <c r="C1058" s="84">
        <v>364.01190445742878</v>
      </c>
      <c r="D1058" s="84">
        <v>366.99042746011929</v>
      </c>
      <c r="E1058" s="85">
        <v>3014712.6719816932</v>
      </c>
      <c r="F1058" s="83" t="s">
        <v>1063</v>
      </c>
      <c r="G1058" s="25">
        <f t="shared" ref="G1058:G1121" si="33">A1058/D1058-1</f>
        <v>-7.0722096088101649E-3</v>
      </c>
      <c r="I1058" s="84">
        <v>88.003570159787756</v>
      </c>
      <c r="J1058" s="84">
        <v>89.112033495665187</v>
      </c>
      <c r="K1058" s="84">
        <v>87.994216038809896</v>
      </c>
      <c r="L1058" s="84">
        <v>88.705129233127906</v>
      </c>
      <c r="M1058" s="85">
        <v>4691789.8650055835</v>
      </c>
      <c r="N1058" s="83" t="s">
        <v>1063</v>
      </c>
      <c r="O1058" s="25">
        <f t="shared" ref="O1058:O1121" si="34">I1058/L1058-1</f>
        <v>-7.9088895919013913E-3</v>
      </c>
    </row>
    <row r="1059" spans="1:15">
      <c r="A1059" s="84">
        <v>368.51320931680027</v>
      </c>
      <c r="B1059" s="84">
        <v>369.90190975213835</v>
      </c>
      <c r="C1059" s="84">
        <v>367.25859030280532</v>
      </c>
      <c r="D1059" s="84">
        <v>368.39828238422064</v>
      </c>
      <c r="E1059" s="85">
        <v>2906902.9556525131</v>
      </c>
      <c r="F1059" s="83" t="s">
        <v>1064</v>
      </c>
      <c r="G1059" s="25">
        <f t="shared" si="33"/>
        <v>3.1196381219755764E-4</v>
      </c>
      <c r="I1059" s="84">
        <v>89.481521274290998</v>
      </c>
      <c r="J1059" s="84">
        <v>90.061476774918859</v>
      </c>
      <c r="K1059" s="84">
        <v>88.901565773663151</v>
      </c>
      <c r="L1059" s="84">
        <v>89.706020177759854</v>
      </c>
      <c r="M1059" s="85">
        <v>4250588.6009034403</v>
      </c>
      <c r="N1059" s="83" t="s">
        <v>1064</v>
      </c>
      <c r="O1059" s="25">
        <f t="shared" si="34"/>
        <v>-2.5026068821690783E-3</v>
      </c>
    </row>
    <row r="1060" spans="1:15">
      <c r="A1060" s="84">
        <v>368.31208718478581</v>
      </c>
      <c r="B1060" s="84">
        <v>370.19880432796924</v>
      </c>
      <c r="C1060" s="84">
        <v>367.22985856966034</v>
      </c>
      <c r="D1060" s="84">
        <v>369.70078762012383</v>
      </c>
      <c r="E1060" s="85">
        <v>3810117.873774651</v>
      </c>
      <c r="F1060" s="83" t="s">
        <v>1065</v>
      </c>
      <c r="G1060" s="25">
        <f t="shared" si="33"/>
        <v>-3.7562820579244427E-3</v>
      </c>
      <c r="I1060" s="84">
        <v>89.92116496025082</v>
      </c>
      <c r="J1060" s="84">
        <v>90.547891065768027</v>
      </c>
      <c r="K1060" s="84">
        <v>89.331855338645099</v>
      </c>
      <c r="L1060" s="84">
        <v>90.351454525232782</v>
      </c>
      <c r="M1060" s="85">
        <v>3772317.0443793349</v>
      </c>
      <c r="N1060" s="83" t="s">
        <v>1065</v>
      </c>
      <c r="O1060" s="25">
        <f t="shared" si="34"/>
        <v>-4.7623977637437642E-3</v>
      </c>
    </row>
    <row r="1061" spans="1:15">
      <c r="A1061" s="84">
        <v>368.89629909206599</v>
      </c>
      <c r="B1061" s="84">
        <v>369.26981162294999</v>
      </c>
      <c r="C1061" s="84">
        <v>364.89301094053985</v>
      </c>
      <c r="D1061" s="84">
        <v>365.1420192944625</v>
      </c>
      <c r="E1061" s="85">
        <v>3488080.5656412034</v>
      </c>
      <c r="F1061" s="83" t="s">
        <v>1066</v>
      </c>
      <c r="G1061" s="25">
        <f t="shared" si="33"/>
        <v>1.0281697529245237E-2</v>
      </c>
      <c r="I1061" s="84">
        <v>89.92116496025082</v>
      </c>
      <c r="J1061" s="84">
        <v>90.173726226653287</v>
      </c>
      <c r="K1061" s="84">
        <v>88.938982257574622</v>
      </c>
      <c r="L1061" s="84">
        <v>89.603124847003301</v>
      </c>
      <c r="M1061" s="85">
        <v>4572955.6097473959</v>
      </c>
      <c r="N1061" s="83" t="s">
        <v>1066</v>
      </c>
      <c r="O1061" s="25">
        <f t="shared" si="34"/>
        <v>3.5494310470820523E-3</v>
      </c>
    </row>
    <row r="1062" spans="1:15">
      <c r="A1062" s="84">
        <v>365.3239869377137</v>
      </c>
      <c r="B1062" s="84">
        <v>365.93693057813874</v>
      </c>
      <c r="C1062" s="84">
        <v>361.33027603056917</v>
      </c>
      <c r="D1062" s="84">
        <v>362.83390339848694</v>
      </c>
      <c r="E1062" s="85">
        <v>3364897.9514164426</v>
      </c>
      <c r="F1062" s="83" t="s">
        <v>1067</v>
      </c>
      <c r="G1062" s="25">
        <f t="shared" si="33"/>
        <v>6.8628744885839144E-3</v>
      </c>
      <c r="I1062" s="84">
        <v>89.780853148626619</v>
      </c>
      <c r="J1062" s="84">
        <v>90.515313891998431</v>
      </c>
      <c r="K1062" s="84">
        <v>89.027798462384652</v>
      </c>
      <c r="L1062" s="84">
        <v>89.027798462384652</v>
      </c>
      <c r="M1062" s="85">
        <v>4976713.1504122363</v>
      </c>
      <c r="N1062" s="83" t="s">
        <v>1067</v>
      </c>
      <c r="O1062" s="25">
        <f t="shared" si="34"/>
        <v>8.4586466165412766E-3</v>
      </c>
    </row>
    <row r="1063" spans="1:15">
      <c r="A1063" s="84">
        <v>361.01422696597501</v>
      </c>
      <c r="B1063" s="84">
        <v>363.24572490689746</v>
      </c>
      <c r="C1063" s="84">
        <v>360.97591798844849</v>
      </c>
      <c r="D1063" s="84">
        <v>362.39335015693138</v>
      </c>
      <c r="E1063" s="85">
        <v>2378153.7874985645</v>
      </c>
      <c r="F1063" s="83" t="s">
        <v>1068</v>
      </c>
      <c r="G1063" s="25">
        <f t="shared" si="33"/>
        <v>-3.8055973995084758E-3</v>
      </c>
      <c r="I1063" s="84">
        <v>88.748889319332065</v>
      </c>
      <c r="J1063" s="84">
        <v>89.76225920575645</v>
      </c>
      <c r="K1063" s="84">
        <v>88.711701433591728</v>
      </c>
      <c r="L1063" s="84">
        <v>89.76225920575645</v>
      </c>
      <c r="M1063" s="85">
        <v>2727029.9986422574</v>
      </c>
      <c r="N1063" s="83" t="s">
        <v>1068</v>
      </c>
      <c r="O1063" s="25">
        <f t="shared" si="34"/>
        <v>-1.1289487312273416E-2</v>
      </c>
    </row>
    <row r="1064" spans="1:15">
      <c r="A1064" s="84">
        <v>363.418115305767</v>
      </c>
      <c r="B1064" s="84">
        <v>363.7820505922694</v>
      </c>
      <c r="C1064" s="84">
        <v>360.97591798844849</v>
      </c>
      <c r="D1064" s="84">
        <v>362.72855371028885</v>
      </c>
      <c r="E1064" s="85">
        <v>4053943.7496681684</v>
      </c>
      <c r="F1064" s="83" t="s">
        <v>1069</v>
      </c>
      <c r="G1064" s="25">
        <f t="shared" si="33"/>
        <v>1.9010402914927393E-3</v>
      </c>
      <c r="I1064" s="84">
        <v>89.901713777282751</v>
      </c>
      <c r="J1064" s="84">
        <v>89.929604691588011</v>
      </c>
      <c r="K1064" s="84">
        <v>89.111471205300418</v>
      </c>
      <c r="L1064" s="84">
        <v>89.223034862521459</v>
      </c>
      <c r="M1064" s="85">
        <v>2749402.8758154651</v>
      </c>
      <c r="N1064" s="83" t="s">
        <v>1069</v>
      </c>
      <c r="O1064" s="25">
        <f t="shared" si="34"/>
        <v>7.6065437115766521E-3</v>
      </c>
    </row>
    <row r="1065" spans="1:15">
      <c r="A1065" s="84">
        <v>362.16349629177199</v>
      </c>
      <c r="B1065" s="84">
        <v>363.94486374675733</v>
      </c>
      <c r="C1065" s="84">
        <v>359.946364217422</v>
      </c>
      <c r="D1065" s="84">
        <v>363.79162783665106</v>
      </c>
      <c r="E1065" s="85">
        <v>2642738.2440524125</v>
      </c>
      <c r="F1065" s="83" t="s">
        <v>1070</v>
      </c>
      <c r="G1065" s="25">
        <f t="shared" si="33"/>
        <v>-4.4754508358563205E-3</v>
      </c>
      <c r="I1065" s="84">
        <v>89.241628805391628</v>
      </c>
      <c r="J1065" s="84">
        <v>89.771556177191542</v>
      </c>
      <c r="K1065" s="84">
        <v>88.944125719468872</v>
      </c>
      <c r="L1065" s="84">
        <v>89.223034862521459</v>
      </c>
      <c r="M1065" s="85">
        <v>2964519.1654549497</v>
      </c>
      <c r="N1065" s="83" t="s">
        <v>1070</v>
      </c>
      <c r="O1065" s="25">
        <f t="shared" si="34"/>
        <v>2.0839845785136646E-4</v>
      </c>
    </row>
    <row r="1066" spans="1:15">
      <c r="A1066" s="84">
        <v>362.65193575523574</v>
      </c>
      <c r="B1066" s="84">
        <v>362.86263513163186</v>
      </c>
      <c r="C1066" s="84">
        <v>360.7460641232891</v>
      </c>
      <c r="D1066" s="84">
        <v>362.46996811198454</v>
      </c>
      <c r="E1066" s="85">
        <v>2794772.581068092</v>
      </c>
      <c r="F1066" s="83" t="s">
        <v>1071</v>
      </c>
      <c r="G1066" s="25">
        <f t="shared" si="33"/>
        <v>5.0202129627185954E-4</v>
      </c>
      <c r="I1066" s="84">
        <v>88.823265090812768</v>
      </c>
      <c r="J1066" s="84">
        <v>89.41827126265828</v>
      </c>
      <c r="K1066" s="84">
        <v>88.246852861837425</v>
      </c>
      <c r="L1066" s="84">
        <v>88.934828748033794</v>
      </c>
      <c r="M1066" s="85">
        <v>3578691.21490872</v>
      </c>
      <c r="N1066" s="83" t="s">
        <v>1071</v>
      </c>
      <c r="O1066" s="25">
        <f t="shared" si="34"/>
        <v>-1.2544428183147716E-3</v>
      </c>
    </row>
    <row r="1067" spans="1:15">
      <c r="A1067" s="84">
        <v>363.15952970746275</v>
      </c>
      <c r="B1067" s="84">
        <v>364.73019778605192</v>
      </c>
      <c r="C1067" s="84">
        <v>359.75960795198</v>
      </c>
      <c r="D1067" s="84">
        <v>364.20344934506164</v>
      </c>
      <c r="E1067" s="85">
        <v>3668014.3682392994</v>
      </c>
      <c r="F1067" s="83" t="s">
        <v>1072</v>
      </c>
      <c r="G1067" s="25">
        <f t="shared" si="33"/>
        <v>-2.8663090354474896E-3</v>
      </c>
      <c r="I1067" s="84">
        <v>89.529834919879306</v>
      </c>
      <c r="J1067" s="84">
        <v>90.180529950620979</v>
      </c>
      <c r="K1067" s="84">
        <v>88.702404462156636</v>
      </c>
      <c r="L1067" s="84">
        <v>90.013277434503777</v>
      </c>
      <c r="M1067" s="85">
        <v>3581060.8037747093</v>
      </c>
      <c r="N1067" s="83" t="s">
        <v>1072</v>
      </c>
      <c r="O1067" s="25">
        <f t="shared" si="34"/>
        <v>-5.3707911588514179E-3</v>
      </c>
    </row>
    <row r="1068" spans="1:15">
      <c r="A1068" s="84">
        <v>361.57928438449193</v>
      </c>
      <c r="B1068" s="84">
        <v>362.57531780018257</v>
      </c>
      <c r="C1068" s="84">
        <v>361.37816225247741</v>
      </c>
      <c r="D1068" s="84">
        <v>361.74209753897975</v>
      </c>
      <c r="E1068" s="85">
        <v>2371296.9091123473</v>
      </c>
      <c r="F1068" s="83" t="s">
        <v>1073</v>
      </c>
      <c r="G1068" s="25">
        <f t="shared" si="33"/>
        <v>-4.5008074978136747E-4</v>
      </c>
      <c r="I1068" s="84">
        <v>89.501944005574046</v>
      </c>
      <c r="J1068" s="84">
        <v>89.97608954876344</v>
      </c>
      <c r="K1068" s="84">
        <v>88.618731719240856</v>
      </c>
      <c r="L1068" s="84">
        <v>88.906937833728534</v>
      </c>
      <c r="M1068" s="85">
        <v>3149858.0160721708</v>
      </c>
      <c r="N1068" s="83" t="s">
        <v>1073</v>
      </c>
      <c r="O1068" s="25">
        <f t="shared" si="34"/>
        <v>6.6924605249398805E-3</v>
      </c>
    </row>
    <row r="1069" spans="1:15">
      <c r="A1069" s="84">
        <v>363.14995246308109</v>
      </c>
      <c r="B1069" s="84">
        <v>363.57135121587334</v>
      </c>
      <c r="C1069" s="84">
        <v>361.90491069346768</v>
      </c>
      <c r="D1069" s="84">
        <v>363.37022908385887</v>
      </c>
      <c r="E1069" s="85">
        <v>3088172.2154541984</v>
      </c>
      <c r="F1069" s="83" t="s">
        <v>1074</v>
      </c>
      <c r="G1069" s="25">
        <f t="shared" si="33"/>
        <v>-6.0620436994285321E-4</v>
      </c>
      <c r="I1069" s="84">
        <v>88.823265090812768</v>
      </c>
      <c r="J1069" s="84">
        <v>90.58968966347912</v>
      </c>
      <c r="K1069" s="84">
        <v>88.730295376461896</v>
      </c>
      <c r="L1069" s="84">
        <v>89.89241680584766</v>
      </c>
      <c r="M1069" s="85">
        <v>4564479.9810667504</v>
      </c>
      <c r="N1069" s="83" t="s">
        <v>1074</v>
      </c>
      <c r="O1069" s="25">
        <f t="shared" si="34"/>
        <v>-1.1893680835660225E-2</v>
      </c>
    </row>
    <row r="1070" spans="1:15">
      <c r="A1070" s="84">
        <v>362.94883033106663</v>
      </c>
      <c r="B1070" s="84">
        <v>364.02148170181044</v>
      </c>
      <c r="C1070" s="84">
        <v>359.55848581996554</v>
      </c>
      <c r="D1070" s="84">
        <v>359.85538039579643</v>
      </c>
      <c r="E1070" s="85">
        <v>3277972.1127487114</v>
      </c>
      <c r="F1070" s="83" t="s">
        <v>1075</v>
      </c>
      <c r="G1070" s="25">
        <f t="shared" si="33"/>
        <v>8.5963698302018443E-3</v>
      </c>
      <c r="I1070" s="84">
        <v>89.79015012006171</v>
      </c>
      <c r="J1070" s="84">
        <v>89.985386520198531</v>
      </c>
      <c r="K1070" s="84">
        <v>88.981313605209209</v>
      </c>
      <c r="L1070" s="84">
        <v>89.557725834184566</v>
      </c>
      <c r="M1070" s="85">
        <v>3506953.8749957439</v>
      </c>
      <c r="N1070" s="83" t="s">
        <v>1075</v>
      </c>
      <c r="O1070" s="25">
        <f t="shared" si="34"/>
        <v>2.5952455102251637E-3</v>
      </c>
    </row>
    <row r="1071" spans="1:15">
      <c r="A1071" s="84">
        <v>356.40757241840549</v>
      </c>
      <c r="B1071" s="84">
        <v>358.29428956158887</v>
      </c>
      <c r="C1071" s="84">
        <v>355.23914860384525</v>
      </c>
      <c r="D1071" s="84">
        <v>358.0357039632845</v>
      </c>
      <c r="E1071" s="85">
        <v>4616655.7141169999</v>
      </c>
      <c r="F1071" s="83" t="s">
        <v>1076</v>
      </c>
      <c r="G1071" s="25">
        <f t="shared" si="33"/>
        <v>-4.5473999572008816E-3</v>
      </c>
      <c r="I1071" s="84">
        <v>89.17655000534603</v>
      </c>
      <c r="J1071" s="84">
        <v>90.426992663365112</v>
      </c>
      <c r="K1071" s="84">
        <v>88.195161700658346</v>
      </c>
      <c r="L1071" s="84">
        <v>90.180622920335324</v>
      </c>
      <c r="M1071" s="85">
        <v>4748599.0796303945</v>
      </c>
      <c r="N1071" s="83" t="s">
        <v>1076</v>
      </c>
      <c r="O1071" s="25">
        <f t="shared" si="34"/>
        <v>-1.1134020618556617E-2</v>
      </c>
    </row>
    <row r="1072" spans="1:15">
      <c r="A1072" s="84">
        <v>359.03173737897527</v>
      </c>
      <c r="B1072" s="84">
        <v>364.12683139000848</v>
      </c>
      <c r="C1072" s="84">
        <v>358.7635745362893</v>
      </c>
      <c r="D1072" s="84">
        <v>361.93364242661266</v>
      </c>
      <c r="E1072" s="85">
        <v>5756393.7812507898</v>
      </c>
      <c r="F1072" s="83" t="s">
        <v>1077</v>
      </c>
      <c r="G1072" s="25">
        <f t="shared" si="33"/>
        <v>-8.0177820115902021E-3</v>
      </c>
      <c r="I1072" s="84">
        <v>90.329374463296702</v>
      </c>
      <c r="J1072" s="84">
        <v>92.188768750313926</v>
      </c>
      <c r="K1072" s="84">
        <v>90.213162320358123</v>
      </c>
      <c r="L1072" s="84">
        <v>91.863374750085924</v>
      </c>
      <c r="M1072" s="85">
        <v>3883892.7549814004</v>
      </c>
      <c r="N1072" s="83" t="s">
        <v>1077</v>
      </c>
      <c r="O1072" s="25">
        <f t="shared" si="34"/>
        <v>-1.6698714704989515E-2</v>
      </c>
    </row>
    <row r="1073" spans="1:15">
      <c r="A1073" s="84">
        <v>361.55055265134695</v>
      </c>
      <c r="B1073" s="84">
        <v>364.99836062873788</v>
      </c>
      <c r="C1073" s="84">
        <v>358.8306152469608</v>
      </c>
      <c r="D1073" s="84">
        <v>364.9504744068297</v>
      </c>
      <c r="E1073" s="85">
        <v>4501910.8087759027</v>
      </c>
      <c r="F1073" s="83" t="s">
        <v>1078</v>
      </c>
      <c r="G1073" s="25">
        <f t="shared" si="33"/>
        <v>-9.3161181966094908E-3</v>
      </c>
      <c r="I1073" s="84">
        <v>91.919156578696445</v>
      </c>
      <c r="J1073" s="84">
        <v>93.118465893822545</v>
      </c>
      <c r="K1073" s="84">
        <v>91.36133829259127</v>
      </c>
      <c r="L1073" s="84">
        <v>93.118465893822545</v>
      </c>
      <c r="M1073" s="85">
        <v>3632879.8292889614</v>
      </c>
      <c r="N1073" s="83" t="s">
        <v>1078</v>
      </c>
      <c r="O1073" s="25">
        <f t="shared" si="34"/>
        <v>-1.2879392971245962E-2</v>
      </c>
    </row>
    <row r="1074" spans="1:15">
      <c r="A1074" s="84">
        <v>365.64961324668951</v>
      </c>
      <c r="B1074" s="84">
        <v>367.42140345729314</v>
      </c>
      <c r="C1074" s="84">
        <v>365.39102764838515</v>
      </c>
      <c r="D1074" s="84">
        <v>365.59214978039967</v>
      </c>
      <c r="E1074" s="85">
        <v>3204780.9136869349</v>
      </c>
      <c r="F1074" s="83" t="s">
        <v>1079</v>
      </c>
      <c r="G1074" s="25">
        <f t="shared" si="33"/>
        <v>1.5717915804369653E-4</v>
      </c>
      <c r="I1074" s="84">
        <v>93.276514408219001</v>
      </c>
      <c r="J1074" s="84">
        <v>94.252696408903049</v>
      </c>
      <c r="K1074" s="84">
        <v>92.816314322182237</v>
      </c>
      <c r="L1074" s="84">
        <v>92.90463555081557</v>
      </c>
      <c r="M1074" s="85">
        <v>3744669.9974374529</v>
      </c>
      <c r="N1074" s="83" t="s">
        <v>1079</v>
      </c>
      <c r="O1074" s="25">
        <f t="shared" si="34"/>
        <v>4.0028019613727039E-3</v>
      </c>
    </row>
    <row r="1075" spans="1:15">
      <c r="A1075" s="84">
        <v>365.89862160061222</v>
      </c>
      <c r="B1075" s="84">
        <v>365.96566231128367</v>
      </c>
      <c r="C1075" s="84">
        <v>362.01983762604738</v>
      </c>
      <c r="D1075" s="84">
        <v>362.05814660357396</v>
      </c>
      <c r="E1075" s="85">
        <v>3536410.7513976903</v>
      </c>
      <c r="F1075" s="83" t="s">
        <v>1080</v>
      </c>
      <c r="G1075" s="25">
        <f t="shared" si="33"/>
        <v>1.0607343138292258E-2</v>
      </c>
      <c r="I1075" s="84">
        <v>92.87674463651031</v>
      </c>
      <c r="J1075" s="84">
        <v>92.886041607945387</v>
      </c>
      <c r="K1075" s="84">
        <v>91.844780807215756</v>
      </c>
      <c r="L1075" s="84">
        <v>92.105096007398146</v>
      </c>
      <c r="M1075" s="85">
        <v>3085713.4713498526</v>
      </c>
      <c r="N1075" s="83" t="s">
        <v>1080</v>
      </c>
      <c r="O1075" s="25">
        <f t="shared" si="34"/>
        <v>8.37791460583448E-3</v>
      </c>
    </row>
    <row r="1076" spans="1:15">
      <c r="A1076" s="84">
        <v>362.79559442096036</v>
      </c>
      <c r="B1076" s="84">
        <v>363.10206624117285</v>
      </c>
      <c r="C1076" s="84">
        <v>357.87289080879663</v>
      </c>
      <c r="D1076" s="84">
        <v>358.08359018519275</v>
      </c>
      <c r="E1076" s="85">
        <v>4492291.1315150196</v>
      </c>
      <c r="F1076" s="83" t="s">
        <v>1081</v>
      </c>
      <c r="G1076" s="25">
        <f t="shared" si="33"/>
        <v>1.3158950493460608E-2</v>
      </c>
      <c r="I1076" s="84">
        <v>92.402599093320916</v>
      </c>
      <c r="J1076" s="84">
        <v>92.69080520780858</v>
      </c>
      <c r="K1076" s="84">
        <v>90.594338149196659</v>
      </c>
      <c r="L1076" s="84">
        <v>90.808168492203635</v>
      </c>
      <c r="M1076" s="85">
        <v>4313861.8075821279</v>
      </c>
      <c r="N1076" s="83" t="s">
        <v>1081</v>
      </c>
      <c r="O1076" s="25">
        <f t="shared" si="34"/>
        <v>1.7558228820066635E-2</v>
      </c>
    </row>
    <row r="1077" spans="1:15">
      <c r="A1077" s="84">
        <v>355.7371653116906</v>
      </c>
      <c r="B1077" s="84">
        <v>358.84019249134241</v>
      </c>
      <c r="C1077" s="84">
        <v>355.2966120701351</v>
      </c>
      <c r="D1077" s="84">
        <v>357.86331356441502</v>
      </c>
      <c r="E1077" s="85">
        <v>3933173.1027149409</v>
      </c>
      <c r="F1077" s="83" t="s">
        <v>1082</v>
      </c>
      <c r="G1077" s="25">
        <f t="shared" si="33"/>
        <v>-5.9412299951828729E-3</v>
      </c>
      <c r="I1077" s="84">
        <v>90.812816977921187</v>
      </c>
      <c r="J1077" s="84">
        <v>93.70417509423298</v>
      </c>
      <c r="K1077" s="84">
        <v>90.347968406166885</v>
      </c>
      <c r="L1077" s="84">
        <v>93.40667200831021</v>
      </c>
      <c r="M1077" s="85">
        <v>5614236.8904155418</v>
      </c>
      <c r="N1077" s="83" t="s">
        <v>1082</v>
      </c>
      <c r="O1077" s="25">
        <f t="shared" si="34"/>
        <v>-2.7769483427888875E-2</v>
      </c>
    </row>
    <row r="1078" spans="1:15">
      <c r="A1078" s="84">
        <v>357.32698787904309</v>
      </c>
      <c r="B1078" s="84">
        <v>361.73252029459815</v>
      </c>
      <c r="C1078" s="84">
        <v>357.25036992398992</v>
      </c>
      <c r="D1078" s="84">
        <v>361.23450358675279</v>
      </c>
      <c r="E1078" s="85">
        <v>3962964.5530142491</v>
      </c>
      <c r="F1078" s="83" t="s">
        <v>1083</v>
      </c>
      <c r="G1078" s="25">
        <f t="shared" si="33"/>
        <v>-1.0817116496102619E-2</v>
      </c>
      <c r="I1078" s="84">
        <v>93.983084237285553</v>
      </c>
      <c r="J1078" s="84">
        <v>95.405520866853735</v>
      </c>
      <c r="K1078" s="84">
        <v>92.988308293731336</v>
      </c>
      <c r="L1078" s="84">
        <v>94.540902523390713</v>
      </c>
      <c r="M1078" s="85">
        <v>4989639.9406943331</v>
      </c>
      <c r="N1078" s="83" t="s">
        <v>1083</v>
      </c>
      <c r="O1078" s="25">
        <f t="shared" si="34"/>
        <v>-5.9002851804502709E-3</v>
      </c>
    </row>
    <row r="1079" spans="1:15">
      <c r="A1079" s="84">
        <v>363.06375726364627</v>
      </c>
      <c r="B1079" s="84">
        <v>363.42769255014872</v>
      </c>
      <c r="C1079" s="84">
        <v>361.28238980866104</v>
      </c>
      <c r="D1079" s="84">
        <v>362.4795453563662</v>
      </c>
      <c r="E1079" s="85">
        <v>2412356.7363789249</v>
      </c>
      <c r="F1079" s="83" t="s">
        <v>1084</v>
      </c>
      <c r="G1079" s="25">
        <f t="shared" si="33"/>
        <v>1.6117099978860683E-3</v>
      </c>
      <c r="I1079" s="84">
        <v>95.256769323892343</v>
      </c>
      <c r="J1079" s="84">
        <v>95.414817838288812</v>
      </c>
      <c r="K1079" s="84">
        <v>94.475823723345115</v>
      </c>
      <c r="L1079" s="84">
        <v>95.173096580976576</v>
      </c>
      <c r="M1079" s="85">
        <v>4261735.155006744</v>
      </c>
      <c r="N1079" s="83" t="s">
        <v>1084</v>
      </c>
      <c r="O1079" s="25">
        <f t="shared" si="34"/>
        <v>8.7916381752450867E-4</v>
      </c>
    </row>
    <row r="1080" spans="1:15">
      <c r="A1080" s="84">
        <v>362.58489504456423</v>
      </c>
      <c r="B1080" s="84">
        <v>363.07333450802798</v>
      </c>
      <c r="C1080" s="84">
        <v>360.88972278901372</v>
      </c>
      <c r="D1080" s="84">
        <v>362.671090243999</v>
      </c>
      <c r="E1080" s="85">
        <v>2884238.8164335033</v>
      </c>
      <c r="F1080" s="83" t="s">
        <v>1085</v>
      </c>
      <c r="G1080" s="25">
        <f t="shared" si="33"/>
        <v>-2.3766768775745906E-4</v>
      </c>
      <c r="I1080" s="84">
        <v>95.061532923755536</v>
      </c>
      <c r="J1080" s="84">
        <v>95.981933095829064</v>
      </c>
      <c r="K1080" s="84">
        <v>94.708248009222274</v>
      </c>
      <c r="L1080" s="84">
        <v>95.768102752822088</v>
      </c>
      <c r="M1080" s="85">
        <v>3566001.0608274937</v>
      </c>
      <c r="N1080" s="83" t="s">
        <v>1085</v>
      </c>
      <c r="O1080" s="25">
        <f t="shared" si="34"/>
        <v>-7.3779244733521709E-3</v>
      </c>
    </row>
    <row r="1081" spans="1:15">
      <c r="A1081" s="84">
        <v>362.37419566816811</v>
      </c>
      <c r="B1081" s="84">
        <v>364.00232721304718</v>
      </c>
      <c r="C1081" s="84">
        <v>361.00464972159341</v>
      </c>
      <c r="D1081" s="84">
        <v>361.80913824965126</v>
      </c>
      <c r="E1081" s="85">
        <v>3083531.005704429</v>
      </c>
      <c r="F1081" s="83" t="s">
        <v>1086</v>
      </c>
      <c r="G1081" s="25">
        <f t="shared" si="33"/>
        <v>1.5617555190852173E-3</v>
      </c>
      <c r="I1081" s="84">
        <v>95.610054238425633</v>
      </c>
      <c r="J1081" s="84">
        <v>96.056308867309752</v>
      </c>
      <c r="K1081" s="84">
        <v>95.117314752366056</v>
      </c>
      <c r="L1081" s="84">
        <v>95.861072467172946</v>
      </c>
      <c r="M1081" s="85">
        <v>4235461.0073764585</v>
      </c>
      <c r="N1081" s="83" t="s">
        <v>1086</v>
      </c>
      <c r="O1081" s="25">
        <f t="shared" si="34"/>
        <v>-2.6185627000289147E-3</v>
      </c>
    </row>
    <row r="1082" spans="1:15">
      <c r="A1082" s="84">
        <v>364.43330321022103</v>
      </c>
      <c r="B1082" s="84">
        <v>365.20906000513401</v>
      </c>
      <c r="C1082" s="84">
        <v>362.6615129996174</v>
      </c>
      <c r="D1082" s="84">
        <v>362.71897646590725</v>
      </c>
      <c r="E1082" s="85">
        <v>2789227.1446269164</v>
      </c>
      <c r="F1082" s="83" t="s">
        <v>1087</v>
      </c>
      <c r="G1082" s="25">
        <f t="shared" si="33"/>
        <v>4.7263221820292856E-3</v>
      </c>
      <c r="I1082" s="84">
        <v>96.772175667811396</v>
      </c>
      <c r="J1082" s="84">
        <v>97.53452732548844</v>
      </c>
      <c r="K1082" s="84">
        <v>96.558345324804407</v>
      </c>
      <c r="L1082" s="84">
        <v>97.274212125306036</v>
      </c>
      <c r="M1082" s="85">
        <v>5382892.7354918178</v>
      </c>
      <c r="N1082" s="83" t="s">
        <v>1087</v>
      </c>
      <c r="O1082" s="25">
        <f t="shared" si="34"/>
        <v>-5.1610436777214108E-3</v>
      </c>
    </row>
    <row r="1083" spans="1:15">
      <c r="A1083" s="84">
        <v>364.45245769898435</v>
      </c>
      <c r="B1083" s="84">
        <v>365.76932880146006</v>
      </c>
      <c r="C1083" s="84">
        <v>363.20741592937094</v>
      </c>
      <c r="D1083" s="84">
        <v>365.6974994685977</v>
      </c>
      <c r="E1083" s="85">
        <v>3152543.5497788987</v>
      </c>
      <c r="F1083" s="83" t="s">
        <v>1088</v>
      </c>
      <c r="G1083" s="25">
        <f t="shared" si="33"/>
        <v>-3.4045673580556102E-3</v>
      </c>
      <c r="I1083" s="84">
        <v>97.302103039611296</v>
      </c>
      <c r="J1083" s="84">
        <v>97.348587896786725</v>
      </c>
      <c r="K1083" s="84">
        <v>95.954042181523803</v>
      </c>
      <c r="L1083" s="84">
        <v>96.112090695920273</v>
      </c>
      <c r="M1083" s="85">
        <v>5323444.3437376833</v>
      </c>
      <c r="N1083" s="83" t="s">
        <v>1088</v>
      </c>
      <c r="O1083" s="25">
        <f t="shared" si="34"/>
        <v>1.2381505126716874E-2</v>
      </c>
    </row>
    <row r="1084" spans="1:15">
      <c r="A1084" s="84">
        <v>364.20344934506164</v>
      </c>
      <c r="B1084" s="84">
        <v>364.24175832258823</v>
      </c>
      <c r="C1084" s="84">
        <v>361.71336580583488</v>
      </c>
      <c r="D1084" s="84">
        <v>362.82432615410528</v>
      </c>
      <c r="E1084" s="85">
        <v>2841113.6769318203</v>
      </c>
      <c r="F1084" s="83" t="s">
        <v>1089</v>
      </c>
      <c r="G1084" s="25">
        <f t="shared" si="33"/>
        <v>3.8010769718086479E-3</v>
      </c>
      <c r="I1084" s="84">
        <v>95.861072467172946</v>
      </c>
      <c r="J1084" s="84">
        <v>96.028417953004507</v>
      </c>
      <c r="K1084" s="84">
        <v>94.643169209176662</v>
      </c>
      <c r="L1084" s="84">
        <v>94.745435894962611</v>
      </c>
      <c r="M1084" s="85">
        <v>4310384.3310484262</v>
      </c>
      <c r="N1084" s="83" t="s">
        <v>1089</v>
      </c>
      <c r="O1084" s="25">
        <f t="shared" si="34"/>
        <v>1.1775095672652336E-2</v>
      </c>
    </row>
    <row r="1085" spans="1:15">
      <c r="A1085" s="84">
        <v>362.96798481982989</v>
      </c>
      <c r="B1085" s="84">
        <v>365.20906000513401</v>
      </c>
      <c r="C1085" s="84">
        <v>360.79395034519729</v>
      </c>
      <c r="D1085" s="84">
        <v>363.23614766251586</v>
      </c>
      <c r="E1085" s="85">
        <v>3113268.1606365857</v>
      </c>
      <c r="F1085" s="83" t="s">
        <v>1090</v>
      </c>
      <c r="G1085" s="25">
        <f t="shared" si="33"/>
        <v>-7.3826034223645198E-4</v>
      </c>
      <c r="I1085" s="84">
        <v>94.531605551955636</v>
      </c>
      <c r="J1085" s="84">
        <v>94.559496466260882</v>
      </c>
      <c r="K1085" s="84">
        <v>93.871520580064512</v>
      </c>
      <c r="L1085" s="84">
        <v>94.07605395163641</v>
      </c>
      <c r="M1085" s="85">
        <v>3246149.5886827423</v>
      </c>
      <c r="N1085" s="83" t="s">
        <v>1090</v>
      </c>
      <c r="O1085" s="25">
        <f t="shared" si="34"/>
        <v>4.8423757288269531E-3</v>
      </c>
    </row>
    <row r="1086" spans="1:15">
      <c r="A1086" s="84">
        <v>363.71500988159789</v>
      </c>
      <c r="B1086" s="84">
        <v>364.09809965686361</v>
      </c>
      <c r="C1086" s="84">
        <v>359.57266014165037</v>
      </c>
      <c r="D1086" s="84">
        <v>360.01819355028437</v>
      </c>
      <c r="E1086" s="85">
        <v>2799208.0949076917</v>
      </c>
      <c r="F1086" s="83" t="s">
        <v>1091</v>
      </c>
      <c r="G1086" s="25">
        <f t="shared" si="33"/>
        <v>1.0268415312175483E-2</v>
      </c>
      <c r="I1086" s="84">
        <v>94.531605551955636</v>
      </c>
      <c r="J1086" s="84">
        <v>94.698951037787182</v>
      </c>
      <c r="K1086" s="84">
        <v>93.43456292261547</v>
      </c>
      <c r="L1086" s="84">
        <v>94.038866065896073</v>
      </c>
      <c r="M1086" s="85">
        <v>4229821.5364620769</v>
      </c>
      <c r="N1086" s="83" t="s">
        <v>1091</v>
      </c>
      <c r="O1086" s="25">
        <f t="shared" si="34"/>
        <v>5.2397429560058217E-3</v>
      </c>
    </row>
    <row r="1087" spans="1:15">
      <c r="A1087" s="84">
        <v>359.06046911212019</v>
      </c>
      <c r="B1087" s="84">
        <v>362.61362677770916</v>
      </c>
      <c r="C1087" s="84">
        <v>358.49541169360333</v>
      </c>
      <c r="D1087" s="84">
        <v>362.40292740131304</v>
      </c>
      <c r="E1087" s="85">
        <v>3784150.0702928132</v>
      </c>
      <c r="F1087" s="83" t="s">
        <v>1092</v>
      </c>
      <c r="G1087" s="25">
        <f t="shared" si="33"/>
        <v>-9.2230443974629095E-3</v>
      </c>
      <c r="I1087" s="84">
        <v>94.382854008994258</v>
      </c>
      <c r="J1087" s="84">
        <v>95.154502638106393</v>
      </c>
      <c r="K1087" s="84">
        <v>93.741362979973317</v>
      </c>
      <c r="L1087" s="84">
        <v>93.899411494369772</v>
      </c>
      <c r="M1087" s="85">
        <v>5066317.5991100278</v>
      </c>
      <c r="N1087" s="83" t="s">
        <v>1092</v>
      </c>
      <c r="O1087" s="25">
        <f t="shared" si="34"/>
        <v>5.1485148514851531E-3</v>
      </c>
    </row>
    <row r="1088" spans="1:15">
      <c r="A1088" s="84">
        <v>360.4970557693664</v>
      </c>
      <c r="B1088" s="84">
        <v>361.78998376088799</v>
      </c>
      <c r="C1088" s="84">
        <v>359.80749417388819</v>
      </c>
      <c r="D1088" s="84">
        <v>360.96634074406683</v>
      </c>
      <c r="E1088" s="85">
        <v>3204471.8477508421</v>
      </c>
      <c r="F1088" s="83" t="s">
        <v>1093</v>
      </c>
      <c r="G1088" s="25">
        <f t="shared" si="33"/>
        <v>-1.3000795967099688E-3</v>
      </c>
      <c r="I1088" s="84">
        <v>92.709399150678749</v>
      </c>
      <c r="J1088" s="84">
        <v>93.467102322638269</v>
      </c>
      <c r="K1088" s="84">
        <v>92.421193036191085</v>
      </c>
      <c r="L1088" s="84">
        <v>92.709399150678749</v>
      </c>
      <c r="M1088" s="85">
        <v>3666324.0538056218</v>
      </c>
      <c r="N1088" s="83" t="s">
        <v>1093</v>
      </c>
      <c r="O1088" s="25">
        <f t="shared" si="34"/>
        <v>0</v>
      </c>
    </row>
    <row r="1089" spans="1:15">
      <c r="A1089" s="84">
        <v>360.44916954745821</v>
      </c>
      <c r="B1089" s="84">
        <v>360.47790128060308</v>
      </c>
      <c r="C1089" s="84">
        <v>357.19290645770008</v>
      </c>
      <c r="D1089" s="84">
        <v>357.75796387621693</v>
      </c>
      <c r="E1089" s="85">
        <v>2789024.5811417745</v>
      </c>
      <c r="F1089" s="83" t="s">
        <v>1094</v>
      </c>
      <c r="G1089" s="25">
        <f t="shared" si="33"/>
        <v>7.5224200240933126E-3</v>
      </c>
      <c r="I1089" s="84">
        <v>92.616429436327891</v>
      </c>
      <c r="J1089" s="84">
        <v>92.755884007854178</v>
      </c>
      <c r="K1089" s="84">
        <v>90.784926063615927</v>
      </c>
      <c r="L1089" s="84">
        <v>91.073132178103592</v>
      </c>
      <c r="M1089" s="85">
        <v>4246110.7120347237</v>
      </c>
      <c r="N1089" s="83" t="s">
        <v>1094</v>
      </c>
      <c r="O1089" s="25">
        <f t="shared" si="34"/>
        <v>1.6945692119232358E-2</v>
      </c>
    </row>
    <row r="1090" spans="1:15">
      <c r="A1090" s="84">
        <v>360.05650252781089</v>
      </c>
      <c r="B1090" s="84">
        <v>360.28156777077947</v>
      </c>
      <c r="C1090" s="84">
        <v>356.96305259254075</v>
      </c>
      <c r="D1090" s="84">
        <v>357.87289080879663</v>
      </c>
      <c r="E1090" s="85">
        <v>3212012.6389348325</v>
      </c>
      <c r="F1090" s="83" t="s">
        <v>1095</v>
      </c>
      <c r="G1090" s="25">
        <f t="shared" si="33"/>
        <v>6.1016404849199013E-3</v>
      </c>
      <c r="I1090" s="84">
        <v>91.30555646398075</v>
      </c>
      <c r="J1090" s="84">
        <v>92.523459721977034</v>
      </c>
      <c r="K1090" s="84">
        <v>91.161453406736925</v>
      </c>
      <c r="L1090" s="84">
        <v>91.826186864345573</v>
      </c>
      <c r="M1090" s="85">
        <v>3689985.5226544784</v>
      </c>
      <c r="N1090" s="83" t="s">
        <v>1095</v>
      </c>
      <c r="O1090" s="25">
        <f t="shared" si="34"/>
        <v>-5.6697377746279809E-3</v>
      </c>
    </row>
    <row r="1091" spans="1:15">
      <c r="A1091" s="84">
        <v>358.68695658123613</v>
      </c>
      <c r="B1091" s="84">
        <v>359.54890857558394</v>
      </c>
      <c r="C1091" s="84">
        <v>357.12586574702857</v>
      </c>
      <c r="D1091" s="84">
        <v>358.86892422448733</v>
      </c>
      <c r="E1091" s="85">
        <v>3370212.6325472249</v>
      </c>
      <c r="F1091" s="83" t="s">
        <v>1096</v>
      </c>
      <c r="G1091" s="25">
        <f t="shared" si="33"/>
        <v>-5.0705879213264193E-4</v>
      </c>
      <c r="I1091" s="84">
        <v>91.816889892910496</v>
      </c>
      <c r="J1091" s="84">
        <v>92.588073673450879</v>
      </c>
      <c r="K1091" s="84">
        <v>91.761108064299975</v>
      </c>
      <c r="L1091" s="84">
        <v>92.263144521794615</v>
      </c>
      <c r="M1091" s="85">
        <v>4132231.6916040033</v>
      </c>
      <c r="N1091" s="83" t="s">
        <v>1096</v>
      </c>
      <c r="O1091" s="25">
        <f t="shared" si="34"/>
        <v>-4.8367593712210777E-3</v>
      </c>
    </row>
    <row r="1092" spans="1:15">
      <c r="A1092" s="84">
        <v>359.55848581996554</v>
      </c>
      <c r="B1092" s="84">
        <v>362.40292740131304</v>
      </c>
      <c r="C1092" s="84">
        <v>358.31344405035213</v>
      </c>
      <c r="D1092" s="84">
        <v>362.20180526929857</v>
      </c>
      <c r="E1092" s="85">
        <v>2833046.6383431316</v>
      </c>
      <c r="F1092" s="83" t="s">
        <v>1097</v>
      </c>
      <c r="G1092" s="25">
        <f t="shared" si="33"/>
        <v>-7.2979190354054424E-3</v>
      </c>
      <c r="I1092" s="84">
        <v>92.514162750541956</v>
      </c>
      <c r="J1092" s="84">
        <v>94.327072180383738</v>
      </c>
      <c r="K1092" s="84">
        <v>92.123689950268329</v>
      </c>
      <c r="L1092" s="84">
        <v>93.508938694096159</v>
      </c>
      <c r="M1092" s="85">
        <v>3484804.7265942688</v>
      </c>
      <c r="N1092" s="83" t="s">
        <v>1097</v>
      </c>
      <c r="O1092" s="25">
        <f t="shared" si="34"/>
        <v>-1.0638297872340274E-2</v>
      </c>
    </row>
    <row r="1093" spans="1:15">
      <c r="A1093" s="84">
        <v>361.59843887325519</v>
      </c>
      <c r="B1093" s="84">
        <v>361.93364242661266</v>
      </c>
      <c r="C1093" s="84">
        <v>359.35736368795108</v>
      </c>
      <c r="D1093" s="84">
        <v>359.72129897445348</v>
      </c>
      <c r="E1093" s="85">
        <v>3680908.4737960831</v>
      </c>
      <c r="F1093" s="83" t="s">
        <v>1098</v>
      </c>
      <c r="G1093" s="25">
        <f t="shared" si="33"/>
        <v>5.2183173588924436E-3</v>
      </c>
      <c r="I1093" s="84">
        <v>93.508938694096159</v>
      </c>
      <c r="J1093" s="84">
        <v>93.753820921696331</v>
      </c>
      <c r="K1093" s="84">
        <v>91.203289778194801</v>
      </c>
      <c r="L1093" s="84">
        <v>91.36133829259127</v>
      </c>
      <c r="M1093" s="85">
        <v>4638623.4808949409</v>
      </c>
      <c r="N1093" s="83" t="s">
        <v>1098</v>
      </c>
      <c r="O1093" s="25">
        <f t="shared" si="34"/>
        <v>2.3506665309860564E-2</v>
      </c>
    </row>
    <row r="1094" spans="1:15">
      <c r="A1094" s="84">
        <v>360.17142946039058</v>
      </c>
      <c r="B1094" s="84">
        <v>360.43001505869489</v>
      </c>
      <c r="C1094" s="84">
        <v>355.93828744370506</v>
      </c>
      <c r="D1094" s="84">
        <v>356.06279162066636</v>
      </c>
      <c r="E1094" s="85">
        <v>4343466.4860113291</v>
      </c>
      <c r="F1094" s="83" t="s">
        <v>1099</v>
      </c>
      <c r="G1094" s="25">
        <f t="shared" si="33"/>
        <v>1.153908225294531E-2</v>
      </c>
      <c r="I1094" s="84">
        <v>91.045241263798346</v>
      </c>
      <c r="J1094" s="84">
        <v>91.156804921019372</v>
      </c>
      <c r="K1094" s="84">
        <v>90.636174520654549</v>
      </c>
      <c r="L1094" s="84">
        <v>91.091726120973775</v>
      </c>
      <c r="M1094" s="85">
        <v>5004548.0213491721</v>
      </c>
      <c r="N1094" s="83" t="s">
        <v>1099</v>
      </c>
      <c r="O1094" s="25">
        <f t="shared" si="34"/>
        <v>-5.1030822616859872E-4</v>
      </c>
    </row>
    <row r="1095" spans="1:15">
      <c r="A1095" s="84">
        <v>355.21041687070027</v>
      </c>
      <c r="B1095" s="84">
        <v>355.77547428921719</v>
      </c>
      <c r="C1095" s="84">
        <v>353.49800557526277</v>
      </c>
      <c r="D1095" s="84">
        <v>355.53604317967614</v>
      </c>
      <c r="E1095" s="85">
        <v>3463148.5507019465</v>
      </c>
      <c r="F1095" s="83" t="s">
        <v>1100</v>
      </c>
      <c r="G1095" s="25">
        <f t="shared" si="33"/>
        <v>-9.1587425585237803E-4</v>
      </c>
      <c r="I1095" s="84">
        <v>90.524610863433523</v>
      </c>
      <c r="J1095" s="84">
        <v>90.970865492317643</v>
      </c>
      <c r="K1095" s="84">
        <v>90.357265377601962</v>
      </c>
      <c r="L1095" s="84">
        <v>90.831410920791356</v>
      </c>
      <c r="M1095" s="85">
        <v>5697290.8188256007</v>
      </c>
      <c r="N1095" s="83" t="s">
        <v>1100</v>
      </c>
      <c r="O1095" s="25">
        <f t="shared" si="34"/>
        <v>-3.3776867963151158E-3</v>
      </c>
    </row>
    <row r="1096" spans="1:15">
      <c r="A1096" s="84">
        <v>353.10342310673917</v>
      </c>
      <c r="B1096" s="84">
        <v>353.34285421628022</v>
      </c>
      <c r="C1096" s="84">
        <v>350.80488445514527</v>
      </c>
      <c r="D1096" s="84">
        <v>351.86795858150742</v>
      </c>
      <c r="E1096" s="85">
        <v>3796571.1796703739</v>
      </c>
      <c r="F1096" s="83" t="s">
        <v>1101</v>
      </c>
      <c r="G1096" s="25">
        <f t="shared" si="33"/>
        <v>3.5111594991834583E-3</v>
      </c>
      <c r="I1096" s="84">
        <v>90.831410920791356</v>
      </c>
      <c r="J1096" s="84">
        <v>90.901138206554506</v>
      </c>
      <c r="K1096" s="84">
        <v>90.366562349037054</v>
      </c>
      <c r="L1096" s="84">
        <v>90.366562349037054</v>
      </c>
      <c r="M1096" s="85">
        <v>3428414.319926837</v>
      </c>
      <c r="N1096" s="83" t="s">
        <v>1101</v>
      </c>
      <c r="O1096" s="25">
        <f t="shared" si="34"/>
        <v>5.1440329218106484E-3</v>
      </c>
    </row>
    <row r="1097" spans="1:15">
      <c r="A1097" s="84">
        <v>348.15198776143052</v>
      </c>
      <c r="B1097" s="84">
        <v>348.80324037938215</v>
      </c>
      <c r="C1097" s="84">
        <v>346.39169024408488</v>
      </c>
      <c r="D1097" s="84">
        <v>348.17114225019384</v>
      </c>
      <c r="E1097" s="85">
        <v>2520195.6886750325</v>
      </c>
      <c r="F1097" s="83" t="s">
        <v>1102</v>
      </c>
      <c r="G1097" s="25">
        <f t="shared" si="33"/>
        <v>-5.5014578863477048E-5</v>
      </c>
      <c r="I1097" s="84">
        <v>89.994683491633609</v>
      </c>
      <c r="J1097" s="84">
        <v>90.296742093559558</v>
      </c>
      <c r="K1097" s="84">
        <v>89.818041034366971</v>
      </c>
      <c r="L1097" s="84">
        <v>89.985386520198531</v>
      </c>
      <c r="M1097" s="85">
        <v>2500615.4060303033</v>
      </c>
      <c r="N1097" s="83" t="s">
        <v>1102</v>
      </c>
      <c r="O1097" s="25">
        <f t="shared" si="34"/>
        <v>1.0331645831174185E-4</v>
      </c>
    </row>
    <row r="1098" spans="1:15">
      <c r="A1098" s="84">
        <v>348.76493140185562</v>
      </c>
      <c r="B1098" s="84">
        <v>350.93896587648823</v>
      </c>
      <c r="C1098" s="84">
        <v>348.03706082885083</v>
      </c>
      <c r="D1098" s="84">
        <v>350.26377014758253</v>
      </c>
      <c r="E1098" s="85">
        <v>4327753.1979293758</v>
      </c>
      <c r="F1098" s="83" t="s">
        <v>1103</v>
      </c>
      <c r="G1098" s="25">
        <f t="shared" si="33"/>
        <v>-4.279171508647317E-3</v>
      </c>
      <c r="I1098" s="84">
        <v>90.096950177419558</v>
      </c>
      <c r="J1098" s="84">
        <v>90.56179874917386</v>
      </c>
      <c r="K1098" s="84">
        <v>89.613507662795072</v>
      </c>
      <c r="L1098" s="84">
        <v>90.56179874917386</v>
      </c>
      <c r="M1098" s="85">
        <v>3863339.8253167057</v>
      </c>
      <c r="N1098" s="83" t="s">
        <v>1103</v>
      </c>
      <c r="O1098" s="25">
        <f t="shared" si="34"/>
        <v>-5.1329432296478572E-3</v>
      </c>
    </row>
    <row r="1099" spans="1:15">
      <c r="A1099" s="84">
        <v>348.1902967389571</v>
      </c>
      <c r="B1099" s="84">
        <v>348.25733744962861</v>
      </c>
      <c r="C1099" s="84">
        <v>342.59718602007854</v>
      </c>
      <c r="D1099" s="84">
        <v>344.76164325032948</v>
      </c>
      <c r="E1099" s="85">
        <v>3906072.4055146556</v>
      </c>
      <c r="F1099" s="83" t="s">
        <v>1104</v>
      </c>
      <c r="G1099" s="25">
        <f t="shared" si="33"/>
        <v>9.9449969442746422E-3</v>
      </c>
      <c r="I1099" s="84">
        <v>89.659992519970501</v>
      </c>
      <c r="J1099" s="84">
        <v>89.883119834412582</v>
      </c>
      <c r="K1099" s="84">
        <v>88.265446804707594</v>
      </c>
      <c r="L1099" s="84">
        <v>88.702404462156636</v>
      </c>
      <c r="M1099" s="85">
        <v>5068703.3222624399</v>
      </c>
      <c r="N1099" s="83" t="s">
        <v>1104</v>
      </c>
      <c r="O1099" s="25">
        <f t="shared" si="34"/>
        <v>1.0795514097054815E-2</v>
      </c>
    </row>
    <row r="1100" spans="1:15">
      <c r="A1100" s="84">
        <v>345.88467090987933</v>
      </c>
      <c r="B1100" s="84">
        <v>351.26980451885015</v>
      </c>
      <c r="C1100" s="84">
        <v>343.48110436814954</v>
      </c>
      <c r="D1100" s="84">
        <v>347.6396560038408</v>
      </c>
      <c r="E1100" s="85">
        <v>5019093.9799477961</v>
      </c>
      <c r="F1100" s="83" t="s">
        <v>1105</v>
      </c>
      <c r="G1100" s="25">
        <f t="shared" si="33"/>
        <v>-5.0482879719052631E-3</v>
      </c>
      <c r="I1100" s="84">
        <v>89.250925776826719</v>
      </c>
      <c r="J1100" s="84">
        <v>90.598986634914212</v>
      </c>
      <c r="K1100" s="84">
        <v>88.925531776598717</v>
      </c>
      <c r="L1100" s="84">
        <v>90.459532063387911</v>
      </c>
      <c r="M1100" s="85">
        <v>4681198.6359079173</v>
      </c>
      <c r="N1100" s="83" t="s">
        <v>1105</v>
      </c>
      <c r="O1100" s="25">
        <f t="shared" si="34"/>
        <v>-1.336073997944498E-2</v>
      </c>
    </row>
    <row r="1101" spans="1:15">
      <c r="A1101" s="84">
        <v>345.06440613770167</v>
      </c>
      <c r="B1101" s="84">
        <v>354.06728891047459</v>
      </c>
      <c r="C1101" s="84">
        <v>344.94995058809553</v>
      </c>
      <c r="D1101" s="84">
        <v>350.78718361801072</v>
      </c>
      <c r="E1101" s="85">
        <v>4293202.0482252194</v>
      </c>
      <c r="F1101" s="83" t="s">
        <v>1106</v>
      </c>
      <c r="G1101" s="25">
        <f t="shared" si="33"/>
        <v>-1.631410082114304E-2</v>
      </c>
      <c r="I1101" s="84">
        <v>89.901713777282751</v>
      </c>
      <c r="J1101" s="84">
        <v>91.630950464208766</v>
      </c>
      <c r="K1101" s="84">
        <v>89.89241680584766</v>
      </c>
      <c r="L1101" s="84">
        <v>91.36133829259127</v>
      </c>
      <c r="M1101" s="85">
        <v>4347764.2458332004</v>
      </c>
      <c r="N1101" s="83" t="s">
        <v>1106</v>
      </c>
      <c r="O1101" s="25">
        <f t="shared" si="34"/>
        <v>-1.597639157423425E-2</v>
      </c>
    </row>
    <row r="1102" spans="1:15">
      <c r="A1102" s="84">
        <v>350.88256324268258</v>
      </c>
      <c r="B1102" s="84">
        <v>351.38807525344322</v>
      </c>
      <c r="C1102" s="84">
        <v>348.02117450252803</v>
      </c>
      <c r="D1102" s="84">
        <v>349.49002072247407</v>
      </c>
      <c r="E1102" s="85">
        <v>4317094.991899943</v>
      </c>
      <c r="F1102" s="83" t="s">
        <v>1107</v>
      </c>
      <c r="G1102" s="25">
        <f t="shared" si="33"/>
        <v>3.9844986627366463E-3</v>
      </c>
      <c r="I1102" s="84">
        <v>91.119617035279035</v>
      </c>
      <c r="J1102" s="84">
        <v>92.318926350405135</v>
      </c>
      <c r="K1102" s="84">
        <v>91.082429149538683</v>
      </c>
      <c r="L1102" s="84">
        <v>92.012126293047288</v>
      </c>
      <c r="M1102" s="85">
        <v>5523981.692165358</v>
      </c>
      <c r="N1102" s="83" t="s">
        <v>1107</v>
      </c>
      <c r="O1102" s="25">
        <f t="shared" si="34"/>
        <v>-9.6999090633523855E-3</v>
      </c>
    </row>
    <row r="1103" spans="1:15">
      <c r="A1103" s="84">
        <v>346.35203107077126</v>
      </c>
      <c r="B1103" s="84">
        <v>346.78123938179442</v>
      </c>
      <c r="C1103" s="84">
        <v>343.19496549413407</v>
      </c>
      <c r="D1103" s="84">
        <v>343.8149330545009</v>
      </c>
      <c r="E1103" s="85">
        <v>3249911.0901994384</v>
      </c>
      <c r="F1103" s="83" t="s">
        <v>1108</v>
      </c>
      <c r="G1103" s="25">
        <f t="shared" si="33"/>
        <v>7.3792548617084286E-3</v>
      </c>
      <c r="I1103" s="84">
        <v>90.673362406394901</v>
      </c>
      <c r="J1103" s="84">
        <v>90.933677606577305</v>
      </c>
      <c r="K1103" s="84">
        <v>89.539131891314398</v>
      </c>
      <c r="L1103" s="84">
        <v>89.632101605665241</v>
      </c>
      <c r="M1103" s="85">
        <v>4273249.6574172815</v>
      </c>
      <c r="N1103" s="83" t="s">
        <v>1108</v>
      </c>
      <c r="O1103" s="25">
        <f t="shared" si="34"/>
        <v>1.1617052173011233E-2</v>
      </c>
    </row>
    <row r="1104" spans="1:15">
      <c r="A1104" s="84">
        <v>343.25219326893716</v>
      </c>
      <c r="B1104" s="84">
        <v>346.98153659360526</v>
      </c>
      <c r="C1104" s="84">
        <v>341.85974612835332</v>
      </c>
      <c r="D1104" s="84">
        <v>345.99912645948552</v>
      </c>
      <c r="E1104" s="85">
        <v>5441316.2327461895</v>
      </c>
      <c r="F1104" s="83" t="s">
        <v>1109</v>
      </c>
      <c r="G1104" s="25">
        <f t="shared" si="33"/>
        <v>-7.9391333112802664E-3</v>
      </c>
      <c r="I1104" s="84">
        <v>89.018501490949561</v>
      </c>
      <c r="J1104" s="84">
        <v>90.896489720836954</v>
      </c>
      <c r="K1104" s="84">
        <v>88.772131747919786</v>
      </c>
      <c r="L1104" s="84">
        <v>90.887192749401876</v>
      </c>
      <c r="M1104" s="85">
        <v>8774658.5616183896</v>
      </c>
      <c r="N1104" s="83" t="s">
        <v>1109</v>
      </c>
      <c r="O1104" s="25">
        <f t="shared" si="34"/>
        <v>-2.0560556464811808E-2</v>
      </c>
    </row>
    <row r="1105" spans="1:15">
      <c r="A1105" s="84">
        <v>347.04830233087552</v>
      </c>
      <c r="B1105" s="84">
        <v>347.4298208295628</v>
      </c>
      <c r="C1105" s="84">
        <v>338.58812962248533</v>
      </c>
      <c r="D1105" s="84">
        <v>339.11271755818029</v>
      </c>
      <c r="E1105" s="85">
        <v>5294466.2105512647</v>
      </c>
      <c r="F1105" s="83" t="s">
        <v>1110</v>
      </c>
      <c r="G1105" s="25">
        <f t="shared" si="33"/>
        <v>2.3401023794791032E-2</v>
      </c>
      <c r="I1105" s="84">
        <v>91.184695835324632</v>
      </c>
      <c r="J1105" s="84">
        <v>91.705326235689455</v>
      </c>
      <c r="K1105" s="84">
        <v>88.321228633318114</v>
      </c>
      <c r="L1105" s="84">
        <v>88.646622633546116</v>
      </c>
      <c r="M1105" s="85">
        <v>4998421.2949848175</v>
      </c>
      <c r="N1105" s="83" t="s">
        <v>1110</v>
      </c>
      <c r="O1105" s="25">
        <f t="shared" si="34"/>
        <v>2.863135815416884E-2</v>
      </c>
    </row>
    <row r="1106" spans="1:15">
      <c r="A1106" s="84">
        <v>341.21106930096028</v>
      </c>
      <c r="B1106" s="84">
        <v>341.34460077550079</v>
      </c>
      <c r="C1106" s="84">
        <v>336.27517372419373</v>
      </c>
      <c r="D1106" s="84">
        <v>338.08261761172463</v>
      </c>
      <c r="E1106" s="85">
        <v>6930613.3492819387</v>
      </c>
      <c r="F1106" s="83" t="s">
        <v>1111</v>
      </c>
      <c r="G1106" s="25">
        <f t="shared" si="33"/>
        <v>9.2535123850365775E-3</v>
      </c>
      <c r="I1106" s="84">
        <v>89.09287726243025</v>
      </c>
      <c r="J1106" s="84">
        <v>90.422344177647574</v>
      </c>
      <c r="K1106" s="84">
        <v>88.079507376005864</v>
      </c>
      <c r="L1106" s="84">
        <v>90.143435034594987</v>
      </c>
      <c r="M1106" s="85">
        <v>6190531.0134436153</v>
      </c>
      <c r="N1106" s="83" t="s">
        <v>1111</v>
      </c>
      <c r="O1106" s="25">
        <f t="shared" si="34"/>
        <v>-1.1654290429042979E-2</v>
      </c>
    </row>
    <row r="1107" spans="1:15">
      <c r="A1107" s="84">
        <v>343.32849696867459</v>
      </c>
      <c r="B1107" s="84">
        <v>344.80688115108779</v>
      </c>
      <c r="C1107" s="84">
        <v>339.19855922038494</v>
      </c>
      <c r="D1107" s="84">
        <v>342.29839702221898</v>
      </c>
      <c r="E1107" s="85">
        <v>5031274.7785617299</v>
      </c>
      <c r="F1107" s="83" t="s">
        <v>1112</v>
      </c>
      <c r="G1107" s="25">
        <f t="shared" si="33"/>
        <v>3.0093624609897063E-3</v>
      </c>
      <c r="I1107" s="84">
        <v>91.407823149766685</v>
      </c>
      <c r="J1107" s="84">
        <v>92.170174807443757</v>
      </c>
      <c r="K1107" s="84">
        <v>90.566447234891413</v>
      </c>
      <c r="L1107" s="84">
        <v>91.36133829259127</v>
      </c>
      <c r="M1107" s="85">
        <v>6891935.7714909976</v>
      </c>
      <c r="N1107" s="83" t="s">
        <v>1112</v>
      </c>
      <c r="O1107" s="25">
        <f t="shared" si="34"/>
        <v>5.0880227943395084E-4</v>
      </c>
    </row>
    <row r="1108" spans="1:15">
      <c r="A1108" s="84">
        <v>337.72017503797173</v>
      </c>
      <c r="B1108" s="84">
        <v>342.0980998104082</v>
      </c>
      <c r="C1108" s="84">
        <v>333.59977525214924</v>
      </c>
      <c r="D1108" s="84">
        <v>334.55357149886737</v>
      </c>
      <c r="E1108" s="85">
        <v>6792533.544026725</v>
      </c>
      <c r="F1108" s="83" t="s">
        <v>1113</v>
      </c>
      <c r="G1108" s="25">
        <f t="shared" si="33"/>
        <v>9.4651613638956356E-3</v>
      </c>
      <c r="I1108" s="84">
        <v>90.608283606349289</v>
      </c>
      <c r="J1108" s="84">
        <v>91.33344737828601</v>
      </c>
      <c r="K1108" s="84">
        <v>88.070210404570787</v>
      </c>
      <c r="L1108" s="84">
        <v>88.218961947532165</v>
      </c>
      <c r="M1108" s="85">
        <v>8344319.4960490288</v>
      </c>
      <c r="N1108" s="83" t="s">
        <v>1113</v>
      </c>
      <c r="O1108" s="25">
        <f t="shared" si="34"/>
        <v>2.7083991990725975E-2</v>
      </c>
    </row>
    <row r="1109" spans="1:15">
      <c r="A1109" s="84">
        <v>338.29245278600268</v>
      </c>
      <c r="B1109" s="84">
        <v>344.54935616447392</v>
      </c>
      <c r="C1109" s="84">
        <v>336.82360656605664</v>
      </c>
      <c r="D1109" s="84">
        <v>342.72760533324214</v>
      </c>
      <c r="E1109" s="85">
        <v>8765396.203608986</v>
      </c>
      <c r="F1109" s="83" t="s">
        <v>1114</v>
      </c>
      <c r="G1109" s="25">
        <f t="shared" si="33"/>
        <v>-1.2940750841844317E-2</v>
      </c>
      <c r="I1109" s="84">
        <v>89.250925776826719</v>
      </c>
      <c r="J1109" s="84">
        <v>90.227107777510753</v>
      </c>
      <c r="K1109" s="84">
        <v>88.511816547737368</v>
      </c>
      <c r="L1109" s="84">
        <v>88.925531776598717</v>
      </c>
      <c r="M1109" s="85">
        <v>6819534.774596489</v>
      </c>
      <c r="N1109" s="83" t="s">
        <v>1114</v>
      </c>
      <c r="O1109" s="25">
        <f t="shared" si="34"/>
        <v>3.659174072137894E-3</v>
      </c>
    </row>
    <row r="1110" spans="1:15">
      <c r="A1110" s="84">
        <v>343.21404141906839</v>
      </c>
      <c r="B1110" s="84">
        <v>351.83635948940076</v>
      </c>
      <c r="C1110" s="84">
        <v>342.26978313481749</v>
      </c>
      <c r="D1110" s="84">
        <v>350.37705123192194</v>
      </c>
      <c r="E1110" s="85">
        <v>4623240.0422759689</v>
      </c>
      <c r="F1110" s="83" t="s">
        <v>1115</v>
      </c>
      <c r="G1110" s="25">
        <f t="shared" si="33"/>
        <v>-2.0443718524567944E-2</v>
      </c>
      <c r="I1110" s="84">
        <v>89.185846976781121</v>
      </c>
      <c r="J1110" s="84">
        <v>91.091726120973775</v>
      </c>
      <c r="K1110" s="84">
        <v>88.804671147942585</v>
      </c>
      <c r="L1110" s="84">
        <v>91.091726120973775</v>
      </c>
      <c r="M1110" s="85">
        <v>5284614.4944130303</v>
      </c>
      <c r="N1110" s="83" t="s">
        <v>1115</v>
      </c>
      <c r="O1110" s="25">
        <f t="shared" si="34"/>
        <v>-2.0922637272912881E-2</v>
      </c>
    </row>
    <row r="1111" spans="1:15">
      <c r="A1111" s="84">
        <v>349.61401423454743</v>
      </c>
      <c r="B1111" s="84">
        <v>350.32812148446533</v>
      </c>
      <c r="C1111" s="84">
        <v>347.60150415397203</v>
      </c>
      <c r="D1111" s="84">
        <v>349.19434388599143</v>
      </c>
      <c r="E1111" s="85">
        <v>3047042.8144374215</v>
      </c>
      <c r="F1111" s="83" t="s">
        <v>1116</v>
      </c>
      <c r="G1111" s="25">
        <f t="shared" si="33"/>
        <v>1.201824588238587E-3</v>
      </c>
      <c r="I1111" s="84">
        <v>90.552501777738783</v>
      </c>
      <c r="J1111" s="84">
        <v>91.677435321384195</v>
      </c>
      <c r="K1111" s="84">
        <v>89.864525891542399</v>
      </c>
      <c r="L1111" s="84">
        <v>91.110320063843943</v>
      </c>
      <c r="M1111" s="85">
        <v>4624288.705217666</v>
      </c>
      <c r="N1111" s="83" t="s">
        <v>1116</v>
      </c>
      <c r="O1111" s="25">
        <f t="shared" si="34"/>
        <v>-6.1224489795917991E-3</v>
      </c>
    </row>
    <row r="1112" spans="1:15">
      <c r="A1112" s="84">
        <v>349.07035037391807</v>
      </c>
      <c r="B1112" s="84">
        <v>354.70728619202248</v>
      </c>
      <c r="C1112" s="84">
        <v>348.50284160712073</v>
      </c>
      <c r="D1112" s="84">
        <v>354.45929916787571</v>
      </c>
      <c r="E1112" s="85">
        <v>3717922.996868114</v>
      </c>
      <c r="F1112" s="83" t="s">
        <v>1117</v>
      </c>
      <c r="G1112" s="25">
        <f t="shared" si="33"/>
        <v>-1.520329359847139E-2</v>
      </c>
      <c r="I1112" s="84">
        <v>91.277665549675504</v>
      </c>
      <c r="J1112" s="84">
        <v>92.90463555081557</v>
      </c>
      <c r="K1112" s="84">
        <v>91.268368578240413</v>
      </c>
      <c r="L1112" s="84">
        <v>92.700102179243657</v>
      </c>
      <c r="M1112" s="85">
        <v>5528192.7409217572</v>
      </c>
      <c r="N1112" s="83" t="s">
        <v>1117</v>
      </c>
      <c r="O1112" s="25">
        <f t="shared" si="34"/>
        <v>-1.5344499047236781E-2</v>
      </c>
    </row>
    <row r="1113" spans="1:15">
      <c r="A1113" s="84">
        <v>354.55467879254758</v>
      </c>
      <c r="B1113" s="84">
        <v>357.13946662115382</v>
      </c>
      <c r="C1113" s="84">
        <v>354.14454640645874</v>
      </c>
      <c r="D1113" s="84">
        <v>355.06019080330816</v>
      </c>
      <c r="E1113" s="85">
        <v>2766130.6165524912</v>
      </c>
      <c r="F1113" s="83" t="s">
        <v>1118</v>
      </c>
      <c r="G1113" s="25">
        <f t="shared" si="33"/>
        <v>-1.4237360984257208E-3</v>
      </c>
      <c r="I1113" s="84">
        <v>92.514162750541956</v>
      </c>
      <c r="J1113" s="84">
        <v>93.053387093776948</v>
      </c>
      <c r="K1113" s="84">
        <v>91.891265664391184</v>
      </c>
      <c r="L1113" s="84">
        <v>92.058611150222717</v>
      </c>
      <c r="M1113" s="85">
        <v>5447688.0297665307</v>
      </c>
      <c r="N1113" s="83" t="s">
        <v>1118</v>
      </c>
      <c r="O1113" s="25">
        <f t="shared" si="34"/>
        <v>4.9484952534843973E-3</v>
      </c>
    </row>
    <row r="1114" spans="1:15">
      <c r="A1114" s="84">
        <v>354.12547048152436</v>
      </c>
      <c r="B1114" s="84">
        <v>354.49745101774448</v>
      </c>
      <c r="C1114" s="84">
        <v>349.75708367155511</v>
      </c>
      <c r="D1114" s="84">
        <v>350.3198234571189</v>
      </c>
      <c r="E1114" s="85">
        <v>5151623.3335020151</v>
      </c>
      <c r="F1114" s="83" t="s">
        <v>1119</v>
      </c>
      <c r="G1114" s="25">
        <f t="shared" si="33"/>
        <v>1.0863350485991852E-2</v>
      </c>
      <c r="I1114" s="84">
        <v>92.058611150222717</v>
      </c>
      <c r="J1114" s="84">
        <v>92.337520293275304</v>
      </c>
      <c r="K1114" s="84">
        <v>91.352041321156193</v>
      </c>
      <c r="L1114" s="84">
        <v>92.207362693184109</v>
      </c>
      <c r="M1114" s="85">
        <v>5456419.9055786505</v>
      </c>
      <c r="N1114" s="83" t="s">
        <v>1119</v>
      </c>
      <c r="O1114" s="25">
        <f t="shared" si="34"/>
        <v>-1.6132284734826641E-3</v>
      </c>
    </row>
    <row r="1115" spans="1:15">
      <c r="A1115" s="84">
        <v>348.60299021302615</v>
      </c>
      <c r="B1115" s="84">
        <v>349.43279294767098</v>
      </c>
      <c r="C1115" s="84">
        <v>343.87216082930394</v>
      </c>
      <c r="D1115" s="84">
        <v>344.13922377838509</v>
      </c>
      <c r="E1115" s="85">
        <v>2863099.9643751904</v>
      </c>
      <c r="F1115" s="83" t="s">
        <v>1120</v>
      </c>
      <c r="G1115" s="25">
        <f t="shared" si="33"/>
        <v>1.2970815664754332E-2</v>
      </c>
      <c r="I1115" s="84">
        <v>92.040017207352548</v>
      </c>
      <c r="J1115" s="84">
        <v>92.342168778992857</v>
      </c>
      <c r="K1115" s="84">
        <v>90.645471492089641</v>
      </c>
      <c r="L1115" s="84">
        <v>90.645471492089641</v>
      </c>
      <c r="M1115" s="85">
        <v>4447232.1216309108</v>
      </c>
      <c r="N1115" s="83" t="s">
        <v>1120</v>
      </c>
      <c r="O1115" s="25">
        <f t="shared" si="34"/>
        <v>1.538461538461533E-2</v>
      </c>
    </row>
    <row r="1116" spans="1:15">
      <c r="A1116" s="84">
        <v>346.01820238441985</v>
      </c>
      <c r="B1116" s="84">
        <v>347.66826989124229</v>
      </c>
      <c r="C1116" s="84">
        <v>344.7496533762847</v>
      </c>
      <c r="D1116" s="84">
        <v>346.55232828258204</v>
      </c>
      <c r="E1116" s="85">
        <v>3947094.5843555895</v>
      </c>
      <c r="F1116" s="83" t="s">
        <v>1121</v>
      </c>
      <c r="G1116" s="25">
        <f t="shared" si="33"/>
        <v>-1.5412561237408973E-3</v>
      </c>
      <c r="I1116" s="84">
        <v>91.147507949584295</v>
      </c>
      <c r="J1116" s="84">
        <v>91.640247435643843</v>
      </c>
      <c r="K1116" s="84">
        <v>90.645471492089641</v>
      </c>
      <c r="L1116" s="84">
        <v>91.147507949584295</v>
      </c>
      <c r="M1116" s="85">
        <v>4022879.9519435721</v>
      </c>
      <c r="N1116" s="83" t="s">
        <v>1121</v>
      </c>
      <c r="O1116" s="25">
        <f t="shared" si="34"/>
        <v>0</v>
      </c>
    </row>
    <row r="1117" spans="1:15">
      <c r="A1117" s="84">
        <v>347.28675139255506</v>
      </c>
      <c r="B1117" s="84">
        <v>349.90969107103007</v>
      </c>
      <c r="C1117" s="84">
        <v>347.22952361775197</v>
      </c>
      <c r="D1117" s="84">
        <v>348.14516801460138</v>
      </c>
      <c r="E1117" s="85">
        <v>3168601.2713918635</v>
      </c>
      <c r="F1117" s="83" t="s">
        <v>1122</v>
      </c>
      <c r="G1117" s="25">
        <f t="shared" si="33"/>
        <v>-2.4656858716198826E-3</v>
      </c>
      <c r="I1117" s="84">
        <v>91.193992806759724</v>
      </c>
      <c r="J1117" s="84">
        <v>92.478834259088615</v>
      </c>
      <c r="K1117" s="84">
        <v>90.942974578012382</v>
      </c>
      <c r="L1117" s="84">
        <v>92.291035436099875</v>
      </c>
      <c r="M1117" s="85">
        <v>4807999.0685252603</v>
      </c>
      <c r="N1117" s="83" t="s">
        <v>1122</v>
      </c>
      <c r="O1117" s="25">
        <f t="shared" si="34"/>
        <v>-1.1886773446156851E-2</v>
      </c>
    </row>
    <row r="1118" spans="1:15">
      <c r="A1118" s="84">
        <v>348.60299021302615</v>
      </c>
      <c r="B1118" s="84">
        <v>351.73144190226174</v>
      </c>
      <c r="C1118" s="84">
        <v>347.74800725746792</v>
      </c>
      <c r="D1118" s="84">
        <v>350.51058270646251</v>
      </c>
      <c r="E1118" s="85">
        <v>3460013.6154395193</v>
      </c>
      <c r="F1118" s="83" t="s">
        <v>1123</v>
      </c>
      <c r="G1118" s="25">
        <f t="shared" si="33"/>
        <v>-5.4423249612234326E-3</v>
      </c>
      <c r="I1118" s="84">
        <v>92.188768750313926</v>
      </c>
      <c r="J1118" s="84">
        <v>92.997605265166428</v>
      </c>
      <c r="K1118" s="84">
        <v>92.058611150222717</v>
      </c>
      <c r="L1118" s="84">
        <v>92.951120407990999</v>
      </c>
      <c r="M1118" s="85">
        <v>3212568.7605410335</v>
      </c>
      <c r="N1118" s="83" t="s">
        <v>1123</v>
      </c>
      <c r="O1118" s="25">
        <f t="shared" si="34"/>
        <v>-8.2016403280656958E-3</v>
      </c>
    </row>
    <row r="1119" spans="1:15">
      <c r="A1119" s="84">
        <v>347.40120694216125</v>
      </c>
      <c r="B1119" s="84">
        <v>348.16424393953577</v>
      </c>
      <c r="C1119" s="84">
        <v>345.01671632536579</v>
      </c>
      <c r="D1119" s="84">
        <v>346.52371439518049</v>
      </c>
      <c r="E1119" s="85">
        <v>4251439.4598977258</v>
      </c>
      <c r="F1119" s="83" t="s">
        <v>1124</v>
      </c>
      <c r="G1119" s="25">
        <f t="shared" si="33"/>
        <v>2.5322727147616408E-3</v>
      </c>
      <c r="I1119" s="84">
        <v>92.616429436327891</v>
      </c>
      <c r="J1119" s="84">
        <v>92.625726407762969</v>
      </c>
      <c r="K1119" s="84">
        <v>91.472901949812297</v>
      </c>
      <c r="L1119" s="84">
        <v>92.318926350405135</v>
      </c>
      <c r="M1119" s="85">
        <v>4211140.184022449</v>
      </c>
      <c r="N1119" s="83" t="s">
        <v>1124</v>
      </c>
      <c r="O1119" s="25">
        <f t="shared" si="34"/>
        <v>3.2225579053373199E-3</v>
      </c>
    </row>
    <row r="1120" spans="1:15">
      <c r="A1120" s="84">
        <v>351.15916415423084</v>
      </c>
      <c r="B1120" s="84">
        <v>352.49447889963631</v>
      </c>
      <c r="C1120" s="84">
        <v>347.30582731748939</v>
      </c>
      <c r="D1120" s="84">
        <v>352.01758077627721</v>
      </c>
      <c r="E1120" s="85">
        <v>3006085.4295300944</v>
      </c>
      <c r="F1120" s="83" t="s">
        <v>1125</v>
      </c>
      <c r="G1120" s="25">
        <f t="shared" si="33"/>
        <v>-2.4385617904463253E-3</v>
      </c>
      <c r="I1120" s="84">
        <v>92.63502337919806</v>
      </c>
      <c r="J1120" s="84">
        <v>93.574017494141771</v>
      </c>
      <c r="K1120" s="84">
        <v>91.854077778650833</v>
      </c>
      <c r="L1120" s="84">
        <v>93.453156865485639</v>
      </c>
      <c r="M1120" s="85">
        <v>3472144.6898476989</v>
      </c>
      <c r="N1120" s="83" t="s">
        <v>1125</v>
      </c>
      <c r="O1120" s="25">
        <f t="shared" si="34"/>
        <v>-8.7544767210505636E-3</v>
      </c>
    </row>
    <row r="1121" spans="1:15">
      <c r="A1121" s="84">
        <v>349.40417906026937</v>
      </c>
      <c r="B1121" s="84">
        <v>351.56929654031967</v>
      </c>
      <c r="C1121" s="84">
        <v>347.98302265265932</v>
      </c>
      <c r="D1121" s="84">
        <v>350.21490586997987</v>
      </c>
      <c r="E1121" s="85">
        <v>4059571.4371101786</v>
      </c>
      <c r="F1121" s="83" t="s">
        <v>1126</v>
      </c>
      <c r="G1121" s="25">
        <f t="shared" si="33"/>
        <v>-2.314940900920659E-3</v>
      </c>
      <c r="I1121" s="84">
        <v>92.932526467842052</v>
      </c>
      <c r="J1121" s="84">
        <v>93.496538418348308</v>
      </c>
      <c r="K1121" s="84">
        <v>92.303791834490809</v>
      </c>
      <c r="L1121" s="84">
        <v>93.13594061392628</v>
      </c>
      <c r="M1121" s="85">
        <v>4855922.1618294911</v>
      </c>
      <c r="N1121" s="83" t="s">
        <v>1126</v>
      </c>
      <c r="O1121" s="25">
        <f t="shared" si="34"/>
        <v>-2.1840563883649411E-3</v>
      </c>
    </row>
    <row r="1122" spans="1:15">
      <c r="A1122" s="84">
        <v>349.84292533375981</v>
      </c>
      <c r="B1122" s="84">
        <v>354.17792927509385</v>
      </c>
      <c r="C1122" s="84">
        <v>349.54724849727717</v>
      </c>
      <c r="D1122" s="84">
        <v>353.28612978441237</v>
      </c>
      <c r="E1122" s="85">
        <v>3259790.5587257855</v>
      </c>
      <c r="F1122" s="83" t="s">
        <v>1127</v>
      </c>
      <c r="G1122" s="25">
        <f t="shared" ref="G1122:G1185" si="35">A1122/D1122-1</f>
        <v>-9.7462203023755967E-3</v>
      </c>
      <c r="I1122" s="84">
        <v>93.061971833532013</v>
      </c>
      <c r="J1122" s="84">
        <v>94.91119134338858</v>
      </c>
      <c r="K1122" s="84">
        <v>92.812327199701372</v>
      </c>
      <c r="L1122" s="84">
        <v>94.495116953670859</v>
      </c>
      <c r="M1122" s="85">
        <v>4167182.94335846</v>
      </c>
      <c r="N1122" s="83" t="s">
        <v>1127</v>
      </c>
      <c r="O1122" s="25">
        <f t="shared" ref="O1122:O1185" si="36">I1122/L1122-1</f>
        <v>-1.5166340508806275E-2</v>
      </c>
    </row>
    <row r="1123" spans="1:15">
      <c r="A1123" s="84">
        <v>356.92963144687582</v>
      </c>
      <c r="B1123" s="84">
        <v>357.14900458362098</v>
      </c>
      <c r="C1123" s="84">
        <v>354.16362233139307</v>
      </c>
      <c r="D1123" s="84">
        <v>355.93672955404219</v>
      </c>
      <c r="E1123" s="85">
        <v>3444474.6572490297</v>
      </c>
      <c r="F1123" s="83" t="s">
        <v>1128</v>
      </c>
      <c r="G1123" s="25">
        <f t="shared" si="35"/>
        <v>2.7895460355487067E-3</v>
      </c>
      <c r="I1123" s="84">
        <v>93.857136222770336</v>
      </c>
      <c r="J1123" s="84">
        <v>93.940351100713869</v>
      </c>
      <c r="K1123" s="84">
        <v>92.747604516856399</v>
      </c>
      <c r="L1123" s="84">
        <v>93.246893784517667</v>
      </c>
      <c r="M1123" s="85">
        <v>7038064.399942142</v>
      </c>
      <c r="N1123" s="83" t="s">
        <v>1128</v>
      </c>
      <c r="O1123" s="25">
        <f t="shared" si="36"/>
        <v>6.5443728309371174E-3</v>
      </c>
    </row>
    <row r="1124" spans="1:15">
      <c r="A1124" s="84">
        <v>357.85481380619245</v>
      </c>
      <c r="B1124" s="84">
        <v>361.89890989227752</v>
      </c>
      <c r="C1124" s="84">
        <v>357.75943418152059</v>
      </c>
      <c r="D1124" s="84">
        <v>358.30309804215</v>
      </c>
      <c r="E1124" s="85">
        <v>3226581.15985366</v>
      </c>
      <c r="F1124" s="83" t="s">
        <v>1129</v>
      </c>
      <c r="G1124" s="25">
        <f t="shared" si="35"/>
        <v>-1.2511313421711412E-3</v>
      </c>
      <c r="I1124" s="84">
        <v>93.357846955109054</v>
      </c>
      <c r="J1124" s="84">
        <v>93.810905735023908</v>
      </c>
      <c r="K1124" s="84">
        <v>92.39625280998365</v>
      </c>
      <c r="L1124" s="84">
        <v>92.840065492349211</v>
      </c>
      <c r="M1124" s="85">
        <v>3811622.1262162067</v>
      </c>
      <c r="N1124" s="83" t="s">
        <v>1129</v>
      </c>
      <c r="O1124" s="25">
        <f t="shared" si="36"/>
        <v>5.5771337516183905E-3</v>
      </c>
    </row>
    <row r="1125" spans="1:15">
      <c r="A1125" s="84">
        <v>362.90039595133163</v>
      </c>
      <c r="B1125" s="84">
        <v>362.94808576366751</v>
      </c>
      <c r="C1125" s="84">
        <v>358.94214152745116</v>
      </c>
      <c r="D1125" s="84">
        <v>359.72425444976005</v>
      </c>
      <c r="E1125" s="85">
        <v>2968790.2523657931</v>
      </c>
      <c r="F1125" s="83" t="s">
        <v>1130</v>
      </c>
      <c r="G1125" s="25">
        <f t="shared" si="35"/>
        <v>8.8293782314730063E-3</v>
      </c>
      <c r="I1125" s="84">
        <v>93.810905735023908</v>
      </c>
      <c r="J1125" s="84">
        <v>93.875628417868896</v>
      </c>
      <c r="K1125" s="84">
        <v>93.108202321278426</v>
      </c>
      <c r="L1125" s="84">
        <v>93.385585247756907</v>
      </c>
      <c r="M1125" s="85">
        <v>2759538.2661714368</v>
      </c>
      <c r="N1125" s="83" t="s">
        <v>1130</v>
      </c>
      <c r="O1125" s="25">
        <f t="shared" si="36"/>
        <v>4.5544554455443365E-3</v>
      </c>
    </row>
    <row r="1126" spans="1:15">
      <c r="A1126" s="84">
        <v>361.68907471799952</v>
      </c>
      <c r="B1126" s="84">
        <v>363.79696442324672</v>
      </c>
      <c r="C1126" s="84">
        <v>358.10280083033916</v>
      </c>
      <c r="D1126" s="84">
        <v>360.49682940960179</v>
      </c>
      <c r="E1126" s="85">
        <v>4946587.9282224383</v>
      </c>
      <c r="F1126" s="83" t="s">
        <v>1131</v>
      </c>
      <c r="G1126" s="25">
        <f t="shared" si="35"/>
        <v>3.3072282781247964E-3</v>
      </c>
      <c r="I1126" s="84">
        <v>93.727690857080376</v>
      </c>
      <c r="J1126" s="84">
        <v>94.361048539206251</v>
      </c>
      <c r="K1126" s="84">
        <v>92.692220392536186</v>
      </c>
      <c r="L1126" s="84">
        <v>92.701374029109985</v>
      </c>
      <c r="M1126" s="85">
        <v>4001333.5142532112</v>
      </c>
      <c r="N1126" s="83" t="s">
        <v>1131</v>
      </c>
      <c r="O1126" s="25">
        <f t="shared" si="36"/>
        <v>1.1071214841412269E-2</v>
      </c>
    </row>
    <row r="1127" spans="1:15">
      <c r="A1127" s="84">
        <v>361.82260619254009</v>
      </c>
      <c r="B1127" s="84">
        <v>361.90844785474468</v>
      </c>
      <c r="C1127" s="84">
        <v>357.86435176865962</v>
      </c>
      <c r="D1127" s="84">
        <v>358.2926062834361</v>
      </c>
      <c r="E1127" s="85">
        <v>3124986.0861328132</v>
      </c>
      <c r="F1127" s="83" t="s">
        <v>1132</v>
      </c>
      <c r="G1127" s="25">
        <f t="shared" si="35"/>
        <v>9.852282316737293E-3</v>
      </c>
      <c r="I1127" s="84">
        <v>92.978756955588466</v>
      </c>
      <c r="J1127" s="84">
        <v>93.773921344826789</v>
      </c>
      <c r="K1127" s="84">
        <v>92.56268256587073</v>
      </c>
      <c r="L1127" s="84">
        <v>93.496538418348308</v>
      </c>
      <c r="M1127" s="85">
        <v>5665711.3685830729</v>
      </c>
      <c r="N1127" s="83" t="s">
        <v>1132</v>
      </c>
      <c r="O1127" s="25">
        <f t="shared" si="36"/>
        <v>-5.5379746835443333E-3</v>
      </c>
    </row>
    <row r="1128" spans="1:15">
      <c r="A1128" s="84">
        <v>357.69266844425033</v>
      </c>
      <c r="B1128" s="84">
        <v>358.04557305553607</v>
      </c>
      <c r="C1128" s="84">
        <v>355.00296302850506</v>
      </c>
      <c r="D1128" s="84">
        <v>355.76600002587963</v>
      </c>
      <c r="E1128" s="85">
        <v>3414466.1516604591</v>
      </c>
      <c r="F1128" s="83" t="s">
        <v>1133</v>
      </c>
      <c r="G1128" s="25">
        <f t="shared" si="35"/>
        <v>5.4155495978551738E-3</v>
      </c>
      <c r="I1128" s="84">
        <v>93.024987443334879</v>
      </c>
      <c r="J1128" s="84">
        <v>93.108202321278426</v>
      </c>
      <c r="K1128" s="84">
        <v>90.79667793395771</v>
      </c>
      <c r="L1128" s="84">
        <v>90.824416226605564</v>
      </c>
      <c r="M1128" s="85">
        <v>5722413.1281314204</v>
      </c>
      <c r="N1128" s="83" t="s">
        <v>1133</v>
      </c>
      <c r="O1128" s="25">
        <f t="shared" si="36"/>
        <v>2.422885065662217E-2</v>
      </c>
    </row>
    <row r="1129" spans="1:15">
      <c r="A1129" s="84">
        <v>356.82471385973685</v>
      </c>
      <c r="B1129" s="84">
        <v>363.39636999962505</v>
      </c>
      <c r="C1129" s="84">
        <v>355.7169748987983</v>
      </c>
      <c r="D1129" s="84">
        <v>363.3677561122235</v>
      </c>
      <c r="E1129" s="85">
        <v>3488916.0147673138</v>
      </c>
      <c r="F1129" s="83" t="s">
        <v>1134</v>
      </c>
      <c r="G1129" s="25">
        <f t="shared" si="35"/>
        <v>-1.8006667191642345E-2</v>
      </c>
      <c r="I1129" s="84">
        <v>90.473064519732802</v>
      </c>
      <c r="J1129" s="84">
        <v>91.083306957985485</v>
      </c>
      <c r="K1129" s="84">
        <v>89.955283056972974</v>
      </c>
      <c r="L1129" s="84">
        <v>90.657986470718456</v>
      </c>
      <c r="M1129" s="85">
        <v>3970246.8857087945</v>
      </c>
      <c r="N1129" s="83" t="s">
        <v>1134</v>
      </c>
      <c r="O1129" s="25">
        <f t="shared" si="36"/>
        <v>-2.0397756246812726E-3</v>
      </c>
    </row>
    <row r="1130" spans="1:15">
      <c r="A1130" s="84">
        <v>359.9054757366365</v>
      </c>
      <c r="B1130" s="84">
        <v>363.32960426235479</v>
      </c>
      <c r="C1130" s="84">
        <v>359.32366002613844</v>
      </c>
      <c r="D1130" s="84">
        <v>362.14689691642423</v>
      </c>
      <c r="E1130" s="85">
        <v>3063026.3120161286</v>
      </c>
      <c r="F1130" s="83" t="s">
        <v>1135</v>
      </c>
      <c r="G1130" s="25">
        <f t="shared" si="35"/>
        <v>-6.1892596591957005E-3</v>
      </c>
      <c r="I1130" s="84">
        <v>90.288142568747162</v>
      </c>
      <c r="J1130" s="84">
        <v>90.842908421704124</v>
      </c>
      <c r="K1130" s="84">
        <v>89.91829866677584</v>
      </c>
      <c r="L1130" s="84">
        <v>90.001513544719387</v>
      </c>
      <c r="M1130" s="85">
        <v>4098512.8913050671</v>
      </c>
      <c r="N1130" s="83" t="s">
        <v>1135</v>
      </c>
      <c r="O1130" s="25">
        <f t="shared" si="36"/>
        <v>3.1847133757962887E-3</v>
      </c>
    </row>
    <row r="1131" spans="1:15">
      <c r="A1131" s="84">
        <v>363.89234404791847</v>
      </c>
      <c r="B1131" s="84">
        <v>365.06246128339234</v>
      </c>
      <c r="C1131" s="84">
        <v>357.3111499455631</v>
      </c>
      <c r="D1131" s="84">
        <v>358.42709155422335</v>
      </c>
      <c r="E1131" s="85">
        <v>4722846.2216113247</v>
      </c>
      <c r="F1131" s="83" t="s">
        <v>1136</v>
      </c>
      <c r="G1131" s="25">
        <f t="shared" si="35"/>
        <v>1.5247877804092536E-2</v>
      </c>
      <c r="I1131" s="84">
        <v>90.491556714831376</v>
      </c>
      <c r="J1131" s="84">
        <v>90.79667793395771</v>
      </c>
      <c r="K1131" s="84">
        <v>88.577614522129821</v>
      </c>
      <c r="L1131" s="84">
        <v>89.835083788832293</v>
      </c>
      <c r="M1131" s="85">
        <v>4125783.8560181269</v>
      </c>
      <c r="N1131" s="83" t="s">
        <v>1136</v>
      </c>
      <c r="O1131" s="25">
        <f t="shared" si="36"/>
        <v>7.3075339645944926E-3</v>
      </c>
    </row>
    <row r="1132" spans="1:15">
      <c r="A1132" s="84">
        <v>359.25689428886818</v>
      </c>
      <c r="B1132" s="84">
        <v>360.46821552220024</v>
      </c>
      <c r="C1132" s="84">
        <v>357.69266844425033</v>
      </c>
      <c r="D1132" s="84">
        <v>359.17582160789709</v>
      </c>
      <c r="E1132" s="85">
        <v>3019615.5729379803</v>
      </c>
      <c r="F1132" s="83" t="s">
        <v>1137</v>
      </c>
      <c r="G1132" s="25">
        <f t="shared" si="35"/>
        <v>2.2571864834364241E-4</v>
      </c>
      <c r="I1132" s="84">
        <v>90.278896471197868</v>
      </c>
      <c r="J1132" s="84">
        <v>90.602509885422762</v>
      </c>
      <c r="K1132" s="84">
        <v>89.409763301565278</v>
      </c>
      <c r="L1132" s="84">
        <v>89.455993789311691</v>
      </c>
      <c r="M1132" s="85">
        <v>5670518.8021801198</v>
      </c>
      <c r="N1132" s="83" t="s">
        <v>1137</v>
      </c>
      <c r="O1132" s="25">
        <f t="shared" si="36"/>
        <v>9.1989664082687828E-3</v>
      </c>
    </row>
    <row r="1133" spans="1:15">
      <c r="A1133" s="84">
        <v>361.345708069181</v>
      </c>
      <c r="B1133" s="84">
        <v>365.49472174240503</v>
      </c>
      <c r="C1133" s="84">
        <v>360.33468404765972</v>
      </c>
      <c r="D1133" s="84">
        <v>360.75435439621572</v>
      </c>
      <c r="E1133" s="85">
        <v>6786049.9789872542</v>
      </c>
      <c r="F1133" s="83" t="s">
        <v>1138</v>
      </c>
      <c r="G1133" s="25">
        <f t="shared" si="35"/>
        <v>1.6392142347250171E-3</v>
      </c>
      <c r="I1133" s="84">
        <v>89.206349155481064</v>
      </c>
      <c r="J1133" s="84">
        <v>90.417587934437122</v>
      </c>
      <c r="K1133" s="84">
        <v>89.123041816562008</v>
      </c>
      <c r="L1133" s="84">
        <v>89.465239886860985</v>
      </c>
      <c r="M1133" s="85">
        <v>4157758.4267409858</v>
      </c>
      <c r="N1133" s="83" t="s">
        <v>1138</v>
      </c>
      <c r="O1133" s="25">
        <f t="shared" si="36"/>
        <v>-2.8937577511368717E-3</v>
      </c>
    </row>
    <row r="1134" spans="1:15">
      <c r="A1134" s="84">
        <v>365.24673471825832</v>
      </c>
      <c r="B1134" s="84">
        <v>366.64881520093405</v>
      </c>
      <c r="C1134" s="84">
        <v>361.87029600487597</v>
      </c>
      <c r="D1134" s="84">
        <v>363.6348190613046</v>
      </c>
      <c r="E1134" s="85">
        <v>5460208.1083034687</v>
      </c>
      <c r="F1134" s="83" t="s">
        <v>1139</v>
      </c>
      <c r="G1134" s="25">
        <f t="shared" si="35"/>
        <v>4.432786885245843E-3</v>
      </c>
      <c r="I1134" s="84">
        <v>89.650161837846625</v>
      </c>
      <c r="J1134" s="84">
        <v>91.000092080041938</v>
      </c>
      <c r="K1134" s="84">
        <v>89.298902591949386</v>
      </c>
      <c r="L1134" s="84">
        <v>90.879892811901257</v>
      </c>
      <c r="M1134" s="85">
        <v>6527839.4131458588</v>
      </c>
      <c r="N1134" s="83" t="s">
        <v>1139</v>
      </c>
      <c r="O1134" s="25">
        <f t="shared" si="36"/>
        <v>-1.3531386712788862E-2</v>
      </c>
    </row>
    <row r="1135" spans="1:15">
      <c r="A1135" s="84">
        <v>360.08669702351295</v>
      </c>
      <c r="B1135" s="84">
        <v>362.59518115238183</v>
      </c>
      <c r="C1135" s="84">
        <v>352.67570018651276</v>
      </c>
      <c r="D1135" s="84">
        <v>355.23187412771745</v>
      </c>
      <c r="E1135" s="85">
        <v>5181077.2132972674</v>
      </c>
      <c r="F1135" s="83" t="s">
        <v>1140</v>
      </c>
      <c r="G1135" s="25">
        <f t="shared" si="35"/>
        <v>1.3666630866716822E-2</v>
      </c>
      <c r="I1135" s="84">
        <v>91.000092080041938</v>
      </c>
      <c r="J1135" s="84">
        <v>92.45172939527933</v>
      </c>
      <c r="K1135" s="84">
        <v>90.241912081000734</v>
      </c>
      <c r="L1135" s="84">
        <v>92.39625280998365</v>
      </c>
      <c r="M1135" s="85">
        <v>5575382.4492148384</v>
      </c>
      <c r="N1135" s="83" t="s">
        <v>1140</v>
      </c>
      <c r="O1135" s="25">
        <f t="shared" si="36"/>
        <v>-1.5110577404182979E-2</v>
      </c>
    </row>
    <row r="1136" spans="1:15">
      <c r="A1136" s="84">
        <v>356.18567037443563</v>
      </c>
      <c r="B1136" s="84">
        <v>356.28104999910749</v>
      </c>
      <c r="C1136" s="84">
        <v>351.31177155370574</v>
      </c>
      <c r="D1136" s="84">
        <v>351.57883450278683</v>
      </c>
      <c r="E1136" s="85">
        <v>4384255.0381052066</v>
      </c>
      <c r="F1136" s="83" t="s">
        <v>1141</v>
      </c>
      <c r="G1136" s="25">
        <f t="shared" si="35"/>
        <v>1.3103279889314035E-2</v>
      </c>
      <c r="I1136" s="84">
        <v>92.322284029589369</v>
      </c>
      <c r="J1136" s="84">
        <v>92.442483297730064</v>
      </c>
      <c r="K1136" s="84">
        <v>90.824416226605564</v>
      </c>
      <c r="L1136" s="84">
        <v>91.351443786914672</v>
      </c>
      <c r="M1136" s="85">
        <v>4433763.5182293337</v>
      </c>
      <c r="N1136" s="83" t="s">
        <v>1141</v>
      </c>
      <c r="O1136" s="25">
        <f t="shared" si="36"/>
        <v>1.0627530364372362E-2</v>
      </c>
    </row>
    <row r="1137" spans="1:15">
      <c r="A1137" s="84">
        <v>351.19731600409955</v>
      </c>
      <c r="B1137" s="84">
        <v>355.08880469070976</v>
      </c>
      <c r="C1137" s="84">
        <v>350.86348731774825</v>
      </c>
      <c r="D1137" s="84">
        <v>353.04768072273282</v>
      </c>
      <c r="E1137" s="85">
        <v>3439512.3814838594</v>
      </c>
      <c r="F1137" s="83" t="s">
        <v>1142</v>
      </c>
      <c r="G1137" s="25">
        <f t="shared" si="35"/>
        <v>-5.2411184654870269E-3</v>
      </c>
      <c r="I1137" s="84">
        <v>91.268228908971125</v>
      </c>
      <c r="J1137" s="84">
        <v>92.27605354184297</v>
      </c>
      <c r="K1137" s="84">
        <v>90.477687568507449</v>
      </c>
      <c r="L1137" s="84">
        <v>91.998670615364475</v>
      </c>
      <c r="M1137" s="85">
        <v>4983014.6993823908</v>
      </c>
      <c r="N1137" s="83" t="s">
        <v>1142</v>
      </c>
      <c r="O1137" s="25">
        <f t="shared" si="36"/>
        <v>-7.9396984924623437E-3</v>
      </c>
    </row>
    <row r="1138" spans="1:15">
      <c r="A1138" s="84">
        <v>355.64200651380628</v>
      </c>
      <c r="B1138" s="84">
        <v>357.74989621905343</v>
      </c>
      <c r="C1138" s="84">
        <v>353.62949643323094</v>
      </c>
      <c r="D1138" s="84">
        <v>353.7534899453043</v>
      </c>
      <c r="E1138" s="85">
        <v>5818351.6857974716</v>
      </c>
      <c r="F1138" s="83" t="s">
        <v>1143</v>
      </c>
      <c r="G1138" s="25">
        <f t="shared" si="35"/>
        <v>5.3385100703713384E-3</v>
      </c>
      <c r="I1138" s="84">
        <v>92.091131590857302</v>
      </c>
      <c r="J1138" s="84">
        <v>92.960264760489906</v>
      </c>
      <c r="K1138" s="84">
        <v>91.841486957026675</v>
      </c>
      <c r="L1138" s="84">
        <v>92.322284029589369</v>
      </c>
      <c r="M1138" s="85">
        <v>3640230.8996416056</v>
      </c>
      <c r="N1138" s="83" t="s">
        <v>1143</v>
      </c>
      <c r="O1138" s="25">
        <f t="shared" si="36"/>
        <v>-2.5037556334501776E-3</v>
      </c>
    </row>
    <row r="1139" spans="1:15">
      <c r="A1139" s="84">
        <v>354.630982492285</v>
      </c>
      <c r="B1139" s="84">
        <v>354.86943155396455</v>
      </c>
      <c r="C1139" s="84">
        <v>350.62503825606871</v>
      </c>
      <c r="D1139" s="84">
        <v>353.34335755921546</v>
      </c>
      <c r="E1139" s="85">
        <v>3628588.4033496552</v>
      </c>
      <c r="F1139" s="83" t="s">
        <v>1144</v>
      </c>
      <c r="G1139" s="25">
        <f t="shared" si="35"/>
        <v>3.6441181234141418E-3</v>
      </c>
      <c r="I1139" s="84">
        <v>92.692127931560691</v>
      </c>
      <c r="J1139" s="84">
        <v>93.320862564911934</v>
      </c>
      <c r="K1139" s="84">
        <v>91.656565006041006</v>
      </c>
      <c r="L1139" s="84">
        <v>93.089710126179867</v>
      </c>
      <c r="M1139" s="85">
        <v>4653697.3864543904</v>
      </c>
      <c r="N1139" s="83" t="s">
        <v>1144</v>
      </c>
      <c r="O1139" s="25">
        <f t="shared" si="36"/>
        <v>-4.2709574890744673E-3</v>
      </c>
    </row>
    <row r="1140" spans="1:15">
      <c r="A1140" s="84">
        <v>350.88256324268258</v>
      </c>
      <c r="B1140" s="84">
        <v>351.14962619176367</v>
      </c>
      <c r="C1140" s="84">
        <v>344.94995058809553</v>
      </c>
      <c r="D1140" s="84">
        <v>346.97199863113804</v>
      </c>
      <c r="E1140" s="85">
        <v>3209996.9050356876</v>
      </c>
      <c r="F1140" s="83" t="s">
        <v>1145</v>
      </c>
      <c r="G1140" s="25">
        <f t="shared" si="35"/>
        <v>1.1270548133487379E-2</v>
      </c>
      <c r="I1140" s="84">
        <v>92.470221590377918</v>
      </c>
      <c r="J1140" s="84">
        <v>92.470221590377918</v>
      </c>
      <c r="K1140" s="84">
        <v>90.223419885902175</v>
      </c>
      <c r="L1140" s="84">
        <v>91.813748664378821</v>
      </c>
      <c r="M1140" s="85">
        <v>6453846.0341712805</v>
      </c>
      <c r="N1140" s="83" t="s">
        <v>1145</v>
      </c>
      <c r="O1140" s="25">
        <f t="shared" si="36"/>
        <v>7.1500503524675185E-3</v>
      </c>
    </row>
    <row r="1141" spans="1:15">
      <c r="A1141" s="84">
        <v>350.75856973060922</v>
      </c>
      <c r="B1141" s="84">
        <v>351.57883450278683</v>
      </c>
      <c r="C1141" s="84">
        <v>348.53622447575589</v>
      </c>
      <c r="D1141" s="84">
        <v>349.63309015948175</v>
      </c>
      <c r="E1141" s="85">
        <v>2833288.5658738483</v>
      </c>
      <c r="F1141" s="83" t="s">
        <v>1146</v>
      </c>
      <c r="G1141" s="25">
        <f t="shared" si="35"/>
        <v>3.2190304716699369E-3</v>
      </c>
      <c r="I1141" s="84">
        <v>91.970932322716635</v>
      </c>
      <c r="J1141" s="84">
        <v>92.294545736941529</v>
      </c>
      <c r="K1141" s="84">
        <v>86.931809158357467</v>
      </c>
      <c r="L1141" s="84">
        <v>91.416166469759659</v>
      </c>
      <c r="M1141" s="85">
        <v>8985382.163358612</v>
      </c>
      <c r="N1141" s="83" t="s">
        <v>1146</v>
      </c>
      <c r="O1141" s="25">
        <f t="shared" si="36"/>
        <v>6.0685748963285047E-3</v>
      </c>
    </row>
    <row r="1142" spans="1:15">
      <c r="A1142" s="84">
        <v>351.13055026682929</v>
      </c>
      <c r="B1142" s="84">
        <v>352.90461128572514</v>
      </c>
      <c r="C1142" s="84">
        <v>346.84800511906468</v>
      </c>
      <c r="D1142" s="84">
        <v>347.66826989124229</v>
      </c>
      <c r="E1142" s="85">
        <v>3400393.9637626954</v>
      </c>
      <c r="F1142" s="83" t="s">
        <v>1147</v>
      </c>
      <c r="G1142" s="25">
        <f t="shared" si="35"/>
        <v>9.9585745247043889E-3</v>
      </c>
      <c r="I1142" s="84">
        <v>88.993688911847556</v>
      </c>
      <c r="J1142" s="84">
        <v>89.622423545198785</v>
      </c>
      <c r="K1142" s="84">
        <v>87.384867938272336</v>
      </c>
      <c r="L1142" s="84">
        <v>87.653004767201537</v>
      </c>
      <c r="M1142" s="85">
        <v>6150255.2505960288</v>
      </c>
      <c r="N1142" s="83" t="s">
        <v>1147</v>
      </c>
      <c r="O1142" s="25">
        <f t="shared" si="36"/>
        <v>1.5295358649789037E-2</v>
      </c>
    </row>
    <row r="1143" spans="1:15">
      <c r="A1143" s="84">
        <v>346.90523289386778</v>
      </c>
      <c r="B1143" s="84">
        <v>347.09599214321145</v>
      </c>
      <c r="C1143" s="84">
        <v>340.39080452878267</v>
      </c>
      <c r="D1143" s="84">
        <v>341.88826463613015</v>
      </c>
      <c r="E1143" s="85">
        <v>3423227.9810645427</v>
      </c>
      <c r="F1143" s="83" t="s">
        <v>1148</v>
      </c>
      <c r="G1143" s="25">
        <f t="shared" si="35"/>
        <v>1.4674292090947283E-2</v>
      </c>
      <c r="I1143" s="84">
        <v>87.246176475033081</v>
      </c>
      <c r="J1143" s="84">
        <v>87.320145255427349</v>
      </c>
      <c r="K1143" s="84">
        <v>86.303074525006238</v>
      </c>
      <c r="L1143" s="84">
        <v>87.052008426498148</v>
      </c>
      <c r="M1143" s="85">
        <v>8886098.1145902537</v>
      </c>
      <c r="N1143" s="83" t="s">
        <v>1148</v>
      </c>
      <c r="O1143" s="25">
        <f t="shared" si="36"/>
        <v>2.2304832713753164E-3</v>
      </c>
    </row>
    <row r="1144" spans="1:15">
      <c r="A1144" s="84">
        <v>340.63879155292938</v>
      </c>
      <c r="B1144" s="84">
        <v>342.75145023941013</v>
      </c>
      <c r="C1144" s="84">
        <v>339.40839439466293</v>
      </c>
      <c r="D1144" s="84">
        <v>341.2301452258946</v>
      </c>
      <c r="E1144" s="85">
        <v>3685144.5076388125</v>
      </c>
      <c r="F1144" s="83" t="s">
        <v>1149</v>
      </c>
      <c r="G1144" s="25">
        <f t="shared" si="35"/>
        <v>-1.7330053667261591E-3</v>
      </c>
      <c r="I1144" s="84">
        <v>87.135223304441695</v>
      </c>
      <c r="J1144" s="84">
        <v>88.32796988829918</v>
      </c>
      <c r="K1144" s="84">
        <v>87.061254524047428</v>
      </c>
      <c r="L1144" s="84">
        <v>88.050586961820699</v>
      </c>
      <c r="M1144" s="85">
        <v>5019982.7281294493</v>
      </c>
      <c r="N1144" s="83" t="s">
        <v>1149</v>
      </c>
      <c r="O1144" s="25">
        <f t="shared" si="36"/>
        <v>-1.0395883650110238E-2</v>
      </c>
    </row>
    <row r="1145" spans="1:15">
      <c r="A1145" s="84">
        <v>343.10912383192948</v>
      </c>
      <c r="B1145" s="84">
        <v>350.67272806840458</v>
      </c>
      <c r="C1145" s="84">
        <v>342.96605439492168</v>
      </c>
      <c r="D1145" s="84">
        <v>349.72846978415362</v>
      </c>
      <c r="E1145" s="85">
        <v>4122267.21747811</v>
      </c>
      <c r="F1145" s="83" t="s">
        <v>1150</v>
      </c>
      <c r="G1145" s="25">
        <f t="shared" si="35"/>
        <v>-1.8927100662721186E-2</v>
      </c>
      <c r="I1145" s="84">
        <v>88.522137936834113</v>
      </c>
      <c r="J1145" s="84">
        <v>91.221998421224711</v>
      </c>
      <c r="K1145" s="84">
        <v>88.45741525398914</v>
      </c>
      <c r="L1145" s="84">
        <v>91.221998421224711</v>
      </c>
      <c r="M1145" s="85">
        <v>5755682.2990827756</v>
      </c>
      <c r="N1145" s="83" t="s">
        <v>1150</v>
      </c>
      <c r="O1145" s="25">
        <f t="shared" si="36"/>
        <v>-2.9596594364484141E-2</v>
      </c>
    </row>
    <row r="1146" spans="1:15">
      <c r="A1146" s="84">
        <v>348.77467353743543</v>
      </c>
      <c r="B1146" s="84">
        <v>350.72995584320768</v>
      </c>
      <c r="C1146" s="84">
        <v>348.01163654006086</v>
      </c>
      <c r="D1146" s="84">
        <v>349.27064758572885</v>
      </c>
      <c r="E1146" s="85">
        <v>5181403.2787447572</v>
      </c>
      <c r="F1146" s="83" t="s">
        <v>1151</v>
      </c>
      <c r="G1146" s="25">
        <f t="shared" si="35"/>
        <v>-1.4200278543924361E-3</v>
      </c>
      <c r="I1146" s="84">
        <v>91.009338177591218</v>
      </c>
      <c r="J1146" s="84">
        <v>92.137362078603729</v>
      </c>
      <c r="K1146" s="84">
        <v>90.939992445971598</v>
      </c>
      <c r="L1146" s="84">
        <v>91.767518176632407</v>
      </c>
      <c r="M1146" s="85">
        <v>4281913.5088046659</v>
      </c>
      <c r="N1146" s="83" t="s">
        <v>1151</v>
      </c>
      <c r="O1146" s="25">
        <f t="shared" si="36"/>
        <v>-8.261964735516325E-3</v>
      </c>
    </row>
    <row r="1147" spans="1:15">
      <c r="A1147" s="84">
        <v>349.30879943559762</v>
      </c>
      <c r="B1147" s="84">
        <v>349.78541142008265</v>
      </c>
      <c r="C1147" s="84">
        <v>344.76872930121908</v>
      </c>
      <c r="D1147" s="84">
        <v>344.96969417040259</v>
      </c>
      <c r="E1147" s="85">
        <v>3161220.2400403321</v>
      </c>
      <c r="F1147" s="83" t="s">
        <v>1152</v>
      </c>
      <c r="G1147" s="25">
        <f t="shared" si="35"/>
        <v>1.2578221619234942E-2</v>
      </c>
      <c r="I1147" s="84">
        <v>91.240490616323285</v>
      </c>
      <c r="J1147" s="84">
        <v>91.582596225646753</v>
      </c>
      <c r="K1147" s="84">
        <v>90.158697203057201</v>
      </c>
      <c r="L1147" s="84">
        <v>90.371357446690695</v>
      </c>
      <c r="M1147" s="85">
        <v>5373061.4170140596</v>
      </c>
      <c r="N1147" s="83" t="s">
        <v>1152</v>
      </c>
      <c r="O1147" s="25">
        <f t="shared" si="36"/>
        <v>9.6173521587885613E-3</v>
      </c>
    </row>
    <row r="1148" spans="1:15">
      <c r="A1148" s="84">
        <v>347.95440876525777</v>
      </c>
      <c r="B1148" s="84">
        <v>349.23249573586008</v>
      </c>
      <c r="C1148" s="84">
        <v>343.93892656657425</v>
      </c>
      <c r="D1148" s="84">
        <v>347.6396560038408</v>
      </c>
      <c r="E1148" s="85">
        <v>4973242.4680022663</v>
      </c>
      <c r="F1148" s="83" t="s">
        <v>1153</v>
      </c>
      <c r="G1148" s="25">
        <f t="shared" si="35"/>
        <v>9.0539947322199055E-4</v>
      </c>
      <c r="I1148" s="84">
        <v>93.089710126179867</v>
      </c>
      <c r="J1148" s="84">
        <v>93.145186711475546</v>
      </c>
      <c r="K1148" s="84">
        <v>92.026408908012328</v>
      </c>
      <c r="L1148" s="84">
        <v>92.322284029589369</v>
      </c>
      <c r="M1148" s="85">
        <v>4565632.1247956315</v>
      </c>
      <c r="N1148" s="83" t="s">
        <v>1153</v>
      </c>
      <c r="O1148" s="25">
        <f t="shared" si="36"/>
        <v>8.3124687030549094E-3</v>
      </c>
    </row>
    <row r="1149" spans="1:15">
      <c r="A1149" s="84">
        <v>346.65724586972107</v>
      </c>
      <c r="B1149" s="84">
        <v>346.71447364452416</v>
      </c>
      <c r="C1149" s="84">
        <v>343.04235809465922</v>
      </c>
      <c r="D1149" s="84">
        <v>343.7577052796978</v>
      </c>
      <c r="E1149" s="85">
        <v>5987161.3247051556</v>
      </c>
      <c r="F1149" s="83" t="s">
        <v>1154</v>
      </c>
      <c r="G1149" s="25">
        <f t="shared" si="35"/>
        <v>8.4348381010515006E-3</v>
      </c>
      <c r="I1149" s="84">
        <v>92.081885493308036</v>
      </c>
      <c r="J1149" s="84">
        <v>92.766096711954958</v>
      </c>
      <c r="K1149" s="84">
        <v>91.471643055055367</v>
      </c>
      <c r="L1149" s="84">
        <v>92.571928663420024</v>
      </c>
      <c r="M1149" s="85">
        <v>4887111.5364237893</v>
      </c>
      <c r="N1149" s="83" t="s">
        <v>1154</v>
      </c>
      <c r="O1149" s="25">
        <f t="shared" si="36"/>
        <v>-5.2936476228525597E-3</v>
      </c>
    </row>
    <row r="1150" spans="1:15">
      <c r="A1150" s="84">
        <v>342.28885905975181</v>
      </c>
      <c r="B1150" s="84">
        <v>342.36516275948924</v>
      </c>
      <c r="C1150" s="84">
        <v>338.55951573508372</v>
      </c>
      <c r="D1150" s="84">
        <v>339.39885643219571</v>
      </c>
      <c r="E1150" s="85">
        <v>3665058.4566966761</v>
      </c>
      <c r="F1150" s="83" t="s">
        <v>1155</v>
      </c>
      <c r="G1150" s="25">
        <f t="shared" si="35"/>
        <v>8.5150629496404395E-3</v>
      </c>
      <c r="I1150" s="84">
        <v>92.387006712434356</v>
      </c>
      <c r="J1150" s="84">
        <v>93.459554028151175</v>
      </c>
      <c r="K1150" s="84">
        <v>91.5548579329989</v>
      </c>
      <c r="L1150" s="84">
        <v>91.924701834970222</v>
      </c>
      <c r="M1150" s="85">
        <v>5085236.2036399683</v>
      </c>
      <c r="N1150" s="83" t="s">
        <v>1155</v>
      </c>
      <c r="O1150" s="25">
        <f t="shared" si="36"/>
        <v>5.0291691812511807E-3</v>
      </c>
    </row>
    <row r="1151" spans="1:15">
      <c r="A1151" s="84">
        <v>339.86621659308764</v>
      </c>
      <c r="B1151" s="84">
        <v>345.01671632536579</v>
      </c>
      <c r="C1151" s="84">
        <v>339.76263432069408</v>
      </c>
      <c r="D1151" s="84">
        <v>342.1553275852113</v>
      </c>
      <c r="E1151" s="85">
        <v>3958205.9721771139</v>
      </c>
      <c r="F1151" s="83" t="s">
        <v>1156</v>
      </c>
      <c r="G1151" s="25">
        <f t="shared" si="35"/>
        <v>-6.6902684470214746E-3</v>
      </c>
      <c r="I1151" s="84">
        <v>92.091131590857302</v>
      </c>
      <c r="J1151" s="84">
        <v>95.031390611529261</v>
      </c>
      <c r="K1151" s="84">
        <v>91.332951591816112</v>
      </c>
      <c r="L1151" s="84">
        <v>94.985160123782848</v>
      </c>
      <c r="M1151" s="85">
        <v>6897238.5009009847</v>
      </c>
      <c r="N1151" s="83" t="s">
        <v>1156</v>
      </c>
      <c r="O1151" s="25">
        <f t="shared" si="36"/>
        <v>-3.046821765793839E-2</v>
      </c>
    </row>
    <row r="1152" spans="1:15">
      <c r="A1152" s="84">
        <v>340.11420361723435</v>
      </c>
      <c r="B1152" s="84">
        <v>341.14430356369002</v>
      </c>
      <c r="C1152" s="84">
        <v>332.62680770087201</v>
      </c>
      <c r="D1152" s="84">
        <v>335.34522238364349</v>
      </c>
      <c r="E1152" s="85">
        <v>3632617.5657763504</v>
      </c>
      <c r="F1152" s="83" t="s">
        <v>1157</v>
      </c>
      <c r="G1152" s="25">
        <f t="shared" si="35"/>
        <v>1.4221109815409916E-2</v>
      </c>
      <c r="I1152" s="84">
        <v>94.735515489952206</v>
      </c>
      <c r="J1152" s="84">
        <v>96.113184024795359</v>
      </c>
      <c r="K1152" s="84">
        <v>93.662968174235388</v>
      </c>
      <c r="L1152" s="84">
        <v>94.217734027192378</v>
      </c>
      <c r="M1152" s="85">
        <v>6934505.0339613818</v>
      </c>
      <c r="N1152" s="83" t="s">
        <v>1157</v>
      </c>
      <c r="O1152" s="25">
        <f t="shared" si="36"/>
        <v>5.4955839057899691E-3</v>
      </c>
    </row>
    <row r="1153" spans="1:15">
      <c r="A1153" s="84">
        <v>332.55059938075925</v>
      </c>
      <c r="B1153" s="84">
        <v>334.59172334873614</v>
      </c>
      <c r="C1153" s="84">
        <v>331.97832163272835</v>
      </c>
      <c r="D1153" s="84">
        <v>334.52495761146588</v>
      </c>
      <c r="E1153" s="85">
        <v>3372353.3837205488</v>
      </c>
      <c r="F1153" s="83" t="s">
        <v>1158</v>
      </c>
      <c r="G1153" s="25">
        <f t="shared" si="35"/>
        <v>-5.9019758788811938E-3</v>
      </c>
      <c r="I1153" s="84">
        <v>93.274632077165506</v>
      </c>
      <c r="J1153" s="84">
        <v>93.810905735023908</v>
      </c>
      <c r="K1153" s="84">
        <v>92.146608176153009</v>
      </c>
      <c r="L1153" s="84">
        <v>92.710620126659251</v>
      </c>
      <c r="M1153" s="85">
        <v>5372160.4963872116</v>
      </c>
      <c r="N1153" s="83" t="s">
        <v>1158</v>
      </c>
      <c r="O1153" s="25">
        <f t="shared" si="36"/>
        <v>6.0835743492571037E-3</v>
      </c>
    </row>
    <row r="1154" spans="1:15">
      <c r="A1154" s="84">
        <v>336.22271493062419</v>
      </c>
      <c r="B1154" s="84">
        <v>338.18133552325997</v>
      </c>
      <c r="C1154" s="84">
        <v>333.06564935398706</v>
      </c>
      <c r="D1154" s="84">
        <v>335.8316584694698</v>
      </c>
      <c r="E1154" s="85">
        <v>3270181.6669253637</v>
      </c>
      <c r="F1154" s="83" t="s">
        <v>1159</v>
      </c>
      <c r="G1154" s="25">
        <f t="shared" si="35"/>
        <v>1.1644419199088318E-3</v>
      </c>
      <c r="I1154" s="84">
        <v>93.237647686968387</v>
      </c>
      <c r="J1154" s="84">
        <v>94.402655978178018</v>
      </c>
      <c r="K1154" s="84">
        <v>92.840065492349211</v>
      </c>
      <c r="L1154" s="84">
        <v>92.932526467842052</v>
      </c>
      <c r="M1154" s="85">
        <v>6094809.1559309596</v>
      </c>
      <c r="N1154" s="83" t="s">
        <v>1159</v>
      </c>
      <c r="O1154" s="25">
        <f t="shared" si="36"/>
        <v>3.2832553974728729E-3</v>
      </c>
    </row>
    <row r="1155" spans="1:15">
      <c r="A1155" s="84">
        <v>333.8191483888944</v>
      </c>
      <c r="B1155" s="84">
        <v>338.63801316618867</v>
      </c>
      <c r="C1155" s="84">
        <v>331.14851889808352</v>
      </c>
      <c r="D1155" s="84">
        <v>336.86271221217208</v>
      </c>
      <c r="E1155" s="85">
        <v>5197476.9423314519</v>
      </c>
      <c r="F1155" s="83" t="s">
        <v>1160</v>
      </c>
      <c r="G1155" s="25">
        <f t="shared" si="35"/>
        <v>-9.0350273655717128E-3</v>
      </c>
      <c r="I1155" s="84">
        <v>93.209909394320533</v>
      </c>
      <c r="J1155" s="84">
        <v>93.593622442615768</v>
      </c>
      <c r="K1155" s="84">
        <v>92.548813419546804</v>
      </c>
      <c r="L1155" s="84">
        <v>93.376339150207627</v>
      </c>
      <c r="M1155" s="85">
        <v>3820351.2143065934</v>
      </c>
      <c r="N1155" s="83" t="s">
        <v>1160</v>
      </c>
      <c r="O1155" s="25">
        <f t="shared" si="36"/>
        <v>-1.7823546885830099E-3</v>
      </c>
    </row>
    <row r="1156" spans="1:15">
      <c r="A1156" s="84">
        <v>335.10677332196394</v>
      </c>
      <c r="B1156" s="84">
        <v>335.24984275897168</v>
      </c>
      <c r="C1156" s="84">
        <v>331.69552104557641</v>
      </c>
      <c r="D1156" s="84">
        <v>333.62838913955079</v>
      </c>
      <c r="E1156" s="85">
        <v>5583422.0551022384</v>
      </c>
      <c r="F1156" s="83" t="s">
        <v>1161</v>
      </c>
      <c r="G1156" s="25">
        <f t="shared" si="35"/>
        <v>4.4312301666713516E-3</v>
      </c>
      <c r="I1156" s="84">
        <v>93.311616467362654</v>
      </c>
      <c r="J1156" s="84">
        <v>93.394831345306201</v>
      </c>
      <c r="K1156" s="84">
        <v>92.257561346744396</v>
      </c>
      <c r="L1156" s="84">
        <v>92.719866224208545</v>
      </c>
      <c r="M1156" s="85">
        <v>3227463.2450005393</v>
      </c>
      <c r="N1156" s="83" t="s">
        <v>1161</v>
      </c>
      <c r="O1156" s="25">
        <f t="shared" si="36"/>
        <v>6.3821300358994915E-3</v>
      </c>
    </row>
    <row r="1157" spans="1:15">
      <c r="A1157" s="84">
        <v>336.03195568128058</v>
      </c>
      <c r="B1157" s="84">
        <v>336.80929962235587</v>
      </c>
      <c r="C1157" s="84">
        <v>332.3693780938828</v>
      </c>
      <c r="D1157" s="84">
        <v>332.7890484424388</v>
      </c>
      <c r="E1157" s="85">
        <v>4284536.6754808435</v>
      </c>
      <c r="F1157" s="83" t="s">
        <v>1162</v>
      </c>
      <c r="G1157" s="25">
        <f t="shared" si="35"/>
        <v>9.7446332865207541E-3</v>
      </c>
      <c r="I1157" s="84">
        <v>92.766096711954958</v>
      </c>
      <c r="J1157" s="84">
        <v>93.015741345785585</v>
      </c>
      <c r="K1157" s="84">
        <v>91.610334518294593</v>
      </c>
      <c r="L1157" s="84">
        <v>91.749025981533848</v>
      </c>
      <c r="M1157" s="85">
        <v>3180393.6572441612</v>
      </c>
      <c r="N1157" s="83" t="s">
        <v>1162</v>
      </c>
      <c r="O1157" s="25">
        <f t="shared" si="36"/>
        <v>1.1085357250831374E-2</v>
      </c>
    </row>
    <row r="1158" spans="1:15">
      <c r="A1158" s="84">
        <v>330.17564672643101</v>
      </c>
      <c r="B1158" s="84">
        <v>335.92703809414155</v>
      </c>
      <c r="C1158" s="84">
        <v>329.91812173981702</v>
      </c>
      <c r="D1158" s="84">
        <v>334.22928077498324</v>
      </c>
      <c r="E1158" s="85">
        <v>4680920.0763391089</v>
      </c>
      <c r="F1158" s="83" t="s">
        <v>1163</v>
      </c>
      <c r="G1158" s="25">
        <f t="shared" si="35"/>
        <v>-1.2128303179042232E-2</v>
      </c>
      <c r="I1158" s="84">
        <v>91.6658111035903</v>
      </c>
      <c r="J1158" s="84">
        <v>92.775342809504238</v>
      </c>
      <c r="K1158" s="84">
        <v>91.638072810942447</v>
      </c>
      <c r="L1158" s="84">
        <v>92.229823054096556</v>
      </c>
      <c r="M1158" s="85">
        <v>2615950.1206945404</v>
      </c>
      <c r="N1158" s="83" t="s">
        <v>1163</v>
      </c>
      <c r="O1158" s="25">
        <f t="shared" si="36"/>
        <v>-6.115288220551407E-3</v>
      </c>
    </row>
    <row r="1159" spans="1:15">
      <c r="A1159" s="84">
        <v>334.27697058731917</v>
      </c>
      <c r="B1159" s="84">
        <v>335.77443069466671</v>
      </c>
      <c r="C1159" s="84">
        <v>332.7318206676357</v>
      </c>
      <c r="D1159" s="84">
        <v>335.50736774558555</v>
      </c>
      <c r="E1159" s="85">
        <v>4511671.1402529739</v>
      </c>
      <c r="F1159" s="83" t="s">
        <v>1164</v>
      </c>
      <c r="G1159" s="25">
        <f t="shared" si="35"/>
        <v>-3.6672731407776382E-3</v>
      </c>
      <c r="I1159" s="84">
        <v>92.146608176153009</v>
      </c>
      <c r="J1159" s="84">
        <v>92.682881834011411</v>
      </c>
      <c r="K1159" s="84">
        <v>91.839175432639351</v>
      </c>
      <c r="L1159" s="84">
        <v>92.091131590857302</v>
      </c>
      <c r="M1159" s="85">
        <v>2812246.9897602117</v>
      </c>
      <c r="N1159" s="83" t="s">
        <v>1164</v>
      </c>
      <c r="O1159" s="25">
        <f t="shared" si="36"/>
        <v>6.0240963855440199E-4</v>
      </c>
    </row>
    <row r="1160" spans="1:15">
      <c r="A1160" s="84">
        <v>335.61228533272458</v>
      </c>
      <c r="B1160" s="84">
        <v>335.68658606034393</v>
      </c>
      <c r="C1160" s="84">
        <v>331.30112629755843</v>
      </c>
      <c r="D1160" s="84">
        <v>332.80812436737313</v>
      </c>
      <c r="E1160" s="85">
        <v>4793456.6902850391</v>
      </c>
      <c r="F1160" s="83" t="s">
        <v>1165</v>
      </c>
      <c r="G1160" s="25">
        <f t="shared" si="35"/>
        <v>8.4257587481730845E-3</v>
      </c>
      <c r="I1160" s="84">
        <v>91.813748664378821</v>
      </c>
      <c r="J1160" s="84">
        <v>91.915455737420928</v>
      </c>
      <c r="K1160" s="84">
        <v>90.639494275619896</v>
      </c>
      <c r="L1160" s="84">
        <v>91.083306957985485</v>
      </c>
      <c r="M1160" s="85">
        <v>2292217.8667305792</v>
      </c>
      <c r="N1160" s="83" t="s">
        <v>1165</v>
      </c>
      <c r="O1160" s="25">
        <f t="shared" si="36"/>
        <v>8.0194904070651774E-3</v>
      </c>
    </row>
    <row r="1161" spans="1:15">
      <c r="A1161" s="84">
        <v>333.74284468915698</v>
      </c>
      <c r="B1161" s="84">
        <v>335.97472790647748</v>
      </c>
      <c r="C1161" s="84">
        <v>328.43019959493671</v>
      </c>
      <c r="D1161" s="84">
        <v>335.71720291986361</v>
      </c>
      <c r="E1161" s="85">
        <v>6775276.1894747065</v>
      </c>
      <c r="F1161" s="83" t="s">
        <v>1166</v>
      </c>
      <c r="G1161" s="25">
        <f t="shared" si="35"/>
        <v>-5.8810159668163386E-3</v>
      </c>
      <c r="I1161" s="84">
        <v>91.083306957985485</v>
      </c>
      <c r="J1161" s="84">
        <v>92.100377688406596</v>
      </c>
      <c r="K1161" s="84">
        <v>89.668654032945199</v>
      </c>
      <c r="L1161" s="84">
        <v>91.961686225167341</v>
      </c>
      <c r="M1161" s="85">
        <v>3423717.9341088911</v>
      </c>
      <c r="N1161" s="83" t="s">
        <v>1166</v>
      </c>
      <c r="O1161" s="25">
        <f t="shared" si="36"/>
        <v>-9.551578524029547E-3</v>
      </c>
    </row>
    <row r="1162" spans="1:15">
      <c r="A1162" s="84">
        <v>338.50228796028063</v>
      </c>
      <c r="B1162" s="84">
        <v>339.50530009332948</v>
      </c>
      <c r="C1162" s="84">
        <v>335.45013997078246</v>
      </c>
      <c r="D1162" s="84">
        <v>335.92703809414155</v>
      </c>
      <c r="E1162" s="85">
        <v>4018099.2672037603</v>
      </c>
      <c r="F1162" s="83" t="s">
        <v>1167</v>
      </c>
      <c r="G1162" s="25">
        <f t="shared" si="35"/>
        <v>7.6660988074956915E-3</v>
      </c>
      <c r="I1162" s="84">
        <v>92.239069151645836</v>
      </c>
      <c r="J1162" s="84">
        <v>92.322284029589369</v>
      </c>
      <c r="K1162" s="84">
        <v>91.258982811421859</v>
      </c>
      <c r="L1162" s="84">
        <v>91.5548579329989</v>
      </c>
      <c r="M1162" s="85">
        <v>3904402.8907958032</v>
      </c>
      <c r="N1162" s="83" t="s">
        <v>1167</v>
      </c>
      <c r="O1162" s="25">
        <f t="shared" si="36"/>
        <v>7.473237729751725E-3</v>
      </c>
    </row>
    <row r="1163" spans="1:15">
      <c r="A1163" s="84">
        <v>333.5139335899446</v>
      </c>
      <c r="B1163" s="84">
        <v>334.93985897878827</v>
      </c>
      <c r="C1163" s="84">
        <v>331.1656872305245</v>
      </c>
      <c r="D1163" s="84">
        <v>332.35030216894842</v>
      </c>
      <c r="E1163" s="85">
        <v>5313723.9923502607</v>
      </c>
      <c r="F1163" s="83" t="s">
        <v>1168</v>
      </c>
      <c r="G1163" s="25">
        <f t="shared" si="35"/>
        <v>3.5012196871861967E-3</v>
      </c>
      <c r="I1163" s="84">
        <v>90.77818573885915</v>
      </c>
      <c r="J1163" s="84">
        <v>91.499381347703206</v>
      </c>
      <c r="K1163" s="84">
        <v>89.955283056972974</v>
      </c>
      <c r="L1163" s="84">
        <v>90.05699013001508</v>
      </c>
      <c r="M1163" s="85">
        <v>4225595.6950216619</v>
      </c>
      <c r="N1163" s="83" t="s">
        <v>1168</v>
      </c>
      <c r="O1163" s="25">
        <f t="shared" si="36"/>
        <v>8.0082135523613651E-3</v>
      </c>
    </row>
    <row r="1164" spans="1:15">
      <c r="A1164" s="84">
        <v>333.00680014123066</v>
      </c>
      <c r="B1164" s="84">
        <v>336.35765674309073</v>
      </c>
      <c r="C1164" s="84">
        <v>331.5259683285106</v>
      </c>
      <c r="D1164" s="84">
        <v>336.15831399907074</v>
      </c>
      <c r="E1164" s="85">
        <v>5834587.5377499117</v>
      </c>
      <c r="F1164" s="83" t="s">
        <v>1169</v>
      </c>
      <c r="G1164" s="25">
        <f t="shared" si="35"/>
        <v>-9.3750882444300077E-3</v>
      </c>
      <c r="I1164" s="84">
        <v>90.186435495705041</v>
      </c>
      <c r="J1164" s="84">
        <v>91.721287688885994</v>
      </c>
      <c r="K1164" s="84">
        <v>89.798099398635159</v>
      </c>
      <c r="L1164" s="84">
        <v>91.074060860436191</v>
      </c>
      <c r="M1164" s="85">
        <v>5118603.7944917362</v>
      </c>
      <c r="N1164" s="83" t="s">
        <v>1169</v>
      </c>
      <c r="O1164" s="25">
        <f t="shared" si="36"/>
        <v>-9.7461928934009512E-3</v>
      </c>
    </row>
    <row r="1165" spans="1:15">
      <c r="A1165" s="84">
        <v>335.90201618533075</v>
      </c>
      <c r="B1165" s="84">
        <v>338.72129213647082</v>
      </c>
      <c r="C1165" s="84">
        <v>333.93706627999069</v>
      </c>
      <c r="D1165" s="84">
        <v>337.6002265141488</v>
      </c>
      <c r="E1165" s="85">
        <v>4775421.0702771358</v>
      </c>
      <c r="F1165" s="83" t="s">
        <v>1170</v>
      </c>
      <c r="G1165" s="25">
        <f t="shared" si="35"/>
        <v>-5.0302404899211783E-3</v>
      </c>
      <c r="I1165" s="84">
        <v>90.926123299647671</v>
      </c>
      <c r="J1165" s="84">
        <v>91.194260128576872</v>
      </c>
      <c r="K1165" s="84">
        <v>89.003952080127249</v>
      </c>
      <c r="L1165" s="84">
        <v>90.112466715310774</v>
      </c>
      <c r="M1165" s="85">
        <v>8231364.5940176155</v>
      </c>
      <c r="N1165" s="83" t="s">
        <v>1170</v>
      </c>
      <c r="O1165" s="25">
        <f t="shared" si="36"/>
        <v>9.0293453724605843E-3</v>
      </c>
    </row>
    <row r="1166" spans="1:15">
      <c r="A1166" s="84">
        <v>339.95531864707084</v>
      </c>
      <c r="B1166" s="84">
        <v>344.80599208489105</v>
      </c>
      <c r="C1166" s="84">
        <v>338.37006920653079</v>
      </c>
      <c r="D1166" s="84">
        <v>344.075068690151</v>
      </c>
      <c r="E1166" s="85">
        <v>5400838.2662373148</v>
      </c>
      <c r="F1166" s="83" t="s">
        <v>1171</v>
      </c>
      <c r="G1166" s="25">
        <f t="shared" si="35"/>
        <v>-1.1973404695561074E-2</v>
      </c>
      <c r="I1166" s="84">
        <v>91.064814762886911</v>
      </c>
      <c r="J1166" s="84">
        <v>92.26680744429369</v>
      </c>
      <c r="K1166" s="84">
        <v>89.964529154522253</v>
      </c>
      <c r="L1166" s="84">
        <v>92.229823054096556</v>
      </c>
      <c r="M1166" s="85">
        <v>5238416.5040262491</v>
      </c>
      <c r="N1166" s="83" t="s">
        <v>1171</v>
      </c>
      <c r="O1166" s="25">
        <f t="shared" si="36"/>
        <v>-1.2631578947368438E-2</v>
      </c>
    </row>
    <row r="1167" spans="1:15">
      <c r="A1167" s="84">
        <v>348.52705663993117</v>
      </c>
      <c r="B1167" s="84">
        <v>353.88083319361135</v>
      </c>
      <c r="C1167" s="84">
        <v>345.76473575851105</v>
      </c>
      <c r="D1167" s="84">
        <v>350.36860389421122</v>
      </c>
      <c r="E1167" s="85">
        <v>4958766.6451546038</v>
      </c>
      <c r="F1167" s="83" t="s">
        <v>1172</v>
      </c>
      <c r="G1167" s="25">
        <f t="shared" si="35"/>
        <v>-5.2560281766458328E-3</v>
      </c>
      <c r="I1167" s="84">
        <v>92.41474500508221</v>
      </c>
      <c r="J1167" s="84">
        <v>93.29312427226408</v>
      </c>
      <c r="K1167" s="84">
        <v>91.924701834970222</v>
      </c>
      <c r="L1167" s="84">
        <v>92.729112321757839</v>
      </c>
      <c r="M1167" s="85">
        <v>5341820.128626138</v>
      </c>
      <c r="N1167" s="83" t="s">
        <v>1172</v>
      </c>
      <c r="O1167" s="25">
        <f t="shared" si="36"/>
        <v>-3.3901685113173485E-3</v>
      </c>
    </row>
    <row r="1168" spans="1:15">
      <c r="A1168" s="84">
        <v>350.64388673119117</v>
      </c>
      <c r="B1168" s="84">
        <v>358.04804579479145</v>
      </c>
      <c r="C1168" s="84">
        <v>348.1862754727731</v>
      </c>
      <c r="D1168" s="84">
        <v>357.97210570183148</v>
      </c>
      <c r="E1168" s="85">
        <v>6491248.3088430529</v>
      </c>
      <c r="F1168" s="83" t="s">
        <v>1173</v>
      </c>
      <c r="G1168" s="25">
        <f t="shared" si="35"/>
        <v>-2.0471480469889669E-2</v>
      </c>
      <c r="I1168" s="84">
        <v>92.359268419786517</v>
      </c>
      <c r="J1168" s="84">
        <v>94.273210612488057</v>
      </c>
      <c r="K1168" s="84">
        <v>92.146608176153009</v>
      </c>
      <c r="L1168" s="84">
        <v>93.912612808066029</v>
      </c>
      <c r="M1168" s="85">
        <v>7677459.5575736482</v>
      </c>
      <c r="N1168" s="83" t="s">
        <v>1173</v>
      </c>
      <c r="O1168" s="25">
        <f t="shared" si="36"/>
        <v>-1.6540317022742834E-2</v>
      </c>
    </row>
    <row r="1169" spans="1:15">
      <c r="A1169" s="84">
        <v>348.07141608217114</v>
      </c>
      <c r="B1169" s="84">
        <v>348.07141608217114</v>
      </c>
      <c r="C1169" s="84">
        <v>343.23023515597095</v>
      </c>
      <c r="D1169" s="84">
        <v>343.89471096937098</v>
      </c>
      <c r="E1169" s="85">
        <v>3103726.5140581476</v>
      </c>
      <c r="F1169" s="83" t="s">
        <v>1174</v>
      </c>
      <c r="G1169" s="25">
        <f t="shared" si="35"/>
        <v>1.2145301976371981E-2</v>
      </c>
      <c r="I1169" s="84">
        <v>92.054147200660182</v>
      </c>
      <c r="J1169" s="84">
        <v>92.100377688406596</v>
      </c>
      <c r="K1169" s="84">
        <v>91.074060860436191</v>
      </c>
      <c r="L1169" s="84">
        <v>91.166521835929018</v>
      </c>
      <c r="M1169" s="85">
        <v>4951982.1477063317</v>
      </c>
      <c r="N1169" s="83" t="s">
        <v>1174</v>
      </c>
      <c r="O1169" s="25">
        <f t="shared" si="36"/>
        <v>9.7363083164301312E-3</v>
      </c>
    </row>
    <row r="1170" spans="1:15">
      <c r="A1170" s="84">
        <v>343.17328008625094</v>
      </c>
      <c r="B1170" s="84">
        <v>346.89453449152347</v>
      </c>
      <c r="C1170" s="84">
        <v>343.00269965243956</v>
      </c>
      <c r="D1170" s="84">
        <v>344.57817180601103</v>
      </c>
      <c r="E1170" s="85">
        <v>4499710.0567150675</v>
      </c>
      <c r="F1170" s="83" t="s">
        <v>1175</v>
      </c>
      <c r="G1170" s="25">
        <f t="shared" si="35"/>
        <v>-4.077134986225972E-3</v>
      </c>
      <c r="I1170" s="84">
        <v>90.861400616802683</v>
      </c>
      <c r="J1170" s="84">
        <v>92.775342809504238</v>
      </c>
      <c r="K1170" s="84">
        <v>90.824416226605564</v>
      </c>
      <c r="L1170" s="84">
        <v>91.758272079083127</v>
      </c>
      <c r="M1170" s="85">
        <v>3599805.195931721</v>
      </c>
      <c r="N1170" s="83" t="s">
        <v>1175</v>
      </c>
      <c r="O1170" s="25">
        <f t="shared" si="36"/>
        <v>-9.7742845626763719E-3</v>
      </c>
    </row>
    <row r="1171" spans="1:15">
      <c r="A1171" s="84">
        <v>345.69828817717104</v>
      </c>
      <c r="B1171" s="84">
        <v>346.61906180431106</v>
      </c>
      <c r="C1171" s="84">
        <v>343.24922017921102</v>
      </c>
      <c r="D1171" s="84">
        <v>344.70157445707099</v>
      </c>
      <c r="E1171" s="85">
        <v>3797220.5295018484</v>
      </c>
      <c r="F1171" s="83" t="s">
        <v>1176</v>
      </c>
      <c r="G1171" s="25">
        <f t="shared" si="35"/>
        <v>2.8915264505824378E-3</v>
      </c>
      <c r="I1171" s="84">
        <v>91.989424517815195</v>
      </c>
      <c r="J1171" s="84">
        <v>92.719866224208545</v>
      </c>
      <c r="K1171" s="84">
        <v>91.707418542562067</v>
      </c>
      <c r="L1171" s="84">
        <v>92.128115981054435</v>
      </c>
      <c r="M1171" s="85">
        <v>3006805.8282768489</v>
      </c>
      <c r="N1171" s="83" t="s">
        <v>1176</v>
      </c>
      <c r="O1171" s="25">
        <f t="shared" si="36"/>
        <v>-1.5054195102368606E-3</v>
      </c>
    </row>
    <row r="1172" spans="1:15">
      <c r="A1172" s="84">
        <v>342.99292236547097</v>
      </c>
      <c r="B1172" s="84">
        <v>345.15721501483102</v>
      </c>
      <c r="C1172" s="84">
        <v>342.02468618023096</v>
      </c>
      <c r="D1172" s="84">
        <v>342.72713204011097</v>
      </c>
      <c r="E1172" s="85">
        <v>3516431.8292400399</v>
      </c>
      <c r="F1172" s="83" t="s">
        <v>1177</v>
      </c>
      <c r="G1172" s="25">
        <f t="shared" si="35"/>
        <v>7.7551585652946287E-4</v>
      </c>
      <c r="I1172" s="84">
        <v>91.573350128097474</v>
      </c>
      <c r="J1172" s="84">
        <v>92.118869883505155</v>
      </c>
      <c r="K1172" s="84">
        <v>91.046322567788337</v>
      </c>
      <c r="L1172" s="84">
        <v>91.434658664858219</v>
      </c>
      <c r="M1172" s="85">
        <v>3483348.4968475201</v>
      </c>
      <c r="N1172" s="83" t="s">
        <v>1177</v>
      </c>
      <c r="O1172" s="25">
        <f t="shared" si="36"/>
        <v>1.5168368894733497E-3</v>
      </c>
    </row>
    <row r="1173" spans="1:15">
      <c r="A1173" s="84">
        <v>343.65739817887095</v>
      </c>
      <c r="B1173" s="84">
        <v>348.95421966283118</v>
      </c>
      <c r="C1173" s="84">
        <v>341.66491998983292</v>
      </c>
      <c r="D1173" s="84">
        <v>348.4606090585911</v>
      </c>
      <c r="E1173" s="85">
        <v>4120131.9066701075</v>
      </c>
      <c r="F1173" s="83" t="s">
        <v>1178</v>
      </c>
      <c r="G1173" s="25">
        <f t="shared" si="35"/>
        <v>-1.3784085646571742E-2</v>
      </c>
      <c r="I1173" s="84">
        <v>91.286721104069699</v>
      </c>
      <c r="J1173" s="84">
        <v>93.838644027671762</v>
      </c>
      <c r="K1173" s="84">
        <v>90.770326555942248</v>
      </c>
      <c r="L1173" s="84">
        <v>93.681460369333948</v>
      </c>
      <c r="M1173" s="85">
        <v>4120300.4615666014</v>
      </c>
      <c r="N1173" s="83" t="s">
        <v>1178</v>
      </c>
      <c r="O1173" s="25">
        <f t="shared" si="36"/>
        <v>-2.5562574022897633E-2</v>
      </c>
    </row>
    <row r="1174" spans="1:15">
      <c r="A1174" s="84">
        <v>348.69792184909113</v>
      </c>
      <c r="B1174" s="84">
        <v>353.3017899847913</v>
      </c>
      <c r="C1174" s="84">
        <v>347.41643278039112</v>
      </c>
      <c r="D1174" s="84">
        <v>352.43797142737122</v>
      </c>
      <c r="E1174" s="85">
        <v>3905176.1518938034</v>
      </c>
      <c r="F1174" s="83" t="s">
        <v>1179</v>
      </c>
      <c r="G1174" s="25">
        <f t="shared" si="35"/>
        <v>-1.061193708252528E-2</v>
      </c>
      <c r="I1174" s="84">
        <v>93.089710126179867</v>
      </c>
      <c r="J1174" s="84">
        <v>93.653722076686122</v>
      </c>
      <c r="K1174" s="84">
        <v>91.998670615364475</v>
      </c>
      <c r="L1174" s="84">
        <v>92.220576956547262</v>
      </c>
      <c r="M1174" s="85">
        <v>4901579.2617843524</v>
      </c>
      <c r="N1174" s="83" t="s">
        <v>1179</v>
      </c>
      <c r="O1174" s="25">
        <f t="shared" si="36"/>
        <v>9.4245037096452045E-3</v>
      </c>
    </row>
    <row r="1175" spans="1:15">
      <c r="A1175" s="84">
        <v>355.01993458801132</v>
      </c>
      <c r="B1175" s="84">
        <v>355.85527561057137</v>
      </c>
      <c r="C1175" s="84">
        <v>350.90018454493122</v>
      </c>
      <c r="D1175" s="84">
        <v>350.90018454493122</v>
      </c>
      <c r="E1175" s="85">
        <v>3788232.3919661264</v>
      </c>
      <c r="F1175" s="83" t="s">
        <v>1180</v>
      </c>
      <c r="G1175" s="25">
        <f t="shared" si="35"/>
        <v>1.1740518314126369E-2</v>
      </c>
      <c r="I1175" s="84">
        <v>93.394831345306201</v>
      </c>
      <c r="J1175" s="84">
        <v>93.524276710996162</v>
      </c>
      <c r="K1175" s="84">
        <v>91.240490616323285</v>
      </c>
      <c r="L1175" s="84">
        <v>91.240490616323285</v>
      </c>
      <c r="M1175" s="85">
        <v>4693497.9615660543</v>
      </c>
      <c r="N1175" s="83" t="s">
        <v>1180</v>
      </c>
      <c r="O1175" s="25">
        <f t="shared" si="36"/>
        <v>2.3611674098094948E-2</v>
      </c>
    </row>
    <row r="1176" spans="1:15">
      <c r="A1176" s="84">
        <v>355.53253021549136</v>
      </c>
      <c r="B1176" s="84">
        <v>357.86768807401143</v>
      </c>
      <c r="C1176" s="84">
        <v>353.16889482211133</v>
      </c>
      <c r="D1176" s="84">
        <v>356.79503426095141</v>
      </c>
      <c r="E1176" s="85">
        <v>4855014.336026541</v>
      </c>
      <c r="F1176" s="83" t="s">
        <v>1181</v>
      </c>
      <c r="G1176" s="25">
        <f t="shared" si="35"/>
        <v>-3.5384574453933837E-3</v>
      </c>
      <c r="I1176" s="84">
        <v>91.998670615364475</v>
      </c>
      <c r="J1176" s="84">
        <v>92.42399110263149</v>
      </c>
      <c r="K1176" s="84">
        <v>91.046322567788337</v>
      </c>
      <c r="L1176" s="84">
        <v>91.647318908491741</v>
      </c>
      <c r="M1176" s="85">
        <v>4417256.0133942971</v>
      </c>
      <c r="N1176" s="83" t="s">
        <v>1181</v>
      </c>
      <c r="O1176" s="25">
        <f t="shared" si="36"/>
        <v>3.8337368845842157E-3</v>
      </c>
    </row>
    <row r="1177" spans="1:15">
      <c r="A1177" s="84">
        <v>355.48506765739137</v>
      </c>
      <c r="B1177" s="84">
        <v>355.57999277359136</v>
      </c>
      <c r="C1177" s="84">
        <v>343.29668273731096</v>
      </c>
      <c r="D1177" s="84">
        <v>345.00533482891103</v>
      </c>
      <c r="E1177" s="85">
        <v>5002713.9181946535</v>
      </c>
      <c r="F1177" s="83" t="s">
        <v>1182</v>
      </c>
      <c r="G1177" s="25">
        <f t="shared" si="35"/>
        <v>3.0375567478332588E-2</v>
      </c>
      <c r="I1177" s="84">
        <v>91.277475006520419</v>
      </c>
      <c r="J1177" s="84">
        <v>91.38842817711182</v>
      </c>
      <c r="K1177" s="84">
        <v>88.794897814537961</v>
      </c>
      <c r="L1177" s="84">
        <v>90.167943300606467</v>
      </c>
      <c r="M1177" s="85">
        <v>6695988.1906936988</v>
      </c>
      <c r="N1177" s="83" t="s">
        <v>1182</v>
      </c>
      <c r="O1177" s="25">
        <f t="shared" si="36"/>
        <v>1.2305168170631653E-2</v>
      </c>
    </row>
    <row r="1178" spans="1:15">
      <c r="A1178" s="84">
        <v>344.872439666231</v>
      </c>
      <c r="B1178" s="84">
        <v>346.64753933917109</v>
      </c>
      <c r="C1178" s="84">
        <v>343.13531003977101</v>
      </c>
      <c r="D1178" s="84">
        <v>345.46097538667107</v>
      </c>
      <c r="E1178" s="85">
        <v>2641840.3267647722</v>
      </c>
      <c r="F1178" s="83" t="s">
        <v>1183</v>
      </c>
      <c r="G1178" s="25">
        <f t="shared" si="35"/>
        <v>-1.7036243233590209E-3</v>
      </c>
      <c r="I1178" s="84">
        <v>90.084728422662934</v>
      </c>
      <c r="J1178" s="84">
        <v>90.528541105028495</v>
      </c>
      <c r="K1178" s="84">
        <v>89.32654842362173</v>
      </c>
      <c r="L1178" s="84">
        <v>89.502224277058104</v>
      </c>
      <c r="M1178" s="85">
        <v>3153853.811791305</v>
      </c>
      <c r="N1178" s="83" t="s">
        <v>1183</v>
      </c>
      <c r="O1178" s="25">
        <f t="shared" si="36"/>
        <v>6.5082644628100539E-3</v>
      </c>
    </row>
    <row r="1179" spans="1:15">
      <c r="A1179" s="84">
        <v>345.47996040991103</v>
      </c>
      <c r="B1179" s="84">
        <v>349.68514305757117</v>
      </c>
      <c r="C1179" s="84">
        <v>344.72055948031101</v>
      </c>
      <c r="D1179" s="84">
        <v>348.24228129133115</v>
      </c>
      <c r="E1179" s="85">
        <v>3747165.2839545179</v>
      </c>
      <c r="F1179" s="83" t="s">
        <v>1184</v>
      </c>
      <c r="G1179" s="25">
        <f t="shared" si="35"/>
        <v>-7.932181213542E-3</v>
      </c>
      <c r="I1179" s="84">
        <v>89.594685252550946</v>
      </c>
      <c r="J1179" s="84">
        <v>90.611755982972056</v>
      </c>
      <c r="K1179" s="84">
        <v>89.18785696038249</v>
      </c>
      <c r="L1179" s="84">
        <v>89.751868910888732</v>
      </c>
      <c r="M1179" s="85">
        <v>5042729.6220356589</v>
      </c>
      <c r="N1179" s="83" t="s">
        <v>1184</v>
      </c>
      <c r="O1179" s="25">
        <f t="shared" si="36"/>
        <v>-1.7513134851135925E-3</v>
      </c>
    </row>
    <row r="1180" spans="1:15">
      <c r="A1180" s="84">
        <v>351.03307970761125</v>
      </c>
      <c r="B1180" s="84">
        <v>351.54567533509123</v>
      </c>
      <c r="C1180" s="84">
        <v>350.33063384773118</v>
      </c>
      <c r="D1180" s="84">
        <v>350.64388673119117</v>
      </c>
      <c r="E1180" s="85">
        <v>1499544.1217062788</v>
      </c>
      <c r="F1180" s="83" t="s">
        <v>1185</v>
      </c>
      <c r="G1180" s="25">
        <f t="shared" si="35"/>
        <v>1.1099380059018671E-3</v>
      </c>
      <c r="I1180" s="84">
        <v>90.121712812860054</v>
      </c>
      <c r="J1180" s="84">
        <v>90.426834031986388</v>
      </c>
      <c r="K1180" s="84">
        <v>89.853575983930867</v>
      </c>
      <c r="L1180" s="84">
        <v>90.00613659349402</v>
      </c>
      <c r="M1180" s="85">
        <v>1420327.8658917644</v>
      </c>
      <c r="N1180" s="83" t="s">
        <v>1185</v>
      </c>
      <c r="O1180" s="25">
        <f t="shared" si="36"/>
        <v>1.2840926601263014E-3</v>
      </c>
    </row>
    <row r="1181" spans="1:15">
      <c r="A1181" s="84">
        <v>351.07104975409118</v>
      </c>
      <c r="B1181" s="84">
        <v>351.56456543321502</v>
      </c>
      <c r="C1181" s="84">
        <v>348.39653460515609</v>
      </c>
      <c r="D1181" s="84">
        <v>348.57451919803111</v>
      </c>
      <c r="E1181" s="85">
        <v>2729371.4284649114</v>
      </c>
      <c r="F1181" s="83" t="s">
        <v>1186</v>
      </c>
      <c r="G1181" s="25">
        <f t="shared" si="35"/>
        <v>7.1621143215052641E-3</v>
      </c>
      <c r="I1181" s="84">
        <v>89.807345496184439</v>
      </c>
      <c r="J1181" s="84">
        <v>89.890560374127986</v>
      </c>
      <c r="K1181" s="84">
        <v>89.32654842362173</v>
      </c>
      <c r="L1181" s="84">
        <v>89.539208667255238</v>
      </c>
      <c r="M1181" s="85">
        <v>2349483.1072472194</v>
      </c>
      <c r="N1181" s="83" t="s">
        <v>1186</v>
      </c>
      <c r="O1181" s="25">
        <f t="shared" si="36"/>
        <v>2.994630318050362E-3</v>
      </c>
    </row>
    <row r="1182" spans="1:15">
      <c r="A1182" s="84">
        <v>348.88777208149116</v>
      </c>
      <c r="B1182" s="84">
        <v>349.02066724417114</v>
      </c>
      <c r="C1182" s="84">
        <v>344.77751455003101</v>
      </c>
      <c r="D1182" s="84">
        <v>346.01154106063103</v>
      </c>
      <c r="E1182" s="85">
        <v>2439779.9999742596</v>
      </c>
      <c r="F1182" s="83" t="s">
        <v>1187</v>
      </c>
      <c r="G1182" s="25">
        <f t="shared" si="35"/>
        <v>8.3125291487202713E-3</v>
      </c>
      <c r="I1182" s="84">
        <v>89.548454764804518</v>
      </c>
      <c r="J1182" s="84">
        <v>90.232665983451454</v>
      </c>
      <c r="K1182" s="84">
        <v>89.234087448128903</v>
      </c>
      <c r="L1182" s="84">
        <v>89.742622813339466</v>
      </c>
      <c r="M1182" s="85">
        <v>3278823.2914924598</v>
      </c>
      <c r="N1182" s="83" t="s">
        <v>1187</v>
      </c>
      <c r="O1182" s="25">
        <f t="shared" si="36"/>
        <v>-2.1636101380589912E-3</v>
      </c>
    </row>
    <row r="1183" spans="1:15">
      <c r="A1183" s="84">
        <v>344.30288896903096</v>
      </c>
      <c r="B1183" s="84">
        <v>345.27928871426428</v>
      </c>
      <c r="C1183" s="84">
        <v>342.55626683095096</v>
      </c>
      <c r="D1183" s="84">
        <v>344.35984403875096</v>
      </c>
      <c r="E1183" s="85">
        <v>2526070.1234726785</v>
      </c>
      <c r="F1183" s="83" t="s">
        <v>1188</v>
      </c>
      <c r="G1183" s="25">
        <f t="shared" si="35"/>
        <v>-1.6539405132731666E-4</v>
      </c>
      <c r="I1183" s="84">
        <v>88.947458424101143</v>
      </c>
      <c r="J1183" s="84">
        <v>89.21559525303033</v>
      </c>
      <c r="K1183" s="84">
        <v>87.782450132891498</v>
      </c>
      <c r="L1183" s="84">
        <v>88.078325254468552</v>
      </c>
      <c r="M1183" s="85">
        <v>3538855.1576051507</v>
      </c>
      <c r="N1183" s="83" t="s">
        <v>1188</v>
      </c>
      <c r="O1183" s="25">
        <f t="shared" si="36"/>
        <v>9.8677304220029516E-3</v>
      </c>
    </row>
    <row r="1184" spans="1:15">
      <c r="A1184" s="84">
        <v>345.51793045639107</v>
      </c>
      <c r="B1184" s="84">
        <v>347.03673231559105</v>
      </c>
      <c r="C1184" s="84">
        <v>342.89799724927099</v>
      </c>
      <c r="D1184" s="84">
        <v>346.91332966453109</v>
      </c>
      <c r="E1184" s="85">
        <v>2712000.8940267358</v>
      </c>
      <c r="F1184" s="83" t="s">
        <v>1189</v>
      </c>
      <c r="G1184" s="25">
        <f t="shared" si="35"/>
        <v>-4.0223280249548354E-3</v>
      </c>
      <c r="I1184" s="84">
        <v>88.170786229961379</v>
      </c>
      <c r="J1184" s="84">
        <v>89.382025008917438</v>
      </c>
      <c r="K1184" s="84">
        <v>88.032094766722125</v>
      </c>
      <c r="L1184" s="84">
        <v>88.485153546636994</v>
      </c>
      <c r="M1184" s="85">
        <v>4405510.5175868878</v>
      </c>
      <c r="N1184" s="83" t="s">
        <v>1189</v>
      </c>
      <c r="O1184" s="25">
        <f t="shared" si="36"/>
        <v>-3.5527690700104531E-3</v>
      </c>
    </row>
    <row r="1185" spans="1:15">
      <c r="A1185" s="84">
        <v>343.99912859719097</v>
      </c>
      <c r="B1185" s="84">
        <v>344.56867929439102</v>
      </c>
      <c r="C1185" s="84">
        <v>340.36824290254089</v>
      </c>
      <c r="D1185" s="84">
        <v>340.5913169256109</v>
      </c>
      <c r="E1185" s="85">
        <v>3460015.7803124133</v>
      </c>
      <c r="F1185" s="83" t="s">
        <v>1190</v>
      </c>
      <c r="G1185" s="25">
        <f t="shared" si="35"/>
        <v>1.0005574136008777E-2</v>
      </c>
      <c r="I1185" s="84">
        <v>87.403360133370896</v>
      </c>
      <c r="J1185" s="84">
        <v>87.505067206413003</v>
      </c>
      <c r="K1185" s="84">
        <v>85.877754037739223</v>
      </c>
      <c r="L1185" s="84">
        <v>85.997953305879903</v>
      </c>
      <c r="M1185" s="85">
        <v>3522165.9544924311</v>
      </c>
      <c r="N1185" s="83" t="s">
        <v>1190</v>
      </c>
      <c r="O1185" s="25">
        <f t="shared" si="36"/>
        <v>1.6342328781851378E-2</v>
      </c>
    </row>
    <row r="1186" spans="1:15">
      <c r="A1186" s="84">
        <v>344.99584231729102</v>
      </c>
      <c r="B1186" s="84">
        <v>346.97028473425109</v>
      </c>
      <c r="C1186" s="84">
        <v>344.43578413171105</v>
      </c>
      <c r="D1186" s="84">
        <v>346.19189878141106</v>
      </c>
      <c r="E1186" s="85">
        <v>2902417.3056528866</v>
      </c>
      <c r="F1186" s="83" t="s">
        <v>1191</v>
      </c>
      <c r="G1186" s="25">
        <f t="shared" ref="G1186:G1249" si="37">A1186/D1186-1</f>
        <v>-3.4548944337812193E-3</v>
      </c>
      <c r="I1186" s="84">
        <v>86.728395009702822</v>
      </c>
      <c r="J1186" s="84">
        <v>88.484104966973973</v>
      </c>
      <c r="K1186" s="84">
        <v>86.639966057928234</v>
      </c>
      <c r="L1186" s="84">
        <v>87.849843254661351</v>
      </c>
      <c r="M1186" s="85">
        <v>5235915.9563508211</v>
      </c>
      <c r="N1186" s="83" t="s">
        <v>1191</v>
      </c>
      <c r="O1186" s="25">
        <f t="shared" ref="O1186:O1249" si="38">I1186/L1186-1</f>
        <v>-1.2765512190017758E-2</v>
      </c>
    </row>
    <row r="1187" spans="1:15">
      <c r="A1187" s="84">
        <v>347.63476054765113</v>
      </c>
      <c r="B1187" s="84">
        <v>350.97802314021521</v>
      </c>
      <c r="C1187" s="84">
        <v>344.18897882959095</v>
      </c>
      <c r="D1187" s="84">
        <v>349.94144087131116</v>
      </c>
      <c r="E1187" s="85">
        <v>4843607.4498056322</v>
      </c>
      <c r="F1187" s="83" t="s">
        <v>1192</v>
      </c>
      <c r="G1187" s="25">
        <f t="shared" si="37"/>
        <v>-6.5916180659160162E-3</v>
      </c>
      <c r="I1187" s="84">
        <v>88.052071626703068</v>
      </c>
      <c r="J1187" s="84">
        <v>88.199146806369754</v>
      </c>
      <c r="K1187" s="84">
        <v>85.804211349472254</v>
      </c>
      <c r="L1187" s="84">
        <v>86.057364502473547</v>
      </c>
      <c r="M1187" s="85">
        <v>8166160.4814751288</v>
      </c>
      <c r="N1187" s="83" t="s">
        <v>1192</v>
      </c>
      <c r="O1187" s="25">
        <f t="shared" si="38"/>
        <v>2.3178807947019875E-2</v>
      </c>
    </row>
    <row r="1188" spans="1:15">
      <c r="A1188" s="84">
        <v>344.78700706165102</v>
      </c>
      <c r="B1188" s="84">
        <v>349.12508487199119</v>
      </c>
      <c r="C1188" s="84">
        <v>344.47375417819097</v>
      </c>
      <c r="D1188" s="84">
        <v>346.06849613035104</v>
      </c>
      <c r="E1188" s="85">
        <v>5556287.11466337</v>
      </c>
      <c r="F1188" s="83" t="s">
        <v>1193</v>
      </c>
      <c r="G1188" s="25">
        <f t="shared" si="37"/>
        <v>-3.7029925665852392E-3</v>
      </c>
      <c r="I1188" s="84">
        <v>85.441487187619273</v>
      </c>
      <c r="J1188" s="84">
        <v>86.903046785557038</v>
      </c>
      <c r="K1188" s="84">
        <v>85.413910591431772</v>
      </c>
      <c r="L1188" s="84">
        <v>86.084941098661062</v>
      </c>
      <c r="M1188" s="85">
        <v>5376969.2601578543</v>
      </c>
      <c r="N1188" s="83" t="s">
        <v>1193</v>
      </c>
      <c r="O1188" s="25">
        <f t="shared" si="38"/>
        <v>-7.4746396155900285E-3</v>
      </c>
    </row>
    <row r="1189" spans="1:15">
      <c r="A1189" s="84">
        <v>347.57780547793112</v>
      </c>
      <c r="B1189" s="84">
        <v>348.39416147725115</v>
      </c>
      <c r="C1189" s="84">
        <v>343.38211534189099</v>
      </c>
      <c r="D1189" s="84">
        <v>345.23315510779105</v>
      </c>
      <c r="E1189" s="85">
        <v>5138139.614939807</v>
      </c>
      <c r="F1189" s="83" t="s">
        <v>1194</v>
      </c>
      <c r="G1189" s="25">
        <f t="shared" si="37"/>
        <v>6.7914982540075997E-3</v>
      </c>
      <c r="I1189" s="84">
        <v>86.084941098661062</v>
      </c>
      <c r="J1189" s="84">
        <v>89.348171647515798</v>
      </c>
      <c r="K1189" s="84">
        <v>85.285219809223406</v>
      </c>
      <c r="L1189" s="84">
        <v>89.288422355776206</v>
      </c>
      <c r="M1189" s="85">
        <v>7547263.9402213097</v>
      </c>
      <c r="N1189" s="83" t="s">
        <v>1194</v>
      </c>
      <c r="O1189" s="25">
        <f t="shared" si="38"/>
        <v>-3.587790188912332E-2</v>
      </c>
    </row>
    <row r="1190" spans="1:15">
      <c r="A1190" s="84">
        <v>344.283903945791</v>
      </c>
      <c r="B1190" s="84">
        <v>344.58766431763098</v>
      </c>
      <c r="C1190" s="84">
        <v>336.4241043244308</v>
      </c>
      <c r="D1190" s="84">
        <v>338.42702427625079</v>
      </c>
      <c r="E1190" s="85">
        <v>4849751.2400199231</v>
      </c>
      <c r="F1190" s="83" t="s">
        <v>1195</v>
      </c>
      <c r="G1190" s="25">
        <f t="shared" si="37"/>
        <v>1.7306181981375568E-2</v>
      </c>
      <c r="I1190" s="84">
        <v>89.936472366182571</v>
      </c>
      <c r="J1190" s="84">
        <v>90.097335843943014</v>
      </c>
      <c r="K1190" s="84">
        <v>87.969341838140551</v>
      </c>
      <c r="L1190" s="84">
        <v>89.072405685640746</v>
      </c>
      <c r="M1190" s="85">
        <v>5182712.1457708636</v>
      </c>
      <c r="N1190" s="83" t="s">
        <v>1195</v>
      </c>
      <c r="O1190" s="25">
        <f t="shared" si="38"/>
        <v>9.7007223942209286E-3</v>
      </c>
    </row>
    <row r="1191" spans="1:15">
      <c r="A1191" s="84">
        <v>326.41899707695046</v>
      </c>
      <c r="B1191" s="84">
        <v>332.44674195565068</v>
      </c>
      <c r="C1191" s="84">
        <v>325.9330754071226</v>
      </c>
      <c r="D1191" s="84">
        <v>331.3645956309706</v>
      </c>
      <c r="E1191" s="85">
        <v>3761694.6314571756</v>
      </c>
      <c r="F1191" s="83" t="s">
        <v>1196</v>
      </c>
      <c r="G1191" s="25">
        <f t="shared" si="37"/>
        <v>-1.4924945571215709E-2</v>
      </c>
      <c r="I1191" s="84">
        <v>87.445386510577947</v>
      </c>
      <c r="J1191" s="84">
        <v>88.63577624600525</v>
      </c>
      <c r="K1191" s="84">
        <v>87.33967622519252</v>
      </c>
      <c r="L1191" s="84">
        <v>88.098032620348917</v>
      </c>
      <c r="M1191" s="85">
        <v>3784350.297999647</v>
      </c>
      <c r="N1191" s="83" t="s">
        <v>1196</v>
      </c>
      <c r="O1191" s="25">
        <f t="shared" si="38"/>
        <v>-7.4081803005010549E-3</v>
      </c>
    </row>
    <row r="1192" spans="1:15">
      <c r="A1192" s="84">
        <v>333.22512790849066</v>
      </c>
      <c r="B1192" s="84">
        <v>335.91150869695076</v>
      </c>
      <c r="C1192" s="84">
        <v>329.46609330697049</v>
      </c>
      <c r="D1192" s="84">
        <v>332.43724944403061</v>
      </c>
      <c r="E1192" s="85">
        <v>3410262.8783507315</v>
      </c>
      <c r="F1192" s="83" t="s">
        <v>1197</v>
      </c>
      <c r="G1192" s="25">
        <f t="shared" si="37"/>
        <v>2.3700065674880921E-3</v>
      </c>
      <c r="I1192" s="84">
        <v>88.49329716570314</v>
      </c>
      <c r="J1192" s="84">
        <v>88.828996263292368</v>
      </c>
      <c r="K1192" s="84">
        <v>87.381041119473778</v>
      </c>
      <c r="L1192" s="84">
        <v>88.456528370786472</v>
      </c>
      <c r="M1192" s="85">
        <v>4272697.0072320923</v>
      </c>
      <c r="N1192" s="83" t="s">
        <v>1197</v>
      </c>
      <c r="O1192" s="25">
        <f t="shared" si="38"/>
        <v>4.1567078873527841E-4</v>
      </c>
    </row>
    <row r="1193" spans="1:15">
      <c r="A1193" s="84">
        <v>331.4215507006906</v>
      </c>
      <c r="B1193" s="84">
        <v>331.96262386303061</v>
      </c>
      <c r="C1193" s="84">
        <v>327.58657600621052</v>
      </c>
      <c r="D1193" s="84">
        <v>329.44710828373053</v>
      </c>
      <c r="E1193" s="85">
        <v>3493908.8123021903</v>
      </c>
      <c r="F1193" s="83" t="s">
        <v>1198</v>
      </c>
      <c r="G1193" s="25">
        <f t="shared" si="37"/>
        <v>5.9932000230507043E-3</v>
      </c>
      <c r="I1193" s="84">
        <v>88.401375178411456</v>
      </c>
      <c r="J1193" s="84">
        <v>88.56683475553649</v>
      </c>
      <c r="K1193" s="84">
        <v>87.647614882619649</v>
      </c>
      <c r="L1193" s="84">
        <v>87.960149639411384</v>
      </c>
      <c r="M1193" s="85">
        <v>3585243.4190118816</v>
      </c>
      <c r="N1193" s="83" t="s">
        <v>1198</v>
      </c>
      <c r="O1193" s="25">
        <f t="shared" si="38"/>
        <v>5.0161981398264555E-3</v>
      </c>
    </row>
    <row r="1194" spans="1:15">
      <c r="A1194" s="84">
        <v>328.27003684285052</v>
      </c>
      <c r="B1194" s="84">
        <v>330.35838939925054</v>
      </c>
      <c r="C1194" s="84">
        <v>322.74539508001033</v>
      </c>
      <c r="D1194" s="84">
        <v>328.83009502843055</v>
      </c>
      <c r="E1194" s="85">
        <v>3850871.2407558612</v>
      </c>
      <c r="F1194" s="83" t="s">
        <v>1199</v>
      </c>
      <c r="G1194" s="25">
        <f t="shared" si="37"/>
        <v>-1.7031840882192339E-3</v>
      </c>
      <c r="I1194" s="84">
        <v>87.528116299140478</v>
      </c>
      <c r="J1194" s="84">
        <v>88.153185812723919</v>
      </c>
      <c r="K1194" s="84">
        <v>85.836751732973497</v>
      </c>
      <c r="L1194" s="84">
        <v>87.665999280077997</v>
      </c>
      <c r="M1194" s="85">
        <v>4621079.37954072</v>
      </c>
      <c r="N1194" s="83" t="s">
        <v>1199</v>
      </c>
      <c r="O1194" s="25">
        <f t="shared" si="38"/>
        <v>-1.5728216420257679E-3</v>
      </c>
    </row>
    <row r="1195" spans="1:15">
      <c r="A1195" s="84">
        <v>323.53327354447032</v>
      </c>
      <c r="B1195" s="84">
        <v>326.36204200723046</v>
      </c>
      <c r="C1195" s="84">
        <v>321.70121880181028</v>
      </c>
      <c r="D1195" s="84">
        <v>324.01739163709033</v>
      </c>
      <c r="E1195" s="85">
        <v>4777211.9556276668</v>
      </c>
      <c r="F1195" s="83" t="s">
        <v>1200</v>
      </c>
      <c r="G1195" s="25">
        <f t="shared" si="37"/>
        <v>-1.494111443135826E-3</v>
      </c>
      <c r="I1195" s="84">
        <v>87.142043952515408</v>
      </c>
      <c r="J1195" s="84">
        <v>88.087277747835785</v>
      </c>
      <c r="K1195" s="84">
        <v>85.515024777452624</v>
      </c>
      <c r="L1195" s="84">
        <v>85.836751732973497</v>
      </c>
      <c r="M1195" s="85">
        <v>4505710.8990231156</v>
      </c>
      <c r="N1195" s="83" t="s">
        <v>1200</v>
      </c>
      <c r="O1195" s="25">
        <f t="shared" si="38"/>
        <v>1.5206682373099412E-2</v>
      </c>
    </row>
    <row r="1196" spans="1:15">
      <c r="A1196" s="84">
        <v>327.01702530901048</v>
      </c>
      <c r="B1196" s="84">
        <v>339.00132122926084</v>
      </c>
      <c r="C1196" s="84">
        <v>326.9315927044305</v>
      </c>
      <c r="D1196" s="84">
        <v>334.87682493037067</v>
      </c>
      <c r="E1196" s="85">
        <v>5291049.6200159928</v>
      </c>
      <c r="F1196" s="83" t="s">
        <v>1201</v>
      </c>
      <c r="G1196" s="25">
        <f t="shared" si="37"/>
        <v>-2.347071829468772E-2</v>
      </c>
      <c r="I1196" s="84">
        <v>86.544551035119468</v>
      </c>
      <c r="J1196" s="84">
        <v>88.845634142992168</v>
      </c>
      <c r="K1196" s="84">
        <v>86.43424465036945</v>
      </c>
      <c r="L1196" s="84">
        <v>87.463770908036295</v>
      </c>
      <c r="M1196" s="85">
        <v>5794661.4917037887</v>
      </c>
      <c r="N1196" s="83" t="s">
        <v>1201</v>
      </c>
      <c r="O1196" s="25">
        <f t="shared" si="38"/>
        <v>-1.0509721492380386E-2</v>
      </c>
    </row>
    <row r="1197" spans="1:15">
      <c r="A1197" s="84">
        <v>335.57927079025069</v>
      </c>
      <c r="B1197" s="84">
        <v>340.55809313494086</v>
      </c>
      <c r="C1197" s="84">
        <v>334.41169186099069</v>
      </c>
      <c r="D1197" s="84">
        <v>340.33501911187085</v>
      </c>
      <c r="E1197" s="85">
        <v>8442738.1506852917</v>
      </c>
      <c r="F1197" s="83" t="s">
        <v>1202</v>
      </c>
      <c r="G1197" s="25">
        <f t="shared" si="37"/>
        <v>-1.3973726048029489E-2</v>
      </c>
      <c r="I1197" s="84">
        <v>87.831458857203017</v>
      </c>
      <c r="J1197" s="84">
        <v>88.314049290484363</v>
      </c>
      <c r="K1197" s="84">
        <v>87.367252821380035</v>
      </c>
      <c r="L1197" s="84">
        <v>87.629230485161315</v>
      </c>
      <c r="M1197" s="85">
        <v>5676011.9681094829</v>
      </c>
      <c r="N1197" s="83" t="s">
        <v>1202</v>
      </c>
      <c r="O1197" s="25">
        <f t="shared" si="38"/>
        <v>2.3077729990559348E-3</v>
      </c>
    </row>
    <row r="1198" spans="1:15">
      <c r="A1198" s="84">
        <v>336.93669995191078</v>
      </c>
      <c r="B1198" s="84">
        <v>338.80672474105086</v>
      </c>
      <c r="C1198" s="84">
        <v>336.08237390611077</v>
      </c>
      <c r="D1198" s="84">
        <v>337.13604269593083</v>
      </c>
      <c r="E1198" s="85">
        <v>6774772.8498432897</v>
      </c>
      <c r="F1198" s="83" t="s">
        <v>1203</v>
      </c>
      <c r="G1198" s="25">
        <f t="shared" si="37"/>
        <v>-5.9128280211750983E-4</v>
      </c>
      <c r="I1198" s="84">
        <v>87.160428349973728</v>
      </c>
      <c r="J1198" s="84">
        <v>87.427002113119627</v>
      </c>
      <c r="K1198" s="84">
        <v>86.268785073244416</v>
      </c>
      <c r="L1198" s="84">
        <v>87.077698561411225</v>
      </c>
      <c r="M1198" s="85">
        <v>5366644.2005288852</v>
      </c>
      <c r="N1198" s="83" t="s">
        <v>1203</v>
      </c>
      <c r="O1198" s="25">
        <f t="shared" si="38"/>
        <v>9.5006861606661275E-4</v>
      </c>
    </row>
    <row r="1199" spans="1:15">
      <c r="A1199" s="84">
        <v>339.24338027557081</v>
      </c>
      <c r="B1199" s="84">
        <v>339.81293097277086</v>
      </c>
      <c r="C1199" s="84">
        <v>331.24119297991058</v>
      </c>
      <c r="D1199" s="84">
        <v>331.32662558449061</v>
      </c>
      <c r="E1199" s="85">
        <v>4622673.2983444687</v>
      </c>
      <c r="F1199" s="83" t="s">
        <v>1204</v>
      </c>
      <c r="G1199" s="25">
        <f t="shared" si="37"/>
        <v>2.3894109557643706E-2</v>
      </c>
      <c r="I1199" s="84">
        <v>87.399425516932112</v>
      </c>
      <c r="J1199" s="84">
        <v>87.472963106765462</v>
      </c>
      <c r="K1199" s="84">
        <v>84.63257369945245</v>
      </c>
      <c r="L1199" s="84">
        <v>85.027838244806702</v>
      </c>
      <c r="M1199" s="85">
        <v>6919809.054841361</v>
      </c>
      <c r="N1199" s="83" t="s">
        <v>1204</v>
      </c>
      <c r="O1199" s="25">
        <f t="shared" si="38"/>
        <v>2.7891891891891785E-2</v>
      </c>
    </row>
    <row r="1200" spans="1:15">
      <c r="A1200" s="84">
        <v>331.50698330527064</v>
      </c>
      <c r="B1200" s="84">
        <v>335.83556860399074</v>
      </c>
      <c r="C1200" s="84">
        <v>330.90420881740062</v>
      </c>
      <c r="D1200" s="84">
        <v>334.18387158211067</v>
      </c>
      <c r="E1200" s="85">
        <v>4366876.9298803005</v>
      </c>
      <c r="F1200" s="83" t="s">
        <v>1205</v>
      </c>
      <c r="G1200" s="25">
        <f t="shared" si="37"/>
        <v>-8.0102258201958376E-3</v>
      </c>
      <c r="I1200" s="84">
        <v>84.384384333764913</v>
      </c>
      <c r="J1200" s="84">
        <v>85.838038640795588</v>
      </c>
      <c r="K1200" s="84">
        <v>83.566278646868938</v>
      </c>
      <c r="L1200" s="84">
        <v>83.593855243056439</v>
      </c>
      <c r="M1200" s="85">
        <v>6985002.3799267318</v>
      </c>
      <c r="N1200" s="83" t="s">
        <v>1205</v>
      </c>
      <c r="O1200" s="25">
        <f t="shared" si="38"/>
        <v>9.4567846932043231E-3</v>
      </c>
    </row>
    <row r="1201" spans="1:15">
      <c r="A1201" s="84">
        <v>333.29157548983068</v>
      </c>
      <c r="B1201" s="84">
        <v>338.09478636955083</v>
      </c>
      <c r="C1201" s="84">
        <v>332.65557721129062</v>
      </c>
      <c r="D1201" s="84">
        <v>332.90238251341066</v>
      </c>
      <c r="E1201" s="85">
        <v>4506402.7006161967</v>
      </c>
      <c r="F1201" s="83" t="s">
        <v>1206</v>
      </c>
      <c r="G1201" s="25">
        <f t="shared" si="37"/>
        <v>1.1690903906473871E-3</v>
      </c>
      <c r="I1201" s="84">
        <v>83.207782896431368</v>
      </c>
      <c r="J1201" s="84">
        <v>84.75207228293165</v>
      </c>
      <c r="K1201" s="84">
        <v>81.442880740431065</v>
      </c>
      <c r="L1201" s="84">
        <v>81.442880740431065</v>
      </c>
      <c r="M1201" s="85">
        <v>7255519.812508936</v>
      </c>
      <c r="N1201" s="83" t="s">
        <v>1206</v>
      </c>
      <c r="O1201" s="25">
        <f t="shared" si="38"/>
        <v>2.1670428893905136E-2</v>
      </c>
    </row>
    <row r="1202" spans="1:15">
      <c r="A1202" s="84">
        <v>335.79759855751075</v>
      </c>
      <c r="B1202" s="84">
        <v>336.0633888828707</v>
      </c>
      <c r="C1202" s="84">
        <v>330.36788191087055</v>
      </c>
      <c r="D1202" s="84">
        <v>330.38686693411057</v>
      </c>
      <c r="E1202" s="85">
        <v>5481579.8055350007</v>
      </c>
      <c r="F1202" s="83" t="s">
        <v>1207</v>
      </c>
      <c r="G1202" s="25">
        <f t="shared" si="37"/>
        <v>1.6376957333716469E-2</v>
      </c>
      <c r="I1202" s="84">
        <v>81.222267970931028</v>
      </c>
      <c r="J1202" s="84">
        <v>81.810568689597801</v>
      </c>
      <c r="K1202" s="84">
        <v>78.915026089909773</v>
      </c>
      <c r="L1202" s="84">
        <v>81.341766554410214</v>
      </c>
      <c r="M1202" s="85">
        <v>8225496.6660018256</v>
      </c>
      <c r="N1202" s="83" t="s">
        <v>1207</v>
      </c>
      <c r="O1202" s="25">
        <f t="shared" si="38"/>
        <v>-1.4690925528307863E-3</v>
      </c>
    </row>
    <row r="1203" spans="1:15">
      <c r="A1203" s="84">
        <v>330.42483698059056</v>
      </c>
      <c r="B1203" s="84">
        <v>331.50698330527064</v>
      </c>
      <c r="C1203" s="84">
        <v>325.46974591495041</v>
      </c>
      <c r="D1203" s="84">
        <v>327.91881391291048</v>
      </c>
      <c r="E1203" s="85">
        <v>5940911.347548943</v>
      </c>
      <c r="F1203" s="83" t="s">
        <v>1208</v>
      </c>
      <c r="G1203" s="25">
        <f t="shared" si="37"/>
        <v>7.642205818497505E-3</v>
      </c>
      <c r="I1203" s="84">
        <v>82.481599196827091</v>
      </c>
      <c r="J1203" s="84">
        <v>83.141231377632195</v>
      </c>
      <c r="K1203" s="84">
        <v>81.810568689597801</v>
      </c>
      <c r="L1203" s="84">
        <v>81.902490676889471</v>
      </c>
      <c r="M1203" s="85">
        <v>8406923.3354131486</v>
      </c>
      <c r="N1203" s="83" t="s">
        <v>1208</v>
      </c>
      <c r="O1203" s="25">
        <f t="shared" si="38"/>
        <v>7.0707070707072273E-3</v>
      </c>
    </row>
    <row r="1204" spans="1:15">
      <c r="A1204" s="84">
        <v>326.44747461181043</v>
      </c>
      <c r="B1204" s="84">
        <v>326.9130823067714</v>
      </c>
      <c r="C1204" s="84">
        <v>317.17329075907014</v>
      </c>
      <c r="D1204" s="84">
        <v>318.47376485101017</v>
      </c>
      <c r="E1204" s="85">
        <v>4595654.1057148166</v>
      </c>
      <c r="F1204" s="83" t="s">
        <v>1209</v>
      </c>
      <c r="G1204" s="25">
        <f t="shared" si="37"/>
        <v>2.5037257824143122E-2</v>
      </c>
      <c r="I1204" s="84">
        <v>81.387727548056063</v>
      </c>
      <c r="J1204" s="84">
        <v>81.720117454102777</v>
      </c>
      <c r="K1204" s="84">
        <v>79.484942411118212</v>
      </c>
      <c r="L1204" s="84">
        <v>80.211126110722518</v>
      </c>
      <c r="M1204" s="85">
        <v>5899447.0852684248</v>
      </c>
      <c r="N1204" s="83" t="s">
        <v>1209</v>
      </c>
      <c r="O1204" s="25">
        <f t="shared" si="38"/>
        <v>1.4668805867522394E-2</v>
      </c>
    </row>
    <row r="1205" spans="1:15">
      <c r="A1205" s="84">
        <v>318.78701773447017</v>
      </c>
      <c r="B1205" s="84">
        <v>325.0425828920504</v>
      </c>
      <c r="C1205" s="84">
        <v>318.04660182811017</v>
      </c>
      <c r="D1205" s="84">
        <v>321.00826545355028</v>
      </c>
      <c r="E1205" s="85">
        <v>3643987.111600596</v>
      </c>
      <c r="F1205" s="83" t="s">
        <v>1210</v>
      </c>
      <c r="G1205" s="25">
        <f t="shared" si="37"/>
        <v>-6.9195966525713581E-3</v>
      </c>
      <c r="I1205" s="84">
        <v>80.192741713264169</v>
      </c>
      <c r="J1205" s="84">
        <v>81.293507511082083</v>
      </c>
      <c r="K1205" s="84">
        <v>79.788284969180765</v>
      </c>
      <c r="L1205" s="84">
        <v>80.716697040826773</v>
      </c>
      <c r="M1205" s="85">
        <v>3985083.556098708</v>
      </c>
      <c r="N1205" s="83" t="s">
        <v>1210</v>
      </c>
      <c r="O1205" s="25">
        <f t="shared" si="38"/>
        <v>-6.4912880081996471E-3</v>
      </c>
    </row>
    <row r="1206" spans="1:15">
      <c r="A1206" s="84">
        <v>321.42593596483027</v>
      </c>
      <c r="B1206" s="84">
        <v>324.33064452055038</v>
      </c>
      <c r="C1206" s="84">
        <v>318.85346531581018</v>
      </c>
      <c r="D1206" s="84">
        <v>321.83411396449031</v>
      </c>
      <c r="E1206" s="85">
        <v>4638638.5145134637</v>
      </c>
      <c r="F1206" s="83" t="s">
        <v>1211</v>
      </c>
      <c r="G1206" s="25">
        <f t="shared" si="37"/>
        <v>-1.2682869277962361E-3</v>
      </c>
      <c r="I1206" s="84">
        <v>80.551237463701739</v>
      </c>
      <c r="J1206" s="84">
        <v>81.764607695951952</v>
      </c>
      <c r="K1206" s="84">
        <v>79.834245962826614</v>
      </c>
      <c r="L1206" s="84">
        <v>80.110011924701666</v>
      </c>
      <c r="M1206" s="85">
        <v>4975843.250088051</v>
      </c>
      <c r="N1206" s="83" t="s">
        <v>1211</v>
      </c>
      <c r="O1206" s="25">
        <f t="shared" si="38"/>
        <v>5.5077452667813276E-3</v>
      </c>
    </row>
    <row r="1207" spans="1:15">
      <c r="A1207" s="84">
        <v>323.66616870715035</v>
      </c>
      <c r="B1207" s="84">
        <v>327.49165089001048</v>
      </c>
      <c r="C1207" s="84">
        <v>320.62381873294026</v>
      </c>
      <c r="D1207" s="84">
        <v>327.18789051817049</v>
      </c>
      <c r="E1207" s="85">
        <v>5165416.9057523292</v>
      </c>
      <c r="F1207" s="83" t="s">
        <v>1212</v>
      </c>
      <c r="G1207" s="25">
        <f t="shared" si="37"/>
        <v>-1.0763606823720684E-2</v>
      </c>
      <c r="I1207" s="84">
        <v>80.303048098014202</v>
      </c>
      <c r="J1207" s="84">
        <v>80.937309810326809</v>
      </c>
      <c r="K1207" s="84">
        <v>78.51976154455555</v>
      </c>
      <c r="L1207" s="84">
        <v>78.979371481013956</v>
      </c>
      <c r="M1207" s="85">
        <v>6287011.595671731</v>
      </c>
      <c r="N1207" s="83" t="s">
        <v>1212</v>
      </c>
      <c r="O1207" s="25">
        <f t="shared" si="38"/>
        <v>1.6759776536312998E-2</v>
      </c>
    </row>
    <row r="1208" spans="1:15">
      <c r="A1208" s="84">
        <v>319.89764159401022</v>
      </c>
      <c r="B1208" s="84">
        <v>320.94181787221027</v>
      </c>
      <c r="C1208" s="84">
        <v>317.48654364253014</v>
      </c>
      <c r="D1208" s="84">
        <v>317.59096127035014</v>
      </c>
      <c r="E1208" s="85">
        <v>4097457.1912084483</v>
      </c>
      <c r="F1208" s="83" t="s">
        <v>1213</v>
      </c>
      <c r="G1208" s="25">
        <f t="shared" si="37"/>
        <v>7.2630540694025303E-3</v>
      </c>
      <c r="I1208" s="84">
        <v>77.646502665284558</v>
      </c>
      <c r="J1208" s="84">
        <v>78.538145942013884</v>
      </c>
      <c r="K1208" s="84">
        <v>77.058201946617785</v>
      </c>
      <c r="L1208" s="84">
        <v>77.407505498326174</v>
      </c>
      <c r="M1208" s="85">
        <v>4832341.130642538</v>
      </c>
      <c r="N1208" s="83" t="s">
        <v>1213</v>
      </c>
      <c r="O1208" s="25">
        <f t="shared" si="38"/>
        <v>3.0875192969956888E-3</v>
      </c>
    </row>
    <row r="1209" spans="1:15">
      <c r="A1209" s="84">
        <v>311.97139439130996</v>
      </c>
      <c r="B1209" s="84">
        <v>322.92575280079035</v>
      </c>
      <c r="C1209" s="84">
        <v>311.37811241505995</v>
      </c>
      <c r="D1209" s="84">
        <v>321.43542847645028</v>
      </c>
      <c r="E1209" s="85">
        <v>5145106.1589533705</v>
      </c>
      <c r="F1209" s="83" t="s">
        <v>1214</v>
      </c>
      <c r="G1209" s="25">
        <f t="shared" si="37"/>
        <v>-2.9443033488866677E-2</v>
      </c>
      <c r="I1209" s="84">
        <v>75.918369304200922</v>
      </c>
      <c r="J1209" s="84">
        <v>78.51976154455555</v>
      </c>
      <c r="K1209" s="84">
        <v>75.513912560117518</v>
      </c>
      <c r="L1209" s="84">
        <v>78.51976154455555</v>
      </c>
      <c r="M1209" s="85">
        <v>5020365.7862144019</v>
      </c>
      <c r="N1209" s="83" t="s">
        <v>1214</v>
      </c>
      <c r="O1209" s="25">
        <f t="shared" si="38"/>
        <v>-3.3130414422851806E-2</v>
      </c>
    </row>
    <row r="1210" spans="1:15">
      <c r="A1210" s="84">
        <v>319.15722568765023</v>
      </c>
      <c r="B1210" s="84">
        <v>320.53838612836023</v>
      </c>
      <c r="C1210" s="84">
        <v>303.63696918894971</v>
      </c>
      <c r="D1210" s="84">
        <v>304.55774281608973</v>
      </c>
      <c r="E1210" s="85">
        <v>6738881.4004947152</v>
      </c>
      <c r="F1210" s="83" t="s">
        <v>1215</v>
      </c>
      <c r="G1210" s="25">
        <f t="shared" si="37"/>
        <v>4.7936666251090942E-2</v>
      </c>
      <c r="I1210" s="84">
        <v>78.014190614451294</v>
      </c>
      <c r="J1210" s="84">
        <v>78.262379980138832</v>
      </c>
      <c r="K1210" s="84">
        <v>74.445687145800861</v>
      </c>
      <c r="L1210" s="84">
        <v>74.870458649075744</v>
      </c>
      <c r="M1210" s="85">
        <v>5492727.2013589665</v>
      </c>
      <c r="N1210" s="83" t="s">
        <v>1215</v>
      </c>
      <c r="O1210" s="25">
        <f t="shared" si="38"/>
        <v>4.1988950276242942E-2</v>
      </c>
    </row>
    <row r="1211" spans="1:15">
      <c r="A1211" s="84">
        <v>311.01265071768995</v>
      </c>
      <c r="B1211" s="84">
        <v>313.80344913396999</v>
      </c>
      <c r="C1211" s="84">
        <v>310.82280048528992</v>
      </c>
      <c r="D1211" s="84">
        <v>312.44601997230995</v>
      </c>
      <c r="E1211" s="85">
        <v>3408014.79050483</v>
      </c>
      <c r="F1211" s="83" t="s">
        <v>1216</v>
      </c>
      <c r="G1211" s="25">
        <f t="shared" si="37"/>
        <v>-4.5875740543823706E-3</v>
      </c>
      <c r="I1211" s="84">
        <v>76.286057253367645</v>
      </c>
      <c r="J1211" s="84">
        <v>77.793577844951244</v>
      </c>
      <c r="K1211" s="84">
        <v>76.230904060992643</v>
      </c>
      <c r="L1211" s="84">
        <v>77.687867559565817</v>
      </c>
      <c r="M1211" s="85">
        <v>5971603.9238597527</v>
      </c>
      <c r="N1211" s="83" t="s">
        <v>1216</v>
      </c>
      <c r="O1211" s="25">
        <f t="shared" si="38"/>
        <v>-1.8044134177365057E-2</v>
      </c>
    </row>
    <row r="1212" spans="1:15">
      <c r="A1212" s="84">
        <v>311.98088690293002</v>
      </c>
      <c r="B1212" s="84">
        <v>316.63221759673013</v>
      </c>
      <c r="C1212" s="84">
        <v>310.26274229970994</v>
      </c>
      <c r="D1212" s="84">
        <v>312.49348253041001</v>
      </c>
      <c r="E1212" s="85">
        <v>5233712.8453257997</v>
      </c>
      <c r="F1212" s="83" t="s">
        <v>1217</v>
      </c>
      <c r="G1212" s="25">
        <f t="shared" si="37"/>
        <v>-1.6403402187119553E-3</v>
      </c>
      <c r="I1212" s="84">
        <v>77.756809050034576</v>
      </c>
      <c r="J1212" s="84">
        <v>78.630067929305568</v>
      </c>
      <c r="K1212" s="84">
        <v>76.580207612701045</v>
      </c>
      <c r="L1212" s="84">
        <v>76.975472158055268</v>
      </c>
      <c r="M1212" s="85">
        <v>4947373.4565478405</v>
      </c>
      <c r="N1212" s="83" t="s">
        <v>1217</v>
      </c>
      <c r="O1212" s="25">
        <f t="shared" si="38"/>
        <v>1.015046572725109E-2</v>
      </c>
    </row>
    <row r="1213" spans="1:15">
      <c r="A1213" s="84">
        <v>314.05025443609003</v>
      </c>
      <c r="B1213" s="84">
        <v>317.68588638655018</v>
      </c>
      <c r="C1213" s="84">
        <v>311.98088690293002</v>
      </c>
      <c r="D1213" s="84">
        <v>317.4960361541502</v>
      </c>
      <c r="E1213" s="85">
        <v>4144171.9088460533</v>
      </c>
      <c r="F1213" s="83" t="s">
        <v>1218</v>
      </c>
      <c r="G1213" s="25">
        <f t="shared" si="37"/>
        <v>-1.0852991299668324E-2</v>
      </c>
      <c r="I1213" s="84">
        <v>77.361544504680339</v>
      </c>
      <c r="J1213" s="84">
        <v>79.025332474659805</v>
      </c>
      <c r="K1213" s="84">
        <v>76.86056967394066</v>
      </c>
      <c r="L1213" s="84">
        <v>77.977421819534612</v>
      </c>
      <c r="M1213" s="85">
        <v>3966003.2462438461</v>
      </c>
      <c r="N1213" s="83" t="s">
        <v>1218</v>
      </c>
      <c r="O1213" s="25">
        <f t="shared" si="38"/>
        <v>-7.8981492396557051E-3</v>
      </c>
    </row>
    <row r="1214" spans="1:15">
      <c r="A1214" s="84">
        <v>316.41388982947012</v>
      </c>
      <c r="B1214" s="84">
        <v>322.11888931309028</v>
      </c>
      <c r="C1214" s="84">
        <v>314.81914787731006</v>
      </c>
      <c r="D1214" s="84">
        <v>321.8720840109703</v>
      </c>
      <c r="E1214" s="85">
        <v>5444371.5287228003</v>
      </c>
      <c r="F1214" s="83" t="s">
        <v>1219</v>
      </c>
      <c r="G1214" s="25">
        <f t="shared" si="37"/>
        <v>-1.6957650112067957E-2</v>
      </c>
      <c r="I1214" s="84">
        <v>77.22366152374282</v>
      </c>
      <c r="J1214" s="84">
        <v>77.29719911357617</v>
      </c>
      <c r="K1214" s="84">
        <v>76.028675688950941</v>
      </c>
      <c r="L1214" s="84">
        <v>76.993856555513617</v>
      </c>
      <c r="M1214" s="85">
        <v>4805737.0495945504</v>
      </c>
      <c r="N1214" s="83" t="s">
        <v>1219</v>
      </c>
      <c r="O1214" s="25">
        <f t="shared" si="38"/>
        <v>2.9847182425979391E-3</v>
      </c>
    </row>
    <row r="1215" spans="1:15">
      <c r="A1215" s="84">
        <v>325.55517851953039</v>
      </c>
      <c r="B1215" s="84">
        <v>330.32041935277056</v>
      </c>
      <c r="C1215" s="84">
        <v>325.10903047339042</v>
      </c>
      <c r="D1215" s="84">
        <v>327.66251609917049</v>
      </c>
      <c r="E1215" s="85">
        <v>4087023.7038486511</v>
      </c>
      <c r="F1215" s="83" t="s">
        <v>1220</v>
      </c>
      <c r="G1215" s="25">
        <f t="shared" si="37"/>
        <v>-6.4314270815227781E-3</v>
      </c>
      <c r="I1215" s="84">
        <v>77.471850889430357</v>
      </c>
      <c r="J1215" s="84">
        <v>78.565722538201385</v>
      </c>
      <c r="K1215" s="84">
        <v>77.232853722471987</v>
      </c>
      <c r="L1215" s="84">
        <v>77.931460825888777</v>
      </c>
      <c r="M1215" s="85">
        <v>3473265.8573504039</v>
      </c>
      <c r="N1215" s="83" t="s">
        <v>1220</v>
      </c>
      <c r="O1215" s="25">
        <f t="shared" si="38"/>
        <v>-5.8976173625855388E-3</v>
      </c>
    </row>
    <row r="1216" spans="1:15">
      <c r="A1216" s="84">
        <v>329.01994526083053</v>
      </c>
      <c r="B1216" s="84">
        <v>330.94692511969055</v>
      </c>
      <c r="C1216" s="84">
        <v>323.56175107933035</v>
      </c>
      <c r="D1216" s="84">
        <v>325.70705870545044</v>
      </c>
      <c r="E1216" s="85">
        <v>5010024.9442727026</v>
      </c>
      <c r="F1216" s="83" t="s">
        <v>1221</v>
      </c>
      <c r="G1216" s="25">
        <f t="shared" si="37"/>
        <v>1.0171368617393206E-2</v>
      </c>
      <c r="I1216" s="84">
        <v>78.326725371243</v>
      </c>
      <c r="J1216" s="84">
        <v>79.034524673388972</v>
      </c>
      <c r="K1216" s="84">
        <v>77.324775709763671</v>
      </c>
      <c r="L1216" s="84">
        <v>77.729232453847075</v>
      </c>
      <c r="M1216" s="85">
        <v>4134427.5857968354</v>
      </c>
      <c r="N1216" s="83" t="s">
        <v>1221</v>
      </c>
      <c r="O1216" s="25">
        <f t="shared" si="38"/>
        <v>7.6868495742665743E-3</v>
      </c>
    </row>
    <row r="1217" spans="1:15">
      <c r="A1217" s="84">
        <v>329.58949595803051</v>
      </c>
      <c r="B1217" s="84">
        <v>329.70340609747052</v>
      </c>
      <c r="C1217" s="84">
        <v>324.76730005507039</v>
      </c>
      <c r="D1217" s="84">
        <v>324.77679256669035</v>
      </c>
      <c r="E1217" s="85">
        <v>5383145.3724360429</v>
      </c>
      <c r="F1217" s="83" t="s">
        <v>1222</v>
      </c>
      <c r="G1217" s="25">
        <f t="shared" si="37"/>
        <v>1.4818495352779681E-2</v>
      </c>
      <c r="I1217" s="84">
        <v>78.620875730576401</v>
      </c>
      <c r="J1217" s="84">
        <v>79.314886734628601</v>
      </c>
      <c r="K1217" s="84">
        <v>77.242045921201154</v>
      </c>
      <c r="L1217" s="84">
        <v>77.444274293242856</v>
      </c>
      <c r="M1217" s="85">
        <v>4821592.88608093</v>
      </c>
      <c r="N1217" s="83" t="s">
        <v>1222</v>
      </c>
      <c r="O1217" s="25">
        <f t="shared" si="38"/>
        <v>1.5192878338279092E-2</v>
      </c>
    </row>
    <row r="1218" spans="1:15">
      <c r="A1218" s="84">
        <v>319.87865657077026</v>
      </c>
      <c r="B1218" s="84">
        <v>321.47339852293032</v>
      </c>
      <c r="C1218" s="84">
        <v>313.34780857621001</v>
      </c>
      <c r="D1218" s="84">
        <v>314.95204303999009</v>
      </c>
      <c r="E1218" s="85">
        <v>6045815.0906111998</v>
      </c>
      <c r="F1218" s="83" t="s">
        <v>1223</v>
      </c>
      <c r="G1218" s="25">
        <f t="shared" si="37"/>
        <v>1.5642424425088119E-2</v>
      </c>
      <c r="I1218" s="84">
        <v>76.396363638117677</v>
      </c>
      <c r="J1218" s="84">
        <v>77.278814716117822</v>
      </c>
      <c r="K1218" s="84">
        <v>75.385221777909166</v>
      </c>
      <c r="L1218" s="84">
        <v>76.212519663534309</v>
      </c>
      <c r="M1218" s="85">
        <v>4681622.0218830872</v>
      </c>
      <c r="N1218" s="83" t="s">
        <v>1223</v>
      </c>
      <c r="O1218" s="25">
        <f t="shared" si="38"/>
        <v>2.4122542515980783E-3</v>
      </c>
    </row>
    <row r="1219" spans="1:15">
      <c r="A1219" s="84">
        <v>311.63915648461</v>
      </c>
      <c r="B1219" s="84">
        <v>319.12874815279019</v>
      </c>
      <c r="C1219" s="84">
        <v>311.46829127544999</v>
      </c>
      <c r="D1219" s="84">
        <v>315.69245894635009</v>
      </c>
      <c r="E1219" s="85">
        <v>8150246.541388751</v>
      </c>
      <c r="F1219" s="83" t="s">
        <v>1224</v>
      </c>
      <c r="G1219" s="25">
        <f t="shared" si="37"/>
        <v>-1.2839402231109132E-2</v>
      </c>
      <c r="I1219" s="84">
        <v>75.247338796971633</v>
      </c>
      <c r="J1219" s="84">
        <v>76.175750868617641</v>
      </c>
      <c r="K1219" s="84">
        <v>75.164609008409116</v>
      </c>
      <c r="L1219" s="84">
        <v>75.780486323263389</v>
      </c>
      <c r="M1219" s="85">
        <v>6966691.2005278477</v>
      </c>
      <c r="N1219" s="83" t="s">
        <v>1224</v>
      </c>
      <c r="O1219" s="25">
        <f t="shared" si="38"/>
        <v>-7.0354196991750939E-3</v>
      </c>
    </row>
    <row r="1220" spans="1:15">
      <c r="A1220" s="84">
        <v>316.46135238757012</v>
      </c>
      <c r="B1220" s="84">
        <v>320.18241694261025</v>
      </c>
      <c r="C1220" s="84">
        <v>313.75598657587</v>
      </c>
      <c r="D1220" s="84">
        <v>320.04002926831021</v>
      </c>
      <c r="E1220" s="85">
        <v>7616657.5185080143</v>
      </c>
      <c r="F1220" s="83" t="s">
        <v>1225</v>
      </c>
      <c r="G1220" s="25">
        <f t="shared" si="37"/>
        <v>-1.1181966483760908E-2</v>
      </c>
      <c r="I1220" s="84">
        <v>75.688564335971719</v>
      </c>
      <c r="J1220" s="84">
        <v>76.258480657180144</v>
      </c>
      <c r="K1220" s="84">
        <v>74.842882052888228</v>
      </c>
      <c r="L1220" s="84">
        <v>75.991906894034273</v>
      </c>
      <c r="M1220" s="85">
        <v>7604291.6455010707</v>
      </c>
      <c r="N1220" s="83" t="s">
        <v>1225</v>
      </c>
      <c r="O1220" s="25">
        <f t="shared" si="38"/>
        <v>-3.9917745252207038E-3</v>
      </c>
    </row>
    <row r="1221" spans="1:15">
      <c r="A1221" s="84">
        <v>323.20103563777036</v>
      </c>
      <c r="B1221" s="84">
        <v>324.73882252021042</v>
      </c>
      <c r="C1221" s="84">
        <v>316.27150215517014</v>
      </c>
      <c r="D1221" s="84">
        <v>317.8092890376102</v>
      </c>
      <c r="E1221" s="85">
        <v>9148210.0287381299</v>
      </c>
      <c r="F1221" s="83" t="s">
        <v>1226</v>
      </c>
      <c r="G1221" s="25">
        <f t="shared" si="37"/>
        <v>1.6965352449223481E-2</v>
      </c>
      <c r="I1221" s="84">
        <v>76.571015413971864</v>
      </c>
      <c r="J1221" s="84">
        <v>77.10416294026362</v>
      </c>
      <c r="K1221" s="84">
        <v>74.263773532950637</v>
      </c>
      <c r="L1221" s="84">
        <v>74.663634177669437</v>
      </c>
      <c r="M1221" s="85">
        <v>6599897.5639519477</v>
      </c>
      <c r="N1221" s="83" t="s">
        <v>1226</v>
      </c>
      <c r="O1221" s="25">
        <f t="shared" si="38"/>
        <v>2.5546321945214112E-2</v>
      </c>
    </row>
    <row r="1222" spans="1:15">
      <c r="A1222" s="84">
        <v>316.97470740692296</v>
      </c>
      <c r="B1222" s="84">
        <v>323.07055660569051</v>
      </c>
      <c r="C1222" s="84">
        <v>314.79154281015502</v>
      </c>
      <c r="D1222" s="84">
        <v>321.1331161626714</v>
      </c>
      <c r="E1222" s="85">
        <v>6132369.6389270518</v>
      </c>
      <c r="F1222" s="83" t="s">
        <v>1227</v>
      </c>
      <c r="G1222" s="25">
        <f t="shared" si="37"/>
        <v>-1.2949174490126336E-2</v>
      </c>
      <c r="I1222" s="84">
        <v>74.456809706263158</v>
      </c>
      <c r="J1222" s="84">
        <v>75.421990572825834</v>
      </c>
      <c r="K1222" s="84">
        <v>73.785779199033868</v>
      </c>
      <c r="L1222" s="84">
        <v>74.980765033825747</v>
      </c>
      <c r="M1222" s="85">
        <v>6657014.4753100537</v>
      </c>
      <c r="N1222" s="83" t="s">
        <v>1227</v>
      </c>
      <c r="O1222" s="25">
        <f t="shared" si="38"/>
        <v>-6.9878631849944473E-3</v>
      </c>
    </row>
    <row r="1223" spans="1:15">
      <c r="A1223" s="84">
        <v>317.87254566100495</v>
      </c>
      <c r="B1223" s="84">
        <v>322.90043988386446</v>
      </c>
      <c r="C1223" s="84">
        <v>316.67227767923214</v>
      </c>
      <c r="D1223" s="84">
        <v>319.65877124017874</v>
      </c>
      <c r="E1223" s="85">
        <v>5719740.3615314532</v>
      </c>
      <c r="F1223" s="83" t="s">
        <v>1228</v>
      </c>
      <c r="G1223" s="25">
        <f t="shared" si="37"/>
        <v>-5.5879135499513621E-3</v>
      </c>
      <c r="I1223" s="84">
        <v>74.539539494825675</v>
      </c>
      <c r="J1223" s="84">
        <v>75.736915301287141</v>
      </c>
      <c r="K1223" s="84">
        <v>74.208620340575621</v>
      </c>
      <c r="L1223" s="84">
        <v>74.999149431284096</v>
      </c>
      <c r="M1223" s="85">
        <v>5269126.726591384</v>
      </c>
      <c r="N1223" s="83" t="s">
        <v>1228</v>
      </c>
      <c r="O1223" s="25">
        <f t="shared" si="38"/>
        <v>-6.1282019855375403E-3</v>
      </c>
    </row>
    <row r="1224" spans="1:15">
      <c r="A1224" s="84">
        <v>320.98190129882596</v>
      </c>
      <c r="B1224" s="84">
        <v>323.29737890145861</v>
      </c>
      <c r="C1224" s="84">
        <v>316.89909997500024</v>
      </c>
      <c r="D1224" s="84">
        <v>323.29737890145861</v>
      </c>
      <c r="E1224" s="85">
        <v>11101015.5834697</v>
      </c>
      <c r="F1224" s="83" t="s">
        <v>1229</v>
      </c>
      <c r="G1224" s="25">
        <f t="shared" si="37"/>
        <v>-7.1620673526661127E-3</v>
      </c>
      <c r="I1224" s="84">
        <v>75.4036061753675</v>
      </c>
      <c r="J1224" s="84">
        <v>76.322826048284327</v>
      </c>
      <c r="K1224" s="84">
        <v>74.236196936763122</v>
      </c>
      <c r="L1224" s="84">
        <v>76.175750868617641</v>
      </c>
      <c r="M1224" s="85">
        <v>7316916.4398696087</v>
      </c>
      <c r="N1224" s="83" t="s">
        <v>1229</v>
      </c>
      <c r="O1224" s="25">
        <f t="shared" si="38"/>
        <v>-1.0136358151321412E-2</v>
      </c>
    </row>
    <row r="1225" spans="1:15">
      <c r="A1225" s="84">
        <v>326.40673453927957</v>
      </c>
      <c r="B1225" s="84">
        <v>329.40267902921653</v>
      </c>
      <c r="C1225" s="84">
        <v>325.74516950995599</v>
      </c>
      <c r="D1225" s="84">
        <v>328.46703705917315</v>
      </c>
      <c r="E1225" s="85">
        <v>5878387.1994807124</v>
      </c>
      <c r="F1225" s="83" t="s">
        <v>1230</v>
      </c>
      <c r="G1225" s="25">
        <f t="shared" si="37"/>
        <v>-6.2724787800317872E-3</v>
      </c>
      <c r="I1225" s="84">
        <v>76.708898394909397</v>
      </c>
      <c r="J1225" s="84">
        <v>77.701655857659574</v>
      </c>
      <c r="K1225" s="84">
        <v>76.479093426680194</v>
      </c>
      <c r="L1225" s="84">
        <v>77.214469325013653</v>
      </c>
      <c r="M1225" s="85">
        <v>5385274.1284760041</v>
      </c>
      <c r="N1225" s="83" t="s">
        <v>1230</v>
      </c>
      <c r="O1225" s="25">
        <f t="shared" si="38"/>
        <v>-6.5476190476190244E-3</v>
      </c>
    </row>
    <row r="1226" spans="1:15">
      <c r="A1226" s="84">
        <v>329.18530766243873</v>
      </c>
      <c r="B1226" s="84">
        <v>339.57187862281944</v>
      </c>
      <c r="C1226" s="84">
        <v>329.18530766243873</v>
      </c>
      <c r="D1226" s="84">
        <v>336.81220735764094</v>
      </c>
      <c r="E1226" s="85">
        <v>5398836.4585288176</v>
      </c>
      <c r="F1226" s="83" t="s">
        <v>1231</v>
      </c>
      <c r="G1226" s="25">
        <f t="shared" si="37"/>
        <v>-2.2644368370840162E-2</v>
      </c>
      <c r="I1226" s="84">
        <v>77.508619684347025</v>
      </c>
      <c r="J1226" s="84">
        <v>80.882156617951793</v>
      </c>
      <c r="K1226" s="84">
        <v>77.471850889430357</v>
      </c>
      <c r="L1226" s="84">
        <v>80.119204123430833</v>
      </c>
      <c r="M1226" s="85">
        <v>7666344.263901283</v>
      </c>
      <c r="N1226" s="83" t="s">
        <v>1231</v>
      </c>
      <c r="O1226" s="25">
        <f t="shared" si="38"/>
        <v>-3.258375401560365E-2</v>
      </c>
    </row>
    <row r="1227" spans="1:15">
      <c r="A1227" s="84">
        <v>335.08268735240927</v>
      </c>
      <c r="B1227" s="84">
        <v>336.81220735764094</v>
      </c>
      <c r="C1227" s="84">
        <v>332.51505896431439</v>
      </c>
      <c r="D1227" s="84">
        <v>335.8671144586072</v>
      </c>
      <c r="E1227" s="85">
        <v>3834503.4691353231</v>
      </c>
      <c r="F1227" s="83" t="s">
        <v>1232</v>
      </c>
      <c r="G1227" s="25">
        <f t="shared" si="37"/>
        <v>-2.335528167032308E-3</v>
      </c>
      <c r="I1227" s="84">
        <v>78.271572178868013</v>
      </c>
      <c r="J1227" s="84">
        <v>78.574914736930566</v>
      </c>
      <c r="K1227" s="84">
        <v>76.957087760596934</v>
      </c>
      <c r="L1227" s="84">
        <v>77.738424652576242</v>
      </c>
      <c r="M1227" s="85">
        <v>4200818.6656658426</v>
      </c>
      <c r="N1227" s="83" t="s">
        <v>1232</v>
      </c>
      <c r="O1227" s="25">
        <f t="shared" si="38"/>
        <v>6.8582239564858316E-3</v>
      </c>
    </row>
    <row r="1228" spans="1:15">
      <c r="A1228" s="84">
        <v>338.9008626645055</v>
      </c>
      <c r="B1228" s="84">
        <v>338.9008626645055</v>
      </c>
      <c r="C1228" s="84">
        <v>333.3815201341485</v>
      </c>
      <c r="D1228" s="84">
        <v>333.42877477910019</v>
      </c>
      <c r="E1228" s="85">
        <v>3610909.5767083964</v>
      </c>
      <c r="F1228" s="83" t="s">
        <v>1233</v>
      </c>
      <c r="G1228" s="25">
        <f t="shared" si="37"/>
        <v>1.641156462585025E-2</v>
      </c>
      <c r="I1228" s="84">
        <v>78.087728204284645</v>
      </c>
      <c r="J1228" s="84">
        <v>78.441627855357609</v>
      </c>
      <c r="K1228" s="84">
        <v>77.251238119930335</v>
      </c>
      <c r="L1228" s="84">
        <v>77.628118267826224</v>
      </c>
      <c r="M1228" s="85">
        <v>6077964.7662224872</v>
      </c>
      <c r="N1228" s="83" t="s">
        <v>1233</v>
      </c>
      <c r="O1228" s="25">
        <f t="shared" si="38"/>
        <v>5.9206631142689758E-3</v>
      </c>
    </row>
    <row r="1229" spans="1:15">
      <c r="A1229" s="84">
        <v>336.32075905014341</v>
      </c>
      <c r="B1229" s="84">
        <v>336.90671664754433</v>
      </c>
      <c r="C1229" s="84">
        <v>333.32481456020651</v>
      </c>
      <c r="D1229" s="84">
        <v>335.09213828139957</v>
      </c>
      <c r="E1229" s="85">
        <v>4710931.5968324682</v>
      </c>
      <c r="F1229" s="83" t="s">
        <v>1234</v>
      </c>
      <c r="G1229" s="25">
        <f t="shared" si="37"/>
        <v>3.6665162454874167E-3</v>
      </c>
      <c r="I1229" s="84">
        <v>78.317533172513848</v>
      </c>
      <c r="J1229" s="84">
        <v>79.232156946066084</v>
      </c>
      <c r="K1229" s="84">
        <v>77.674079261472059</v>
      </c>
      <c r="L1229" s="84">
        <v>77.968229620805445</v>
      </c>
      <c r="M1229" s="85">
        <v>8932671.3248103783</v>
      </c>
      <c r="N1229" s="83" t="s">
        <v>1234</v>
      </c>
      <c r="O1229" s="25">
        <f t="shared" si="38"/>
        <v>4.4800754539024989E-3</v>
      </c>
    </row>
    <row r="1230" spans="1:15">
      <c r="A1230" s="84">
        <v>338.98592102541852</v>
      </c>
      <c r="B1230" s="84">
        <v>343.98546246130701</v>
      </c>
      <c r="C1230" s="84">
        <v>337.77620211465535</v>
      </c>
      <c r="D1230" s="84">
        <v>341.3297514150222</v>
      </c>
      <c r="E1230" s="85">
        <v>4028662.1599768368</v>
      </c>
      <c r="F1230" s="83" t="s">
        <v>1235</v>
      </c>
      <c r="G1230" s="25">
        <f t="shared" si="37"/>
        <v>-6.8667626536715876E-3</v>
      </c>
      <c r="I1230" s="84">
        <v>78.694413320409737</v>
      </c>
      <c r="J1230" s="84">
        <v>79.926167950118298</v>
      </c>
      <c r="K1230" s="84">
        <v>78.248591682045088</v>
      </c>
      <c r="L1230" s="84">
        <v>79.098870064493141</v>
      </c>
      <c r="M1230" s="85">
        <v>5498839.99348363</v>
      </c>
      <c r="N1230" s="83" t="s">
        <v>1235</v>
      </c>
      <c r="O1230" s="25">
        <f t="shared" si="38"/>
        <v>-5.1133062173155386E-3</v>
      </c>
    </row>
    <row r="1231" spans="1:15">
      <c r="A1231" s="84">
        <v>342.81354726650517</v>
      </c>
      <c r="B1231" s="84">
        <v>344.17448104111372</v>
      </c>
      <c r="C1231" s="84">
        <v>339.78924998959718</v>
      </c>
      <c r="D1231" s="84">
        <v>342.67178333165009</v>
      </c>
      <c r="E1231" s="85">
        <v>3762074.6104802787</v>
      </c>
      <c r="F1231" s="83" t="s">
        <v>1236</v>
      </c>
      <c r="G1231" s="25">
        <f t="shared" si="37"/>
        <v>4.1370180374000753E-4</v>
      </c>
      <c r="I1231" s="84">
        <v>79.420597020014043</v>
      </c>
      <c r="J1231" s="84">
        <v>80.477699873868389</v>
      </c>
      <c r="K1231" s="84">
        <v>76.561823215242711</v>
      </c>
      <c r="L1231" s="84">
        <v>77.490235286888691</v>
      </c>
      <c r="M1231" s="85">
        <v>8418129.5770355295</v>
      </c>
      <c r="N1231" s="83" t="s">
        <v>1236</v>
      </c>
      <c r="O1231" s="25">
        <f t="shared" si="38"/>
        <v>2.4911032028469782E-2</v>
      </c>
    </row>
    <row r="1232" spans="1:15">
      <c r="A1232" s="84">
        <v>341.53767185280958</v>
      </c>
      <c r="B1232" s="84">
        <v>350.18527187896819</v>
      </c>
      <c r="C1232" s="84">
        <v>340.49816417316242</v>
      </c>
      <c r="D1232" s="84">
        <v>349.0606113291181</v>
      </c>
      <c r="E1232" s="85">
        <v>5871564.5897599189</v>
      </c>
      <c r="F1232" s="83" t="s">
        <v>1237</v>
      </c>
      <c r="G1232" s="25">
        <f t="shared" si="37"/>
        <v>-2.1551957545892786E-2</v>
      </c>
      <c r="I1232" s="84">
        <v>76.957087760596934</v>
      </c>
      <c r="J1232" s="84">
        <v>79.916975751389131</v>
      </c>
      <c r="K1232" s="84">
        <v>76.607784208888546</v>
      </c>
      <c r="L1232" s="84">
        <v>79.19079205178484</v>
      </c>
      <c r="M1232" s="85">
        <v>6383334.5784626082</v>
      </c>
      <c r="N1232" s="83" t="s">
        <v>1237</v>
      </c>
      <c r="O1232" s="25">
        <f t="shared" si="38"/>
        <v>-2.8206616366802217E-2</v>
      </c>
    </row>
    <row r="1233" spans="1:15">
      <c r="A1233" s="84">
        <v>357.11280282888549</v>
      </c>
      <c r="B1233" s="84">
        <v>357.72711321325738</v>
      </c>
      <c r="C1233" s="84">
        <v>354.89183451615622</v>
      </c>
      <c r="D1233" s="84">
        <v>355.18481331485668</v>
      </c>
      <c r="E1233" s="85">
        <v>3133399.9049487179</v>
      </c>
      <c r="F1233" s="83" t="s">
        <v>1238</v>
      </c>
      <c r="G1233" s="25">
        <f t="shared" si="37"/>
        <v>5.4281304879995051E-3</v>
      </c>
      <c r="I1233" s="84">
        <v>80.707504842097592</v>
      </c>
      <c r="J1233" s="84">
        <v>81.525610528993582</v>
      </c>
      <c r="K1233" s="84">
        <v>80.440931078951721</v>
      </c>
      <c r="L1233" s="84">
        <v>81.203883573472694</v>
      </c>
      <c r="M1233" s="85">
        <v>5914792.7065018294</v>
      </c>
      <c r="N1233" s="83" t="s">
        <v>1238</v>
      </c>
      <c r="O1233" s="25">
        <f t="shared" si="38"/>
        <v>-6.1127462078335304E-3</v>
      </c>
    </row>
    <row r="1234" spans="1:15">
      <c r="A1234" s="84">
        <v>353.22847101385685</v>
      </c>
      <c r="B1234" s="84">
        <v>354.04125090702587</v>
      </c>
      <c r="C1234" s="84">
        <v>349.66547078449969</v>
      </c>
      <c r="D1234" s="84">
        <v>349.91119493824846</v>
      </c>
      <c r="E1234" s="85">
        <v>2773865.9370738068</v>
      </c>
      <c r="F1234" s="83" t="s">
        <v>1239</v>
      </c>
      <c r="G1234" s="25">
        <f t="shared" si="37"/>
        <v>9.4803370786515906E-3</v>
      </c>
      <c r="I1234" s="84">
        <v>80.928117611597642</v>
      </c>
      <c r="J1234" s="84">
        <v>81.22429025465145</v>
      </c>
      <c r="K1234" s="84">
        <v>79.505624858258855</v>
      </c>
      <c r="L1234" s="84">
        <v>80.064050931055817</v>
      </c>
      <c r="M1234" s="85">
        <v>4489664.6837109989</v>
      </c>
      <c r="N1234" s="83" t="s">
        <v>1239</v>
      </c>
      <c r="O1234" s="25">
        <f t="shared" si="38"/>
        <v>1.0792192881745155E-2</v>
      </c>
    </row>
    <row r="1235" spans="1:15">
      <c r="A1235" s="84">
        <v>347.86034334734524</v>
      </c>
      <c r="B1235" s="84">
        <v>348.24783143594914</v>
      </c>
      <c r="C1235" s="84">
        <v>342.37880453294963</v>
      </c>
      <c r="D1235" s="84">
        <v>343.42313218638191</v>
      </c>
      <c r="E1235" s="85">
        <v>3906533.4252058854</v>
      </c>
      <c r="F1235" s="83" t="s">
        <v>1240</v>
      </c>
      <c r="G1235" s="25">
        <f t="shared" si="37"/>
        <v>1.2920536635706803E-2</v>
      </c>
      <c r="I1235" s="84">
        <v>79.567672199680729</v>
      </c>
      <c r="J1235" s="84">
        <v>80.05485873232665</v>
      </c>
      <c r="K1235" s="84">
        <v>78.547338140743051</v>
      </c>
      <c r="L1235" s="84">
        <v>79.834245962826614</v>
      </c>
      <c r="M1235" s="85">
        <v>6264454.4245194094</v>
      </c>
      <c r="N1235" s="83" t="s">
        <v>1240</v>
      </c>
      <c r="O1235" s="25">
        <f t="shared" si="38"/>
        <v>-3.339090385722554E-3</v>
      </c>
    </row>
    <row r="1236" spans="1:15">
      <c r="A1236" s="84">
        <v>345.60157131865463</v>
      </c>
      <c r="B1236" s="84">
        <v>346.25841088348312</v>
      </c>
      <c r="C1236" s="84">
        <v>338.99574999156852</v>
      </c>
      <c r="D1236" s="84">
        <v>339.15603774724462</v>
      </c>
      <c r="E1236" s="85">
        <v>4377295.6121346867</v>
      </c>
      <c r="F1236" s="83" t="s">
        <v>1241</v>
      </c>
      <c r="G1236" s="25">
        <f t="shared" si="37"/>
        <v>1.9004625759349025E-2</v>
      </c>
      <c r="I1236" s="84">
        <v>80.385777886576719</v>
      </c>
      <c r="J1236" s="84">
        <v>80.624775053535075</v>
      </c>
      <c r="K1236" s="84">
        <v>78.455416153451367</v>
      </c>
      <c r="L1236" s="84">
        <v>79.347059430180693</v>
      </c>
      <c r="M1236" s="85">
        <v>5801992.708313168</v>
      </c>
      <c r="N1236" s="83" t="s">
        <v>1241</v>
      </c>
      <c r="O1236" s="25">
        <f t="shared" si="38"/>
        <v>1.3090824837812987E-2</v>
      </c>
    </row>
    <row r="1237" spans="1:15">
      <c r="A1237" s="84">
        <v>339.51517304887744</v>
      </c>
      <c r="B1237" s="84">
        <v>342.38825546193993</v>
      </c>
      <c r="C1237" s="84">
        <v>337.39816495504186</v>
      </c>
      <c r="D1237" s="84">
        <v>341.51876999482897</v>
      </c>
      <c r="E1237" s="85">
        <v>6010322.3776282622</v>
      </c>
      <c r="F1237" s="83" t="s">
        <v>1242</v>
      </c>
      <c r="G1237" s="25">
        <f t="shared" si="37"/>
        <v>-5.8667257029002551E-3</v>
      </c>
      <c r="I1237" s="84">
        <v>80.119204123430833</v>
      </c>
      <c r="J1237" s="84">
        <v>81.222267970931028</v>
      </c>
      <c r="K1237" s="84">
        <v>79.591571916376566</v>
      </c>
      <c r="L1237" s="84">
        <v>80.624775053535075</v>
      </c>
      <c r="M1237" s="85">
        <v>4957894.3343975684</v>
      </c>
      <c r="N1237" s="83" t="s">
        <v>1242</v>
      </c>
      <c r="O1237" s="25">
        <f t="shared" si="38"/>
        <v>-6.2706646904570063E-3</v>
      </c>
    </row>
    <row r="1238" spans="1:15">
      <c r="A1238" s="84">
        <v>340.65873545670826</v>
      </c>
      <c r="B1238" s="84">
        <v>348.86214182032103</v>
      </c>
      <c r="C1238" s="84">
        <v>339.08043031532191</v>
      </c>
      <c r="D1238" s="84">
        <v>347.74693219946118</v>
      </c>
      <c r="E1238" s="85">
        <v>4808228.9102436844</v>
      </c>
      <c r="F1238" s="83" t="s">
        <v>1243</v>
      </c>
      <c r="G1238" s="25">
        <f t="shared" si="37"/>
        <v>-2.0383204239706298E-2</v>
      </c>
      <c r="I1238" s="84">
        <v>80.514468668785071</v>
      </c>
      <c r="J1238" s="84">
        <v>82.509175793014592</v>
      </c>
      <c r="K1238" s="84">
        <v>80.238702706910018</v>
      </c>
      <c r="L1238" s="84">
        <v>81.782992093410286</v>
      </c>
      <c r="M1238" s="85">
        <v>4538223.2509429744</v>
      </c>
      <c r="N1238" s="83" t="s">
        <v>1243</v>
      </c>
      <c r="O1238" s="25">
        <f t="shared" si="38"/>
        <v>-1.5510846352703056E-2</v>
      </c>
    </row>
    <row r="1239" spans="1:15">
      <c r="A1239" s="84">
        <v>344.26899033101705</v>
      </c>
      <c r="B1239" s="84">
        <v>344.67538027760156</v>
      </c>
      <c r="C1239" s="84">
        <v>338.82525523258278</v>
      </c>
      <c r="D1239" s="84">
        <v>341.2730458410802</v>
      </c>
      <c r="E1239" s="85">
        <v>6482789.1588902213</v>
      </c>
      <c r="F1239" s="83" t="s">
        <v>1244</v>
      </c>
      <c r="G1239" s="25">
        <f t="shared" si="37"/>
        <v>8.7787316532814685E-3</v>
      </c>
      <c r="I1239" s="84">
        <v>80.918925412868475</v>
      </c>
      <c r="J1239" s="84">
        <v>82.316139619702042</v>
      </c>
      <c r="K1239" s="84">
        <v>80.41335448276422</v>
      </c>
      <c r="L1239" s="84">
        <v>82.18744883749369</v>
      </c>
      <c r="M1239" s="85">
        <v>6692541.3399505829</v>
      </c>
      <c r="N1239" s="83" t="s">
        <v>1244</v>
      </c>
      <c r="O1239" s="25">
        <f t="shared" si="38"/>
        <v>-1.5434515154904238E-2</v>
      </c>
    </row>
    <row r="1240" spans="1:15">
      <c r="A1240" s="84">
        <v>343.21048628409932</v>
      </c>
      <c r="B1240" s="84">
        <v>348.5408102346496</v>
      </c>
      <c r="C1240" s="84">
        <v>343.17268256813799</v>
      </c>
      <c r="D1240" s="84">
        <v>347.42560061378975</v>
      </c>
      <c r="E1240" s="85">
        <v>4298560.4951148899</v>
      </c>
      <c r="F1240" s="83" t="s">
        <v>1245</v>
      </c>
      <c r="G1240" s="25">
        <f t="shared" si="37"/>
        <v>-1.2132422948233135E-2</v>
      </c>
      <c r="I1240" s="84">
        <v>82.499983594285411</v>
      </c>
      <c r="J1240" s="84">
        <v>83.869621204931491</v>
      </c>
      <c r="K1240" s="84">
        <v>82.463214799368743</v>
      </c>
      <c r="L1240" s="84">
        <v>83.639816236702288</v>
      </c>
      <c r="M1240" s="85">
        <v>5075759.4972298378</v>
      </c>
      <c r="N1240" s="83" t="s">
        <v>1245</v>
      </c>
      <c r="O1240" s="25">
        <f t="shared" si="38"/>
        <v>-1.3627871194636931E-2</v>
      </c>
    </row>
    <row r="1241" spans="1:15">
      <c r="A1241" s="84">
        <v>345.93235383331643</v>
      </c>
      <c r="B1241" s="84">
        <v>351.05003188158412</v>
      </c>
      <c r="C1241" s="84">
        <v>344.03271710625864</v>
      </c>
      <c r="D1241" s="84">
        <v>350.91299341122425</v>
      </c>
      <c r="E1241" s="85">
        <v>5337608.6151504973</v>
      </c>
      <c r="F1241" s="83" t="s">
        <v>1246</v>
      </c>
      <c r="G1241" s="25">
        <f t="shared" si="37"/>
        <v>-1.4193374629679734E-2</v>
      </c>
      <c r="I1241" s="84">
        <v>83.492741057035587</v>
      </c>
      <c r="J1241" s="84">
        <v>85.032434344171278</v>
      </c>
      <c r="K1241" s="84">
        <v>83.033131120577181</v>
      </c>
      <c r="L1241" s="84">
        <v>84.926724058785851</v>
      </c>
      <c r="M1241" s="85">
        <v>3767294.5309716221</v>
      </c>
      <c r="N1241" s="83" t="s">
        <v>1246</v>
      </c>
      <c r="O1241" s="25">
        <f t="shared" si="38"/>
        <v>-1.688494425803666E-2</v>
      </c>
    </row>
    <row r="1242" spans="1:15">
      <c r="A1242" s="84">
        <v>349.73162728743205</v>
      </c>
      <c r="B1242" s="84">
        <v>352.56690598453326</v>
      </c>
      <c r="C1242" s="84">
        <v>348.53135930565918</v>
      </c>
      <c r="D1242" s="84">
        <v>349.46700127570261</v>
      </c>
      <c r="E1242" s="85">
        <v>5240922.8818290168</v>
      </c>
      <c r="F1242" s="83" t="s">
        <v>1247</v>
      </c>
      <c r="G1242" s="25">
        <f t="shared" si="37"/>
        <v>7.5722746572193245E-4</v>
      </c>
      <c r="I1242" s="84">
        <v>84.6785346930983</v>
      </c>
      <c r="J1242" s="84">
        <v>85.478255982535941</v>
      </c>
      <c r="K1242" s="84">
        <v>83.906389999848173</v>
      </c>
      <c r="L1242" s="84">
        <v>85.174913424473388</v>
      </c>
      <c r="M1242" s="85">
        <v>4132854.5127567463</v>
      </c>
      <c r="N1242" s="83" t="s">
        <v>1247</v>
      </c>
      <c r="O1242" s="25">
        <f t="shared" si="38"/>
        <v>-5.8277573926182047E-3</v>
      </c>
    </row>
    <row r="1243" spans="1:15">
      <c r="A1243" s="84">
        <v>352.05655581905501</v>
      </c>
      <c r="B1243" s="84">
        <v>364.85311367197176</v>
      </c>
      <c r="C1243" s="84">
        <v>352.05655581905501</v>
      </c>
      <c r="D1243" s="84">
        <v>364.38056722245489</v>
      </c>
      <c r="E1243" s="85">
        <v>5452543.3481392413</v>
      </c>
      <c r="F1243" s="83" t="s">
        <v>1248</v>
      </c>
      <c r="G1243" s="25">
        <f t="shared" si="37"/>
        <v>-3.3821812994423661E-2</v>
      </c>
      <c r="I1243" s="84">
        <v>85.965442515181863</v>
      </c>
      <c r="J1243" s="84">
        <v>89.008060294536563</v>
      </c>
      <c r="K1243" s="84">
        <v>85.937865918994348</v>
      </c>
      <c r="L1243" s="84">
        <v>88.815024121224042</v>
      </c>
      <c r="M1243" s="85">
        <v>3052238.1887775585</v>
      </c>
      <c r="N1243" s="83" t="s">
        <v>1248</v>
      </c>
      <c r="O1243" s="25">
        <f t="shared" si="38"/>
        <v>-3.2084454564272447E-2</v>
      </c>
    </row>
    <row r="1244" spans="1:15">
      <c r="A1244" s="84">
        <v>364.55068394428099</v>
      </c>
      <c r="B1244" s="84">
        <v>364.55068394428099</v>
      </c>
      <c r="C1244" s="84">
        <v>359.79686666214127</v>
      </c>
      <c r="D1244" s="84">
        <v>360.79866513511701</v>
      </c>
      <c r="E1244" s="85">
        <v>2784160.1631863369</v>
      </c>
      <c r="F1244" s="83" t="s">
        <v>1249</v>
      </c>
      <c r="G1244" s="25">
        <f t="shared" si="37"/>
        <v>1.0399203688181258E-2</v>
      </c>
      <c r="I1244" s="84">
        <v>88.364606383494788</v>
      </c>
      <c r="J1244" s="84">
        <v>88.447336172057305</v>
      </c>
      <c r="K1244" s="84">
        <v>86.186055284681913</v>
      </c>
      <c r="L1244" s="84">
        <v>86.250400675786082</v>
      </c>
      <c r="M1244" s="85">
        <v>4631860.2604724532</v>
      </c>
      <c r="N1244" s="83" t="s">
        <v>1249</v>
      </c>
      <c r="O1244" s="25">
        <f t="shared" si="38"/>
        <v>2.4512416071618803E-2</v>
      </c>
    </row>
    <row r="1245" spans="1:15">
      <c r="A1245" s="84">
        <v>359.3148692836341</v>
      </c>
      <c r="B1245" s="84">
        <v>360.62854841329096</v>
      </c>
      <c r="C1245" s="84">
        <v>357.41523255657631</v>
      </c>
      <c r="D1245" s="84">
        <v>358.09569944388056</v>
      </c>
      <c r="E1245" s="85">
        <v>2371454.7028037813</v>
      </c>
      <c r="F1245" s="83" t="s">
        <v>1250</v>
      </c>
      <c r="G1245" s="25">
        <f t="shared" si="37"/>
        <v>3.4045922406968909E-3</v>
      </c>
      <c r="I1245" s="84">
        <v>85.772406341869328</v>
      </c>
      <c r="J1245" s="84">
        <v>86.020595707556865</v>
      </c>
      <c r="K1245" s="84">
        <v>85.30360420668174</v>
      </c>
      <c r="L1245" s="84">
        <v>85.459871585077607</v>
      </c>
      <c r="M1245" s="85">
        <v>3335259.7026341665</v>
      </c>
      <c r="N1245" s="83" t="s">
        <v>1250</v>
      </c>
      <c r="O1245" s="25">
        <f t="shared" si="38"/>
        <v>3.6570936861353154E-3</v>
      </c>
    </row>
    <row r="1246" spans="1:15">
      <c r="A1246" s="84">
        <v>358.22801244974534</v>
      </c>
      <c r="B1246" s="84">
        <v>360.90262535401075</v>
      </c>
      <c r="C1246" s="84">
        <v>357.73968294881456</v>
      </c>
      <c r="D1246" s="84">
        <v>358.71946075724281</v>
      </c>
      <c r="E1246" s="85">
        <v>3035875.1006736723</v>
      </c>
      <c r="F1246" s="83" t="s">
        <v>1251</v>
      </c>
      <c r="G1246" s="25">
        <f t="shared" si="37"/>
        <v>-1.3700073769625787E-3</v>
      </c>
      <c r="I1246" s="84">
        <v>84.963492853702519</v>
      </c>
      <c r="J1246" s="84">
        <v>85.165721225744221</v>
      </c>
      <c r="K1246" s="84">
        <v>84.347615538848245</v>
      </c>
      <c r="L1246" s="84">
        <v>84.503882917244113</v>
      </c>
      <c r="M1246" s="85">
        <v>2865385.1788932295</v>
      </c>
      <c r="N1246" s="83" t="s">
        <v>1251</v>
      </c>
      <c r="O1246" s="25">
        <f t="shared" si="38"/>
        <v>5.4389209180898401E-3</v>
      </c>
    </row>
    <row r="1247" spans="1:15">
      <c r="A1247" s="84">
        <v>359.07859605887563</v>
      </c>
      <c r="B1247" s="84">
        <v>362.4809304953971</v>
      </c>
      <c r="C1247" s="84">
        <v>358.27526709469697</v>
      </c>
      <c r="D1247" s="84">
        <v>362.37697027650336</v>
      </c>
      <c r="E1247" s="85">
        <v>4395036.7252222393</v>
      </c>
      <c r="F1247" s="83" t="s">
        <v>1252</v>
      </c>
      <c r="G1247" s="25">
        <f t="shared" si="37"/>
        <v>-9.1020525258848073E-3</v>
      </c>
      <c r="I1247" s="84">
        <v>84.365999936306579</v>
      </c>
      <c r="J1247" s="84">
        <v>85.441487187619273</v>
      </c>
      <c r="K1247" s="84">
        <v>84.246501352827394</v>
      </c>
      <c r="L1247" s="84">
        <v>84.853186468952501</v>
      </c>
      <c r="M1247" s="85">
        <v>6276577.7481423402</v>
      </c>
      <c r="N1247" s="83" t="s">
        <v>1252</v>
      </c>
      <c r="O1247" s="25">
        <f t="shared" si="38"/>
        <v>-5.7415231285884438E-3</v>
      </c>
    </row>
    <row r="1248" spans="1:15">
      <c r="A1248" s="84">
        <v>366.80945597297159</v>
      </c>
      <c r="B1248" s="84">
        <v>369.48406887723701</v>
      </c>
      <c r="C1248" s="84">
        <v>365.98722515081221</v>
      </c>
      <c r="D1248" s="84">
        <v>369.2477956524786</v>
      </c>
      <c r="E1248" s="85">
        <v>3067455.0649613254</v>
      </c>
      <c r="F1248" s="83" t="s">
        <v>1253</v>
      </c>
      <c r="G1248" s="25">
        <f t="shared" si="37"/>
        <v>-6.6035321218325116E-3</v>
      </c>
      <c r="I1248" s="84">
        <v>85.855136130431845</v>
      </c>
      <c r="J1248" s="84">
        <v>87.335080125827943</v>
      </c>
      <c r="K1248" s="84">
        <v>85.611542864108884</v>
      </c>
      <c r="L1248" s="84">
        <v>86.636473022411153</v>
      </c>
      <c r="M1248" s="85">
        <v>5466229.7324533919</v>
      </c>
      <c r="N1248" s="83" t="s">
        <v>1253</v>
      </c>
      <c r="O1248" s="25">
        <f t="shared" si="38"/>
        <v>-9.0185676392573466E-3</v>
      </c>
    </row>
    <row r="1249" spans="1:15">
      <c r="A1249" s="84">
        <v>371.94131041472474</v>
      </c>
      <c r="B1249" s="84">
        <v>372.38550407727058</v>
      </c>
      <c r="C1249" s="84">
        <v>369.69198931502444</v>
      </c>
      <c r="D1249" s="84">
        <v>370.87335543881665</v>
      </c>
      <c r="E1249" s="85">
        <v>3447365.8656530841</v>
      </c>
      <c r="F1249" s="83" t="s">
        <v>1254</v>
      </c>
      <c r="G1249" s="25">
        <f t="shared" si="37"/>
        <v>2.8795678099995392E-3</v>
      </c>
      <c r="I1249" s="84">
        <v>87.059314163952891</v>
      </c>
      <c r="J1249" s="84">
        <v>87.34427232455711</v>
      </c>
      <c r="K1249" s="84">
        <v>86.627280823681971</v>
      </c>
      <c r="L1249" s="84">
        <v>87.188004946161243</v>
      </c>
      <c r="M1249" s="85">
        <v>2931326.9647334972</v>
      </c>
      <c r="N1249" s="83" t="s">
        <v>1254</v>
      </c>
      <c r="O1249" s="25">
        <f t="shared" si="38"/>
        <v>-1.4760147601475815E-3</v>
      </c>
    </row>
    <row r="1250" spans="1:15">
      <c r="A1250" s="84">
        <v>370.79774800689387</v>
      </c>
      <c r="B1250" s="84">
        <v>373.16993118346858</v>
      </c>
      <c r="C1250" s="84">
        <v>368.86323735186176</v>
      </c>
      <c r="D1250" s="84">
        <v>370.06057554564762</v>
      </c>
      <c r="E1250" s="85">
        <v>3409532.5478527313</v>
      </c>
      <c r="F1250" s="83" t="s">
        <v>1255</v>
      </c>
      <c r="G1250" s="25">
        <f t="shared" ref="G1250:G1313" si="39">A1250/D1250-1</f>
        <v>1.9920318725097363E-3</v>
      </c>
      <c r="I1250" s="84">
        <v>86.811124795353251</v>
      </c>
      <c r="J1250" s="84">
        <v>87.405158179046069</v>
      </c>
      <c r="K1250" s="84">
        <v>85.732725729572479</v>
      </c>
      <c r="L1250" s="84">
        <v>86.00689498358453</v>
      </c>
      <c r="M1250" s="85">
        <v>3623072.5563278901</v>
      </c>
      <c r="N1250" s="83" t="s">
        <v>1255</v>
      </c>
      <c r="O1250" s="25">
        <f t="shared" ref="O1250:O1313" si="40">I1250/L1250-1</f>
        <v>9.3507597492297201E-3</v>
      </c>
    </row>
    <row r="1251" spans="1:15">
      <c r="A1251" s="84">
        <v>373.34949883428499</v>
      </c>
      <c r="B1251" s="84">
        <v>375.09792069749739</v>
      </c>
      <c r="C1251" s="84">
        <v>370.89225729679731</v>
      </c>
      <c r="D1251" s="84">
        <v>371.64833161602428</v>
      </c>
      <c r="E1251" s="85">
        <v>4089385.2910665683</v>
      </c>
      <c r="F1251" s="83" t="s">
        <v>1256</v>
      </c>
      <c r="G1251" s="25">
        <f t="shared" si="39"/>
        <v>4.5773573390295308E-3</v>
      </c>
      <c r="I1251" s="84">
        <v>86.865958646155661</v>
      </c>
      <c r="J1251" s="84">
        <v>87.962635662203922</v>
      </c>
      <c r="K1251" s="84">
        <v>86.710596068882168</v>
      </c>
      <c r="L1251" s="84">
        <v>87.469131004982202</v>
      </c>
      <c r="M1251" s="85">
        <v>6402233.1983394548</v>
      </c>
      <c r="N1251" s="83" t="s">
        <v>1256</v>
      </c>
      <c r="O1251" s="25">
        <f t="shared" si="40"/>
        <v>-6.895831156618959E-3</v>
      </c>
    </row>
    <row r="1252" spans="1:15">
      <c r="A1252" s="84">
        <v>372.69738473395171</v>
      </c>
      <c r="B1252" s="84">
        <v>373.08487282255555</v>
      </c>
      <c r="C1252" s="84">
        <v>369.0209733567105</v>
      </c>
      <c r="D1252" s="84">
        <v>369.04932614368153</v>
      </c>
      <c r="E1252" s="85">
        <v>3390072.0270734467</v>
      </c>
      <c r="F1252" s="83" t="s">
        <v>1257</v>
      </c>
      <c r="G1252" s="25">
        <f t="shared" si="39"/>
        <v>9.8850162616199722E-3</v>
      </c>
      <c r="I1252" s="84">
        <v>87.852967960599102</v>
      </c>
      <c r="J1252" s="84">
        <v>87.871245910866577</v>
      </c>
      <c r="K1252" s="84">
        <v>85.860671381444774</v>
      </c>
      <c r="L1252" s="84">
        <v>86.217091411660462</v>
      </c>
      <c r="M1252" s="85">
        <v>3694709.6918293629</v>
      </c>
      <c r="N1252" s="83" t="s">
        <v>1257</v>
      </c>
      <c r="O1252" s="25">
        <f t="shared" si="40"/>
        <v>1.897392410430343E-2</v>
      </c>
    </row>
    <row r="1253" spans="1:15">
      <c r="A1253" s="84">
        <v>371.10962866357505</v>
      </c>
      <c r="B1253" s="84">
        <v>371.15688330852674</v>
      </c>
      <c r="C1253" s="84">
        <v>365.83601028696683</v>
      </c>
      <c r="D1253" s="84">
        <v>366.64879018013585</v>
      </c>
      <c r="E1253" s="85">
        <v>3877245.2991091809</v>
      </c>
      <c r="F1253" s="83" t="s">
        <v>1258</v>
      </c>
      <c r="G1253" s="25">
        <f t="shared" si="39"/>
        <v>1.216651630364729E-2</v>
      </c>
      <c r="I1253" s="84">
        <v>86.82940274562074</v>
      </c>
      <c r="J1253" s="84">
        <v>86.884236596423136</v>
      </c>
      <c r="K1253" s="84">
        <v>85.248360047484496</v>
      </c>
      <c r="L1253" s="84">
        <v>85.248360047484496</v>
      </c>
      <c r="M1253" s="85">
        <v>3996513.7737573786</v>
      </c>
      <c r="N1253" s="83" t="s">
        <v>1258</v>
      </c>
      <c r="O1253" s="25">
        <f t="shared" si="40"/>
        <v>1.8546312178387758E-2</v>
      </c>
    </row>
    <row r="1254" spans="1:15">
      <c r="A1254" s="84">
        <v>364.86256460096206</v>
      </c>
      <c r="B1254" s="84">
        <v>369.20054100752691</v>
      </c>
      <c r="C1254" s="84">
        <v>364.23880328759981</v>
      </c>
      <c r="D1254" s="84">
        <v>367.51827564724687</v>
      </c>
      <c r="E1254" s="85">
        <v>3783088.417715848</v>
      </c>
      <c r="F1254" s="83" t="s">
        <v>1259</v>
      </c>
      <c r="G1254" s="25">
        <f t="shared" si="39"/>
        <v>-7.226065266027315E-3</v>
      </c>
      <c r="I1254" s="84">
        <v>85.129553370745938</v>
      </c>
      <c r="J1254" s="84">
        <v>86.317620138131545</v>
      </c>
      <c r="K1254" s="84">
        <v>85.047302594542316</v>
      </c>
      <c r="L1254" s="84">
        <v>85.668752903636317</v>
      </c>
      <c r="M1254" s="85">
        <v>3816936.7450441825</v>
      </c>
      <c r="N1254" s="83" t="s">
        <v>1259</v>
      </c>
      <c r="O1254" s="25">
        <f t="shared" si="40"/>
        <v>-6.2940046938338989E-3</v>
      </c>
    </row>
    <row r="1255" spans="1:15">
      <c r="A1255" s="84">
        <v>364.86256460096206</v>
      </c>
      <c r="B1255" s="84">
        <v>365.02323039379786</v>
      </c>
      <c r="C1255" s="84">
        <v>362.06508961982229</v>
      </c>
      <c r="D1255" s="84">
        <v>363.85131519899602</v>
      </c>
      <c r="E1255" s="85">
        <v>3863103.8321553348</v>
      </c>
      <c r="F1255" s="83" t="s">
        <v>1260</v>
      </c>
      <c r="G1255" s="25">
        <f t="shared" si="39"/>
        <v>2.779292968648317E-3</v>
      </c>
      <c r="I1255" s="84">
        <v>85.376305699356791</v>
      </c>
      <c r="J1255" s="84">
        <v>85.650474953368857</v>
      </c>
      <c r="K1255" s="84">
        <v>84.489825111384448</v>
      </c>
      <c r="L1255" s="84">
        <v>84.965051818338694</v>
      </c>
      <c r="M1255" s="85">
        <v>3667329.1599493381</v>
      </c>
      <c r="N1255" s="83" t="s">
        <v>1260</v>
      </c>
      <c r="O1255" s="25">
        <f t="shared" si="40"/>
        <v>4.8402710551791461E-3</v>
      </c>
    </row>
    <row r="1256" spans="1:15">
      <c r="A1256" s="84">
        <v>357.37742884061493</v>
      </c>
      <c r="B1256" s="84">
        <v>358.57769682238779</v>
      </c>
      <c r="C1256" s="84">
        <v>356.39453222561986</v>
      </c>
      <c r="D1256" s="84">
        <v>358.20911059176461</v>
      </c>
      <c r="E1256" s="85">
        <v>2497663.4597650827</v>
      </c>
      <c r="F1256" s="83" t="s">
        <v>1261</v>
      </c>
      <c r="G1256" s="25">
        <f t="shared" si="39"/>
        <v>-2.3217772149226601E-3</v>
      </c>
      <c r="I1256" s="84">
        <v>84.02373737956394</v>
      </c>
      <c r="J1256" s="84">
        <v>84.348170996811547</v>
      </c>
      <c r="K1256" s="84">
        <v>83.219507567795219</v>
      </c>
      <c r="L1256" s="84">
        <v>83.630761448813317</v>
      </c>
      <c r="M1256" s="85">
        <v>3433104.8657942601</v>
      </c>
      <c r="N1256" s="83" t="s">
        <v>1261</v>
      </c>
      <c r="O1256" s="25">
        <f t="shared" si="40"/>
        <v>4.6989400065566844E-3</v>
      </c>
    </row>
    <row r="1257" spans="1:15">
      <c r="A1257" s="84">
        <v>358.79506818916553</v>
      </c>
      <c r="B1257" s="84">
        <v>362.82759057076265</v>
      </c>
      <c r="C1257" s="84">
        <v>357.78381878719944</v>
      </c>
      <c r="D1257" s="84">
        <v>360.81756699309767</v>
      </c>
      <c r="E1257" s="85">
        <v>3656093.4946530345</v>
      </c>
      <c r="F1257" s="83" t="s">
        <v>1262</v>
      </c>
      <c r="G1257" s="25">
        <f t="shared" si="39"/>
        <v>-5.605322437005511E-3</v>
      </c>
      <c r="I1257" s="84">
        <v>83.347453219667514</v>
      </c>
      <c r="J1257" s="84">
        <v>85.632197003101382</v>
      </c>
      <c r="K1257" s="84">
        <v>83.128117816457859</v>
      </c>
      <c r="L1257" s="84">
        <v>85.632197003101382</v>
      </c>
      <c r="M1257" s="85">
        <v>5042185.7293275129</v>
      </c>
      <c r="N1257" s="83" t="s">
        <v>1262</v>
      </c>
      <c r="O1257" s="25">
        <f t="shared" si="40"/>
        <v>-2.6680896478121663E-2</v>
      </c>
    </row>
    <row r="1258" spans="1:15">
      <c r="A1258" s="84">
        <v>359.11639977483702</v>
      </c>
      <c r="B1258" s="84">
        <v>359.79686666214127</v>
      </c>
      <c r="C1258" s="84">
        <v>355.86528020216099</v>
      </c>
      <c r="D1258" s="84">
        <v>355.96924042105468</v>
      </c>
      <c r="E1258" s="85">
        <v>3017787.9898536913</v>
      </c>
      <c r="F1258" s="83" t="s">
        <v>1263</v>
      </c>
      <c r="G1258" s="25">
        <f t="shared" si="39"/>
        <v>8.8410991636798109E-3</v>
      </c>
      <c r="I1258" s="84">
        <v>85.019885669141104</v>
      </c>
      <c r="J1258" s="84">
        <v>85.079289007510383</v>
      </c>
      <c r="K1258" s="84">
        <v>83.93234762822658</v>
      </c>
      <c r="L1258" s="84">
        <v>84.22479483250612</v>
      </c>
      <c r="M1258" s="85">
        <v>3633174.3454945125</v>
      </c>
      <c r="N1258" s="83" t="s">
        <v>1263</v>
      </c>
      <c r="O1258" s="25">
        <f t="shared" si="40"/>
        <v>9.4401041666667407E-3</v>
      </c>
    </row>
    <row r="1259" spans="1:15">
      <c r="A1259" s="84">
        <v>359.86302316507363</v>
      </c>
      <c r="B1259" s="84">
        <v>360.58129376833926</v>
      </c>
      <c r="C1259" s="84">
        <v>358.36977638460036</v>
      </c>
      <c r="D1259" s="84">
        <v>359.96698338396737</v>
      </c>
      <c r="E1259" s="85">
        <v>3608778.5692676897</v>
      </c>
      <c r="F1259" s="83" t="s">
        <v>1264</v>
      </c>
      <c r="G1259" s="25">
        <f t="shared" si="39"/>
        <v>-2.888048729259296E-4</v>
      </c>
      <c r="I1259" s="84">
        <v>84.791411290797726</v>
      </c>
      <c r="J1259" s="84">
        <v>86.692318118614693</v>
      </c>
      <c r="K1259" s="84">
        <v>84.736577439995301</v>
      </c>
      <c r="L1259" s="84">
        <v>86.491260665672513</v>
      </c>
      <c r="M1259" s="85">
        <v>4862384.3866217732</v>
      </c>
      <c r="N1259" s="83" t="s">
        <v>1264</v>
      </c>
      <c r="O1259" s="25">
        <f t="shared" si="40"/>
        <v>-1.9653423499577216E-2</v>
      </c>
    </row>
    <row r="1260" spans="1:15">
      <c r="A1260" s="84">
        <v>360.14655103478378</v>
      </c>
      <c r="B1260" s="84">
        <v>361.11999672078855</v>
      </c>
      <c r="C1260" s="84">
        <v>356.21496457480345</v>
      </c>
      <c r="D1260" s="84">
        <v>356.47959058653288</v>
      </c>
      <c r="E1260" s="85">
        <v>4078730.2538630348</v>
      </c>
      <c r="F1260" s="83" t="s">
        <v>1265</v>
      </c>
      <c r="G1260" s="25">
        <f t="shared" si="39"/>
        <v>1.0286592963758334E-2</v>
      </c>
      <c r="I1260" s="84">
        <v>86.39073193920143</v>
      </c>
      <c r="J1260" s="84">
        <v>86.756290944550855</v>
      </c>
      <c r="K1260" s="84">
        <v>84.453269210849498</v>
      </c>
      <c r="L1260" s="84">
        <v>85.677891878770055</v>
      </c>
      <c r="M1260" s="85">
        <v>4913630.8330937829</v>
      </c>
      <c r="N1260" s="83" t="s">
        <v>1265</v>
      </c>
      <c r="O1260" s="25">
        <f t="shared" si="40"/>
        <v>8.3200000000001051E-3</v>
      </c>
    </row>
    <row r="1261" spans="1:15">
      <c r="A1261" s="84">
        <v>354.60830664644607</v>
      </c>
      <c r="B1261" s="84">
        <v>358.78278198147808</v>
      </c>
      <c r="C1261" s="84">
        <v>353.41748959366362</v>
      </c>
      <c r="D1261" s="84">
        <v>355.45889025557648</v>
      </c>
      <c r="E1261" s="85">
        <v>4372679.1347445166</v>
      </c>
      <c r="F1261" s="83" t="s">
        <v>1266</v>
      </c>
      <c r="G1261" s="25">
        <f t="shared" si="39"/>
        <v>-2.3929169657814775E-3</v>
      </c>
      <c r="I1261" s="84">
        <v>85.677891878770055</v>
      </c>
      <c r="J1261" s="84">
        <v>86.614636829977954</v>
      </c>
      <c r="K1261" s="84">
        <v>84.713730002160958</v>
      </c>
      <c r="L1261" s="84">
        <v>85.668752903636317</v>
      </c>
      <c r="M1261" s="85">
        <v>4449931.136137954</v>
      </c>
      <c r="N1261" s="83" t="s">
        <v>1266</v>
      </c>
      <c r="O1261" s="25">
        <f t="shared" si="40"/>
        <v>1.0667804565822614E-4</v>
      </c>
    </row>
    <row r="1262" spans="1:15">
      <c r="A1262" s="84">
        <v>356.91433332008836</v>
      </c>
      <c r="B1262" s="84">
        <v>359.14475256180799</v>
      </c>
      <c r="C1262" s="84">
        <v>354.82567801322386</v>
      </c>
      <c r="D1262" s="84">
        <v>355.46834118456678</v>
      </c>
      <c r="E1262" s="85">
        <v>4678237.4563605729</v>
      </c>
      <c r="F1262" s="83" t="s">
        <v>1267</v>
      </c>
      <c r="G1262" s="25">
        <f t="shared" si="39"/>
        <v>4.0678506859512797E-3</v>
      </c>
      <c r="I1262" s="84">
        <v>85.211804146949547</v>
      </c>
      <c r="J1262" s="84">
        <v>86.783707869952039</v>
      </c>
      <c r="K1262" s="84">
        <v>85.074719519943528</v>
      </c>
      <c r="L1262" s="84">
        <v>85.531668276630299</v>
      </c>
      <c r="M1262" s="85">
        <v>6152884.6700139847</v>
      </c>
      <c r="N1262" s="83" t="s">
        <v>1267</v>
      </c>
      <c r="O1262" s="25">
        <f t="shared" si="40"/>
        <v>-3.7397157816007054E-3</v>
      </c>
    </row>
    <row r="1263" spans="1:15">
      <c r="A1263" s="84">
        <v>357.99173922498687</v>
      </c>
      <c r="B1263" s="84">
        <v>358.81397004714626</v>
      </c>
      <c r="C1263" s="84">
        <v>353.39858773568295</v>
      </c>
      <c r="D1263" s="84">
        <v>354.15466205490992</v>
      </c>
      <c r="E1263" s="85">
        <v>5551214.0715097608</v>
      </c>
      <c r="F1263" s="83" t="s">
        <v>1268</v>
      </c>
      <c r="G1263" s="25">
        <f t="shared" si="39"/>
        <v>1.0834467483254562E-2</v>
      </c>
      <c r="I1263" s="84">
        <v>85.184387221548334</v>
      </c>
      <c r="J1263" s="84">
        <v>85.348888773955579</v>
      </c>
      <c r="K1263" s="84">
        <v>83.978042503895267</v>
      </c>
      <c r="L1263" s="84">
        <v>84.06029328009889</v>
      </c>
      <c r="M1263" s="85">
        <v>5305326.8326578867</v>
      </c>
      <c r="N1263" s="83" t="s">
        <v>1268</v>
      </c>
      <c r="O1263" s="25">
        <f t="shared" si="40"/>
        <v>1.337247227658156E-2</v>
      </c>
    </row>
    <row r="1264" spans="1:15">
      <c r="A1264" s="84">
        <v>352.82208106727234</v>
      </c>
      <c r="B1264" s="84">
        <v>353.37968587770229</v>
      </c>
      <c r="C1264" s="84">
        <v>345.88509918836479</v>
      </c>
      <c r="D1264" s="84">
        <v>349.13621876104082</v>
      </c>
      <c r="E1264" s="85">
        <v>4597786.1059401669</v>
      </c>
      <c r="F1264" s="83" t="s">
        <v>1269</v>
      </c>
      <c r="G1264" s="25">
        <f t="shared" si="39"/>
        <v>1.0557089491635363E-2</v>
      </c>
      <c r="I1264" s="84">
        <v>84.434991260582038</v>
      </c>
      <c r="J1264" s="84">
        <v>84.690882564326628</v>
      </c>
      <c r="K1264" s="84">
        <v>82.479250581962646</v>
      </c>
      <c r="L1264" s="84">
        <v>82.479250581962646</v>
      </c>
      <c r="M1264" s="85">
        <v>4914030.2214219691</v>
      </c>
      <c r="N1264" s="83" t="s">
        <v>1269</v>
      </c>
      <c r="O1264" s="25">
        <f t="shared" si="40"/>
        <v>2.3711911357340743E-2</v>
      </c>
    </row>
    <row r="1265" spans="1:15">
      <c r="A1265" s="84">
        <v>348.41794815777519</v>
      </c>
      <c r="B1265" s="84">
        <v>349.99625329916148</v>
      </c>
      <c r="C1265" s="84">
        <v>342.33202243444748</v>
      </c>
      <c r="D1265" s="84">
        <v>342.58672497073707</v>
      </c>
      <c r="E1265" s="85">
        <v>4761716.0224154685</v>
      </c>
      <c r="F1265" s="83" t="s">
        <v>1270</v>
      </c>
      <c r="G1265" s="25">
        <f t="shared" si="39"/>
        <v>1.7021159204391845E-2</v>
      </c>
      <c r="I1265" s="84">
        <v>82.497528532230106</v>
      </c>
      <c r="J1265" s="84">
        <v>83.009311139719301</v>
      </c>
      <c r="K1265" s="84">
        <v>81.391712541048122</v>
      </c>
      <c r="L1265" s="84">
        <v>83.009311139719301</v>
      </c>
      <c r="M1265" s="85">
        <v>6082614.2085451279</v>
      </c>
      <c r="N1265" s="83" t="s">
        <v>1270</v>
      </c>
      <c r="O1265" s="25">
        <f t="shared" si="40"/>
        <v>-6.1653638665639665E-3</v>
      </c>
    </row>
    <row r="1266" spans="1:15">
      <c r="A1266" s="84">
        <v>339.52462397786775</v>
      </c>
      <c r="B1266" s="84">
        <v>342.32209895900758</v>
      </c>
      <c r="C1266" s="84">
        <v>338.76864416793069</v>
      </c>
      <c r="D1266" s="84">
        <v>342.23704059809455</v>
      </c>
      <c r="E1266" s="85">
        <v>3160736.9001016966</v>
      </c>
      <c r="F1266" s="83" t="s">
        <v>1271</v>
      </c>
      <c r="G1266" s="25">
        <f t="shared" si="39"/>
        <v>-7.925549541588417E-3</v>
      </c>
      <c r="I1266" s="84">
        <v>82.470111606828908</v>
      </c>
      <c r="J1266" s="84">
        <v>85.330610823688119</v>
      </c>
      <c r="K1266" s="84">
        <v>82.424416731160235</v>
      </c>
      <c r="L1266" s="84">
        <v>84.544658962186858</v>
      </c>
      <c r="M1266" s="85">
        <v>9030812.4042641576</v>
      </c>
      <c r="N1266" s="83" t="s">
        <v>1271</v>
      </c>
      <c r="O1266" s="25">
        <f t="shared" si="40"/>
        <v>-2.4537887795913926E-2</v>
      </c>
    </row>
    <row r="1267" spans="1:15">
      <c r="A1267" s="84">
        <v>343.64522901765486</v>
      </c>
      <c r="B1267" s="84">
        <v>344.42965612385285</v>
      </c>
      <c r="C1267" s="84">
        <v>341.60382835574194</v>
      </c>
      <c r="D1267" s="84">
        <v>343.86260038443254</v>
      </c>
      <c r="E1267" s="85">
        <v>4128938.0165586537</v>
      </c>
      <c r="F1267" s="83" t="s">
        <v>1272</v>
      </c>
      <c r="G1267" s="25">
        <f t="shared" si="39"/>
        <v>-6.321459982407962E-4</v>
      </c>
      <c r="I1267" s="84">
        <v>86.427287839736366</v>
      </c>
      <c r="J1267" s="84">
        <v>87.194961750970151</v>
      </c>
      <c r="K1267" s="84">
        <v>85.933783182514659</v>
      </c>
      <c r="L1267" s="84">
        <v>86.463843740271315</v>
      </c>
      <c r="M1267" s="85">
        <v>5218528.259689698</v>
      </c>
      <c r="N1267" s="83" t="s">
        <v>1272</v>
      </c>
      <c r="O1267" s="25">
        <f t="shared" si="40"/>
        <v>-4.2278828876451957E-4</v>
      </c>
    </row>
    <row r="1268" spans="1:15">
      <c r="A1268" s="84">
        <v>343.3049955740027</v>
      </c>
      <c r="B1268" s="84">
        <v>347.64297198056749</v>
      </c>
      <c r="C1268" s="84">
        <v>341.18798748016712</v>
      </c>
      <c r="D1268" s="84">
        <v>346.55611514667874</v>
      </c>
      <c r="E1268" s="85">
        <v>4797265.966801201</v>
      </c>
      <c r="F1268" s="83" t="s">
        <v>1273</v>
      </c>
      <c r="G1268" s="25">
        <f t="shared" si="39"/>
        <v>-9.3812211950148328E-3</v>
      </c>
      <c r="I1268" s="84">
        <v>86.09828473492189</v>
      </c>
      <c r="J1268" s="84">
        <v>87.469131004982202</v>
      </c>
      <c r="K1268" s="84">
        <v>85.869810356578498</v>
      </c>
      <c r="L1268" s="84">
        <v>86.957348397493035</v>
      </c>
      <c r="M1268" s="85">
        <v>3560923.3556036898</v>
      </c>
      <c r="N1268" s="83" t="s">
        <v>1273</v>
      </c>
      <c r="O1268" s="25">
        <f t="shared" si="40"/>
        <v>-9.8791382028377006E-3</v>
      </c>
    </row>
    <row r="1269" spans="1:15">
      <c r="A1269" s="84">
        <v>346.46160585677535</v>
      </c>
      <c r="B1269" s="84">
        <v>346.48995864374638</v>
      </c>
      <c r="C1269" s="84">
        <v>340.24289458113338</v>
      </c>
      <c r="D1269" s="84">
        <v>342.46386289386265</v>
      </c>
      <c r="E1269" s="85">
        <v>4871456.5570296198</v>
      </c>
      <c r="F1269" s="83" t="s">
        <v>1274</v>
      </c>
      <c r="G1269" s="25">
        <f t="shared" si="39"/>
        <v>1.1673473893365705E-2</v>
      </c>
      <c r="I1269" s="84">
        <v>86.719735044015906</v>
      </c>
      <c r="J1269" s="84">
        <v>86.856819671021938</v>
      </c>
      <c r="K1269" s="84">
        <v>85.522529301496562</v>
      </c>
      <c r="L1269" s="84">
        <v>86.436426814870103</v>
      </c>
      <c r="M1269" s="85">
        <v>3419062.809861064</v>
      </c>
      <c r="N1269" s="83" t="s">
        <v>1274</v>
      </c>
      <c r="O1269" s="25">
        <f t="shared" si="40"/>
        <v>3.2776485514909304E-3</v>
      </c>
    </row>
    <row r="1270" spans="1:15">
      <c r="A1270" s="84">
        <v>342.99311491732158</v>
      </c>
      <c r="B1270" s="84">
        <v>344.24054303475617</v>
      </c>
      <c r="C1270" s="84">
        <v>339.71364255767452</v>
      </c>
      <c r="D1270" s="84">
        <v>340.89500868146666</v>
      </c>
      <c r="E1270" s="85">
        <v>4518747.3150695842</v>
      </c>
      <c r="F1270" s="83" t="s">
        <v>1275</v>
      </c>
      <c r="G1270" s="25">
        <f t="shared" si="39"/>
        <v>6.1546991960077513E-3</v>
      </c>
      <c r="I1270" s="84">
        <v>86.664901193213495</v>
      </c>
      <c r="J1270" s="84">
        <v>86.943639934792429</v>
      </c>
      <c r="K1270" s="84">
        <v>85.111275420478449</v>
      </c>
      <c r="L1270" s="84">
        <v>85.540807251764022</v>
      </c>
      <c r="M1270" s="85">
        <v>4211860.67767171</v>
      </c>
      <c r="N1270" s="83" t="s">
        <v>1275</v>
      </c>
      <c r="O1270" s="25">
        <f t="shared" si="40"/>
        <v>1.3141025641025816E-2</v>
      </c>
    </row>
    <row r="1271" spans="1:15">
      <c r="A1271" s="84">
        <v>340.80995032055364</v>
      </c>
      <c r="B1271" s="84">
        <v>341.26359491208979</v>
      </c>
      <c r="C1271" s="84">
        <v>334.79915948269911</v>
      </c>
      <c r="D1271" s="84">
        <v>335.46072451202269</v>
      </c>
      <c r="E1271" s="85">
        <v>3830472.1194088617</v>
      </c>
      <c r="F1271" s="83" t="s">
        <v>1276</v>
      </c>
      <c r="G1271" s="25">
        <f t="shared" si="39"/>
        <v>1.5945907874348686E-2</v>
      </c>
      <c r="I1271" s="84">
        <v>85.741864704706202</v>
      </c>
      <c r="J1271" s="84">
        <v>85.915505232247185</v>
      </c>
      <c r="K1271" s="84">
        <v>81.528797168054155</v>
      </c>
      <c r="L1271" s="84">
        <v>81.574492043722842</v>
      </c>
      <c r="M1271" s="85">
        <v>5501238.2968866089</v>
      </c>
      <c r="N1271" s="83" t="s">
        <v>1276</v>
      </c>
      <c r="O1271" s="25">
        <f t="shared" si="40"/>
        <v>5.1086712973336112E-2</v>
      </c>
    </row>
    <row r="1272" spans="1:15">
      <c r="A1272" s="84">
        <v>331.80321499276215</v>
      </c>
      <c r="B1272" s="84">
        <v>337.98412255244278</v>
      </c>
      <c r="C1272" s="84">
        <v>330.70690722988309</v>
      </c>
      <c r="D1272" s="84">
        <v>337.36981216807089</v>
      </c>
      <c r="E1272" s="85">
        <v>3750827.0389337479</v>
      </c>
      <c r="F1272" s="83" t="s">
        <v>1277</v>
      </c>
      <c r="G1272" s="25">
        <f t="shared" si="39"/>
        <v>-1.6499985993220889E-2</v>
      </c>
      <c r="I1272" s="84">
        <v>82.067996700944548</v>
      </c>
      <c r="J1272" s="84">
        <v>84.371018434645876</v>
      </c>
      <c r="K1272" s="84">
        <v>81.775549496665022</v>
      </c>
      <c r="L1272" s="84">
        <v>84.297906633576005</v>
      </c>
      <c r="M1272" s="85">
        <v>5869654.880883133</v>
      </c>
      <c r="N1272" s="83" t="s">
        <v>1277</v>
      </c>
      <c r="O1272" s="25">
        <f t="shared" si="40"/>
        <v>-2.6452732003469204E-2</v>
      </c>
    </row>
    <row r="1273" spans="1:15">
      <c r="A1273" s="84">
        <v>334.57233718693101</v>
      </c>
      <c r="B1273" s="84">
        <v>334.66684647683439</v>
      </c>
      <c r="C1273" s="84">
        <v>330.59349608199904</v>
      </c>
      <c r="D1273" s="84">
        <v>332.4175253771341</v>
      </c>
      <c r="E1273" s="85">
        <v>4783101.2217124514</v>
      </c>
      <c r="F1273" s="83" t="s">
        <v>1278</v>
      </c>
      <c r="G1273" s="25">
        <f t="shared" si="39"/>
        <v>6.4822449037613694E-3</v>
      </c>
      <c r="I1273" s="84">
        <v>83.374870145068726</v>
      </c>
      <c r="J1273" s="84">
        <v>83.58506657314463</v>
      </c>
      <c r="K1273" s="84">
        <v>82.524945457631318</v>
      </c>
      <c r="L1273" s="84">
        <v>83.164673716992809</v>
      </c>
      <c r="M1273" s="85">
        <v>4338925.253623276</v>
      </c>
      <c r="N1273" s="83" t="s">
        <v>1278</v>
      </c>
      <c r="O1273" s="25">
        <f t="shared" si="40"/>
        <v>2.5274725274726517E-3</v>
      </c>
    </row>
    <row r="1274" spans="1:15">
      <c r="A1274" s="84">
        <v>328.3630768402794</v>
      </c>
      <c r="B1274" s="84">
        <v>328.84507421878658</v>
      </c>
      <c r="C1274" s="84">
        <v>322.3192077509587</v>
      </c>
      <c r="D1274" s="84">
        <v>324.55435245717348</v>
      </c>
      <c r="E1274" s="85">
        <v>4893529.5194032956</v>
      </c>
      <c r="F1274" s="83" t="s">
        <v>1279</v>
      </c>
      <c r="G1274" s="25">
        <f t="shared" si="39"/>
        <v>1.1735243586383559E-2</v>
      </c>
      <c r="I1274" s="84">
        <v>82.323888004689138</v>
      </c>
      <c r="J1274" s="84">
        <v>82.890504462980743</v>
      </c>
      <c r="K1274" s="84">
        <v>81.378278247601529</v>
      </c>
      <c r="L1274" s="84">
        <v>82.287332104154203</v>
      </c>
      <c r="M1274" s="85">
        <v>5503540.524400319</v>
      </c>
      <c r="N1274" s="83" t="s">
        <v>1279</v>
      </c>
      <c r="O1274" s="25">
        <f t="shared" si="40"/>
        <v>4.4424700133260941E-4</v>
      </c>
    </row>
    <row r="1275" spans="1:15">
      <c r="A1275" s="84">
        <v>329.23256230739042</v>
      </c>
      <c r="B1275" s="84">
        <v>331.72760756083949</v>
      </c>
      <c r="C1275" s="84">
        <v>325.46164164024583</v>
      </c>
      <c r="D1275" s="84">
        <v>325.81132601288834</v>
      </c>
      <c r="E1275" s="85">
        <v>5929084.8611063445</v>
      </c>
      <c r="F1275" s="83" t="s">
        <v>1280</v>
      </c>
      <c r="G1275" s="25">
        <f t="shared" si="39"/>
        <v>1.0500667169460964E-2</v>
      </c>
      <c r="I1275" s="84">
        <v>83.904930702825382</v>
      </c>
      <c r="J1275" s="84">
        <v>86.20795243652671</v>
      </c>
      <c r="K1275" s="84">
        <v>83.813540951488022</v>
      </c>
      <c r="L1275" s="84">
        <v>84.818828216198924</v>
      </c>
      <c r="M1275" s="85">
        <v>6186358.8829889968</v>
      </c>
      <c r="N1275" s="83" t="s">
        <v>1280</v>
      </c>
      <c r="O1275" s="25">
        <f t="shared" si="40"/>
        <v>-1.0774701002047138E-2</v>
      </c>
    </row>
    <row r="1276" spans="1:15">
      <c r="A1276" s="84">
        <v>330.77306373281544</v>
      </c>
      <c r="B1276" s="84">
        <v>335.413469867071</v>
      </c>
      <c r="C1276" s="84">
        <v>329.25146416537109</v>
      </c>
      <c r="D1276" s="84">
        <v>333.23975619929348</v>
      </c>
      <c r="E1276" s="85">
        <v>4317322.6718470706</v>
      </c>
      <c r="F1276" s="83" t="s">
        <v>1281</v>
      </c>
      <c r="G1276" s="25">
        <f t="shared" si="39"/>
        <v>-7.4021554169030335E-3</v>
      </c>
      <c r="I1276" s="84">
        <v>86.363315013800218</v>
      </c>
      <c r="J1276" s="84">
        <v>87.048738148830381</v>
      </c>
      <c r="K1276" s="84">
        <v>85.732725729572479</v>
      </c>
      <c r="L1276" s="84">
        <v>86.052589859253217</v>
      </c>
      <c r="M1276" s="85">
        <v>5107177.6995767225</v>
      </c>
      <c r="N1276" s="83" t="s">
        <v>1281</v>
      </c>
      <c r="O1276" s="25">
        <f t="shared" si="40"/>
        <v>3.6108751062020605E-3</v>
      </c>
    </row>
    <row r="1277" spans="1:15">
      <c r="A1277" s="84">
        <v>333.85406658366537</v>
      </c>
      <c r="B1277" s="84">
        <v>336.04668210942361</v>
      </c>
      <c r="C1277" s="84">
        <v>333.1546978383804</v>
      </c>
      <c r="D1277" s="84">
        <v>335.356764293129</v>
      </c>
      <c r="E1277" s="85">
        <v>3694552.1478046575</v>
      </c>
      <c r="F1277" s="83" t="s">
        <v>1282</v>
      </c>
      <c r="G1277" s="25">
        <f t="shared" si="39"/>
        <v>-4.4808927967534551E-3</v>
      </c>
      <c r="I1277" s="84">
        <v>86.555233491608661</v>
      </c>
      <c r="J1277" s="84">
        <v>86.948209422359284</v>
      </c>
      <c r="K1277" s="84">
        <v>85.95206113278212</v>
      </c>
      <c r="L1277" s="84">
        <v>86.171396535991775</v>
      </c>
      <c r="M1277" s="85">
        <v>2737771.9748508744</v>
      </c>
      <c r="N1277" s="83" t="s">
        <v>1282</v>
      </c>
      <c r="O1277" s="25">
        <f t="shared" si="40"/>
        <v>4.4543429844097204E-3</v>
      </c>
    </row>
    <row r="1278" spans="1:15">
      <c r="A1278" s="84">
        <v>337.67224189576166</v>
      </c>
      <c r="B1278" s="84">
        <v>339.33560539806103</v>
      </c>
      <c r="C1278" s="84">
        <v>335.00802501338558</v>
      </c>
      <c r="D1278" s="84">
        <v>336.36404430491916</v>
      </c>
      <c r="E1278" s="85">
        <v>5069703.7348378124</v>
      </c>
      <c r="F1278" s="83" t="s">
        <v>1283</v>
      </c>
      <c r="G1278" s="25">
        <f t="shared" si="39"/>
        <v>3.8892313640295217E-3</v>
      </c>
      <c r="I1278" s="84">
        <v>86.929931472091823</v>
      </c>
      <c r="J1278" s="84">
        <v>87.47826998011594</v>
      </c>
      <c r="K1278" s="84">
        <v>85.851532406311037</v>
      </c>
      <c r="L1278" s="84">
        <v>86.171396535991775</v>
      </c>
      <c r="M1278" s="85">
        <v>3023507.5154106221</v>
      </c>
      <c r="N1278" s="83" t="s">
        <v>1283</v>
      </c>
      <c r="O1278" s="25">
        <f t="shared" si="40"/>
        <v>8.8026301834764897E-3</v>
      </c>
    </row>
    <row r="1279" spans="1:15">
      <c r="A1279" s="84">
        <v>337.87071140455873</v>
      </c>
      <c r="B1279" s="84">
        <v>338.62678572378576</v>
      </c>
      <c r="C1279" s="84">
        <v>334.5628862579407</v>
      </c>
      <c r="D1279" s="84">
        <v>334.57233718693101</v>
      </c>
      <c r="E1279" s="85">
        <v>3954614.4128489615</v>
      </c>
      <c r="F1279" s="83" t="s">
        <v>1284</v>
      </c>
      <c r="G1279" s="25">
        <f t="shared" si="39"/>
        <v>9.8584785740516434E-3</v>
      </c>
      <c r="I1279" s="84">
        <v>85.851532406311037</v>
      </c>
      <c r="J1279" s="84">
        <v>86.820263770486989</v>
      </c>
      <c r="K1279" s="84">
        <v>85.732725729572479</v>
      </c>
      <c r="L1279" s="84">
        <v>86.409009889468891</v>
      </c>
      <c r="M1279" s="85">
        <v>3515374.4845422744</v>
      </c>
      <c r="N1279" s="83" t="s">
        <v>1284</v>
      </c>
      <c r="O1279" s="25">
        <f t="shared" si="40"/>
        <v>-6.4516129032257119E-3</v>
      </c>
    </row>
    <row r="1280" spans="1:15">
      <c r="A1280" s="84">
        <v>332.98458111655435</v>
      </c>
      <c r="B1280" s="84">
        <v>335.20554942928362</v>
      </c>
      <c r="C1280" s="84">
        <v>329.77126525983965</v>
      </c>
      <c r="D1280" s="84">
        <v>331.94497892761729</v>
      </c>
      <c r="E1280" s="85">
        <v>5767610.787863357</v>
      </c>
      <c r="F1280" s="83" t="s">
        <v>1285</v>
      </c>
      <c r="G1280" s="25">
        <f t="shared" si="39"/>
        <v>3.1318509238960068E-3</v>
      </c>
      <c r="I1280" s="84">
        <v>85.833254456043562</v>
      </c>
      <c r="J1280" s="84">
        <v>86.564372466742398</v>
      </c>
      <c r="K1280" s="84">
        <v>84.297906633576005</v>
      </c>
      <c r="L1280" s="84">
        <v>84.992468743739906</v>
      </c>
      <c r="M1280" s="85">
        <v>4699435.0429363064</v>
      </c>
      <c r="N1280" s="83" t="s">
        <v>1285</v>
      </c>
      <c r="O1280" s="25">
        <f t="shared" si="40"/>
        <v>9.8924731182794545E-3</v>
      </c>
    </row>
    <row r="1281" spans="1:15">
      <c r="A1281" s="84">
        <v>331.78431313478148</v>
      </c>
      <c r="B1281" s="84">
        <v>331.82211685074287</v>
      </c>
      <c r="C1281" s="84">
        <v>323.9589439307822</v>
      </c>
      <c r="D1281" s="84">
        <v>326.51069475817332</v>
      </c>
      <c r="E1281" s="85">
        <v>6539636.4805185283</v>
      </c>
      <c r="F1281" s="83" t="s">
        <v>1286</v>
      </c>
      <c r="G1281" s="25">
        <f t="shared" si="39"/>
        <v>1.6151441472733508E-2</v>
      </c>
      <c r="I1281" s="84">
        <v>84.919356942670021</v>
      </c>
      <c r="J1281" s="84">
        <v>87.231517651505087</v>
      </c>
      <c r="K1281" s="84">
        <v>83.541565051508059</v>
      </c>
      <c r="L1281" s="84">
        <v>86.747151969417118</v>
      </c>
      <c r="M1281" s="85">
        <v>5404283.2240219088</v>
      </c>
      <c r="N1281" s="83" t="s">
        <v>1286</v>
      </c>
      <c r="O1281" s="25">
        <f t="shared" si="40"/>
        <v>-2.1070375052675949E-2</v>
      </c>
    </row>
    <row r="1282" spans="1:15">
      <c r="A1282" s="84">
        <v>331.19835553738062</v>
      </c>
      <c r="B1282" s="84">
        <v>331.56694176800374</v>
      </c>
      <c r="C1282" s="84">
        <v>324.72446917899953</v>
      </c>
      <c r="D1282" s="84">
        <v>327.15335792951623</v>
      </c>
      <c r="E1282" s="85">
        <v>7916131.8507938376</v>
      </c>
      <c r="F1282" s="83" t="s">
        <v>1287</v>
      </c>
      <c r="G1282" s="25">
        <f t="shared" si="39"/>
        <v>1.2364224636006504E-2</v>
      </c>
      <c r="I1282" s="84">
        <v>88.66633674750156</v>
      </c>
      <c r="J1282" s="84">
        <v>88.940506001513612</v>
      </c>
      <c r="K1282" s="84">
        <v>87.130988925034004</v>
      </c>
      <c r="L1282" s="84">
        <v>87.779856159529217</v>
      </c>
      <c r="M1282" s="85">
        <v>4618725.7742047142</v>
      </c>
      <c r="N1282" s="83" t="s">
        <v>1287</v>
      </c>
      <c r="O1282" s="25">
        <f t="shared" si="40"/>
        <v>1.0098906819364872E-2</v>
      </c>
    </row>
    <row r="1283" spans="1:15">
      <c r="A1283" s="84">
        <v>327.83382481682054</v>
      </c>
      <c r="B1283" s="84">
        <v>330.63129979796031</v>
      </c>
      <c r="C1283" s="84">
        <v>323.64706327410107</v>
      </c>
      <c r="D1283" s="84">
        <v>326.8887319177868</v>
      </c>
      <c r="E1283" s="85">
        <v>7575550.5171184987</v>
      </c>
      <c r="F1283" s="83" t="s">
        <v>1288</v>
      </c>
      <c r="G1283" s="25">
        <f t="shared" si="39"/>
        <v>2.8911761304499795E-3</v>
      </c>
      <c r="I1283" s="84">
        <v>87.834690010331627</v>
      </c>
      <c r="J1283" s="84">
        <v>87.980913612471397</v>
      </c>
      <c r="K1283" s="84">
        <v>84.727438464861564</v>
      </c>
      <c r="L1283" s="84">
        <v>84.965051818338694</v>
      </c>
      <c r="M1283" s="85">
        <v>6914505.081290341</v>
      </c>
      <c r="N1283" s="83" t="s">
        <v>1288</v>
      </c>
      <c r="O1283" s="25">
        <f t="shared" si="40"/>
        <v>3.3774335807249534E-2</v>
      </c>
    </row>
    <row r="1284" spans="1:15">
      <c r="A1284" s="84">
        <v>330.4422812181536</v>
      </c>
      <c r="B1284" s="84">
        <v>332.06784100449164</v>
      </c>
      <c r="C1284" s="84">
        <v>328.71276121292186</v>
      </c>
      <c r="D1284" s="84">
        <v>331.18890460839026</v>
      </c>
      <c r="E1284" s="85">
        <v>3995227.3515761946</v>
      </c>
      <c r="F1284" s="83" t="s">
        <v>1289</v>
      </c>
      <c r="G1284" s="25">
        <f t="shared" si="39"/>
        <v>-2.2543731986417459E-3</v>
      </c>
      <c r="I1284" s="84">
        <v>85.266637997751957</v>
      </c>
      <c r="J1284" s="84">
        <v>86.180535511125512</v>
      </c>
      <c r="K1284" s="84">
        <v>84.352740484378415</v>
      </c>
      <c r="L1284" s="84">
        <v>86.107423710055627</v>
      </c>
      <c r="M1284" s="85">
        <v>2739976.817265383</v>
      </c>
      <c r="N1284" s="83" t="s">
        <v>1289</v>
      </c>
      <c r="O1284" s="25">
        <f t="shared" si="40"/>
        <v>-9.7643812354065718E-3</v>
      </c>
    </row>
    <row r="1285" spans="1:15">
      <c r="A1285" s="84">
        <v>330.27963073710072</v>
      </c>
      <c r="B1285" s="84">
        <v>341.5132796195382</v>
      </c>
      <c r="C1285" s="84">
        <v>330.27963073710072</v>
      </c>
      <c r="D1285" s="84">
        <v>338.92017508069318</v>
      </c>
      <c r="E1285" s="85">
        <v>9351302.0924334582</v>
      </c>
      <c r="F1285" s="83" t="s">
        <v>1290</v>
      </c>
      <c r="G1285" s="25">
        <f t="shared" si="39"/>
        <v>-2.5494334592312873E-2</v>
      </c>
      <c r="I1285" s="84">
        <v>85.705308804171267</v>
      </c>
      <c r="J1285" s="84">
        <v>88.456140319425643</v>
      </c>
      <c r="K1285" s="84">
        <v>85.613919052833921</v>
      </c>
      <c r="L1285" s="84">
        <v>87.213239701237626</v>
      </c>
      <c r="M1285" s="85">
        <v>3675349.7529509999</v>
      </c>
      <c r="N1285" s="83" t="s">
        <v>1290</v>
      </c>
      <c r="O1285" s="25">
        <f t="shared" si="40"/>
        <v>-1.7290160326941306E-2</v>
      </c>
    </row>
    <row r="1286" spans="1:15">
      <c r="A1286" s="84">
        <v>337.57420793348871</v>
      </c>
      <c r="B1286" s="84">
        <v>339.92729735167836</v>
      </c>
      <c r="C1286" s="84">
        <v>336.55767330483076</v>
      </c>
      <c r="D1286" s="84">
        <v>339.786111986587</v>
      </c>
      <c r="E1286" s="85">
        <v>4896318.3935712902</v>
      </c>
      <c r="F1286" s="83" t="s">
        <v>1291</v>
      </c>
      <c r="G1286" s="25">
        <f t="shared" si="39"/>
        <v>-6.5096952908587635E-3</v>
      </c>
      <c r="I1286" s="84">
        <v>86.646623242946021</v>
      </c>
      <c r="J1286" s="84">
        <v>86.865958646155661</v>
      </c>
      <c r="K1286" s="84">
        <v>85.760142654973677</v>
      </c>
      <c r="L1286" s="84">
        <v>86.308481162997808</v>
      </c>
      <c r="M1286" s="85">
        <v>3219892.7745601796</v>
      </c>
      <c r="N1286" s="83" t="s">
        <v>1291</v>
      </c>
      <c r="O1286" s="25">
        <f t="shared" si="40"/>
        <v>3.9178314273613513E-3</v>
      </c>
    </row>
    <row r="1287" spans="1:15">
      <c r="A1287" s="84">
        <v>338.84487621931112</v>
      </c>
      <c r="B1287" s="84">
        <v>338.86370093465661</v>
      </c>
      <c r="C1287" s="84">
        <v>331.28675300808595</v>
      </c>
      <c r="D1287" s="84">
        <v>331.34322715412247</v>
      </c>
      <c r="E1287" s="85">
        <v>5799353.5623898217</v>
      </c>
      <c r="F1287" s="83" t="s">
        <v>1292</v>
      </c>
      <c r="G1287" s="25">
        <f t="shared" si="39"/>
        <v>2.2640115899213109E-2</v>
      </c>
      <c r="I1287" s="84">
        <v>86.089145759788153</v>
      </c>
      <c r="J1287" s="84">
        <v>86.24450833706166</v>
      </c>
      <c r="K1287" s="84">
        <v>83.968903528761516</v>
      </c>
      <c r="L1287" s="84">
        <v>84.535519987053121</v>
      </c>
      <c r="M1287" s="85">
        <v>5232782.5932548614</v>
      </c>
      <c r="N1287" s="83" t="s">
        <v>1292</v>
      </c>
      <c r="O1287" s="25">
        <f t="shared" si="40"/>
        <v>1.8378378378378413E-2</v>
      </c>
    </row>
    <row r="1288" spans="1:15">
      <c r="A1288" s="84">
        <v>328.61364342902249</v>
      </c>
      <c r="B1288" s="84">
        <v>329.06543659731489</v>
      </c>
      <c r="C1288" s="84">
        <v>323.9168769503159</v>
      </c>
      <c r="D1288" s="84">
        <v>327.20178977810866</v>
      </c>
      <c r="E1288" s="85">
        <v>7127623.3152684094</v>
      </c>
      <c r="F1288" s="83" t="s">
        <v>1293</v>
      </c>
      <c r="G1288" s="25">
        <f t="shared" si="39"/>
        <v>4.3149325432212393E-3</v>
      </c>
      <c r="I1288" s="84">
        <v>83.859235827156709</v>
      </c>
      <c r="J1288" s="84">
        <v>85.284915948019432</v>
      </c>
      <c r="K1288" s="84">
        <v>82.954477288916891</v>
      </c>
      <c r="L1288" s="84">
        <v>84.535519987053121</v>
      </c>
      <c r="M1288" s="85">
        <v>3622425.8755006073</v>
      </c>
      <c r="N1288" s="83" t="s">
        <v>1293</v>
      </c>
      <c r="O1288" s="25">
        <f t="shared" si="40"/>
        <v>-7.9999999999998961E-3</v>
      </c>
    </row>
    <row r="1289" spans="1:15">
      <c r="A1289" s="84">
        <v>325.19695759381108</v>
      </c>
      <c r="B1289" s="84">
        <v>328.97131302058727</v>
      </c>
      <c r="C1289" s="84">
        <v>321.5588931061364</v>
      </c>
      <c r="D1289" s="84">
        <v>321.97793126972761</v>
      </c>
      <c r="E1289" s="85">
        <v>5180487.3651501266</v>
      </c>
      <c r="F1289" s="83" t="s">
        <v>1294</v>
      </c>
      <c r="G1289" s="25">
        <f t="shared" si="39"/>
        <v>9.9976613657624114E-3</v>
      </c>
      <c r="I1289" s="84">
        <v>84.590353837855545</v>
      </c>
      <c r="J1289" s="84">
        <v>85.741864704706202</v>
      </c>
      <c r="K1289" s="84">
        <v>83.23778551806268</v>
      </c>
      <c r="L1289" s="84">
        <v>83.347453219667514</v>
      </c>
      <c r="M1289" s="85">
        <v>4903820.1050101677</v>
      </c>
      <c r="N1289" s="83" t="s">
        <v>1294</v>
      </c>
      <c r="O1289" s="25">
        <f t="shared" si="40"/>
        <v>1.4912280701754543E-2</v>
      </c>
    </row>
    <row r="1290" spans="1:15">
      <c r="A1290" s="84">
        <v>325.8840597039225</v>
      </c>
      <c r="B1290" s="84">
        <v>327.07942912836279</v>
      </c>
      <c r="C1290" s="84">
        <v>322.94740411002181</v>
      </c>
      <c r="D1290" s="84">
        <v>323.02270297140382</v>
      </c>
      <c r="E1290" s="85">
        <v>5979743.0098620579</v>
      </c>
      <c r="F1290" s="83" t="s">
        <v>1295</v>
      </c>
      <c r="G1290" s="25">
        <f t="shared" si="39"/>
        <v>8.8580669599931383E-3</v>
      </c>
      <c r="I1290" s="84">
        <v>84.919356942670021</v>
      </c>
      <c r="J1290" s="84">
        <v>85.31233287342063</v>
      </c>
      <c r="K1290" s="84">
        <v>82.35130493009035</v>
      </c>
      <c r="L1290" s="84">
        <v>83.027589089986762</v>
      </c>
      <c r="M1290" s="85">
        <v>6383998.1120675998</v>
      </c>
      <c r="N1290" s="83" t="s">
        <v>1295</v>
      </c>
      <c r="O1290" s="25">
        <f t="shared" si="40"/>
        <v>2.27848101265824E-2</v>
      </c>
    </row>
    <row r="1291" spans="1:15">
      <c r="A1291" s="84">
        <v>318.09062755087831</v>
      </c>
      <c r="B1291" s="84">
        <v>320.83903599132384</v>
      </c>
      <c r="C1291" s="84">
        <v>314.59864285428489</v>
      </c>
      <c r="D1291" s="84">
        <v>317.48823665982178</v>
      </c>
      <c r="E1291" s="85">
        <v>7526255.6378435791</v>
      </c>
      <c r="F1291" s="83" t="s">
        <v>1296</v>
      </c>
      <c r="G1291" s="25">
        <f t="shared" si="39"/>
        <v>1.8973644422044522E-3</v>
      </c>
      <c r="I1291" s="84">
        <v>81.227210988640877</v>
      </c>
      <c r="J1291" s="84">
        <v>82.255345691186122</v>
      </c>
      <c r="K1291" s="84">
        <v>80.066561146656483</v>
      </c>
      <c r="L1291" s="84">
        <v>81.757271546397533</v>
      </c>
      <c r="M1291" s="85">
        <v>8291128.8072439162</v>
      </c>
      <c r="N1291" s="83" t="s">
        <v>1296</v>
      </c>
      <c r="O1291" s="25">
        <f t="shared" si="40"/>
        <v>-6.4833445115135557E-3</v>
      </c>
    </row>
    <row r="1292" spans="1:15">
      <c r="A1292" s="84">
        <v>317.26234007567552</v>
      </c>
      <c r="B1292" s="84">
        <v>320.81079891830552</v>
      </c>
      <c r="C1292" s="84">
        <v>314.90925065748587</v>
      </c>
      <c r="D1292" s="84">
        <v>320.47195404208628</v>
      </c>
      <c r="E1292" s="85">
        <v>9372645.3102524541</v>
      </c>
      <c r="F1292" s="83" t="s">
        <v>1297</v>
      </c>
      <c r="G1292" s="25">
        <f t="shared" si="39"/>
        <v>-1.0015272556391119E-2</v>
      </c>
      <c r="I1292" s="84">
        <v>81.812105397199957</v>
      </c>
      <c r="J1292" s="84">
        <v>83.329175269400054</v>
      </c>
      <c r="K1292" s="84">
        <v>81.346017665379449</v>
      </c>
      <c r="L1292" s="84">
        <v>83.210368592661482</v>
      </c>
      <c r="M1292" s="85">
        <v>4943482.1015355755</v>
      </c>
      <c r="N1292" s="83" t="s">
        <v>1297</v>
      </c>
      <c r="O1292" s="25">
        <f t="shared" si="40"/>
        <v>-1.6803953871499133E-2</v>
      </c>
    </row>
    <row r="1293" spans="1:15">
      <c r="A1293" s="84">
        <v>328.03948961098416</v>
      </c>
      <c r="B1293" s="84">
        <v>332.10562812561591</v>
      </c>
      <c r="C1293" s="84">
        <v>321.87439533532734</v>
      </c>
      <c r="D1293" s="84">
        <v>326.43938880661523</v>
      </c>
      <c r="E1293" s="85">
        <v>8380072.5325477757</v>
      </c>
      <c r="F1293" s="83" t="s">
        <v>1298</v>
      </c>
      <c r="G1293" s="25">
        <f t="shared" si="39"/>
        <v>4.9016781039155077E-3</v>
      </c>
      <c r="I1293" s="84">
        <v>84.334462534110941</v>
      </c>
      <c r="J1293" s="84">
        <v>85.166109271280874</v>
      </c>
      <c r="K1293" s="84">
        <v>82.981894214318089</v>
      </c>
      <c r="L1293" s="84">
        <v>84.169960981703696</v>
      </c>
      <c r="M1293" s="85">
        <v>4529203.7011026731</v>
      </c>
      <c r="N1293" s="83" t="s">
        <v>1298</v>
      </c>
      <c r="O1293" s="25">
        <f t="shared" si="40"/>
        <v>1.9543973941369419E-3</v>
      </c>
    </row>
    <row r="1294" spans="1:15">
      <c r="A1294" s="84">
        <v>323.40860963598698</v>
      </c>
      <c r="B1294" s="84">
        <v>326.91000669025317</v>
      </c>
      <c r="C1294" s="84">
        <v>320.55666526114106</v>
      </c>
      <c r="D1294" s="84">
        <v>326.01583271134109</v>
      </c>
      <c r="E1294" s="85">
        <v>8057694.2182618631</v>
      </c>
      <c r="F1294" s="83" t="s">
        <v>1299</v>
      </c>
      <c r="G1294" s="25">
        <f t="shared" si="39"/>
        <v>-7.9972283973784863E-3</v>
      </c>
      <c r="I1294" s="84">
        <v>83.457120921272335</v>
      </c>
      <c r="J1294" s="84">
        <v>84.727438464861564</v>
      </c>
      <c r="K1294" s="84">
        <v>82.917921388381956</v>
      </c>
      <c r="L1294" s="84">
        <v>84.471547161116987</v>
      </c>
      <c r="M1294" s="85">
        <v>4352654.3641815092</v>
      </c>
      <c r="N1294" s="83" t="s">
        <v>1299</v>
      </c>
      <c r="O1294" s="25">
        <f t="shared" si="40"/>
        <v>-1.2009087958455233E-2</v>
      </c>
    </row>
    <row r="1295" spans="1:15">
      <c r="A1295" s="84">
        <v>324.21807239584416</v>
      </c>
      <c r="B1295" s="84">
        <v>330.218732782958</v>
      </c>
      <c r="C1295" s="84">
        <v>322.900342321658</v>
      </c>
      <c r="D1295" s="84">
        <v>328.59481871367694</v>
      </c>
      <c r="E1295" s="85">
        <v>11048993.633230662</v>
      </c>
      <c r="F1295" s="83" t="s">
        <v>1300</v>
      </c>
      <c r="G1295" s="25">
        <f t="shared" si="39"/>
        <v>-1.3319584085245362E-2</v>
      </c>
      <c r="I1295" s="84">
        <v>84.032876354697677</v>
      </c>
      <c r="J1295" s="84">
        <v>85.476834425827874</v>
      </c>
      <c r="K1295" s="84">
        <v>83.50738528450789</v>
      </c>
      <c r="L1295" s="84">
        <v>85.440278525292939</v>
      </c>
      <c r="M1295" s="85">
        <v>5930029.2655297481</v>
      </c>
      <c r="N1295" s="83" t="s">
        <v>1300</v>
      </c>
      <c r="O1295" s="25">
        <f t="shared" si="40"/>
        <v>-1.6472349983955525E-2</v>
      </c>
    </row>
    <row r="1296" spans="1:15">
      <c r="A1296" s="84">
        <v>337.21653834192387</v>
      </c>
      <c r="B1296" s="84">
        <v>342.31803620055905</v>
      </c>
      <c r="C1296" s="84">
        <v>337.17888891123283</v>
      </c>
      <c r="D1296" s="84">
        <v>341.60269701742942</v>
      </c>
      <c r="E1296" s="85">
        <v>8106038.1099646781</v>
      </c>
      <c r="F1296" s="83" t="s">
        <v>1301</v>
      </c>
      <c r="G1296" s="25">
        <f t="shared" si="39"/>
        <v>-1.28399415865319E-2</v>
      </c>
      <c r="I1296" s="84">
        <v>87.268073552040022</v>
      </c>
      <c r="J1296" s="84">
        <v>88.364750568088283</v>
      </c>
      <c r="K1296" s="84">
        <v>86.318168476639556</v>
      </c>
      <c r="L1296" s="84">
        <v>87.569659731453299</v>
      </c>
      <c r="M1296" s="85">
        <v>6147439.8581754761</v>
      </c>
      <c r="N1296" s="83" t="s">
        <v>1301</v>
      </c>
      <c r="O1296" s="25">
        <f t="shared" si="40"/>
        <v>-3.443957420162902E-3</v>
      </c>
    </row>
    <row r="1297" spans="1:15">
      <c r="A1297" s="84">
        <v>347.41012170152152</v>
      </c>
      <c r="B1297" s="84">
        <v>356.20126376787806</v>
      </c>
      <c r="C1297" s="84">
        <v>347.3348228401394</v>
      </c>
      <c r="D1297" s="84">
        <v>354.13054507987118</v>
      </c>
      <c r="E1297" s="85">
        <v>3210650.4077572911</v>
      </c>
      <c r="F1297" s="83" t="s">
        <v>1302</v>
      </c>
      <c r="G1297" s="25">
        <f t="shared" si="39"/>
        <v>-1.8977248564745919E-2</v>
      </c>
      <c r="I1297" s="84">
        <v>88.995339852316036</v>
      </c>
      <c r="J1297" s="84">
        <v>90.63121640125469</v>
      </c>
      <c r="K1297" s="84">
        <v>88.940506001513612</v>
      </c>
      <c r="L1297" s="84">
        <v>89.863542490020905</v>
      </c>
      <c r="M1297" s="85">
        <v>4997583.3538931692</v>
      </c>
      <c r="N1297" s="83" t="s">
        <v>1302</v>
      </c>
      <c r="O1297" s="25">
        <f t="shared" si="40"/>
        <v>-9.6613444523543368E-3</v>
      </c>
    </row>
    <row r="1298" spans="1:15">
      <c r="A1298" s="84">
        <v>355.77770767260392</v>
      </c>
      <c r="B1298" s="84">
        <v>359.7685473258536</v>
      </c>
      <c r="C1298" s="84">
        <v>355.09060556249256</v>
      </c>
      <c r="D1298" s="84">
        <v>358.14020944846635</v>
      </c>
      <c r="E1298" s="85">
        <v>3650990.6651186813</v>
      </c>
      <c r="F1298" s="83" t="s">
        <v>1303</v>
      </c>
      <c r="G1298" s="25">
        <f t="shared" si="39"/>
        <v>-6.5965834428384218E-3</v>
      </c>
      <c r="I1298" s="84">
        <v>90.6860502520571</v>
      </c>
      <c r="J1298" s="84">
        <v>91.691337516768002</v>
      </c>
      <c r="K1298" s="84">
        <v>90.439297923446233</v>
      </c>
      <c r="L1298" s="84">
        <v>91.142999008743871</v>
      </c>
      <c r="M1298" s="85">
        <v>7294672.4358523283</v>
      </c>
      <c r="N1298" s="83" t="s">
        <v>1303</v>
      </c>
      <c r="O1298" s="25">
        <f t="shared" si="40"/>
        <v>-5.0135365486814187E-3</v>
      </c>
    </row>
    <row r="1299" spans="1:15">
      <c r="A1299" s="84">
        <v>359.71207317981703</v>
      </c>
      <c r="B1299" s="84">
        <v>360.12621691741845</v>
      </c>
      <c r="C1299" s="84">
        <v>352.69045435593904</v>
      </c>
      <c r="D1299" s="84">
        <v>353.11401045121323</v>
      </c>
      <c r="E1299" s="85">
        <v>2815295.6911839927</v>
      </c>
      <c r="F1299" s="83" t="s">
        <v>1304</v>
      </c>
      <c r="G1299" s="25">
        <f t="shared" si="39"/>
        <v>1.868536091267714E-2</v>
      </c>
      <c r="I1299" s="84">
        <v>91.855839069175246</v>
      </c>
      <c r="J1299" s="84">
        <v>92.011201646448754</v>
      </c>
      <c r="K1299" s="84">
        <v>88.337333642687085</v>
      </c>
      <c r="L1299" s="84">
        <v>88.812560349641331</v>
      </c>
      <c r="M1299" s="85">
        <v>6165468.1378883524</v>
      </c>
      <c r="N1299" s="83" t="s">
        <v>1304</v>
      </c>
      <c r="O1299" s="25">
        <f t="shared" si="40"/>
        <v>3.4266309940316875E-2</v>
      </c>
    </row>
    <row r="1300" spans="1:15">
      <c r="A1300" s="84">
        <v>356.22950084089638</v>
      </c>
      <c r="B1300" s="84">
        <v>360.45564943596492</v>
      </c>
      <c r="C1300" s="84">
        <v>355.23179092758392</v>
      </c>
      <c r="D1300" s="84">
        <v>358.92143513530527</v>
      </c>
      <c r="E1300" s="85">
        <v>2825521.6094232206</v>
      </c>
      <c r="F1300" s="83" t="s">
        <v>1305</v>
      </c>
      <c r="G1300" s="25">
        <f t="shared" si="39"/>
        <v>-7.5000655600133692E-3</v>
      </c>
      <c r="I1300" s="84">
        <v>88.839977275042529</v>
      </c>
      <c r="J1300" s="84">
        <v>89.095868578787119</v>
      </c>
      <c r="K1300" s="84">
        <v>88.090581314076218</v>
      </c>
      <c r="L1300" s="84">
        <v>88.638919822100348</v>
      </c>
      <c r="M1300" s="85">
        <v>3370555.1825272758</v>
      </c>
      <c r="N1300" s="83" t="s">
        <v>1305</v>
      </c>
      <c r="O1300" s="25">
        <f t="shared" si="40"/>
        <v>2.2682750799052354E-3</v>
      </c>
    </row>
    <row r="1301" spans="1:15">
      <c r="A1301" s="84">
        <v>355.26002800060218</v>
      </c>
      <c r="B1301" s="84">
        <v>358.23433302519396</v>
      </c>
      <c r="C1301" s="84">
        <v>354.35644166401738</v>
      </c>
      <c r="D1301" s="84">
        <v>356.83189173195291</v>
      </c>
      <c r="E1301" s="85">
        <v>2921200.0814182251</v>
      </c>
      <c r="F1301" s="83" t="s">
        <v>1306</v>
      </c>
      <c r="G1301" s="25">
        <f t="shared" si="39"/>
        <v>-4.4050539421277568E-3</v>
      </c>
      <c r="I1301" s="84">
        <v>88.035747463273808</v>
      </c>
      <c r="J1301" s="84">
        <v>88.30077774215215</v>
      </c>
      <c r="K1301" s="84">
        <v>87.086756285386727</v>
      </c>
      <c r="L1301" s="84">
        <v>87.149266875301464</v>
      </c>
      <c r="M1301" s="85">
        <v>3104320.7345290035</v>
      </c>
      <c r="N1301" s="83" t="s">
        <v>1306</v>
      </c>
      <c r="O1301" s="25">
        <f t="shared" si="40"/>
        <v>1.0171979865771785E-2</v>
      </c>
    </row>
    <row r="1302" spans="1:15">
      <c r="A1302" s="84">
        <v>361.10510211538531</v>
      </c>
      <c r="B1302" s="84">
        <v>361.18981333444015</v>
      </c>
      <c r="C1302" s="84">
        <v>352.21042411462838</v>
      </c>
      <c r="D1302" s="84">
        <v>354.29055516030809</v>
      </c>
      <c r="E1302" s="85">
        <v>3478109.4321084316</v>
      </c>
      <c r="F1302" s="83" t="s">
        <v>1307</v>
      </c>
      <c r="G1302" s="25">
        <f t="shared" si="39"/>
        <v>1.9234345527483265E-2</v>
      </c>
      <c r="I1302" s="84">
        <v>87.953496687070185</v>
      </c>
      <c r="J1302" s="84">
        <v>88.017469513006347</v>
      </c>
      <c r="K1302" s="84">
        <v>85.961200107915857</v>
      </c>
      <c r="L1302" s="84">
        <v>87.523964855784627</v>
      </c>
      <c r="M1302" s="85">
        <v>3786575.5725998292</v>
      </c>
      <c r="N1302" s="83" t="s">
        <v>1307</v>
      </c>
      <c r="O1302" s="25">
        <f t="shared" si="40"/>
        <v>4.9075911036857711E-3</v>
      </c>
    </row>
    <row r="1303" spans="1:15">
      <c r="A1303" s="84">
        <v>354.37526637936287</v>
      </c>
      <c r="B1303" s="84">
        <v>360.15445399043665</v>
      </c>
      <c r="C1303" s="84">
        <v>352.11630053790083</v>
      </c>
      <c r="D1303" s="84">
        <v>359.18498115014256</v>
      </c>
      <c r="E1303" s="85">
        <v>4510897.4261446707</v>
      </c>
      <c r="F1303" s="83" t="s">
        <v>1308</v>
      </c>
      <c r="G1303" s="25">
        <f t="shared" si="39"/>
        <v>-1.3390634417337122E-2</v>
      </c>
      <c r="I1303" s="84">
        <v>86.646623242946021</v>
      </c>
      <c r="J1303" s="84">
        <v>87.990052587605135</v>
      </c>
      <c r="K1303" s="84">
        <v>85.997756008450793</v>
      </c>
      <c r="L1303" s="84">
        <v>87.743300258994282</v>
      </c>
      <c r="M1303" s="85">
        <v>4646133.6614496829</v>
      </c>
      <c r="N1303" s="83" t="s">
        <v>1308</v>
      </c>
      <c r="O1303" s="25">
        <f t="shared" si="40"/>
        <v>-1.2498698052286317E-2</v>
      </c>
    </row>
    <row r="1304" spans="1:15">
      <c r="A1304" s="84">
        <v>357.36839611930014</v>
      </c>
      <c r="B1304" s="84">
        <v>360.35211350156465</v>
      </c>
      <c r="C1304" s="84">
        <v>354.77058540161875</v>
      </c>
      <c r="D1304" s="84">
        <v>357.88607579130189</v>
      </c>
      <c r="E1304" s="85">
        <v>5329710.338695325</v>
      </c>
      <c r="F1304" s="83" t="s">
        <v>1309</v>
      </c>
      <c r="G1304" s="25">
        <f t="shared" si="39"/>
        <v>-1.4464929121847936E-3</v>
      </c>
      <c r="I1304" s="84">
        <v>86.929931472091823</v>
      </c>
      <c r="J1304" s="84">
        <v>87.70774964572405</v>
      </c>
      <c r="K1304" s="84">
        <v>86.482121690538776</v>
      </c>
      <c r="L1304" s="84">
        <v>87.149266875301464</v>
      </c>
      <c r="M1304" s="85">
        <v>7089062.9476435613</v>
      </c>
      <c r="N1304" s="83" t="s">
        <v>1309</v>
      </c>
      <c r="O1304" s="25">
        <f t="shared" si="40"/>
        <v>-2.5167785234898599E-3</v>
      </c>
    </row>
    <row r="1305" spans="1:15">
      <c r="A1305" s="84">
        <v>359.36381594592496</v>
      </c>
      <c r="B1305" s="84">
        <v>359.42029009196153</v>
      </c>
      <c r="C1305" s="84">
        <v>352.77516557499393</v>
      </c>
      <c r="D1305" s="84">
        <v>352.90693858241252</v>
      </c>
      <c r="E1305" s="85">
        <v>4156015.0347043751</v>
      </c>
      <c r="F1305" s="83" t="s">
        <v>1310</v>
      </c>
      <c r="G1305" s="25">
        <f t="shared" si="39"/>
        <v>1.8296260735050973E-2</v>
      </c>
      <c r="I1305" s="84">
        <v>88.383028518355758</v>
      </c>
      <c r="J1305" s="84">
        <v>88.392167493489495</v>
      </c>
      <c r="K1305" s="84">
        <v>87.003043273161708</v>
      </c>
      <c r="L1305" s="84">
        <v>87.396019203912317</v>
      </c>
      <c r="M1305" s="85">
        <v>3714022.5794800217</v>
      </c>
      <c r="N1305" s="83" t="s">
        <v>1310</v>
      </c>
      <c r="O1305" s="25">
        <f t="shared" si="40"/>
        <v>1.129352713583609E-2</v>
      </c>
    </row>
    <row r="1306" spans="1:15">
      <c r="A1306" s="84">
        <v>350.57267387956836</v>
      </c>
      <c r="B1306" s="84">
        <v>352.14453761091909</v>
      </c>
      <c r="C1306" s="84">
        <v>344.74642448013077</v>
      </c>
      <c r="D1306" s="84">
        <v>344.91114073940406</v>
      </c>
      <c r="E1306" s="85">
        <v>4513484.4506550618</v>
      </c>
      <c r="F1306" s="83" t="s">
        <v>1311</v>
      </c>
      <c r="G1306" s="25">
        <f t="shared" si="39"/>
        <v>1.6414468747015132E-2</v>
      </c>
      <c r="I1306" s="84">
        <v>86.820263770486989</v>
      </c>
      <c r="J1306" s="84">
        <v>87.606215631988249</v>
      </c>
      <c r="K1306" s="84">
        <v>86.00689498358453</v>
      </c>
      <c r="L1306" s="84">
        <v>86.381592964067693</v>
      </c>
      <c r="M1306" s="85">
        <v>6068416.7741390485</v>
      </c>
      <c r="N1306" s="83" t="s">
        <v>1311</v>
      </c>
      <c r="O1306" s="25">
        <f t="shared" si="40"/>
        <v>5.0782903089292564E-3</v>
      </c>
    </row>
    <row r="1307" spans="1:15">
      <c r="A1307" s="84">
        <v>343.73930220914559</v>
      </c>
      <c r="B1307" s="84">
        <v>345.58412431300633</v>
      </c>
      <c r="C1307" s="84">
        <v>339.09900987647558</v>
      </c>
      <c r="D1307" s="84">
        <v>339.35314353364009</v>
      </c>
      <c r="E1307" s="85">
        <v>6060755.6558441473</v>
      </c>
      <c r="F1307" s="83" t="s">
        <v>1312</v>
      </c>
      <c r="G1307" s="25">
        <f t="shared" si="39"/>
        <v>1.2925056859155681E-2</v>
      </c>
      <c r="I1307" s="84">
        <v>85.504251351229087</v>
      </c>
      <c r="J1307" s="84">
        <v>85.997756008450793</v>
      </c>
      <c r="K1307" s="84">
        <v>84.616856865743372</v>
      </c>
      <c r="L1307" s="84">
        <v>85.284915948019432</v>
      </c>
      <c r="M1307" s="85">
        <v>4094700.9322591685</v>
      </c>
      <c r="N1307" s="83" t="s">
        <v>1312</v>
      </c>
      <c r="O1307" s="25">
        <f t="shared" si="40"/>
        <v>2.571795970853108E-3</v>
      </c>
    </row>
    <row r="1308" spans="1:15">
      <c r="A1308" s="84">
        <v>340.89677019197251</v>
      </c>
      <c r="B1308" s="84">
        <v>341.86624303226665</v>
      </c>
      <c r="C1308" s="84">
        <v>334.79756242002492</v>
      </c>
      <c r="D1308" s="84">
        <v>339.64492662149564</v>
      </c>
      <c r="E1308" s="85">
        <v>5914884.6586152893</v>
      </c>
      <c r="F1308" s="83" t="s">
        <v>1313</v>
      </c>
      <c r="G1308" s="25">
        <f t="shared" si="39"/>
        <v>3.6857419980600437E-3</v>
      </c>
      <c r="I1308" s="84">
        <v>85.184387221548334</v>
      </c>
      <c r="J1308" s="84">
        <v>85.376305699356791</v>
      </c>
      <c r="K1308" s="84">
        <v>82.680308034904826</v>
      </c>
      <c r="L1308" s="84">
        <v>83.347453219667514</v>
      </c>
      <c r="M1308" s="85">
        <v>6490877.7113340832</v>
      </c>
      <c r="N1308" s="83" t="s">
        <v>1313</v>
      </c>
      <c r="O1308" s="25">
        <f t="shared" si="40"/>
        <v>2.2039473684210442E-2</v>
      </c>
    </row>
    <row r="1309" spans="1:15">
      <c r="A1309" s="84">
        <v>343.37222025990803</v>
      </c>
      <c r="B1309" s="84">
        <v>344.08755944303766</v>
      </c>
      <c r="C1309" s="84">
        <v>337.76245508694387</v>
      </c>
      <c r="D1309" s="84">
        <v>339.87082320564178</v>
      </c>
      <c r="E1309" s="85">
        <v>5582995.4435420977</v>
      </c>
      <c r="F1309" s="83" t="s">
        <v>1314</v>
      </c>
      <c r="G1309" s="25">
        <f t="shared" si="39"/>
        <v>1.0302140740535704E-2</v>
      </c>
      <c r="I1309" s="84">
        <v>83.923208653092843</v>
      </c>
      <c r="J1309" s="84">
        <v>84.096757790882492</v>
      </c>
      <c r="K1309" s="84">
        <v>82.250776203619253</v>
      </c>
      <c r="L1309" s="84">
        <v>82.799114711643384</v>
      </c>
      <c r="M1309" s="85">
        <v>5144249.6901492057</v>
      </c>
      <c r="N1309" s="83" t="s">
        <v>1314</v>
      </c>
      <c r="O1309" s="25">
        <f t="shared" si="40"/>
        <v>1.357615894039732E-2</v>
      </c>
    </row>
    <row r="1310" spans="1:15">
      <c r="A1310" s="84">
        <v>336.98122940010489</v>
      </c>
      <c r="B1310" s="84">
        <v>340.68028596549902</v>
      </c>
      <c r="C1310" s="84">
        <v>329.20662196240625</v>
      </c>
      <c r="D1310" s="84">
        <v>340.17201865117011</v>
      </c>
      <c r="E1310" s="85">
        <v>9302510.9164107759</v>
      </c>
      <c r="F1310" s="83" t="s">
        <v>1315</v>
      </c>
      <c r="G1310" s="25">
        <f t="shared" si="39"/>
        <v>-9.3799286129327974E-3</v>
      </c>
      <c r="I1310" s="84">
        <v>82.323888004689138</v>
      </c>
      <c r="J1310" s="84">
        <v>83.320036294266302</v>
      </c>
      <c r="K1310" s="84">
        <v>80.812301517569296</v>
      </c>
      <c r="L1310" s="84">
        <v>83.018450114853039</v>
      </c>
      <c r="M1310" s="85">
        <v>7205956.7989088446</v>
      </c>
      <c r="N1310" s="83" t="s">
        <v>1315</v>
      </c>
      <c r="O1310" s="25">
        <f t="shared" si="40"/>
        <v>-8.3663584324087381E-3</v>
      </c>
    </row>
    <row r="1311" spans="1:15">
      <c r="A1311" s="84">
        <v>336.89651818105011</v>
      </c>
      <c r="B1311" s="84">
        <v>340.94383198033631</v>
      </c>
      <c r="C1311" s="84">
        <v>334.93874778511628</v>
      </c>
      <c r="D1311" s="84">
        <v>336.18117899792043</v>
      </c>
      <c r="E1311" s="85">
        <v>6756518.6333767092</v>
      </c>
      <c r="F1311" s="83" t="s">
        <v>1316</v>
      </c>
      <c r="G1311" s="25">
        <f t="shared" si="39"/>
        <v>2.1278382842904175E-3</v>
      </c>
      <c r="I1311" s="84">
        <v>82.479250581962646</v>
      </c>
      <c r="J1311" s="84">
        <v>84.498964086518171</v>
      </c>
      <c r="K1311" s="84">
        <v>81.830383347467432</v>
      </c>
      <c r="L1311" s="84">
        <v>83.511954772074745</v>
      </c>
      <c r="M1311" s="85">
        <v>5727935.4888236197</v>
      </c>
      <c r="N1311" s="83" t="s">
        <v>1316</v>
      </c>
      <c r="O1311" s="25">
        <f t="shared" si="40"/>
        <v>-1.2365944407966678E-2</v>
      </c>
    </row>
    <row r="1312" spans="1:15">
      <c r="A1312" s="84">
        <v>339.16489638018487</v>
      </c>
      <c r="B1312" s="84">
        <v>349.34906738210981</v>
      </c>
      <c r="C1312" s="84">
        <v>337.90364045203523</v>
      </c>
      <c r="D1312" s="84">
        <v>349.17964494400013</v>
      </c>
      <c r="E1312" s="85">
        <v>7313332.365091172</v>
      </c>
      <c r="F1312" s="83" t="s">
        <v>1317</v>
      </c>
      <c r="G1312" s="25">
        <f t="shared" si="39"/>
        <v>-2.8680791417327267E-2</v>
      </c>
      <c r="I1312" s="84">
        <v>84.133405080314276</v>
      </c>
      <c r="J1312" s="84">
        <v>86.486342335016943</v>
      </c>
      <c r="K1312" s="84">
        <v>83.833609986085747</v>
      </c>
      <c r="L1312" s="84">
        <v>85.695973450232643</v>
      </c>
      <c r="M1312" s="85">
        <v>6431810.7504793582</v>
      </c>
      <c r="N1312" s="83" t="s">
        <v>1317</v>
      </c>
      <c r="O1312" s="25">
        <f t="shared" si="40"/>
        <v>-1.8233859853704959E-2</v>
      </c>
    </row>
    <row r="1313" spans="1:15">
      <c r="A1313" s="84">
        <v>353.15165988190427</v>
      </c>
      <c r="B1313" s="84">
        <v>353.49050475812356</v>
      </c>
      <c r="C1313" s="84">
        <v>348.3325327534518</v>
      </c>
      <c r="D1313" s="84">
        <v>351.70215680029946</v>
      </c>
      <c r="E1313" s="85">
        <v>4795088.708817848</v>
      </c>
      <c r="F1313" s="83" t="s">
        <v>1318</v>
      </c>
      <c r="G1313" s="25">
        <f t="shared" si="39"/>
        <v>4.1213937804420731E-3</v>
      </c>
      <c r="I1313" s="84">
        <v>86.259224839389276</v>
      </c>
      <c r="J1313" s="84">
        <v>86.4318341360663</v>
      </c>
      <c r="K1313" s="84">
        <v>84.941943364748781</v>
      </c>
      <c r="L1313" s="84">
        <v>85.695973450232643</v>
      </c>
      <c r="M1313" s="85">
        <v>4895251.4509170456</v>
      </c>
      <c r="N1313" s="83" t="s">
        <v>1318</v>
      </c>
      <c r="O1313" s="25">
        <f t="shared" si="40"/>
        <v>6.5726704123820756E-3</v>
      </c>
    </row>
    <row r="1314" spans="1:15">
      <c r="A1314" s="84">
        <v>346.22416463475389</v>
      </c>
      <c r="B1314" s="84">
        <v>349.5279021778922</v>
      </c>
      <c r="C1314" s="84">
        <v>343.97461115096456</v>
      </c>
      <c r="D1314" s="84">
        <v>346.10180398500802</v>
      </c>
      <c r="E1314" s="85">
        <v>5014514.0719208084</v>
      </c>
      <c r="F1314" s="83" t="s">
        <v>1319</v>
      </c>
      <c r="G1314" s="25">
        <f t="shared" ref="G1314:G1377" si="41">A1314/D1314-1</f>
        <v>3.5353947404215269E-4</v>
      </c>
      <c r="I1314" s="84">
        <v>84.015303982587881</v>
      </c>
      <c r="J1314" s="84">
        <v>84.978282164049205</v>
      </c>
      <c r="K1314" s="84">
        <v>83.406629094305728</v>
      </c>
      <c r="L1314" s="84">
        <v>83.442967893606152</v>
      </c>
      <c r="M1314" s="85">
        <v>5678234.9437058531</v>
      </c>
      <c r="N1314" s="83" t="s">
        <v>1319</v>
      </c>
      <c r="O1314" s="25">
        <f t="shared" ref="O1314:O1377" si="42">I1314/L1314-1</f>
        <v>6.8590092542188952E-3</v>
      </c>
    </row>
    <row r="1315" spans="1:15">
      <c r="A1315" s="84">
        <v>347.46659584755804</v>
      </c>
      <c r="B1315" s="84">
        <v>348.80315063708974</v>
      </c>
      <c r="C1315" s="84">
        <v>342.27248038942287</v>
      </c>
      <c r="D1315" s="84">
        <v>343.29692139852597</v>
      </c>
      <c r="E1315" s="85">
        <v>5713166.8673869483</v>
      </c>
      <c r="F1315" s="83" t="s">
        <v>1320</v>
      </c>
      <c r="G1315" s="25">
        <f t="shared" si="41"/>
        <v>1.2145970992240906E-2</v>
      </c>
      <c r="I1315" s="84">
        <v>83.506560792381904</v>
      </c>
      <c r="J1315" s="84">
        <v>84.133405080314276</v>
      </c>
      <c r="K1315" s="84">
        <v>82.752530706898042</v>
      </c>
      <c r="L1315" s="84">
        <v>83.624661890108285</v>
      </c>
      <c r="M1315" s="85">
        <v>6016316.5599538488</v>
      </c>
      <c r="N1315" s="83" t="s">
        <v>1320</v>
      </c>
      <c r="O1315" s="25">
        <f t="shared" si="42"/>
        <v>-1.4122759369906701E-3</v>
      </c>
    </row>
    <row r="1316" spans="1:15">
      <c r="A1316" s="84">
        <v>339.45667946804042</v>
      </c>
      <c r="B1316" s="84">
        <v>342.37451034659563</v>
      </c>
      <c r="C1316" s="84">
        <v>333.21628633100141</v>
      </c>
      <c r="D1316" s="84">
        <v>336.80710078315883</v>
      </c>
      <c r="E1316" s="85">
        <v>8158675.2936783731</v>
      </c>
      <c r="F1316" s="83" t="s">
        <v>1321</v>
      </c>
      <c r="G1316" s="25">
        <f t="shared" si="41"/>
        <v>7.866754230301698E-3</v>
      </c>
      <c r="I1316" s="84">
        <v>83.1068340000772</v>
      </c>
      <c r="J1316" s="84">
        <v>84.006219282762771</v>
      </c>
      <c r="K1316" s="84">
        <v>81.707790227010747</v>
      </c>
      <c r="L1316" s="84">
        <v>82.534497911095471</v>
      </c>
      <c r="M1316" s="85">
        <v>6996628.5318901679</v>
      </c>
      <c r="N1316" s="83" t="s">
        <v>1321</v>
      </c>
      <c r="O1316" s="25">
        <f t="shared" si="42"/>
        <v>6.934507429829484E-3</v>
      </c>
    </row>
    <row r="1317" spans="1:15">
      <c r="A1317" s="84">
        <v>339.72022548287765</v>
      </c>
      <c r="B1317" s="84">
        <v>349.53731453556497</v>
      </c>
      <c r="C1317" s="84">
        <v>339.09900987647558</v>
      </c>
      <c r="D1317" s="84">
        <v>344.46405374994805</v>
      </c>
      <c r="E1317" s="85">
        <v>8528090.7069986053</v>
      </c>
      <c r="F1317" s="83" t="s">
        <v>1322</v>
      </c>
      <c r="G1317" s="25">
        <f t="shared" si="41"/>
        <v>-1.3771620624641434E-2</v>
      </c>
      <c r="I1317" s="84">
        <v>82.670768408472071</v>
      </c>
      <c r="J1317" s="84">
        <v>85.516005546697286</v>
      </c>
      <c r="K1317" s="84">
        <v>82.498159111795047</v>
      </c>
      <c r="L1317" s="84">
        <v>82.916055303749957</v>
      </c>
      <c r="M1317" s="85">
        <v>7148155.8279484957</v>
      </c>
      <c r="N1317" s="83" t="s">
        <v>1322</v>
      </c>
      <c r="O1317" s="25">
        <f t="shared" si="42"/>
        <v>-2.958255724772707E-3</v>
      </c>
    </row>
    <row r="1318" spans="1:15">
      <c r="A1318" s="84">
        <v>345.28292886747801</v>
      </c>
      <c r="B1318" s="84">
        <v>351.2880130626981</v>
      </c>
      <c r="C1318" s="84">
        <v>341.58387230208393</v>
      </c>
      <c r="D1318" s="84">
        <v>350.04558184989389</v>
      </c>
      <c r="E1318" s="85">
        <v>8362145.037028946</v>
      </c>
      <c r="F1318" s="83" t="s">
        <v>1323</v>
      </c>
      <c r="G1318" s="25">
        <f t="shared" si="41"/>
        <v>-1.3605808012906784E-2</v>
      </c>
      <c r="I1318" s="84">
        <v>83.297612696404443</v>
      </c>
      <c r="J1318" s="84">
        <v>85.268992558452624</v>
      </c>
      <c r="K1318" s="84">
        <v>82.997817602175914</v>
      </c>
      <c r="L1318" s="84">
        <v>83.978965183287457</v>
      </c>
      <c r="M1318" s="85">
        <v>8284625.9589116396</v>
      </c>
      <c r="N1318" s="83" t="s">
        <v>1323</v>
      </c>
      <c r="O1318" s="25">
        <f t="shared" si="42"/>
        <v>-8.1133708351363021E-3</v>
      </c>
    </row>
    <row r="1319" spans="1:15">
      <c r="A1319" s="84">
        <v>344.3981672462387</v>
      </c>
      <c r="B1319" s="84">
        <v>351.60803322357185</v>
      </c>
      <c r="C1319" s="84">
        <v>343.08043717205248</v>
      </c>
      <c r="D1319" s="84">
        <v>350.4785503028408</v>
      </c>
      <c r="E1319" s="85">
        <v>11467084.417369619</v>
      </c>
      <c r="F1319" s="83" t="s">
        <v>1324</v>
      </c>
      <c r="G1319" s="25">
        <f t="shared" si="41"/>
        <v>-1.7348802234396832E-2</v>
      </c>
      <c r="I1319" s="84">
        <v>83.352120895355085</v>
      </c>
      <c r="J1319" s="84">
        <v>86.113869642187566</v>
      </c>
      <c r="K1319" s="84">
        <v>82.897885904099738</v>
      </c>
      <c r="L1319" s="84">
        <v>85.877667446734776</v>
      </c>
      <c r="M1319" s="85">
        <v>6683614.3371733306</v>
      </c>
      <c r="N1319" s="83" t="s">
        <v>1324</v>
      </c>
      <c r="O1319" s="25">
        <f t="shared" si="42"/>
        <v>-2.9408653337564705E-2</v>
      </c>
    </row>
    <row r="1320" spans="1:15">
      <c r="A1320" s="84">
        <v>355.88124360700431</v>
      </c>
      <c r="B1320" s="84">
        <v>358.87437334694147</v>
      </c>
      <c r="C1320" s="84">
        <v>351.03387940553353</v>
      </c>
      <c r="D1320" s="84">
        <v>355.79653238794941</v>
      </c>
      <c r="E1320" s="85">
        <v>8456592.1491029877</v>
      </c>
      <c r="F1320" s="83" t="s">
        <v>1325</v>
      </c>
      <c r="G1320" s="25">
        <f t="shared" si="41"/>
        <v>2.3808893944621268E-4</v>
      </c>
      <c r="I1320" s="84">
        <v>86.577189333268009</v>
      </c>
      <c r="J1320" s="84">
        <v>87.258541820151009</v>
      </c>
      <c r="K1320" s="84">
        <v>85.141806760901133</v>
      </c>
      <c r="L1320" s="84">
        <v>86.949662026097386</v>
      </c>
      <c r="M1320" s="85">
        <v>5828435.8338033911</v>
      </c>
      <c r="N1320" s="83" t="s">
        <v>1325</v>
      </c>
      <c r="O1320" s="25">
        <f t="shared" si="42"/>
        <v>-4.2837739003238617E-3</v>
      </c>
    </row>
    <row r="1321" spans="1:15">
      <c r="A1321" s="84">
        <v>358.13079709079358</v>
      </c>
      <c r="B1321" s="84">
        <v>367.37373232544257</v>
      </c>
      <c r="C1321" s="84">
        <v>354.23408101427151</v>
      </c>
      <c r="D1321" s="84">
        <v>367.28902110638774</v>
      </c>
      <c r="E1321" s="85">
        <v>11131380.005164264</v>
      </c>
      <c r="F1321" s="83" t="s">
        <v>1326</v>
      </c>
      <c r="G1321" s="25">
        <f t="shared" si="41"/>
        <v>-2.4934652247450173E-2</v>
      </c>
      <c r="I1321" s="84">
        <v>87.503828715428895</v>
      </c>
      <c r="J1321" s="84">
        <v>89.211752282548986</v>
      </c>
      <c r="K1321" s="84">
        <v>86.677121031344171</v>
      </c>
      <c r="L1321" s="84">
        <v>88.848364289544705</v>
      </c>
      <c r="M1321" s="85">
        <v>6501577.5025131879</v>
      </c>
      <c r="N1321" s="83" t="s">
        <v>1326</v>
      </c>
      <c r="O1321" s="25">
        <f t="shared" si="42"/>
        <v>-1.5132924335378273E-2</v>
      </c>
    </row>
    <row r="1322" spans="1:15">
      <c r="A1322" s="84">
        <v>371.16691246756426</v>
      </c>
      <c r="B1322" s="84">
        <v>371.71753539142071</v>
      </c>
      <c r="C1322" s="84">
        <v>357.93313757966564</v>
      </c>
      <c r="D1322" s="84">
        <v>360.82273138520259</v>
      </c>
      <c r="E1322" s="85">
        <v>7827525.532017597</v>
      </c>
      <c r="F1322" s="83" t="s">
        <v>1327</v>
      </c>
      <c r="G1322" s="25">
        <f t="shared" si="41"/>
        <v>2.8668318768748868E-2</v>
      </c>
      <c r="I1322" s="84">
        <v>88.812025490244295</v>
      </c>
      <c r="J1322" s="84">
        <v>89.048227685697057</v>
      </c>
      <c r="K1322" s="84">
        <v>86.259224839389276</v>
      </c>
      <c r="L1322" s="84">
        <v>86.295563638689686</v>
      </c>
      <c r="M1322" s="85">
        <v>6781522.9106125794</v>
      </c>
      <c r="N1322" s="83" t="s">
        <v>1327</v>
      </c>
      <c r="O1322" s="25">
        <f t="shared" si="42"/>
        <v>2.9160964312033189E-2</v>
      </c>
    </row>
    <row r="1323" spans="1:15">
      <c r="A1323" s="84">
        <v>360.23916520949155</v>
      </c>
      <c r="B1323" s="84">
        <v>362.42810310986829</v>
      </c>
      <c r="C1323" s="84">
        <v>357.66959156482841</v>
      </c>
      <c r="D1323" s="84">
        <v>359.19439350781533</v>
      </c>
      <c r="E1323" s="85">
        <v>5957801.6422281321</v>
      </c>
      <c r="F1323" s="83" t="s">
        <v>1328</v>
      </c>
      <c r="G1323" s="25">
        <f t="shared" si="41"/>
        <v>2.9086525863424306E-3</v>
      </c>
      <c r="I1323" s="84">
        <v>86.668036331519076</v>
      </c>
      <c r="J1323" s="84">
        <v>87.328494008804341</v>
      </c>
      <c r="K1323" s="84">
        <v>85.686888750407533</v>
      </c>
      <c r="L1323" s="84">
        <v>86.468172935366724</v>
      </c>
      <c r="M1323" s="85">
        <v>6177671.3683921965</v>
      </c>
      <c r="N1323" s="83" t="s">
        <v>1328</v>
      </c>
      <c r="O1323" s="25">
        <f t="shared" si="42"/>
        <v>2.3114099600756166E-3</v>
      </c>
    </row>
    <row r="1324" spans="1:15">
      <c r="A1324" s="84">
        <v>358.6861261934863</v>
      </c>
      <c r="B1324" s="84">
        <v>359.80619675654458</v>
      </c>
      <c r="C1324" s="84">
        <v>350.45031322982248</v>
      </c>
      <c r="D1324" s="84">
        <v>356.53069628642464</v>
      </c>
      <c r="E1324" s="85">
        <v>11407363.992419465</v>
      </c>
      <c r="F1324" s="83" t="s">
        <v>1329</v>
      </c>
      <c r="G1324" s="25">
        <f t="shared" si="41"/>
        <v>6.0455661448293174E-3</v>
      </c>
      <c r="I1324" s="84">
        <v>85.596041752156466</v>
      </c>
      <c r="J1324" s="84">
        <v>86.604443432743324</v>
      </c>
      <c r="K1324" s="84">
        <v>83.939719280042993</v>
      </c>
      <c r="L1324" s="84">
        <v>85.859498047084571</v>
      </c>
      <c r="M1324" s="85">
        <v>8663578.4907812905</v>
      </c>
      <c r="N1324" s="83" t="s">
        <v>1329</v>
      </c>
      <c r="O1324" s="25">
        <f t="shared" si="42"/>
        <v>-3.0684583641943375E-3</v>
      </c>
    </row>
    <row r="1325" spans="1:15">
      <c r="A1325" s="84">
        <v>356.44598506736975</v>
      </c>
      <c r="B1325" s="84">
        <v>368.44674110013705</v>
      </c>
      <c r="C1325" s="84">
        <v>355.7871200302767</v>
      </c>
      <c r="D1325" s="84">
        <v>366.53603249256707</v>
      </c>
      <c r="E1325" s="85">
        <v>8735265.1544427052</v>
      </c>
      <c r="F1325" s="83" t="s">
        <v>1330</v>
      </c>
      <c r="G1325" s="25">
        <f t="shared" si="41"/>
        <v>-2.7528118740691498E-2</v>
      </c>
      <c r="I1325" s="84">
        <v>86.222886040088838</v>
      </c>
      <c r="J1325" s="84">
        <v>89.838596570481357</v>
      </c>
      <c r="K1325" s="84">
        <v>85.950345045335638</v>
      </c>
      <c r="L1325" s="84">
        <v>89.457039177826871</v>
      </c>
      <c r="M1325" s="85">
        <v>6475693.3231206965</v>
      </c>
      <c r="N1325" s="83" t="s">
        <v>1330</v>
      </c>
      <c r="O1325" s="25">
        <f t="shared" si="42"/>
        <v>-3.6153143089265871E-2</v>
      </c>
    </row>
    <row r="1326" spans="1:15">
      <c r="A1326" s="84">
        <v>370.03742954683327</v>
      </c>
      <c r="B1326" s="84">
        <v>371.69400449723878</v>
      </c>
      <c r="C1326" s="84">
        <v>361.31217398418602</v>
      </c>
      <c r="D1326" s="84">
        <v>365.4159619295088</v>
      </c>
      <c r="E1326" s="85">
        <v>7475483.0241568815</v>
      </c>
      <c r="F1326" s="83" t="s">
        <v>1331</v>
      </c>
      <c r="G1326" s="25">
        <f t="shared" si="41"/>
        <v>1.2647142157999003E-2</v>
      </c>
      <c r="I1326" s="84">
        <v>89.1027358846477</v>
      </c>
      <c r="J1326" s="84">
        <v>90.17473046401031</v>
      </c>
      <c r="K1326" s="84">
        <v>88.030741305285105</v>
      </c>
      <c r="L1326" s="84">
        <v>89.938528268557533</v>
      </c>
      <c r="M1326" s="85">
        <v>7206216.0842205072</v>
      </c>
      <c r="N1326" s="83" t="s">
        <v>1331</v>
      </c>
      <c r="O1326" s="25">
        <f t="shared" si="42"/>
        <v>-9.2929292929293528E-3</v>
      </c>
    </row>
    <row r="1327" spans="1:15">
      <c r="A1327" s="84">
        <v>360.99215382331215</v>
      </c>
      <c r="B1327" s="84">
        <v>365.90540452849223</v>
      </c>
      <c r="C1327" s="84">
        <v>359.08144521574218</v>
      </c>
      <c r="D1327" s="84">
        <v>360.96391675029395</v>
      </c>
      <c r="E1327" s="85">
        <v>6816253.9323897576</v>
      </c>
      <c r="F1327" s="83" t="s">
        <v>1332</v>
      </c>
      <c r="G1327" s="25">
        <f t="shared" si="41"/>
        <v>7.8226857887608858E-5</v>
      </c>
      <c r="I1327" s="84">
        <v>89.793173071355824</v>
      </c>
      <c r="J1327" s="84">
        <v>90.765235952642243</v>
      </c>
      <c r="K1327" s="84">
        <v>88.666670293042571</v>
      </c>
      <c r="L1327" s="84">
        <v>90.138391664709872</v>
      </c>
      <c r="M1327" s="85">
        <v>7300242.3059388399</v>
      </c>
      <c r="N1327" s="83" t="s">
        <v>1332</v>
      </c>
      <c r="O1327" s="25">
        <f t="shared" si="42"/>
        <v>-3.8298730094737943E-3</v>
      </c>
    </row>
    <row r="1328" spans="1:15">
      <c r="A1328" s="84">
        <v>360.0603304137091</v>
      </c>
      <c r="B1328" s="84">
        <v>368.57851410755563</v>
      </c>
      <c r="C1328" s="84">
        <v>359.96620683698148</v>
      </c>
      <c r="D1328" s="84">
        <v>368.39967931177324</v>
      </c>
      <c r="E1328" s="85">
        <v>9023227.0120593645</v>
      </c>
      <c r="F1328" s="83" t="s">
        <v>1333</v>
      </c>
      <c r="G1328" s="25">
        <f t="shared" si="41"/>
        <v>-2.2636688809402061E-2</v>
      </c>
      <c r="I1328" s="84">
        <v>90.111137565234557</v>
      </c>
      <c r="J1328" s="84">
        <v>91.710044734453362</v>
      </c>
      <c r="K1328" s="84">
        <v>87.921724907383819</v>
      </c>
      <c r="L1328" s="84">
        <v>88.030741305285105</v>
      </c>
      <c r="M1328" s="85">
        <v>7924513.8954443652</v>
      </c>
      <c r="N1328" s="83" t="s">
        <v>1333</v>
      </c>
      <c r="O1328" s="25">
        <f t="shared" si="42"/>
        <v>2.3632610939112286E-2</v>
      </c>
    </row>
    <row r="1329" spans="1:15">
      <c r="A1329" s="84">
        <v>370.65864515323534</v>
      </c>
      <c r="B1329" s="84">
        <v>370.9018604754994</v>
      </c>
      <c r="C1329" s="84">
        <v>362.37577040120772</v>
      </c>
      <c r="D1329" s="84">
        <v>366.53603249256707</v>
      </c>
      <c r="E1329" s="85">
        <v>8649460.9353428055</v>
      </c>
      <c r="F1329" s="83" t="s">
        <v>1334</v>
      </c>
      <c r="G1329" s="25">
        <f t="shared" si="41"/>
        <v>1.1247496276513669E-2</v>
      </c>
      <c r="I1329" s="84">
        <v>90.492694957889043</v>
      </c>
      <c r="J1329" s="84">
        <v>90.769778302554812</v>
      </c>
      <c r="K1329" s="84">
        <v>88.639416193567243</v>
      </c>
      <c r="L1329" s="84">
        <v>90.7107277536916</v>
      </c>
      <c r="M1329" s="85">
        <v>6177972.9743948979</v>
      </c>
      <c r="N1329" s="83" t="s">
        <v>1334</v>
      </c>
      <c r="O1329" s="25">
        <f t="shared" si="42"/>
        <v>-2.4036054081121305E-3</v>
      </c>
    </row>
    <row r="1330" spans="1:15">
      <c r="A1330" s="84">
        <v>368.64440061126498</v>
      </c>
      <c r="B1330" s="84">
        <v>378.2685363316607</v>
      </c>
      <c r="C1330" s="84">
        <v>368.11730858159052</v>
      </c>
      <c r="D1330" s="84">
        <v>378.06617064169637</v>
      </c>
      <c r="E1330" s="85">
        <v>6721415.8449482312</v>
      </c>
      <c r="F1330" s="83" t="s">
        <v>1335</v>
      </c>
      <c r="G1330" s="25">
        <f t="shared" si="41"/>
        <v>-2.4920955012821433E-2</v>
      </c>
      <c r="I1330" s="84">
        <v>91.292148542498438</v>
      </c>
      <c r="J1330" s="84">
        <v>93.173317335283315</v>
      </c>
      <c r="K1330" s="84">
        <v>91.184040614579672</v>
      </c>
      <c r="L1330" s="84">
        <v>92.16427972570871</v>
      </c>
      <c r="M1330" s="85">
        <v>5155153.2688587559</v>
      </c>
      <c r="N1330" s="83" t="s">
        <v>1335</v>
      </c>
      <c r="O1330" s="25">
        <f t="shared" si="42"/>
        <v>-9.46278955150337E-3</v>
      </c>
    </row>
    <row r="1331" spans="1:15">
      <c r="A1331" s="84">
        <v>378.98858169362671</v>
      </c>
      <c r="B1331" s="84">
        <v>389.37041220667953</v>
      </c>
      <c r="C1331" s="84">
        <v>378.18853129144225</v>
      </c>
      <c r="D1331" s="84">
        <v>388.14680570922087</v>
      </c>
      <c r="E1331" s="85">
        <v>4961724.9602789879</v>
      </c>
      <c r="F1331" s="83" t="s">
        <v>1336</v>
      </c>
      <c r="G1331" s="25">
        <f t="shared" si="41"/>
        <v>-2.3594742713031636E-2</v>
      </c>
      <c r="I1331" s="84">
        <v>92.418651320811691</v>
      </c>
      <c r="J1331" s="84">
        <v>96.315987545782519</v>
      </c>
      <c r="K1331" s="84">
        <v>92.118856226583176</v>
      </c>
      <c r="L1331" s="84">
        <v>96.1615476487557</v>
      </c>
      <c r="M1331" s="85">
        <v>6379228.9360885471</v>
      </c>
      <c r="N1331" s="83" t="s">
        <v>1336</v>
      </c>
      <c r="O1331" s="25">
        <f t="shared" si="42"/>
        <v>-3.892300425129902E-2</v>
      </c>
    </row>
    <row r="1332" spans="1:15">
      <c r="A1332" s="84">
        <v>384.69247044331843</v>
      </c>
      <c r="B1332" s="84">
        <v>387.21498229961776</v>
      </c>
      <c r="C1332" s="84">
        <v>383.71358524535157</v>
      </c>
      <c r="D1332" s="84">
        <v>386.67847791227052</v>
      </c>
      <c r="E1332" s="85">
        <v>5383501.3247163231</v>
      </c>
      <c r="F1332" s="83" t="s">
        <v>1337</v>
      </c>
      <c r="G1332" s="25">
        <f t="shared" si="41"/>
        <v>-5.1360693247651801E-3</v>
      </c>
      <c r="I1332" s="84">
        <v>95.362094064146305</v>
      </c>
      <c r="J1332" s="84">
        <v>96.315987545782519</v>
      </c>
      <c r="K1332" s="84">
        <v>94.735249776213934</v>
      </c>
      <c r="L1332" s="84">
        <v>96.007107751728896</v>
      </c>
      <c r="M1332" s="85">
        <v>4658619.5267604627</v>
      </c>
      <c r="N1332" s="83" t="s">
        <v>1337</v>
      </c>
      <c r="O1332" s="25">
        <f t="shared" si="42"/>
        <v>-6.7183951551855747E-3</v>
      </c>
    </row>
    <row r="1333" spans="1:15">
      <c r="A1333" s="84">
        <v>384.98425353117398</v>
      </c>
      <c r="B1333" s="84">
        <v>385.69018035663089</v>
      </c>
      <c r="C1333" s="84">
        <v>378.71562332111677</v>
      </c>
      <c r="D1333" s="84">
        <v>378.92269518991742</v>
      </c>
      <c r="E1333" s="85">
        <v>4081347.2389793941</v>
      </c>
      <c r="F1333" s="83" t="s">
        <v>1338</v>
      </c>
      <c r="G1333" s="25">
        <f t="shared" si="41"/>
        <v>1.5996820507725218E-2</v>
      </c>
      <c r="I1333" s="84">
        <v>94.980536671491819</v>
      </c>
      <c r="J1333" s="84">
        <v>95.988938352078662</v>
      </c>
      <c r="K1333" s="84">
        <v>94.626233378312648</v>
      </c>
      <c r="L1333" s="84">
        <v>94.880604973415643</v>
      </c>
      <c r="M1333" s="85">
        <v>5033564.2212000452</v>
      </c>
      <c r="N1333" s="83" t="s">
        <v>1338</v>
      </c>
      <c r="O1333" s="25">
        <f t="shared" si="42"/>
        <v>1.0532363079280849E-3</v>
      </c>
    </row>
    <row r="1334" spans="1:15">
      <c r="A1334" s="84">
        <v>378.93210754759014</v>
      </c>
      <c r="B1334" s="84">
        <v>380.46632184824983</v>
      </c>
      <c r="C1334" s="84">
        <v>376.90845064794706</v>
      </c>
      <c r="D1334" s="84">
        <v>377.95322234962327</v>
      </c>
      <c r="E1334" s="85">
        <v>4574696.531626815</v>
      </c>
      <c r="F1334" s="83" t="s">
        <v>1339</v>
      </c>
      <c r="G1334" s="25">
        <f t="shared" si="41"/>
        <v>2.5899638899264943E-3</v>
      </c>
      <c r="I1334" s="84">
        <v>94.753419175864138</v>
      </c>
      <c r="J1334" s="84">
        <v>95.807244355576529</v>
      </c>
      <c r="K1334" s="84">
        <v>94.399115882684981</v>
      </c>
      <c r="L1334" s="84">
        <v>94.717080376563729</v>
      </c>
      <c r="M1334" s="85">
        <v>4263504.6557022119</v>
      </c>
      <c r="N1334" s="83" t="s">
        <v>1339</v>
      </c>
      <c r="O1334" s="25">
        <f t="shared" si="42"/>
        <v>3.8365624400515941E-4</v>
      </c>
    </row>
    <row r="1335" spans="1:15">
      <c r="A1335" s="84">
        <v>378.86622104388084</v>
      </c>
      <c r="B1335" s="84">
        <v>384.75835694702778</v>
      </c>
      <c r="C1335" s="84">
        <v>378.69679860577116</v>
      </c>
      <c r="D1335" s="84">
        <v>383.76064703371537</v>
      </c>
      <c r="E1335" s="85">
        <v>3968908.8854026943</v>
      </c>
      <c r="F1335" s="83" t="s">
        <v>1340</v>
      </c>
      <c r="G1335" s="25">
        <f t="shared" si="41"/>
        <v>-1.2753850681840539E-2</v>
      </c>
      <c r="I1335" s="84">
        <v>94.726165076388824</v>
      </c>
      <c r="J1335" s="84">
        <v>95.371178763971415</v>
      </c>
      <c r="K1335" s="84">
        <v>94.18108308688241</v>
      </c>
      <c r="L1335" s="84">
        <v>94.380946483034762</v>
      </c>
      <c r="M1335" s="85">
        <v>4433158.0322222086</v>
      </c>
      <c r="N1335" s="83" t="s">
        <v>1340</v>
      </c>
      <c r="O1335" s="25">
        <f t="shared" si="42"/>
        <v>3.6577148907499524E-3</v>
      </c>
    </row>
    <row r="1336" spans="1:15">
      <c r="A1336" s="84">
        <v>383.5253380918964</v>
      </c>
      <c r="B1336" s="84">
        <v>384.21244020200777</v>
      </c>
      <c r="C1336" s="84">
        <v>378.82857161318987</v>
      </c>
      <c r="D1336" s="84">
        <v>378.91328283224465</v>
      </c>
      <c r="E1336" s="85">
        <v>4630837.6195849748</v>
      </c>
      <c r="F1336" s="83" t="s">
        <v>1341</v>
      </c>
      <c r="G1336" s="25">
        <f t="shared" si="41"/>
        <v>1.2171796209355046E-2</v>
      </c>
      <c r="I1336" s="84">
        <v>93.90854209212921</v>
      </c>
      <c r="J1336" s="84">
        <v>94.889689673240753</v>
      </c>
      <c r="K1336" s="84">
        <v>93.245359004896414</v>
      </c>
      <c r="L1336" s="84">
        <v>93.863118593003676</v>
      </c>
      <c r="M1336" s="85">
        <v>5891124.7515402306</v>
      </c>
      <c r="N1336" s="83" t="s">
        <v>1341</v>
      </c>
      <c r="O1336" s="25">
        <f t="shared" si="42"/>
        <v>4.8393341076269358E-4</v>
      </c>
    </row>
    <row r="1337" spans="1:15">
      <c r="A1337" s="84">
        <v>379.24271535079123</v>
      </c>
      <c r="B1337" s="84">
        <v>385.63370621059431</v>
      </c>
      <c r="C1337" s="84">
        <v>377.78379991151365</v>
      </c>
      <c r="D1337" s="84">
        <v>383.39356508447776</v>
      </c>
      <c r="E1337" s="85">
        <v>7028858.4752230197</v>
      </c>
      <c r="F1337" s="83" t="s">
        <v>1342</v>
      </c>
      <c r="G1337" s="25">
        <f t="shared" si="41"/>
        <v>-1.0826602509022121E-2</v>
      </c>
      <c r="I1337" s="84">
        <v>93.209020205595976</v>
      </c>
      <c r="J1337" s="84">
        <v>94.458166431548165</v>
      </c>
      <c r="K1337" s="84">
        <v>92.727531114865315</v>
      </c>
      <c r="L1337" s="84">
        <v>92.827462812941505</v>
      </c>
      <c r="M1337" s="85">
        <v>5326727.4573302697</v>
      </c>
      <c r="N1337" s="83" t="s">
        <v>1342</v>
      </c>
      <c r="O1337" s="25">
        <f t="shared" si="42"/>
        <v>4.1103934233703843E-3</v>
      </c>
    </row>
    <row r="1338" spans="1:15">
      <c r="A1338" s="84">
        <v>380.63574428635945</v>
      </c>
      <c r="B1338" s="84">
        <v>385.02114997325117</v>
      </c>
      <c r="C1338" s="84">
        <v>380.18865729690344</v>
      </c>
      <c r="D1338" s="84">
        <v>384.49481093219055</v>
      </c>
      <c r="E1338" s="85">
        <v>3551484.2467947486</v>
      </c>
      <c r="F1338" s="83" t="s">
        <v>1343</v>
      </c>
      <c r="G1338" s="25">
        <f t="shared" si="41"/>
        <v>-1.0036719706242425E-2</v>
      </c>
      <c r="I1338" s="84">
        <v>92.763869914165753</v>
      </c>
      <c r="J1338" s="84">
        <v>93.526984699474724</v>
      </c>
      <c r="K1338" s="84">
        <v>91.428419039875052</v>
      </c>
      <c r="L1338" s="84">
        <v>91.428419039875052</v>
      </c>
      <c r="M1338" s="85">
        <v>6282700.7054499872</v>
      </c>
      <c r="N1338" s="83" t="s">
        <v>1343</v>
      </c>
      <c r="O1338" s="25">
        <f t="shared" si="42"/>
        <v>1.4606518282988867E-2</v>
      </c>
    </row>
    <row r="1339" spans="1:15">
      <c r="A1339" s="84">
        <v>387.3467553070364</v>
      </c>
      <c r="B1339" s="84">
        <v>389.87867952100851</v>
      </c>
      <c r="C1339" s="84">
        <v>385.88783986775883</v>
      </c>
      <c r="D1339" s="84">
        <v>387.64795075256473</v>
      </c>
      <c r="E1339" s="85">
        <v>5049544.6149009457</v>
      </c>
      <c r="F1339" s="83" t="s">
        <v>1344</v>
      </c>
      <c r="G1339" s="25">
        <f t="shared" si="41"/>
        <v>-7.7698191089003998E-4</v>
      </c>
      <c r="I1339" s="84">
        <v>91.210386244072495</v>
      </c>
      <c r="J1339" s="84">
        <v>93.336206003147481</v>
      </c>
      <c r="K1339" s="84">
        <v>90.910591149843953</v>
      </c>
      <c r="L1339" s="84">
        <v>92.645768816439372</v>
      </c>
      <c r="M1339" s="85">
        <v>5296126.556326176</v>
      </c>
      <c r="N1339" s="83" t="s">
        <v>1344</v>
      </c>
      <c r="O1339" s="25">
        <f t="shared" si="42"/>
        <v>-1.549323396744462E-2</v>
      </c>
    </row>
    <row r="1340" spans="1:15">
      <c r="A1340" s="84">
        <v>388.28799107431223</v>
      </c>
      <c r="B1340" s="84">
        <v>389.95397838239057</v>
      </c>
      <c r="C1340" s="84">
        <v>383.77947174906086</v>
      </c>
      <c r="D1340" s="84">
        <v>385.53017027619399</v>
      </c>
      <c r="E1340" s="85">
        <v>5263349.7070963196</v>
      </c>
      <c r="F1340" s="83" t="s">
        <v>1345</v>
      </c>
      <c r="G1340" s="25">
        <f t="shared" si="41"/>
        <v>7.1533203124998224E-3</v>
      </c>
      <c r="I1340" s="84">
        <v>91.737298833928691</v>
      </c>
      <c r="J1340" s="84">
        <v>92.000755128856781</v>
      </c>
      <c r="K1340" s="84">
        <v>88.939211287795786</v>
      </c>
      <c r="L1340" s="84">
        <v>89.257175781674519</v>
      </c>
      <c r="M1340" s="85">
        <v>6771241.8884766717</v>
      </c>
      <c r="N1340" s="83" t="s">
        <v>1345</v>
      </c>
      <c r="O1340" s="25">
        <f t="shared" si="42"/>
        <v>2.7786259541984881E-2</v>
      </c>
    </row>
    <row r="1341" spans="1:15">
      <c r="A1341" s="84">
        <v>386.33963303605123</v>
      </c>
      <c r="B1341" s="84">
        <v>388.41035172405816</v>
      </c>
      <c r="C1341" s="84">
        <v>383.68534817233331</v>
      </c>
      <c r="D1341" s="84">
        <v>386.622003766234</v>
      </c>
      <c r="E1341" s="85">
        <v>5886639.8756137434</v>
      </c>
      <c r="F1341" s="83" t="s">
        <v>1346</v>
      </c>
      <c r="G1341" s="25">
        <f t="shared" si="41"/>
        <v>-7.3035349108974135E-4</v>
      </c>
      <c r="I1341" s="84">
        <v>89.447954478001762</v>
      </c>
      <c r="J1341" s="84">
        <v>90.192899863660529</v>
      </c>
      <c r="K1341" s="84">
        <v>89.148159383773233</v>
      </c>
      <c r="L1341" s="84">
        <v>89.320768680450257</v>
      </c>
      <c r="M1341" s="85">
        <v>5790875.9797004536</v>
      </c>
      <c r="N1341" s="83" t="s">
        <v>1346</v>
      </c>
      <c r="O1341" s="25">
        <f t="shared" si="42"/>
        <v>1.423921887713675E-3</v>
      </c>
    </row>
    <row r="1342" spans="1:15">
      <c r="A1342" s="84">
        <v>390.29282325860987</v>
      </c>
      <c r="B1342" s="84">
        <v>396.0908355850292</v>
      </c>
      <c r="C1342" s="84">
        <v>389.20098976856985</v>
      </c>
      <c r="D1342" s="84">
        <v>393.96364275098574</v>
      </c>
      <c r="E1342" s="85">
        <v>4368759.8187020607</v>
      </c>
      <c r="F1342" s="83" t="s">
        <v>1347</v>
      </c>
      <c r="G1342" s="25">
        <f t="shared" si="41"/>
        <v>-9.317660550458684E-3</v>
      </c>
      <c r="I1342" s="84">
        <v>89.765918971880495</v>
      </c>
      <c r="J1342" s="84">
        <v>91.310317942148657</v>
      </c>
      <c r="K1342" s="84">
        <v>89.584224975378362</v>
      </c>
      <c r="L1342" s="84">
        <v>90.374593860162662</v>
      </c>
      <c r="M1342" s="85">
        <v>4642044.4056338575</v>
      </c>
      <c r="N1342" s="83" t="s">
        <v>1347</v>
      </c>
      <c r="O1342" s="25">
        <f t="shared" si="42"/>
        <v>-6.7350221149981016E-3</v>
      </c>
    </row>
    <row r="1343" spans="1:15">
      <c r="A1343" s="84">
        <v>395.17783689077163</v>
      </c>
      <c r="B1343" s="84">
        <v>395.2813728251719</v>
      </c>
      <c r="C1343" s="84">
        <v>391.29053317192228</v>
      </c>
      <c r="D1343" s="84">
        <v>391.97763528203365</v>
      </c>
      <c r="E1343" s="85">
        <v>5436690.9736232022</v>
      </c>
      <c r="F1343" s="83" t="s">
        <v>1348</v>
      </c>
      <c r="G1343" s="25">
        <f t="shared" si="41"/>
        <v>8.1642454076120696E-3</v>
      </c>
      <c r="I1343" s="84">
        <v>90.211069263310733</v>
      </c>
      <c r="J1343" s="84">
        <v>91.210386244072495</v>
      </c>
      <c r="K1343" s="84">
        <v>89.538801476252829</v>
      </c>
      <c r="L1343" s="84">
        <v>90.9560146489695</v>
      </c>
      <c r="M1343" s="85">
        <v>4196800.1952724615</v>
      </c>
      <c r="N1343" s="83" t="s">
        <v>1348</v>
      </c>
      <c r="O1343" s="25">
        <f t="shared" si="42"/>
        <v>-8.1901717938475116E-3</v>
      </c>
    </row>
    <row r="1344" spans="1:15">
      <c r="A1344" s="84">
        <v>391.85527463228777</v>
      </c>
      <c r="B1344" s="84">
        <v>392.32401004439117</v>
      </c>
      <c r="C1344" s="84">
        <v>388.60801123518604</v>
      </c>
      <c r="D1344" s="84">
        <v>392.19411950850713</v>
      </c>
      <c r="E1344" s="85">
        <v>4954196.5595887881</v>
      </c>
      <c r="F1344" s="83" t="s">
        <v>1349</v>
      </c>
      <c r="G1344" s="25">
        <f t="shared" si="41"/>
        <v>-8.639723528848231E-4</v>
      </c>
      <c r="I1344" s="84">
        <v>91.001438148095033</v>
      </c>
      <c r="J1344" s="84">
        <v>91.255264661208514</v>
      </c>
      <c r="K1344" s="84">
        <v>89.920358868907314</v>
      </c>
      <c r="L1344" s="84">
        <v>90.628965455265657</v>
      </c>
      <c r="M1344" s="85">
        <v>3972189.5819024141</v>
      </c>
      <c r="N1344" s="83" t="s">
        <v>1349</v>
      </c>
      <c r="O1344" s="25">
        <f t="shared" si="42"/>
        <v>4.1098636728147397E-3</v>
      </c>
    </row>
    <row r="1345" spans="1:15">
      <c r="A1345" s="84">
        <v>390.77285349992059</v>
      </c>
      <c r="B1345" s="84">
        <v>396.89088598721366</v>
      </c>
      <c r="C1345" s="84">
        <v>390.65990520784743</v>
      </c>
      <c r="D1345" s="84">
        <v>396.23202095012061</v>
      </c>
      <c r="E1345" s="85">
        <v>6243535.5777099701</v>
      </c>
      <c r="F1345" s="83" t="s">
        <v>1350</v>
      </c>
      <c r="G1345" s="25">
        <f t="shared" si="41"/>
        <v>-1.3777703874385372E-2</v>
      </c>
      <c r="I1345" s="84">
        <v>90.002121167333272</v>
      </c>
      <c r="J1345" s="84">
        <v>91.671434760196661</v>
      </c>
      <c r="K1345" s="84">
        <v>89.938528268557533</v>
      </c>
      <c r="L1345" s="84">
        <v>90.192899863660529</v>
      </c>
      <c r="M1345" s="85">
        <v>6060272.88296811</v>
      </c>
      <c r="N1345" s="83" t="s">
        <v>1350</v>
      </c>
      <c r="O1345" s="25">
        <f t="shared" si="42"/>
        <v>-2.1152296535054127E-3</v>
      </c>
    </row>
    <row r="1346" spans="1:15">
      <c r="A1346" s="84">
        <v>396.87206127186812</v>
      </c>
      <c r="B1346" s="84">
        <v>399.09337768263919</v>
      </c>
      <c r="C1346" s="84">
        <v>394.93311559127983</v>
      </c>
      <c r="D1346" s="84">
        <v>398.38745085718227</v>
      </c>
      <c r="E1346" s="85">
        <v>5093658.9605767094</v>
      </c>
      <c r="F1346" s="83" t="s">
        <v>1351</v>
      </c>
      <c r="G1346" s="25">
        <f t="shared" si="41"/>
        <v>-3.8038085337618321E-3</v>
      </c>
      <c r="I1346" s="84">
        <v>91.601028336552076</v>
      </c>
      <c r="J1346" s="84">
        <v>93.004614459531084</v>
      </c>
      <c r="K1346" s="84">
        <v>90.628965455265657</v>
      </c>
      <c r="L1346" s="84">
        <v>92.327804322560624</v>
      </c>
      <c r="M1346" s="85">
        <v>5688824.1763554709</v>
      </c>
      <c r="N1346" s="83" t="s">
        <v>1351</v>
      </c>
      <c r="O1346" s="25">
        <f t="shared" si="42"/>
        <v>-7.871691429696015E-3</v>
      </c>
    </row>
    <row r="1347" spans="1:15">
      <c r="A1347" s="84">
        <v>399.35692369747647</v>
      </c>
      <c r="B1347" s="84">
        <v>399.76165507740507</v>
      </c>
      <c r="C1347" s="84">
        <v>395.55433119768196</v>
      </c>
      <c r="D1347" s="84">
        <v>398.1050801269995</v>
      </c>
      <c r="E1347" s="85">
        <v>5854594.7695429288</v>
      </c>
      <c r="F1347" s="83" t="s">
        <v>1352</v>
      </c>
      <c r="G1347" s="25">
        <f t="shared" si="41"/>
        <v>3.1445053905809761E-3</v>
      </c>
      <c r="I1347" s="84">
        <v>91.828145832179743</v>
      </c>
      <c r="J1347" s="84">
        <v>92.118856226583176</v>
      </c>
      <c r="K1347" s="84">
        <v>90.275570632068991</v>
      </c>
      <c r="L1347" s="84">
        <v>91.619197736202281</v>
      </c>
      <c r="M1347" s="85">
        <v>5545759.46040216</v>
      </c>
      <c r="N1347" s="83" t="s">
        <v>1352</v>
      </c>
      <c r="O1347" s="25">
        <f t="shared" si="42"/>
        <v>2.2806147744174332E-3</v>
      </c>
    </row>
    <row r="1348" spans="1:15">
      <c r="A1348" s="84">
        <v>394.36837413091433</v>
      </c>
      <c r="B1348" s="84">
        <v>394.42484827695091</v>
      </c>
      <c r="C1348" s="84">
        <v>389.37982456435225</v>
      </c>
      <c r="D1348" s="84">
        <v>391.08346130312157</v>
      </c>
      <c r="E1348" s="85">
        <v>3607315.104298274</v>
      </c>
      <c r="F1348" s="83" t="s">
        <v>1353</v>
      </c>
      <c r="G1348" s="25">
        <f t="shared" si="41"/>
        <v>8.3995186522263232E-3</v>
      </c>
      <c r="I1348" s="84">
        <v>92.2914655232602</v>
      </c>
      <c r="J1348" s="84">
        <v>92.809293413291286</v>
      </c>
      <c r="K1348" s="84">
        <v>91.682972328974543</v>
      </c>
      <c r="L1348" s="84">
        <v>92.364143121861048</v>
      </c>
      <c r="M1348" s="85">
        <v>4461660.9002294028</v>
      </c>
      <c r="N1348" s="83" t="s">
        <v>1353</v>
      </c>
      <c r="O1348" s="25">
        <f t="shared" si="42"/>
        <v>-7.8685944723111412E-4</v>
      </c>
    </row>
    <row r="1349" spans="1:15">
      <c r="A1349" s="84">
        <v>391.66702747883261</v>
      </c>
      <c r="B1349" s="84">
        <v>391.89113571502099</v>
      </c>
      <c r="C1349" s="84">
        <v>387.98208944994758</v>
      </c>
      <c r="D1349" s="84">
        <v>390.41518390835574</v>
      </c>
      <c r="E1349" s="85">
        <v>3870714.5719125741</v>
      </c>
      <c r="F1349" s="83" t="s">
        <v>1354</v>
      </c>
      <c r="G1349" s="25">
        <f t="shared" si="41"/>
        <v>3.2064418139299278E-3</v>
      </c>
      <c r="I1349" s="84">
        <v>93.054580308569172</v>
      </c>
      <c r="J1349" s="84">
        <v>93.545154099124943</v>
      </c>
      <c r="K1349" s="84">
        <v>92.591260617488729</v>
      </c>
      <c r="L1349" s="84">
        <v>92.663938216089576</v>
      </c>
      <c r="M1349" s="85">
        <v>3876587.0835568197</v>
      </c>
      <c r="N1349" s="83" t="s">
        <v>1354</v>
      </c>
      <c r="O1349" s="25">
        <f t="shared" si="42"/>
        <v>4.2156862745097445E-3</v>
      </c>
    </row>
    <row r="1350" spans="1:15">
      <c r="A1350" s="84">
        <v>389.69043236755329</v>
      </c>
      <c r="B1350" s="84">
        <v>389.76573122893541</v>
      </c>
      <c r="C1350" s="84">
        <v>384.78659402004604</v>
      </c>
      <c r="D1350" s="84">
        <v>385.80312864870399</v>
      </c>
      <c r="E1350" s="85">
        <v>3163200.0222611455</v>
      </c>
      <c r="F1350" s="83" t="s">
        <v>1355</v>
      </c>
      <c r="G1350" s="25">
        <f t="shared" si="41"/>
        <v>1.0075874014979558E-2</v>
      </c>
      <c r="I1350" s="84">
        <v>92.400481921161472</v>
      </c>
      <c r="J1350" s="84">
        <v>92.84563221259171</v>
      </c>
      <c r="K1350" s="84">
        <v>91.873569331305276</v>
      </c>
      <c r="L1350" s="84">
        <v>92.355058422035938</v>
      </c>
      <c r="M1350" s="85">
        <v>4286953.9720363915</v>
      </c>
      <c r="N1350" s="83" t="s">
        <v>1355</v>
      </c>
      <c r="O1350" s="25">
        <f t="shared" si="42"/>
        <v>4.9183553019860327E-4</v>
      </c>
    </row>
    <row r="1351" spans="1:15">
      <c r="A1351" s="84">
        <v>383.98306102786501</v>
      </c>
      <c r="B1351" s="84">
        <v>388.00741138530168</v>
      </c>
      <c r="C1351" s="84">
        <v>383.94553794760924</v>
      </c>
      <c r="D1351" s="84">
        <v>386.63781895596429</v>
      </c>
      <c r="E1351" s="85">
        <v>3989611.6997693013</v>
      </c>
      <c r="F1351" s="83" t="s">
        <v>1356</v>
      </c>
      <c r="G1351" s="25">
        <f t="shared" si="41"/>
        <v>-6.8662655279504436E-3</v>
      </c>
      <c r="I1351" s="84">
        <v>91.964416329556357</v>
      </c>
      <c r="J1351" s="84">
        <v>93.100003807694705</v>
      </c>
      <c r="K1351" s="84">
        <v>91.855399931655072</v>
      </c>
      <c r="L1351" s="84">
        <v>91.900823430780605</v>
      </c>
      <c r="M1351" s="85">
        <v>4922327.7445464954</v>
      </c>
      <c r="N1351" s="83" t="s">
        <v>1356</v>
      </c>
      <c r="O1351" s="25">
        <f t="shared" si="42"/>
        <v>6.9197311190194455E-4</v>
      </c>
    </row>
    <row r="1352" spans="1:15">
      <c r="A1352" s="84">
        <v>388.99239224201699</v>
      </c>
      <c r="B1352" s="84">
        <v>389.78975769745307</v>
      </c>
      <c r="C1352" s="84">
        <v>385.73726502982458</v>
      </c>
      <c r="D1352" s="84">
        <v>385.73726502982458</v>
      </c>
      <c r="E1352" s="85">
        <v>4511052.8998681512</v>
      </c>
      <c r="F1352" s="83" t="s">
        <v>1357</v>
      </c>
      <c r="G1352" s="25">
        <f t="shared" si="41"/>
        <v>8.438715953307474E-3</v>
      </c>
      <c r="I1352" s="84">
        <v>92.100686826932943</v>
      </c>
      <c r="J1352" s="84">
        <v>92.327804322560624</v>
      </c>
      <c r="K1352" s="84">
        <v>89.856765970131562</v>
      </c>
      <c r="L1352" s="84">
        <v>90.665304254566067</v>
      </c>
      <c r="M1352" s="85">
        <v>6657660.8104152549</v>
      </c>
      <c r="N1352" s="83" t="s">
        <v>1357</v>
      </c>
      <c r="O1352" s="25">
        <f t="shared" si="42"/>
        <v>1.5831663326653311E-2</v>
      </c>
    </row>
    <row r="1353" spans="1:15">
      <c r="A1353" s="84">
        <v>384.52714569157445</v>
      </c>
      <c r="B1353" s="84">
        <v>386.2532073833421</v>
      </c>
      <c r="C1353" s="84">
        <v>381.26263770931814</v>
      </c>
      <c r="D1353" s="84">
        <v>384.4614803011267</v>
      </c>
      <c r="E1353" s="85">
        <v>4434062.4188014502</v>
      </c>
      <c r="F1353" s="83" t="s">
        <v>1358</v>
      </c>
      <c r="G1353" s="25">
        <f t="shared" si="41"/>
        <v>1.7079836033584428E-4</v>
      </c>
      <c r="I1353" s="84">
        <v>90.792490052117572</v>
      </c>
      <c r="J1353" s="84">
        <v>91.593578882695482</v>
      </c>
      <c r="K1353" s="84">
        <v>88.848364289544705</v>
      </c>
      <c r="L1353" s="84">
        <v>88.884703088845143</v>
      </c>
      <c r="M1353" s="85">
        <v>7346046.7912835293</v>
      </c>
      <c r="N1353" s="83" t="s">
        <v>1358</v>
      </c>
      <c r="O1353" s="25">
        <f t="shared" si="42"/>
        <v>2.1463614063777614E-2</v>
      </c>
    </row>
    <row r="1354" spans="1:15">
      <c r="A1354" s="84">
        <v>384.50838415144648</v>
      </c>
      <c r="B1354" s="84">
        <v>384.87423418394076</v>
      </c>
      <c r="C1354" s="84">
        <v>378.27017205891656</v>
      </c>
      <c r="D1354" s="84">
        <v>378.96434904364918</v>
      </c>
      <c r="E1354" s="85">
        <v>6262793.9496932309</v>
      </c>
      <c r="F1354" s="83" t="s">
        <v>1359</v>
      </c>
      <c r="G1354" s="25">
        <f t="shared" si="41"/>
        <v>1.462943710084641E-2</v>
      </c>
      <c r="I1354" s="84">
        <v>88.59399269444171</v>
      </c>
      <c r="J1354" s="84">
        <v>89.284429881149833</v>
      </c>
      <c r="K1354" s="84">
        <v>87.512913415254005</v>
      </c>
      <c r="L1354" s="84">
        <v>89.030058286046852</v>
      </c>
      <c r="M1354" s="85">
        <v>11490226.645850966</v>
      </c>
      <c r="N1354" s="83" t="s">
        <v>1359</v>
      </c>
      <c r="O1354" s="25">
        <f t="shared" si="42"/>
        <v>-4.8979591836736391E-3</v>
      </c>
    </row>
    <row r="1355" spans="1:15">
      <c r="A1355" s="84">
        <v>380.30579916279476</v>
      </c>
      <c r="B1355" s="84">
        <v>380.44651071375404</v>
      </c>
      <c r="C1355" s="84">
        <v>373.63607164732281</v>
      </c>
      <c r="D1355" s="84">
        <v>373.95501782949725</v>
      </c>
      <c r="E1355" s="85">
        <v>5519298.4847740578</v>
      </c>
      <c r="F1355" s="83" t="s">
        <v>1360</v>
      </c>
      <c r="G1355" s="25">
        <f t="shared" si="41"/>
        <v>1.6982741320489714E-2</v>
      </c>
      <c r="I1355" s="84">
        <v>88.802940790419171</v>
      </c>
      <c r="J1355" s="84">
        <v>88.834737239807055</v>
      </c>
      <c r="K1355" s="84">
        <v>87.058678423998671</v>
      </c>
      <c r="L1355" s="84">
        <v>87.75820031053189</v>
      </c>
      <c r="M1355" s="85">
        <v>7195821.6846456267</v>
      </c>
      <c r="N1355" s="83" t="s">
        <v>1360</v>
      </c>
      <c r="O1355" s="25">
        <f t="shared" si="42"/>
        <v>1.1904761904761862E-2</v>
      </c>
    </row>
    <row r="1356" spans="1:15">
      <c r="A1356" s="84">
        <v>375.70922183145683</v>
      </c>
      <c r="B1356" s="84">
        <v>375.74674491171265</v>
      </c>
      <c r="C1356" s="84">
        <v>366.3659748477578</v>
      </c>
      <c r="D1356" s="84">
        <v>371.00945602941545</v>
      </c>
      <c r="E1356" s="85">
        <v>7896293.107601352</v>
      </c>
      <c r="F1356" s="83" t="s">
        <v>1361</v>
      </c>
      <c r="G1356" s="25">
        <f t="shared" si="41"/>
        <v>1.2667509481668837E-2</v>
      </c>
      <c r="I1356" s="84">
        <v>87.031424324523343</v>
      </c>
      <c r="J1356" s="84">
        <v>88.698466742430455</v>
      </c>
      <c r="K1356" s="84">
        <v>85.459771254779866</v>
      </c>
      <c r="L1356" s="84">
        <v>88.157927102836595</v>
      </c>
      <c r="M1356" s="85">
        <v>9700968.848353086</v>
      </c>
      <c r="N1356" s="83" t="s">
        <v>1361</v>
      </c>
      <c r="O1356" s="25">
        <f t="shared" si="42"/>
        <v>-1.2778235779060232E-2</v>
      </c>
    </row>
    <row r="1357" spans="1:15">
      <c r="A1357" s="84">
        <v>367.49166725543239</v>
      </c>
      <c r="B1357" s="84">
        <v>368.0732749993976</v>
      </c>
      <c r="C1357" s="84">
        <v>360.81255896989649</v>
      </c>
      <c r="D1357" s="84">
        <v>361.96639368776295</v>
      </c>
      <c r="E1357" s="85">
        <v>6118219.46478914</v>
      </c>
      <c r="F1357" s="83" t="s">
        <v>1362</v>
      </c>
      <c r="G1357" s="25">
        <f t="shared" si="41"/>
        <v>1.5264603742290106E-2</v>
      </c>
      <c r="I1357" s="84">
        <v>88.68483969269279</v>
      </c>
      <c r="J1357" s="84">
        <v>89.120905284297905</v>
      </c>
      <c r="K1357" s="84">
        <v>87.730946211056562</v>
      </c>
      <c r="L1357" s="84">
        <v>88.921041888145567</v>
      </c>
      <c r="M1357" s="85">
        <v>5963401.21775713</v>
      </c>
      <c r="N1357" s="83" t="s">
        <v>1362</v>
      </c>
      <c r="O1357" s="25">
        <f t="shared" si="42"/>
        <v>-2.6563138536983555E-3</v>
      </c>
    </row>
    <row r="1358" spans="1:15">
      <c r="A1358" s="84">
        <v>359.60243963164629</v>
      </c>
      <c r="B1358" s="84">
        <v>366.10143713195424</v>
      </c>
      <c r="C1358" s="84">
        <v>358.57993569467521</v>
      </c>
      <c r="D1358" s="84">
        <v>363.10146686550149</v>
      </c>
      <c r="E1358" s="85">
        <v>6881072.615565869</v>
      </c>
      <c r="F1358" s="83" t="s">
        <v>1363</v>
      </c>
      <c r="G1358" s="25">
        <f t="shared" si="41"/>
        <v>-9.6364998579069328E-3</v>
      </c>
      <c r="I1358" s="84">
        <v>88.157927102836595</v>
      </c>
      <c r="J1358" s="84">
        <v>88.721178491993214</v>
      </c>
      <c r="K1358" s="84">
        <v>86.677121031344171</v>
      </c>
      <c r="L1358" s="84">
        <v>88.276028200562976</v>
      </c>
      <c r="M1358" s="85">
        <v>6144105.0419454752</v>
      </c>
      <c r="N1358" s="83" t="s">
        <v>1363</v>
      </c>
      <c r="O1358" s="25">
        <f t="shared" si="42"/>
        <v>-1.3378614798805755E-3</v>
      </c>
    </row>
    <row r="1359" spans="1:15">
      <c r="A1359" s="84">
        <v>362.24781678968162</v>
      </c>
      <c r="B1359" s="84">
        <v>369.78048134333676</v>
      </c>
      <c r="C1359" s="84">
        <v>361.79753982661174</v>
      </c>
      <c r="D1359" s="84">
        <v>369.24587125739191</v>
      </c>
      <c r="E1359" s="85">
        <v>6260465.7826183429</v>
      </c>
      <c r="F1359" s="83" t="s">
        <v>1364</v>
      </c>
      <c r="G1359" s="25">
        <f t="shared" si="41"/>
        <v>-1.8952289009704693E-2</v>
      </c>
      <c r="I1359" s="84">
        <v>88.048910704935309</v>
      </c>
      <c r="J1359" s="84">
        <v>90.619880755440548</v>
      </c>
      <c r="K1359" s="84">
        <v>87.939894307034024</v>
      </c>
      <c r="L1359" s="84">
        <v>89.738664872405181</v>
      </c>
      <c r="M1359" s="85">
        <v>4793008.1167528294</v>
      </c>
      <c r="N1359" s="83" t="s">
        <v>1364</v>
      </c>
      <c r="O1359" s="25">
        <f t="shared" si="42"/>
        <v>-1.8829722615914202E-2</v>
      </c>
    </row>
    <row r="1360" spans="1:15">
      <c r="A1360" s="84">
        <v>366.92882105159504</v>
      </c>
      <c r="B1360" s="84">
        <v>367.73556727709519</v>
      </c>
      <c r="C1360" s="84">
        <v>362.59490528204788</v>
      </c>
      <c r="D1360" s="84">
        <v>364.38663236426328</v>
      </c>
      <c r="E1360" s="85">
        <v>6816911.571654059</v>
      </c>
      <c r="F1360" s="83" t="s">
        <v>1365</v>
      </c>
      <c r="G1360" s="25">
        <f t="shared" si="41"/>
        <v>6.9766244465039318E-3</v>
      </c>
      <c r="I1360" s="84">
        <v>89.493377977127295</v>
      </c>
      <c r="J1360" s="84">
        <v>90.665304254566067</v>
      </c>
      <c r="K1360" s="84">
        <v>88.721178491993214</v>
      </c>
      <c r="L1360" s="84">
        <v>89.184498183073671</v>
      </c>
      <c r="M1360" s="85">
        <v>5634083.7876168527</v>
      </c>
      <c r="N1360" s="83" t="s">
        <v>1365</v>
      </c>
      <c r="O1360" s="25">
        <f t="shared" si="42"/>
        <v>3.4633798512782032E-3</v>
      </c>
    </row>
    <row r="1361" spans="1:15">
      <c r="A1361" s="84">
        <v>368.57045581278715</v>
      </c>
      <c r="B1361" s="84">
        <v>370.39970597525843</v>
      </c>
      <c r="C1361" s="84">
        <v>364.64929392605404</v>
      </c>
      <c r="D1361" s="84">
        <v>366.67554025986828</v>
      </c>
      <c r="E1361" s="85">
        <v>6196290.8805691823</v>
      </c>
      <c r="F1361" s="83" t="s">
        <v>1366</v>
      </c>
      <c r="G1361" s="25">
        <f t="shared" si="41"/>
        <v>5.1678264428980381E-3</v>
      </c>
      <c r="I1361" s="84">
        <v>89.502462676952405</v>
      </c>
      <c r="J1361" s="84">
        <v>90.006663517245826</v>
      </c>
      <c r="K1361" s="84">
        <v>86.531765834142476</v>
      </c>
      <c r="L1361" s="84">
        <v>86.531765834142476</v>
      </c>
      <c r="M1361" s="85">
        <v>7815906.0141720306</v>
      </c>
      <c r="N1361" s="83" t="s">
        <v>1366</v>
      </c>
      <c r="O1361" s="25">
        <f t="shared" si="42"/>
        <v>3.4330708661417297E-2</v>
      </c>
    </row>
    <row r="1362" spans="1:15">
      <c r="A1362" s="84">
        <v>359.00207034755317</v>
      </c>
      <c r="B1362" s="84">
        <v>368.42036349176391</v>
      </c>
      <c r="C1362" s="84">
        <v>358.00770872077396</v>
      </c>
      <c r="D1362" s="84">
        <v>361.87258598712339</v>
      </c>
      <c r="E1362" s="85">
        <v>9973674.8009102494</v>
      </c>
      <c r="F1362" s="83" t="s">
        <v>1367</v>
      </c>
      <c r="G1362" s="25">
        <f t="shared" si="41"/>
        <v>-7.9323931978432238E-3</v>
      </c>
      <c r="I1362" s="84">
        <v>86.168377841138195</v>
      </c>
      <c r="J1362" s="84">
        <v>89.393355432052871</v>
      </c>
      <c r="K1362" s="84">
        <v>86.023022643936486</v>
      </c>
      <c r="L1362" s="84">
        <v>89.039142985871962</v>
      </c>
      <c r="M1362" s="85">
        <v>10358736.316187913</v>
      </c>
      <c r="N1362" s="83" t="s">
        <v>1367</v>
      </c>
      <c r="O1362" s="25">
        <f t="shared" si="42"/>
        <v>-3.2241607999183852E-2</v>
      </c>
    </row>
    <row r="1363" spans="1:15">
      <c r="A1363" s="84">
        <v>361.73187443616411</v>
      </c>
      <c r="B1363" s="84">
        <v>372.41657153900866</v>
      </c>
      <c r="C1363" s="84">
        <v>361.68497058584433</v>
      </c>
      <c r="D1363" s="84">
        <v>372.16329074728191</v>
      </c>
      <c r="E1363" s="85">
        <v>8966729.7488941625</v>
      </c>
      <c r="F1363" s="83" t="s">
        <v>1368</v>
      </c>
      <c r="G1363" s="25">
        <f t="shared" si="41"/>
        <v>-2.8029138204824333E-2</v>
      </c>
      <c r="I1363" s="84">
        <v>89.202667582723876</v>
      </c>
      <c r="J1363" s="84">
        <v>93.658712846938769</v>
      </c>
      <c r="K1363" s="84">
        <v>89.139074683948138</v>
      </c>
      <c r="L1363" s="84">
        <v>92.018924528507</v>
      </c>
      <c r="M1363" s="85">
        <v>14044446.427100277</v>
      </c>
      <c r="N1363" s="83" t="s">
        <v>1368</v>
      </c>
      <c r="O1363" s="25">
        <f t="shared" si="42"/>
        <v>-3.0605193010168952E-2</v>
      </c>
    </row>
    <row r="1364" spans="1:15">
      <c r="A1364" s="84">
        <v>372.7355177211831</v>
      </c>
      <c r="B1364" s="84">
        <v>373.7546445809312</v>
      </c>
      <c r="C1364" s="84">
        <v>369.01135200579307</v>
      </c>
      <c r="D1364" s="84">
        <v>372.35090614856102</v>
      </c>
      <c r="E1364" s="85">
        <v>6739828.3476681653</v>
      </c>
      <c r="F1364" s="83" t="s">
        <v>1369</v>
      </c>
      <c r="G1364" s="25">
        <f t="shared" si="41"/>
        <v>1.0329277202527631E-3</v>
      </c>
      <c r="I1364" s="84">
        <v>90.474525558238838</v>
      </c>
      <c r="J1364" s="84">
        <v>90.801574751942681</v>
      </c>
      <c r="K1364" s="84">
        <v>89.239006382024314</v>
      </c>
      <c r="L1364" s="84">
        <v>90.801574751942681</v>
      </c>
      <c r="M1364" s="85">
        <v>9595003.8722358178</v>
      </c>
      <c r="N1364" s="83" t="s">
        <v>1369</v>
      </c>
      <c r="O1364" s="25">
        <f t="shared" si="42"/>
        <v>-3.6018009004501472E-3</v>
      </c>
    </row>
    <row r="1365" spans="1:15">
      <c r="A1365" s="84">
        <v>375.77488722190452</v>
      </c>
      <c r="B1365" s="84">
        <v>380.42774917362618</v>
      </c>
      <c r="C1365" s="84">
        <v>374.18015631103219</v>
      </c>
      <c r="D1365" s="84">
        <v>379.93994913030048</v>
      </c>
      <c r="E1365" s="85">
        <v>9322548.085474601</v>
      </c>
      <c r="F1365" s="83" t="s">
        <v>1370</v>
      </c>
      <c r="G1365" s="25">
        <f t="shared" si="41"/>
        <v>-1.0962421608809447E-2</v>
      </c>
      <c r="I1365" s="84">
        <v>90.692558354041395</v>
      </c>
      <c r="J1365" s="84">
        <v>92.073432727457629</v>
      </c>
      <c r="K1365" s="84">
        <v>89.602394375028567</v>
      </c>
      <c r="L1365" s="84">
        <v>91.809976432529538</v>
      </c>
      <c r="M1365" s="85">
        <v>9481347.9430496413</v>
      </c>
      <c r="N1365" s="83" t="s">
        <v>1370</v>
      </c>
      <c r="O1365" s="25">
        <f t="shared" si="42"/>
        <v>-1.2170987532159172E-2</v>
      </c>
    </row>
    <row r="1366" spans="1:15">
      <c r="A1366" s="84">
        <v>377.66980277482344</v>
      </c>
      <c r="B1366" s="84">
        <v>379.07691828441665</v>
      </c>
      <c r="C1366" s="84">
        <v>372.21019459760163</v>
      </c>
      <c r="D1366" s="84">
        <v>373.09198698361348</v>
      </c>
      <c r="E1366" s="85">
        <v>8725475.5677799657</v>
      </c>
      <c r="F1366" s="83" t="s">
        <v>1371</v>
      </c>
      <c r="G1366" s="25">
        <f t="shared" si="41"/>
        <v>1.2269938650306678E-2</v>
      </c>
      <c r="I1366" s="84">
        <v>91.519266038126105</v>
      </c>
      <c r="J1366" s="84">
        <v>93.127257907170033</v>
      </c>
      <c r="K1366" s="84">
        <v>90.647134854915862</v>
      </c>
      <c r="L1366" s="84">
        <v>92.84563221259171</v>
      </c>
      <c r="M1366" s="85">
        <v>14127673.172568569</v>
      </c>
      <c r="N1366" s="83" t="s">
        <v>1371</v>
      </c>
      <c r="O1366" s="25">
        <f t="shared" si="42"/>
        <v>-1.4285714285714346E-2</v>
      </c>
    </row>
    <row r="1367" spans="1:15">
      <c r="A1367" s="84">
        <v>370.85936370839215</v>
      </c>
      <c r="B1367" s="84">
        <v>377.0319104104745</v>
      </c>
      <c r="C1367" s="84">
        <v>368.46726734208369</v>
      </c>
      <c r="D1367" s="84">
        <v>375.24018332825909</v>
      </c>
      <c r="E1367" s="85">
        <v>9726719.5952921584</v>
      </c>
      <c r="F1367" s="83" t="s">
        <v>1372</v>
      </c>
      <c r="G1367" s="25">
        <f t="shared" si="41"/>
        <v>-1.1674708132296763E-2</v>
      </c>
      <c r="I1367" s="84">
        <v>93.327121303322372</v>
      </c>
      <c r="J1367" s="84">
        <v>94.789757975164576</v>
      </c>
      <c r="K1367" s="84">
        <v>92.827462812941505</v>
      </c>
      <c r="L1367" s="84">
        <v>93.363460102622795</v>
      </c>
      <c r="M1367" s="85">
        <v>13584252.906072097</v>
      </c>
      <c r="N1367" s="83" t="s">
        <v>1372</v>
      </c>
      <c r="O1367" s="25">
        <f t="shared" si="42"/>
        <v>-3.8921864357299718E-4</v>
      </c>
    </row>
    <row r="1368" spans="1:15">
      <c r="A1368" s="84">
        <v>376.50658728689302</v>
      </c>
      <c r="B1368" s="84">
        <v>377.90432202642228</v>
      </c>
      <c r="C1368" s="84">
        <v>371.47849453261318</v>
      </c>
      <c r="D1368" s="84">
        <v>372.58542540015986</v>
      </c>
      <c r="E1368" s="85">
        <v>12638559.435067959</v>
      </c>
      <c r="F1368" s="83" t="s">
        <v>1373</v>
      </c>
      <c r="G1368" s="25">
        <f t="shared" si="41"/>
        <v>1.0524195578830886E-2</v>
      </c>
      <c r="I1368" s="84">
        <v>93.299867203847057</v>
      </c>
      <c r="J1368" s="84">
        <v>93.536069399299819</v>
      </c>
      <c r="K1368" s="84">
        <v>89.393446279051119</v>
      </c>
      <c r="L1368" s="84">
        <v>89.956697668207738</v>
      </c>
      <c r="M1368" s="85">
        <v>18411269.851509187</v>
      </c>
      <c r="N1368" s="83" t="s">
        <v>1373</v>
      </c>
      <c r="O1368" s="25">
        <f t="shared" si="42"/>
        <v>3.7164209250656555E-2</v>
      </c>
    </row>
    <row r="1369" spans="1:15">
      <c r="A1369" s="84">
        <v>377.45404506335245</v>
      </c>
      <c r="B1369" s="84">
        <v>377.59475661431173</v>
      </c>
      <c r="C1369" s="84">
        <v>369.03527296945617</v>
      </c>
      <c r="D1369" s="84">
        <v>370.49351367589793</v>
      </c>
      <c r="E1369" s="85">
        <v>12435255.230082899</v>
      </c>
      <c r="F1369" s="83" t="s">
        <v>1374</v>
      </c>
      <c r="G1369" s="25">
        <f t="shared" si="41"/>
        <v>1.8787188251677467E-2</v>
      </c>
      <c r="I1369" s="84">
        <v>89.139074683948138</v>
      </c>
      <c r="J1369" s="84">
        <v>89.27870652026003</v>
      </c>
      <c r="K1369" s="84">
        <v>85.577872352506262</v>
      </c>
      <c r="L1369" s="84">
        <v>85.750481649183286</v>
      </c>
      <c r="M1369" s="85">
        <v>9568058.5680746939</v>
      </c>
      <c r="N1369" s="83" t="s">
        <v>1374</v>
      </c>
      <c r="O1369" s="25">
        <f t="shared" si="42"/>
        <v>3.9516897976480614E-2</v>
      </c>
    </row>
    <row r="1370" spans="1:15">
      <c r="A1370" s="84">
        <v>369.38658280835125</v>
      </c>
      <c r="B1370" s="84">
        <v>369.76181361090948</v>
      </c>
      <c r="C1370" s="84">
        <v>354.12406991429668</v>
      </c>
      <c r="D1370" s="84">
        <v>354.36796993595948</v>
      </c>
      <c r="E1370" s="85">
        <v>22681741.322875626</v>
      </c>
      <c r="F1370" s="83" t="s">
        <v>1375</v>
      </c>
      <c r="G1370" s="25">
        <f t="shared" si="41"/>
        <v>4.2381406183820358E-2</v>
      </c>
      <c r="I1370" s="84">
        <v>85.623295851631795</v>
      </c>
      <c r="J1370" s="84">
        <v>85.986683844636062</v>
      </c>
      <c r="K1370" s="84">
        <v>81.135454138029019</v>
      </c>
      <c r="L1370" s="84">
        <v>84.487708373493433</v>
      </c>
      <c r="M1370" s="85">
        <v>10675686.799465563</v>
      </c>
      <c r="N1370" s="83" t="s">
        <v>1375</v>
      </c>
      <c r="O1370" s="25">
        <f t="shared" si="42"/>
        <v>1.3440860215053974E-2</v>
      </c>
    </row>
    <row r="1371" spans="1:15">
      <c r="A1371" s="84">
        <v>363.79564385023417</v>
      </c>
      <c r="B1371" s="84">
        <v>373.65483318745072</v>
      </c>
      <c r="C1371" s="84">
        <v>363.39227073748407</v>
      </c>
      <c r="D1371" s="84">
        <v>373.11074852374134</v>
      </c>
      <c r="E1371" s="85">
        <v>12957204.917221457</v>
      </c>
      <c r="F1371" s="83" t="s">
        <v>1376</v>
      </c>
      <c r="G1371" s="25">
        <f t="shared" si="41"/>
        <v>-2.4966058228993782E-2</v>
      </c>
      <c r="I1371" s="84">
        <v>83.333951499062564</v>
      </c>
      <c r="J1371" s="84">
        <v>85.402845134501135</v>
      </c>
      <c r="K1371" s="84">
        <v>83.162296568611339</v>
      </c>
      <c r="L1371" s="84">
        <v>85.195052323954911</v>
      </c>
      <c r="M1371" s="85">
        <v>7641113.4043867225</v>
      </c>
      <c r="N1371" s="83" t="s">
        <v>1376</v>
      </c>
      <c r="O1371" s="25">
        <f t="shared" si="42"/>
        <v>-2.1845174973489034E-2</v>
      </c>
    </row>
    <row r="1372" spans="1:15">
      <c r="A1372" s="84">
        <v>370.46537136570606</v>
      </c>
      <c r="B1372" s="84">
        <v>375.5778910505615</v>
      </c>
      <c r="C1372" s="84">
        <v>367.26183838886544</v>
      </c>
      <c r="D1372" s="84">
        <v>372.46347538932844</v>
      </c>
      <c r="E1372" s="85">
        <v>11102218.61211382</v>
      </c>
      <c r="F1372" s="83" t="s">
        <v>1377</v>
      </c>
      <c r="G1372" s="25">
        <f t="shared" si="41"/>
        <v>-5.3645636569701338E-3</v>
      </c>
      <c r="I1372" s="84">
        <v>84.508432602149981</v>
      </c>
      <c r="J1372" s="84">
        <v>85.592569004999874</v>
      </c>
      <c r="K1372" s="84">
        <v>83.830847350368785</v>
      </c>
      <c r="L1372" s="84">
        <v>84.580708362339962</v>
      </c>
      <c r="M1372" s="85">
        <v>6488669.4898427166</v>
      </c>
      <c r="N1372" s="83" t="s">
        <v>1377</v>
      </c>
      <c r="O1372" s="25">
        <f t="shared" si="42"/>
        <v>-8.5451826532778608E-4</v>
      </c>
    </row>
    <row r="1373" spans="1:15">
      <c r="A1373" s="84">
        <v>374.56476788365438</v>
      </c>
      <c r="B1373" s="84">
        <v>378.33583744936419</v>
      </c>
      <c r="C1373" s="84">
        <v>372.41657153900866</v>
      </c>
      <c r="D1373" s="84">
        <v>377.24766812194542</v>
      </c>
      <c r="E1373" s="85">
        <v>11268618.597334426</v>
      </c>
      <c r="F1373" s="83" t="s">
        <v>1378</v>
      </c>
      <c r="G1373" s="25">
        <f t="shared" si="41"/>
        <v>-7.1117742136017625E-3</v>
      </c>
      <c r="I1373" s="84">
        <v>84.35484661174624</v>
      </c>
      <c r="J1373" s="84">
        <v>85.836499695641109</v>
      </c>
      <c r="K1373" s="84">
        <v>84.01153675084376</v>
      </c>
      <c r="L1373" s="84">
        <v>85.05050080357492</v>
      </c>
      <c r="M1373" s="85">
        <v>7244276.6236374974</v>
      </c>
      <c r="N1373" s="83" t="s">
        <v>1378</v>
      </c>
      <c r="O1373" s="25">
        <f t="shared" si="42"/>
        <v>-8.1793074144890232E-3</v>
      </c>
    </row>
    <row r="1374" spans="1:15">
      <c r="A1374" s="84">
        <v>376.97562579009076</v>
      </c>
      <c r="B1374" s="84">
        <v>382.71665706923113</v>
      </c>
      <c r="C1374" s="84">
        <v>376.3846372760616</v>
      </c>
      <c r="D1374" s="84">
        <v>382.25699933609735</v>
      </c>
      <c r="E1374" s="85">
        <v>8038776.0797760794</v>
      </c>
      <c r="F1374" s="83" t="s">
        <v>1379</v>
      </c>
      <c r="G1374" s="25">
        <f t="shared" si="41"/>
        <v>-1.3816289970306039E-2</v>
      </c>
      <c r="I1374" s="84">
        <v>85.249259144097408</v>
      </c>
      <c r="J1374" s="84">
        <v>85.981051216021086</v>
      </c>
      <c r="K1374" s="84">
        <v>84.418539625413658</v>
      </c>
      <c r="L1374" s="84">
        <v>84.896914813171179</v>
      </c>
      <c r="M1374" s="85">
        <v>6368230.7704557814</v>
      </c>
      <c r="N1374" s="83" t="s">
        <v>1379</v>
      </c>
      <c r="O1374" s="25">
        <f t="shared" si="42"/>
        <v>4.1502607215069265E-3</v>
      </c>
    </row>
    <row r="1375" spans="1:15">
      <c r="A1375" s="84">
        <v>385.16503805592333</v>
      </c>
      <c r="B1375" s="84">
        <v>386.38453816423748</v>
      </c>
      <c r="C1375" s="84">
        <v>381.15944923861463</v>
      </c>
      <c r="D1375" s="84">
        <v>382.9230340106381</v>
      </c>
      <c r="E1375" s="85">
        <v>8254934.2401590366</v>
      </c>
      <c r="F1375" s="83" t="s">
        <v>1380</v>
      </c>
      <c r="G1375" s="25">
        <f t="shared" si="41"/>
        <v>5.8549730524253274E-3</v>
      </c>
      <c r="I1375" s="84">
        <v>85.601603475023623</v>
      </c>
      <c r="J1375" s="84">
        <v>86.071395916258581</v>
      </c>
      <c r="K1375" s="84">
        <v>84.851742463052446</v>
      </c>
      <c r="L1375" s="84">
        <v>84.933052693266191</v>
      </c>
      <c r="M1375" s="85">
        <v>5048381.3527639154</v>
      </c>
      <c r="N1375" s="83" t="s">
        <v>1380</v>
      </c>
      <c r="O1375" s="25">
        <f t="shared" si="42"/>
        <v>7.8715030315923418E-3</v>
      </c>
    </row>
    <row r="1376" spans="1:15">
      <c r="A1376" s="84">
        <v>384.70538032278961</v>
      </c>
      <c r="B1376" s="84">
        <v>384.88361495400471</v>
      </c>
      <c r="C1376" s="84">
        <v>382.22885702590548</v>
      </c>
      <c r="D1376" s="84">
        <v>382.90427247051025</v>
      </c>
      <c r="E1376" s="85">
        <v>7272637.4844367094</v>
      </c>
      <c r="F1376" s="83" t="s">
        <v>1381</v>
      </c>
      <c r="G1376" s="25">
        <f t="shared" si="41"/>
        <v>4.7038071439071683E-3</v>
      </c>
      <c r="I1376" s="84">
        <v>84.96015610333744</v>
      </c>
      <c r="J1376" s="84">
        <v>85.737120525379865</v>
      </c>
      <c r="K1376" s="84">
        <v>84.535536012221215</v>
      </c>
      <c r="L1376" s="84">
        <v>84.553604952268714</v>
      </c>
      <c r="M1376" s="85">
        <v>5109702.0498876739</v>
      </c>
      <c r="N1376" s="83" t="s">
        <v>1381</v>
      </c>
      <c r="O1376" s="25">
        <f t="shared" si="42"/>
        <v>4.8082060049152719E-3</v>
      </c>
    </row>
    <row r="1377" spans="1:15">
      <c r="A1377" s="84">
        <v>378.62664132134682</v>
      </c>
      <c r="B1377" s="84">
        <v>380.84988382650414</v>
      </c>
      <c r="C1377" s="84">
        <v>375.45594103973008</v>
      </c>
      <c r="D1377" s="84">
        <v>379.38648369652714</v>
      </c>
      <c r="E1377" s="85">
        <v>10838751.96884786</v>
      </c>
      <c r="F1377" s="83" t="s">
        <v>1382</v>
      </c>
      <c r="G1377" s="25">
        <f t="shared" si="41"/>
        <v>-2.0028187819893795E-3</v>
      </c>
      <c r="I1377" s="84">
        <v>84.535536012221215</v>
      </c>
      <c r="J1377" s="84">
        <v>86.369533427042299</v>
      </c>
      <c r="K1377" s="84">
        <v>83.921192050606265</v>
      </c>
      <c r="L1377" s="84">
        <v>86.288223196828568</v>
      </c>
      <c r="M1377" s="85">
        <v>7105264.5956271579</v>
      </c>
      <c r="N1377" s="83" t="s">
        <v>1382</v>
      </c>
      <c r="O1377" s="25">
        <f t="shared" si="42"/>
        <v>-2.0312009213695026E-2</v>
      </c>
    </row>
    <row r="1378" spans="1:15">
      <c r="A1378" s="84">
        <v>379.86490296978883</v>
      </c>
      <c r="B1378" s="84">
        <v>389.48957305540654</v>
      </c>
      <c r="C1378" s="84">
        <v>378.57973747102704</v>
      </c>
      <c r="D1378" s="84">
        <v>387.56651519229581</v>
      </c>
      <c r="E1378" s="85">
        <v>11148963.175407713</v>
      </c>
      <c r="F1378" s="83" t="s">
        <v>1383</v>
      </c>
      <c r="G1378" s="25">
        <f t="shared" ref="G1378:G1441" si="43">A1378/D1378-1</f>
        <v>-1.9871717293961089E-2</v>
      </c>
      <c r="I1378" s="84">
        <v>86.071395916258581</v>
      </c>
      <c r="J1378" s="84">
        <v>86.776084578111011</v>
      </c>
      <c r="K1378" s="84">
        <v>84.996293983432423</v>
      </c>
      <c r="L1378" s="84">
        <v>86.053326976211082</v>
      </c>
      <c r="M1378" s="85">
        <v>7231086.0325251538</v>
      </c>
      <c r="N1378" s="83" t="s">
        <v>1383</v>
      </c>
      <c r="O1378" s="25">
        <f t="shared" ref="O1378:O1441" si="44">I1378/L1378-1</f>
        <v>2.0997375328080103E-4</v>
      </c>
    </row>
    <row r="1379" spans="1:15">
      <c r="A1379" s="84">
        <v>387.59465750248768</v>
      </c>
      <c r="B1379" s="84">
        <v>394.74280429122132</v>
      </c>
      <c r="C1379" s="84">
        <v>385.68098040944085</v>
      </c>
      <c r="D1379" s="84">
        <v>389.23629226367979</v>
      </c>
      <c r="E1379" s="85">
        <v>9871750.3327182531</v>
      </c>
      <c r="F1379" s="83" t="s">
        <v>1384</v>
      </c>
      <c r="G1379" s="25">
        <f t="shared" si="43"/>
        <v>-4.2175788687248694E-3</v>
      </c>
      <c r="I1379" s="84">
        <v>85.881672045759842</v>
      </c>
      <c r="J1379" s="84">
        <v>87.598221350272183</v>
      </c>
      <c r="K1379" s="84">
        <v>85.420914074548634</v>
      </c>
      <c r="L1379" s="84">
        <v>86.116568266377314</v>
      </c>
      <c r="M1379" s="85">
        <v>7232717.5615424905</v>
      </c>
      <c r="N1379" s="83" t="s">
        <v>1384</v>
      </c>
      <c r="O1379" s="25">
        <f t="shared" si="44"/>
        <v>-2.7276542173729768E-3</v>
      </c>
    </row>
    <row r="1380" spans="1:15">
      <c r="A1380" s="84">
        <v>394.52704657975033</v>
      </c>
      <c r="B1380" s="84">
        <v>394.80846968166895</v>
      </c>
      <c r="C1380" s="84">
        <v>392.43982524052041</v>
      </c>
      <c r="D1380" s="84">
        <v>392.63213102683147</v>
      </c>
      <c r="E1380" s="85">
        <v>6699299.6919812663</v>
      </c>
      <c r="F1380" s="83" t="s">
        <v>1385</v>
      </c>
      <c r="G1380" s="25">
        <f t="shared" si="43"/>
        <v>4.8261856409030912E-3</v>
      </c>
      <c r="I1380" s="84">
        <v>86.730912227992263</v>
      </c>
      <c r="J1380" s="84">
        <v>87.020015268752232</v>
      </c>
      <c r="K1380" s="84">
        <v>86.26111978675732</v>
      </c>
      <c r="L1380" s="84">
        <v>86.758015638063526</v>
      </c>
      <c r="M1380" s="85">
        <v>5971467.0432446469</v>
      </c>
      <c r="N1380" s="83" t="s">
        <v>1385</v>
      </c>
      <c r="O1380" s="25">
        <f t="shared" si="44"/>
        <v>-3.1240237425822492E-4</v>
      </c>
    </row>
    <row r="1381" spans="1:15">
      <c r="A1381" s="84">
        <v>388.82353838086578</v>
      </c>
      <c r="B1381" s="84">
        <v>389.73347307706939</v>
      </c>
      <c r="C1381" s="84">
        <v>384.00182256799297</v>
      </c>
      <c r="D1381" s="84">
        <v>385.28698806675482</v>
      </c>
      <c r="E1381" s="85">
        <v>5933079.0138283586</v>
      </c>
      <c r="F1381" s="83" t="s">
        <v>1386</v>
      </c>
      <c r="G1381" s="25">
        <f t="shared" si="43"/>
        <v>9.179002726918517E-3</v>
      </c>
      <c r="I1381" s="84">
        <v>85.890706515783592</v>
      </c>
      <c r="J1381" s="84">
        <v>86.112051031365453</v>
      </c>
      <c r="K1381" s="84">
        <v>83.903123110558781</v>
      </c>
      <c r="L1381" s="84">
        <v>84.770432232838687</v>
      </c>
      <c r="M1381" s="85">
        <v>9046928.0195897203</v>
      </c>
      <c r="N1381" s="83" t="s">
        <v>1386</v>
      </c>
      <c r="O1381" s="25">
        <f t="shared" si="44"/>
        <v>1.3215389534264155E-2</v>
      </c>
    </row>
    <row r="1382" spans="1:15">
      <c r="A1382" s="84">
        <v>385.69974194956882</v>
      </c>
      <c r="B1382" s="84">
        <v>388.94548839169715</v>
      </c>
      <c r="C1382" s="84">
        <v>384.51776492151043</v>
      </c>
      <c r="D1382" s="84">
        <v>387.64156135280746</v>
      </c>
      <c r="E1382" s="85">
        <v>5991951.5793250939</v>
      </c>
      <c r="F1382" s="83" t="s">
        <v>1387</v>
      </c>
      <c r="G1382" s="25">
        <f t="shared" si="43"/>
        <v>-5.0093168453403392E-3</v>
      </c>
      <c r="I1382" s="84">
        <v>84.951121633313676</v>
      </c>
      <c r="J1382" s="84">
        <v>85.583534534976124</v>
      </c>
      <c r="K1382" s="84">
        <v>84.029605690891259</v>
      </c>
      <c r="L1382" s="84">
        <v>84.436156841959971</v>
      </c>
      <c r="M1382" s="85">
        <v>5459839.9098489676</v>
      </c>
      <c r="N1382" s="83" t="s">
        <v>1387</v>
      </c>
      <c r="O1382" s="25">
        <f t="shared" si="44"/>
        <v>6.0988658249518934E-3</v>
      </c>
    </row>
    <row r="1383" spans="1:15">
      <c r="A1383" s="84">
        <v>386.97552667826665</v>
      </c>
      <c r="B1383" s="84">
        <v>390.46517314205789</v>
      </c>
      <c r="C1383" s="84">
        <v>382.79170322974278</v>
      </c>
      <c r="D1383" s="84">
        <v>384.93051880432444</v>
      </c>
      <c r="E1383" s="85">
        <v>8751972.3263941742</v>
      </c>
      <c r="F1383" s="83" t="s">
        <v>1388</v>
      </c>
      <c r="G1383" s="25">
        <f t="shared" si="43"/>
        <v>5.31266754398807E-3</v>
      </c>
      <c r="I1383" s="84">
        <v>84.029605690891259</v>
      </c>
      <c r="J1383" s="84">
        <v>84.833673523004947</v>
      </c>
      <c r="K1383" s="84">
        <v>83.216503388753836</v>
      </c>
      <c r="L1383" s="84">
        <v>83.442365139347558</v>
      </c>
      <c r="M1383" s="85">
        <v>6996973.7941271048</v>
      </c>
      <c r="N1383" s="83" t="s">
        <v>1388</v>
      </c>
      <c r="O1383" s="25">
        <f t="shared" si="44"/>
        <v>7.0376786487658105E-3</v>
      </c>
    </row>
    <row r="1384" spans="1:15">
      <c r="A1384" s="84">
        <v>385.16503805592333</v>
      </c>
      <c r="B1384" s="84">
        <v>390.643407773273</v>
      </c>
      <c r="C1384" s="84">
        <v>384.41457645080698</v>
      </c>
      <c r="D1384" s="84">
        <v>388.91734608150529</v>
      </c>
      <c r="E1384" s="85">
        <v>8163797.7988891425</v>
      </c>
      <c r="F1384" s="83" t="s">
        <v>1389</v>
      </c>
      <c r="G1384" s="25">
        <f t="shared" si="43"/>
        <v>-9.6480860609277075E-3</v>
      </c>
      <c r="I1384" s="84">
        <v>83.848916290416284</v>
      </c>
      <c r="J1384" s="84">
        <v>84.007019515831885</v>
      </c>
      <c r="K1384" s="84">
        <v>82.77571159629511</v>
      </c>
      <c r="L1384" s="84">
        <v>83.252641268848834</v>
      </c>
      <c r="M1384" s="85">
        <v>7938201.1132334396</v>
      </c>
      <c r="N1384" s="83" t="s">
        <v>1389</v>
      </c>
      <c r="O1384" s="25">
        <f t="shared" si="44"/>
        <v>7.1622354856213377E-3</v>
      </c>
    </row>
    <row r="1385" spans="1:15">
      <c r="A1385" s="84">
        <v>394.33005040840726</v>
      </c>
      <c r="B1385" s="84">
        <v>395.09927355365159</v>
      </c>
      <c r="C1385" s="84">
        <v>390.74659624397651</v>
      </c>
      <c r="D1385" s="84">
        <v>393.03550413958152</v>
      </c>
      <c r="E1385" s="85">
        <v>7170494.4840788012</v>
      </c>
      <c r="F1385" s="83" t="s">
        <v>1390</v>
      </c>
      <c r="G1385" s="25">
        <f t="shared" si="43"/>
        <v>3.2937133037376221E-3</v>
      </c>
      <c r="I1385" s="84">
        <v>83.604985599775048</v>
      </c>
      <c r="J1385" s="84">
        <v>83.74050265013129</v>
      </c>
      <c r="K1385" s="84">
        <v>81.536091964336478</v>
      </c>
      <c r="L1385" s="84">
        <v>81.581264314455225</v>
      </c>
      <c r="M1385" s="85">
        <v>6617577.9921608958</v>
      </c>
      <c r="N1385" s="83" t="s">
        <v>1390</v>
      </c>
      <c r="O1385" s="25">
        <f t="shared" si="44"/>
        <v>2.4806201550387597E-2</v>
      </c>
    </row>
    <row r="1386" spans="1:15">
      <c r="A1386" s="84">
        <v>390.60588469301717</v>
      </c>
      <c r="B1386" s="84">
        <v>391.21563474717425</v>
      </c>
      <c r="C1386" s="84">
        <v>385.45584192790596</v>
      </c>
      <c r="D1386" s="84">
        <v>388.68282682990639</v>
      </c>
      <c r="E1386" s="85">
        <v>8693199.9658905882</v>
      </c>
      <c r="F1386" s="83" t="s">
        <v>1391</v>
      </c>
      <c r="G1386" s="25">
        <f t="shared" si="43"/>
        <v>4.9476275522517543E-3</v>
      </c>
      <c r="I1386" s="84">
        <v>81.969746525476452</v>
      </c>
      <c r="J1386" s="84">
        <v>82.154953160963302</v>
      </c>
      <c r="K1386" s="84">
        <v>80.650713902009059</v>
      </c>
      <c r="L1386" s="84">
        <v>81.400574913980236</v>
      </c>
      <c r="M1386" s="85">
        <v>7259310.1562789213</v>
      </c>
      <c r="N1386" s="83" t="s">
        <v>1391</v>
      </c>
      <c r="O1386" s="25">
        <f t="shared" si="44"/>
        <v>6.9922308546062073E-3</v>
      </c>
    </row>
    <row r="1387" spans="1:15">
      <c r="A1387" s="84">
        <v>388.07307677574937</v>
      </c>
      <c r="B1387" s="84">
        <v>388.33573833754014</v>
      </c>
      <c r="C1387" s="84">
        <v>379.31143753601555</v>
      </c>
      <c r="D1387" s="84">
        <v>380.54969918445755</v>
      </c>
      <c r="E1387" s="85">
        <v>9807760.9165074769</v>
      </c>
      <c r="F1387" s="83" t="s">
        <v>1392</v>
      </c>
      <c r="G1387" s="25">
        <f t="shared" si="43"/>
        <v>1.9769763600956392E-2</v>
      </c>
      <c r="I1387" s="84">
        <v>81.481885144193981</v>
      </c>
      <c r="J1387" s="84">
        <v>81.68064348471647</v>
      </c>
      <c r="K1387" s="84">
        <v>80.415817681391587</v>
      </c>
      <c r="L1387" s="84">
        <v>80.957885882816541</v>
      </c>
      <c r="M1387" s="85">
        <v>7105795.8940859912</v>
      </c>
      <c r="N1387" s="83" t="s">
        <v>1392</v>
      </c>
      <c r="O1387" s="25">
        <f t="shared" si="44"/>
        <v>6.4724919093850364E-3</v>
      </c>
    </row>
    <row r="1388" spans="1:15">
      <c r="A1388" s="84">
        <v>381.10316461823089</v>
      </c>
      <c r="B1388" s="84">
        <v>381.16883000867858</v>
      </c>
      <c r="C1388" s="84">
        <v>368.94568661534538</v>
      </c>
      <c r="D1388" s="84">
        <v>373.18579468425298</v>
      </c>
      <c r="E1388" s="85">
        <v>12895324.069909092</v>
      </c>
      <c r="F1388" s="83" t="s">
        <v>1393</v>
      </c>
      <c r="G1388" s="25">
        <f t="shared" si="43"/>
        <v>2.1215625157106288E-2</v>
      </c>
      <c r="I1388" s="84">
        <v>81.608367724526474</v>
      </c>
      <c r="J1388" s="84">
        <v>81.644505604621472</v>
      </c>
      <c r="K1388" s="84">
        <v>79.033543767757962</v>
      </c>
      <c r="L1388" s="84">
        <v>80.379679801296589</v>
      </c>
      <c r="M1388" s="85">
        <v>6505762.910883911</v>
      </c>
      <c r="N1388" s="83" t="s">
        <v>1393</v>
      </c>
      <c r="O1388" s="25">
        <f t="shared" si="44"/>
        <v>1.5286051478026197E-2</v>
      </c>
    </row>
    <row r="1389" spans="1:15">
      <c r="A1389" s="84">
        <v>371.9850561160668</v>
      </c>
      <c r="B1389" s="84">
        <v>380.83112228637623</v>
      </c>
      <c r="C1389" s="84">
        <v>370.3715636650665</v>
      </c>
      <c r="D1389" s="84">
        <v>377.97936818693393</v>
      </c>
      <c r="E1389" s="85">
        <v>13277402.510758214</v>
      </c>
      <c r="F1389" s="83" t="s">
        <v>1394</v>
      </c>
      <c r="G1389" s="25">
        <f t="shared" si="43"/>
        <v>-1.5858834040652137E-2</v>
      </c>
      <c r="I1389" s="84">
        <v>80.659748372032809</v>
      </c>
      <c r="J1389" s="84">
        <v>82.646428330255262</v>
      </c>
      <c r="K1389" s="84">
        <v>79.864715009942884</v>
      </c>
      <c r="L1389" s="84">
        <v>81.23795445355276</v>
      </c>
      <c r="M1389" s="85">
        <v>7746945.8436428783</v>
      </c>
      <c r="N1389" s="83" t="s">
        <v>1394</v>
      </c>
      <c r="O1389" s="25">
        <f t="shared" si="44"/>
        <v>-7.1174377224200169E-3</v>
      </c>
    </row>
    <row r="1390" spans="1:15">
      <c r="A1390" s="84">
        <v>373.87997166898566</v>
      </c>
      <c r="B1390" s="84">
        <v>382.9187188564087</v>
      </c>
      <c r="C1390" s="84">
        <v>369.92128670199668</v>
      </c>
      <c r="D1390" s="84">
        <v>380.54031841439365</v>
      </c>
      <c r="E1390" s="85">
        <v>15326402.738773232</v>
      </c>
      <c r="F1390" s="83" t="s">
        <v>1395</v>
      </c>
      <c r="G1390" s="25">
        <f t="shared" si="43"/>
        <v>-1.7502341862643656E-2</v>
      </c>
      <c r="I1390" s="84">
        <v>80.388714271320339</v>
      </c>
      <c r="J1390" s="84">
        <v>82.683469657352632</v>
      </c>
      <c r="K1390" s="84">
        <v>79.024509297734213</v>
      </c>
      <c r="L1390" s="84">
        <v>81.292161273695257</v>
      </c>
      <c r="M1390" s="85">
        <v>10879503.69436398</v>
      </c>
      <c r="N1390" s="83" t="s">
        <v>1395</v>
      </c>
      <c r="O1390" s="25">
        <f t="shared" si="44"/>
        <v>-1.1113580795732325E-2</v>
      </c>
    </row>
    <row r="1391" spans="1:15">
      <c r="A1391" s="84">
        <v>374.72424097474158</v>
      </c>
      <c r="B1391" s="84">
        <v>379.22701060543989</v>
      </c>
      <c r="C1391" s="84">
        <v>368.41332791421593</v>
      </c>
      <c r="D1391" s="84">
        <v>373.51412163649144</v>
      </c>
      <c r="E1391" s="85">
        <v>17947701.398942403</v>
      </c>
      <c r="F1391" s="83" t="s">
        <v>1396</v>
      </c>
      <c r="G1391" s="25">
        <f t="shared" si="43"/>
        <v>3.2398221865030941E-3</v>
      </c>
      <c r="I1391" s="84">
        <v>81.590298784478975</v>
      </c>
      <c r="J1391" s="84">
        <v>82.475676846806408</v>
      </c>
      <c r="K1391" s="84">
        <v>76.792995201868152</v>
      </c>
      <c r="L1391" s="84">
        <v>76.792995201868152</v>
      </c>
      <c r="M1391" s="85">
        <v>11486431.381941222</v>
      </c>
      <c r="N1391" s="83" t="s">
        <v>1396</v>
      </c>
      <c r="O1391" s="25">
        <f t="shared" si="44"/>
        <v>6.2470588235294056E-2</v>
      </c>
    </row>
    <row r="1392" spans="1:15">
      <c r="A1392" s="84">
        <v>379.3301990761434</v>
      </c>
      <c r="B1392" s="84">
        <v>379.80861834940509</v>
      </c>
      <c r="C1392" s="84">
        <v>362.88570915403051</v>
      </c>
      <c r="D1392" s="84">
        <v>372.66047156067151</v>
      </c>
      <c r="E1392" s="85">
        <v>24515936.157915212</v>
      </c>
      <c r="F1392" s="83" t="s">
        <v>1397</v>
      </c>
      <c r="G1392" s="25">
        <f t="shared" si="43"/>
        <v>1.7897598550067784E-2</v>
      </c>
      <c r="I1392" s="84">
        <v>79.611749849277913</v>
      </c>
      <c r="J1392" s="84">
        <v>79.77437030970539</v>
      </c>
      <c r="K1392" s="84">
        <v>76.612305801393163</v>
      </c>
      <c r="L1392" s="84">
        <v>77.488649393696846</v>
      </c>
      <c r="M1392" s="85">
        <v>9796335.5644929819</v>
      </c>
      <c r="N1392" s="83" t="s">
        <v>1397</v>
      </c>
      <c r="O1392" s="25">
        <f t="shared" si="44"/>
        <v>2.7398857409350663E-2</v>
      </c>
    </row>
    <row r="1393" spans="1:15">
      <c r="A1393" s="84">
        <v>377.75422970539898</v>
      </c>
      <c r="B1393" s="84">
        <v>386.41877797497091</v>
      </c>
      <c r="C1393" s="84">
        <v>377.72608739520717</v>
      </c>
      <c r="D1393" s="84">
        <v>384.33953029029533</v>
      </c>
      <c r="E1393" s="85">
        <v>17297010.681828015</v>
      </c>
      <c r="F1393" s="83" t="s">
        <v>1398</v>
      </c>
      <c r="G1393" s="25">
        <f t="shared" si="43"/>
        <v>-1.7134070440067428E-2</v>
      </c>
      <c r="I1393" s="84">
        <v>78.789613077116726</v>
      </c>
      <c r="J1393" s="84">
        <v>80.235128280916598</v>
      </c>
      <c r="K1393" s="84">
        <v>78.437268746190497</v>
      </c>
      <c r="L1393" s="84">
        <v>79.973128650227864</v>
      </c>
      <c r="M1393" s="85">
        <v>6471281.6409055842</v>
      </c>
      <c r="N1393" s="83" t="s">
        <v>1398</v>
      </c>
      <c r="O1393" s="25">
        <f t="shared" si="44"/>
        <v>-1.4798915499322107E-2</v>
      </c>
    </row>
    <row r="1394" spans="1:15">
      <c r="A1394" s="84">
        <v>385.32451114701058</v>
      </c>
      <c r="B1394" s="84">
        <v>395.63397744729701</v>
      </c>
      <c r="C1394" s="84">
        <v>384.88361495400471</v>
      </c>
      <c r="D1394" s="84">
        <v>391.33758475800568</v>
      </c>
      <c r="E1394" s="85">
        <v>9495598.9106128942</v>
      </c>
      <c r="F1394" s="83" t="s">
        <v>1399</v>
      </c>
      <c r="G1394" s="25">
        <f t="shared" si="43"/>
        <v>-1.5365438550231314E-2</v>
      </c>
      <c r="I1394" s="84">
        <v>79.828577129847886</v>
      </c>
      <c r="J1394" s="84">
        <v>82.063795358423675</v>
      </c>
      <c r="K1394" s="84">
        <v>79.729197959586642</v>
      </c>
      <c r="L1394" s="84">
        <v>81.274092333647758</v>
      </c>
      <c r="M1394" s="85">
        <v>5926912.1331124688</v>
      </c>
      <c r="N1394" s="83" t="s">
        <v>1399</v>
      </c>
      <c r="O1394" s="25">
        <f t="shared" si="44"/>
        <v>-1.7785682525566893E-2</v>
      </c>
    </row>
    <row r="1395" spans="1:15">
      <c r="A1395" s="84">
        <v>389.61152306623796</v>
      </c>
      <c r="B1395" s="84">
        <v>396.37036789731746</v>
      </c>
      <c r="C1395" s="84">
        <v>389.36762304457511</v>
      </c>
      <c r="D1395" s="84">
        <v>395.08989278358763</v>
      </c>
      <c r="E1395" s="85">
        <v>8724343.4645594843</v>
      </c>
      <c r="F1395" s="83" t="s">
        <v>1400</v>
      </c>
      <c r="G1395" s="25">
        <f t="shared" si="43"/>
        <v>-1.3866134814920383E-2</v>
      </c>
      <c r="I1395" s="84">
        <v>81.039196113030286</v>
      </c>
      <c r="J1395" s="84">
        <v>82.520849196925155</v>
      </c>
      <c r="K1395" s="84">
        <v>80.930782472745292</v>
      </c>
      <c r="L1395" s="84">
        <v>81.969746525476452</v>
      </c>
      <c r="M1395" s="85">
        <v>5410140.2596404133</v>
      </c>
      <c r="N1395" s="83" t="s">
        <v>1400</v>
      </c>
      <c r="O1395" s="25">
        <f t="shared" si="44"/>
        <v>-1.1352364157390049E-2</v>
      </c>
    </row>
    <row r="1396" spans="1:15">
      <c r="A1396" s="84">
        <v>393.74844266444211</v>
      </c>
      <c r="B1396" s="84">
        <v>398.66396617795442</v>
      </c>
      <c r="C1396" s="84">
        <v>391.48767707902891</v>
      </c>
      <c r="D1396" s="84">
        <v>396.45010444286106</v>
      </c>
      <c r="E1396" s="85">
        <v>11404160.77471767</v>
      </c>
      <c r="F1396" s="83" t="s">
        <v>1401</v>
      </c>
      <c r="G1396" s="25">
        <f t="shared" si="43"/>
        <v>-6.8146325304054844E-3</v>
      </c>
      <c r="I1396" s="84">
        <v>81.987815465523937</v>
      </c>
      <c r="J1396" s="84">
        <v>83.026779518255111</v>
      </c>
      <c r="K1396" s="84">
        <v>81.563195374407726</v>
      </c>
      <c r="L1396" s="84">
        <v>82.511814726901392</v>
      </c>
      <c r="M1396" s="85">
        <v>6653114.1109543666</v>
      </c>
      <c r="N1396" s="83" t="s">
        <v>1401</v>
      </c>
      <c r="O1396" s="25">
        <f t="shared" si="44"/>
        <v>-6.3505967371072503E-3</v>
      </c>
    </row>
    <row r="1397" spans="1:15">
      <c r="A1397" s="84">
        <v>400.77463944234427</v>
      </c>
      <c r="B1397" s="84">
        <v>401.10287258688209</v>
      </c>
      <c r="C1397" s="84">
        <v>396.62833907407622</v>
      </c>
      <c r="D1397" s="84">
        <v>397.69305647633507</v>
      </c>
      <c r="E1397" s="85">
        <v>10618332.964234898</v>
      </c>
      <c r="F1397" s="83" t="s">
        <v>1402</v>
      </c>
      <c r="G1397" s="25">
        <f t="shared" si="43"/>
        <v>7.7486466404841359E-3</v>
      </c>
      <c r="I1397" s="84">
        <v>83.41526172927631</v>
      </c>
      <c r="J1397" s="84">
        <v>83.550778779632552</v>
      </c>
      <c r="K1397" s="84">
        <v>81.960712055452689</v>
      </c>
      <c r="L1397" s="84">
        <v>82.258849566236421</v>
      </c>
      <c r="M1397" s="85">
        <v>5520369.1936434209</v>
      </c>
      <c r="N1397" s="83" t="s">
        <v>1402</v>
      </c>
      <c r="O1397" s="25">
        <f t="shared" si="44"/>
        <v>1.4058209774848951E-2</v>
      </c>
    </row>
    <row r="1398" spans="1:15">
      <c r="A1398" s="84">
        <v>400.6526894315129</v>
      </c>
      <c r="B1398" s="84">
        <v>407.80083622024648</v>
      </c>
      <c r="C1398" s="84">
        <v>399.70523165505341</v>
      </c>
      <c r="D1398" s="84">
        <v>407.20984770621732</v>
      </c>
      <c r="E1398" s="85">
        <v>8017758.6154681565</v>
      </c>
      <c r="F1398" s="83" t="s">
        <v>1403</v>
      </c>
      <c r="G1398" s="25">
        <f t="shared" si="43"/>
        <v>-1.6102651523877465E-2</v>
      </c>
      <c r="I1398" s="84">
        <v>82.719607537447629</v>
      </c>
      <c r="J1398" s="84">
        <v>83.532709839585053</v>
      </c>
      <c r="K1398" s="84">
        <v>82.177629680722916</v>
      </c>
      <c r="L1398" s="84">
        <v>82.556987077020139</v>
      </c>
      <c r="M1398" s="85">
        <v>5563537.1934236838</v>
      </c>
      <c r="N1398" s="83" t="s">
        <v>1403</v>
      </c>
      <c r="O1398" s="25">
        <f t="shared" si="44"/>
        <v>1.969796454366346E-3</v>
      </c>
    </row>
    <row r="1399" spans="1:15">
      <c r="A1399" s="84">
        <v>406.25300915969393</v>
      </c>
      <c r="B1399" s="84">
        <v>408.10102086229307</v>
      </c>
      <c r="C1399" s="84">
        <v>404.44252053735062</v>
      </c>
      <c r="D1399" s="84">
        <v>406.71266689282771</v>
      </c>
      <c r="E1399" s="85">
        <v>8816261.2915738337</v>
      </c>
      <c r="F1399" s="83" t="s">
        <v>1404</v>
      </c>
      <c r="G1399" s="25">
        <f t="shared" si="43"/>
        <v>-1.1301780607066991E-3</v>
      </c>
      <c r="I1399" s="84">
        <v>82.276918506283906</v>
      </c>
      <c r="J1399" s="84">
        <v>82.706055832412005</v>
      </c>
      <c r="K1399" s="84">
        <v>82.069125695737682</v>
      </c>
      <c r="L1399" s="84">
        <v>82.213677216117674</v>
      </c>
      <c r="M1399" s="85">
        <v>5106148.9914442208</v>
      </c>
      <c r="N1399" s="83" t="s">
        <v>1404</v>
      </c>
      <c r="O1399" s="25">
        <f t="shared" si="44"/>
        <v>7.6923076923063327E-4</v>
      </c>
    </row>
    <row r="1400" spans="1:15">
      <c r="A1400" s="84">
        <v>405.04288982144374</v>
      </c>
      <c r="B1400" s="84">
        <v>405.20236291253099</v>
      </c>
      <c r="C1400" s="84">
        <v>398.4763507766753</v>
      </c>
      <c r="D1400" s="84">
        <v>401.19677409522222</v>
      </c>
      <c r="E1400" s="85">
        <v>7763160.1140959682</v>
      </c>
      <c r="F1400" s="83" t="s">
        <v>1405</v>
      </c>
      <c r="G1400" s="25">
        <f t="shared" si="43"/>
        <v>9.5866068088290568E-3</v>
      </c>
      <c r="I1400" s="84">
        <v>81.960712055452689</v>
      </c>
      <c r="J1400" s="84">
        <v>82.069125695737682</v>
      </c>
      <c r="K1400" s="84">
        <v>80.650713902009059</v>
      </c>
      <c r="L1400" s="84">
        <v>81.07533399312527</v>
      </c>
      <c r="M1400" s="85">
        <v>5013894.5484266421</v>
      </c>
      <c r="N1400" s="83" t="s">
        <v>1405</v>
      </c>
      <c r="O1400" s="25">
        <f t="shared" si="44"/>
        <v>1.0920436817472678E-2</v>
      </c>
    </row>
    <row r="1401" spans="1:15">
      <c r="A1401" s="84">
        <v>401.52510104746062</v>
      </c>
      <c r="B1401" s="84">
        <v>401.67519336848392</v>
      </c>
      <c r="C1401" s="84">
        <v>393.77658497463392</v>
      </c>
      <c r="D1401" s="84">
        <v>399.0391969805126</v>
      </c>
      <c r="E1401" s="85">
        <v>11173425.98586309</v>
      </c>
      <c r="F1401" s="83" t="s">
        <v>1406</v>
      </c>
      <c r="G1401" s="25">
        <f t="shared" si="43"/>
        <v>6.2297240114721486E-3</v>
      </c>
      <c r="I1401" s="84">
        <v>81.066299523101534</v>
      </c>
      <c r="J1401" s="84">
        <v>82.023953345618949</v>
      </c>
      <c r="K1401" s="84">
        <v>80.623610491937811</v>
      </c>
      <c r="L1401" s="84">
        <v>81.924574175357705</v>
      </c>
      <c r="M1401" s="85">
        <v>5406218.6128911451</v>
      </c>
      <c r="N1401" s="83" t="s">
        <v>1406</v>
      </c>
      <c r="O1401" s="25">
        <f t="shared" si="44"/>
        <v>-1.0476400529333851E-2</v>
      </c>
    </row>
    <row r="1402" spans="1:15">
      <c r="A1402" s="84">
        <v>402.0504241710421</v>
      </c>
      <c r="B1402" s="84">
        <v>404.64889747875765</v>
      </c>
      <c r="C1402" s="84">
        <v>400.7464971321524</v>
      </c>
      <c r="D1402" s="84">
        <v>403.57010892140283</v>
      </c>
      <c r="E1402" s="85">
        <v>6563998.4329858078</v>
      </c>
      <c r="F1402" s="83" t="s">
        <v>1407</v>
      </c>
      <c r="G1402" s="25">
        <f t="shared" si="43"/>
        <v>-3.7656028451222845E-3</v>
      </c>
      <c r="I1402" s="84">
        <v>81.707746894787718</v>
      </c>
      <c r="J1402" s="84">
        <v>82.543435371984515</v>
      </c>
      <c r="K1402" s="84">
        <v>81.391540443956501</v>
      </c>
      <c r="L1402" s="84">
        <v>81.545126434360242</v>
      </c>
      <c r="M1402" s="85">
        <v>5352115.8267050041</v>
      </c>
      <c r="N1402" s="83" t="s">
        <v>1407</v>
      </c>
      <c r="O1402" s="25">
        <f t="shared" si="44"/>
        <v>1.9942388654996535E-3</v>
      </c>
    </row>
    <row r="1403" spans="1:15">
      <c r="A1403" s="84">
        <v>403.44815891057141</v>
      </c>
      <c r="B1403" s="84">
        <v>406.02787067815899</v>
      </c>
      <c r="C1403" s="84">
        <v>401.40315103662925</v>
      </c>
      <c r="D1403" s="84">
        <v>403.56072815133888</v>
      </c>
      <c r="E1403" s="85">
        <v>8497753.3247832768</v>
      </c>
      <c r="F1403" s="83" t="s">
        <v>1408</v>
      </c>
      <c r="G1403" s="25">
        <f t="shared" si="43"/>
        <v>-2.7894002789408123E-4</v>
      </c>
      <c r="I1403" s="84">
        <v>81.364437033885253</v>
      </c>
      <c r="J1403" s="84">
        <v>82.150435925951442</v>
      </c>
      <c r="K1403" s="84">
        <v>80.957885882816541</v>
      </c>
      <c r="L1403" s="84">
        <v>81.67160901469272</v>
      </c>
      <c r="M1403" s="85">
        <v>6153354.8568828916</v>
      </c>
      <c r="N1403" s="83" t="s">
        <v>1408</v>
      </c>
      <c r="O1403" s="25">
        <f t="shared" si="44"/>
        <v>-3.7610619469026219E-3</v>
      </c>
    </row>
    <row r="1404" spans="1:15">
      <c r="A1404" s="84">
        <v>403.99224357428085</v>
      </c>
      <c r="B1404" s="84">
        <v>412.20041738024133</v>
      </c>
      <c r="C1404" s="84">
        <v>403.86560317841742</v>
      </c>
      <c r="D1404" s="84">
        <v>411.60942886621211</v>
      </c>
      <c r="E1404" s="85">
        <v>8037300.7211535312</v>
      </c>
      <c r="F1404" s="83" t="s">
        <v>1409</v>
      </c>
      <c r="G1404" s="25">
        <f t="shared" si="43"/>
        <v>-1.8505857149368476E-2</v>
      </c>
      <c r="I1404" s="84">
        <v>80.921748002721529</v>
      </c>
      <c r="J1404" s="84">
        <v>82.692504127376381</v>
      </c>
      <c r="K1404" s="84">
        <v>80.768162012317802</v>
      </c>
      <c r="L1404" s="84">
        <v>81.490919614217745</v>
      </c>
      <c r="M1404" s="85">
        <v>7563888.0665234094</v>
      </c>
      <c r="N1404" s="83" t="s">
        <v>1409</v>
      </c>
      <c r="O1404" s="25">
        <f t="shared" si="44"/>
        <v>-6.9844789356986459E-3</v>
      </c>
    </row>
    <row r="1405" spans="1:15">
      <c r="A1405" s="84">
        <v>411.88147119806683</v>
      </c>
      <c r="B1405" s="84">
        <v>413.93585984207294</v>
      </c>
      <c r="C1405" s="84">
        <v>410.14602873623522</v>
      </c>
      <c r="D1405" s="84">
        <v>413.297967477724</v>
      </c>
      <c r="E1405" s="85">
        <v>6675610.8051963877</v>
      </c>
      <c r="F1405" s="83" t="s">
        <v>1410</v>
      </c>
      <c r="G1405" s="25">
        <f t="shared" si="43"/>
        <v>-3.4273003767759658E-3</v>
      </c>
      <c r="I1405" s="84">
        <v>81.328299153790255</v>
      </c>
      <c r="J1405" s="84">
        <v>81.376091500215892</v>
      </c>
      <c r="K1405" s="84">
        <v>79.232302108280436</v>
      </c>
      <c r="L1405" s="84">
        <v>79.385888098684177</v>
      </c>
      <c r="M1405" s="85">
        <v>6690134.5448172046</v>
      </c>
      <c r="N1405" s="83" t="s">
        <v>1410</v>
      </c>
      <c r="O1405" s="25">
        <f t="shared" si="44"/>
        <v>2.4467964037783174E-2</v>
      </c>
    </row>
    <row r="1406" spans="1:15">
      <c r="A1406" s="84">
        <v>412.05032505921804</v>
      </c>
      <c r="B1406" s="84">
        <v>412.06908659934595</v>
      </c>
      <c r="C1406" s="84">
        <v>408.66386706613031</v>
      </c>
      <c r="D1406" s="84">
        <v>410.81206341077598</v>
      </c>
      <c r="E1406" s="85">
        <v>6414508.5733645409</v>
      </c>
      <c r="F1406" s="83" t="s">
        <v>1411</v>
      </c>
      <c r="G1406" s="25">
        <f t="shared" si="43"/>
        <v>3.0141803484575735E-3</v>
      </c>
      <c r="I1406" s="84">
        <v>78.572785796546754</v>
      </c>
      <c r="J1406" s="84">
        <v>78.72637178695048</v>
      </c>
      <c r="K1406" s="84">
        <v>77.759683494409316</v>
      </c>
      <c r="L1406" s="84">
        <v>77.768717964433066</v>
      </c>
      <c r="M1406" s="85">
        <v>5722414.2494354695</v>
      </c>
      <c r="N1406" s="83" t="s">
        <v>1411</v>
      </c>
      <c r="O1406" s="25">
        <f t="shared" si="44"/>
        <v>1.0339219330855132E-2</v>
      </c>
    </row>
    <row r="1407" spans="1:15">
      <c r="A1407" s="84">
        <v>409.53627868207815</v>
      </c>
      <c r="B1407" s="84">
        <v>411.23419806365393</v>
      </c>
      <c r="C1407" s="84">
        <v>409.36742482092694</v>
      </c>
      <c r="D1407" s="84">
        <v>410.15540950629918</v>
      </c>
      <c r="E1407" s="85">
        <v>5527912.9161532586</v>
      </c>
      <c r="F1407" s="83" t="s">
        <v>1412</v>
      </c>
      <c r="G1407" s="25">
        <f t="shared" si="43"/>
        <v>-1.5095030075703564E-3</v>
      </c>
      <c r="I1407" s="84">
        <v>77.750649024385567</v>
      </c>
      <c r="J1407" s="84">
        <v>77.994579715026802</v>
      </c>
      <c r="K1407" s="84">
        <v>77.244718703055611</v>
      </c>
      <c r="L1407" s="84">
        <v>77.452511513601848</v>
      </c>
      <c r="M1407" s="85">
        <v>2952916.9868150097</v>
      </c>
      <c r="N1407" s="83" t="s">
        <v>1412</v>
      </c>
      <c r="O1407" s="25">
        <f t="shared" si="44"/>
        <v>3.8492942960457466E-3</v>
      </c>
    </row>
    <row r="1408" spans="1:15">
      <c r="A1408" s="84">
        <v>410.66197108975268</v>
      </c>
      <c r="B1408" s="84">
        <v>413.09159053631703</v>
      </c>
      <c r="C1408" s="84">
        <v>410.23983643687473</v>
      </c>
      <c r="D1408" s="84">
        <v>412.18165584011342</v>
      </c>
      <c r="E1408" s="85">
        <v>3999491.4856896615</v>
      </c>
      <c r="F1408" s="83" t="s">
        <v>1413</v>
      </c>
      <c r="G1408" s="25">
        <f t="shared" si="43"/>
        <v>-3.6869296069552693E-3</v>
      </c>
      <c r="I1408" s="84">
        <v>77.515752803768095</v>
      </c>
      <c r="J1408" s="84">
        <v>78.148165705430529</v>
      </c>
      <c r="K1408" s="84">
        <v>77.420890868518725</v>
      </c>
      <c r="L1408" s="84">
        <v>77.732580084338082</v>
      </c>
      <c r="M1408" s="85">
        <v>2722247.1196814892</v>
      </c>
      <c r="N1408" s="83" t="s">
        <v>1413</v>
      </c>
      <c r="O1408" s="25">
        <f t="shared" si="44"/>
        <v>-2.7894002789401462E-3</v>
      </c>
    </row>
    <row r="1409" spans="1:15">
      <c r="A1409" s="84">
        <v>411.8251865776831</v>
      </c>
      <c r="B1409" s="84">
        <v>412.70697896369489</v>
      </c>
      <c r="C1409" s="84">
        <v>410.44621337828175</v>
      </c>
      <c r="D1409" s="84">
        <v>411.34676730442141</v>
      </c>
      <c r="E1409" s="85">
        <v>4900115.8419419397</v>
      </c>
      <c r="F1409" s="83" t="s">
        <v>1414</v>
      </c>
      <c r="G1409" s="25">
        <f t="shared" si="43"/>
        <v>1.1630558722919293E-3</v>
      </c>
      <c r="I1409" s="84">
        <v>77.59706303398184</v>
      </c>
      <c r="J1409" s="84">
        <v>77.759683494409316</v>
      </c>
      <c r="K1409" s="84">
        <v>76.99175354239064</v>
      </c>
      <c r="L1409" s="84">
        <v>77.316994463245607</v>
      </c>
      <c r="M1409" s="85">
        <v>2308126.535943321</v>
      </c>
      <c r="N1409" s="83" t="s">
        <v>1414</v>
      </c>
      <c r="O1409" s="25">
        <f t="shared" si="44"/>
        <v>3.622341668614304E-3</v>
      </c>
    </row>
    <row r="1410" spans="1:15">
      <c r="A1410" s="84">
        <v>411.32800576429355</v>
      </c>
      <c r="B1410" s="84">
        <v>412.93211744522978</v>
      </c>
      <c r="C1410" s="84">
        <v>410.55409223401722</v>
      </c>
      <c r="D1410" s="84">
        <v>412.07846736940991</v>
      </c>
      <c r="E1410" s="85">
        <v>5187041.1137106456</v>
      </c>
      <c r="F1410" s="83" t="s">
        <v>1415</v>
      </c>
      <c r="G1410" s="25">
        <f t="shared" si="43"/>
        <v>-1.8211619012928892E-3</v>
      </c>
      <c r="I1410" s="84">
        <v>77.714511144290569</v>
      </c>
      <c r="J1410" s="84">
        <v>78.012648655074287</v>
      </c>
      <c r="K1410" s="84">
        <v>76.594236861345678</v>
      </c>
      <c r="L1410" s="84">
        <v>76.856236492034398</v>
      </c>
      <c r="M1410" s="85">
        <v>3564252.2378569944</v>
      </c>
      <c r="N1410" s="83" t="s">
        <v>1415</v>
      </c>
      <c r="O1410" s="25">
        <f t="shared" si="44"/>
        <v>1.1167274009639128E-2</v>
      </c>
    </row>
    <row r="1411" spans="1:15">
      <c r="A1411" s="84">
        <v>411.63757117640404</v>
      </c>
      <c r="B1411" s="84">
        <v>411.64695194646799</v>
      </c>
      <c r="C1411" s="84">
        <v>407.07851692532194</v>
      </c>
      <c r="D1411" s="84">
        <v>407.10665923551386</v>
      </c>
      <c r="E1411" s="85">
        <v>5315466.6045591114</v>
      </c>
      <c r="F1411" s="83" t="s">
        <v>1416</v>
      </c>
      <c r="G1411" s="25">
        <f t="shared" si="43"/>
        <v>1.1129545140329045E-2</v>
      </c>
      <c r="I1411" s="84">
        <v>77.009822482438139</v>
      </c>
      <c r="J1411" s="84">
        <v>77.149856767806241</v>
      </c>
      <c r="K1411" s="84">
        <v>76.101858245051346</v>
      </c>
      <c r="L1411" s="84">
        <v>76.540030041203181</v>
      </c>
      <c r="M1411" s="85">
        <v>3037160.9986938769</v>
      </c>
      <c r="N1411" s="83" t="s">
        <v>1416</v>
      </c>
      <c r="O1411" s="25">
        <f t="shared" si="44"/>
        <v>6.1378659112369949E-3</v>
      </c>
    </row>
    <row r="1412" spans="1:15">
      <c r="A1412" s="84">
        <v>405.84963604694383</v>
      </c>
      <c r="B1412" s="84">
        <v>407.2157575913576</v>
      </c>
      <c r="C1412" s="84">
        <v>404.18923974562387</v>
      </c>
      <c r="D1412" s="84">
        <v>404.22676282587969</v>
      </c>
      <c r="E1412" s="85">
        <v>5364894.3164461805</v>
      </c>
      <c r="F1412" s="83" t="s">
        <v>1417</v>
      </c>
      <c r="G1412" s="25">
        <f t="shared" si="43"/>
        <v>4.0147594625326022E-3</v>
      </c>
      <c r="I1412" s="84">
        <v>76.702650501630671</v>
      </c>
      <c r="J1412" s="84">
        <v>76.973684602343141</v>
      </c>
      <c r="K1412" s="84">
        <v>76.355726852718703</v>
      </c>
      <c r="L1412" s="84">
        <v>76.39547852082319</v>
      </c>
      <c r="M1412" s="85">
        <v>2933179.2490693261</v>
      </c>
      <c r="N1412" s="83" t="s">
        <v>1417</v>
      </c>
      <c r="O1412" s="25">
        <f t="shared" si="44"/>
        <v>4.0208136234627379E-3</v>
      </c>
    </row>
    <row r="1413" spans="1:15">
      <c r="A1413" s="84">
        <v>403.3637319799958</v>
      </c>
      <c r="B1413" s="84">
        <v>403.45753968063536</v>
      </c>
      <c r="C1413" s="84">
        <v>398.98291236012886</v>
      </c>
      <c r="D1413" s="84">
        <v>399.10486237096029</v>
      </c>
      <c r="E1413" s="85">
        <v>5321751.8028528588</v>
      </c>
      <c r="F1413" s="83" t="s">
        <v>1418</v>
      </c>
      <c r="G1413" s="25">
        <f t="shared" si="43"/>
        <v>1.0671054177929351E-2</v>
      </c>
      <c r="I1413" s="84">
        <v>75.95278948965948</v>
      </c>
      <c r="J1413" s="84">
        <v>76.562616216262555</v>
      </c>
      <c r="K1413" s="84">
        <v>75.374583408139543</v>
      </c>
      <c r="L1413" s="84">
        <v>75.419755758258276</v>
      </c>
      <c r="M1413" s="85">
        <v>4264581.0876254644</v>
      </c>
      <c r="N1413" s="83" t="s">
        <v>1418</v>
      </c>
      <c r="O1413" s="25">
        <f t="shared" si="44"/>
        <v>7.0675610924773036E-3</v>
      </c>
    </row>
    <row r="1414" spans="1:15">
      <c r="A1414" s="84">
        <v>399.33000085249523</v>
      </c>
      <c r="B1414" s="84">
        <v>399.48009317351853</v>
      </c>
      <c r="C1414" s="84">
        <v>393.54206572303502</v>
      </c>
      <c r="D1414" s="84">
        <v>395.54016974665745</v>
      </c>
      <c r="E1414" s="85">
        <v>7373235.8354853168</v>
      </c>
      <c r="F1414" s="83" t="s">
        <v>1419</v>
      </c>
      <c r="G1414" s="25">
        <f t="shared" si="43"/>
        <v>9.5814063796988425E-3</v>
      </c>
      <c r="I1414" s="84">
        <v>75.600445158733265</v>
      </c>
      <c r="J1414" s="84">
        <v>75.817272439303238</v>
      </c>
      <c r="K1414" s="84">
        <v>73.78451668395968</v>
      </c>
      <c r="L1414" s="84">
        <v>73.78451668395968</v>
      </c>
      <c r="M1414" s="85">
        <v>8082298.1102435365</v>
      </c>
      <c r="N1414" s="83" t="s">
        <v>1419</v>
      </c>
      <c r="O1414" s="25">
        <f t="shared" si="44"/>
        <v>2.4611240357536479E-2</v>
      </c>
    </row>
    <row r="1415" spans="1:15">
      <c r="A1415" s="84">
        <v>392.36674904748196</v>
      </c>
      <c r="B1415" s="84">
        <v>392.75930272685298</v>
      </c>
      <c r="C1415" s="84">
        <v>389.09546838605701</v>
      </c>
      <c r="D1415" s="84">
        <v>391.98354188428647</v>
      </c>
      <c r="E1415" s="85">
        <v>10595833.585523551</v>
      </c>
      <c r="F1415" s="83" t="s">
        <v>1420</v>
      </c>
      <c r="G1415" s="25">
        <f t="shared" si="43"/>
        <v>9.7761033882548531E-4</v>
      </c>
      <c r="I1415" s="84">
        <v>73.206310602439729</v>
      </c>
      <c r="J1415" s="84">
        <v>73.495413643199697</v>
      </c>
      <c r="K1415" s="84">
        <v>71.995691619257329</v>
      </c>
      <c r="L1415" s="84">
        <v>73.206310602439729</v>
      </c>
      <c r="M1415" s="85">
        <v>6451382.2998786718</v>
      </c>
      <c r="N1415" s="83" t="s">
        <v>1420</v>
      </c>
      <c r="O1415" s="25">
        <f t="shared" si="44"/>
        <v>0</v>
      </c>
    </row>
    <row r="1416" spans="1:15">
      <c r="A1416" s="84">
        <v>396.65679997203637</v>
      </c>
      <c r="B1416" s="84">
        <v>400.76926708925629</v>
      </c>
      <c r="C1416" s="84">
        <v>395.04919918985041</v>
      </c>
      <c r="D1416" s="84">
        <v>398.02139133365938</v>
      </c>
      <c r="E1416" s="85">
        <v>9504558.5255459677</v>
      </c>
      <c r="F1416" s="83" t="s">
        <v>1421</v>
      </c>
      <c r="G1416" s="25">
        <f t="shared" si="43"/>
        <v>-3.4284372431608867E-3</v>
      </c>
      <c r="I1416" s="84">
        <v>74.335619355408383</v>
      </c>
      <c r="J1416" s="84">
        <v>75.004170137165815</v>
      </c>
      <c r="K1416" s="84">
        <v>73.332793182772221</v>
      </c>
      <c r="L1416" s="84">
        <v>74.715067096405846</v>
      </c>
      <c r="M1416" s="85">
        <v>9859985.1198612973</v>
      </c>
      <c r="N1416" s="83" t="s">
        <v>1421</v>
      </c>
      <c r="O1416" s="25">
        <f t="shared" si="44"/>
        <v>-5.0785973397823314E-3</v>
      </c>
    </row>
    <row r="1417" spans="1:15">
      <c r="A1417" s="84">
        <v>400.81599967013375</v>
      </c>
      <c r="B1417" s="84">
        <v>406.38652331073166</v>
      </c>
      <c r="C1417" s="84">
        <v>399.42336875998433</v>
      </c>
      <c r="D1417" s="84">
        <v>406.16220692251966</v>
      </c>
      <c r="E1417" s="85">
        <v>7660093.7349976199</v>
      </c>
      <c r="F1417" s="83" t="s">
        <v>1422</v>
      </c>
      <c r="G1417" s="25">
        <f t="shared" si="43"/>
        <v>-1.3162739322533201E-2</v>
      </c>
      <c r="I1417" s="84">
        <v>74.715067096405846</v>
      </c>
      <c r="J1417" s="84">
        <v>76.359340640728192</v>
      </c>
      <c r="K1417" s="84">
        <v>74.498239815835859</v>
      </c>
      <c r="L1417" s="84">
        <v>76.12444442011072</v>
      </c>
      <c r="M1417" s="85">
        <v>5032258.6582818814</v>
      </c>
      <c r="N1417" s="83" t="s">
        <v>1422</v>
      </c>
      <c r="O1417" s="25">
        <f t="shared" si="44"/>
        <v>-1.8514122952765222E-2</v>
      </c>
    </row>
    <row r="1418" spans="1:15">
      <c r="A1418" s="84">
        <v>404.4704874947542</v>
      </c>
      <c r="B1418" s="84">
        <v>404.68545736679073</v>
      </c>
      <c r="C1418" s="84">
        <v>395.98385080740042</v>
      </c>
      <c r="D1418" s="84">
        <v>398.26440075422232</v>
      </c>
      <c r="E1418" s="85">
        <v>7351672.9345761361</v>
      </c>
      <c r="F1418" s="83" t="s">
        <v>1423</v>
      </c>
      <c r="G1418" s="25">
        <f t="shared" si="43"/>
        <v>1.5582830724460761E-2</v>
      </c>
      <c r="I1418" s="84">
        <v>75.374583408139543</v>
      </c>
      <c r="J1418" s="84">
        <v>75.636583038828263</v>
      </c>
      <c r="K1418" s="84">
        <v>74.14589548490963</v>
      </c>
      <c r="L1418" s="84">
        <v>75.401686818210777</v>
      </c>
      <c r="M1418" s="85">
        <v>5964152.8344613658</v>
      </c>
      <c r="N1418" s="83" t="s">
        <v>1423</v>
      </c>
      <c r="O1418" s="25">
        <f t="shared" si="44"/>
        <v>-3.5945363048150991E-4</v>
      </c>
    </row>
    <row r="1419" spans="1:15">
      <c r="A1419" s="84">
        <v>398.24570772187133</v>
      </c>
      <c r="B1419" s="84">
        <v>400.25520869960383</v>
      </c>
      <c r="C1419" s="84">
        <v>395.54456454715188</v>
      </c>
      <c r="D1419" s="84">
        <v>397.97465875278186</v>
      </c>
      <c r="E1419" s="85">
        <v>6978991.8270281963</v>
      </c>
      <c r="F1419" s="83" t="s">
        <v>1424</v>
      </c>
      <c r="G1419" s="25">
        <f t="shared" si="43"/>
        <v>6.8107092531688451E-4</v>
      </c>
      <c r="I1419" s="84">
        <v>75.437824698305775</v>
      </c>
      <c r="J1419" s="84">
        <v>76.558098981250666</v>
      </c>
      <c r="K1419" s="84">
        <v>75.193894007664554</v>
      </c>
      <c r="L1419" s="84">
        <v>75.555272808614518</v>
      </c>
      <c r="M1419" s="85">
        <v>6801489.1674298672</v>
      </c>
      <c r="N1419" s="83" t="s">
        <v>1424</v>
      </c>
      <c r="O1419" s="25">
        <f t="shared" si="44"/>
        <v>-1.5544661006816618E-3</v>
      </c>
    </row>
    <row r="1420" spans="1:15">
      <c r="A1420" s="84">
        <v>400.97489044511724</v>
      </c>
      <c r="B1420" s="84">
        <v>404.38636884917474</v>
      </c>
      <c r="C1420" s="84">
        <v>400.7318810245543</v>
      </c>
      <c r="D1420" s="84">
        <v>404.1059733639097</v>
      </c>
      <c r="E1420" s="85">
        <v>6338059.9666947229</v>
      </c>
      <c r="F1420" s="83" t="s">
        <v>1425</v>
      </c>
      <c r="G1420" s="25">
        <f t="shared" si="43"/>
        <v>-7.748172818947241E-3</v>
      </c>
      <c r="I1420" s="84">
        <v>76.187685710276952</v>
      </c>
      <c r="J1420" s="84">
        <v>77.642235384100573</v>
      </c>
      <c r="K1420" s="84">
        <v>75.921168844576357</v>
      </c>
      <c r="L1420" s="84">
        <v>77.199546352936878</v>
      </c>
      <c r="M1420" s="85">
        <v>4619956.6648934307</v>
      </c>
      <c r="N1420" s="83" t="s">
        <v>1425</v>
      </c>
      <c r="O1420" s="25">
        <f t="shared" si="44"/>
        <v>-1.3107080163838658E-2</v>
      </c>
    </row>
    <row r="1421" spans="1:15">
      <c r="A1421" s="84">
        <v>404.56395265650923</v>
      </c>
      <c r="B1421" s="84">
        <v>404.66676433443968</v>
      </c>
      <c r="C1421" s="84">
        <v>400.91881134806425</v>
      </c>
      <c r="D1421" s="84">
        <v>403.24609387576373</v>
      </c>
      <c r="E1421" s="85">
        <v>6674466.5957488753</v>
      </c>
      <c r="F1421" s="83" t="s">
        <v>1426</v>
      </c>
      <c r="G1421" s="25">
        <f t="shared" si="43"/>
        <v>3.2681253476729566E-3</v>
      </c>
      <c r="I1421" s="84">
        <v>77.840993724623061</v>
      </c>
      <c r="J1421" s="84">
        <v>78.581820266570503</v>
      </c>
      <c r="K1421" s="84">
        <v>77.42549844823084</v>
      </c>
      <c r="L1421" s="84">
        <v>78.518578976404243</v>
      </c>
      <c r="M1421" s="85">
        <v>3646423.0788746201</v>
      </c>
      <c r="N1421" s="83" t="s">
        <v>1426</v>
      </c>
      <c r="O1421" s="25">
        <f t="shared" si="44"/>
        <v>-8.6296168450119559E-3</v>
      </c>
    </row>
    <row r="1422" spans="1:15">
      <c r="A1422" s="84">
        <v>400.74122754072977</v>
      </c>
      <c r="B1422" s="84">
        <v>403.1339356816577</v>
      </c>
      <c r="C1422" s="84">
        <v>400.60102979809727</v>
      </c>
      <c r="D1422" s="84">
        <v>402.33013529056473</v>
      </c>
      <c r="E1422" s="85">
        <v>5387490.8098907014</v>
      </c>
      <c r="F1422" s="83" t="s">
        <v>1427</v>
      </c>
      <c r="G1422" s="25">
        <f t="shared" si="43"/>
        <v>-3.9492635784974528E-3</v>
      </c>
      <c r="I1422" s="84">
        <v>77.840993724623061</v>
      </c>
      <c r="J1422" s="84">
        <v>78.211406995596775</v>
      </c>
      <c r="K1422" s="84">
        <v>77.26278764310311</v>
      </c>
      <c r="L1422" s="84">
        <v>77.69644220424307</v>
      </c>
      <c r="M1422" s="85">
        <v>4695207.3434847426</v>
      </c>
      <c r="N1422" s="83" t="s">
        <v>1427</v>
      </c>
      <c r="O1422" s="25">
        <f t="shared" si="44"/>
        <v>1.8604651162790198E-3</v>
      </c>
    </row>
    <row r="1423" spans="1:15">
      <c r="A1423" s="84">
        <v>403.48910329632673</v>
      </c>
      <c r="B1423" s="84">
        <v>403.90035000804869</v>
      </c>
      <c r="C1423" s="84">
        <v>401.18986031715377</v>
      </c>
      <c r="D1423" s="84">
        <v>402.7881145831642</v>
      </c>
      <c r="E1423" s="85">
        <v>4789530.0408663927</v>
      </c>
      <c r="F1423" s="83" t="s">
        <v>1428</v>
      </c>
      <c r="G1423" s="25">
        <f t="shared" si="43"/>
        <v>1.7403411068570573E-3</v>
      </c>
      <c r="I1423" s="84">
        <v>78.148165705430529</v>
      </c>
      <c r="J1423" s="84">
        <v>79.187129758161703</v>
      </c>
      <c r="K1423" s="84">
        <v>77.515752803768095</v>
      </c>
      <c r="L1423" s="84">
        <v>77.551890683863093</v>
      </c>
      <c r="M1423" s="85">
        <v>7470801.2559203235</v>
      </c>
      <c r="N1423" s="83" t="s">
        <v>1428</v>
      </c>
      <c r="O1423" s="25">
        <f t="shared" si="44"/>
        <v>7.6887232059643651E-3</v>
      </c>
    </row>
    <row r="1424" spans="1:15">
      <c r="A1424" s="84">
        <v>402.35817483909125</v>
      </c>
      <c r="B1424" s="84">
        <v>402.92831232579675</v>
      </c>
      <c r="C1424" s="84">
        <v>399.04016159678883</v>
      </c>
      <c r="D1424" s="84">
        <v>399.07754766149083</v>
      </c>
      <c r="E1424" s="85">
        <v>5062763.39884145</v>
      </c>
      <c r="F1424" s="83" t="s">
        <v>1429</v>
      </c>
      <c r="G1424" s="25">
        <f t="shared" si="43"/>
        <v>8.2205255515479525E-3</v>
      </c>
      <c r="I1424" s="84">
        <v>76.802029671891916</v>
      </c>
      <c r="J1424" s="84">
        <v>77.515752803768095</v>
      </c>
      <c r="K1424" s="84">
        <v>75.934720549611981</v>
      </c>
      <c r="L1424" s="84">
        <v>76.278030410514461</v>
      </c>
      <c r="M1424" s="85">
        <v>5648273.7632487621</v>
      </c>
      <c r="N1424" s="83" t="s">
        <v>1429</v>
      </c>
      <c r="O1424" s="25">
        <f t="shared" si="44"/>
        <v>6.869596115125054E-3</v>
      </c>
    </row>
    <row r="1425" spans="1:15">
      <c r="A1425" s="84">
        <v>394.2547453149329</v>
      </c>
      <c r="B1425" s="84">
        <v>395.97450429122489</v>
      </c>
      <c r="C1425" s="84">
        <v>389.74972451834202</v>
      </c>
      <c r="D1425" s="84">
        <v>392.00223491663746</v>
      </c>
      <c r="E1425" s="85">
        <v>7799155.1751743387</v>
      </c>
      <c r="F1425" s="83" t="s">
        <v>1430</v>
      </c>
      <c r="G1425" s="25">
        <f t="shared" si="43"/>
        <v>5.7461672349252702E-3</v>
      </c>
      <c r="I1425" s="84">
        <v>75.672720918923261</v>
      </c>
      <c r="J1425" s="84">
        <v>76.241892530419449</v>
      </c>
      <c r="K1425" s="84">
        <v>73.78451668395968</v>
      </c>
      <c r="L1425" s="84">
        <v>74.30851594533712</v>
      </c>
      <c r="M1425" s="85">
        <v>5494879.0432090703</v>
      </c>
      <c r="N1425" s="83" t="s">
        <v>1430</v>
      </c>
      <c r="O1425" s="25">
        <f t="shared" si="44"/>
        <v>1.8358662613982002E-2</v>
      </c>
    </row>
    <row r="1426" spans="1:15">
      <c r="A1426" s="84">
        <v>389.600180259534</v>
      </c>
      <c r="B1426" s="84">
        <v>395.53521803097641</v>
      </c>
      <c r="C1426" s="84">
        <v>385.79614817610559</v>
      </c>
      <c r="D1426" s="84">
        <v>394.53514080019789</v>
      </c>
      <c r="E1426" s="85">
        <v>10944110.947791737</v>
      </c>
      <c r="F1426" s="83" t="s">
        <v>1431</v>
      </c>
      <c r="G1426" s="25">
        <f t="shared" si="43"/>
        <v>-1.2508291481095446E-2</v>
      </c>
      <c r="I1426" s="84">
        <v>73.278586362629724</v>
      </c>
      <c r="J1426" s="84">
        <v>74.186550600016503</v>
      </c>
      <c r="K1426" s="84">
        <v>72.384173830278556</v>
      </c>
      <c r="L1426" s="84">
        <v>73.730309863817183</v>
      </c>
      <c r="M1426" s="85">
        <v>6684282.5136675062</v>
      </c>
      <c r="N1426" s="83" t="s">
        <v>1431</v>
      </c>
      <c r="O1426" s="25">
        <f t="shared" si="44"/>
        <v>-6.1267001592941739E-3</v>
      </c>
    </row>
    <row r="1427" spans="1:15">
      <c r="A1427" s="84">
        <v>393.07708427681996</v>
      </c>
      <c r="B1427" s="84">
        <v>394.47906170314491</v>
      </c>
      <c r="C1427" s="84">
        <v>386.97380921421853</v>
      </c>
      <c r="D1427" s="84">
        <v>387.33832334506309</v>
      </c>
      <c r="E1427" s="85">
        <v>11146048.222018844</v>
      </c>
      <c r="F1427" s="83" t="s">
        <v>1432</v>
      </c>
      <c r="G1427" s="25">
        <f t="shared" si="43"/>
        <v>1.4815887264128191E-2</v>
      </c>
      <c r="I1427" s="84">
        <v>73.775482213935916</v>
      </c>
      <c r="J1427" s="84">
        <v>74.290447005289636</v>
      </c>
      <c r="K1427" s="84">
        <v>71.833071158829853</v>
      </c>
      <c r="L1427" s="84">
        <v>72.320932540112295</v>
      </c>
      <c r="M1427" s="85">
        <v>7094097.36614554</v>
      </c>
      <c r="N1427" s="83" t="s">
        <v>1432</v>
      </c>
      <c r="O1427" s="25">
        <f t="shared" si="44"/>
        <v>2.0112429731417913E-2</v>
      </c>
    </row>
    <row r="1428" spans="1:15">
      <c r="A1428" s="84">
        <v>387.17008605390407</v>
      </c>
      <c r="B1428" s="84">
        <v>399.30298563164388</v>
      </c>
      <c r="C1428" s="84">
        <v>386.9177301171656</v>
      </c>
      <c r="D1428" s="84">
        <v>396.73157210144041</v>
      </c>
      <c r="E1428" s="85">
        <v>8955733.7117135897</v>
      </c>
      <c r="F1428" s="83" t="s">
        <v>1433</v>
      </c>
      <c r="G1428" s="25">
        <f t="shared" si="43"/>
        <v>-2.4100643154993384E-2</v>
      </c>
      <c r="I1428" s="84">
        <v>71.417485537737377</v>
      </c>
      <c r="J1428" s="84">
        <v>74.209136775075891</v>
      </c>
      <c r="K1428" s="84">
        <v>71.372313187618644</v>
      </c>
      <c r="L1428" s="84">
        <v>74.209136775075891</v>
      </c>
      <c r="M1428" s="85">
        <v>9408633.7966203354</v>
      </c>
      <c r="N1428" s="83" t="s">
        <v>1433</v>
      </c>
      <c r="O1428" s="25">
        <f t="shared" si="44"/>
        <v>-3.7618699780862075E-2</v>
      </c>
    </row>
    <row r="1429" spans="1:15">
      <c r="A1429" s="84">
        <v>391.67510685049496</v>
      </c>
      <c r="B1429" s="84">
        <v>398.75041959534832</v>
      </c>
      <c r="C1429" s="84">
        <v>391.27320665494847</v>
      </c>
      <c r="D1429" s="84">
        <v>397.04000713523186</v>
      </c>
      <c r="E1429" s="85">
        <v>9262962.6241855081</v>
      </c>
      <c r="F1429" s="83" t="s">
        <v>1434</v>
      </c>
      <c r="G1429" s="25">
        <f t="shared" si="43"/>
        <v>-1.3512241054614016E-2</v>
      </c>
      <c r="I1429" s="84">
        <v>73.106931432178484</v>
      </c>
      <c r="J1429" s="84">
        <v>74.534377695930857</v>
      </c>
      <c r="K1429" s="84">
        <v>72.528725350658533</v>
      </c>
      <c r="L1429" s="84">
        <v>74.191067835028392</v>
      </c>
      <c r="M1429" s="85">
        <v>8817374.9860915411</v>
      </c>
      <c r="N1429" s="83" t="s">
        <v>1434</v>
      </c>
      <c r="O1429" s="25">
        <f t="shared" si="44"/>
        <v>-1.4612761811982566E-2</v>
      </c>
    </row>
    <row r="1430" spans="1:15">
      <c r="A1430" s="84">
        <v>399.32055708205382</v>
      </c>
      <c r="B1430" s="84">
        <v>400.94685089659077</v>
      </c>
      <c r="C1430" s="84">
        <v>396.80634423084439</v>
      </c>
      <c r="D1430" s="84">
        <v>398.8251917247523</v>
      </c>
      <c r="E1430" s="85">
        <v>6741293.6346446378</v>
      </c>
      <c r="F1430" s="83" t="s">
        <v>1435</v>
      </c>
      <c r="G1430" s="25">
        <f t="shared" si="43"/>
        <v>1.242061353143864E-3</v>
      </c>
      <c r="I1430" s="84">
        <v>74.931894376975819</v>
      </c>
      <c r="J1430" s="84">
        <v>76.29609935056196</v>
      </c>
      <c r="K1430" s="84">
        <v>74.552446635978356</v>
      </c>
      <c r="L1430" s="84">
        <v>75.970858429706979</v>
      </c>
      <c r="M1430" s="85">
        <v>6458751.8522514151</v>
      </c>
      <c r="N1430" s="83" t="s">
        <v>1435</v>
      </c>
      <c r="O1430" s="25">
        <f t="shared" si="44"/>
        <v>-1.3675823522416475E-2</v>
      </c>
    </row>
    <row r="1431" spans="1:15">
      <c r="A1431" s="84">
        <v>394.55383383254889</v>
      </c>
      <c r="B1431" s="84">
        <v>398.64760791741782</v>
      </c>
      <c r="C1431" s="84">
        <v>393.39486582678688</v>
      </c>
      <c r="D1431" s="84">
        <v>397.40452126607636</v>
      </c>
      <c r="E1431" s="85">
        <v>8241014.9999960894</v>
      </c>
      <c r="F1431" s="83" t="s">
        <v>1436</v>
      </c>
      <c r="G1431" s="25">
        <f t="shared" si="43"/>
        <v>-7.173263717397016E-3</v>
      </c>
      <c r="I1431" s="84">
        <v>74.986101197118316</v>
      </c>
      <c r="J1431" s="84">
        <v>75.51913492851952</v>
      </c>
      <c r="K1431" s="84">
        <v>73.554137698354069</v>
      </c>
      <c r="L1431" s="84">
        <v>75.492031518448272</v>
      </c>
      <c r="M1431" s="85">
        <v>7873897.3966376865</v>
      </c>
      <c r="N1431" s="83" t="s">
        <v>1436</v>
      </c>
      <c r="O1431" s="25">
        <f t="shared" si="44"/>
        <v>-6.7017711823839088E-3</v>
      </c>
    </row>
    <row r="1432" spans="1:15">
      <c r="A1432" s="84">
        <v>403.33021252134319</v>
      </c>
      <c r="B1432" s="84">
        <v>403.53583587720425</v>
      </c>
      <c r="C1432" s="84">
        <v>399.7598433423023</v>
      </c>
      <c r="D1432" s="84">
        <v>400.55429721721981</v>
      </c>
      <c r="E1432" s="85">
        <v>4889081.5724241119</v>
      </c>
      <c r="F1432" s="83" t="s">
        <v>1437</v>
      </c>
      <c r="G1432" s="25">
        <f t="shared" si="43"/>
        <v>6.930184804927908E-3</v>
      </c>
      <c r="I1432" s="84">
        <v>78.771544137069228</v>
      </c>
      <c r="J1432" s="84">
        <v>79.036886521666744</v>
      </c>
      <c r="K1432" s="84">
        <v>78.310786165858033</v>
      </c>
      <c r="L1432" s="84">
        <v>78.536647916451756</v>
      </c>
      <c r="M1432" s="85">
        <v>3835030.7111453256</v>
      </c>
      <c r="N1432" s="83" t="s">
        <v>1437</v>
      </c>
      <c r="O1432" s="25">
        <f t="shared" si="44"/>
        <v>2.9909122282294476E-3</v>
      </c>
    </row>
    <row r="1433" spans="1:15">
      <c r="A1433" s="84">
        <v>402.33948180674025</v>
      </c>
      <c r="B1433" s="84">
        <v>403.10589613313124</v>
      </c>
      <c r="C1433" s="84">
        <v>399.13362675854381</v>
      </c>
      <c r="D1433" s="84">
        <v>401.49829535094528</v>
      </c>
      <c r="E1433" s="85">
        <v>7276840.7739221584</v>
      </c>
      <c r="F1433" s="83" t="s">
        <v>1438</v>
      </c>
      <c r="G1433" s="25">
        <f t="shared" si="43"/>
        <v>2.0951183741881874E-3</v>
      </c>
      <c r="I1433" s="84">
        <v>78.879957777354221</v>
      </c>
      <c r="J1433" s="84">
        <v>79.268439988375434</v>
      </c>
      <c r="K1433" s="84">
        <v>78.364992986000516</v>
      </c>
      <c r="L1433" s="84">
        <v>78.888992247377956</v>
      </c>
      <c r="M1433" s="85">
        <v>6587144.5523158107</v>
      </c>
      <c r="N1433" s="83" t="s">
        <v>1438</v>
      </c>
      <c r="O1433" s="25">
        <f t="shared" si="44"/>
        <v>-1.1452130096178958E-4</v>
      </c>
    </row>
    <row r="1434" spans="1:15">
      <c r="A1434" s="84">
        <v>401.81607690091226</v>
      </c>
      <c r="B1434" s="84">
        <v>406.95666079743717</v>
      </c>
      <c r="C1434" s="84">
        <v>401.63849309357778</v>
      </c>
      <c r="D1434" s="84">
        <v>404.63872478591321</v>
      </c>
      <c r="E1434" s="85">
        <v>5216840.0593810109</v>
      </c>
      <c r="F1434" s="83" t="s">
        <v>1439</v>
      </c>
      <c r="G1434" s="25">
        <f t="shared" si="43"/>
        <v>-6.9757235580809596E-3</v>
      </c>
      <c r="I1434" s="84">
        <v>78.419199806143013</v>
      </c>
      <c r="J1434" s="84">
        <v>79.173578053126079</v>
      </c>
      <c r="K1434" s="84">
        <v>77.407339163483101</v>
      </c>
      <c r="L1434" s="84">
        <v>77.524787273791844</v>
      </c>
      <c r="M1434" s="85">
        <v>7548964.11418912</v>
      </c>
      <c r="N1434" s="83" t="s">
        <v>1439</v>
      </c>
      <c r="O1434" s="25">
        <f t="shared" si="44"/>
        <v>1.1537116886143783E-2</v>
      </c>
    </row>
    <row r="1435" spans="1:15">
      <c r="A1435" s="84">
        <v>402.88157974491924</v>
      </c>
      <c r="B1435" s="84">
        <v>404.6948038829662</v>
      </c>
      <c r="C1435" s="84">
        <v>402.25517623083721</v>
      </c>
      <c r="D1435" s="84">
        <v>403.64799407131022</v>
      </c>
      <c r="E1435" s="85">
        <v>5228177.9737450583</v>
      </c>
      <c r="F1435" s="83" t="s">
        <v>1440</v>
      </c>
      <c r="G1435" s="25">
        <f t="shared" si="43"/>
        <v>-1.8987195220784292E-3</v>
      </c>
      <c r="I1435" s="84">
        <v>77.181477412889379</v>
      </c>
      <c r="J1435" s="84">
        <v>77.922303954836806</v>
      </c>
      <c r="K1435" s="84">
        <v>76.847202022010649</v>
      </c>
      <c r="L1435" s="84">
        <v>77.922303954836806</v>
      </c>
      <c r="M1435" s="85">
        <v>6063719.2725186478</v>
      </c>
      <c r="N1435" s="83" t="s">
        <v>1440</v>
      </c>
      <c r="O1435" s="25">
        <f t="shared" si="44"/>
        <v>-9.5072463768115512E-3</v>
      </c>
    </row>
    <row r="1436" spans="1:15">
      <c r="A1436" s="84">
        <v>403.63864755513475</v>
      </c>
      <c r="B1436" s="84">
        <v>403.92838955657521</v>
      </c>
      <c r="C1436" s="84">
        <v>400.77861360543181</v>
      </c>
      <c r="D1436" s="84">
        <v>403.24609387576373</v>
      </c>
      <c r="E1436" s="85">
        <v>5068009.203703857</v>
      </c>
      <c r="F1436" s="83" t="s">
        <v>1441</v>
      </c>
      <c r="G1436" s="25">
        <f t="shared" si="43"/>
        <v>9.7348414611531098E-4</v>
      </c>
      <c r="I1436" s="84">
        <v>78.518578976404243</v>
      </c>
      <c r="J1436" s="84">
        <v>79.313612338494181</v>
      </c>
      <c r="K1436" s="84">
        <v>78.003614185050552</v>
      </c>
      <c r="L1436" s="84">
        <v>78.771544137069228</v>
      </c>
      <c r="M1436" s="85">
        <v>4844003.0112401536</v>
      </c>
      <c r="N1436" s="83" t="s">
        <v>1441</v>
      </c>
      <c r="O1436" s="25">
        <f t="shared" si="44"/>
        <v>-3.2113774515426519E-3</v>
      </c>
    </row>
    <row r="1437" spans="1:15">
      <c r="A1437" s="84">
        <v>402.24601664498527</v>
      </c>
      <c r="B1437" s="84">
        <v>403.19936129488622</v>
      </c>
      <c r="C1437" s="84">
        <v>401.75065128768375</v>
      </c>
      <c r="D1437" s="84">
        <v>403.05916355225372</v>
      </c>
      <c r="E1437" s="85">
        <v>4028084.8278729618</v>
      </c>
      <c r="F1437" s="83" t="s">
        <v>1442</v>
      </c>
      <c r="G1437" s="25">
        <f t="shared" si="43"/>
        <v>-2.0174380855206842E-3</v>
      </c>
      <c r="I1437" s="84">
        <v>78.545682390039602</v>
      </c>
      <c r="J1437" s="84">
        <v>79.982767488084917</v>
      </c>
      <c r="K1437" s="84">
        <v>78.31215606160724</v>
      </c>
      <c r="L1437" s="84">
        <v>79.722295814064211</v>
      </c>
      <c r="M1437" s="85">
        <v>4353932.2817490334</v>
      </c>
      <c r="N1437" s="83" t="s">
        <v>1442</v>
      </c>
      <c r="O1437" s="25">
        <f t="shared" si="44"/>
        <v>-1.4758900405588138E-2</v>
      </c>
    </row>
    <row r="1438" spans="1:15">
      <c r="A1438" s="84">
        <v>403.21805432723727</v>
      </c>
      <c r="B1438" s="84">
        <v>404.32094323594617</v>
      </c>
      <c r="C1438" s="84">
        <v>401.40679295758713</v>
      </c>
      <c r="D1438" s="84">
        <v>401.45156277006777</v>
      </c>
      <c r="E1438" s="85">
        <v>3495417.9061539965</v>
      </c>
      <c r="F1438" s="83" t="s">
        <v>1443</v>
      </c>
      <c r="G1438" s="25">
        <f t="shared" si="43"/>
        <v>4.4002607561930418E-3</v>
      </c>
      <c r="I1438" s="84">
        <v>79.848040760143178</v>
      </c>
      <c r="J1438" s="84">
        <v>80.67436469151923</v>
      </c>
      <c r="K1438" s="84">
        <v>79.767204723378129</v>
      </c>
      <c r="L1438" s="84">
        <v>80.180366689066148</v>
      </c>
      <c r="M1438" s="85">
        <v>5284282.1975741545</v>
      </c>
      <c r="N1438" s="83" t="s">
        <v>1443</v>
      </c>
      <c r="O1438" s="25">
        <f t="shared" si="44"/>
        <v>-4.1447294723869765E-3</v>
      </c>
    </row>
    <row r="1439" spans="1:15">
      <c r="A1439" s="84">
        <v>401.68522567445524</v>
      </c>
      <c r="B1439" s="84">
        <v>402.83952042212951</v>
      </c>
      <c r="C1439" s="84">
        <v>400.63841586279926</v>
      </c>
      <c r="D1439" s="84">
        <v>402.7881145831642</v>
      </c>
      <c r="E1439" s="85">
        <v>3340588.0237863436</v>
      </c>
      <c r="F1439" s="83" t="s">
        <v>1444</v>
      </c>
      <c r="G1439" s="25">
        <f t="shared" si="43"/>
        <v>-2.7381366747881719E-3</v>
      </c>
      <c r="I1439" s="84">
        <v>80.25222094396841</v>
      </c>
      <c r="J1439" s="84">
        <v>80.503710836126345</v>
      </c>
      <c r="K1439" s="84">
        <v>79.794150068966474</v>
      </c>
      <c r="L1439" s="84">
        <v>80.503710836126345</v>
      </c>
      <c r="M1439" s="85">
        <v>3811270.4720477643</v>
      </c>
      <c r="N1439" s="83" t="s">
        <v>1444</v>
      </c>
      <c r="O1439" s="25">
        <f t="shared" si="44"/>
        <v>-3.1239540332478333E-3</v>
      </c>
    </row>
    <row r="1440" spans="1:15">
      <c r="A1440" s="84">
        <v>401.49829535094528</v>
      </c>
      <c r="B1440" s="84">
        <v>402.05908632147526</v>
      </c>
      <c r="C1440" s="84">
        <v>398.84388475710335</v>
      </c>
      <c r="D1440" s="84">
        <v>399.71311076142484</v>
      </c>
      <c r="E1440" s="85">
        <v>3911077.5944326883</v>
      </c>
      <c r="F1440" s="83" t="s">
        <v>1445</v>
      </c>
      <c r="G1440" s="25">
        <f t="shared" si="43"/>
        <v>4.4661647102837154E-3</v>
      </c>
      <c r="I1440" s="84">
        <v>79.812113632692046</v>
      </c>
      <c r="J1440" s="84">
        <v>80.162403125340589</v>
      </c>
      <c r="K1440" s="84">
        <v>79.596550867985243</v>
      </c>
      <c r="L1440" s="84">
        <v>80.099530652301112</v>
      </c>
      <c r="M1440" s="85">
        <v>3644255.7278781533</v>
      </c>
      <c r="N1440" s="83" t="s">
        <v>1445</v>
      </c>
      <c r="O1440" s="25">
        <f t="shared" si="44"/>
        <v>-3.5882484862076458E-3</v>
      </c>
    </row>
    <row r="1441" spans="1:15">
      <c r="A1441" s="84">
        <v>398.53544972331179</v>
      </c>
      <c r="B1441" s="84">
        <v>399.86265502023281</v>
      </c>
      <c r="C1441" s="84">
        <v>398.52610320713632</v>
      </c>
      <c r="D1441" s="84">
        <v>399.75049682612678</v>
      </c>
      <c r="E1441" s="85">
        <v>3888754.8384365118</v>
      </c>
      <c r="F1441" s="83" t="s">
        <v>1446</v>
      </c>
      <c r="G1441" s="25">
        <f t="shared" si="43"/>
        <v>-3.0395136778116338E-3</v>
      </c>
      <c r="I1441" s="84">
        <v>79.982767488084917</v>
      </c>
      <c r="J1441" s="84">
        <v>81.213271603286231</v>
      </c>
      <c r="K1441" s="84">
        <v>79.65942334102472</v>
      </c>
      <c r="L1441" s="84">
        <v>80.907891019951592</v>
      </c>
      <c r="M1441" s="85">
        <v>5559882.2998497328</v>
      </c>
      <c r="N1441" s="83" t="s">
        <v>1446</v>
      </c>
      <c r="O1441" s="25">
        <f t="shared" si="44"/>
        <v>-1.1434280639431638E-2</v>
      </c>
    </row>
    <row r="1442" spans="1:15">
      <c r="A1442" s="84">
        <v>398.40459849685482</v>
      </c>
      <c r="B1442" s="84">
        <v>401.64783960975331</v>
      </c>
      <c r="C1442" s="84">
        <v>397.04935365140733</v>
      </c>
      <c r="D1442" s="84">
        <v>400.11501095697128</v>
      </c>
      <c r="E1442" s="85">
        <v>6794679.3016280169</v>
      </c>
      <c r="F1442" s="83" t="s">
        <v>1447</v>
      </c>
      <c r="G1442" s="25">
        <f t="shared" ref="G1442:G1505" si="45">A1442/D1442-1</f>
        <v>-4.274802027610991E-3</v>
      </c>
      <c r="I1442" s="84">
        <v>80.997708838579442</v>
      </c>
      <c r="J1442" s="84">
        <v>82.13058098493228</v>
      </c>
      <c r="K1442" s="84">
        <v>80.961781711128296</v>
      </c>
      <c r="L1442" s="84">
        <v>81.752178515053217</v>
      </c>
      <c r="M1442" s="85">
        <v>3900324.0710128299</v>
      </c>
      <c r="N1442" s="83" t="s">
        <v>1447</v>
      </c>
      <c r="O1442" s="25">
        <f t="shared" ref="O1442:O1505" si="46">I1442/L1442-1</f>
        <v>-9.2287409360577444E-3</v>
      </c>
    </row>
    <row r="1443" spans="1:15">
      <c r="A1443" s="84">
        <v>401.63849309357778</v>
      </c>
      <c r="B1443" s="84">
        <v>403.53583587720425</v>
      </c>
      <c r="C1443" s="84">
        <v>400.34867386135875</v>
      </c>
      <c r="D1443" s="84">
        <v>403.35825206986971</v>
      </c>
      <c r="E1443" s="85">
        <v>5024357.6449477216</v>
      </c>
      <c r="F1443" s="83" t="s">
        <v>1448</v>
      </c>
      <c r="G1443" s="25">
        <f t="shared" si="45"/>
        <v>-4.2636018166650747E-3</v>
      </c>
      <c r="I1443" s="84">
        <v>81.725233169464872</v>
      </c>
      <c r="J1443" s="84">
        <v>81.797087424367135</v>
      </c>
      <c r="K1443" s="84">
        <v>80.809091419460984</v>
      </c>
      <c r="L1443" s="84">
        <v>81.473743277306937</v>
      </c>
      <c r="M1443" s="85">
        <v>3755368.4241389311</v>
      </c>
      <c r="N1443" s="83" t="s">
        <v>1448</v>
      </c>
      <c r="O1443" s="25">
        <f t="shared" si="46"/>
        <v>3.0867600044097721E-3</v>
      </c>
    </row>
    <row r="1444" spans="1:15">
      <c r="A1444" s="84">
        <v>403.04981703607825</v>
      </c>
      <c r="B1444" s="84">
        <v>404.0872803315587</v>
      </c>
      <c r="C1444" s="84">
        <v>402.36752135526677</v>
      </c>
      <c r="D1444" s="84">
        <v>403.65734058748569</v>
      </c>
      <c r="E1444" s="85">
        <v>3757132.5337295695</v>
      </c>
      <c r="F1444" s="83" t="s">
        <v>1449</v>
      </c>
      <c r="G1444" s="25">
        <f t="shared" si="45"/>
        <v>-1.505047698434625E-3</v>
      </c>
      <c r="I1444" s="84">
        <v>81.473743277306937</v>
      </c>
      <c r="J1444" s="84">
        <v>82.335994336134135</v>
      </c>
      <c r="K1444" s="84">
        <v>81.114472002795608</v>
      </c>
      <c r="L1444" s="84">
        <v>82.012650189073938</v>
      </c>
      <c r="M1444" s="85">
        <v>4975802.2052598651</v>
      </c>
      <c r="N1444" s="83" t="s">
        <v>1449</v>
      </c>
      <c r="O1444" s="25">
        <f t="shared" si="46"/>
        <v>-6.5710217938890203E-3</v>
      </c>
    </row>
    <row r="1445" spans="1:15">
      <c r="A1445" s="84">
        <v>402.5637981949522</v>
      </c>
      <c r="B1445" s="84">
        <v>404.47983401092972</v>
      </c>
      <c r="C1445" s="84">
        <v>401.24593941420676</v>
      </c>
      <c r="D1445" s="84">
        <v>403.34890555369424</v>
      </c>
      <c r="E1445" s="85">
        <v>5288529.8727209177</v>
      </c>
      <c r="F1445" s="83" t="s">
        <v>1450</v>
      </c>
      <c r="G1445" s="25">
        <f t="shared" si="45"/>
        <v>-1.946472019464851E-3</v>
      </c>
      <c r="I1445" s="84">
        <v>81.895887024857757</v>
      </c>
      <c r="J1445" s="84">
        <v>81.940795934171675</v>
      </c>
      <c r="K1445" s="84">
        <v>79.991749269947704</v>
      </c>
      <c r="L1445" s="84">
        <v>80.629455782205312</v>
      </c>
      <c r="M1445" s="85">
        <v>4821297.2282741545</v>
      </c>
      <c r="N1445" s="83" t="s">
        <v>1450</v>
      </c>
      <c r="O1445" s="25">
        <f t="shared" si="46"/>
        <v>1.5706806282722585E-2</v>
      </c>
    </row>
    <row r="1446" spans="1:15">
      <c r="A1446" s="84">
        <v>401.1992068333293</v>
      </c>
      <c r="B1446" s="84">
        <v>401.31136502743527</v>
      </c>
      <c r="C1446" s="84">
        <v>399.60095256731881</v>
      </c>
      <c r="D1446" s="84">
        <v>399.89069456875933</v>
      </c>
      <c r="E1446" s="85">
        <v>4587039.6193592809</v>
      </c>
      <c r="F1446" s="83" t="s">
        <v>1451</v>
      </c>
      <c r="G1446" s="25">
        <f t="shared" si="45"/>
        <v>3.2721748276265394E-3</v>
      </c>
      <c r="I1446" s="84">
        <v>79.093571083669374</v>
      </c>
      <c r="J1446" s="84">
        <v>80.018694615536063</v>
      </c>
      <c r="K1446" s="84">
        <v>78.824117627785881</v>
      </c>
      <c r="L1446" s="84">
        <v>79.345060975827309</v>
      </c>
      <c r="M1446" s="85">
        <v>4132530.7791986498</v>
      </c>
      <c r="N1446" s="83" t="s">
        <v>1451</v>
      </c>
      <c r="O1446" s="25">
        <f t="shared" si="46"/>
        <v>-3.1695721077654726E-3</v>
      </c>
    </row>
    <row r="1447" spans="1:15">
      <c r="A1447" s="84">
        <v>399.32990359822929</v>
      </c>
      <c r="B1447" s="84">
        <v>399.71311076142484</v>
      </c>
      <c r="C1447" s="84">
        <v>396.00254383975135</v>
      </c>
      <c r="D1447" s="84">
        <v>396.42313706764884</v>
      </c>
      <c r="E1447" s="85">
        <v>3812019.2947822851</v>
      </c>
      <c r="F1447" s="83" t="s">
        <v>1452</v>
      </c>
      <c r="G1447" s="25">
        <f t="shared" si="45"/>
        <v>7.3324845569859853E-3</v>
      </c>
      <c r="I1447" s="84">
        <v>79.641459777299161</v>
      </c>
      <c r="J1447" s="84">
        <v>79.74924115965257</v>
      </c>
      <c r="K1447" s="84">
        <v>78.096593296900437</v>
      </c>
      <c r="L1447" s="84">
        <v>78.159465769939914</v>
      </c>
      <c r="M1447" s="85">
        <v>4618738.3120374354</v>
      </c>
      <c r="N1447" s="83" t="s">
        <v>1452</v>
      </c>
      <c r="O1447" s="25">
        <f t="shared" si="46"/>
        <v>1.8961158354401375E-2</v>
      </c>
    </row>
    <row r="1448" spans="1:15">
      <c r="A1448" s="84">
        <v>396.93719545730136</v>
      </c>
      <c r="B1448" s="84">
        <v>397.18955139403982</v>
      </c>
      <c r="C1448" s="84">
        <v>395.36698073981739</v>
      </c>
      <c r="D1448" s="84">
        <v>395.49783196627436</v>
      </c>
      <c r="E1448" s="85">
        <v>3198211.9795990731</v>
      </c>
      <c r="F1448" s="83" t="s">
        <v>1453</v>
      </c>
      <c r="G1448" s="25">
        <f t="shared" si="45"/>
        <v>3.6393713813069883E-3</v>
      </c>
      <c r="I1448" s="84">
        <v>78.860044755237013</v>
      </c>
      <c r="J1448" s="84">
        <v>79.766216727373219</v>
      </c>
      <c r="K1448" s="84">
        <v>78.316646952538619</v>
      </c>
      <c r="L1448" s="84">
        <v>79.515714831220194</v>
      </c>
      <c r="M1448" s="85">
        <v>5070582.9528894005</v>
      </c>
      <c r="N1448" s="83" t="s">
        <v>1453</v>
      </c>
      <c r="O1448" s="25">
        <f t="shared" si="46"/>
        <v>-8.2457923867615968E-3</v>
      </c>
    </row>
    <row r="1449" spans="1:15">
      <c r="A1449" s="84">
        <v>395.40436680451938</v>
      </c>
      <c r="B1449" s="84">
        <v>395.89038564564538</v>
      </c>
      <c r="C1449" s="84">
        <v>393.75003344145591</v>
      </c>
      <c r="D1449" s="84">
        <v>395.53521803097641</v>
      </c>
      <c r="E1449" s="85">
        <v>4212601.7074907068</v>
      </c>
      <c r="F1449" s="83" t="s">
        <v>1454</v>
      </c>
      <c r="G1449" s="25">
        <f t="shared" si="45"/>
        <v>-3.3082067156597894E-4</v>
      </c>
      <c r="I1449" s="84">
        <v>79.533678394945753</v>
      </c>
      <c r="J1449" s="84">
        <v>80.108512434163885</v>
      </c>
      <c r="K1449" s="84">
        <v>79.003753265041539</v>
      </c>
      <c r="L1449" s="84">
        <v>79.85702254200595</v>
      </c>
      <c r="M1449" s="85">
        <v>5109210.0321594477</v>
      </c>
      <c r="N1449" s="83" t="s">
        <v>1454</v>
      </c>
      <c r="O1449" s="25">
        <f t="shared" si="46"/>
        <v>-4.049038353391099E-3</v>
      </c>
    </row>
    <row r="1450" spans="1:15">
      <c r="A1450" s="84">
        <v>394.57252686489994</v>
      </c>
      <c r="B1450" s="84">
        <v>394.90432818913013</v>
      </c>
      <c r="C1450" s="84">
        <v>391.49752304316047</v>
      </c>
      <c r="D1450" s="84">
        <v>391.75922549607446</v>
      </c>
      <c r="E1450" s="85">
        <v>4961999.650904146</v>
      </c>
      <c r="F1450" s="83" t="s">
        <v>1455</v>
      </c>
      <c r="G1450" s="25">
        <f t="shared" si="45"/>
        <v>7.1812000477156079E-3</v>
      </c>
      <c r="I1450" s="84">
        <v>79.812113632692046</v>
      </c>
      <c r="J1450" s="84">
        <v>80.615983109411133</v>
      </c>
      <c r="K1450" s="84">
        <v>79.497751267494635</v>
      </c>
      <c r="L1450" s="84">
        <v>79.991749269947704</v>
      </c>
      <c r="M1450" s="85">
        <v>5792353.9888641182</v>
      </c>
      <c r="N1450" s="83" t="s">
        <v>1455</v>
      </c>
      <c r="O1450" s="25">
        <f t="shared" si="46"/>
        <v>-2.2456770716370311E-3</v>
      </c>
    </row>
    <row r="1451" spans="1:15">
      <c r="A1451" s="84">
        <v>393.87153815173747</v>
      </c>
      <c r="B1451" s="84">
        <v>393.89957770026393</v>
      </c>
      <c r="C1451" s="84">
        <v>391.3853648490545</v>
      </c>
      <c r="D1451" s="84">
        <v>391.41340439758096</v>
      </c>
      <c r="E1451" s="85">
        <v>3898309.2005456882</v>
      </c>
      <c r="F1451" s="83" t="s">
        <v>1456</v>
      </c>
      <c r="G1451" s="25">
        <f t="shared" si="45"/>
        <v>6.2801470939397586E-3</v>
      </c>
      <c r="I1451" s="84">
        <v>80.108512434163885</v>
      </c>
      <c r="J1451" s="84">
        <v>80.660892018725065</v>
      </c>
      <c r="K1451" s="84">
        <v>79.704332250338638</v>
      </c>
      <c r="L1451" s="84">
        <v>80.261202725831197</v>
      </c>
      <c r="M1451" s="85">
        <v>4654053.1309504062</v>
      </c>
      <c r="N1451" s="83" t="s">
        <v>1456</v>
      </c>
      <c r="O1451" s="25">
        <f t="shared" si="46"/>
        <v>-1.9024171888988306E-3</v>
      </c>
    </row>
    <row r="1452" spans="1:15">
      <c r="A1452" s="84">
        <v>390.05815955213347</v>
      </c>
      <c r="B1452" s="84">
        <v>392.82472834008144</v>
      </c>
      <c r="C1452" s="84">
        <v>390.01142697125596</v>
      </c>
      <c r="D1452" s="84">
        <v>392.23589782102499</v>
      </c>
      <c r="E1452" s="85">
        <v>3074422.5399538646</v>
      </c>
      <c r="F1452" s="83" t="s">
        <v>1457</v>
      </c>
      <c r="G1452" s="25">
        <f t="shared" si="45"/>
        <v>-5.5521136157843376E-3</v>
      </c>
      <c r="I1452" s="84">
        <v>80.08156708857554</v>
      </c>
      <c r="J1452" s="84">
        <v>81.339016549365198</v>
      </c>
      <c r="K1452" s="84">
        <v>79.65942334102472</v>
      </c>
      <c r="L1452" s="84">
        <v>80.06809441578136</v>
      </c>
      <c r="M1452" s="85">
        <v>4757826.5262787994</v>
      </c>
      <c r="N1452" s="83" t="s">
        <v>1457</v>
      </c>
      <c r="O1452" s="25">
        <f t="shared" si="46"/>
        <v>1.6826518593315853E-4</v>
      </c>
    </row>
    <row r="1453" spans="1:15">
      <c r="A1453" s="84">
        <v>391.75922549607446</v>
      </c>
      <c r="B1453" s="84">
        <v>393.98313555487289</v>
      </c>
      <c r="C1453" s="84">
        <v>391.488176526985</v>
      </c>
      <c r="D1453" s="84">
        <v>392.80603530773044</v>
      </c>
      <c r="E1453" s="85">
        <v>3300974.3331825077</v>
      </c>
      <c r="F1453" s="83" t="s">
        <v>1458</v>
      </c>
      <c r="G1453" s="25">
        <f t="shared" si="45"/>
        <v>-2.6649534822852372E-3</v>
      </c>
      <c r="I1453" s="84">
        <v>80.08156708857554</v>
      </c>
      <c r="J1453" s="84">
        <v>81.904868806720543</v>
      </c>
      <c r="K1453" s="84">
        <v>78.141502206214355</v>
      </c>
      <c r="L1453" s="84">
        <v>79.300152066513405</v>
      </c>
      <c r="M1453" s="85">
        <v>10156648.357047876</v>
      </c>
      <c r="N1453" s="83" t="s">
        <v>1458</v>
      </c>
      <c r="O1453" s="25">
        <f t="shared" si="46"/>
        <v>9.8538905878353678E-3</v>
      </c>
    </row>
    <row r="1454" spans="1:15">
      <c r="A1454" s="84">
        <v>391.3853648490545</v>
      </c>
      <c r="B1454" s="84">
        <v>391.74987897989894</v>
      </c>
      <c r="C1454" s="84">
        <v>388.7496472875635</v>
      </c>
      <c r="D1454" s="84">
        <v>390.34790155357399</v>
      </c>
      <c r="E1454" s="85">
        <v>2687060.0262623508</v>
      </c>
      <c r="F1454" s="83" t="s">
        <v>1459</v>
      </c>
      <c r="G1454" s="25">
        <f t="shared" si="45"/>
        <v>2.6577913992913427E-3</v>
      </c>
      <c r="I1454" s="84">
        <v>82.003668407211151</v>
      </c>
      <c r="J1454" s="84">
        <v>82.614429573880415</v>
      </c>
      <c r="K1454" s="84">
        <v>81.464761495444165</v>
      </c>
      <c r="L1454" s="84">
        <v>82.335994336134135</v>
      </c>
      <c r="M1454" s="85">
        <v>6628898.4646471981</v>
      </c>
      <c r="N1454" s="83" t="s">
        <v>1459</v>
      </c>
      <c r="O1454" s="25">
        <f t="shared" si="46"/>
        <v>-4.0362168648413466E-3</v>
      </c>
    </row>
    <row r="1455" spans="1:15">
      <c r="A1455" s="84">
        <v>389.36651735514647</v>
      </c>
      <c r="B1455" s="84">
        <v>390.68437613589197</v>
      </c>
      <c r="C1455" s="84">
        <v>387.60002579797703</v>
      </c>
      <c r="D1455" s="84">
        <v>389.357170838971</v>
      </c>
      <c r="E1455" s="85">
        <v>3903973.3430995494</v>
      </c>
      <c r="F1455" s="83" t="s">
        <v>1460</v>
      </c>
      <c r="G1455" s="25">
        <f t="shared" si="45"/>
        <v>2.4004993038451161E-5</v>
      </c>
      <c r="I1455" s="84">
        <v>82.50664819152702</v>
      </c>
      <c r="J1455" s="84">
        <v>82.919810157215039</v>
      </c>
      <c r="K1455" s="84">
        <v>81.895887024857757</v>
      </c>
      <c r="L1455" s="84">
        <v>82.335994336134135</v>
      </c>
      <c r="M1455" s="85">
        <v>4632874.7052319869</v>
      </c>
      <c r="N1455" s="83" t="s">
        <v>1460</v>
      </c>
      <c r="O1455" s="25">
        <f t="shared" si="46"/>
        <v>2.072651903567202E-3</v>
      </c>
    </row>
    <row r="1456" spans="1:15">
      <c r="A1456" s="84">
        <v>389.75907103451749</v>
      </c>
      <c r="B1456" s="84">
        <v>389.97404090655402</v>
      </c>
      <c r="C1456" s="84">
        <v>387.82892197911508</v>
      </c>
      <c r="D1456" s="84">
        <v>388.23558889791104</v>
      </c>
      <c r="E1456" s="85">
        <v>2759798.3586243172</v>
      </c>
      <c r="F1456" s="83" t="s">
        <v>1461</v>
      </c>
      <c r="G1456" s="25">
        <f t="shared" si="45"/>
        <v>3.9241176753814777E-3</v>
      </c>
      <c r="I1456" s="84">
        <v>82.282103644957431</v>
      </c>
      <c r="J1456" s="84">
        <v>82.335994336134135</v>
      </c>
      <c r="K1456" s="84">
        <v>81.356980113090756</v>
      </c>
      <c r="L1456" s="84">
        <v>82.030613752799511</v>
      </c>
      <c r="M1456" s="85">
        <v>4759672.4851601552</v>
      </c>
      <c r="N1456" s="83" t="s">
        <v>1461</v>
      </c>
      <c r="O1456" s="25">
        <f t="shared" si="46"/>
        <v>3.0658053213619141E-3</v>
      </c>
    </row>
    <row r="1457" spans="1:15">
      <c r="A1457" s="84">
        <v>388.80572638461655</v>
      </c>
      <c r="B1457" s="84">
        <v>389.02069625665303</v>
      </c>
      <c r="C1457" s="84">
        <v>387.55329321709951</v>
      </c>
      <c r="D1457" s="84">
        <v>387.63741186267907</v>
      </c>
      <c r="E1457" s="85">
        <v>3432461.8283008994</v>
      </c>
      <c r="F1457" s="83" t="s">
        <v>1462</v>
      </c>
      <c r="G1457" s="25">
        <f t="shared" si="45"/>
        <v>3.0139364421082337E-3</v>
      </c>
      <c r="I1457" s="84">
        <v>82.344976117996922</v>
      </c>
      <c r="J1457" s="84">
        <v>82.547066209909545</v>
      </c>
      <c r="K1457" s="84">
        <v>80.907891019951592</v>
      </c>
      <c r="L1457" s="84">
        <v>81.455779713581379</v>
      </c>
      <c r="M1457" s="85">
        <v>4360591.3167727888</v>
      </c>
      <c r="N1457" s="83" t="s">
        <v>1462</v>
      </c>
      <c r="O1457" s="25">
        <f t="shared" si="46"/>
        <v>1.0916308303010158E-2</v>
      </c>
    </row>
    <row r="1458" spans="1:15">
      <c r="A1458" s="84">
        <v>387.30093728036104</v>
      </c>
      <c r="B1458" s="84">
        <v>387.30093728036104</v>
      </c>
      <c r="C1458" s="84">
        <v>385.20731765704909</v>
      </c>
      <c r="D1458" s="84">
        <v>385.76810862757907</v>
      </c>
      <c r="E1458" s="85">
        <v>3036705.8128460608</v>
      </c>
      <c r="F1458" s="83" t="s">
        <v>1463</v>
      </c>
      <c r="G1458" s="25">
        <f t="shared" si="45"/>
        <v>3.9734457527742517E-3</v>
      </c>
      <c r="I1458" s="84">
        <v>81.940795934171675</v>
      </c>
      <c r="J1458" s="84">
        <v>82.169831371672643</v>
      </c>
      <c r="K1458" s="84">
        <v>81.240216948874576</v>
      </c>
      <c r="L1458" s="84">
        <v>81.716251387602099</v>
      </c>
      <c r="M1458" s="85">
        <v>4670648.9470453886</v>
      </c>
      <c r="N1458" s="83" t="s">
        <v>1463</v>
      </c>
      <c r="O1458" s="25">
        <f t="shared" si="46"/>
        <v>2.7478566717960007E-3</v>
      </c>
    </row>
    <row r="1459" spans="1:15">
      <c r="A1459" s="84">
        <v>384.31005210420113</v>
      </c>
      <c r="B1459" s="84">
        <v>384.57175455711507</v>
      </c>
      <c r="C1459" s="84">
        <v>380.89857370014369</v>
      </c>
      <c r="D1459" s="84">
        <v>381.52479028390218</v>
      </c>
      <c r="E1459" s="85">
        <v>3640575.7355018337</v>
      </c>
      <c r="F1459" s="83" t="s">
        <v>1464</v>
      </c>
      <c r="G1459" s="25">
        <f t="shared" si="45"/>
        <v>7.3003429691327337E-3</v>
      </c>
      <c r="I1459" s="84">
        <v>81.554579314071987</v>
      </c>
      <c r="J1459" s="84">
        <v>81.841996333681067</v>
      </c>
      <c r="K1459" s="84">
        <v>80.225275598380065</v>
      </c>
      <c r="L1459" s="84">
        <v>80.925854583677165</v>
      </c>
      <c r="M1459" s="85">
        <v>4340687.6937800338</v>
      </c>
      <c r="N1459" s="83" t="s">
        <v>1464</v>
      </c>
      <c r="O1459" s="25">
        <f t="shared" si="46"/>
        <v>7.7691453940065269E-3</v>
      </c>
    </row>
    <row r="1460" spans="1:15">
      <c r="A1460" s="84">
        <v>383.14173758226366</v>
      </c>
      <c r="B1460" s="84">
        <v>383.45017261605511</v>
      </c>
      <c r="C1460" s="84">
        <v>381.59488915521843</v>
      </c>
      <c r="D1460" s="84">
        <v>382.19773944853819</v>
      </c>
      <c r="E1460" s="85">
        <v>3746442.9892914081</v>
      </c>
      <c r="F1460" s="83" t="s">
        <v>1465</v>
      </c>
      <c r="G1460" s="25">
        <f t="shared" si="45"/>
        <v>2.4699207668981149E-3</v>
      </c>
      <c r="I1460" s="84">
        <v>81.662360696425395</v>
      </c>
      <c r="J1460" s="84">
        <v>81.994686625348379</v>
      </c>
      <c r="K1460" s="84">
        <v>80.539637963577491</v>
      </c>
      <c r="L1460" s="84">
        <v>80.701310037107575</v>
      </c>
      <c r="M1460" s="85">
        <v>5101016.7804055922</v>
      </c>
      <c r="N1460" s="83" t="s">
        <v>1465</v>
      </c>
      <c r="O1460" s="25">
        <f t="shared" si="46"/>
        <v>1.1908736783528218E-2</v>
      </c>
    </row>
    <row r="1461" spans="1:15">
      <c r="A1461" s="84">
        <v>380.17889195463022</v>
      </c>
      <c r="B1461" s="84">
        <v>380.3564757619647</v>
      </c>
      <c r="C1461" s="84">
        <v>376.87022522850327</v>
      </c>
      <c r="D1461" s="84">
        <v>377.31885800492722</v>
      </c>
      <c r="E1461" s="85">
        <v>4053264.2632455663</v>
      </c>
      <c r="F1461" s="83" t="s">
        <v>1466</v>
      </c>
      <c r="G1461" s="25">
        <f t="shared" si="45"/>
        <v>7.5798860540006174E-3</v>
      </c>
      <c r="I1461" s="84">
        <v>80.090548870438326</v>
      </c>
      <c r="J1461" s="84">
        <v>81.258180512600148</v>
      </c>
      <c r="K1461" s="84">
        <v>80.036658179261622</v>
      </c>
      <c r="L1461" s="84">
        <v>81.123453784658395</v>
      </c>
      <c r="M1461" s="85">
        <v>4704478.5372805987</v>
      </c>
      <c r="N1461" s="83" t="s">
        <v>1466</v>
      </c>
      <c r="O1461" s="25">
        <f t="shared" si="46"/>
        <v>-1.2732506643046926E-2</v>
      </c>
    </row>
    <row r="1462" spans="1:15">
      <c r="A1462" s="84">
        <v>373.89803308469436</v>
      </c>
      <c r="B1462" s="84">
        <v>374.68314044343629</v>
      </c>
      <c r="C1462" s="84">
        <v>370.82302926295489</v>
      </c>
      <c r="D1462" s="84">
        <v>373.52417243767434</v>
      </c>
      <c r="E1462" s="85">
        <v>6946291.9424657375</v>
      </c>
      <c r="F1462" s="83" t="s">
        <v>1467</v>
      </c>
      <c r="G1462" s="25">
        <f t="shared" si="45"/>
        <v>1.0009008107296768E-3</v>
      </c>
      <c r="I1462" s="84">
        <v>80.548619745440277</v>
      </c>
      <c r="J1462" s="84">
        <v>80.836036765049329</v>
      </c>
      <c r="K1462" s="84">
        <v>79.327097412101736</v>
      </c>
      <c r="L1462" s="84">
        <v>80.665382909656458</v>
      </c>
      <c r="M1462" s="85">
        <v>3657980.1760871192</v>
      </c>
      <c r="N1462" s="83" t="s">
        <v>1467</v>
      </c>
      <c r="O1462" s="25">
        <f t="shared" si="46"/>
        <v>-1.4475002783653768E-3</v>
      </c>
    </row>
    <row r="1463" spans="1:15">
      <c r="A1463" s="84">
        <v>372.70167901423036</v>
      </c>
      <c r="B1463" s="84">
        <v>374.72052650813833</v>
      </c>
      <c r="C1463" s="84">
        <v>371.86983907461087</v>
      </c>
      <c r="D1463" s="84">
        <v>374.37470540964483</v>
      </c>
      <c r="E1463" s="85">
        <v>6634840.0661366051</v>
      </c>
      <c r="F1463" s="83" t="s">
        <v>1468</v>
      </c>
      <c r="G1463" s="25">
        <f t="shared" si="45"/>
        <v>-4.4688553239295992E-3</v>
      </c>
      <c r="I1463" s="84">
        <v>80.584546872891394</v>
      </c>
      <c r="J1463" s="84">
        <v>81.339016549365198</v>
      </c>
      <c r="K1463" s="84">
        <v>80.08156708857554</v>
      </c>
      <c r="L1463" s="84">
        <v>80.485747272400786</v>
      </c>
      <c r="M1463" s="85">
        <v>3789997.410319143</v>
      </c>
      <c r="N1463" s="83" t="s">
        <v>1468</v>
      </c>
      <c r="O1463" s="25">
        <f t="shared" si="46"/>
        <v>1.2275415690212732E-3</v>
      </c>
    </row>
    <row r="1464" spans="1:15">
      <c r="A1464" s="84">
        <v>373.44940030827036</v>
      </c>
      <c r="B1464" s="84">
        <v>378.29089568717927</v>
      </c>
      <c r="C1464" s="84">
        <v>373.44940030827036</v>
      </c>
      <c r="D1464" s="84">
        <v>375.64583160951281</v>
      </c>
      <c r="E1464" s="85">
        <v>3954063.6645850264</v>
      </c>
      <c r="F1464" s="83" t="s">
        <v>1469</v>
      </c>
      <c r="G1464" s="25">
        <f t="shared" si="45"/>
        <v>-5.8470801920827986E-3</v>
      </c>
      <c r="I1464" s="84">
        <v>80.737237164558721</v>
      </c>
      <c r="J1464" s="84">
        <v>82.075522662113414</v>
      </c>
      <c r="K1464" s="84">
        <v>80.692328255244803</v>
      </c>
      <c r="L1464" s="84">
        <v>81.478234168238345</v>
      </c>
      <c r="M1464" s="85">
        <v>3393594.997702911</v>
      </c>
      <c r="N1464" s="83" t="s">
        <v>1469</v>
      </c>
      <c r="O1464" s="25">
        <f t="shared" si="46"/>
        <v>-9.0944165793970244E-3</v>
      </c>
    </row>
    <row r="1465" spans="1:15">
      <c r="A1465" s="84">
        <v>376.18792954769179</v>
      </c>
      <c r="B1465" s="84">
        <v>377.96199178296342</v>
      </c>
      <c r="C1465" s="84">
        <v>375.67387115803928</v>
      </c>
      <c r="D1465" s="84">
        <v>377.63663955489426</v>
      </c>
      <c r="E1465" s="85">
        <v>4237856.0370791722</v>
      </c>
      <c r="F1465" s="83" t="s">
        <v>1470</v>
      </c>
      <c r="G1465" s="25">
        <f t="shared" si="45"/>
        <v>-3.8362538362538556E-3</v>
      </c>
      <c r="I1465" s="84">
        <v>81.392907240541902</v>
      </c>
      <c r="J1465" s="84">
        <v>81.581524659660346</v>
      </c>
      <c r="K1465" s="84">
        <v>80.602510436616967</v>
      </c>
      <c r="L1465" s="84">
        <v>81.105490220932822</v>
      </c>
      <c r="M1465" s="85">
        <v>3722023.1476029907</v>
      </c>
      <c r="N1465" s="83" t="s">
        <v>1470</v>
      </c>
      <c r="O1465" s="25">
        <f t="shared" si="46"/>
        <v>3.5437430786269264E-3</v>
      </c>
    </row>
    <row r="1466" spans="1:15">
      <c r="A1466" s="84">
        <v>376.89826477702979</v>
      </c>
      <c r="B1466" s="84">
        <v>379.51528930616973</v>
      </c>
      <c r="C1466" s="84">
        <v>376.52440413000977</v>
      </c>
      <c r="D1466" s="84">
        <v>376.73002748587078</v>
      </c>
      <c r="E1466" s="85">
        <v>4717474.3157861345</v>
      </c>
      <c r="F1466" s="83" t="s">
        <v>1471</v>
      </c>
      <c r="G1466" s="25">
        <f t="shared" si="45"/>
        <v>4.4657255563551601E-4</v>
      </c>
      <c r="I1466" s="84">
        <v>80.970763492991082</v>
      </c>
      <c r="J1466" s="84">
        <v>81.406200277698815</v>
      </c>
      <c r="K1466" s="84">
        <v>80.611492218479754</v>
      </c>
      <c r="L1466" s="84">
        <v>80.737237164558721</v>
      </c>
      <c r="M1466" s="85">
        <v>4176067.7973509501</v>
      </c>
      <c r="N1466" s="83" t="s">
        <v>1471</v>
      </c>
      <c r="O1466" s="25">
        <f t="shared" si="46"/>
        <v>2.8924240738679163E-3</v>
      </c>
    </row>
    <row r="1467" spans="1:15">
      <c r="A1467" s="84">
        <v>373.68306321265783</v>
      </c>
      <c r="B1467" s="84">
        <v>373.87934005234331</v>
      </c>
      <c r="C1467" s="84">
        <v>367.37416479419545</v>
      </c>
      <c r="D1467" s="84">
        <v>368.86026086609991</v>
      </c>
      <c r="E1467" s="85">
        <v>7050703.038715492</v>
      </c>
      <c r="F1467" s="83" t="s">
        <v>1472</v>
      </c>
      <c r="G1467" s="25">
        <f t="shared" si="45"/>
        <v>1.3074876472824126E-2</v>
      </c>
      <c r="I1467" s="84">
        <v>80.180366689066148</v>
      </c>
      <c r="J1467" s="84">
        <v>80.292638962350935</v>
      </c>
      <c r="K1467" s="84">
        <v>78.545682390039602</v>
      </c>
      <c r="L1467" s="84">
        <v>79.219316029748342</v>
      </c>
      <c r="M1467" s="85">
        <v>4847745.2097135959</v>
      </c>
      <c r="N1467" s="83" t="s">
        <v>1472</v>
      </c>
      <c r="O1467" s="25">
        <f t="shared" si="46"/>
        <v>1.2131519274376279E-2</v>
      </c>
    </row>
    <row r="1468" spans="1:15">
      <c r="A1468" s="84">
        <v>372.02872984959441</v>
      </c>
      <c r="B1468" s="84">
        <v>374.19020518034046</v>
      </c>
      <c r="C1468" s="84">
        <v>368.99111209255693</v>
      </c>
      <c r="D1468" s="84">
        <v>369.7107938380704</v>
      </c>
      <c r="E1468" s="85">
        <v>5909414.6913030325</v>
      </c>
      <c r="F1468" s="83" t="s">
        <v>1473</v>
      </c>
      <c r="G1468" s="25">
        <f t="shared" si="45"/>
        <v>6.269592476489283E-3</v>
      </c>
      <c r="I1468" s="84">
        <v>79.686368686613079</v>
      </c>
      <c r="J1468" s="84">
        <v>80.377965890047378</v>
      </c>
      <c r="K1468" s="84">
        <v>78.797172282197536</v>
      </c>
      <c r="L1468" s="84">
        <v>79.039680392492684</v>
      </c>
      <c r="M1468" s="85">
        <v>5367293.5656290175</v>
      </c>
      <c r="N1468" s="83" t="s">
        <v>1473</v>
      </c>
      <c r="O1468" s="25">
        <f t="shared" si="46"/>
        <v>8.18181818181829E-3</v>
      </c>
    </row>
    <row r="1469" spans="1:15">
      <c r="A1469" s="84">
        <v>368.44901415437795</v>
      </c>
      <c r="B1469" s="84">
        <v>372.86991630538932</v>
      </c>
      <c r="C1469" s="84">
        <v>366.34604801489047</v>
      </c>
      <c r="D1469" s="84">
        <v>372.10350197899839</v>
      </c>
      <c r="E1469" s="85">
        <v>9437128.0532538369</v>
      </c>
      <c r="F1469" s="83" t="s">
        <v>1474</v>
      </c>
      <c r="G1469" s="25">
        <f t="shared" si="45"/>
        <v>-9.8211594494123089E-3</v>
      </c>
      <c r="I1469" s="84">
        <v>78.761245154746391</v>
      </c>
      <c r="J1469" s="84">
        <v>79.039680392492684</v>
      </c>
      <c r="K1469" s="84">
        <v>77.629540640035714</v>
      </c>
      <c r="L1469" s="84">
        <v>78.141502206214355</v>
      </c>
      <c r="M1469" s="85">
        <v>6113115.5085729966</v>
      </c>
      <c r="N1469" s="83" t="s">
        <v>1474</v>
      </c>
      <c r="O1469" s="25">
        <f t="shared" si="46"/>
        <v>7.9310344827585588E-3</v>
      </c>
    </row>
    <row r="1470" spans="1:15">
      <c r="A1470" s="84">
        <v>373.03815359654834</v>
      </c>
      <c r="B1470" s="84">
        <v>374.65510089490982</v>
      </c>
      <c r="C1470" s="84">
        <v>367.10311582510593</v>
      </c>
      <c r="D1470" s="84">
        <v>370.33345874568221</v>
      </c>
      <c r="E1470" s="85">
        <v>9075248.8314678501</v>
      </c>
      <c r="F1470" s="83" t="s">
        <v>1475</v>
      </c>
      <c r="G1470" s="25">
        <f t="shared" si="45"/>
        <v>7.3034039647050797E-3</v>
      </c>
      <c r="I1470" s="84">
        <v>78.572627735627961</v>
      </c>
      <c r="J1470" s="84">
        <v>78.977526462002217</v>
      </c>
      <c r="K1470" s="84">
        <v>77.369068966014993</v>
      </c>
      <c r="L1470" s="84">
        <v>77.961866568958683</v>
      </c>
      <c r="M1470" s="85">
        <v>6123301.6833652277</v>
      </c>
      <c r="N1470" s="83" t="s">
        <v>1475</v>
      </c>
      <c r="O1470" s="25">
        <f t="shared" si="46"/>
        <v>7.8341013824887451E-3</v>
      </c>
    </row>
    <row r="1471" spans="1:15">
      <c r="A1471" s="84">
        <v>368.62659796171243</v>
      </c>
      <c r="B1471" s="84">
        <v>375.28131747866831</v>
      </c>
      <c r="C1471" s="84">
        <v>368.57051886465939</v>
      </c>
      <c r="D1471" s="84">
        <v>374.65510089490982</v>
      </c>
      <c r="E1471" s="85">
        <v>10176149.938018363</v>
      </c>
      <c r="F1471" s="83" t="s">
        <v>1476</v>
      </c>
      <c r="G1471" s="25">
        <f t="shared" si="45"/>
        <v>-1.6090807035050503E-2</v>
      </c>
      <c r="I1471" s="84">
        <v>77.207396892484894</v>
      </c>
      <c r="J1471" s="84">
        <v>78.59059129935352</v>
      </c>
      <c r="K1471" s="84">
        <v>77.117579073857058</v>
      </c>
      <c r="L1471" s="84">
        <v>78.581609517490733</v>
      </c>
      <c r="M1471" s="85">
        <v>6282626.4166822936</v>
      </c>
      <c r="N1471" s="83" t="s">
        <v>1476</v>
      </c>
      <c r="O1471" s="25">
        <f t="shared" si="46"/>
        <v>-1.7487712881472217E-2</v>
      </c>
    </row>
    <row r="1472" spans="1:15">
      <c r="A1472" s="84">
        <v>373.35593514651532</v>
      </c>
      <c r="B1472" s="84">
        <v>375.53367341540684</v>
      </c>
      <c r="C1472" s="84">
        <v>372.79514417598534</v>
      </c>
      <c r="D1472" s="84">
        <v>373.95411218174735</v>
      </c>
      <c r="E1472" s="85">
        <v>5054467.2595587457</v>
      </c>
      <c r="F1472" s="83" t="s">
        <v>1477</v>
      </c>
      <c r="G1472" s="25">
        <f t="shared" si="45"/>
        <v>-1.5996000999750626E-3</v>
      </c>
      <c r="I1472" s="84">
        <v>78.132520424351569</v>
      </c>
      <c r="J1472" s="84">
        <v>78.878008318962571</v>
      </c>
      <c r="K1472" s="84">
        <v>77.863066968468075</v>
      </c>
      <c r="L1472" s="84">
        <v>78.294192497881667</v>
      </c>
      <c r="M1472" s="85">
        <v>4022156.2438174486</v>
      </c>
      <c r="N1472" s="83" t="s">
        <v>1477</v>
      </c>
      <c r="O1472" s="25">
        <f t="shared" si="46"/>
        <v>-2.0649305953883701E-3</v>
      </c>
    </row>
    <row r="1473" spans="1:15">
      <c r="A1473" s="84">
        <v>372.76860005155572</v>
      </c>
      <c r="B1473" s="84">
        <v>378.10664193263591</v>
      </c>
      <c r="C1473" s="84">
        <v>372.01400774375907</v>
      </c>
      <c r="D1473" s="84">
        <v>377.80853139128413</v>
      </c>
      <c r="E1473" s="85">
        <v>8838932.2566447444</v>
      </c>
      <c r="F1473" s="83" t="s">
        <v>1478</v>
      </c>
      <c r="G1473" s="25">
        <f t="shared" si="45"/>
        <v>-1.3339908765873543E-2</v>
      </c>
      <c r="I1473" s="84">
        <v>77.997793696409829</v>
      </c>
      <c r="J1473" s="84">
        <v>78.797172282197536</v>
      </c>
      <c r="K1473" s="84">
        <v>77.665467767486845</v>
      </c>
      <c r="L1473" s="84">
        <v>78.231320024842177</v>
      </c>
      <c r="M1473" s="85">
        <v>6436831.898529835</v>
      </c>
      <c r="N1473" s="83" t="s">
        <v>1478</v>
      </c>
      <c r="O1473" s="25">
        <f t="shared" si="46"/>
        <v>-2.9850746268654804E-3</v>
      </c>
    </row>
    <row r="1474" spans="1:15">
      <c r="A1474" s="84">
        <v>380.37041885602594</v>
      </c>
      <c r="B1474" s="84">
        <v>381.55354506701576</v>
      </c>
      <c r="C1474" s="84">
        <v>379.70898609240163</v>
      </c>
      <c r="D1474" s="84">
        <v>380.48295558538621</v>
      </c>
      <c r="E1474" s="85">
        <v>3807017.3394532865</v>
      </c>
      <c r="F1474" s="83" t="s">
        <v>1479</v>
      </c>
      <c r="G1474" s="25">
        <f t="shared" si="45"/>
        <v>-2.9577337882880084E-4</v>
      </c>
      <c r="I1474" s="84">
        <v>78.446882789548994</v>
      </c>
      <c r="J1474" s="84">
        <v>79.46182414004349</v>
      </c>
      <c r="K1474" s="84">
        <v>78.348083189058372</v>
      </c>
      <c r="L1474" s="84">
        <v>78.797172282197536</v>
      </c>
      <c r="M1474" s="85">
        <v>4633984.7299634172</v>
      </c>
      <c r="N1474" s="83" t="s">
        <v>1479</v>
      </c>
      <c r="O1474" s="25">
        <f t="shared" si="46"/>
        <v>-4.4454576541661517E-3</v>
      </c>
    </row>
    <row r="1475" spans="1:15">
      <c r="A1475" s="84">
        <v>381.45106956842608</v>
      </c>
      <c r="B1475" s="84">
        <v>382.07523851438134</v>
      </c>
      <c r="C1475" s="84">
        <v>379.11276500969814</v>
      </c>
      <c r="D1475" s="84">
        <v>379.3177160068775</v>
      </c>
      <c r="E1475" s="85">
        <v>3668639.6765469532</v>
      </c>
      <c r="F1475" s="83" t="s">
        <v>1480</v>
      </c>
      <c r="G1475" s="25">
        <f t="shared" si="45"/>
        <v>5.624186457744873E-3</v>
      </c>
      <c r="I1475" s="84">
        <v>78.285210716018881</v>
      </c>
      <c r="J1475" s="84">
        <v>78.743281591020832</v>
      </c>
      <c r="K1475" s="84">
        <v>77.562177276064844</v>
      </c>
      <c r="L1475" s="84">
        <v>77.755285586114667</v>
      </c>
      <c r="M1475" s="85">
        <v>5194901.2693502717</v>
      </c>
      <c r="N1475" s="83" t="s">
        <v>1480</v>
      </c>
      <c r="O1475" s="25">
        <f t="shared" si="46"/>
        <v>6.81529398174896E-3</v>
      </c>
    </row>
    <row r="1476" spans="1:15">
      <c r="A1476" s="84">
        <v>380.81758466805354</v>
      </c>
      <c r="B1476" s="84">
        <v>382.252241648309</v>
      </c>
      <c r="C1476" s="84">
        <v>377.73400375594622</v>
      </c>
      <c r="D1476" s="84">
        <v>377.95758666196002</v>
      </c>
      <c r="E1476" s="85">
        <v>4398951.3220620211</v>
      </c>
      <c r="F1476" s="83" t="s">
        <v>1481</v>
      </c>
      <c r="G1476" s="25">
        <f t="shared" si="45"/>
        <v>7.5669813413521414E-3</v>
      </c>
      <c r="I1476" s="84">
        <v>77.916957659644765</v>
      </c>
      <c r="J1476" s="84">
        <v>78.141502206214355</v>
      </c>
      <c r="K1476" s="84">
        <v>76.803216708659647</v>
      </c>
      <c r="L1476" s="84">
        <v>76.866089181699124</v>
      </c>
      <c r="M1476" s="85">
        <v>6576421.1269428581</v>
      </c>
      <c r="N1476" s="83" t="s">
        <v>1481</v>
      </c>
      <c r="O1476" s="25">
        <f t="shared" si="46"/>
        <v>1.3671418555737391E-2</v>
      </c>
    </row>
    <row r="1477" spans="1:15">
      <c r="A1477" s="84">
        <v>376.27139891243905</v>
      </c>
      <c r="B1477" s="84">
        <v>378.08801002380142</v>
      </c>
      <c r="C1477" s="84">
        <v>373.81198694628694</v>
      </c>
      <c r="D1477" s="84">
        <v>374.65973879825606</v>
      </c>
      <c r="E1477" s="85">
        <v>6445687.3993348358</v>
      </c>
      <c r="F1477" s="83" t="s">
        <v>1482</v>
      </c>
      <c r="G1477" s="25">
        <f t="shared" si="45"/>
        <v>4.3016634756445349E-3</v>
      </c>
      <c r="I1477" s="84">
        <v>76.587653943952844</v>
      </c>
      <c r="J1477" s="84">
        <v>77.207396892484894</v>
      </c>
      <c r="K1477" s="84">
        <v>75.096678154730824</v>
      </c>
      <c r="L1477" s="84">
        <v>75.420022301791022</v>
      </c>
      <c r="M1477" s="85">
        <v>6940353.3677763129</v>
      </c>
      <c r="N1477" s="83" t="s">
        <v>1482</v>
      </c>
      <c r="O1477" s="25">
        <f t="shared" si="46"/>
        <v>1.5481719661784021E-2</v>
      </c>
    </row>
    <row r="1478" spans="1:15">
      <c r="A1478" s="84">
        <v>372.67544050738331</v>
      </c>
      <c r="B1478" s="84">
        <v>376.27139891243905</v>
      </c>
      <c r="C1478" s="84">
        <v>372.11648324234875</v>
      </c>
      <c r="D1478" s="84">
        <v>375.116220564701</v>
      </c>
      <c r="E1478" s="85">
        <v>6889389.6562232235</v>
      </c>
      <c r="F1478" s="83" t="s">
        <v>1483</v>
      </c>
      <c r="G1478" s="25">
        <f t="shared" si="45"/>
        <v>-6.5067302438783781E-3</v>
      </c>
      <c r="I1478" s="84">
        <v>74.64758906159166</v>
      </c>
      <c r="J1478" s="84">
        <v>75.581694375321135</v>
      </c>
      <c r="K1478" s="84">
        <v>74.252390659629199</v>
      </c>
      <c r="L1478" s="84">
        <v>75.159550627770315</v>
      </c>
      <c r="M1478" s="85">
        <v>6569166.441737242</v>
      </c>
      <c r="N1478" s="83" t="s">
        <v>1483</v>
      </c>
      <c r="O1478" s="25">
        <f t="shared" si="46"/>
        <v>-6.8116634799236797E-3</v>
      </c>
    </row>
    <row r="1479" spans="1:15">
      <c r="A1479" s="84">
        <v>373.03876272965579</v>
      </c>
      <c r="B1479" s="84">
        <v>375.09758865586645</v>
      </c>
      <c r="C1479" s="84">
        <v>368.51120888287574</v>
      </c>
      <c r="D1479" s="84">
        <v>373.67224763002832</v>
      </c>
      <c r="E1479" s="85">
        <v>11746232.870940348</v>
      </c>
      <c r="F1479" s="83" t="s">
        <v>1484</v>
      </c>
      <c r="G1479" s="25">
        <f t="shared" si="45"/>
        <v>-1.6952955548353854E-3</v>
      </c>
      <c r="I1479" s="84">
        <v>74.952969644926299</v>
      </c>
      <c r="J1479" s="84">
        <v>75.087696372868038</v>
      </c>
      <c r="K1479" s="84">
        <v>73.219485745409131</v>
      </c>
      <c r="L1479" s="84">
        <v>73.560793456194901</v>
      </c>
      <c r="M1479" s="85">
        <v>9148652.378263941</v>
      </c>
      <c r="N1479" s="83" t="s">
        <v>1484</v>
      </c>
      <c r="O1479" s="25">
        <f t="shared" si="46"/>
        <v>1.8925518925518858E-2</v>
      </c>
    </row>
    <row r="1480" spans="1:15">
      <c r="A1480" s="84">
        <v>379.23387241712226</v>
      </c>
      <c r="B1480" s="84">
        <v>382.68077555150211</v>
      </c>
      <c r="C1480" s="84">
        <v>378.94507783018776</v>
      </c>
      <c r="D1480" s="84">
        <v>382.28018951156071</v>
      </c>
      <c r="E1480" s="85">
        <v>5792315.8039635653</v>
      </c>
      <c r="F1480" s="83" t="s">
        <v>1485</v>
      </c>
      <c r="G1480" s="25">
        <f t="shared" si="45"/>
        <v>-7.9688071158767748E-3</v>
      </c>
      <c r="I1480" s="84">
        <v>74.899078953749594</v>
      </c>
      <c r="J1480" s="84">
        <v>75.455949429242168</v>
      </c>
      <c r="K1480" s="84">
        <v>73.982937203745706</v>
      </c>
      <c r="L1480" s="84">
        <v>75.078714591005266</v>
      </c>
      <c r="M1480" s="85">
        <v>25752083.888655618</v>
      </c>
      <c r="N1480" s="83" t="s">
        <v>1485</v>
      </c>
      <c r="O1480" s="25">
        <f t="shared" si="46"/>
        <v>-2.3926306974518807E-3</v>
      </c>
    </row>
    <row r="1481" spans="1:15">
      <c r="A1481" s="84">
        <v>382.98820204727116</v>
      </c>
      <c r="B1481" s="84">
        <v>383.99432512433339</v>
      </c>
      <c r="C1481" s="84">
        <v>380.30520717510524</v>
      </c>
      <c r="D1481" s="84">
        <v>383.13725731794705</v>
      </c>
      <c r="E1481" s="85">
        <v>3597590.595545128</v>
      </c>
      <c r="F1481" s="83" t="s">
        <v>1486</v>
      </c>
      <c r="G1481" s="25">
        <f t="shared" si="45"/>
        <v>-3.8903883093832636E-4</v>
      </c>
      <c r="I1481" s="84">
        <v>75.46493121110494</v>
      </c>
      <c r="J1481" s="84">
        <v>76.461908997873877</v>
      </c>
      <c r="K1481" s="84">
        <v>75.339186265025972</v>
      </c>
      <c r="L1481" s="84">
        <v>76.291255142481006</v>
      </c>
      <c r="M1481" s="85">
        <v>6577179.328389301</v>
      </c>
      <c r="N1481" s="83" t="s">
        <v>1486</v>
      </c>
      <c r="O1481" s="25">
        <f t="shared" si="46"/>
        <v>-1.083117494702146E-2</v>
      </c>
    </row>
    <row r="1482" spans="1:15">
      <c r="A1482" s="84">
        <v>383.64963481089541</v>
      </c>
      <c r="B1482" s="84">
        <v>384.05748729528227</v>
      </c>
      <c r="C1482" s="84">
        <v>379.81146159099131</v>
      </c>
      <c r="D1482" s="84">
        <v>380.82690062247082</v>
      </c>
      <c r="E1482" s="85">
        <v>4177120.0520232804</v>
      </c>
      <c r="F1482" s="83" t="s">
        <v>1487</v>
      </c>
      <c r="G1482" s="25">
        <f t="shared" si="45"/>
        <v>7.412118691748848E-3</v>
      </c>
      <c r="I1482" s="84">
        <v>76.22838266944153</v>
      </c>
      <c r="J1482" s="84">
        <v>76.399036524834401</v>
      </c>
      <c r="K1482" s="84">
        <v>74.396099169433739</v>
      </c>
      <c r="L1482" s="84">
        <v>74.71046153463115</v>
      </c>
      <c r="M1482" s="85">
        <v>6316893.559294085</v>
      </c>
      <c r="N1482" s="83" t="s">
        <v>1487</v>
      </c>
      <c r="O1482" s="25">
        <f t="shared" si="46"/>
        <v>2.0317383986535376E-2</v>
      </c>
    </row>
    <row r="1483" spans="1:15">
      <c r="A1483" s="84">
        <v>380.47289435461562</v>
      </c>
      <c r="B1483" s="84">
        <v>383.98500916991617</v>
      </c>
      <c r="C1483" s="84">
        <v>379.61582654822928</v>
      </c>
      <c r="D1483" s="84">
        <v>383.83595389924022</v>
      </c>
      <c r="E1483" s="85">
        <v>3926239.6918023131</v>
      </c>
      <c r="F1483" s="83" t="s">
        <v>1488</v>
      </c>
      <c r="G1483" s="25">
        <f t="shared" si="45"/>
        <v>-8.7617105965728248E-3</v>
      </c>
      <c r="I1483" s="84">
        <v>74.315263132668676</v>
      </c>
      <c r="J1483" s="84">
        <v>75.303259137574841</v>
      </c>
      <c r="K1483" s="84">
        <v>73.884137603255098</v>
      </c>
      <c r="L1483" s="84">
        <v>75.26733201012371</v>
      </c>
      <c r="M1483" s="85">
        <v>5849206.8503342764</v>
      </c>
      <c r="N1483" s="83" t="s">
        <v>1488</v>
      </c>
      <c r="O1483" s="25">
        <f t="shared" si="46"/>
        <v>-1.2649164677804414E-2</v>
      </c>
    </row>
    <row r="1484" spans="1:15">
      <c r="A1484" s="84">
        <v>382.45719264548836</v>
      </c>
      <c r="B1484" s="84">
        <v>384.47875475402998</v>
      </c>
      <c r="C1484" s="84">
        <v>380.37973481044315</v>
      </c>
      <c r="D1484" s="84">
        <v>384.30175162010238</v>
      </c>
      <c r="E1484" s="85">
        <v>5086263.615920906</v>
      </c>
      <c r="F1484" s="83" t="s">
        <v>1489</v>
      </c>
      <c r="G1484" s="25">
        <f t="shared" si="45"/>
        <v>-4.7997672840103256E-3</v>
      </c>
      <c r="I1484" s="84">
        <v>75.123623500319184</v>
      </c>
      <c r="J1484" s="84">
        <v>75.653548630223398</v>
      </c>
      <c r="K1484" s="84">
        <v>74.333226696394263</v>
      </c>
      <c r="L1484" s="84">
        <v>75.249368446398151</v>
      </c>
      <c r="M1484" s="85">
        <v>5308482.2954300875</v>
      </c>
      <c r="N1484" s="83" t="s">
        <v>1489</v>
      </c>
      <c r="O1484" s="25">
        <f t="shared" si="46"/>
        <v>-1.6710432084029447E-3</v>
      </c>
    </row>
    <row r="1485" spans="1:15">
      <c r="A1485" s="84">
        <v>381.56286102143298</v>
      </c>
      <c r="B1485" s="84">
        <v>386.70526785975107</v>
      </c>
      <c r="C1485" s="84">
        <v>381.40914777354851</v>
      </c>
      <c r="D1485" s="84">
        <v>386.32331372864411</v>
      </c>
      <c r="E1485" s="85">
        <v>4331825.617921331</v>
      </c>
      <c r="F1485" s="83" t="s">
        <v>1490</v>
      </c>
      <c r="G1485" s="25">
        <f t="shared" si="45"/>
        <v>-1.2322457739516346E-2</v>
      </c>
      <c r="I1485" s="84">
        <v>74.548789461101052</v>
      </c>
      <c r="J1485" s="84">
        <v>75.8601296130674</v>
      </c>
      <c r="K1485" s="84">
        <v>74.36915382384538</v>
      </c>
      <c r="L1485" s="84">
        <v>75.60863972090948</v>
      </c>
      <c r="M1485" s="85">
        <v>4335055.1811257657</v>
      </c>
      <c r="N1485" s="83" t="s">
        <v>1490</v>
      </c>
      <c r="O1485" s="25">
        <f t="shared" si="46"/>
        <v>-1.4017581373247823E-2</v>
      </c>
    </row>
    <row r="1486" spans="1:15">
      <c r="A1486" s="84">
        <v>384.53465048053346</v>
      </c>
      <c r="B1486" s="84">
        <v>387.60891543822362</v>
      </c>
      <c r="C1486" s="84">
        <v>384.34833139218864</v>
      </c>
      <c r="D1486" s="84">
        <v>385.99725532404057</v>
      </c>
      <c r="E1486" s="85">
        <v>4173301.8710396807</v>
      </c>
      <c r="F1486" s="83" t="s">
        <v>1491</v>
      </c>
      <c r="G1486" s="25">
        <f t="shared" si="45"/>
        <v>-3.7891586619683837E-3</v>
      </c>
      <c r="I1486" s="84">
        <v>75.141587064044742</v>
      </c>
      <c r="J1486" s="84">
        <v>75.761330012576792</v>
      </c>
      <c r="K1486" s="84">
        <v>74.306281350805904</v>
      </c>
      <c r="L1486" s="84">
        <v>74.485916988061575</v>
      </c>
      <c r="M1486" s="85">
        <v>5033753.957813195</v>
      </c>
      <c r="N1486" s="83" t="s">
        <v>1491</v>
      </c>
      <c r="O1486" s="25">
        <f t="shared" si="46"/>
        <v>8.8026046062943397E-3</v>
      </c>
    </row>
    <row r="1487" spans="1:15">
      <c r="A1487" s="84">
        <v>386.26741800214063</v>
      </c>
      <c r="B1487" s="84">
        <v>386.85432313042696</v>
      </c>
      <c r="C1487" s="84">
        <v>384.44437888223035</v>
      </c>
      <c r="D1487" s="84">
        <v>386.17425845796822</v>
      </c>
      <c r="E1487" s="85">
        <v>4307238.765115777</v>
      </c>
      <c r="F1487" s="83" t="s">
        <v>1492</v>
      </c>
      <c r="G1487" s="25">
        <f t="shared" si="45"/>
        <v>2.4123706366241393E-4</v>
      </c>
      <c r="I1487" s="84">
        <v>74.432026296884871</v>
      </c>
      <c r="J1487" s="84">
        <v>74.979914990514644</v>
      </c>
      <c r="K1487" s="84">
        <v>73.830246912078394</v>
      </c>
      <c r="L1487" s="84">
        <v>74.396099169433739</v>
      </c>
      <c r="M1487" s="85">
        <v>4354879.7552158814</v>
      </c>
      <c r="N1487" s="83" t="s">
        <v>1492</v>
      </c>
      <c r="O1487" s="25">
        <f t="shared" si="46"/>
        <v>4.8291681757817173E-4</v>
      </c>
    </row>
    <row r="1488" spans="1:15">
      <c r="A1488" s="84">
        <v>386.64005617883032</v>
      </c>
      <c r="B1488" s="84">
        <v>387.81386643540299</v>
      </c>
      <c r="C1488" s="84">
        <v>386.0717829593786</v>
      </c>
      <c r="D1488" s="84">
        <v>387.79523452656849</v>
      </c>
      <c r="E1488" s="85">
        <v>3802606.6265880596</v>
      </c>
      <c r="F1488" s="83" t="s">
        <v>1493</v>
      </c>
      <c r="G1488" s="25">
        <f t="shared" si="45"/>
        <v>-2.9788358517309765E-3</v>
      </c>
      <c r="I1488" s="84">
        <v>74.548789461101052</v>
      </c>
      <c r="J1488" s="84">
        <v>75.13260528218197</v>
      </c>
      <c r="K1488" s="84">
        <v>73.97395542188292</v>
      </c>
      <c r="L1488" s="84">
        <v>74.872133608161249</v>
      </c>
      <c r="M1488" s="85">
        <v>6347896.3162363153</v>
      </c>
      <c r="N1488" s="83" t="s">
        <v>1493</v>
      </c>
      <c r="O1488" s="25">
        <f t="shared" si="46"/>
        <v>-4.3186180422264409E-3</v>
      </c>
    </row>
    <row r="1489" spans="1:15">
      <c r="A1489" s="84">
        <v>388.07471315908577</v>
      </c>
      <c r="B1489" s="84">
        <v>388.53054280872146</v>
      </c>
      <c r="C1489" s="84">
        <v>386.76116358625455</v>
      </c>
      <c r="D1489" s="84">
        <v>387.15243367177874</v>
      </c>
      <c r="E1489" s="85">
        <v>4018910.8193469141</v>
      </c>
      <c r="F1489" s="83" t="s">
        <v>1494</v>
      </c>
      <c r="G1489" s="25">
        <f t="shared" si="45"/>
        <v>2.3822128110111418E-3</v>
      </c>
      <c r="I1489" s="84">
        <v>75.13260528218197</v>
      </c>
      <c r="J1489" s="84">
        <v>76.012819904734712</v>
      </c>
      <c r="K1489" s="84">
        <v>74.997878554240216</v>
      </c>
      <c r="L1489" s="84">
        <v>75.788275358165137</v>
      </c>
      <c r="M1489" s="85">
        <v>3674897.7546167891</v>
      </c>
      <c r="N1489" s="83" t="s">
        <v>1494</v>
      </c>
      <c r="O1489" s="25">
        <f t="shared" si="46"/>
        <v>-8.6513391799003525E-3</v>
      </c>
    </row>
    <row r="1490" spans="1:15">
      <c r="A1490" s="84">
        <v>388.22376842976166</v>
      </c>
      <c r="B1490" s="84">
        <v>388.88520119338591</v>
      </c>
      <c r="C1490" s="84">
        <v>387.07324805923218</v>
      </c>
      <c r="D1490" s="84">
        <v>388.28898011068236</v>
      </c>
      <c r="E1490" s="85">
        <v>3045230.658008751</v>
      </c>
      <c r="F1490" s="83" t="s">
        <v>1495</v>
      </c>
      <c r="G1490" s="25">
        <f t="shared" si="45"/>
        <v>-1.6794625719773748E-4</v>
      </c>
      <c r="I1490" s="84">
        <v>75.931983867969677</v>
      </c>
      <c r="J1490" s="84">
        <v>76.300236924343793</v>
      </c>
      <c r="K1490" s="84">
        <v>75.563820629414181</v>
      </c>
      <c r="L1490" s="84">
        <v>75.626603284635038</v>
      </c>
      <c r="M1490" s="85">
        <v>3865180.7102830485</v>
      </c>
      <c r="N1490" s="83" t="s">
        <v>1495</v>
      </c>
      <c r="O1490" s="25">
        <f t="shared" si="46"/>
        <v>4.0380047505939043E-3</v>
      </c>
    </row>
    <row r="1491" spans="1:15">
      <c r="A1491" s="84">
        <v>387.06859008202355</v>
      </c>
      <c r="B1491" s="84">
        <v>388.09334506792021</v>
      </c>
      <c r="C1491" s="84">
        <v>386.76116358625455</v>
      </c>
      <c r="D1491" s="84">
        <v>387.59028352938913</v>
      </c>
      <c r="E1491" s="85">
        <v>3495476.5278507578</v>
      </c>
      <c r="F1491" s="83" t="s">
        <v>1496</v>
      </c>
      <c r="G1491" s="25">
        <f t="shared" si="45"/>
        <v>-1.345992068260915E-3</v>
      </c>
      <c r="I1491" s="84">
        <v>75.536785466007203</v>
      </c>
      <c r="J1491" s="84">
        <v>76.470890779736663</v>
      </c>
      <c r="K1491" s="84">
        <v>75.375113392477118</v>
      </c>
      <c r="L1491" s="84">
        <v>76.470890779736663</v>
      </c>
      <c r="M1491" s="85">
        <v>4575131.1519011026</v>
      </c>
      <c r="N1491" s="83" t="s">
        <v>1496</v>
      </c>
      <c r="O1491" s="25">
        <f t="shared" si="46"/>
        <v>-1.2215175005872658E-2</v>
      </c>
    </row>
    <row r="1492" spans="1:15">
      <c r="A1492" s="84">
        <v>386.65868808766487</v>
      </c>
      <c r="B1492" s="84">
        <v>387.56233566613741</v>
      </c>
      <c r="C1492" s="84">
        <v>386.22083823005443</v>
      </c>
      <c r="D1492" s="84">
        <v>387.22696130711671</v>
      </c>
      <c r="E1492" s="85">
        <v>6508099.6841055555</v>
      </c>
      <c r="F1492" s="83" t="s">
        <v>1497</v>
      </c>
      <c r="G1492" s="25">
        <f t="shared" si="45"/>
        <v>-1.4675455901458356E-3</v>
      </c>
      <c r="I1492" s="84">
        <v>76.129583068950907</v>
      </c>
      <c r="J1492" s="84">
        <v>76.722380671894598</v>
      </c>
      <c r="K1492" s="84">
        <v>75.752348230714006</v>
      </c>
      <c r="L1492" s="84">
        <v>76.030783468460299</v>
      </c>
      <c r="M1492" s="85">
        <v>4419579.6119790385</v>
      </c>
      <c r="N1492" s="83" t="s">
        <v>1497</v>
      </c>
      <c r="O1492" s="25">
        <f t="shared" si="46"/>
        <v>1.2994683992910705E-3</v>
      </c>
    </row>
    <row r="1493" spans="1:15">
      <c r="A1493" s="84">
        <v>387.32012085128906</v>
      </c>
      <c r="B1493" s="84">
        <v>388.0653972046685</v>
      </c>
      <c r="C1493" s="84">
        <v>386.04383509612683</v>
      </c>
      <c r="D1493" s="84">
        <v>386.2953658653924</v>
      </c>
      <c r="E1493" s="85">
        <v>3018246.8419936444</v>
      </c>
      <c r="F1493" s="83" t="s">
        <v>1498</v>
      </c>
      <c r="G1493" s="25">
        <f t="shared" si="45"/>
        <v>2.6527757680989694E-3</v>
      </c>
      <c r="I1493" s="84">
        <v>76.165510196402039</v>
      </c>
      <c r="J1493" s="84">
        <v>76.812198490522434</v>
      </c>
      <c r="K1493" s="84">
        <v>76.075692377774203</v>
      </c>
      <c r="L1493" s="84">
        <v>76.785253144934074</v>
      </c>
      <c r="M1493" s="85">
        <v>3269733.160820662</v>
      </c>
      <c r="N1493" s="83" t="s">
        <v>1498</v>
      </c>
      <c r="O1493" s="25">
        <f t="shared" si="46"/>
        <v>-8.0711194291729349E-3</v>
      </c>
    </row>
    <row r="1494" spans="1:15">
      <c r="A1494" s="84">
        <v>385.55008951201296</v>
      </c>
      <c r="B1494" s="84">
        <v>385.98793936962335</v>
      </c>
      <c r="C1494" s="84">
        <v>382.90435845751597</v>
      </c>
      <c r="D1494" s="84">
        <v>382.96957013843667</v>
      </c>
      <c r="E1494" s="85">
        <v>4167259.5486453362</v>
      </c>
      <c r="F1494" s="83" t="s">
        <v>1499</v>
      </c>
      <c r="G1494" s="25">
        <f t="shared" si="45"/>
        <v>6.7381838526843207E-3</v>
      </c>
      <c r="I1494" s="84">
        <v>76.704417108169039</v>
      </c>
      <c r="J1494" s="84">
        <v>77.369068966014993</v>
      </c>
      <c r="K1494" s="84">
        <v>76.47987256159945</v>
      </c>
      <c r="L1494" s="84">
        <v>76.506817907187809</v>
      </c>
      <c r="M1494" s="85">
        <v>3997412.8239264726</v>
      </c>
      <c r="N1494" s="83" t="s">
        <v>1499</v>
      </c>
      <c r="O1494" s="25">
        <f t="shared" si="46"/>
        <v>2.5827659074899589E-3</v>
      </c>
    </row>
    <row r="1495" spans="1:15">
      <c r="A1495" s="84">
        <v>382.15908210413659</v>
      </c>
      <c r="B1495" s="84">
        <v>384.43217498194383</v>
      </c>
      <c r="C1495" s="84">
        <v>382.14045019530204</v>
      </c>
      <c r="D1495" s="84">
        <v>384.19927612151275</v>
      </c>
      <c r="E1495" s="85">
        <v>5053224.596383593</v>
      </c>
      <c r="F1495" s="83" t="s">
        <v>1500</v>
      </c>
      <c r="G1495" s="25">
        <f t="shared" si="45"/>
        <v>-5.3102495089837332E-3</v>
      </c>
      <c r="I1495" s="84">
        <v>76.129583068950907</v>
      </c>
      <c r="J1495" s="84">
        <v>77.063688382680354</v>
      </c>
      <c r="K1495" s="84">
        <v>75.909529413312711</v>
      </c>
      <c r="L1495" s="84">
        <v>76.937943436601401</v>
      </c>
      <c r="M1495" s="85">
        <v>2890285.0677733547</v>
      </c>
      <c r="N1495" s="83" t="s">
        <v>1500</v>
      </c>
      <c r="O1495" s="25">
        <f t="shared" si="46"/>
        <v>-1.050665421433572E-2</v>
      </c>
    </row>
    <row r="1496" spans="1:15">
      <c r="A1496" s="84">
        <v>384.40422711869206</v>
      </c>
      <c r="B1496" s="84">
        <v>384.94455247489213</v>
      </c>
      <c r="C1496" s="84">
        <v>383.50989549463679</v>
      </c>
      <c r="D1496" s="84">
        <v>383.87321771690927</v>
      </c>
      <c r="E1496" s="85">
        <v>3500888.748407213</v>
      </c>
      <c r="F1496" s="83" t="s">
        <v>1501</v>
      </c>
      <c r="G1496" s="25">
        <f t="shared" si="45"/>
        <v>1.3832936950928243E-3</v>
      </c>
      <c r="I1496" s="84">
        <v>77.000815909640878</v>
      </c>
      <c r="J1496" s="84">
        <v>77.638522421898486</v>
      </c>
      <c r="K1496" s="84">
        <v>76.345145833657696</v>
      </c>
      <c r="L1496" s="84">
        <v>76.90201630915027</v>
      </c>
      <c r="M1496" s="85">
        <v>3557369.8502291301</v>
      </c>
      <c r="N1496" s="83" t="s">
        <v>1501</v>
      </c>
      <c r="O1496" s="25">
        <f t="shared" si="46"/>
        <v>1.2847465545431369E-3</v>
      </c>
    </row>
    <row r="1497" spans="1:15">
      <c r="A1497" s="84">
        <v>383.69621458298161</v>
      </c>
      <c r="B1497" s="84">
        <v>384.15269634942655</v>
      </c>
      <c r="C1497" s="84">
        <v>383.21178495328502</v>
      </c>
      <c r="D1497" s="84">
        <v>383.72416244623332</v>
      </c>
      <c r="E1497" s="85">
        <v>3227245.2884004097</v>
      </c>
      <c r="F1497" s="83" t="s">
        <v>1502</v>
      </c>
      <c r="G1497" s="25">
        <f t="shared" si="45"/>
        <v>-7.2833211944622889E-5</v>
      </c>
      <c r="I1497" s="84">
        <v>76.731362453757384</v>
      </c>
      <c r="J1497" s="84">
        <v>77.315178274838289</v>
      </c>
      <c r="K1497" s="84">
        <v>76.345145833657696</v>
      </c>
      <c r="L1497" s="84">
        <v>76.443945434148318</v>
      </c>
      <c r="M1497" s="85">
        <v>5290511.4737751083</v>
      </c>
      <c r="N1497" s="83" t="s">
        <v>1502</v>
      </c>
      <c r="O1497" s="25">
        <f t="shared" si="46"/>
        <v>3.7598402067913206E-3</v>
      </c>
    </row>
    <row r="1498" spans="1:15">
      <c r="A1498" s="84">
        <v>383.09067754586084</v>
      </c>
      <c r="B1498" s="84">
        <v>383.8918496257437</v>
      </c>
      <c r="C1498" s="84">
        <v>381.23680261682955</v>
      </c>
      <c r="D1498" s="84">
        <v>381.25543452566399</v>
      </c>
      <c r="E1498" s="85">
        <v>3498726.8657811321</v>
      </c>
      <c r="F1498" s="83" t="s">
        <v>1503</v>
      </c>
      <c r="G1498" s="25">
        <f t="shared" si="45"/>
        <v>4.8136835675016698E-3</v>
      </c>
      <c r="I1498" s="84">
        <v>76.309218706206565</v>
      </c>
      <c r="J1498" s="84">
        <v>76.861598290767745</v>
      </c>
      <c r="K1498" s="84">
        <v>75.905038522381332</v>
      </c>
      <c r="L1498" s="84">
        <v>75.967910995420809</v>
      </c>
      <c r="M1498" s="85">
        <v>3749449.7767244047</v>
      </c>
      <c r="N1498" s="83" t="s">
        <v>1503</v>
      </c>
      <c r="O1498" s="25">
        <f t="shared" si="46"/>
        <v>4.4927878931189102E-3</v>
      </c>
    </row>
    <row r="1499" spans="1:15">
      <c r="A1499" s="84">
        <v>379.72761800123618</v>
      </c>
      <c r="B1499" s="84">
        <v>380.01641258817074</v>
      </c>
      <c r="C1499" s="84">
        <v>376.60677327145982</v>
      </c>
      <c r="D1499" s="84">
        <v>376.998043356984</v>
      </c>
      <c r="E1499" s="85">
        <v>3503206.2779949536</v>
      </c>
      <c r="F1499" s="83" t="s">
        <v>1504</v>
      </c>
      <c r="G1499" s="25">
        <f t="shared" si="45"/>
        <v>7.2402886231097696E-3</v>
      </c>
      <c r="I1499" s="84">
        <v>75.491876556693285</v>
      </c>
      <c r="J1499" s="84">
        <v>75.878093176792973</v>
      </c>
      <c r="K1499" s="84">
        <v>74.548789461101052</v>
      </c>
      <c r="L1499" s="84">
        <v>74.809261135121773</v>
      </c>
      <c r="M1499" s="85">
        <v>5012816.0188971721</v>
      </c>
      <c r="N1499" s="83" t="s">
        <v>1504</v>
      </c>
      <c r="O1499" s="25">
        <f t="shared" si="46"/>
        <v>9.1247448673308362E-3</v>
      </c>
    </row>
    <row r="1500" spans="1:15">
      <c r="A1500" s="84">
        <v>376.74651258771848</v>
      </c>
      <c r="B1500" s="84">
        <v>377.80853139128413</v>
      </c>
      <c r="C1500" s="84">
        <v>373.50549204595967</v>
      </c>
      <c r="D1500" s="84">
        <v>373.65361572119377</v>
      </c>
      <c r="E1500" s="85">
        <v>5909987.0538326083</v>
      </c>
      <c r="F1500" s="83" t="s">
        <v>1505</v>
      </c>
      <c r="G1500" s="25">
        <f t="shared" si="45"/>
        <v>8.2774439651951415E-3</v>
      </c>
      <c r="I1500" s="84">
        <v>74.863151826298463</v>
      </c>
      <c r="J1500" s="84">
        <v>76.20143732385317</v>
      </c>
      <c r="K1500" s="84">
        <v>74.517353224581313</v>
      </c>
      <c r="L1500" s="84">
        <v>75.743366448851219</v>
      </c>
      <c r="M1500" s="85">
        <v>6353946.3407002985</v>
      </c>
      <c r="N1500" s="83" t="s">
        <v>1505</v>
      </c>
      <c r="O1500" s="25">
        <f t="shared" si="46"/>
        <v>-1.1621012688248555E-2</v>
      </c>
    </row>
    <row r="1501" spans="1:15">
      <c r="A1501" s="84">
        <v>376.21550318593557</v>
      </c>
      <c r="B1501" s="84">
        <v>380.78963680480183</v>
      </c>
      <c r="C1501" s="84">
        <v>375.93602455341835</v>
      </c>
      <c r="D1501" s="84">
        <v>379.36429577896371</v>
      </c>
      <c r="E1501" s="85">
        <v>5236475.8150499519</v>
      </c>
      <c r="F1501" s="83" t="s">
        <v>1506</v>
      </c>
      <c r="G1501" s="25">
        <f t="shared" si="45"/>
        <v>-8.3001817199549466E-3</v>
      </c>
      <c r="I1501" s="84">
        <v>76.318200504060528</v>
      </c>
      <c r="J1501" s="84">
        <v>77.603860409603897</v>
      </c>
      <c r="K1501" s="84">
        <v>76.255703147541041</v>
      </c>
      <c r="L1501" s="84">
        <v>76.827107550004769</v>
      </c>
      <c r="M1501" s="85">
        <v>4767490.6042974833</v>
      </c>
      <c r="N1501" s="83" t="s">
        <v>1506</v>
      </c>
      <c r="O1501" s="25">
        <f t="shared" si="46"/>
        <v>-6.6240557815222534E-3</v>
      </c>
    </row>
    <row r="1502" spans="1:15">
      <c r="A1502" s="84">
        <v>380.30520717510524</v>
      </c>
      <c r="B1502" s="84">
        <v>381.06911543731917</v>
      </c>
      <c r="C1502" s="84">
        <v>377.58494848527033</v>
      </c>
      <c r="D1502" s="84">
        <v>380.47289435461562</v>
      </c>
      <c r="E1502" s="85">
        <v>5567063.5210502865</v>
      </c>
      <c r="F1502" s="83" t="s">
        <v>1507</v>
      </c>
      <c r="G1502" s="25">
        <f t="shared" si="45"/>
        <v>-4.4073357655294298E-4</v>
      </c>
      <c r="I1502" s="84">
        <v>77.327086402160518</v>
      </c>
      <c r="J1502" s="84">
        <v>77.822601157422042</v>
      </c>
      <c r="K1502" s="84">
        <v>76.469979798464948</v>
      </c>
      <c r="L1502" s="84">
        <v>77.139594332602115</v>
      </c>
      <c r="M1502" s="85">
        <v>4479673.1508601308</v>
      </c>
      <c r="N1502" s="83" t="s">
        <v>1507</v>
      </c>
      <c r="O1502" s="25">
        <f t="shared" si="46"/>
        <v>2.4305555555554914E-3</v>
      </c>
    </row>
    <row r="1503" spans="1:15">
      <c r="A1503" s="84">
        <v>382.82983082217805</v>
      </c>
      <c r="B1503" s="84">
        <v>382.89504250309875</v>
      </c>
      <c r="C1503" s="84">
        <v>379.29908409804295</v>
      </c>
      <c r="D1503" s="84">
        <v>380.75237298713284</v>
      </c>
      <c r="E1503" s="85">
        <v>3633721.0857691895</v>
      </c>
      <c r="F1503" s="83" t="s">
        <v>1508</v>
      </c>
      <c r="G1503" s="25">
        <f t="shared" si="45"/>
        <v>5.4561914315776061E-3</v>
      </c>
      <c r="I1503" s="84">
        <v>77.800280672950791</v>
      </c>
      <c r="J1503" s="84">
        <v>77.907418998412737</v>
      </c>
      <c r="K1503" s="84">
        <v>76.398375684281206</v>
      </c>
      <c r="L1503" s="84">
        <v>77.425296533833972</v>
      </c>
      <c r="M1503" s="85">
        <v>4364097.7025169702</v>
      </c>
      <c r="N1503" s="83" t="s">
        <v>1508</v>
      </c>
      <c r="O1503" s="25">
        <f t="shared" si="46"/>
        <v>4.8431734317344599E-3</v>
      </c>
    </row>
    <row r="1504" spans="1:15">
      <c r="A1504" s="84">
        <v>381.91686728928823</v>
      </c>
      <c r="B1504" s="84">
        <v>381.91686728928823</v>
      </c>
      <c r="C1504" s="84">
        <v>381.19022284474329</v>
      </c>
      <c r="D1504" s="84">
        <v>381.61875674793646</v>
      </c>
      <c r="E1504" s="85">
        <v>2419274.3964359458</v>
      </c>
      <c r="F1504" s="83" t="s">
        <v>1509</v>
      </c>
      <c r="G1504" s="25">
        <f t="shared" si="45"/>
        <v>7.8117371350461262E-4</v>
      </c>
      <c r="I1504" s="84">
        <v>77.898490804624245</v>
      </c>
      <c r="J1504" s="84">
        <v>78.689082364595521</v>
      </c>
      <c r="K1504" s="84">
        <v>77.80036995488868</v>
      </c>
      <c r="L1504" s="84">
        <v>78.657387276646361</v>
      </c>
      <c r="M1504" s="85">
        <v>3417629.6709999423</v>
      </c>
      <c r="N1504" s="83" t="s">
        <v>1509</v>
      </c>
      <c r="O1504" s="25">
        <f t="shared" si="46"/>
        <v>-9.6481271282632397E-3</v>
      </c>
    </row>
    <row r="1505" spans="1:15">
      <c r="A1505" s="84">
        <v>381.16227498149152</v>
      </c>
      <c r="B1505" s="84">
        <v>381.3299621610019</v>
      </c>
      <c r="C1505" s="84">
        <v>379.13139691853263</v>
      </c>
      <c r="D1505" s="84">
        <v>379.92325304399827</v>
      </c>
      <c r="E1505" s="85">
        <v>2490837.6491249073</v>
      </c>
      <c r="F1505" s="83" t="s">
        <v>1510</v>
      </c>
      <c r="G1505" s="25">
        <f t="shared" si="45"/>
        <v>3.2612427051148529E-3</v>
      </c>
      <c r="I1505" s="84">
        <v>78.550248951184429</v>
      </c>
      <c r="J1505" s="84">
        <v>79.152902031907885</v>
      </c>
      <c r="K1505" s="84">
        <v>78.010093226980445</v>
      </c>
      <c r="L1505" s="84">
        <v>78.925233090301248</v>
      </c>
      <c r="M1505" s="85">
        <v>3154822.8754055826</v>
      </c>
      <c r="N1505" s="83" t="s">
        <v>1510</v>
      </c>
      <c r="O1505" s="25">
        <f t="shared" si="46"/>
        <v>-4.7511312217195512E-3</v>
      </c>
    </row>
    <row r="1506" spans="1:15">
      <c r="A1506" s="84">
        <v>380.05367640583967</v>
      </c>
      <c r="B1506" s="84">
        <v>380.15615190442935</v>
      </c>
      <c r="C1506" s="84">
        <v>379.07550119202921</v>
      </c>
      <c r="D1506" s="84">
        <v>380.09094022350865</v>
      </c>
      <c r="E1506" s="85">
        <v>3815422.2753828866</v>
      </c>
      <c r="F1506" s="83" t="s">
        <v>1511</v>
      </c>
      <c r="G1506" s="25">
        <f t="shared" ref="G1506:G1569" si="47">A1506/D1506-1</f>
        <v>-9.8039215686296366E-5</v>
      </c>
      <c r="I1506" s="84">
        <v>79.121653353648142</v>
      </c>
      <c r="J1506" s="84">
        <v>79.157366128802124</v>
      </c>
      <c r="K1506" s="84">
        <v>78.059198292817172</v>
      </c>
      <c r="L1506" s="84">
        <v>78.398469656779994</v>
      </c>
      <c r="M1506" s="85">
        <v>4171953.5756488349</v>
      </c>
      <c r="N1506" s="83" t="s">
        <v>1511</v>
      </c>
      <c r="O1506" s="25">
        <f t="shared" ref="O1506:O1569" si="48">I1506/L1506-1</f>
        <v>9.2244619063888145E-3</v>
      </c>
    </row>
    <row r="1507" spans="1:15">
      <c r="A1507" s="84">
        <v>379.1407128729499</v>
      </c>
      <c r="B1507" s="84">
        <v>379.78351372773966</v>
      </c>
      <c r="C1507" s="84">
        <v>378.44201629165667</v>
      </c>
      <c r="D1507" s="84">
        <v>379.07550119202921</v>
      </c>
      <c r="E1507" s="85">
        <v>2577009.174236082</v>
      </c>
      <c r="F1507" s="83" t="s">
        <v>1512</v>
      </c>
      <c r="G1507" s="25">
        <f t="shared" si="47"/>
        <v>1.7202821262696233E-4</v>
      </c>
      <c r="I1507" s="84">
        <v>78.255618556164066</v>
      </c>
      <c r="J1507" s="84">
        <v>78.621674501492393</v>
      </c>
      <c r="K1507" s="84">
        <v>77.675285959911847</v>
      </c>
      <c r="L1507" s="84">
        <v>77.844921641893265</v>
      </c>
      <c r="M1507" s="85">
        <v>3258502.3005982535</v>
      </c>
      <c r="N1507" s="83" t="s">
        <v>1512</v>
      </c>
      <c r="O1507" s="25">
        <f t="shared" si="48"/>
        <v>5.2758343846772693E-3</v>
      </c>
    </row>
    <row r="1508" spans="1:15">
      <c r="A1508" s="84">
        <v>378.66559919767053</v>
      </c>
      <c r="B1508" s="84">
        <v>379.20517927751717</v>
      </c>
      <c r="C1508" s="84">
        <v>377.93895475312553</v>
      </c>
      <c r="D1508" s="84">
        <v>378.92644592135326</v>
      </c>
      <c r="E1508" s="85">
        <v>2130092.0025189393</v>
      </c>
      <c r="F1508" s="83" t="s">
        <v>1513</v>
      </c>
      <c r="G1508" s="25">
        <f t="shared" si="47"/>
        <v>-6.8838352796540825E-4</v>
      </c>
      <c r="I1508" s="84">
        <v>77.746711510219811</v>
      </c>
      <c r="J1508" s="84">
        <v>78.054734195922919</v>
      </c>
      <c r="K1508" s="84">
        <v>77.255660851852554</v>
      </c>
      <c r="L1508" s="84">
        <v>77.728855122642827</v>
      </c>
      <c r="M1508" s="85">
        <v>3657674.8638766441</v>
      </c>
      <c r="N1508" s="83" t="s">
        <v>1513</v>
      </c>
      <c r="O1508" s="25">
        <f t="shared" si="48"/>
        <v>2.2972662531572929E-4</v>
      </c>
    </row>
    <row r="1509" spans="1:15">
      <c r="A1509" s="84">
        <v>379.02892141994295</v>
      </c>
      <c r="B1509" s="84">
        <v>379.32703196129472</v>
      </c>
      <c r="C1509" s="84">
        <v>378.38612056515319</v>
      </c>
      <c r="D1509" s="84">
        <v>378.63765133441876</v>
      </c>
      <c r="E1509" s="85">
        <v>2669531.0953829545</v>
      </c>
      <c r="F1509" s="83" t="s">
        <v>1514</v>
      </c>
      <c r="G1509" s="25">
        <f t="shared" si="47"/>
        <v>1.0333628579863863E-3</v>
      </c>
      <c r="I1509" s="84">
        <v>78.193121199644594</v>
      </c>
      <c r="J1509" s="84">
        <v>78.550248951184429</v>
      </c>
      <c r="K1509" s="84">
        <v>77.827065254316281</v>
      </c>
      <c r="L1509" s="84">
        <v>78.077054680394156</v>
      </c>
      <c r="M1509" s="85">
        <v>3382807.3981679385</v>
      </c>
      <c r="N1509" s="83" t="s">
        <v>1514</v>
      </c>
      <c r="O1509" s="25">
        <f t="shared" si="48"/>
        <v>1.4865637507146534E-3</v>
      </c>
    </row>
    <row r="1510" spans="1:15">
      <c r="A1510" s="84">
        <v>378.37680461073597</v>
      </c>
      <c r="B1510" s="84">
        <v>378.40475247398768</v>
      </c>
      <c r="C1510" s="84">
        <v>376.71856472446672</v>
      </c>
      <c r="D1510" s="84">
        <v>377.01667526581849</v>
      </c>
      <c r="E1510" s="85">
        <v>3276986.8370647435</v>
      </c>
      <c r="F1510" s="83" t="s">
        <v>1515</v>
      </c>
      <c r="G1510" s="25">
        <f t="shared" si="47"/>
        <v>3.6076105757352206E-3</v>
      </c>
      <c r="I1510" s="84">
        <v>77.5681476344499</v>
      </c>
      <c r="J1510" s="84">
        <v>78.059198292817172</v>
      </c>
      <c r="K1510" s="84">
        <v>76.952102263043713</v>
      </c>
      <c r="L1510" s="84">
        <v>77.148522526390607</v>
      </c>
      <c r="M1510" s="85">
        <v>4037369.8033355251</v>
      </c>
      <c r="N1510" s="83" t="s">
        <v>1515</v>
      </c>
      <c r="O1510" s="25">
        <f t="shared" si="48"/>
        <v>5.4391852794815065E-3</v>
      </c>
    </row>
    <row r="1511" spans="1:15">
      <c r="A1511" s="84">
        <v>376.02918409759076</v>
      </c>
      <c r="B1511" s="84">
        <v>377.16573053649438</v>
      </c>
      <c r="C1511" s="84">
        <v>375.74970546507342</v>
      </c>
      <c r="D1511" s="84">
        <v>376.65335304354602</v>
      </c>
      <c r="E1511" s="85">
        <v>4165129.8688389086</v>
      </c>
      <c r="F1511" s="83" t="s">
        <v>1516</v>
      </c>
      <c r="G1511" s="25">
        <f t="shared" si="47"/>
        <v>-1.6571442704854666E-3</v>
      </c>
      <c r="I1511" s="84">
        <v>76.621759092869368</v>
      </c>
      <c r="J1511" s="84">
        <v>78.02348551766319</v>
      </c>
      <c r="K1511" s="84">
        <v>76.469979798464948</v>
      </c>
      <c r="L1511" s="84">
        <v>77.559219440661408</v>
      </c>
      <c r="M1511" s="85">
        <v>5920903.0686717788</v>
      </c>
      <c r="N1511" s="83" t="s">
        <v>1516</v>
      </c>
      <c r="O1511" s="25">
        <f t="shared" si="48"/>
        <v>-1.208702659145855E-2</v>
      </c>
    </row>
    <row r="1512" spans="1:15">
      <c r="A1512" s="84">
        <v>377.83647925453585</v>
      </c>
      <c r="B1512" s="84">
        <v>377.91100688987382</v>
      </c>
      <c r="C1512" s="84">
        <v>373.49524449610072</v>
      </c>
      <c r="D1512" s="84">
        <v>375.50749065022512</v>
      </c>
      <c r="E1512" s="85">
        <v>4432855.5240206951</v>
      </c>
      <c r="F1512" s="83" t="s">
        <v>1517</v>
      </c>
      <c r="G1512" s="25">
        <f t="shared" si="47"/>
        <v>6.2022427309715855E-3</v>
      </c>
      <c r="I1512" s="84">
        <v>78.541320757395923</v>
      </c>
      <c r="J1512" s="84">
        <v>78.568105338761413</v>
      </c>
      <c r="K1512" s="84">
        <v>76.184277597233077</v>
      </c>
      <c r="L1512" s="84">
        <v>77.398511952468482</v>
      </c>
      <c r="M1512" s="85">
        <v>5184950.1810376989</v>
      </c>
      <c r="N1512" s="83" t="s">
        <v>1517</v>
      </c>
      <c r="O1512" s="25">
        <f t="shared" si="48"/>
        <v>1.4765255508132347E-2</v>
      </c>
    </row>
    <row r="1513" spans="1:15">
      <c r="A1513" s="84">
        <v>374.80879406893195</v>
      </c>
      <c r="B1513" s="84">
        <v>377.63152825735654</v>
      </c>
      <c r="C1513" s="84">
        <v>374.44547184665947</v>
      </c>
      <c r="D1513" s="84">
        <v>377.09120290115641</v>
      </c>
      <c r="E1513" s="85">
        <v>6241695.4179568896</v>
      </c>
      <c r="F1513" s="83" t="s">
        <v>1518</v>
      </c>
      <c r="G1513" s="25">
        <f t="shared" si="47"/>
        <v>-6.0526705864912822E-3</v>
      </c>
      <c r="I1513" s="84">
        <v>77.327086402160518</v>
      </c>
      <c r="J1513" s="84">
        <v>79.228791679110088</v>
      </c>
      <c r="K1513" s="84">
        <v>77.23780446427557</v>
      </c>
      <c r="L1513" s="84">
        <v>77.800280672950791</v>
      </c>
      <c r="M1513" s="85">
        <v>4535289.1031751251</v>
      </c>
      <c r="N1513" s="83" t="s">
        <v>1518</v>
      </c>
      <c r="O1513" s="25">
        <f t="shared" si="48"/>
        <v>-6.0821666284140985E-3</v>
      </c>
    </row>
    <row r="1514" spans="1:15">
      <c r="A1514" s="84">
        <v>375.57270233114582</v>
      </c>
      <c r="B1514" s="84">
        <v>376.85830404072533</v>
      </c>
      <c r="C1514" s="84">
        <v>374.9389379521408</v>
      </c>
      <c r="D1514" s="84">
        <v>375.05100888378024</v>
      </c>
      <c r="E1514" s="85">
        <v>5586631.0276991595</v>
      </c>
      <c r="F1514" s="83" t="s">
        <v>1519</v>
      </c>
      <c r="G1514" s="25">
        <f t="shared" si="47"/>
        <v>1.3909933182640888E-3</v>
      </c>
      <c r="I1514" s="84">
        <v>77.630644990969373</v>
      </c>
      <c r="J1514" s="84">
        <v>78.35382868783752</v>
      </c>
      <c r="K1514" s="84">
        <v>77.371727371103006</v>
      </c>
      <c r="L1514" s="84">
        <v>78.005629130086191</v>
      </c>
      <c r="M1514" s="85">
        <v>4977349.4004197512</v>
      </c>
      <c r="N1514" s="83" t="s">
        <v>1519</v>
      </c>
      <c r="O1514" s="25">
        <f t="shared" si="48"/>
        <v>-4.8071420396017528E-3</v>
      </c>
    </row>
    <row r="1515" spans="1:15">
      <c r="A1515" s="84">
        <v>377.41726130575995</v>
      </c>
      <c r="B1515" s="84">
        <v>378.34885674748421</v>
      </c>
      <c r="C1515" s="84">
        <v>376.69061686121501</v>
      </c>
      <c r="D1515" s="84">
        <v>376.69993281563222</v>
      </c>
      <c r="E1515" s="85">
        <v>2441186.2683556038</v>
      </c>
      <c r="F1515" s="83" t="s">
        <v>1520</v>
      </c>
      <c r="G1515" s="25">
        <f t="shared" si="47"/>
        <v>1.9042437431993076E-3</v>
      </c>
      <c r="I1515" s="84">
        <v>78.255618556164066</v>
      </c>
      <c r="J1515" s="84">
        <v>79.148437935013632</v>
      </c>
      <c r="K1515" s="84">
        <v>78.112767455548138</v>
      </c>
      <c r="L1515" s="84">
        <v>79.130581547436634</v>
      </c>
      <c r="M1515" s="85">
        <v>4631886.4688272113</v>
      </c>
      <c r="N1515" s="83" t="s">
        <v>1520</v>
      </c>
      <c r="O1515" s="25">
        <f t="shared" si="48"/>
        <v>-1.1057204106961538E-2</v>
      </c>
    </row>
    <row r="1516" spans="1:15">
      <c r="A1516" s="84">
        <v>375.79628523715968</v>
      </c>
      <c r="B1516" s="84">
        <v>377.07257099232197</v>
      </c>
      <c r="C1516" s="84">
        <v>374.53863139083194</v>
      </c>
      <c r="D1516" s="84">
        <v>376.52292968170462</v>
      </c>
      <c r="E1516" s="85">
        <v>4040090.6138331126</v>
      </c>
      <c r="F1516" s="83" t="s">
        <v>1521</v>
      </c>
      <c r="G1516" s="25">
        <f t="shared" si="47"/>
        <v>-1.9298809906722614E-3</v>
      </c>
      <c r="I1516" s="84">
        <v>77.853849835681771</v>
      </c>
      <c r="J1516" s="84">
        <v>79.568063043072925</v>
      </c>
      <c r="K1516" s="84">
        <v>77.631359246472456</v>
      </c>
      <c r="L1516" s="84">
        <v>79.568063043072925</v>
      </c>
      <c r="M1516" s="85">
        <v>6179373.040837205</v>
      </c>
      <c r="N1516" s="83" t="s">
        <v>1521</v>
      </c>
      <c r="O1516" s="25">
        <f t="shared" si="48"/>
        <v>-2.1543985637342833E-2</v>
      </c>
    </row>
    <row r="1517" spans="1:15">
      <c r="A1517" s="84">
        <v>376.00123623433905</v>
      </c>
      <c r="B1517" s="84">
        <v>376.78377640538741</v>
      </c>
      <c r="C1517" s="84">
        <v>373.38345304309377</v>
      </c>
      <c r="D1517" s="84">
        <v>376.78377640538741</v>
      </c>
      <c r="E1517" s="85">
        <v>3892327.975852387</v>
      </c>
      <c r="F1517" s="83" t="s">
        <v>1522</v>
      </c>
      <c r="G1517" s="25">
        <f t="shared" si="47"/>
        <v>-2.076894548151742E-3</v>
      </c>
      <c r="I1517" s="84">
        <v>78.764525602108321</v>
      </c>
      <c r="J1517" s="84">
        <v>79.871621631881766</v>
      </c>
      <c r="K1517" s="84">
        <v>78.042234724619021</v>
      </c>
      <c r="L1517" s="84">
        <v>78.210977587221578</v>
      </c>
      <c r="M1517" s="85">
        <v>9441642.0607514456</v>
      </c>
      <c r="N1517" s="83" t="s">
        <v>1522</v>
      </c>
      <c r="O1517" s="25">
        <f t="shared" si="48"/>
        <v>7.0776255707765134E-3</v>
      </c>
    </row>
    <row r="1518" spans="1:15">
      <c r="A1518" s="84">
        <v>377.67810802944274</v>
      </c>
      <c r="B1518" s="84">
        <v>377.68742398386001</v>
      </c>
      <c r="C1518" s="84">
        <v>376.19687127710114</v>
      </c>
      <c r="D1518" s="84">
        <v>376.29003082127355</v>
      </c>
      <c r="E1518" s="85">
        <v>2548671.766368201</v>
      </c>
      <c r="F1518" s="83" t="s">
        <v>1523</v>
      </c>
      <c r="G1518" s="25">
        <f t="shared" si="47"/>
        <v>3.6888492770845716E-3</v>
      </c>
      <c r="I1518" s="84">
        <v>76.737825612119821</v>
      </c>
      <c r="J1518" s="84">
        <v>76.961030456832205</v>
      </c>
      <c r="K1518" s="84">
        <v>76.264631341329547</v>
      </c>
      <c r="L1518" s="84">
        <v>76.541405348772912</v>
      </c>
      <c r="M1518" s="85">
        <v>4211163.0740415649</v>
      </c>
      <c r="N1518" s="83" t="s">
        <v>1523</v>
      </c>
      <c r="O1518" s="25">
        <f t="shared" si="48"/>
        <v>2.5661961973639791E-3</v>
      </c>
    </row>
    <row r="1519" spans="1:15">
      <c r="A1519" s="84">
        <v>376.71856472446672</v>
      </c>
      <c r="B1519" s="84">
        <v>377.0632550379047</v>
      </c>
      <c r="C1519" s="84">
        <v>374.11009748763871</v>
      </c>
      <c r="D1519" s="84">
        <v>374.65973879825606</v>
      </c>
      <c r="E1519" s="85">
        <v>3383388.1734823342</v>
      </c>
      <c r="F1519" s="83" t="s">
        <v>1524</v>
      </c>
      <c r="G1519" s="25">
        <f t="shared" si="47"/>
        <v>5.495188601835066E-3</v>
      </c>
      <c r="I1519" s="84">
        <v>76.612830899080876</v>
      </c>
      <c r="J1519" s="84">
        <v>77.434224727622478</v>
      </c>
      <c r="K1519" s="84">
        <v>76.434267023310966</v>
      </c>
      <c r="L1519" s="84">
        <v>77.434224727622478</v>
      </c>
      <c r="M1519" s="85">
        <v>2920949.143555074</v>
      </c>
      <c r="N1519" s="83" t="s">
        <v>1524</v>
      </c>
      <c r="O1519" s="25">
        <f t="shared" si="48"/>
        <v>-1.0607632883661955E-2</v>
      </c>
    </row>
    <row r="1520" spans="1:15">
      <c r="A1520" s="84">
        <v>372.99218295756958</v>
      </c>
      <c r="B1520" s="84">
        <v>373.15987013707996</v>
      </c>
      <c r="C1520" s="84">
        <v>371.42710261547279</v>
      </c>
      <c r="D1520" s="84">
        <v>372.36801401161426</v>
      </c>
      <c r="E1520" s="85">
        <v>2764879.3506680941</v>
      </c>
      <c r="F1520" s="83" t="s">
        <v>1525</v>
      </c>
      <c r="G1520" s="25">
        <f t="shared" si="47"/>
        <v>1.6762152560607646E-3</v>
      </c>
      <c r="I1520" s="84">
        <v>76.621759092869368</v>
      </c>
      <c r="J1520" s="84">
        <v>77.228876270487078</v>
      </c>
      <c r="K1520" s="84">
        <v>76.059282884194147</v>
      </c>
      <c r="L1520" s="84">
        <v>77.023527813351663</v>
      </c>
      <c r="M1520" s="85">
        <v>4619503.2250693915</v>
      </c>
      <c r="N1520" s="83" t="s">
        <v>1525</v>
      </c>
      <c r="O1520" s="25">
        <f t="shared" si="48"/>
        <v>-5.2161817549553069E-3</v>
      </c>
    </row>
    <row r="1521" spans="1:15">
      <c r="A1521" s="84">
        <v>372.20032683210388</v>
      </c>
      <c r="B1521" s="84">
        <v>372.28417042185913</v>
      </c>
      <c r="C1521" s="84">
        <v>370.09492113380702</v>
      </c>
      <c r="D1521" s="84">
        <v>370.29055617656917</v>
      </c>
      <c r="E1521" s="85">
        <v>3216633.3858972136</v>
      </c>
      <c r="F1521" s="83" t="s">
        <v>1526</v>
      </c>
      <c r="G1521" s="25">
        <f t="shared" si="47"/>
        <v>5.1574922008652546E-3</v>
      </c>
      <c r="I1521" s="84">
        <v>77.300301820795042</v>
      </c>
      <c r="J1521" s="84">
        <v>77.635109087863626</v>
      </c>
      <c r="K1521" s="84">
        <v>75.934288171155202</v>
      </c>
      <c r="L1521" s="84">
        <v>76.126244337607858</v>
      </c>
      <c r="M1521" s="85">
        <v>6046617.1858369168</v>
      </c>
      <c r="N1521" s="83" t="s">
        <v>1526</v>
      </c>
      <c r="O1521" s="25">
        <f t="shared" si="48"/>
        <v>1.5422506303876204E-2</v>
      </c>
    </row>
    <row r="1522" spans="1:15">
      <c r="A1522" s="84">
        <v>369.09811401116207</v>
      </c>
      <c r="B1522" s="84">
        <v>370.30918808540366</v>
      </c>
      <c r="C1522" s="84">
        <v>363.33153822688871</v>
      </c>
      <c r="D1522" s="84">
        <v>364.57521814159071</v>
      </c>
      <c r="E1522" s="85">
        <v>4339948.2424653005</v>
      </c>
      <c r="F1522" s="83" t="s">
        <v>1527</v>
      </c>
      <c r="G1522" s="25">
        <f t="shared" si="47"/>
        <v>1.2405933383587309E-2</v>
      </c>
      <c r="I1522" s="84">
        <v>75.711083326442818</v>
      </c>
      <c r="J1522" s="84">
        <v>76.005713721463167</v>
      </c>
      <c r="K1522" s="84">
        <v>72.336226074391476</v>
      </c>
      <c r="L1522" s="84">
        <v>72.586215500469351</v>
      </c>
      <c r="M1522" s="85">
        <v>8887801.0356639754</v>
      </c>
      <c r="N1522" s="83" t="s">
        <v>1527</v>
      </c>
      <c r="O1522" s="25">
        <f t="shared" si="48"/>
        <v>4.3050430504305126E-2</v>
      </c>
    </row>
    <row r="1523" spans="1:15">
      <c r="A1523" s="84">
        <v>363.95570717284403</v>
      </c>
      <c r="B1523" s="84">
        <v>365.42762797076836</v>
      </c>
      <c r="C1523" s="84">
        <v>361.39381970810223</v>
      </c>
      <c r="D1523" s="84">
        <v>364.98046215874069</v>
      </c>
      <c r="E1523" s="85">
        <v>13242020.567604937</v>
      </c>
      <c r="F1523" s="83" t="s">
        <v>1528</v>
      </c>
      <c r="G1523" s="25">
        <f t="shared" si="47"/>
        <v>-2.8076981979681115E-3</v>
      </c>
      <c r="I1523" s="84">
        <v>72.363010655756966</v>
      </c>
      <c r="J1523" s="84">
        <v>73.175476290510062</v>
      </c>
      <c r="K1523" s="84">
        <v>71.175560881887037</v>
      </c>
      <c r="L1523" s="84">
        <v>73.032625189894134</v>
      </c>
      <c r="M1523" s="85">
        <v>10328320.84344103</v>
      </c>
      <c r="N1523" s="83" t="s">
        <v>1528</v>
      </c>
      <c r="O1523" s="25">
        <f t="shared" si="48"/>
        <v>-9.1687041564791905E-3</v>
      </c>
    </row>
    <row r="1524" spans="1:15">
      <c r="A1524" s="84">
        <v>369.48006814226903</v>
      </c>
      <c r="B1524" s="84">
        <v>373.45798067843174</v>
      </c>
      <c r="C1524" s="84">
        <v>369.04221828465859</v>
      </c>
      <c r="D1524" s="84">
        <v>373.42071686076275</v>
      </c>
      <c r="E1524" s="85">
        <v>4848190.3170761913</v>
      </c>
      <c r="F1524" s="83" t="s">
        <v>1529</v>
      </c>
      <c r="G1524" s="25">
        <f t="shared" si="47"/>
        <v>-1.0552839038020179E-2</v>
      </c>
      <c r="I1524" s="84">
        <v>74.577202715303869</v>
      </c>
      <c r="J1524" s="84">
        <v>76.559261736349896</v>
      </c>
      <c r="K1524" s="84">
        <v>74.371854258168469</v>
      </c>
      <c r="L1524" s="84">
        <v>76.443195217099458</v>
      </c>
      <c r="M1524" s="85">
        <v>4507161.3534925859</v>
      </c>
      <c r="N1524" s="83" t="s">
        <v>1529</v>
      </c>
      <c r="O1524" s="25">
        <f t="shared" si="48"/>
        <v>-2.4410184536323376E-2</v>
      </c>
    </row>
    <row r="1525" spans="1:15">
      <c r="A1525" s="84">
        <v>372.3773299660316</v>
      </c>
      <c r="B1525" s="84">
        <v>372.99218295756958</v>
      </c>
      <c r="C1525" s="84">
        <v>370.59332469512952</v>
      </c>
      <c r="D1525" s="84">
        <v>372.39596187486603</v>
      </c>
      <c r="E1525" s="85">
        <v>4813135.4010285605</v>
      </c>
      <c r="F1525" s="83" t="s">
        <v>1530</v>
      </c>
      <c r="G1525" s="25">
        <f t="shared" si="47"/>
        <v>-5.0032521138554387E-5</v>
      </c>
      <c r="I1525" s="84">
        <v>75.871790814635744</v>
      </c>
      <c r="J1525" s="84">
        <v>76.358377376108749</v>
      </c>
      <c r="K1525" s="84">
        <v>74.943258660632196</v>
      </c>
      <c r="L1525" s="84">
        <v>75.077181567459633</v>
      </c>
      <c r="M1525" s="85">
        <v>3876218.5073305094</v>
      </c>
      <c r="N1525" s="83" t="s">
        <v>1530</v>
      </c>
      <c r="O1525" s="25">
        <f t="shared" si="48"/>
        <v>1.0583898204304942E-2</v>
      </c>
    </row>
    <row r="1526" spans="1:15">
      <c r="A1526" s="84">
        <v>373.57908808585586</v>
      </c>
      <c r="B1526" s="84">
        <v>375.03237697494575</v>
      </c>
      <c r="C1526" s="84">
        <v>372.47048951020395</v>
      </c>
      <c r="D1526" s="84">
        <v>374.55726329966637</v>
      </c>
      <c r="E1526" s="85">
        <v>3576886.3293624809</v>
      </c>
      <c r="F1526" s="83" t="s">
        <v>1531</v>
      </c>
      <c r="G1526" s="25">
        <f t="shared" si="47"/>
        <v>-2.6115505148486262E-3</v>
      </c>
      <c r="I1526" s="84">
        <v>75.809293458116272</v>
      </c>
      <c r="J1526" s="84">
        <v>76.679792352494601</v>
      </c>
      <c r="K1526" s="84">
        <v>75.407524737633963</v>
      </c>
      <c r="L1526" s="84">
        <v>76.050354690405655</v>
      </c>
      <c r="M1526" s="85">
        <v>4105768.8563205632</v>
      </c>
      <c r="N1526" s="83" t="s">
        <v>1531</v>
      </c>
      <c r="O1526" s="25">
        <f t="shared" si="48"/>
        <v>-3.169758159192293E-3</v>
      </c>
    </row>
    <row r="1527" spans="1:15">
      <c r="A1527" s="84">
        <v>373.0667105929075</v>
      </c>
      <c r="B1527" s="84">
        <v>374.96716529402505</v>
      </c>
      <c r="C1527" s="84">
        <v>372.80586386922471</v>
      </c>
      <c r="D1527" s="84">
        <v>373.64429976677656</v>
      </c>
      <c r="E1527" s="85">
        <v>4629790.7941852063</v>
      </c>
      <c r="F1527" s="83" t="s">
        <v>1532</v>
      </c>
      <c r="G1527" s="25">
        <f t="shared" si="47"/>
        <v>-1.5458262690735136E-3</v>
      </c>
      <c r="I1527" s="84">
        <v>76.184277597233077</v>
      </c>
      <c r="J1527" s="84">
        <v>76.996743231986187</v>
      </c>
      <c r="K1527" s="84">
        <v>76.121780240713619</v>
      </c>
      <c r="L1527" s="84">
        <v>76.934245875466715</v>
      </c>
      <c r="M1527" s="85">
        <v>5146610.9594539255</v>
      </c>
      <c r="N1527" s="83" t="s">
        <v>1532</v>
      </c>
      <c r="O1527" s="25">
        <f t="shared" si="48"/>
        <v>-9.7481722177092944E-3</v>
      </c>
    </row>
    <row r="1528" spans="1:15">
      <c r="A1528" s="84">
        <v>374.33368039365257</v>
      </c>
      <c r="B1528" s="84">
        <v>374.52931543641461</v>
      </c>
      <c r="C1528" s="84">
        <v>372.51706928229021</v>
      </c>
      <c r="D1528" s="84">
        <v>372.91765532223167</v>
      </c>
      <c r="E1528" s="85">
        <v>3144243.5941704749</v>
      </c>
      <c r="F1528" s="83" t="s">
        <v>1533</v>
      </c>
      <c r="G1528" s="25">
        <f t="shared" si="47"/>
        <v>3.7971521358981519E-3</v>
      </c>
      <c r="I1528" s="84">
        <v>76.978886844409189</v>
      </c>
      <c r="J1528" s="84">
        <v>77.139594332602115</v>
      </c>
      <c r="K1528" s="84">
        <v>75.907503589789712</v>
      </c>
      <c r="L1528" s="84">
        <v>76.389626054368492</v>
      </c>
      <c r="M1528" s="85">
        <v>6120533.5921822144</v>
      </c>
      <c r="N1528" s="83" t="s">
        <v>1533</v>
      </c>
      <c r="O1528" s="25">
        <f t="shared" si="48"/>
        <v>7.7138849929871967E-3</v>
      </c>
    </row>
    <row r="1529" spans="1:15">
      <c r="A1529" s="84">
        <v>372.98286700315236</v>
      </c>
      <c r="B1529" s="84">
        <v>373.2437137268351</v>
      </c>
      <c r="C1529" s="84">
        <v>370.23466045006569</v>
      </c>
      <c r="D1529" s="84">
        <v>370.43029549282778</v>
      </c>
      <c r="E1529" s="85">
        <v>3576840.1719876439</v>
      </c>
      <c r="F1529" s="83" t="s">
        <v>1534</v>
      </c>
      <c r="G1529" s="25">
        <f t="shared" si="47"/>
        <v>6.8908281568293983E-3</v>
      </c>
      <c r="I1529" s="84">
        <v>77.121737945025117</v>
      </c>
      <c r="J1529" s="84">
        <v>77.452081115199462</v>
      </c>
      <c r="K1529" s="84">
        <v>76.800322968639279</v>
      </c>
      <c r="L1529" s="84">
        <v>77.228876270487078</v>
      </c>
      <c r="M1529" s="85">
        <v>5103206.8836486563</v>
      </c>
      <c r="N1529" s="83" t="s">
        <v>1534</v>
      </c>
      <c r="O1529" s="25">
        <f t="shared" si="48"/>
        <v>-1.387283236994441E-3</v>
      </c>
    </row>
    <row r="1530" spans="1:15">
      <c r="A1530" s="84">
        <v>369.08879805674479</v>
      </c>
      <c r="B1530" s="84">
        <v>369.73159891153455</v>
      </c>
      <c r="C1530" s="84">
        <v>366.13564050647881</v>
      </c>
      <c r="D1530" s="84">
        <v>367.2349231277135</v>
      </c>
      <c r="E1530" s="85">
        <v>6244239.4407095276</v>
      </c>
      <c r="F1530" s="83" t="s">
        <v>1535</v>
      </c>
      <c r="G1530" s="25">
        <f t="shared" si="47"/>
        <v>5.0481988838151359E-3</v>
      </c>
      <c r="I1530" s="84">
        <v>76.282487728906531</v>
      </c>
      <c r="J1530" s="84">
        <v>76.581582220821147</v>
      </c>
      <c r="K1530" s="84">
        <v>75.01468421094016</v>
      </c>
      <c r="L1530" s="84">
        <v>75.532519450672893</v>
      </c>
      <c r="M1530" s="85">
        <v>5225563.0987890167</v>
      </c>
      <c r="N1530" s="83" t="s">
        <v>1535</v>
      </c>
      <c r="O1530" s="25">
        <f t="shared" si="48"/>
        <v>9.9290780141845225E-3</v>
      </c>
    </row>
    <row r="1531" spans="1:15">
      <c r="A1531" s="84">
        <v>372.05127156142805</v>
      </c>
      <c r="B1531" s="84">
        <v>372.32143423952812</v>
      </c>
      <c r="C1531" s="84">
        <v>369.54527982318973</v>
      </c>
      <c r="D1531" s="84">
        <v>371.39915475222108</v>
      </c>
      <c r="E1531" s="85">
        <v>5096450.4412046745</v>
      </c>
      <c r="F1531" s="83" t="s">
        <v>1536</v>
      </c>
      <c r="G1531" s="25">
        <f t="shared" si="47"/>
        <v>1.7558381618882901E-3</v>
      </c>
      <c r="I1531" s="84">
        <v>76.63068728665786</v>
      </c>
      <c r="J1531" s="84">
        <v>76.818179356216277</v>
      </c>
      <c r="K1531" s="84">
        <v>75.728939714019802</v>
      </c>
      <c r="L1531" s="84">
        <v>76.041426496617163</v>
      </c>
      <c r="M1531" s="85">
        <v>4622782.7237780467</v>
      </c>
      <c r="N1531" s="83" t="s">
        <v>1536</v>
      </c>
      <c r="O1531" s="25">
        <f t="shared" si="48"/>
        <v>7.7492074674179179E-3</v>
      </c>
    </row>
    <row r="1532" spans="1:15">
      <c r="A1532" s="84">
        <v>370.77498580626576</v>
      </c>
      <c r="B1532" s="84">
        <v>371.69726529357285</v>
      </c>
      <c r="C1532" s="84">
        <v>368.25967811361022</v>
      </c>
      <c r="D1532" s="84">
        <v>371.49231429639349</v>
      </c>
      <c r="E1532" s="85">
        <v>4649385.1365171252</v>
      </c>
      <c r="F1532" s="83" t="s">
        <v>1537</v>
      </c>
      <c r="G1532" s="25">
        <f t="shared" si="47"/>
        <v>-1.9309376332222739E-3</v>
      </c>
      <c r="I1532" s="84">
        <v>76.559261736349896</v>
      </c>
      <c r="J1532" s="84">
        <v>77.219948076698572</v>
      </c>
      <c r="K1532" s="84">
        <v>75.82714984569327</v>
      </c>
      <c r="L1532" s="84">
        <v>76.916389487889731</v>
      </c>
      <c r="M1532" s="85">
        <v>4636983.8044225303</v>
      </c>
      <c r="N1532" s="83" t="s">
        <v>1537</v>
      </c>
      <c r="O1532" s="25">
        <f t="shared" si="48"/>
        <v>-4.6430644225190498E-3</v>
      </c>
    </row>
    <row r="1533" spans="1:15">
      <c r="A1533" s="84">
        <v>371.47368238755899</v>
      </c>
      <c r="B1533" s="84">
        <v>371.75316102007628</v>
      </c>
      <c r="C1533" s="84">
        <v>369.40088252972242</v>
      </c>
      <c r="D1533" s="84">
        <v>369.70365104828289</v>
      </c>
      <c r="E1533" s="85">
        <v>4683482.55539372</v>
      </c>
      <c r="F1533" s="83" t="s">
        <v>1538</v>
      </c>
      <c r="G1533" s="25">
        <f t="shared" si="47"/>
        <v>4.7877031624037336E-3</v>
      </c>
      <c r="I1533" s="84">
        <v>77.407440146256988</v>
      </c>
      <c r="J1533" s="84">
        <v>77.675285959911847</v>
      </c>
      <c r="K1533" s="84">
        <v>76.63068728665786</v>
      </c>
      <c r="L1533" s="84">
        <v>77.228876270487078</v>
      </c>
      <c r="M1533" s="85">
        <v>4688768.0746738929</v>
      </c>
      <c r="N1533" s="83" t="s">
        <v>1538</v>
      </c>
      <c r="O1533" s="25">
        <f t="shared" si="48"/>
        <v>2.3121387283235872E-3</v>
      </c>
    </row>
    <row r="1534" spans="1:15">
      <c r="A1534" s="84">
        <v>368.6695801079689</v>
      </c>
      <c r="B1534" s="84">
        <v>368.77205560655858</v>
      </c>
      <c r="C1534" s="84">
        <v>367.24069901945222</v>
      </c>
      <c r="D1534" s="84">
        <v>367.32808267188591</v>
      </c>
      <c r="E1534" s="85">
        <v>3665233.6916549196</v>
      </c>
      <c r="F1534" s="83" t="s">
        <v>1539</v>
      </c>
      <c r="G1534" s="25">
        <f t="shared" si="47"/>
        <v>3.6520415926959426E-3</v>
      </c>
      <c r="I1534" s="84">
        <v>76.978886844409189</v>
      </c>
      <c r="J1534" s="84">
        <v>77.005671425774679</v>
      </c>
      <c r="K1534" s="84">
        <v>76.130708434502111</v>
      </c>
      <c r="L1534" s="84">
        <v>76.264631341329547</v>
      </c>
      <c r="M1534" s="85">
        <v>4372513.7384790061</v>
      </c>
      <c r="N1534" s="83" t="s">
        <v>1539</v>
      </c>
      <c r="O1534" s="25">
        <f t="shared" si="48"/>
        <v>9.3654881760709685E-3</v>
      </c>
    </row>
    <row r="1535" spans="1:15">
      <c r="A1535" s="84">
        <v>366.60143822734096</v>
      </c>
      <c r="B1535" s="84">
        <v>367.17064304223447</v>
      </c>
      <c r="C1535" s="84">
        <v>365.85616187396158</v>
      </c>
      <c r="D1535" s="84">
        <v>365.85616187396158</v>
      </c>
      <c r="E1535" s="85">
        <v>4074649.6064580772</v>
      </c>
      <c r="F1535" s="83" t="s">
        <v>1540</v>
      </c>
      <c r="G1535" s="25">
        <f t="shared" si="47"/>
        <v>2.0370747606435202E-3</v>
      </c>
      <c r="I1535" s="84">
        <v>76.166421209656093</v>
      </c>
      <c r="J1535" s="84">
        <v>76.487836186041932</v>
      </c>
      <c r="K1535" s="84">
        <v>75.121822536402107</v>
      </c>
      <c r="L1535" s="84">
        <v>75.300386412172017</v>
      </c>
      <c r="M1535" s="85">
        <v>5314060.2818383034</v>
      </c>
      <c r="N1535" s="83" t="s">
        <v>1540</v>
      </c>
      <c r="O1535" s="25">
        <f t="shared" si="48"/>
        <v>1.1501067109319418E-2</v>
      </c>
    </row>
    <row r="1536" spans="1:15">
      <c r="A1536" s="84">
        <v>366.26606386832026</v>
      </c>
      <c r="B1536" s="84">
        <v>366.9927083128652</v>
      </c>
      <c r="C1536" s="84">
        <v>365.8002661474581</v>
      </c>
      <c r="D1536" s="84">
        <v>366.44306700224786</v>
      </c>
      <c r="E1536" s="85">
        <v>3142593.7363768867</v>
      </c>
      <c r="F1536" s="83" t="s">
        <v>1541</v>
      </c>
      <c r="G1536" s="25">
        <f t="shared" si="47"/>
        <v>-4.8303038006858312E-4</v>
      </c>
      <c r="I1536" s="84">
        <v>75.389668350056979</v>
      </c>
      <c r="J1536" s="84">
        <v>76.666400061811856</v>
      </c>
      <c r="K1536" s="84">
        <v>75.300386412172017</v>
      </c>
      <c r="L1536" s="84">
        <v>76.228918566175565</v>
      </c>
      <c r="M1536" s="85">
        <v>7276896.2613374516</v>
      </c>
      <c r="N1536" s="83" t="s">
        <v>1541</v>
      </c>
      <c r="O1536" s="25">
        <f t="shared" si="48"/>
        <v>-1.100960412274532E-2</v>
      </c>
    </row>
    <row r="1537" spans="1:15">
      <c r="A1537" s="84">
        <v>366.10499103243228</v>
      </c>
      <c r="B1537" s="84">
        <v>366.22568906660302</v>
      </c>
      <c r="C1537" s="84">
        <v>364.72160587155196</v>
      </c>
      <c r="D1537" s="84">
        <v>365.83574157158978</v>
      </c>
      <c r="E1537" s="85">
        <v>2604858.9950949848</v>
      </c>
      <c r="F1537" s="83" t="s">
        <v>1542</v>
      </c>
      <c r="G1537" s="25">
        <f t="shared" si="47"/>
        <v>7.3598456970280779E-4</v>
      </c>
      <c r="I1537" s="84">
        <v>75.987857333886183</v>
      </c>
      <c r="J1537" s="84">
        <v>77.139594332602115</v>
      </c>
      <c r="K1537" s="84">
        <v>75.675370551288836</v>
      </c>
      <c r="L1537" s="84">
        <v>77.130666138813623</v>
      </c>
      <c r="M1537" s="85">
        <v>6427545.2974536633</v>
      </c>
      <c r="N1537" s="83" t="s">
        <v>1542</v>
      </c>
      <c r="O1537" s="25">
        <f t="shared" si="48"/>
        <v>-1.4816529690936497E-2</v>
      </c>
    </row>
    <row r="1538" spans="1:15">
      <c r="A1538" s="84">
        <v>365.34366497073978</v>
      </c>
      <c r="B1538" s="84">
        <v>365.73361246575303</v>
      </c>
      <c r="C1538" s="84">
        <v>364.45235641070951</v>
      </c>
      <c r="D1538" s="84">
        <v>364.78659712072084</v>
      </c>
      <c r="E1538" s="85">
        <v>3083717.0013341554</v>
      </c>
      <c r="F1538" s="83" t="s">
        <v>1543</v>
      </c>
      <c r="G1538" s="25">
        <f t="shared" si="47"/>
        <v>1.5271061338764103E-3</v>
      </c>
      <c r="I1538" s="84">
        <v>77.425296533833972</v>
      </c>
      <c r="J1538" s="84">
        <v>78.032413711451682</v>
      </c>
      <c r="K1538" s="84">
        <v>77.389583758680004</v>
      </c>
      <c r="L1538" s="84">
        <v>77.702070541277337</v>
      </c>
      <c r="M1538" s="85">
        <v>7404949.0374177787</v>
      </c>
      <c r="N1538" s="83" t="s">
        <v>1543</v>
      </c>
      <c r="O1538" s="25">
        <f t="shared" si="48"/>
        <v>-3.5619901183500113E-3</v>
      </c>
    </row>
    <row r="1539" spans="1:15">
      <c r="A1539" s="84">
        <v>363.99741766652738</v>
      </c>
      <c r="B1539" s="84">
        <v>364.43239481275049</v>
      </c>
      <c r="C1539" s="84">
        <v>363.64460802818206</v>
      </c>
      <c r="D1539" s="84">
        <v>363.84886623985562</v>
      </c>
      <c r="E1539" s="85">
        <v>3218085.5526649463</v>
      </c>
      <c r="F1539" s="83" t="s">
        <v>1544</v>
      </c>
      <c r="G1539" s="25">
        <f t="shared" si="47"/>
        <v>4.0827783306562893E-4</v>
      </c>
      <c r="I1539" s="84">
        <v>77.54136305308441</v>
      </c>
      <c r="J1539" s="84">
        <v>77.835993448104787</v>
      </c>
      <c r="K1539" s="84">
        <v>77.010135522668932</v>
      </c>
      <c r="L1539" s="84">
        <v>77.835993448104787</v>
      </c>
      <c r="M1539" s="85">
        <v>5975661.0646989206</v>
      </c>
      <c r="N1539" s="83" t="s">
        <v>1544</v>
      </c>
      <c r="O1539" s="25">
        <f t="shared" si="48"/>
        <v>-3.7852718513423644E-3</v>
      </c>
    </row>
    <row r="1540" spans="1:15">
      <c r="A1540" s="84">
        <v>361.92698215729041</v>
      </c>
      <c r="B1540" s="84">
        <v>363.15253142733201</v>
      </c>
      <c r="C1540" s="84">
        <v>361.81556858728658</v>
      </c>
      <c r="D1540" s="84">
        <v>362.41905875814047</v>
      </c>
      <c r="E1540" s="85">
        <v>2589438.6113846195</v>
      </c>
      <c r="F1540" s="83" t="s">
        <v>1545</v>
      </c>
      <c r="G1540" s="25">
        <f t="shared" si="47"/>
        <v>-1.3577558601255424E-3</v>
      </c>
      <c r="I1540" s="84">
        <v>77.318158208372026</v>
      </c>
      <c r="J1540" s="84">
        <v>78.219905781010084</v>
      </c>
      <c r="K1540" s="84">
        <v>77.291373627006536</v>
      </c>
      <c r="L1540" s="84">
        <v>78.050270099028666</v>
      </c>
      <c r="M1540" s="85">
        <v>3947593.5261860732</v>
      </c>
      <c r="N1540" s="83" t="s">
        <v>1545</v>
      </c>
      <c r="O1540" s="25">
        <f t="shared" si="48"/>
        <v>-9.3800045756119443E-3</v>
      </c>
    </row>
    <row r="1541" spans="1:15">
      <c r="A1541" s="84">
        <v>362.31692965230366</v>
      </c>
      <c r="B1541" s="84">
        <v>363.10610910649706</v>
      </c>
      <c r="C1541" s="84">
        <v>359.74513307804966</v>
      </c>
      <c r="D1541" s="84">
        <v>360.46003681890727</v>
      </c>
      <c r="E1541" s="85">
        <v>2913945.2221930898</v>
      </c>
      <c r="F1541" s="83" t="s">
        <v>1546</v>
      </c>
      <c r="G1541" s="25">
        <f t="shared" si="47"/>
        <v>5.1514527096641061E-3</v>
      </c>
      <c r="I1541" s="84">
        <v>78.014557323874683</v>
      </c>
      <c r="J1541" s="84">
        <v>78.621674501492393</v>
      </c>
      <c r="K1541" s="84">
        <v>77.550291246872916</v>
      </c>
      <c r="L1541" s="84">
        <v>78.282403137529556</v>
      </c>
      <c r="M1541" s="85">
        <v>4648291.8027021028</v>
      </c>
      <c r="N1541" s="83" t="s">
        <v>1546</v>
      </c>
      <c r="O1541" s="25">
        <f t="shared" si="48"/>
        <v>-3.4215328467154249E-3</v>
      </c>
    </row>
    <row r="1542" spans="1:15">
      <c r="A1542" s="84">
        <v>360.40433003390535</v>
      </c>
      <c r="B1542" s="84">
        <v>360.59001931724498</v>
      </c>
      <c r="C1542" s="84">
        <v>356.19846776626252</v>
      </c>
      <c r="D1542" s="84">
        <v>356.98764722045598</v>
      </c>
      <c r="E1542" s="85">
        <v>4728090.8419155022</v>
      </c>
      <c r="F1542" s="83" t="s">
        <v>1547</v>
      </c>
      <c r="G1542" s="25">
        <f t="shared" si="47"/>
        <v>9.5708712613784552E-3</v>
      </c>
      <c r="I1542" s="84">
        <v>78.568105338761413</v>
      </c>
      <c r="J1542" s="84">
        <v>78.693100051800357</v>
      </c>
      <c r="K1542" s="84">
        <v>77.246732658064062</v>
      </c>
      <c r="L1542" s="84">
        <v>77.452081115199462</v>
      </c>
      <c r="M1542" s="85">
        <v>5709383.242295092</v>
      </c>
      <c r="N1542" s="83" t="s">
        <v>1547</v>
      </c>
      <c r="O1542" s="25">
        <f t="shared" si="48"/>
        <v>1.4409221902017322E-2</v>
      </c>
    </row>
    <row r="1543" spans="1:15">
      <c r="A1543" s="84">
        <v>355.427857240403</v>
      </c>
      <c r="B1543" s="84">
        <v>357.8046800671504</v>
      </c>
      <c r="C1543" s="84">
        <v>355.14932331539353</v>
      </c>
      <c r="D1543" s="84">
        <v>357.25689668129849</v>
      </c>
      <c r="E1543" s="85">
        <v>5612720.2456466015</v>
      </c>
      <c r="F1543" s="83" t="s">
        <v>1548</v>
      </c>
      <c r="G1543" s="25">
        <f t="shared" si="47"/>
        <v>-5.1196756672471366E-3</v>
      </c>
      <c r="I1543" s="84">
        <v>76.71104103075433</v>
      </c>
      <c r="J1543" s="84">
        <v>77.434224727622478</v>
      </c>
      <c r="K1543" s="84">
        <v>76.443195217099458</v>
      </c>
      <c r="L1543" s="84">
        <v>76.693184643177347</v>
      </c>
      <c r="M1543" s="85">
        <v>11634144.874167457</v>
      </c>
      <c r="N1543" s="83" t="s">
        <v>1548</v>
      </c>
      <c r="O1543" s="25">
        <f t="shared" si="48"/>
        <v>2.3282887077979986E-4</v>
      </c>
    </row>
    <row r="1544" spans="1:15">
      <c r="A1544" s="84">
        <v>360.20935628639876</v>
      </c>
      <c r="B1544" s="84">
        <v>361.08209591809504</v>
      </c>
      <c r="C1544" s="84">
        <v>357.91609363715418</v>
      </c>
      <c r="D1544" s="84">
        <v>359.8844000405544</v>
      </c>
      <c r="E1544" s="85">
        <v>4378640.4114277447</v>
      </c>
      <c r="F1544" s="83" t="s">
        <v>1549</v>
      </c>
      <c r="G1544" s="25">
        <f t="shared" si="47"/>
        <v>9.0294618440744934E-4</v>
      </c>
      <c r="I1544" s="84">
        <v>77.791352479162299</v>
      </c>
      <c r="J1544" s="84">
        <v>79.219863485321596</v>
      </c>
      <c r="K1544" s="84">
        <v>77.068168782294151</v>
      </c>
      <c r="L1544" s="84">
        <v>78.996658640609212</v>
      </c>
      <c r="M1544" s="85">
        <v>8378699.1828505984</v>
      </c>
      <c r="N1544" s="83" t="s">
        <v>1549</v>
      </c>
      <c r="O1544" s="25">
        <f t="shared" si="48"/>
        <v>-1.5257685352622175E-2</v>
      </c>
    </row>
    <row r="1545" spans="1:15">
      <c r="A1545" s="84">
        <v>360.33933878473647</v>
      </c>
      <c r="B1545" s="84">
        <v>362.63260143398099</v>
      </c>
      <c r="C1545" s="84">
        <v>358.39888577383726</v>
      </c>
      <c r="D1545" s="84">
        <v>362.48275018232596</v>
      </c>
      <c r="E1545" s="85">
        <v>4517563.8836715156</v>
      </c>
      <c r="F1545" s="83" t="s">
        <v>1550</v>
      </c>
      <c r="G1545" s="25">
        <f t="shared" si="47"/>
        <v>-5.9131404087818806E-3</v>
      </c>
      <c r="I1545" s="84">
        <v>78.952017671666738</v>
      </c>
      <c r="J1545" s="84">
        <v>79.84483705051629</v>
      </c>
      <c r="K1545" s="84">
        <v>78.523464369818939</v>
      </c>
      <c r="L1545" s="84">
        <v>79.666273174746379</v>
      </c>
      <c r="M1545" s="85">
        <v>8998200.7450956944</v>
      </c>
      <c r="N1545" s="83" t="s">
        <v>1550</v>
      </c>
      <c r="O1545" s="25">
        <f t="shared" si="48"/>
        <v>-8.9655945309872198E-3</v>
      </c>
    </row>
    <row r="1546" spans="1:15">
      <c r="A1546" s="84">
        <v>362.32621411647062</v>
      </c>
      <c r="B1546" s="84">
        <v>363.20823821233387</v>
      </c>
      <c r="C1546" s="84">
        <v>361.54622628180243</v>
      </c>
      <c r="D1546" s="84">
        <v>363.16181589149897</v>
      </c>
      <c r="E1546" s="85">
        <v>2590390.7395678954</v>
      </c>
      <c r="F1546" s="83" t="s">
        <v>1551</v>
      </c>
      <c r="G1546" s="25">
        <f t="shared" si="47"/>
        <v>-2.3009075802121748E-3</v>
      </c>
      <c r="I1546" s="84">
        <v>79.8180524691508</v>
      </c>
      <c r="J1546" s="84">
        <v>80.170716123796382</v>
      </c>
      <c r="K1546" s="84">
        <v>79.282360841841054</v>
      </c>
      <c r="L1546" s="84">
        <v>79.416283748668505</v>
      </c>
      <c r="M1546" s="85">
        <v>5977331.0553323245</v>
      </c>
      <c r="N1546" s="83" t="s">
        <v>1551</v>
      </c>
      <c r="O1546" s="25">
        <f t="shared" si="48"/>
        <v>5.0590219224282418E-3</v>
      </c>
    </row>
    <row r="1547" spans="1:15">
      <c r="A1547" s="84">
        <v>363.08754017816312</v>
      </c>
      <c r="B1547" s="84">
        <v>363.08754017816312</v>
      </c>
      <c r="C1547" s="84">
        <v>361.16565609559785</v>
      </c>
      <c r="D1547" s="84">
        <v>362.2890762598027</v>
      </c>
      <c r="E1547" s="85">
        <v>2425778.1165330424</v>
      </c>
      <c r="F1547" s="83" t="s">
        <v>1552</v>
      </c>
      <c r="G1547" s="25">
        <f t="shared" si="47"/>
        <v>2.2039414674148716E-3</v>
      </c>
      <c r="I1547" s="84">
        <v>79.210935291533104</v>
      </c>
      <c r="J1547" s="84">
        <v>79.630560399592397</v>
      </c>
      <c r="K1547" s="84">
        <v>78.786846086579558</v>
      </c>
      <c r="L1547" s="84">
        <v>79.210935291533104</v>
      </c>
      <c r="M1547" s="85">
        <v>6636139.5600916166</v>
      </c>
      <c r="N1547" s="83" t="s">
        <v>1552</v>
      </c>
      <c r="O1547" s="25">
        <f t="shared" si="48"/>
        <v>0</v>
      </c>
    </row>
    <row r="1548" spans="1:15">
      <c r="A1548" s="84">
        <v>362.17766268979886</v>
      </c>
      <c r="B1548" s="84">
        <v>362.27979179563567</v>
      </c>
      <c r="C1548" s="84">
        <v>360.9149755630894</v>
      </c>
      <c r="D1548" s="84">
        <v>362.09410251229605</v>
      </c>
      <c r="E1548" s="85">
        <v>2414248.1027299091</v>
      </c>
      <c r="F1548" s="83" t="s">
        <v>1553</v>
      </c>
      <c r="G1548" s="25">
        <f t="shared" si="47"/>
        <v>2.3076923076925659E-4</v>
      </c>
      <c r="I1548" s="84">
        <v>79.291289035629561</v>
      </c>
      <c r="J1548" s="84">
        <v>79.434140136245489</v>
      </c>
      <c r="K1548" s="84">
        <v>78.715420536271594</v>
      </c>
      <c r="L1548" s="84">
        <v>79.193078903956106</v>
      </c>
      <c r="M1548" s="85">
        <v>4572761.4080920611</v>
      </c>
      <c r="N1548" s="83" t="s">
        <v>1553</v>
      </c>
      <c r="O1548" s="25">
        <f t="shared" si="48"/>
        <v>1.2401352874860105E-3</v>
      </c>
    </row>
    <row r="1549" spans="1:15">
      <c r="A1549" s="84">
        <v>361.54631912644413</v>
      </c>
      <c r="B1549" s="84">
        <v>362.42806468838239</v>
      </c>
      <c r="C1549" s="84">
        <v>359.84726218388641</v>
      </c>
      <c r="D1549" s="84">
        <v>361.03567359726014</v>
      </c>
      <c r="E1549" s="85">
        <v>2813102.5690080384</v>
      </c>
      <c r="F1549" s="83" t="s">
        <v>1554</v>
      </c>
      <c r="G1549" s="25">
        <f t="shared" si="47"/>
        <v>1.4143907833152891E-3</v>
      </c>
      <c r="I1549" s="84">
        <v>78.791310183473811</v>
      </c>
      <c r="J1549" s="84">
        <v>80.335887708883547</v>
      </c>
      <c r="K1549" s="84">
        <v>78.710956439377341</v>
      </c>
      <c r="L1549" s="84">
        <v>80.175180220690621</v>
      </c>
      <c r="M1549" s="85">
        <v>5405665.5963481497</v>
      </c>
      <c r="N1549" s="83" t="s">
        <v>1554</v>
      </c>
      <c r="O1549" s="25">
        <f t="shared" si="48"/>
        <v>-1.7260579064587889E-2</v>
      </c>
    </row>
    <row r="1550" spans="1:15">
      <c r="A1550" s="84">
        <v>359.8844000405544</v>
      </c>
      <c r="B1550" s="84">
        <v>361.28635412976865</v>
      </c>
      <c r="C1550" s="84">
        <v>359.68942629304775</v>
      </c>
      <c r="D1550" s="84">
        <v>361.2399318089337</v>
      </c>
      <c r="E1550" s="85">
        <v>3196833.9223660552</v>
      </c>
      <c r="F1550" s="83" t="s">
        <v>1555</v>
      </c>
      <c r="G1550" s="25">
        <f t="shared" si="47"/>
        <v>-3.7524416572425334E-3</v>
      </c>
      <c r="I1550" s="84">
        <v>79.327001810783543</v>
      </c>
      <c r="J1550" s="84">
        <v>79.96983176355522</v>
      </c>
      <c r="K1550" s="84">
        <v>79.300217229418053</v>
      </c>
      <c r="L1550" s="84">
        <v>79.782339693996818</v>
      </c>
      <c r="M1550" s="85">
        <v>5146006.1338724112</v>
      </c>
      <c r="N1550" s="83" t="s">
        <v>1555</v>
      </c>
      <c r="O1550" s="25">
        <f t="shared" si="48"/>
        <v>-5.7072515666964918E-3</v>
      </c>
    </row>
    <row r="1551" spans="1:15">
      <c r="A1551" s="84">
        <v>360.4507523547403</v>
      </c>
      <c r="B1551" s="84">
        <v>361.2399318089337</v>
      </c>
      <c r="C1551" s="84">
        <v>358.78883326885051</v>
      </c>
      <c r="D1551" s="84">
        <v>361.16565609559785</v>
      </c>
      <c r="E1551" s="85">
        <v>2570548.9913865482</v>
      </c>
      <c r="F1551" s="83" t="s">
        <v>1556</v>
      </c>
      <c r="G1551" s="25">
        <f t="shared" si="47"/>
        <v>-1.9794344473006431E-3</v>
      </c>
      <c r="I1551" s="84">
        <v>79.862693438093288</v>
      </c>
      <c r="J1551" s="84">
        <v>80.157323833113637</v>
      </c>
      <c r="K1551" s="84">
        <v>79.246648066687086</v>
      </c>
      <c r="L1551" s="84">
        <v>79.639488593380889</v>
      </c>
      <c r="M1551" s="85">
        <v>5350430.4601400355</v>
      </c>
      <c r="N1551" s="83" t="s">
        <v>1556</v>
      </c>
      <c r="O1551" s="25">
        <f t="shared" si="48"/>
        <v>2.8026905829596771E-3</v>
      </c>
    </row>
    <row r="1552" spans="1:15">
      <c r="A1552" s="84">
        <v>360.39504556973839</v>
      </c>
      <c r="B1552" s="84">
        <v>360.87783770642142</v>
      </c>
      <c r="C1552" s="84">
        <v>359.54087486637604</v>
      </c>
      <c r="D1552" s="84">
        <v>360.72000181558275</v>
      </c>
      <c r="E1552" s="85">
        <v>2693337.9837824963</v>
      </c>
      <c r="F1552" s="83" t="s">
        <v>1557</v>
      </c>
      <c r="G1552" s="25">
        <f t="shared" si="47"/>
        <v>-9.00854524863548E-4</v>
      </c>
      <c r="I1552" s="84">
        <v>79.434140136245489</v>
      </c>
      <c r="J1552" s="84">
        <v>79.594847624438415</v>
      </c>
      <c r="K1552" s="84">
        <v>78.996658640609212</v>
      </c>
      <c r="L1552" s="84">
        <v>79.434140136245489</v>
      </c>
      <c r="M1552" s="85">
        <v>6377491.5003938554</v>
      </c>
      <c r="N1552" s="83" t="s">
        <v>1557</v>
      </c>
      <c r="O1552" s="25">
        <f t="shared" si="48"/>
        <v>0</v>
      </c>
    </row>
    <row r="1553" spans="1:15">
      <c r="A1553" s="84">
        <v>360.70143288724876</v>
      </c>
      <c r="B1553" s="84">
        <v>360.97996681225823</v>
      </c>
      <c r="C1553" s="84">
        <v>359.08593612219391</v>
      </c>
      <c r="D1553" s="84">
        <v>359.13235844302881</v>
      </c>
      <c r="E1553" s="85">
        <v>2830688.9366285484</v>
      </c>
      <c r="F1553" s="83" t="s">
        <v>1558</v>
      </c>
      <c r="G1553" s="25">
        <f t="shared" si="47"/>
        <v>4.3690700860887777E-3</v>
      </c>
      <c r="I1553" s="84">
        <v>79.478781105187963</v>
      </c>
      <c r="J1553" s="84">
        <v>79.675201368534871</v>
      </c>
      <c r="K1553" s="84">
        <v>79.057727486122516</v>
      </c>
      <c r="L1553" s="84">
        <v>79.148437935013632</v>
      </c>
      <c r="M1553" s="85">
        <v>4573157.9048621645</v>
      </c>
      <c r="N1553" s="83" t="s">
        <v>1558</v>
      </c>
      <c r="O1553" s="25">
        <f t="shared" si="48"/>
        <v>4.1737168640720856E-3</v>
      </c>
    </row>
    <row r="1554" spans="1:15">
      <c r="A1554" s="84">
        <v>357.46115489297205</v>
      </c>
      <c r="B1554" s="84">
        <v>358.48244595134008</v>
      </c>
      <c r="C1554" s="84">
        <v>355.31644367039922</v>
      </c>
      <c r="D1554" s="84">
        <v>356.68125990294561</v>
      </c>
      <c r="E1554" s="85">
        <v>3652289.3933493192</v>
      </c>
      <c r="F1554" s="83" t="s">
        <v>1559</v>
      </c>
      <c r="G1554" s="25">
        <f t="shared" si="47"/>
        <v>2.186532004060604E-3</v>
      </c>
      <c r="I1554" s="84">
        <v>79.175222516379122</v>
      </c>
      <c r="J1554" s="84">
        <v>79.431461678108946</v>
      </c>
      <c r="K1554" s="84">
        <v>78.46543111019372</v>
      </c>
      <c r="L1554" s="84">
        <v>78.666315470434867</v>
      </c>
      <c r="M1554" s="85">
        <v>4573380.7942894259</v>
      </c>
      <c r="N1554" s="83" t="s">
        <v>1559</v>
      </c>
      <c r="O1554" s="25">
        <f t="shared" si="48"/>
        <v>6.4691862444672399E-3</v>
      </c>
    </row>
    <row r="1555" spans="1:15">
      <c r="A1555" s="84">
        <v>358.82597112551844</v>
      </c>
      <c r="B1555" s="84">
        <v>359.53159040220908</v>
      </c>
      <c r="C1555" s="84">
        <v>357.88824024465328</v>
      </c>
      <c r="D1555" s="84">
        <v>358.79811773301748</v>
      </c>
      <c r="E1555" s="85">
        <v>3456517.1907418692</v>
      </c>
      <c r="F1555" s="83" t="s">
        <v>1560</v>
      </c>
      <c r="G1555" s="25">
        <f t="shared" si="47"/>
        <v>7.7629706300985646E-5</v>
      </c>
      <c r="I1555" s="84">
        <v>79.130581547436634</v>
      </c>
      <c r="J1555" s="84">
        <v>79.684129562323363</v>
      </c>
      <c r="K1555" s="84">
        <v>78.966749191417748</v>
      </c>
      <c r="L1555" s="84">
        <v>79.684129562323363</v>
      </c>
      <c r="M1555" s="85">
        <v>4961159.1156405099</v>
      </c>
      <c r="N1555" s="83" t="s">
        <v>1560</v>
      </c>
      <c r="O1555" s="25">
        <f t="shared" si="48"/>
        <v>-6.9467787114846358E-3</v>
      </c>
    </row>
    <row r="1556" spans="1:15">
      <c r="A1556" s="84">
        <v>358.2224809546646</v>
      </c>
      <c r="B1556" s="84">
        <v>360.81284645725259</v>
      </c>
      <c r="C1556" s="84">
        <v>357.8046800671504</v>
      </c>
      <c r="D1556" s="84">
        <v>360.70143288724876</v>
      </c>
      <c r="E1556" s="85">
        <v>4727297.0427400786</v>
      </c>
      <c r="F1556" s="83" t="s">
        <v>1561</v>
      </c>
      <c r="G1556" s="25">
        <f t="shared" si="47"/>
        <v>-6.8725868725867389E-3</v>
      </c>
      <c r="I1556" s="84">
        <v>79.451996523822473</v>
      </c>
      <c r="J1556" s="84">
        <v>80.291246739941073</v>
      </c>
      <c r="K1556" s="84">
        <v>79.318073616995051</v>
      </c>
      <c r="L1556" s="84">
        <v>80.184108414479127</v>
      </c>
      <c r="M1556" s="85">
        <v>4819034.0643636147</v>
      </c>
      <c r="N1556" s="83" t="s">
        <v>1561</v>
      </c>
      <c r="O1556" s="25">
        <f t="shared" si="48"/>
        <v>-9.1303863712283162E-3</v>
      </c>
    </row>
    <row r="1557" spans="1:15">
      <c r="A1557" s="84">
        <v>358.50101487967407</v>
      </c>
      <c r="B1557" s="84">
        <v>359.55944379470998</v>
      </c>
      <c r="C1557" s="84">
        <v>358.32461006050141</v>
      </c>
      <c r="D1557" s="84">
        <v>359.33661665470242</v>
      </c>
      <c r="E1557" s="85">
        <v>3630922.5167658012</v>
      </c>
      <c r="F1557" s="83" t="s">
        <v>1562</v>
      </c>
      <c r="G1557" s="25">
        <f t="shared" si="47"/>
        <v>-2.325401131695104E-3</v>
      </c>
      <c r="I1557" s="84">
        <v>79.202007097744598</v>
      </c>
      <c r="J1557" s="84">
        <v>79.309145423206544</v>
      </c>
      <c r="K1557" s="84">
        <v>78.599354017021142</v>
      </c>
      <c r="L1557" s="84">
        <v>78.925233090301248</v>
      </c>
      <c r="M1557" s="85">
        <v>5432982.4317325102</v>
      </c>
      <c r="N1557" s="83" t="s">
        <v>1562</v>
      </c>
      <c r="O1557" s="25">
        <f t="shared" si="48"/>
        <v>3.5067873303165076E-3</v>
      </c>
    </row>
    <row r="1558" spans="1:15">
      <c r="A1558" s="84">
        <v>357.8046800671504</v>
      </c>
      <c r="B1558" s="84">
        <v>359.10450505052785</v>
      </c>
      <c r="C1558" s="84">
        <v>357.74897328214848</v>
      </c>
      <c r="D1558" s="84">
        <v>358.64176735644554</v>
      </c>
      <c r="E1558" s="85">
        <v>3248290.8499181061</v>
      </c>
      <c r="F1558" s="83" t="s">
        <v>1563</v>
      </c>
      <c r="G1558" s="25">
        <f t="shared" si="47"/>
        <v>-2.3340485283276369E-3</v>
      </c>
      <c r="I1558" s="84">
        <v>79.11272515985965</v>
      </c>
      <c r="J1558" s="84">
        <v>79.291289035629561</v>
      </c>
      <c r="K1558" s="84">
        <v>78.304723622000793</v>
      </c>
      <c r="L1558" s="84">
        <v>79.014515028186196</v>
      </c>
      <c r="M1558" s="85">
        <v>11751742.0080192</v>
      </c>
      <c r="N1558" s="83" t="s">
        <v>1563</v>
      </c>
      <c r="O1558" s="25">
        <f t="shared" si="48"/>
        <v>1.242937853107362E-3</v>
      </c>
    </row>
    <row r="1559" spans="1:15">
      <c r="A1559" s="84">
        <v>357.64684417631167</v>
      </c>
      <c r="B1559" s="84">
        <v>358.14820524132875</v>
      </c>
      <c r="C1559" s="84">
        <v>356.58841526127577</v>
      </c>
      <c r="D1559" s="84">
        <v>357.5354306063079</v>
      </c>
      <c r="E1559" s="85">
        <v>2846373.2020186679</v>
      </c>
      <c r="F1559" s="83" t="s">
        <v>1564</v>
      </c>
      <c r="G1559" s="25">
        <f t="shared" si="47"/>
        <v>3.1161546651437E-4</v>
      </c>
      <c r="I1559" s="84">
        <v>77.228876270487078</v>
      </c>
      <c r="J1559" s="84">
        <v>77.434224727622478</v>
      </c>
      <c r="K1559" s="84">
        <v>76.782466581062295</v>
      </c>
      <c r="L1559" s="84">
        <v>77.077096976082643</v>
      </c>
      <c r="M1559" s="85">
        <v>5405516.6300475178</v>
      </c>
      <c r="N1559" s="83" t="s">
        <v>1564</v>
      </c>
      <c r="O1559" s="25">
        <f t="shared" si="48"/>
        <v>1.9691879995367145E-3</v>
      </c>
    </row>
    <row r="1560" spans="1:15">
      <c r="A1560" s="84">
        <v>356.99693168462295</v>
      </c>
      <c r="B1560" s="84">
        <v>359.08593612219391</v>
      </c>
      <c r="C1560" s="84">
        <v>356.46771722710503</v>
      </c>
      <c r="D1560" s="84">
        <v>358.75169541218253</v>
      </c>
      <c r="E1560" s="85">
        <v>4342530.6269565765</v>
      </c>
      <c r="F1560" s="83" t="s">
        <v>1565</v>
      </c>
      <c r="G1560" s="25">
        <f t="shared" si="47"/>
        <v>-4.891304347826031E-3</v>
      </c>
      <c r="I1560" s="84">
        <v>77.014599619563185</v>
      </c>
      <c r="J1560" s="84">
        <v>77.925275385989735</v>
      </c>
      <c r="K1560" s="84">
        <v>76.773538387273788</v>
      </c>
      <c r="L1560" s="84">
        <v>77.344942789737516</v>
      </c>
      <c r="M1560" s="85">
        <v>8519666.1051436309</v>
      </c>
      <c r="N1560" s="83" t="s">
        <v>1565</v>
      </c>
      <c r="O1560" s="25">
        <f t="shared" si="48"/>
        <v>-4.2710377467388705E-3</v>
      </c>
    </row>
    <row r="1561" spans="1:15">
      <c r="A1561" s="84">
        <v>357.74897328214848</v>
      </c>
      <c r="B1561" s="84">
        <v>358.75169541218253</v>
      </c>
      <c r="C1561" s="84">
        <v>356.00349401875593</v>
      </c>
      <c r="D1561" s="84">
        <v>356.23560562293045</v>
      </c>
      <c r="E1561" s="85">
        <v>3190763.5666636303</v>
      </c>
      <c r="F1561" s="83" t="s">
        <v>1566</v>
      </c>
      <c r="G1561" s="25">
        <f t="shared" si="47"/>
        <v>4.2482212202559211E-3</v>
      </c>
      <c r="I1561" s="84">
        <v>77.21101988291008</v>
      </c>
      <c r="J1561" s="84">
        <v>77.630644990969373</v>
      </c>
      <c r="K1561" s="84">
        <v>76.782466581062295</v>
      </c>
      <c r="L1561" s="84">
        <v>77.219948076698572</v>
      </c>
      <c r="M1561" s="85">
        <v>5727142.7134441519</v>
      </c>
      <c r="N1561" s="83" t="s">
        <v>1566</v>
      </c>
      <c r="O1561" s="25">
        <f t="shared" si="48"/>
        <v>-1.1562030292511238E-4</v>
      </c>
    </row>
    <row r="1562" spans="1:15">
      <c r="A1562" s="84">
        <v>354.1744545778605</v>
      </c>
      <c r="B1562" s="84">
        <v>356.94122489962109</v>
      </c>
      <c r="C1562" s="84">
        <v>353.74736922617927</v>
      </c>
      <c r="D1562" s="84">
        <v>355.80852027124934</v>
      </c>
      <c r="E1562" s="85">
        <v>3842389.755444177</v>
      </c>
      <c r="F1562" s="83" t="s">
        <v>1567</v>
      </c>
      <c r="G1562" s="25">
        <f t="shared" si="47"/>
        <v>-4.5925423374997276E-3</v>
      </c>
      <c r="I1562" s="84">
        <v>76.612830899080876</v>
      </c>
      <c r="J1562" s="84">
        <v>77.764567897796809</v>
      </c>
      <c r="K1562" s="84">
        <v>76.380697860579986</v>
      </c>
      <c r="L1562" s="84">
        <v>76.648543674234858</v>
      </c>
      <c r="M1562" s="85">
        <v>6500576.8663741527</v>
      </c>
      <c r="N1562" s="83" t="s">
        <v>1567</v>
      </c>
      <c r="O1562" s="25">
        <f t="shared" si="48"/>
        <v>-4.659289458357474E-4</v>
      </c>
    </row>
    <row r="1563" spans="1:15">
      <c r="A1563" s="84">
        <v>354.44370403870295</v>
      </c>
      <c r="B1563" s="84">
        <v>355.58569313124173</v>
      </c>
      <c r="C1563" s="84">
        <v>351.37054639943193</v>
      </c>
      <c r="D1563" s="84">
        <v>351.48195996943571</v>
      </c>
      <c r="E1563" s="85">
        <v>5144846.1796936849</v>
      </c>
      <c r="F1563" s="83" t="s">
        <v>1568</v>
      </c>
      <c r="G1563" s="25">
        <f t="shared" si="47"/>
        <v>8.4264468922523594E-3</v>
      </c>
      <c r="I1563" s="84">
        <v>76.094995659348129</v>
      </c>
      <c r="J1563" s="84">
        <v>76.389626054368492</v>
      </c>
      <c r="K1563" s="84">
        <v>75.077181567459633</v>
      </c>
      <c r="L1563" s="84">
        <v>75.657514163711838</v>
      </c>
      <c r="M1563" s="85">
        <v>11267817.700107418</v>
      </c>
      <c r="N1563" s="83" t="s">
        <v>1568</v>
      </c>
      <c r="O1563" s="25">
        <f t="shared" si="48"/>
        <v>5.7823932027378788E-3</v>
      </c>
    </row>
    <row r="1564" spans="1:15">
      <c r="A1564" s="84">
        <v>350.70206497940922</v>
      </c>
      <c r="B1564" s="84">
        <v>350.80419408524602</v>
      </c>
      <c r="C1564" s="84">
        <v>345.95770379008144</v>
      </c>
      <c r="D1564" s="84">
        <v>347.29466663012687</v>
      </c>
      <c r="E1564" s="85">
        <v>5478259.0664608767</v>
      </c>
      <c r="F1564" s="83" t="s">
        <v>1569</v>
      </c>
      <c r="G1564" s="25">
        <f t="shared" si="47"/>
        <v>9.8112602256321679E-3</v>
      </c>
      <c r="I1564" s="84">
        <v>75.621801388557827</v>
      </c>
      <c r="J1564" s="84">
        <v>75.675049928439449</v>
      </c>
      <c r="K1564" s="84">
        <v>74.175216055106944</v>
      </c>
      <c r="L1564" s="84">
        <v>75.293435392621134</v>
      </c>
      <c r="M1564" s="85">
        <v>10475163.849374508</v>
      </c>
      <c r="N1564" s="83" t="s">
        <v>1569</v>
      </c>
      <c r="O1564" s="25">
        <f t="shared" si="48"/>
        <v>4.3611504007541324E-3</v>
      </c>
    </row>
    <row r="1565" spans="1:15">
      <c r="A1565" s="84">
        <v>351.63051139610741</v>
      </c>
      <c r="B1565" s="84">
        <v>355.10290099455869</v>
      </c>
      <c r="C1565" s="84">
        <v>351.45410657693475</v>
      </c>
      <c r="D1565" s="84">
        <v>354.89864278288508</v>
      </c>
      <c r="E1565" s="85">
        <v>3369402.8473125147</v>
      </c>
      <c r="F1565" s="83" t="s">
        <v>1570</v>
      </c>
      <c r="G1565" s="25">
        <f t="shared" si="47"/>
        <v>-9.2086330935252647E-3</v>
      </c>
      <c r="I1565" s="84">
        <v>75.772672251555775</v>
      </c>
      <c r="J1565" s="84">
        <v>77.174883801771955</v>
      </c>
      <c r="K1565" s="84">
        <v>75.74604798161495</v>
      </c>
      <c r="L1565" s="84">
        <v>76.50040229660469</v>
      </c>
      <c r="M1565" s="85">
        <v>8381450.1015827693</v>
      </c>
      <c r="N1565" s="83" t="s">
        <v>1570</v>
      </c>
      <c r="O1565" s="25">
        <f t="shared" si="48"/>
        <v>-9.5127610208817215E-3</v>
      </c>
    </row>
    <row r="1566" spans="1:15">
      <c r="A1566" s="84">
        <v>354.69438457121146</v>
      </c>
      <c r="B1566" s="84">
        <v>355.36286599123417</v>
      </c>
      <c r="C1566" s="84">
        <v>352.80963834531411</v>
      </c>
      <c r="D1566" s="84">
        <v>354.57368653704066</v>
      </c>
      <c r="E1566" s="85">
        <v>4073026.6518215877</v>
      </c>
      <c r="F1566" s="83" t="s">
        <v>1571</v>
      </c>
      <c r="G1566" s="25">
        <f t="shared" si="47"/>
        <v>3.4040324692341528E-4</v>
      </c>
      <c r="I1566" s="84">
        <v>76.828768292541383</v>
      </c>
      <c r="J1566" s="84">
        <v>76.828768292541383</v>
      </c>
      <c r="K1566" s="84">
        <v>75.488680038853758</v>
      </c>
      <c r="L1566" s="84">
        <v>75.488680038853758</v>
      </c>
      <c r="M1566" s="85">
        <v>5701393.5156698916</v>
      </c>
      <c r="N1566" s="83" t="s">
        <v>1571</v>
      </c>
      <c r="O1566" s="25">
        <f t="shared" si="48"/>
        <v>1.775217493533976E-2</v>
      </c>
    </row>
    <row r="1567" spans="1:15">
      <c r="A1567" s="84">
        <v>355.5485552745738</v>
      </c>
      <c r="B1567" s="84">
        <v>356.32845026460029</v>
      </c>
      <c r="C1567" s="84">
        <v>352.63323352614145</v>
      </c>
      <c r="D1567" s="84">
        <v>352.63323352614145</v>
      </c>
      <c r="E1567" s="85">
        <v>5566200.5981761543</v>
      </c>
      <c r="F1567" s="83" t="s">
        <v>1572</v>
      </c>
      <c r="G1567" s="25">
        <f t="shared" si="47"/>
        <v>8.2672915405070935E-3</v>
      </c>
      <c r="I1567" s="84">
        <v>76.216410083902659</v>
      </c>
      <c r="J1567" s="84">
        <v>76.385030460194486</v>
      </c>
      <c r="K1567" s="84">
        <v>74.863009695244642</v>
      </c>
      <c r="L1567" s="84">
        <v>74.947319883390549</v>
      </c>
      <c r="M1567" s="85">
        <v>5622165.4277377445</v>
      </c>
      <c r="N1567" s="83" t="s">
        <v>1572</v>
      </c>
      <c r="O1567" s="25">
        <f t="shared" si="48"/>
        <v>1.6933096506808631E-2</v>
      </c>
    </row>
    <row r="1568" spans="1:15">
      <c r="A1568" s="84">
        <v>350.17285052189129</v>
      </c>
      <c r="B1568" s="84">
        <v>351.92761424945087</v>
      </c>
      <c r="C1568" s="84">
        <v>347.39679573596368</v>
      </c>
      <c r="D1568" s="84">
        <v>347.43393359263155</v>
      </c>
      <c r="E1568" s="85">
        <v>7742171.0835646698</v>
      </c>
      <c r="F1568" s="83" t="s">
        <v>1573</v>
      </c>
      <c r="G1568" s="25">
        <f t="shared" si="47"/>
        <v>7.8832740974321691E-3</v>
      </c>
      <c r="I1568" s="84">
        <v>74.352711188045717</v>
      </c>
      <c r="J1568" s="84">
        <v>74.7964490203926</v>
      </c>
      <c r="K1568" s="84">
        <v>72.897251097947901</v>
      </c>
      <c r="L1568" s="84">
        <v>73.039247204298903</v>
      </c>
      <c r="M1568" s="85">
        <v>5307617.0844923919</v>
      </c>
      <c r="N1568" s="83" t="s">
        <v>1573</v>
      </c>
      <c r="O1568" s="25">
        <f t="shared" si="48"/>
        <v>1.7982989064398547E-2</v>
      </c>
    </row>
    <row r="1569" spans="1:15">
      <c r="A1569" s="84">
        <v>346.05983289591825</v>
      </c>
      <c r="B1569" s="84">
        <v>352.13187246112443</v>
      </c>
      <c r="C1569" s="84">
        <v>345.50276504589931</v>
      </c>
      <c r="D1569" s="84">
        <v>350.98988336858565</v>
      </c>
      <c r="E1569" s="85">
        <v>8301438.68443128</v>
      </c>
      <c r="F1569" s="83" t="s">
        <v>1574</v>
      </c>
      <c r="G1569" s="25">
        <f t="shared" si="47"/>
        <v>-1.4046132684371937E-2</v>
      </c>
      <c r="I1569" s="84">
        <v>73.021497691005024</v>
      </c>
      <c r="J1569" s="84">
        <v>75.311184905914999</v>
      </c>
      <c r="K1569" s="84">
        <v>72.968249151123402</v>
      </c>
      <c r="L1569" s="84">
        <v>74.752075237157925</v>
      </c>
      <c r="M1569" s="85">
        <v>6858600.4576251376</v>
      </c>
      <c r="N1569" s="83" t="s">
        <v>1574</v>
      </c>
      <c r="O1569" s="25">
        <f t="shared" si="48"/>
        <v>-2.3150896355217943E-2</v>
      </c>
    </row>
    <row r="1570" spans="1:15">
      <c r="A1570" s="84">
        <v>353.6081022636746</v>
      </c>
      <c r="B1570" s="84">
        <v>354.42513511036901</v>
      </c>
      <c r="C1570" s="84">
        <v>349.97787677438464</v>
      </c>
      <c r="D1570" s="84">
        <v>352.57752674113959</v>
      </c>
      <c r="E1570" s="85">
        <v>7627258.6900423616</v>
      </c>
      <c r="F1570" s="83" t="s">
        <v>1575</v>
      </c>
      <c r="G1570" s="25">
        <f t="shared" ref="G1570:G1633" si="49">A1570/D1570-1</f>
        <v>2.9229756418696073E-3</v>
      </c>
      <c r="I1570" s="84">
        <v>74.84082280362729</v>
      </c>
      <c r="J1570" s="84">
        <v>75.612926631910895</v>
      </c>
      <c r="K1570" s="84">
        <v>73.971096652227374</v>
      </c>
      <c r="L1570" s="84">
        <v>74.760949993804843</v>
      </c>
      <c r="M1570" s="85">
        <v>7558575.7073288457</v>
      </c>
      <c r="N1570" s="83" t="s">
        <v>1575</v>
      </c>
      <c r="O1570" s="25">
        <f t="shared" ref="O1570:O1633" si="50">I1570/L1570-1</f>
        <v>1.0683760683760646E-3</v>
      </c>
    </row>
    <row r="1571" spans="1:15">
      <c r="A1571" s="84">
        <v>356.73696668794753</v>
      </c>
      <c r="B1571" s="84">
        <v>360.84998431392052</v>
      </c>
      <c r="C1571" s="84">
        <v>356.6069841896097</v>
      </c>
      <c r="D1571" s="84">
        <v>360.61787270974594</v>
      </c>
      <c r="E1571" s="85">
        <v>6400689.251549731</v>
      </c>
      <c r="F1571" s="83" t="s">
        <v>1576</v>
      </c>
      <c r="G1571" s="25">
        <f t="shared" si="49"/>
        <v>-1.0761823845935825E-2</v>
      </c>
      <c r="I1571" s="84">
        <v>75.470930525559893</v>
      </c>
      <c r="J1571" s="84">
        <v>77.24588185494747</v>
      </c>
      <c r="K1571" s="84">
        <v>75.373308202443567</v>
      </c>
      <c r="L1571" s="84">
        <v>77.086136235302575</v>
      </c>
      <c r="M1571" s="85">
        <v>10189152.626646977</v>
      </c>
      <c r="N1571" s="83" t="s">
        <v>1576</v>
      </c>
      <c r="O1571" s="25">
        <f t="shared" si="50"/>
        <v>-2.0953258116509166E-2</v>
      </c>
    </row>
    <row r="1572" spans="1:15">
      <c r="A1572" s="84">
        <v>360.26506307140062</v>
      </c>
      <c r="B1572" s="84">
        <v>360.86855324225445</v>
      </c>
      <c r="C1572" s="84">
        <v>357.75825774631551</v>
      </c>
      <c r="D1572" s="84">
        <v>358.39888577383726</v>
      </c>
      <c r="E1572" s="85">
        <v>3787639.1537015629</v>
      </c>
      <c r="F1572" s="83" t="s">
        <v>1577</v>
      </c>
      <c r="G1572" s="25">
        <f t="shared" si="49"/>
        <v>5.2069840940882628E-3</v>
      </c>
      <c r="I1572" s="84">
        <v>76.065539220904725</v>
      </c>
      <c r="J1572" s="84">
        <v>76.260606372004418</v>
      </c>
      <c r="K1572" s="84">
        <v>74.672202427335478</v>
      </c>
      <c r="L1572" s="84">
        <v>75.266811122680309</v>
      </c>
      <c r="M1572" s="85">
        <v>6823896.4074463341</v>
      </c>
      <c r="N1572" s="83" t="s">
        <v>1577</v>
      </c>
      <c r="O1572" s="25">
        <f t="shared" si="50"/>
        <v>1.0611956137247969E-2</v>
      </c>
    </row>
    <row r="1573" spans="1:15">
      <c r="A1573" s="84">
        <v>357.71183542548056</v>
      </c>
      <c r="B1573" s="84">
        <v>357.79539560298343</v>
      </c>
      <c r="C1573" s="84">
        <v>353.06031887782262</v>
      </c>
      <c r="D1573" s="84">
        <v>354.90792724705204</v>
      </c>
      <c r="E1573" s="85">
        <v>5102382.7706148867</v>
      </c>
      <c r="F1573" s="83" t="s">
        <v>1578</v>
      </c>
      <c r="G1573" s="25">
        <f t="shared" si="49"/>
        <v>7.9003819389942276E-3</v>
      </c>
      <c r="I1573" s="84">
        <v>75.151439286270133</v>
      </c>
      <c r="J1573" s="84">
        <v>75.346683932502756</v>
      </c>
      <c r="K1573" s="84">
        <v>74.130931019438734</v>
      </c>
      <c r="L1573" s="84">
        <v>75.266811122680309</v>
      </c>
      <c r="M1573" s="85">
        <v>5525659.1195568312</v>
      </c>
      <c r="N1573" s="83" t="s">
        <v>1578</v>
      </c>
      <c r="O1573" s="25">
        <f t="shared" si="50"/>
        <v>-1.532838108713408E-3</v>
      </c>
    </row>
    <row r="1574" spans="1:15">
      <c r="A1574" s="84">
        <v>354.82436706954923</v>
      </c>
      <c r="B1574" s="84">
        <v>356.43986383460407</v>
      </c>
      <c r="C1574" s="84">
        <v>354.14660118535954</v>
      </c>
      <c r="D1574" s="84">
        <v>356.26345901543141</v>
      </c>
      <c r="E1574" s="85">
        <v>4750582.1775751971</v>
      </c>
      <c r="F1574" s="83" t="s">
        <v>1579</v>
      </c>
      <c r="G1574" s="25">
        <f t="shared" si="49"/>
        <v>-4.0394037318878251E-3</v>
      </c>
      <c r="I1574" s="84">
        <v>74.663327670688531</v>
      </c>
      <c r="J1574" s="84">
        <v>75.142564529623186</v>
      </c>
      <c r="K1574" s="84">
        <v>74.1397170285192</v>
      </c>
      <c r="L1574" s="84">
        <v>74.219589838341633</v>
      </c>
      <c r="M1574" s="85">
        <v>5248857.1634324798</v>
      </c>
      <c r="N1574" s="83" t="s">
        <v>1579</v>
      </c>
      <c r="O1574" s="25">
        <f t="shared" si="50"/>
        <v>5.9787157718522721E-3</v>
      </c>
    </row>
    <row r="1575" spans="1:15">
      <c r="A1575" s="84">
        <v>354.75937582038034</v>
      </c>
      <c r="B1575" s="84">
        <v>355.55783973874077</v>
      </c>
      <c r="C1575" s="84">
        <v>351.37054639943193</v>
      </c>
      <c r="D1575" s="84">
        <v>355.14932331539353</v>
      </c>
      <c r="E1575" s="85">
        <v>5908414.2082301648</v>
      </c>
      <c r="F1575" s="83" t="s">
        <v>1580</v>
      </c>
      <c r="G1575" s="25">
        <f t="shared" si="49"/>
        <v>-1.0979818048727497E-3</v>
      </c>
      <c r="I1575" s="84">
        <v>74.494707294396719</v>
      </c>
      <c r="J1575" s="84">
        <v>75.071566476447686</v>
      </c>
      <c r="K1575" s="84">
        <v>73.79369026685508</v>
      </c>
      <c r="L1575" s="84">
        <v>74.654452914041599</v>
      </c>
      <c r="M1575" s="85">
        <v>10487078.542273326</v>
      </c>
      <c r="N1575" s="83" t="s">
        <v>1580</v>
      </c>
      <c r="O1575" s="25">
        <f t="shared" si="50"/>
        <v>-2.1398002853066922E-3</v>
      </c>
    </row>
    <row r="1576" spans="1:15">
      <c r="A1576" s="84">
        <v>356.93194043545412</v>
      </c>
      <c r="B1576" s="84">
        <v>358.32461006050141</v>
      </c>
      <c r="C1576" s="84">
        <v>356.48628615543896</v>
      </c>
      <c r="D1576" s="84">
        <v>357.97180042215609</v>
      </c>
      <c r="E1576" s="85">
        <v>4503019.1563107008</v>
      </c>
      <c r="F1576" s="83" t="s">
        <v>1581</v>
      </c>
      <c r="G1576" s="25">
        <f t="shared" si="49"/>
        <v>-2.9048656499636172E-3</v>
      </c>
      <c r="I1576" s="84">
        <v>74.672202427335478</v>
      </c>
      <c r="J1576" s="84">
        <v>74.942882505067075</v>
      </c>
      <c r="K1576" s="84">
        <v>73.908973355698819</v>
      </c>
      <c r="L1576" s="84">
        <v>74.370460701339582</v>
      </c>
      <c r="M1576" s="85">
        <v>6567813.8926898139</v>
      </c>
      <c r="N1576" s="83" t="s">
        <v>1581</v>
      </c>
      <c r="O1576" s="25">
        <f t="shared" si="50"/>
        <v>4.0572792362769672E-3</v>
      </c>
    </row>
    <row r="1577" spans="1:15">
      <c r="A1577" s="84">
        <v>356.12419205292667</v>
      </c>
      <c r="B1577" s="84">
        <v>357.22904328879753</v>
      </c>
      <c r="C1577" s="84">
        <v>355.34429706290018</v>
      </c>
      <c r="D1577" s="84">
        <v>356.43986383460407</v>
      </c>
      <c r="E1577" s="85">
        <v>5621440.188827374</v>
      </c>
      <c r="F1577" s="83" t="s">
        <v>1582</v>
      </c>
      <c r="G1577" s="25">
        <f t="shared" si="49"/>
        <v>-8.8562423484672692E-4</v>
      </c>
      <c r="I1577" s="84">
        <v>73.873474329111062</v>
      </c>
      <c r="J1577" s="84">
        <v>74.02239274564667</v>
      </c>
      <c r="K1577" s="84">
        <v>73.083620987533578</v>
      </c>
      <c r="L1577" s="84">
        <v>73.261116120472352</v>
      </c>
      <c r="M1577" s="85">
        <v>6328012.3877398958</v>
      </c>
      <c r="N1577" s="83" t="s">
        <v>1582</v>
      </c>
      <c r="O1577" s="25">
        <f t="shared" si="50"/>
        <v>8.3585705632949203E-3</v>
      </c>
    </row>
    <row r="1578" spans="1:15">
      <c r="A1578" s="84">
        <v>358.49173041550711</v>
      </c>
      <c r="B1578" s="84">
        <v>359.06736719385998</v>
      </c>
      <c r="C1578" s="84">
        <v>355.41857277623603</v>
      </c>
      <c r="D1578" s="84">
        <v>358.75169541218253</v>
      </c>
      <c r="E1578" s="85">
        <v>4534327.3712784247</v>
      </c>
      <c r="F1578" s="83" t="s">
        <v>1583</v>
      </c>
      <c r="G1578" s="25">
        <f t="shared" si="49"/>
        <v>-7.2463768115926808E-4</v>
      </c>
      <c r="I1578" s="84">
        <v>73.545108333174369</v>
      </c>
      <c r="J1578" s="84">
        <v>74.370460701339582</v>
      </c>
      <c r="K1578" s="84">
        <v>73.221179715561121</v>
      </c>
      <c r="L1578" s="84">
        <v>74.157466541813079</v>
      </c>
      <c r="M1578" s="85">
        <v>7027820.8723075129</v>
      </c>
      <c r="N1578" s="83" t="s">
        <v>1583</v>
      </c>
      <c r="O1578" s="25">
        <f t="shared" si="50"/>
        <v>-8.2575394925801238E-3</v>
      </c>
    </row>
    <row r="1579" spans="1:15">
      <c r="A1579" s="84">
        <v>356.11490758875971</v>
      </c>
      <c r="B1579" s="84">
        <v>357.60896356251044</v>
      </c>
      <c r="C1579" s="84">
        <v>355.8178047354163</v>
      </c>
      <c r="D1579" s="84">
        <v>356.61626865377673</v>
      </c>
      <c r="E1579" s="85">
        <v>4265608.5787742147</v>
      </c>
      <c r="F1579" s="83" t="s">
        <v>1584</v>
      </c>
      <c r="G1579" s="25">
        <f t="shared" si="49"/>
        <v>-1.4058838844051014E-3</v>
      </c>
      <c r="I1579" s="84">
        <v>73.73147822276006</v>
      </c>
      <c r="J1579" s="84">
        <v>73.766977249347818</v>
      </c>
      <c r="K1579" s="84">
        <v>72.311517159250002</v>
      </c>
      <c r="L1579" s="84">
        <v>72.311517159250002</v>
      </c>
      <c r="M1579" s="85">
        <v>8072569.5193815855</v>
      </c>
      <c r="N1579" s="83" t="s">
        <v>1584</v>
      </c>
      <c r="O1579" s="25">
        <f t="shared" si="50"/>
        <v>1.9636720667648433E-2</v>
      </c>
    </row>
    <row r="1580" spans="1:15">
      <c r="A1580" s="84">
        <v>356.2820279437654</v>
      </c>
      <c r="B1580" s="84">
        <v>356.87623365045221</v>
      </c>
      <c r="C1580" s="84">
        <v>355.33501259873321</v>
      </c>
      <c r="D1580" s="84">
        <v>356.70911329544651</v>
      </c>
      <c r="E1580" s="85">
        <v>3630410.9094275022</v>
      </c>
      <c r="F1580" s="83" t="s">
        <v>1585</v>
      </c>
      <c r="G1580" s="25">
        <f t="shared" si="49"/>
        <v>-1.1972930765224987E-3</v>
      </c>
      <c r="I1580" s="84">
        <v>73.491859793292733</v>
      </c>
      <c r="J1580" s="84">
        <v>74.27283837822327</v>
      </c>
      <c r="K1580" s="84">
        <v>71.77903176043371</v>
      </c>
      <c r="L1580" s="84">
        <v>73.447486010058043</v>
      </c>
      <c r="M1580" s="85">
        <v>12487522.126957484</v>
      </c>
      <c r="N1580" s="83" t="s">
        <v>1585</v>
      </c>
      <c r="O1580" s="25">
        <f t="shared" si="50"/>
        <v>6.0415659738999317E-4</v>
      </c>
    </row>
    <row r="1581" spans="1:15">
      <c r="A1581" s="84">
        <v>356.39344151376918</v>
      </c>
      <c r="B1581" s="84">
        <v>356.94122489962109</v>
      </c>
      <c r="C1581" s="84">
        <v>355.8920804487521</v>
      </c>
      <c r="D1581" s="84">
        <v>356.27274347959843</v>
      </c>
      <c r="E1581" s="85">
        <v>3366068.2445348874</v>
      </c>
      <c r="F1581" s="83" t="s">
        <v>1586</v>
      </c>
      <c r="G1581" s="25">
        <f t="shared" si="49"/>
        <v>3.3877987126351705E-4</v>
      </c>
      <c r="I1581" s="84">
        <v>71.885528840196969</v>
      </c>
      <c r="J1581" s="84">
        <v>72.835127801419318</v>
      </c>
      <c r="K1581" s="84">
        <v>71.703596328934751</v>
      </c>
      <c r="L1581" s="84">
        <v>71.885528840196969</v>
      </c>
      <c r="M1581" s="85">
        <v>13685526.80730761</v>
      </c>
      <c r="N1581" s="83" t="s">
        <v>1586</v>
      </c>
      <c r="O1581" s="25">
        <f t="shared" si="50"/>
        <v>0</v>
      </c>
    </row>
    <row r="1582" spans="1:15">
      <c r="A1582" s="84">
        <v>355.62283098790965</v>
      </c>
      <c r="B1582" s="84">
        <v>356.94586713170457</v>
      </c>
      <c r="C1582" s="84">
        <v>352.30827728029709</v>
      </c>
      <c r="D1582" s="84">
        <v>352.4104063861339</v>
      </c>
      <c r="E1582" s="85">
        <v>4074773.6562483679</v>
      </c>
      <c r="F1582" s="83" t="s">
        <v>1587</v>
      </c>
      <c r="G1582" s="25">
        <f t="shared" si="49"/>
        <v>9.1155781542271441E-3</v>
      </c>
      <c r="I1582" s="84">
        <v>71.477290034437843</v>
      </c>
      <c r="J1582" s="84">
        <v>71.672534680670466</v>
      </c>
      <c r="K1582" s="84">
        <v>69.94195713451758</v>
      </c>
      <c r="L1582" s="84">
        <v>69.94195713451758</v>
      </c>
      <c r="M1582" s="85">
        <v>8047777.8536770493</v>
      </c>
      <c r="N1582" s="83" t="s">
        <v>1587</v>
      </c>
      <c r="O1582" s="25">
        <f t="shared" si="50"/>
        <v>2.195152899378261E-2</v>
      </c>
    </row>
    <row r="1583" spans="1:15">
      <c r="A1583" s="84">
        <v>351.87190746444895</v>
      </c>
      <c r="B1583" s="84">
        <v>355.70174893332899</v>
      </c>
      <c r="C1583" s="84">
        <v>350.9156076552498</v>
      </c>
      <c r="D1583" s="84">
        <v>354.9636340320539</v>
      </c>
      <c r="E1583" s="85">
        <v>4270592.1727832854</v>
      </c>
      <c r="F1583" s="83" t="s">
        <v>1588</v>
      </c>
      <c r="G1583" s="25">
        <f t="shared" si="49"/>
        <v>-8.7099811676081274E-3</v>
      </c>
      <c r="I1583" s="84">
        <v>69.879833837989011</v>
      </c>
      <c r="J1583" s="84">
        <v>70.91818036568074</v>
      </c>
      <c r="K1583" s="84">
        <v>69.711213461697184</v>
      </c>
      <c r="L1583" s="84">
        <v>70.101702754162446</v>
      </c>
      <c r="M1583" s="85">
        <v>7557116.5123880506</v>
      </c>
      <c r="N1583" s="83" t="s">
        <v>1588</v>
      </c>
      <c r="O1583" s="25">
        <f t="shared" si="50"/>
        <v>-3.1649575895681403E-3</v>
      </c>
    </row>
    <row r="1584" spans="1:15">
      <c r="A1584" s="84">
        <v>355.1307543870596</v>
      </c>
      <c r="B1584" s="84">
        <v>355.28859027789832</v>
      </c>
      <c r="C1584" s="84">
        <v>351.08272801025544</v>
      </c>
      <c r="D1584" s="84">
        <v>351.2127105085932</v>
      </c>
      <c r="E1584" s="85">
        <v>3920613.9789360194</v>
      </c>
      <c r="F1584" s="83" t="s">
        <v>1589</v>
      </c>
      <c r="G1584" s="25">
        <f t="shared" si="49"/>
        <v>1.1155757639843555E-2</v>
      </c>
      <c r="I1584" s="84">
        <v>69.995205674399202</v>
      </c>
      <c r="J1584" s="84">
        <v>70.05732897092777</v>
      </c>
      <c r="K1584" s="84">
        <v>67.803140782605553</v>
      </c>
      <c r="L1584" s="84">
        <v>68.167005805130003</v>
      </c>
      <c r="M1584" s="85">
        <v>5844793.5040446827</v>
      </c>
      <c r="N1584" s="83" t="s">
        <v>1589</v>
      </c>
      <c r="O1584" s="25">
        <f t="shared" si="50"/>
        <v>2.6819424554094473E-2</v>
      </c>
    </row>
    <row r="1585" spans="1:15">
      <c r="A1585" s="84">
        <v>351.82548514361406</v>
      </c>
      <c r="B1585" s="84">
        <v>353.88663618868407</v>
      </c>
      <c r="C1585" s="84">
        <v>350.45602667898419</v>
      </c>
      <c r="D1585" s="84">
        <v>353.26457708949624</v>
      </c>
      <c r="E1585" s="85">
        <v>4423237.4923742693</v>
      </c>
      <c r="F1585" s="83" t="s">
        <v>1590</v>
      </c>
      <c r="G1585" s="25">
        <f t="shared" si="49"/>
        <v>-4.0736944466345237E-3</v>
      </c>
      <c r="I1585" s="84">
        <v>68.415498991244263</v>
      </c>
      <c r="J1585" s="84">
        <v>69.143229036293164</v>
      </c>
      <c r="K1585" s="84">
        <v>67.510717551088931</v>
      </c>
      <c r="L1585" s="84">
        <v>69.045606713176838</v>
      </c>
      <c r="M1585" s="85">
        <v>9795103.5119361393</v>
      </c>
      <c r="N1585" s="83" t="s">
        <v>1590</v>
      </c>
      <c r="O1585" s="25">
        <f t="shared" si="50"/>
        <v>-9.125964010282539E-3</v>
      </c>
    </row>
    <row r="1586" spans="1:15">
      <c r="A1586" s="84">
        <v>354.42513511036901</v>
      </c>
      <c r="B1586" s="84">
        <v>355.67853777291151</v>
      </c>
      <c r="C1586" s="84">
        <v>353.15316351949247</v>
      </c>
      <c r="D1586" s="84">
        <v>355.24216795706337</v>
      </c>
      <c r="E1586" s="85">
        <v>4249833.8396653226</v>
      </c>
      <c r="F1586" s="83" t="s">
        <v>1591</v>
      </c>
      <c r="G1586" s="25">
        <f t="shared" si="49"/>
        <v>-2.2999320474620388E-3</v>
      </c>
      <c r="I1586" s="84">
        <v>69.746712488284942</v>
      </c>
      <c r="J1586" s="84">
        <v>69.870959081342079</v>
      </c>
      <c r="K1586" s="84">
        <v>68.988630775503509</v>
      </c>
      <c r="L1586" s="84">
        <v>69.329598925878869</v>
      </c>
      <c r="M1586" s="85">
        <v>7060047.1080656145</v>
      </c>
      <c r="N1586" s="83" t="s">
        <v>1591</v>
      </c>
      <c r="O1586" s="25">
        <f t="shared" si="50"/>
        <v>6.0163850486429915E-3</v>
      </c>
    </row>
    <row r="1587" spans="1:15">
      <c r="A1587" s="84">
        <v>356.17989883792859</v>
      </c>
      <c r="B1587" s="84">
        <v>356.66269097461162</v>
      </c>
      <c r="C1587" s="84">
        <v>354.84293599788316</v>
      </c>
      <c r="D1587" s="84">
        <v>356.11305069592629</v>
      </c>
      <c r="E1587" s="85">
        <v>3503119.7724545249</v>
      </c>
      <c r="F1587" s="83" t="s">
        <v>1592</v>
      </c>
      <c r="G1587" s="25">
        <f t="shared" si="49"/>
        <v>1.8771606901712978E-4</v>
      </c>
      <c r="I1587" s="84">
        <v>69.418346492348235</v>
      </c>
      <c r="J1587" s="84">
        <v>69.746712488284942</v>
      </c>
      <c r="K1587" s="84">
        <v>68.379999964656506</v>
      </c>
      <c r="L1587" s="84">
        <v>69.746712488284942</v>
      </c>
      <c r="M1587" s="85">
        <v>8597101.0851689316</v>
      </c>
      <c r="N1587" s="83" t="s">
        <v>1592</v>
      </c>
      <c r="O1587" s="25">
        <f t="shared" si="50"/>
        <v>-4.7079781142639332E-3</v>
      </c>
    </row>
    <row r="1588" spans="1:15">
      <c r="A1588" s="84">
        <v>354.935780639553</v>
      </c>
      <c r="B1588" s="84">
        <v>355.16789224372758</v>
      </c>
      <c r="C1588" s="84">
        <v>353.06960334198959</v>
      </c>
      <c r="D1588" s="84">
        <v>353.11602566282448</v>
      </c>
      <c r="E1588" s="85">
        <v>3849256.0644581867</v>
      </c>
      <c r="F1588" s="83" t="s">
        <v>1593</v>
      </c>
      <c r="G1588" s="25">
        <f t="shared" si="49"/>
        <v>5.1534193989430932E-3</v>
      </c>
      <c r="I1588" s="84">
        <v>69.196477576174786</v>
      </c>
      <c r="J1588" s="84">
        <v>69.471595032229871</v>
      </c>
      <c r="K1588" s="84">
        <v>68.317876668127937</v>
      </c>
      <c r="L1588" s="84">
        <v>69.365097952466613</v>
      </c>
      <c r="M1588" s="85">
        <v>5753924.5335385175</v>
      </c>
      <c r="N1588" s="83" t="s">
        <v>1593</v>
      </c>
      <c r="O1588" s="25">
        <f t="shared" si="50"/>
        <v>-2.4309109518936278E-3</v>
      </c>
    </row>
    <row r="1589" spans="1:15">
      <c r="A1589" s="84">
        <v>351.16628818775831</v>
      </c>
      <c r="B1589" s="84">
        <v>353.28314601783018</v>
      </c>
      <c r="C1589" s="84">
        <v>350.67421158690826</v>
      </c>
      <c r="D1589" s="84">
        <v>352.30827728029709</v>
      </c>
      <c r="E1589" s="85">
        <v>3975519.6784822443</v>
      </c>
      <c r="F1589" s="83" t="s">
        <v>1594</v>
      </c>
      <c r="G1589" s="25">
        <f t="shared" si="49"/>
        <v>-3.2414483740051958E-3</v>
      </c>
      <c r="I1589" s="84">
        <v>69.187602819527854</v>
      </c>
      <c r="J1589" s="84">
        <v>69.831022676430848</v>
      </c>
      <c r="K1589" s="84">
        <v>69.016408763808414</v>
      </c>
      <c r="L1589" s="84">
        <v>69.223101846115611</v>
      </c>
      <c r="M1589" s="85">
        <v>5471107.7646002937</v>
      </c>
      <c r="N1589" s="83" t="s">
        <v>1594</v>
      </c>
      <c r="O1589" s="25">
        <f t="shared" si="50"/>
        <v>-5.1282051282064423E-4</v>
      </c>
    </row>
    <row r="1590" spans="1:15">
      <c r="A1590" s="84">
        <v>352.29899281613012</v>
      </c>
      <c r="B1590" s="84">
        <v>352.92105191531789</v>
      </c>
      <c r="C1590" s="84">
        <v>350.87846979858188</v>
      </c>
      <c r="D1590" s="84">
        <v>351.29627068609608</v>
      </c>
      <c r="E1590" s="85">
        <v>3215622.2979645478</v>
      </c>
      <c r="F1590" s="83" t="s">
        <v>1595</v>
      </c>
      <c r="G1590" s="25">
        <f t="shared" si="49"/>
        <v>2.8543489177259573E-3</v>
      </c>
      <c r="I1590" s="84">
        <v>68.956859146707473</v>
      </c>
      <c r="J1590" s="84">
        <v>69.294099899291112</v>
      </c>
      <c r="K1590" s="84">
        <v>68.10647996479787</v>
      </c>
      <c r="L1590" s="84">
        <v>69.223101846115611</v>
      </c>
      <c r="M1590" s="85">
        <v>6187107.1156577067</v>
      </c>
      <c r="N1590" s="83" t="s">
        <v>1595</v>
      </c>
      <c r="O1590" s="25">
        <f t="shared" si="50"/>
        <v>-3.8461538461538325E-3</v>
      </c>
    </row>
    <row r="1591" spans="1:15">
      <c r="A1591" s="84">
        <v>351.34269300693097</v>
      </c>
      <c r="B1591" s="84">
        <v>351.55623568277156</v>
      </c>
      <c r="C1591" s="84">
        <v>350.09848196391374</v>
      </c>
      <c r="D1591" s="84">
        <v>350.67421158690826</v>
      </c>
      <c r="E1591" s="85">
        <v>2959275.7865025224</v>
      </c>
      <c r="F1591" s="83" t="s">
        <v>1596</v>
      </c>
      <c r="G1591" s="25">
        <f t="shared" si="49"/>
        <v>1.9062748212868019E-3</v>
      </c>
      <c r="I1591" s="84">
        <v>69.862084324695132</v>
      </c>
      <c r="J1591" s="84">
        <v>69.950831891164512</v>
      </c>
      <c r="K1591" s="84">
        <v>69.338473682525787</v>
      </c>
      <c r="L1591" s="84">
        <v>69.444970762289046</v>
      </c>
      <c r="M1591" s="85">
        <v>6181324.4218846094</v>
      </c>
      <c r="N1591" s="83" t="s">
        <v>1596</v>
      </c>
      <c r="O1591" s="25">
        <f t="shared" si="50"/>
        <v>6.0063897763578122E-3</v>
      </c>
    </row>
    <row r="1592" spans="1:15">
      <c r="A1592" s="84">
        <v>351.1848571160923</v>
      </c>
      <c r="B1592" s="84">
        <v>351.32412407859698</v>
      </c>
      <c r="C1592" s="84">
        <v>348.47379357933352</v>
      </c>
      <c r="D1592" s="84">
        <v>348.55735375683639</v>
      </c>
      <c r="E1592" s="85">
        <v>2830028.693895123</v>
      </c>
      <c r="F1592" s="83" t="s">
        <v>1597</v>
      </c>
      <c r="G1592" s="25">
        <f t="shared" si="49"/>
        <v>7.5382238559480452E-3</v>
      </c>
      <c r="I1592" s="84">
        <v>69.480469788876803</v>
      </c>
      <c r="J1592" s="84">
        <v>70.004080431046134</v>
      </c>
      <c r="K1592" s="84">
        <v>68.912485363472783</v>
      </c>
      <c r="L1592" s="84">
        <v>69.702338705050252</v>
      </c>
      <c r="M1592" s="85">
        <v>6111046.4385198262</v>
      </c>
      <c r="N1592" s="83" t="s">
        <v>1597</v>
      </c>
      <c r="O1592" s="25">
        <f t="shared" si="50"/>
        <v>-3.1830914183855752E-3</v>
      </c>
    </row>
    <row r="1593" spans="1:15">
      <c r="A1593" s="84">
        <v>348.67805179100714</v>
      </c>
      <c r="B1593" s="84">
        <v>348.68733625517416</v>
      </c>
      <c r="C1593" s="84">
        <v>347.29466663012687</v>
      </c>
      <c r="D1593" s="84">
        <v>348.13955286932224</v>
      </c>
      <c r="E1593" s="85">
        <v>4253797.4502020366</v>
      </c>
      <c r="F1593" s="83" t="s">
        <v>1598</v>
      </c>
      <c r="G1593" s="25">
        <f t="shared" si="49"/>
        <v>1.5467904098993568E-3</v>
      </c>
      <c r="I1593" s="84">
        <v>68.761614500474835</v>
      </c>
      <c r="J1593" s="84">
        <v>68.832612553650335</v>
      </c>
      <c r="K1593" s="84">
        <v>67.883013592427972</v>
      </c>
      <c r="L1593" s="84">
        <v>68.450998017832006</v>
      </c>
      <c r="M1593" s="85">
        <v>5682368.7686580112</v>
      </c>
      <c r="N1593" s="83" t="s">
        <v>1598</v>
      </c>
      <c r="O1593" s="25">
        <f t="shared" si="50"/>
        <v>4.537793335926299E-3</v>
      </c>
    </row>
    <row r="1594" spans="1:15">
      <c r="A1594" s="84">
        <v>346.98827931261644</v>
      </c>
      <c r="B1594" s="84">
        <v>347.31295702453582</v>
      </c>
      <c r="C1594" s="84">
        <v>346.05054843175128</v>
      </c>
      <c r="D1594" s="84">
        <v>346.44049592676447</v>
      </c>
      <c r="E1594" s="85">
        <v>2982288.4231132418</v>
      </c>
      <c r="F1594" s="83" t="s">
        <v>1599</v>
      </c>
      <c r="G1594" s="25">
        <f t="shared" si="49"/>
        <v>1.5811759661255032E-3</v>
      </c>
      <c r="I1594" s="84">
        <v>68.868111580238079</v>
      </c>
      <c r="J1594" s="84">
        <v>69.320724169231923</v>
      </c>
      <c r="K1594" s="84">
        <v>68.379999964656506</v>
      </c>
      <c r="L1594" s="84">
        <v>68.770489257121767</v>
      </c>
      <c r="M1594" s="85">
        <v>6011284.8298107609</v>
      </c>
      <c r="N1594" s="83" t="s">
        <v>1599</v>
      </c>
      <c r="O1594" s="25">
        <f t="shared" si="50"/>
        <v>1.4195380049037976E-3</v>
      </c>
    </row>
    <row r="1595" spans="1:15">
      <c r="A1595" s="84">
        <v>346.5519094967683</v>
      </c>
      <c r="B1595" s="84">
        <v>347.54534716263532</v>
      </c>
      <c r="C1595" s="84">
        <v>346.00412611091639</v>
      </c>
      <c r="D1595" s="84">
        <v>346.34765128509468</v>
      </c>
      <c r="E1595" s="85">
        <v>3859663.7733213049</v>
      </c>
      <c r="F1595" s="83" t="s">
        <v>1600</v>
      </c>
      <c r="G1595" s="25">
        <f t="shared" si="49"/>
        <v>5.8974908856956887E-4</v>
      </c>
      <c r="I1595" s="84">
        <v>68.788238770415646</v>
      </c>
      <c r="J1595" s="84">
        <v>69.302974655938044</v>
      </c>
      <c r="K1595" s="84">
        <v>68.513121314360575</v>
      </c>
      <c r="L1595" s="84">
        <v>68.859236823591161</v>
      </c>
      <c r="M1595" s="85">
        <v>9565558.0628558099</v>
      </c>
      <c r="N1595" s="83" t="s">
        <v>1600</v>
      </c>
      <c r="O1595" s="25">
        <f t="shared" si="50"/>
        <v>-1.0310607036990715E-3</v>
      </c>
    </row>
    <row r="1596" spans="1:15">
      <c r="A1596" s="84">
        <v>346.74688324427495</v>
      </c>
      <c r="B1596" s="84">
        <v>347.30395109429384</v>
      </c>
      <c r="C1596" s="84">
        <v>344.27721577585771</v>
      </c>
      <c r="D1596" s="84">
        <v>344.35149148919356</v>
      </c>
      <c r="E1596" s="85">
        <v>4054186.5769552253</v>
      </c>
      <c r="F1596" s="83" t="s">
        <v>1601</v>
      </c>
      <c r="G1596" s="25">
        <f t="shared" si="49"/>
        <v>6.9562403947263096E-3</v>
      </c>
      <c r="I1596" s="84">
        <v>69.143229036293164</v>
      </c>
      <c r="J1596" s="84">
        <v>69.622465895227819</v>
      </c>
      <c r="K1596" s="84">
        <v>68.814863040356471</v>
      </c>
      <c r="L1596" s="84">
        <v>69.098855253058474</v>
      </c>
      <c r="M1596" s="85">
        <v>6352745.4602885088</v>
      </c>
      <c r="N1596" s="83" t="s">
        <v>1601</v>
      </c>
      <c r="O1596" s="25">
        <f t="shared" si="50"/>
        <v>6.4217826868739891E-4</v>
      </c>
    </row>
    <row r="1597" spans="1:15">
      <c r="A1597" s="84">
        <v>341.81683277160749</v>
      </c>
      <c r="B1597" s="84">
        <v>341.93753080577829</v>
      </c>
      <c r="C1597" s="84">
        <v>339.83924190404031</v>
      </c>
      <c r="D1597" s="84">
        <v>339.99707779487903</v>
      </c>
      <c r="E1597" s="85">
        <v>5527492.9254945088</v>
      </c>
      <c r="F1597" s="83" t="s">
        <v>1602</v>
      </c>
      <c r="G1597" s="25">
        <f t="shared" si="49"/>
        <v>5.3522665210268272E-3</v>
      </c>
      <c r="I1597" s="84">
        <v>68.584119367536076</v>
      </c>
      <c r="J1597" s="84">
        <v>69.045606713176838</v>
      </c>
      <c r="K1597" s="84">
        <v>68.269065506569774</v>
      </c>
      <c r="L1597" s="84">
        <v>68.876986336885025</v>
      </c>
      <c r="M1597" s="85">
        <v>6948154.4624973983</v>
      </c>
      <c r="N1597" s="83" t="s">
        <v>1602</v>
      </c>
      <c r="O1597" s="25">
        <f t="shared" si="50"/>
        <v>-4.2520293776574514E-3</v>
      </c>
    </row>
    <row r="1598" spans="1:15">
      <c r="A1598" s="84">
        <v>338.23302960315249</v>
      </c>
      <c r="B1598" s="84">
        <v>339.64426815653371</v>
      </c>
      <c r="C1598" s="84">
        <v>337.38814336395711</v>
      </c>
      <c r="D1598" s="84">
        <v>337.38814336395711</v>
      </c>
      <c r="E1598" s="85">
        <v>8046069.0737183848</v>
      </c>
      <c r="F1598" s="83" t="s">
        <v>1603</v>
      </c>
      <c r="G1598" s="25">
        <f t="shared" si="49"/>
        <v>2.5041965931920096E-3</v>
      </c>
      <c r="I1598" s="84">
        <v>68.575244610889129</v>
      </c>
      <c r="J1598" s="84">
        <v>69.421718899874065</v>
      </c>
      <c r="K1598" s="84">
        <v>68.379999964656506</v>
      </c>
      <c r="L1598" s="84">
        <v>69.081105739764595</v>
      </c>
      <c r="M1598" s="85">
        <v>6764511.1171260821</v>
      </c>
      <c r="N1598" s="83" t="s">
        <v>1603</v>
      </c>
      <c r="O1598" s="25">
        <f t="shared" si="50"/>
        <v>-7.3227132579651855E-3</v>
      </c>
    </row>
    <row r="1599" spans="1:15">
      <c r="A1599" s="84">
        <v>336.89606676310706</v>
      </c>
      <c r="B1599" s="84">
        <v>337.46241907729296</v>
      </c>
      <c r="C1599" s="84">
        <v>335.41983696055689</v>
      </c>
      <c r="D1599" s="84">
        <v>336.61753283809759</v>
      </c>
      <c r="E1599" s="85">
        <v>3981024.573442339</v>
      </c>
      <c r="F1599" s="83" t="s">
        <v>1604</v>
      </c>
      <c r="G1599" s="25">
        <f t="shared" si="49"/>
        <v>8.2744924977928846E-4</v>
      </c>
      <c r="I1599" s="84">
        <v>69.063356226470717</v>
      </c>
      <c r="J1599" s="84">
        <v>69.622465895227819</v>
      </c>
      <c r="K1599" s="84">
        <v>68.566369854242211</v>
      </c>
      <c r="L1599" s="84">
        <v>68.885861093531972</v>
      </c>
      <c r="M1599" s="85">
        <v>6242403.2797693526</v>
      </c>
      <c r="N1599" s="83" t="s">
        <v>1604</v>
      </c>
      <c r="O1599" s="25">
        <f t="shared" si="50"/>
        <v>2.576655501159264E-3</v>
      </c>
    </row>
    <row r="1600" spans="1:15">
      <c r="A1600" s="84">
        <v>337.75952193063642</v>
      </c>
      <c r="B1600" s="84">
        <v>338.58583924149775</v>
      </c>
      <c r="C1600" s="84">
        <v>335.27100699996021</v>
      </c>
      <c r="D1600" s="84">
        <v>336.62681730226456</v>
      </c>
      <c r="E1600" s="85">
        <v>3385581.4869516431</v>
      </c>
      <c r="F1600" s="83" t="s">
        <v>1605</v>
      </c>
      <c r="G1600" s="25">
        <f t="shared" si="49"/>
        <v>3.3648674738673279E-3</v>
      </c>
      <c r="I1600" s="84">
        <v>68.939109633413594</v>
      </c>
      <c r="J1600" s="84">
        <v>70.101702754162446</v>
      </c>
      <c r="K1600" s="84">
        <v>68.805988283709524</v>
      </c>
      <c r="L1600" s="84">
        <v>69.498219302170682</v>
      </c>
      <c r="M1600" s="85">
        <v>8041574.8666893439</v>
      </c>
      <c r="N1600" s="83" t="s">
        <v>1605</v>
      </c>
      <c r="O1600" s="25">
        <f t="shared" si="50"/>
        <v>-8.0449495594432374E-3</v>
      </c>
    </row>
    <row r="1601" spans="1:15">
      <c r="A1601" s="84">
        <v>337.96378014230999</v>
      </c>
      <c r="B1601" s="84">
        <v>338.29802085232132</v>
      </c>
      <c r="C1601" s="84">
        <v>333.08015199047748</v>
      </c>
      <c r="D1601" s="84">
        <v>333.65578876883035</v>
      </c>
      <c r="E1601" s="85">
        <v>3578712.7186253909</v>
      </c>
      <c r="F1601" s="83" t="s">
        <v>1606</v>
      </c>
      <c r="G1601" s="25">
        <f t="shared" si="49"/>
        <v>1.2911483985864169E-2</v>
      </c>
      <c r="I1601" s="84">
        <v>69.373972709113545</v>
      </c>
      <c r="J1601" s="84">
        <v>69.453845518935992</v>
      </c>
      <c r="K1601" s="84">
        <v>67.954011645603472</v>
      </c>
      <c r="L1601" s="84">
        <v>68.699491203946266</v>
      </c>
      <c r="M1601" s="85">
        <v>6979188.5528907422</v>
      </c>
      <c r="N1601" s="83" t="s">
        <v>1606</v>
      </c>
      <c r="O1601" s="25">
        <f t="shared" si="50"/>
        <v>9.8178529905696976E-3</v>
      </c>
    </row>
    <row r="1602" spans="1:15">
      <c r="A1602" s="84">
        <v>332.53933195275067</v>
      </c>
      <c r="B1602" s="84">
        <v>333.28873199971872</v>
      </c>
      <c r="C1602" s="84">
        <v>327.64510201637904</v>
      </c>
      <c r="D1602" s="84">
        <v>329.43996138812969</v>
      </c>
      <c r="E1602" s="85">
        <v>5931024.1278774114</v>
      </c>
      <c r="F1602" s="83" t="s">
        <v>1607</v>
      </c>
      <c r="G1602" s="25">
        <f t="shared" si="49"/>
        <v>9.4079982026511466E-3</v>
      </c>
      <c r="I1602" s="84">
        <v>68.805988283709524</v>
      </c>
      <c r="J1602" s="84">
        <v>68.930234876766662</v>
      </c>
      <c r="K1602" s="84">
        <v>66.232308856097532</v>
      </c>
      <c r="L1602" s="84">
        <v>66.649422418503605</v>
      </c>
      <c r="M1602" s="85">
        <v>7165692.821779184</v>
      </c>
      <c r="N1602" s="83" t="s">
        <v>1607</v>
      </c>
      <c r="O1602" s="25">
        <f t="shared" si="50"/>
        <v>3.2356857523302418E-2</v>
      </c>
    </row>
    <row r="1603" spans="1:15">
      <c r="A1603" s="84">
        <v>330.6797096139781</v>
      </c>
      <c r="B1603" s="84">
        <v>335.16685804335469</v>
      </c>
      <c r="C1603" s="84">
        <v>330.6797096139781</v>
      </c>
      <c r="D1603" s="84">
        <v>333.72356906400881</v>
      </c>
      <c r="E1603" s="85">
        <v>4430445.7191227404</v>
      </c>
      <c r="F1603" s="83" t="s">
        <v>1608</v>
      </c>
      <c r="G1603" s="25">
        <f t="shared" si="49"/>
        <v>-9.1209004463418397E-3</v>
      </c>
      <c r="I1603" s="84">
        <v>67.048786467615813</v>
      </c>
      <c r="J1603" s="84">
        <v>69.072230983117663</v>
      </c>
      <c r="K1603" s="84">
        <v>67.048786467615813</v>
      </c>
      <c r="L1603" s="84">
        <v>67.652269919607605</v>
      </c>
      <c r="M1603" s="85">
        <v>8701803.6744304206</v>
      </c>
      <c r="N1603" s="83" t="s">
        <v>1608</v>
      </c>
      <c r="O1603" s="25">
        <f t="shared" si="50"/>
        <v>-8.920372556736389E-3</v>
      </c>
    </row>
    <row r="1604" spans="1:15">
      <c r="A1604" s="84">
        <v>332.52082824788727</v>
      </c>
      <c r="B1604" s="84">
        <v>335.7867321562789</v>
      </c>
      <c r="C1604" s="84">
        <v>331.68816152903383</v>
      </c>
      <c r="D1604" s="84">
        <v>334.48222096340857</v>
      </c>
      <c r="E1604" s="85">
        <v>5355256.1895837104</v>
      </c>
      <c r="F1604" s="83" t="s">
        <v>1609</v>
      </c>
      <c r="G1604" s="25">
        <f t="shared" si="49"/>
        <v>-5.8639670290154822E-3</v>
      </c>
      <c r="I1604" s="84">
        <v>66.72042047167912</v>
      </c>
      <c r="J1604" s="84">
        <v>68.486497044419764</v>
      </c>
      <c r="K1604" s="84">
        <v>66.569549608681172</v>
      </c>
      <c r="L1604" s="84">
        <v>67.687768946195348</v>
      </c>
      <c r="M1604" s="85">
        <v>9335948.386662256</v>
      </c>
      <c r="N1604" s="83" t="s">
        <v>1609</v>
      </c>
      <c r="O1604" s="25">
        <f t="shared" si="50"/>
        <v>-1.4291333420742069E-2</v>
      </c>
    </row>
    <row r="1605" spans="1:15">
      <c r="A1605" s="84">
        <v>334.98182099472064</v>
      </c>
      <c r="B1605" s="84">
        <v>336.30483589245438</v>
      </c>
      <c r="C1605" s="84">
        <v>332.84464308299692</v>
      </c>
      <c r="D1605" s="84">
        <v>332.87239864029203</v>
      </c>
      <c r="E1605" s="85">
        <v>3694013.7396575385</v>
      </c>
      <c r="F1605" s="83" t="s">
        <v>1610</v>
      </c>
      <c r="G1605" s="25">
        <f t="shared" si="49"/>
        <v>6.3370299341283243E-3</v>
      </c>
      <c r="I1605" s="84">
        <v>68.264628128246315</v>
      </c>
      <c r="J1605" s="84">
        <v>69.702338705050252</v>
      </c>
      <c r="K1605" s="84">
        <v>67.971761158897365</v>
      </c>
      <c r="L1605" s="84">
        <v>69.542593085405372</v>
      </c>
      <c r="M1605" s="85">
        <v>8402619.1327431705</v>
      </c>
      <c r="N1605" s="83" t="s">
        <v>1610</v>
      </c>
      <c r="O1605" s="25">
        <f t="shared" si="50"/>
        <v>-1.8376722817764146E-2</v>
      </c>
    </row>
    <row r="1606" spans="1:15">
      <c r="A1606" s="84">
        <v>332.35429490411661</v>
      </c>
      <c r="B1606" s="84">
        <v>334.14915427586726</v>
      </c>
      <c r="C1606" s="84">
        <v>330.42065774589037</v>
      </c>
      <c r="D1606" s="84">
        <v>332.74287270624814</v>
      </c>
      <c r="E1606" s="85">
        <v>5818027.2974894224</v>
      </c>
      <c r="F1606" s="83" t="s">
        <v>1611</v>
      </c>
      <c r="G1606" s="25">
        <f t="shared" si="49"/>
        <v>-1.167802029750975E-3</v>
      </c>
      <c r="I1606" s="84">
        <v>69.542593085405372</v>
      </c>
      <c r="J1606" s="84">
        <v>69.706776083373725</v>
      </c>
      <c r="K1606" s="84">
        <v>67.554647596491279</v>
      </c>
      <c r="L1606" s="84">
        <v>69.223101846115611</v>
      </c>
      <c r="M1606" s="85">
        <v>16928695.17180929</v>
      </c>
      <c r="N1606" s="83" t="s">
        <v>1611</v>
      </c>
      <c r="O1606" s="25">
        <f t="shared" si="50"/>
        <v>4.6153846153844658E-3</v>
      </c>
    </row>
    <row r="1607" spans="1:15">
      <c r="A1607" s="84">
        <v>332.94641345974566</v>
      </c>
      <c r="B1607" s="84">
        <v>337.47056929884911</v>
      </c>
      <c r="C1607" s="84">
        <v>332.40055416627507</v>
      </c>
      <c r="D1607" s="84">
        <v>335.59244325521314</v>
      </c>
      <c r="E1607" s="85">
        <v>5484297.3744505187</v>
      </c>
      <c r="F1607" s="83" t="s">
        <v>1612</v>
      </c>
      <c r="G1607" s="25">
        <f t="shared" si="49"/>
        <v>-7.8846524963472886E-3</v>
      </c>
      <c r="I1607" s="84">
        <v>69.169853306233975</v>
      </c>
      <c r="J1607" s="84">
        <v>70.927055122327687</v>
      </c>
      <c r="K1607" s="84">
        <v>69.116604766352339</v>
      </c>
      <c r="L1607" s="84">
        <v>70.30582215704203</v>
      </c>
      <c r="M1607" s="85">
        <v>6866086.8600858655</v>
      </c>
      <c r="N1607" s="83" t="s">
        <v>1612</v>
      </c>
      <c r="O1607" s="25">
        <f t="shared" si="50"/>
        <v>-1.6157535975763748E-2</v>
      </c>
    </row>
    <row r="1608" spans="1:15">
      <c r="A1608" s="84">
        <v>337.91465821557091</v>
      </c>
      <c r="B1608" s="84">
        <v>338.66405826253896</v>
      </c>
      <c r="C1608" s="84">
        <v>334.56548763529395</v>
      </c>
      <c r="D1608" s="84">
        <v>335.68496177953017</v>
      </c>
      <c r="E1608" s="85">
        <v>5416811.42992114</v>
      </c>
      <c r="F1608" s="83" t="s">
        <v>1613</v>
      </c>
      <c r="G1608" s="25">
        <f t="shared" si="49"/>
        <v>6.6422291431247338E-3</v>
      </c>
      <c r="I1608" s="84">
        <v>70.607563883037912</v>
      </c>
      <c r="J1608" s="84">
        <v>70.856057069152186</v>
      </c>
      <c r="K1608" s="84">
        <v>69.498219302170682</v>
      </c>
      <c r="L1608" s="84">
        <v>69.631340651874737</v>
      </c>
      <c r="M1608" s="85">
        <v>7533622.9104455188</v>
      </c>
      <c r="N1608" s="83" t="s">
        <v>1613</v>
      </c>
      <c r="O1608" s="25">
        <f t="shared" si="50"/>
        <v>1.4019882742798861E-2</v>
      </c>
    </row>
    <row r="1609" spans="1:15">
      <c r="A1609" s="84">
        <v>336.81368777619809</v>
      </c>
      <c r="B1609" s="84">
        <v>338.41425824688292</v>
      </c>
      <c r="C1609" s="84">
        <v>336.07353958166175</v>
      </c>
      <c r="D1609" s="84">
        <v>337.80363598639047</v>
      </c>
      <c r="E1609" s="85">
        <v>3997466.4828486443</v>
      </c>
      <c r="F1609" s="83" t="s">
        <v>1614</v>
      </c>
      <c r="G1609" s="25">
        <f t="shared" si="49"/>
        <v>-2.9305433829973637E-3</v>
      </c>
      <c r="I1609" s="84">
        <v>69.436096005642113</v>
      </c>
      <c r="J1609" s="84">
        <v>70.700748827830765</v>
      </c>
      <c r="K1609" s="84">
        <v>69.22753922443907</v>
      </c>
      <c r="L1609" s="84">
        <v>70.501066803274654</v>
      </c>
      <c r="M1609" s="85">
        <v>6694868.64414478</v>
      </c>
      <c r="N1609" s="83" t="s">
        <v>1614</v>
      </c>
      <c r="O1609" s="25">
        <f t="shared" si="50"/>
        <v>-1.5105740181268756E-2</v>
      </c>
    </row>
    <row r="1610" spans="1:15">
      <c r="A1610" s="84">
        <v>337.19301372589797</v>
      </c>
      <c r="B1610" s="84">
        <v>337.46131744641741</v>
      </c>
      <c r="C1610" s="84">
        <v>333.48302090078448</v>
      </c>
      <c r="D1610" s="84">
        <v>335.53693214062292</v>
      </c>
      <c r="E1610" s="85">
        <v>3417986.855436089</v>
      </c>
      <c r="F1610" s="83" t="s">
        <v>1615</v>
      </c>
      <c r="G1610" s="25">
        <f t="shared" si="49"/>
        <v>4.935616400584486E-3</v>
      </c>
      <c r="I1610" s="84">
        <v>70.616438639684844</v>
      </c>
      <c r="J1610" s="84">
        <v>71.05130171538481</v>
      </c>
      <c r="K1610" s="84">
        <v>69.533718328758425</v>
      </c>
      <c r="L1610" s="84">
        <v>69.915332864576754</v>
      </c>
      <c r="M1610" s="85">
        <v>8866261.1416110657</v>
      </c>
      <c r="N1610" s="83" t="s">
        <v>1615</v>
      </c>
      <c r="O1610" s="25">
        <f t="shared" si="50"/>
        <v>1.0027925869509957E-2</v>
      </c>
    </row>
    <row r="1611" spans="1:15">
      <c r="A1611" s="84">
        <v>335.25012471524008</v>
      </c>
      <c r="B1611" s="84">
        <v>335.3333913871254</v>
      </c>
      <c r="C1611" s="84">
        <v>332.75767567013889</v>
      </c>
      <c r="D1611" s="84">
        <v>333.52928016294305</v>
      </c>
      <c r="E1611" s="85">
        <v>5239314.0030952916</v>
      </c>
      <c r="F1611" s="83" t="s">
        <v>1616</v>
      </c>
      <c r="G1611" s="25">
        <f t="shared" si="49"/>
        <v>5.159500693481256E-3</v>
      </c>
      <c r="I1611" s="84">
        <v>69.684589191756373</v>
      </c>
      <c r="J1611" s="84">
        <v>69.995205674399202</v>
      </c>
      <c r="K1611" s="84">
        <v>68.939109633413594</v>
      </c>
      <c r="L1611" s="84">
        <v>69.223101846115611</v>
      </c>
      <c r="M1611" s="85">
        <v>6846284.6269665342</v>
      </c>
      <c r="N1611" s="83" t="s">
        <v>1616</v>
      </c>
      <c r="O1611" s="25">
        <f t="shared" si="50"/>
        <v>6.6666666666665986E-3</v>
      </c>
    </row>
    <row r="1612" spans="1:15">
      <c r="A1612" s="84">
        <v>334.77828024122317</v>
      </c>
      <c r="B1612" s="84">
        <v>336.54538405567865</v>
      </c>
      <c r="C1612" s="84">
        <v>333.2151797728867</v>
      </c>
      <c r="D1612" s="84">
        <v>333.67730980185036</v>
      </c>
      <c r="E1612" s="85">
        <v>3610863.9049969912</v>
      </c>
      <c r="F1612" s="83" t="s">
        <v>1617</v>
      </c>
      <c r="G1612" s="25">
        <f t="shared" si="49"/>
        <v>3.2995064603782431E-3</v>
      </c>
      <c r="I1612" s="84">
        <v>68.379999964656506</v>
      </c>
      <c r="J1612" s="84">
        <v>69.294099899291112</v>
      </c>
      <c r="K1612" s="84">
        <v>67.625645649666779</v>
      </c>
      <c r="L1612" s="84">
        <v>67.954011645603472</v>
      </c>
      <c r="M1612" s="85">
        <v>7115564.1233034357</v>
      </c>
      <c r="N1612" s="83" t="s">
        <v>1617</v>
      </c>
      <c r="O1612" s="25">
        <f t="shared" si="50"/>
        <v>6.2687736711508624E-3</v>
      </c>
    </row>
    <row r="1613" spans="1:15">
      <c r="A1613" s="84">
        <v>331.28108002203885</v>
      </c>
      <c r="B1613" s="84">
        <v>332.91865790245055</v>
      </c>
      <c r="C1613" s="84">
        <v>330.18010958266603</v>
      </c>
      <c r="D1613" s="84">
        <v>331.49387262796807</v>
      </c>
      <c r="E1613" s="85">
        <v>7816172.0081259711</v>
      </c>
      <c r="F1613" s="83" t="s">
        <v>1618</v>
      </c>
      <c r="G1613" s="25">
        <f t="shared" si="49"/>
        <v>-6.4192017862130246E-4</v>
      </c>
      <c r="I1613" s="84">
        <v>67.945136888956554</v>
      </c>
      <c r="J1613" s="84">
        <v>68.468747531125885</v>
      </c>
      <c r="K1613" s="84">
        <v>66.551800095387293</v>
      </c>
      <c r="L1613" s="84">
        <v>66.915665117911757</v>
      </c>
      <c r="M1613" s="85">
        <v>7635811.627959583</v>
      </c>
      <c r="N1613" s="83" t="s">
        <v>1618</v>
      </c>
      <c r="O1613" s="25">
        <f t="shared" si="50"/>
        <v>1.538461538461533E-2</v>
      </c>
    </row>
    <row r="1614" spans="1:15">
      <c r="A1614" s="84">
        <v>329.24567248706393</v>
      </c>
      <c r="B1614" s="84">
        <v>331.64190226687532</v>
      </c>
      <c r="C1614" s="84">
        <v>327.72836868826442</v>
      </c>
      <c r="D1614" s="84">
        <v>328.20946501471303</v>
      </c>
      <c r="E1614" s="85">
        <v>6566346.6260894984</v>
      </c>
      <c r="F1614" s="83" t="s">
        <v>1619</v>
      </c>
      <c r="G1614" s="25">
        <f t="shared" si="49"/>
        <v>3.1571529245948415E-3</v>
      </c>
      <c r="I1614" s="84">
        <v>66.409803989036291</v>
      </c>
      <c r="J1614" s="84">
        <v>68.069383482013677</v>
      </c>
      <c r="K1614" s="84">
        <v>66.33880593586079</v>
      </c>
      <c r="L1614" s="84">
        <v>67.483649543315778</v>
      </c>
      <c r="M1614" s="85">
        <v>7389802.6288561197</v>
      </c>
      <c r="N1614" s="83" t="s">
        <v>1619</v>
      </c>
      <c r="O1614" s="25">
        <f t="shared" si="50"/>
        <v>-1.5912677538137854E-2</v>
      </c>
    </row>
    <row r="1615" spans="1:15">
      <c r="A1615" s="84">
        <v>324.70301294309701</v>
      </c>
      <c r="B1615" s="84">
        <v>329.73602066594424</v>
      </c>
      <c r="C1615" s="84">
        <v>324.42545737014592</v>
      </c>
      <c r="D1615" s="84">
        <v>327.17325754236214</v>
      </c>
      <c r="E1615" s="85">
        <v>6121453.0190649284</v>
      </c>
      <c r="F1615" s="83" t="s">
        <v>1620</v>
      </c>
      <c r="G1615" s="25">
        <f t="shared" si="49"/>
        <v>-7.5502644006448794E-3</v>
      </c>
      <c r="I1615" s="84">
        <v>67.102035007497449</v>
      </c>
      <c r="J1615" s="84">
        <v>68.637367907417712</v>
      </c>
      <c r="K1615" s="84">
        <v>67.03991171096888</v>
      </c>
      <c r="L1615" s="84">
        <v>67.545772839844346</v>
      </c>
      <c r="M1615" s="85">
        <v>8149297.2570638293</v>
      </c>
      <c r="N1615" s="83" t="s">
        <v>1620</v>
      </c>
      <c r="O1615" s="25">
        <f t="shared" si="50"/>
        <v>-6.5694389699120226E-3</v>
      </c>
    </row>
    <row r="1616" spans="1:15">
      <c r="A1616" s="84">
        <v>326.30358341378189</v>
      </c>
      <c r="B1616" s="84">
        <v>327.26577606667917</v>
      </c>
      <c r="C1616" s="84">
        <v>316.95921245776049</v>
      </c>
      <c r="D1616" s="84">
        <v>323.60204250372419</v>
      </c>
      <c r="E1616" s="85">
        <v>9426506.8151258454</v>
      </c>
      <c r="F1616" s="83" t="s">
        <v>1621</v>
      </c>
      <c r="G1616" s="25">
        <f t="shared" si="49"/>
        <v>8.3483431969579858E-3</v>
      </c>
      <c r="I1616" s="84">
        <v>66.72042047167912</v>
      </c>
      <c r="J1616" s="84">
        <v>67.062098602586218</v>
      </c>
      <c r="K1616" s="84">
        <v>64.874471089116028</v>
      </c>
      <c r="L1616" s="84">
        <v>66.764794254913809</v>
      </c>
      <c r="M1616" s="85">
        <v>7506605.8316073371</v>
      </c>
      <c r="N1616" s="83" t="s">
        <v>1621</v>
      </c>
      <c r="O1616" s="25">
        <f t="shared" si="50"/>
        <v>-6.6462847268378145E-4</v>
      </c>
    </row>
    <row r="1617" spans="1:15">
      <c r="A1617" s="84">
        <v>320.42865711964959</v>
      </c>
      <c r="B1617" s="84">
        <v>326.60889454402815</v>
      </c>
      <c r="C1617" s="84">
        <v>316.33471241862048</v>
      </c>
      <c r="D1617" s="84">
        <v>324.26817587880697</v>
      </c>
      <c r="E1617" s="85">
        <v>7138533.6598838512</v>
      </c>
      <c r="F1617" s="83" t="s">
        <v>1622</v>
      </c>
      <c r="G1617" s="25">
        <f t="shared" si="49"/>
        <v>-1.1840566064652558E-2</v>
      </c>
      <c r="I1617" s="84">
        <v>66.045938966511841</v>
      </c>
      <c r="J1617" s="84">
        <v>67.856389322487161</v>
      </c>
      <c r="K1617" s="84">
        <v>64.554979849826267</v>
      </c>
      <c r="L1617" s="84">
        <v>66.578424365328104</v>
      </c>
      <c r="M1617" s="85">
        <v>9334554.5456261449</v>
      </c>
      <c r="N1617" s="83" t="s">
        <v>1622</v>
      </c>
      <c r="O1617" s="25">
        <f t="shared" si="50"/>
        <v>-7.9978672354037439E-3</v>
      </c>
    </row>
    <row r="1618" spans="1:15">
      <c r="A1618" s="84">
        <v>324.42545737014592</v>
      </c>
      <c r="B1618" s="84">
        <v>329.0328798811347</v>
      </c>
      <c r="C1618" s="84">
        <v>324.33293884582889</v>
      </c>
      <c r="D1618" s="84">
        <v>328.16320575255446</v>
      </c>
      <c r="E1618" s="85">
        <v>6828509.2597787576</v>
      </c>
      <c r="F1618" s="83" t="s">
        <v>1623</v>
      </c>
      <c r="G1618" s="25">
        <f t="shared" si="49"/>
        <v>-1.138990696363118E-2</v>
      </c>
      <c r="I1618" s="84">
        <v>66.622798148562794</v>
      </c>
      <c r="J1618" s="84">
        <v>67.789828647635133</v>
      </c>
      <c r="K1618" s="84">
        <v>66.252809543951955</v>
      </c>
      <c r="L1618" s="84">
        <v>66.38317971909548</v>
      </c>
      <c r="M1618" s="85">
        <v>6716477.1239746092</v>
      </c>
      <c r="N1618" s="83" t="s">
        <v>1623</v>
      </c>
      <c r="O1618" s="25">
        <f t="shared" si="50"/>
        <v>3.6096256684490236E-3</v>
      </c>
    </row>
    <row r="1619" spans="1:15">
      <c r="A1619" s="84">
        <v>328.76457616061532</v>
      </c>
      <c r="B1619" s="84">
        <v>331.79918375821433</v>
      </c>
      <c r="C1619" s="84">
        <v>328.58879096441291</v>
      </c>
      <c r="D1619" s="84">
        <v>331.5678874474217</v>
      </c>
      <c r="E1619" s="85">
        <v>5904341.903769074</v>
      </c>
      <c r="F1619" s="83" t="s">
        <v>1624</v>
      </c>
      <c r="G1619" s="25">
        <f t="shared" si="49"/>
        <v>-8.4547128746021993E-3</v>
      </c>
      <c r="I1619" s="84">
        <v>66.26780788268529</v>
      </c>
      <c r="J1619" s="84">
        <v>66.932438407974459</v>
      </c>
      <c r="K1619" s="84">
        <v>65.850694320279203</v>
      </c>
      <c r="L1619" s="84">
        <v>65.948316643395529</v>
      </c>
      <c r="M1619" s="85">
        <v>6526736.7100128355</v>
      </c>
      <c r="N1619" s="83" t="s">
        <v>1624</v>
      </c>
      <c r="O1619" s="25">
        <f t="shared" si="50"/>
        <v>4.8445700444084139E-3</v>
      </c>
    </row>
    <row r="1620" spans="1:15">
      <c r="A1620" s="84">
        <v>331.32733928419742</v>
      </c>
      <c r="B1620" s="84">
        <v>332.50232454302386</v>
      </c>
      <c r="C1620" s="84">
        <v>327.9781687039204</v>
      </c>
      <c r="D1620" s="84">
        <v>328.02442796607892</v>
      </c>
      <c r="E1620" s="85">
        <v>4026493.1023264616</v>
      </c>
      <c r="F1620" s="83" t="s">
        <v>1625</v>
      </c>
      <c r="G1620" s="25">
        <f t="shared" si="49"/>
        <v>1.0069101678183756E-2</v>
      </c>
      <c r="I1620" s="84">
        <v>65.992690426630205</v>
      </c>
      <c r="J1620" s="84">
        <v>66.862416578030121</v>
      </c>
      <c r="K1620" s="84">
        <v>64.874471089116028</v>
      </c>
      <c r="L1620" s="84">
        <v>65.238336111640493</v>
      </c>
      <c r="M1620" s="85">
        <v>12293844.703634212</v>
      </c>
      <c r="N1620" s="83" t="s">
        <v>1625</v>
      </c>
      <c r="O1620" s="25">
        <f t="shared" si="50"/>
        <v>1.1563052645898297E-2</v>
      </c>
    </row>
    <row r="1621" spans="1:15">
      <c r="A1621" s="84">
        <v>323.43550915995354</v>
      </c>
      <c r="B1621" s="84">
        <v>327.94837773909035</v>
      </c>
      <c r="C1621" s="84">
        <v>321.69616090279311</v>
      </c>
      <c r="D1621" s="84">
        <v>327.02522790345489</v>
      </c>
      <c r="E1621" s="85">
        <v>8192383.1534823813</v>
      </c>
      <c r="F1621" s="83" t="s">
        <v>1626</v>
      </c>
      <c r="G1621" s="25">
        <f t="shared" si="49"/>
        <v>-1.0976886298695976E-2</v>
      </c>
      <c r="I1621" s="84">
        <v>63.889373101305921</v>
      </c>
      <c r="J1621" s="84">
        <v>65.61107589081189</v>
      </c>
      <c r="K1621" s="84">
        <v>63.889373101305921</v>
      </c>
      <c r="L1621" s="84">
        <v>65.61107589081189</v>
      </c>
      <c r="M1621" s="85">
        <v>9015120.4346099142</v>
      </c>
      <c r="N1621" s="83" t="s">
        <v>1626</v>
      </c>
      <c r="O1621" s="25">
        <f t="shared" si="50"/>
        <v>-2.6241038820506102E-2</v>
      </c>
    </row>
    <row r="1622" spans="1:15">
      <c r="A1622" s="84">
        <v>325.22111667927248</v>
      </c>
      <c r="B1622" s="84">
        <v>333.31648755701383</v>
      </c>
      <c r="C1622" s="84">
        <v>323.88884992910704</v>
      </c>
      <c r="D1622" s="84">
        <v>332.16925785548244</v>
      </c>
      <c r="E1622" s="85">
        <v>7619223.3415264189</v>
      </c>
      <c r="F1622" s="83" t="s">
        <v>1627</v>
      </c>
      <c r="G1622" s="25">
        <f t="shared" si="49"/>
        <v>-2.0917472077542132E-2</v>
      </c>
      <c r="I1622" s="84">
        <v>65.069715735348666</v>
      </c>
      <c r="J1622" s="84">
        <v>68.442123261185074</v>
      </c>
      <c r="K1622" s="84">
        <v>64.741349739411973</v>
      </c>
      <c r="L1622" s="84">
        <v>68.03388445542592</v>
      </c>
      <c r="M1622" s="85">
        <v>10685656.381656457</v>
      </c>
      <c r="N1622" s="83" t="s">
        <v>1627</v>
      </c>
      <c r="O1622" s="25">
        <f t="shared" si="50"/>
        <v>-4.3569006000521715E-2</v>
      </c>
    </row>
    <row r="1623" spans="1:15">
      <c r="A1623" s="84">
        <v>333.2147171802651</v>
      </c>
      <c r="B1623" s="84">
        <v>333.60329498239668</v>
      </c>
      <c r="C1623" s="84">
        <v>327.70061313096926</v>
      </c>
      <c r="D1623" s="84">
        <v>328.57953911198115</v>
      </c>
      <c r="E1623" s="85">
        <v>3568171.9140778021</v>
      </c>
      <c r="F1623" s="83" t="s">
        <v>1628</v>
      </c>
      <c r="G1623" s="25">
        <f t="shared" si="49"/>
        <v>1.4106715472335773E-2</v>
      </c>
      <c r="I1623" s="84">
        <v>68.508683936037116</v>
      </c>
      <c r="J1623" s="84">
        <v>68.949708037595229</v>
      </c>
      <c r="K1623" s="84">
        <v>64.848183893104789</v>
      </c>
      <c r="L1623" s="84">
        <v>65.439156189192659</v>
      </c>
      <c r="M1623" s="85">
        <v>12651579.540182548</v>
      </c>
      <c r="N1623" s="83" t="s">
        <v>1628</v>
      </c>
      <c r="O1623" s="25">
        <f t="shared" si="50"/>
        <v>4.6906591184795676E-2</v>
      </c>
    </row>
    <row r="1624" spans="1:15">
      <c r="A1624" s="84">
        <v>329.56948732217359</v>
      </c>
      <c r="B1624" s="84">
        <v>330.80923554802195</v>
      </c>
      <c r="C1624" s="84">
        <v>323.37999804536332</v>
      </c>
      <c r="D1624" s="84">
        <v>327.22876865695235</v>
      </c>
      <c r="E1624" s="85">
        <v>5675679.5882364139</v>
      </c>
      <c r="F1624" s="83" t="s">
        <v>1629</v>
      </c>
      <c r="G1624" s="25">
        <f t="shared" si="49"/>
        <v>7.1531567191609469E-3</v>
      </c>
      <c r="I1624" s="84">
        <v>65.26274654856941</v>
      </c>
      <c r="J1624" s="84">
        <v>65.280387512631748</v>
      </c>
      <c r="K1624" s="84">
        <v>63.974956172019731</v>
      </c>
      <c r="L1624" s="84">
        <v>64.751158590762003</v>
      </c>
      <c r="M1624" s="85">
        <v>13249493.574967457</v>
      </c>
      <c r="N1624" s="83" t="s">
        <v>1629</v>
      </c>
      <c r="O1624" s="25">
        <f t="shared" si="50"/>
        <v>7.9008309494619233E-3</v>
      </c>
    </row>
    <row r="1625" spans="1:15">
      <c r="A1625" s="84">
        <v>329.15315396274684</v>
      </c>
      <c r="B1625" s="84">
        <v>331.39210225121934</v>
      </c>
      <c r="C1625" s="84">
        <v>328.95886506168108</v>
      </c>
      <c r="D1625" s="84">
        <v>329.21791692976876</v>
      </c>
      <c r="E1625" s="85">
        <v>3557110.345515673</v>
      </c>
      <c r="F1625" s="83" t="s">
        <v>1630</v>
      </c>
      <c r="G1625" s="25">
        <f t="shared" si="49"/>
        <v>-1.9671762589923425E-4</v>
      </c>
      <c r="I1625" s="84">
        <v>64.389518827484352</v>
      </c>
      <c r="J1625" s="84">
        <v>65.500899563410798</v>
      </c>
      <c r="K1625" s="84">
        <v>63.701521229053697</v>
      </c>
      <c r="L1625" s="84">
        <v>63.727982675147182</v>
      </c>
      <c r="M1625" s="85">
        <v>11911988.441084711</v>
      </c>
      <c r="N1625" s="83" t="s">
        <v>1630</v>
      </c>
      <c r="O1625" s="25">
        <f t="shared" si="50"/>
        <v>1.0380622837370179E-2</v>
      </c>
    </row>
    <row r="1626" spans="1:15">
      <c r="A1626" s="84">
        <v>331.76217634848746</v>
      </c>
      <c r="B1626" s="84">
        <v>333.72356906400881</v>
      </c>
      <c r="C1626" s="84">
        <v>331.34584298906077</v>
      </c>
      <c r="D1626" s="84">
        <v>333.50152460564794</v>
      </c>
      <c r="E1626" s="85">
        <v>2688216.2446486675</v>
      </c>
      <c r="F1626" s="83" t="s">
        <v>1631</v>
      </c>
      <c r="G1626" s="25">
        <f t="shared" si="49"/>
        <v>-5.2154132105308726E-3</v>
      </c>
      <c r="I1626" s="84">
        <v>65.500899563410798</v>
      </c>
      <c r="J1626" s="84">
        <v>65.545001973566613</v>
      </c>
      <c r="K1626" s="84">
        <v>64.477723647795969</v>
      </c>
      <c r="L1626" s="84">
        <v>64.724697144668511</v>
      </c>
      <c r="M1626" s="85">
        <v>7115151.9586203936</v>
      </c>
      <c r="N1626" s="83" t="s">
        <v>1631</v>
      </c>
      <c r="O1626" s="25">
        <f t="shared" si="50"/>
        <v>1.1992368492777405E-2</v>
      </c>
    </row>
    <row r="1627" spans="1:15">
      <c r="A1627" s="84">
        <v>332.37279860897996</v>
      </c>
      <c r="B1627" s="84">
        <v>333.00192457433587</v>
      </c>
      <c r="C1627" s="84">
        <v>329.81928733782956</v>
      </c>
      <c r="D1627" s="84">
        <v>331.43836151337786</v>
      </c>
      <c r="E1627" s="85">
        <v>3261042.0694358107</v>
      </c>
      <c r="F1627" s="83" t="s">
        <v>1632</v>
      </c>
      <c r="G1627" s="25">
        <f t="shared" si="49"/>
        <v>2.8193389906208122E-3</v>
      </c>
      <c r="I1627" s="84">
        <v>64.283673043110397</v>
      </c>
      <c r="J1627" s="84">
        <v>64.433621237640168</v>
      </c>
      <c r="K1627" s="84">
        <v>63.525111588430448</v>
      </c>
      <c r="L1627" s="84">
        <v>63.922033279832753</v>
      </c>
      <c r="M1627" s="85">
        <v>5560465.9503554823</v>
      </c>
      <c r="N1627" s="83" t="s">
        <v>1632</v>
      </c>
      <c r="O1627" s="25">
        <f t="shared" si="50"/>
        <v>5.6575134538427996E-3</v>
      </c>
    </row>
    <row r="1628" spans="1:15">
      <c r="A1628" s="84">
        <v>333.79758388346249</v>
      </c>
      <c r="B1628" s="84">
        <v>333.96411722723315</v>
      </c>
      <c r="C1628" s="84">
        <v>331.14433764309825</v>
      </c>
      <c r="D1628" s="84">
        <v>332.16925785548244</v>
      </c>
      <c r="E1628" s="85">
        <v>3480484.6097256569</v>
      </c>
      <c r="F1628" s="83" t="s">
        <v>1633</v>
      </c>
      <c r="G1628" s="25">
        <f t="shared" si="49"/>
        <v>4.9020973177731353E-3</v>
      </c>
      <c r="I1628" s="84">
        <v>64.442441719671322</v>
      </c>
      <c r="J1628" s="84">
        <v>64.574748950138755</v>
      </c>
      <c r="K1628" s="84">
        <v>63.578034480617426</v>
      </c>
      <c r="L1628" s="84">
        <v>63.763264603271836</v>
      </c>
      <c r="M1628" s="85">
        <v>5882961.9307282446</v>
      </c>
      <c r="N1628" s="83" t="s">
        <v>1633</v>
      </c>
      <c r="O1628" s="25">
        <f t="shared" si="50"/>
        <v>1.0651542398671943E-2</v>
      </c>
    </row>
    <row r="1629" spans="1:15">
      <c r="A1629" s="84">
        <v>333.72356906400881</v>
      </c>
      <c r="B1629" s="84">
        <v>335.25937656767178</v>
      </c>
      <c r="C1629" s="84">
        <v>333.04818383649445</v>
      </c>
      <c r="D1629" s="84">
        <v>335.05583581417426</v>
      </c>
      <c r="E1629" s="85">
        <v>4764939.8134508198</v>
      </c>
      <c r="F1629" s="83" t="s">
        <v>1634</v>
      </c>
      <c r="G1629" s="25">
        <f t="shared" si="49"/>
        <v>-3.9762529338672747E-3</v>
      </c>
      <c r="I1629" s="84">
        <v>64.045520028269024</v>
      </c>
      <c r="J1629" s="84">
        <v>64.610030878263402</v>
      </c>
      <c r="K1629" s="84">
        <v>63.542752552492786</v>
      </c>
      <c r="L1629" s="84">
        <v>64.248391114985765</v>
      </c>
      <c r="M1629" s="85">
        <v>6927640.6645486262</v>
      </c>
      <c r="N1629" s="83" t="s">
        <v>1634</v>
      </c>
      <c r="O1629" s="25">
        <f t="shared" si="50"/>
        <v>-3.1576057111478706E-3</v>
      </c>
    </row>
    <row r="1630" spans="1:15">
      <c r="A1630" s="84">
        <v>334.03813204668677</v>
      </c>
      <c r="B1630" s="84">
        <v>334.16765798073061</v>
      </c>
      <c r="C1630" s="84">
        <v>331.54938374255829</v>
      </c>
      <c r="D1630" s="84">
        <v>331.63265041444362</v>
      </c>
      <c r="E1630" s="85">
        <v>2317882.8411176289</v>
      </c>
      <c r="F1630" s="83" t="s">
        <v>1635</v>
      </c>
      <c r="G1630" s="25">
        <f t="shared" si="49"/>
        <v>7.253452364346602E-3</v>
      </c>
      <c r="I1630" s="84">
        <v>64.045520028269024</v>
      </c>
      <c r="J1630" s="84">
        <v>64.230750150923427</v>
      </c>
      <c r="K1630" s="84">
        <v>63.344291706791623</v>
      </c>
      <c r="L1630" s="84">
        <v>63.586854962648594</v>
      </c>
      <c r="M1630" s="85">
        <v>4770197.3487786679</v>
      </c>
      <c r="N1630" s="83" t="s">
        <v>1635</v>
      </c>
      <c r="O1630" s="25">
        <f t="shared" si="50"/>
        <v>7.2132057150782192E-3</v>
      </c>
    </row>
    <row r="1631" spans="1:15">
      <c r="A1631" s="84">
        <v>332.34504305168491</v>
      </c>
      <c r="B1631" s="84">
        <v>333.15920606567488</v>
      </c>
      <c r="C1631" s="84">
        <v>330.14088172835562</v>
      </c>
      <c r="D1631" s="84">
        <v>332.79838382083835</v>
      </c>
      <c r="E1631" s="85">
        <v>2418110.3368375506</v>
      </c>
      <c r="F1631" s="83" t="s">
        <v>1636</v>
      </c>
      <c r="G1631" s="25">
        <f t="shared" si="49"/>
        <v>-1.3622084456921257E-3</v>
      </c>
      <c r="I1631" s="84">
        <v>63.798546531396482</v>
      </c>
      <c r="J1631" s="84">
        <v>64.557107986076431</v>
      </c>
      <c r="K1631" s="84">
        <v>62.775370615781661</v>
      </c>
      <c r="L1631" s="84">
        <v>63.922033279832753</v>
      </c>
      <c r="M1631" s="85">
        <v>5142362.9502052665</v>
      </c>
      <c r="N1631" s="83" t="s">
        <v>1636</v>
      </c>
      <c r="O1631" s="25">
        <f t="shared" si="50"/>
        <v>-1.9318338622877906E-3</v>
      </c>
    </row>
    <row r="1632" spans="1:15">
      <c r="A1632" s="84">
        <v>331.80843561064603</v>
      </c>
      <c r="B1632" s="84">
        <v>333.63105053969178</v>
      </c>
      <c r="C1632" s="84">
        <v>329.64350214162721</v>
      </c>
      <c r="D1632" s="84">
        <v>333.5570357202381</v>
      </c>
      <c r="E1632" s="85">
        <v>2594086.9871374159</v>
      </c>
      <c r="F1632" s="83" t="s">
        <v>1637</v>
      </c>
      <c r="G1632" s="25">
        <f t="shared" si="49"/>
        <v>-5.242282195656256E-3</v>
      </c>
      <c r="I1632" s="84">
        <v>63.922033279832753</v>
      </c>
      <c r="J1632" s="84">
        <v>64.51300557592063</v>
      </c>
      <c r="K1632" s="84">
        <v>63.630957372804403</v>
      </c>
      <c r="L1632" s="84">
        <v>64.177827258736457</v>
      </c>
      <c r="M1632" s="85">
        <v>4455790.4954794515</v>
      </c>
      <c r="N1632" s="83" t="s">
        <v>1637</v>
      </c>
      <c r="O1632" s="25">
        <f t="shared" si="50"/>
        <v>-3.9857064321054958E-3</v>
      </c>
    </row>
    <row r="1633" spans="1:15">
      <c r="A1633" s="84">
        <v>331.93796154468987</v>
      </c>
      <c r="B1633" s="84">
        <v>332.44681342843359</v>
      </c>
      <c r="C1633" s="84">
        <v>331.00352444908771</v>
      </c>
      <c r="D1633" s="84">
        <v>331.41985780851445</v>
      </c>
      <c r="E1633" s="85">
        <v>2044174.4115146832</v>
      </c>
      <c r="F1633" s="83" t="s">
        <v>1638</v>
      </c>
      <c r="G1633" s="25">
        <f t="shared" si="49"/>
        <v>1.5632851320417362E-3</v>
      </c>
      <c r="I1633" s="84">
        <v>64.424800755609013</v>
      </c>
      <c r="J1633" s="84">
        <v>64.686769071934521</v>
      </c>
      <c r="K1633" s="84">
        <v>63.123779656012566</v>
      </c>
      <c r="L1633" s="84">
        <v>63.727982675147182</v>
      </c>
      <c r="M1633" s="85">
        <v>7100492.895822783</v>
      </c>
      <c r="N1633" s="83" t="s">
        <v>1638</v>
      </c>
      <c r="O1633" s="25">
        <f t="shared" si="50"/>
        <v>1.0934256055363578E-2</v>
      </c>
    </row>
    <row r="1634" spans="1:15">
      <c r="A1634" s="84">
        <v>332.20626526520931</v>
      </c>
      <c r="B1634" s="84">
        <v>332.20626526520931</v>
      </c>
      <c r="C1634" s="84">
        <v>330.34664292643674</v>
      </c>
      <c r="D1634" s="84">
        <v>331.14230223556331</v>
      </c>
      <c r="E1634" s="85">
        <v>3643670.3080649748</v>
      </c>
      <c r="F1634" s="83" t="s">
        <v>1639</v>
      </c>
      <c r="G1634" s="25">
        <f t="shared" ref="G1634:G1697" si="51">A1634/D1634-1</f>
        <v>3.2130084935180214E-3</v>
      </c>
      <c r="I1634" s="84">
        <v>63.939674243895077</v>
      </c>
      <c r="J1634" s="84">
        <v>64.107263402487163</v>
      </c>
      <c r="K1634" s="84">
        <v>63.339881465776045</v>
      </c>
      <c r="L1634" s="84">
        <v>63.754444121240674</v>
      </c>
      <c r="M1634" s="85">
        <v>5628100.5759793827</v>
      </c>
      <c r="N1634" s="83" t="s">
        <v>1639</v>
      </c>
      <c r="O1634" s="25">
        <f t="shared" ref="O1634:O1697" si="52">I1634/L1634-1</f>
        <v>2.9053680132815618E-3</v>
      </c>
    </row>
    <row r="1635" spans="1:15">
      <c r="A1635" s="84">
        <v>329.77302807567105</v>
      </c>
      <c r="B1635" s="84">
        <v>330.41251611575046</v>
      </c>
      <c r="C1635" s="84">
        <v>328.73311986234745</v>
      </c>
      <c r="D1635" s="84">
        <v>330.19861328752944</v>
      </c>
      <c r="E1635" s="85">
        <v>2260905.0624628854</v>
      </c>
      <c r="F1635" s="83" t="s">
        <v>1640</v>
      </c>
      <c r="G1635" s="25">
        <f t="shared" si="51"/>
        <v>-1.288876435976416E-3</v>
      </c>
      <c r="I1635" s="84">
        <v>63.798546531396482</v>
      </c>
      <c r="J1635" s="84">
        <v>65.165633041406323</v>
      </c>
      <c r="K1635" s="84">
        <v>63.507470624368125</v>
      </c>
      <c r="L1635" s="84">
        <v>64.698235698575033</v>
      </c>
      <c r="M1635" s="85">
        <v>9016455.0779681951</v>
      </c>
      <c r="N1635" s="83" t="s">
        <v>1640</v>
      </c>
      <c r="O1635" s="25">
        <f t="shared" si="52"/>
        <v>-1.3905930470347716E-2</v>
      </c>
    </row>
    <row r="1636" spans="1:15">
      <c r="A1636" s="84">
        <v>328.45926503036901</v>
      </c>
      <c r="B1636" s="84">
        <v>328.47776873523247</v>
      </c>
      <c r="C1636" s="84">
        <v>325.59119077654071</v>
      </c>
      <c r="D1636" s="84">
        <v>325.77622782517477</v>
      </c>
      <c r="E1636" s="85">
        <v>2149128.5282354057</v>
      </c>
      <c r="F1636" s="83" t="s">
        <v>1641</v>
      </c>
      <c r="G1636" s="25">
        <f t="shared" si="51"/>
        <v>8.2358286947630255E-3</v>
      </c>
      <c r="I1636" s="84">
        <v>64.107263402487163</v>
      </c>
      <c r="J1636" s="84">
        <v>64.221929668892273</v>
      </c>
      <c r="K1636" s="84">
        <v>62.387269406410525</v>
      </c>
      <c r="L1636" s="84">
        <v>62.687165795470037</v>
      </c>
      <c r="M1636" s="85">
        <v>10231030.42228057</v>
      </c>
      <c r="N1636" s="83" t="s">
        <v>1641</v>
      </c>
      <c r="O1636" s="25">
        <f t="shared" si="52"/>
        <v>2.265372168284796E-2</v>
      </c>
    </row>
    <row r="1637" spans="1:15">
      <c r="A1637" s="84">
        <v>324.8232870247092</v>
      </c>
      <c r="B1637" s="84">
        <v>326.40535379053068</v>
      </c>
      <c r="C1637" s="84">
        <v>323.70381288047298</v>
      </c>
      <c r="D1637" s="84">
        <v>325.38765002304319</v>
      </c>
      <c r="E1637" s="85">
        <v>3667167.2241263515</v>
      </c>
      <c r="F1637" s="83" t="s">
        <v>1642</v>
      </c>
      <c r="G1637" s="25">
        <f t="shared" si="51"/>
        <v>-1.7344327551891414E-3</v>
      </c>
      <c r="I1637" s="84">
        <v>62.254962175943092</v>
      </c>
      <c r="J1637" s="84">
        <v>62.550448323987034</v>
      </c>
      <c r="K1637" s="84">
        <v>61.188036669453709</v>
      </c>
      <c r="L1637" s="84">
        <v>61.53168264938779</v>
      </c>
      <c r="M1637" s="85">
        <v>9489270.5074726157</v>
      </c>
      <c r="N1637" s="83" t="s">
        <v>1642</v>
      </c>
      <c r="O1637" s="25">
        <f t="shared" si="52"/>
        <v>1.1754587155963225E-2</v>
      </c>
    </row>
    <row r="1638" spans="1:15">
      <c r="A1638" s="84">
        <v>324.49947218959954</v>
      </c>
      <c r="B1638" s="84">
        <v>325.97976857867224</v>
      </c>
      <c r="C1638" s="84">
        <v>322.88964986648301</v>
      </c>
      <c r="D1638" s="84">
        <v>322.93590912864153</v>
      </c>
      <c r="E1638" s="85">
        <v>3194202.4819515906</v>
      </c>
      <c r="F1638" s="83" t="s">
        <v>1643</v>
      </c>
      <c r="G1638" s="25">
        <f t="shared" si="51"/>
        <v>4.8417132216014291E-3</v>
      </c>
      <c r="I1638" s="84">
        <v>61.866860966571956</v>
      </c>
      <c r="J1638" s="84">
        <v>62.113834463444498</v>
      </c>
      <c r="K1638" s="84">
        <v>59.582356120500926</v>
      </c>
      <c r="L1638" s="84">
        <v>59.68820190487488</v>
      </c>
      <c r="M1638" s="85">
        <v>9875410.4018646702</v>
      </c>
      <c r="N1638" s="83" t="s">
        <v>1643</v>
      </c>
      <c r="O1638" s="25">
        <f t="shared" si="52"/>
        <v>3.6500664991872434E-2</v>
      </c>
    </row>
    <row r="1639" spans="1:15">
      <c r="A1639" s="84">
        <v>319.90130153104246</v>
      </c>
      <c r="B1639" s="84">
        <v>320.90050159366655</v>
      </c>
      <c r="C1639" s="84">
        <v>315.85824201838761</v>
      </c>
      <c r="D1639" s="84">
        <v>317.92140511065776</v>
      </c>
      <c r="E1639" s="85">
        <v>3603612.384234501</v>
      </c>
      <c r="F1639" s="83" t="s">
        <v>1644</v>
      </c>
      <c r="G1639" s="25">
        <f t="shared" si="51"/>
        <v>6.2276285539677456E-3</v>
      </c>
      <c r="I1639" s="84">
        <v>59.061947680662357</v>
      </c>
      <c r="J1639" s="84">
        <v>59.626458530656741</v>
      </c>
      <c r="K1639" s="84">
        <v>58.329847672075893</v>
      </c>
      <c r="L1639" s="84">
        <v>59.626458530656741</v>
      </c>
      <c r="M1639" s="85">
        <v>6795490.2904668134</v>
      </c>
      <c r="N1639" s="83" t="s">
        <v>1644</v>
      </c>
      <c r="O1639" s="25">
        <f t="shared" si="52"/>
        <v>-9.4674556213018013E-3</v>
      </c>
    </row>
    <row r="1640" spans="1:15">
      <c r="A1640" s="84">
        <v>314.72951602171975</v>
      </c>
      <c r="B1640" s="84">
        <v>320.31763489046921</v>
      </c>
      <c r="C1640" s="84">
        <v>313.2399677802153</v>
      </c>
      <c r="D1640" s="84">
        <v>319.47571631918407</v>
      </c>
      <c r="E1640" s="85">
        <v>6272956.7325479351</v>
      </c>
      <c r="F1640" s="83" t="s">
        <v>1645</v>
      </c>
      <c r="G1640" s="25">
        <f t="shared" si="51"/>
        <v>-1.4856216153600998E-2</v>
      </c>
      <c r="I1640" s="84">
        <v>58.85907659394563</v>
      </c>
      <c r="J1640" s="84">
        <v>59.591176602532094</v>
      </c>
      <c r="K1640" s="84">
        <v>58.312206708013569</v>
      </c>
      <c r="L1640" s="84">
        <v>59.194254911129789</v>
      </c>
      <c r="M1640" s="85">
        <v>17741725.389511377</v>
      </c>
      <c r="N1640" s="83" t="s">
        <v>1645</v>
      </c>
      <c r="O1640" s="25">
        <f t="shared" si="52"/>
        <v>-5.6623454030695353E-3</v>
      </c>
    </row>
    <row r="1641" spans="1:15">
      <c r="A1641" s="84">
        <v>321.15955346175429</v>
      </c>
      <c r="B1641" s="84">
        <v>324.80543094951599</v>
      </c>
      <c r="C1641" s="84">
        <v>319.72551633484005</v>
      </c>
      <c r="D1641" s="84">
        <v>320.08633857967658</v>
      </c>
      <c r="E1641" s="85">
        <v>3709730.5921552833</v>
      </c>
      <c r="F1641" s="83" t="s">
        <v>1646</v>
      </c>
      <c r="G1641" s="25">
        <f t="shared" si="51"/>
        <v>3.3528918692371512E-3</v>
      </c>
      <c r="I1641" s="84">
        <v>60.129226006432994</v>
      </c>
      <c r="J1641" s="84">
        <v>61.117119993923168</v>
      </c>
      <c r="K1641" s="84">
        <v>58.400411528325186</v>
      </c>
      <c r="L1641" s="84">
        <v>58.60328261504192</v>
      </c>
      <c r="M1641" s="85">
        <v>9923768.3032234684</v>
      </c>
      <c r="N1641" s="83" t="s">
        <v>1646</v>
      </c>
      <c r="O1641" s="25">
        <f t="shared" si="52"/>
        <v>2.603853100541853E-2</v>
      </c>
    </row>
    <row r="1642" spans="1:15">
      <c r="A1642" s="84">
        <v>318.48576810899169</v>
      </c>
      <c r="B1642" s="84">
        <v>323.40775360265843</v>
      </c>
      <c r="C1642" s="84">
        <v>316.40410131185826</v>
      </c>
      <c r="D1642" s="84">
        <v>323.38924989779503</v>
      </c>
      <c r="E1642" s="85">
        <v>5415533.8479355592</v>
      </c>
      <c r="F1642" s="83" t="s">
        <v>1647</v>
      </c>
      <c r="G1642" s="25">
        <f t="shared" si="51"/>
        <v>-1.5162785375064436E-2</v>
      </c>
      <c r="I1642" s="84">
        <v>57.77415730411267</v>
      </c>
      <c r="J1642" s="84">
        <v>59.767586243155343</v>
      </c>
      <c r="K1642" s="84">
        <v>57.553645253333613</v>
      </c>
      <c r="L1642" s="84">
        <v>58.700307917384706</v>
      </c>
      <c r="M1642" s="85">
        <v>14032064.184556972</v>
      </c>
      <c r="N1642" s="83" t="s">
        <v>1647</v>
      </c>
      <c r="O1642" s="25">
        <f t="shared" si="52"/>
        <v>-1.5777610818933141E-2</v>
      </c>
    </row>
    <row r="1643" spans="1:15">
      <c r="A1643" s="84">
        <v>326.40535379053068</v>
      </c>
      <c r="B1643" s="84">
        <v>328.1123205641801</v>
      </c>
      <c r="C1643" s="84">
        <v>326.22031674189657</v>
      </c>
      <c r="D1643" s="84">
        <v>327.72836868826442</v>
      </c>
      <c r="E1643" s="85">
        <v>2626764.7673151423</v>
      </c>
      <c r="F1643" s="83" t="s">
        <v>1648</v>
      </c>
      <c r="G1643" s="25">
        <f t="shared" si="51"/>
        <v>-4.0369251616182433E-3</v>
      </c>
      <c r="I1643" s="84">
        <v>59.273639249410259</v>
      </c>
      <c r="J1643" s="84">
        <v>62.563679047033773</v>
      </c>
      <c r="K1643" s="84">
        <v>59.26481876737909</v>
      </c>
      <c r="L1643" s="84">
        <v>61.037735655642706</v>
      </c>
      <c r="M1643" s="85">
        <v>15103709.69855554</v>
      </c>
      <c r="N1643" s="83" t="s">
        <v>1648</v>
      </c>
      <c r="O1643" s="25">
        <f t="shared" si="52"/>
        <v>-2.8901734104046173E-2</v>
      </c>
    </row>
    <row r="1644" spans="1:15">
      <c r="A1644" s="84">
        <v>326.89570196941099</v>
      </c>
      <c r="B1644" s="84">
        <v>327.2208120638611</v>
      </c>
      <c r="C1644" s="84">
        <v>321.93670906601744</v>
      </c>
      <c r="D1644" s="84">
        <v>326.3220871186453</v>
      </c>
      <c r="E1644" s="85">
        <v>3835985.3080213913</v>
      </c>
      <c r="F1644" s="83" t="s">
        <v>1649</v>
      </c>
      <c r="G1644" s="25">
        <f t="shared" si="51"/>
        <v>1.7578180374813179E-3</v>
      </c>
      <c r="I1644" s="84">
        <v>58.462154902543325</v>
      </c>
      <c r="J1644" s="84">
        <v>58.67384647129122</v>
      </c>
      <c r="K1644" s="84">
        <v>57.35077416661688</v>
      </c>
      <c r="L1644" s="84">
        <v>58.250463333795437</v>
      </c>
      <c r="M1644" s="85">
        <v>11920034.486612525</v>
      </c>
      <c r="N1644" s="83" t="s">
        <v>1649</v>
      </c>
      <c r="O1644" s="25">
        <f t="shared" si="52"/>
        <v>3.6341611144758978E-3</v>
      </c>
    </row>
    <row r="1645" spans="1:15">
      <c r="A1645" s="84">
        <v>325.57268707167725</v>
      </c>
      <c r="B1645" s="84">
        <v>326.62739824889161</v>
      </c>
      <c r="C1645" s="84">
        <v>324.73076850039217</v>
      </c>
      <c r="D1645" s="84">
        <v>325.09159074522864</v>
      </c>
      <c r="E1645" s="85">
        <v>1958714.7691526245</v>
      </c>
      <c r="F1645" s="83" t="s">
        <v>1650</v>
      </c>
      <c r="G1645" s="25">
        <f t="shared" si="51"/>
        <v>1.4798793329158233E-3</v>
      </c>
      <c r="I1645" s="84">
        <v>59.608817566594418</v>
      </c>
      <c r="J1645" s="84">
        <v>60.076303114246016</v>
      </c>
      <c r="K1645" s="84">
        <v>59.203075393160958</v>
      </c>
      <c r="L1645" s="84">
        <v>59.732304315030689</v>
      </c>
      <c r="M1645" s="85">
        <v>5167591.730130651</v>
      </c>
      <c r="N1645" s="83" t="s">
        <v>1650</v>
      </c>
      <c r="O1645" s="25">
        <f t="shared" si="52"/>
        <v>-2.0673360897814907E-3</v>
      </c>
    </row>
    <row r="1646" spans="1:15">
      <c r="A1646" s="84">
        <v>326.73842047807204</v>
      </c>
      <c r="B1646" s="84">
        <v>327.36292051721205</v>
      </c>
      <c r="C1646" s="84">
        <v>325.94461153943178</v>
      </c>
      <c r="D1646" s="84">
        <v>327.01597605102313</v>
      </c>
      <c r="E1646" s="85">
        <v>2791399.9051152593</v>
      </c>
      <c r="F1646" s="83" t="s">
        <v>1651</v>
      </c>
      <c r="G1646" s="25">
        <f t="shared" si="51"/>
        <v>-8.4875233406878081E-4</v>
      </c>
      <c r="I1646" s="84">
        <v>60.076303114246016</v>
      </c>
      <c r="J1646" s="84">
        <v>60.596711554084592</v>
      </c>
      <c r="K1646" s="84">
        <v>59.846970581435791</v>
      </c>
      <c r="L1646" s="84">
        <v>60.270353718931588</v>
      </c>
      <c r="M1646" s="85">
        <v>8361371.8319974942</v>
      </c>
      <c r="N1646" s="83" t="s">
        <v>1651</v>
      </c>
      <c r="O1646" s="25">
        <f t="shared" si="52"/>
        <v>-3.2196692521586634E-3</v>
      </c>
    </row>
    <row r="1647" spans="1:15">
      <c r="A1647" s="84">
        <v>326.43310934782573</v>
      </c>
      <c r="B1647" s="84">
        <v>327.24727236181576</v>
      </c>
      <c r="C1647" s="84">
        <v>323.78707955235836</v>
      </c>
      <c r="D1647" s="84">
        <v>324.11089438746797</v>
      </c>
      <c r="E1647" s="85">
        <v>3156744.037541863</v>
      </c>
      <c r="F1647" s="83" t="s">
        <v>1652</v>
      </c>
      <c r="G1647" s="25">
        <f t="shared" si="51"/>
        <v>7.1648778259876256E-3</v>
      </c>
      <c r="I1647" s="84">
        <v>60.720198302520863</v>
      </c>
      <c r="J1647" s="84">
        <v>61.328811562671056</v>
      </c>
      <c r="K1647" s="84">
        <v>60.521737456819707</v>
      </c>
      <c r="L1647" s="84">
        <v>61.275888670484079</v>
      </c>
      <c r="M1647" s="85">
        <v>5280568.5489121405</v>
      </c>
      <c r="N1647" s="83" t="s">
        <v>1652</v>
      </c>
      <c r="O1647" s="25">
        <f t="shared" si="52"/>
        <v>-9.0686627321144853E-3</v>
      </c>
    </row>
    <row r="1648" spans="1:15">
      <c r="A1648" s="84">
        <v>322.05698314762964</v>
      </c>
      <c r="B1648" s="84">
        <v>322.50754836105358</v>
      </c>
      <c r="C1648" s="84">
        <v>320.44716082451305</v>
      </c>
      <c r="D1648" s="84">
        <v>321.77942757467849</v>
      </c>
      <c r="E1648" s="85">
        <v>3711462.1372829489</v>
      </c>
      <c r="F1648" s="83" t="s">
        <v>1653</v>
      </c>
      <c r="G1648" s="25">
        <f t="shared" si="51"/>
        <v>8.6256469235190814E-4</v>
      </c>
      <c r="I1648" s="84">
        <v>61.178863368141293</v>
      </c>
      <c r="J1648" s="84">
        <v>61.787476628291486</v>
      </c>
      <c r="K1648" s="84">
        <v>60.993633245486897</v>
      </c>
      <c r="L1648" s="84">
        <v>61.549323613450113</v>
      </c>
      <c r="M1648" s="85">
        <v>8368970.0561946779</v>
      </c>
      <c r="N1648" s="83" t="s">
        <v>1653</v>
      </c>
      <c r="O1648" s="25">
        <f t="shared" si="52"/>
        <v>-6.0189165950129686E-3</v>
      </c>
    </row>
    <row r="1649" spans="1:15">
      <c r="A1649" s="84">
        <v>319.53122743377429</v>
      </c>
      <c r="B1649" s="84">
        <v>321.09479049473237</v>
      </c>
      <c r="C1649" s="84">
        <v>317.82888658634067</v>
      </c>
      <c r="D1649" s="84">
        <v>320.36389415262767</v>
      </c>
      <c r="E1649" s="85">
        <v>3915051.6361324247</v>
      </c>
      <c r="F1649" s="83" t="s">
        <v>1654</v>
      </c>
      <c r="G1649" s="25">
        <f t="shared" si="51"/>
        <v>-2.5991278482109248E-3</v>
      </c>
      <c r="I1649" s="84">
        <v>61.037735655642706</v>
      </c>
      <c r="J1649" s="84">
        <v>62.034450125164035</v>
      </c>
      <c r="K1649" s="84">
        <v>60.817223604863649</v>
      </c>
      <c r="L1649" s="84">
        <v>62.016809161101712</v>
      </c>
      <c r="M1649" s="85">
        <v>7914254.5445219548</v>
      </c>
      <c r="N1649" s="83" t="s">
        <v>1654</v>
      </c>
      <c r="O1649" s="25">
        <f t="shared" si="52"/>
        <v>-1.5787227990328501E-2</v>
      </c>
    </row>
    <row r="1650" spans="1:15">
      <c r="A1650" s="84">
        <v>321.82568683683701</v>
      </c>
      <c r="B1650" s="84">
        <v>324.10932157255462</v>
      </c>
      <c r="C1650" s="84">
        <v>321.54813126388586</v>
      </c>
      <c r="D1650" s="84">
        <v>323.67605732317787</v>
      </c>
      <c r="E1650" s="85">
        <v>3780262.4131951253</v>
      </c>
      <c r="F1650" s="83" t="s">
        <v>1655</v>
      </c>
      <c r="G1650" s="25">
        <f t="shared" si="51"/>
        <v>-5.7167357438902E-3</v>
      </c>
      <c r="I1650" s="84">
        <v>62.572499529064928</v>
      </c>
      <c r="J1650" s="84">
        <v>63.833828459521136</v>
      </c>
      <c r="K1650" s="84">
        <v>62.2285007298496</v>
      </c>
      <c r="L1650" s="84">
        <v>62.625422421251905</v>
      </c>
      <c r="M1650" s="85">
        <v>11011330.180920077</v>
      </c>
      <c r="N1650" s="83" t="s">
        <v>1655</v>
      </c>
      <c r="O1650" s="25">
        <f t="shared" si="52"/>
        <v>-8.4507042253523235E-4</v>
      </c>
    </row>
    <row r="1651" spans="1:15">
      <c r="A1651" s="84">
        <v>322.91740542377806</v>
      </c>
      <c r="B1651" s="84">
        <v>323.87034622424363</v>
      </c>
      <c r="C1651" s="84">
        <v>321.33533865795664</v>
      </c>
      <c r="D1651" s="84">
        <v>322.06623500006134</v>
      </c>
      <c r="E1651" s="85">
        <v>3285748.4730114555</v>
      </c>
      <c r="F1651" s="83" t="s">
        <v>1656</v>
      </c>
      <c r="G1651" s="25">
        <f t="shared" si="51"/>
        <v>2.6428427795808229E-3</v>
      </c>
      <c r="I1651" s="84">
        <v>62.184398319693791</v>
      </c>
      <c r="J1651" s="84">
        <v>63.02234411265421</v>
      </c>
      <c r="K1651" s="84">
        <v>61.55373385446569</v>
      </c>
      <c r="L1651" s="84">
        <v>62.89003688218677</v>
      </c>
      <c r="M1651" s="85">
        <v>7973083.5289433002</v>
      </c>
      <c r="N1651" s="83" t="s">
        <v>1656</v>
      </c>
      <c r="O1651" s="25">
        <f t="shared" si="52"/>
        <v>-1.1220196353436185E-2</v>
      </c>
    </row>
    <row r="1652" spans="1:15">
      <c r="A1652" s="84">
        <v>322.11249426221985</v>
      </c>
      <c r="B1652" s="84">
        <v>323.02842765295856</v>
      </c>
      <c r="C1652" s="84">
        <v>320.08633857967658</v>
      </c>
      <c r="D1652" s="84">
        <v>322.2420201962637</v>
      </c>
      <c r="E1652" s="85">
        <v>2484246.2814515396</v>
      </c>
      <c r="F1652" s="83" t="s">
        <v>1657</v>
      </c>
      <c r="G1652" s="25">
        <f t="shared" si="51"/>
        <v>-4.0195233993678414E-4</v>
      </c>
      <c r="I1652" s="84">
        <v>63.084087486872335</v>
      </c>
      <c r="J1652" s="84">
        <v>63.260497127495583</v>
      </c>
      <c r="K1652" s="84">
        <v>61.364093490795696</v>
      </c>
      <c r="L1652" s="84">
        <v>61.469939275169651</v>
      </c>
      <c r="M1652" s="85">
        <v>6072486.7202005191</v>
      </c>
      <c r="N1652" s="83" t="s">
        <v>1657</v>
      </c>
      <c r="O1652" s="25">
        <f t="shared" si="52"/>
        <v>2.6259147653895809E-2</v>
      </c>
    </row>
    <row r="1653" spans="1:15">
      <c r="A1653" s="84">
        <v>322.08473870492469</v>
      </c>
      <c r="B1653" s="84">
        <v>323.64830176588276</v>
      </c>
      <c r="C1653" s="84">
        <v>321.22616679926256</v>
      </c>
      <c r="D1653" s="84">
        <v>321.37234606768351</v>
      </c>
      <c r="E1653" s="85">
        <v>3229470.0137684476</v>
      </c>
      <c r="F1653" s="83" t="s">
        <v>1658</v>
      </c>
      <c r="G1653" s="25">
        <f t="shared" si="51"/>
        <v>2.2167204053429312E-3</v>
      </c>
      <c r="I1653" s="84">
        <v>61.566964577512437</v>
      </c>
      <c r="J1653" s="84">
        <v>61.610184939465135</v>
      </c>
      <c r="K1653" s="84">
        <v>60.437942877523668</v>
      </c>
      <c r="L1653" s="84">
        <v>60.676095892365055</v>
      </c>
      <c r="M1653" s="85">
        <v>5180359.7398156226</v>
      </c>
      <c r="N1653" s="83" t="s">
        <v>1658</v>
      </c>
      <c r="O1653" s="25">
        <f t="shared" si="52"/>
        <v>1.4682366623055554E-2</v>
      </c>
    </row>
    <row r="1654" spans="1:15">
      <c r="A1654" s="84">
        <v>324.20341291178505</v>
      </c>
      <c r="B1654" s="84">
        <v>324.38752477517596</v>
      </c>
      <c r="C1654" s="84">
        <v>320.70621269260073</v>
      </c>
      <c r="D1654" s="84">
        <v>323.70381288047298</v>
      </c>
      <c r="E1654" s="85">
        <v>4062388.6164898686</v>
      </c>
      <c r="F1654" s="83" t="s">
        <v>1659</v>
      </c>
      <c r="G1654" s="25">
        <f t="shared" si="51"/>
        <v>1.5433863038756268E-3</v>
      </c>
      <c r="I1654" s="84">
        <v>61.619887469699407</v>
      </c>
      <c r="J1654" s="84">
        <v>61.813938074384978</v>
      </c>
      <c r="K1654" s="84">
        <v>60.596711554084592</v>
      </c>
      <c r="L1654" s="84">
        <v>61.708092290011024</v>
      </c>
      <c r="M1654" s="85">
        <v>5847866.3431054428</v>
      </c>
      <c r="N1654" s="83" t="s">
        <v>1659</v>
      </c>
      <c r="O1654" s="25">
        <f t="shared" si="52"/>
        <v>-1.4293882218409104E-3</v>
      </c>
    </row>
    <row r="1655" spans="1:15">
      <c r="A1655" s="84">
        <v>322.39004983517094</v>
      </c>
      <c r="B1655" s="84">
        <v>323.07468691511707</v>
      </c>
      <c r="C1655" s="84">
        <v>319.6885089251133</v>
      </c>
      <c r="D1655" s="84">
        <v>319.87354597374735</v>
      </c>
      <c r="E1655" s="85">
        <v>3933111.8031350258</v>
      </c>
      <c r="F1655" s="83" t="s">
        <v>1660</v>
      </c>
      <c r="G1655" s="25">
        <f t="shared" si="51"/>
        <v>7.8671834326371481E-3</v>
      </c>
      <c r="I1655" s="84">
        <v>61.549323613450113</v>
      </c>
      <c r="J1655" s="84">
        <v>62.510756154846803</v>
      </c>
      <c r="K1655" s="84">
        <v>61.469939275169651</v>
      </c>
      <c r="L1655" s="84">
        <v>62.052091089226352</v>
      </c>
      <c r="M1655" s="85">
        <v>9944364.6832578219</v>
      </c>
      <c r="N1655" s="83" t="s">
        <v>1660</v>
      </c>
      <c r="O1655" s="25">
        <f t="shared" si="52"/>
        <v>-8.1023454157781449E-3</v>
      </c>
    </row>
    <row r="1656" spans="1:15">
      <c r="A1656" s="84">
        <v>317.64384953770661</v>
      </c>
      <c r="B1656" s="84">
        <v>320.57668675855689</v>
      </c>
      <c r="C1656" s="84">
        <v>313.91535300772978</v>
      </c>
      <c r="D1656" s="84">
        <v>314.36869377688328</v>
      </c>
      <c r="E1656" s="85">
        <v>5193500.4751419583</v>
      </c>
      <c r="F1656" s="83" t="s">
        <v>1661</v>
      </c>
      <c r="G1656" s="25">
        <f t="shared" si="51"/>
        <v>1.0418199476146972E-2</v>
      </c>
      <c r="I1656" s="84">
        <v>61.990347715008227</v>
      </c>
      <c r="J1656" s="84">
        <v>63.05762604077885</v>
      </c>
      <c r="K1656" s="84">
        <v>60.37611129848522</v>
      </c>
      <c r="L1656" s="84">
        <v>60.420301913461344</v>
      </c>
      <c r="M1656" s="85">
        <v>9924363.5087894965</v>
      </c>
      <c r="N1656" s="83" t="s">
        <v>1661</v>
      </c>
      <c r="O1656" s="25">
        <f t="shared" si="52"/>
        <v>2.5985401459854174E-2</v>
      </c>
    </row>
    <row r="1657" spans="1:15">
      <c r="A1657" s="84">
        <v>315.72871608434377</v>
      </c>
      <c r="B1657" s="84">
        <v>316.77417540912637</v>
      </c>
      <c r="C1657" s="84">
        <v>313.07343443644464</v>
      </c>
      <c r="D1657" s="84">
        <v>313.08268628887635</v>
      </c>
      <c r="E1657" s="85">
        <v>3566546.2936832896</v>
      </c>
      <c r="F1657" s="83" t="s">
        <v>1662</v>
      </c>
      <c r="G1657" s="25">
        <f t="shared" si="51"/>
        <v>8.451536643026003E-3</v>
      </c>
      <c r="I1657" s="84">
        <v>61.231786260328271</v>
      </c>
      <c r="J1657" s="84">
        <v>61.63752843376173</v>
      </c>
      <c r="K1657" s="84">
        <v>60.332097093149727</v>
      </c>
      <c r="L1657" s="84">
        <v>60.64963444627157</v>
      </c>
      <c r="M1657" s="85">
        <v>7297539.949924767</v>
      </c>
      <c r="N1657" s="83" t="s">
        <v>1662</v>
      </c>
      <c r="O1657" s="25">
        <f t="shared" si="52"/>
        <v>9.5986038394413331E-3</v>
      </c>
    </row>
    <row r="1658" spans="1:15">
      <c r="A1658" s="84">
        <v>313.66555299207369</v>
      </c>
      <c r="B1658" s="84">
        <v>319.27217556568655</v>
      </c>
      <c r="C1658" s="84">
        <v>310.27937500206991</v>
      </c>
      <c r="D1658" s="84">
        <v>319.20741259866463</v>
      </c>
      <c r="E1658" s="85">
        <v>5839494.3497869065</v>
      </c>
      <c r="F1658" s="83" t="s">
        <v>1663</v>
      </c>
      <c r="G1658" s="25">
        <f t="shared" si="51"/>
        <v>-1.7361312387687788E-2</v>
      </c>
      <c r="I1658" s="84">
        <v>60.358558539243212</v>
      </c>
      <c r="J1658" s="84">
        <v>63.119369414996989</v>
      </c>
      <c r="K1658" s="84">
        <v>60.252712754869265</v>
      </c>
      <c r="L1658" s="84">
        <v>62.960600738436064</v>
      </c>
      <c r="M1658" s="85">
        <v>8684877.9612451736</v>
      </c>
      <c r="N1658" s="83" t="s">
        <v>1663</v>
      </c>
      <c r="O1658" s="25">
        <f t="shared" si="52"/>
        <v>-4.13281031101147E-2</v>
      </c>
    </row>
    <row r="1659" spans="1:15">
      <c r="A1659" s="84">
        <v>317.97691622524798</v>
      </c>
      <c r="B1659" s="84">
        <v>318.60604219060389</v>
      </c>
      <c r="C1659" s="84">
        <v>315.70096052704872</v>
      </c>
      <c r="D1659" s="84">
        <v>316.24681982051925</v>
      </c>
      <c r="E1659" s="85">
        <v>3790938.1130864825</v>
      </c>
      <c r="F1659" s="83" t="s">
        <v>1664</v>
      </c>
      <c r="G1659" s="25">
        <f t="shared" si="51"/>
        <v>5.4707155813000785E-3</v>
      </c>
      <c r="I1659" s="84">
        <v>63.07526700484118</v>
      </c>
      <c r="J1659" s="84">
        <v>63.242856163433267</v>
      </c>
      <c r="K1659" s="84">
        <v>62.572499529064928</v>
      </c>
      <c r="L1659" s="84">
        <v>62.934139292342579</v>
      </c>
      <c r="M1659" s="85">
        <v>4735581.3267833525</v>
      </c>
      <c r="N1659" s="83" t="s">
        <v>1664</v>
      </c>
      <c r="O1659" s="25">
        <f t="shared" si="52"/>
        <v>2.2424667133849052E-3</v>
      </c>
    </row>
    <row r="1660" spans="1:15">
      <c r="A1660" s="84">
        <v>316.27457537781436</v>
      </c>
      <c r="B1660" s="84">
        <v>317.25527173557504</v>
      </c>
      <c r="C1660" s="84">
        <v>316.01089758351077</v>
      </c>
      <c r="D1660" s="84">
        <v>316.67240503237764</v>
      </c>
      <c r="E1660" s="85">
        <v>2171602.9463624675</v>
      </c>
      <c r="F1660" s="83" t="s">
        <v>1665</v>
      </c>
      <c r="G1660" s="25">
        <f t="shared" si="51"/>
        <v>-1.2562814070351536E-3</v>
      </c>
      <c r="I1660" s="84">
        <v>62.942959774373747</v>
      </c>
      <c r="J1660" s="84">
        <v>63.189933271246289</v>
      </c>
      <c r="K1660" s="84">
        <v>62.043270607195197</v>
      </c>
      <c r="L1660" s="84">
        <v>62.184398319693791</v>
      </c>
      <c r="M1660" s="85">
        <v>5686250.4591930117</v>
      </c>
      <c r="N1660" s="83" t="s">
        <v>1665</v>
      </c>
      <c r="O1660" s="25">
        <f t="shared" si="52"/>
        <v>1.2198581560283639E-2</v>
      </c>
    </row>
    <row r="1661" spans="1:15">
      <c r="A1661" s="84">
        <v>315.84899016595597</v>
      </c>
      <c r="B1661" s="84">
        <v>318.0509310447016</v>
      </c>
      <c r="C1661" s="84">
        <v>315.36789383950736</v>
      </c>
      <c r="D1661" s="84">
        <v>317.92140511065776</v>
      </c>
      <c r="E1661" s="85">
        <v>2762194.9429744808</v>
      </c>
      <c r="F1661" s="83" t="s">
        <v>1666</v>
      </c>
      <c r="G1661" s="25">
        <f t="shared" si="51"/>
        <v>-6.5186392340599308E-3</v>
      </c>
      <c r="I1661" s="84">
        <v>62.043270607195197</v>
      </c>
      <c r="J1661" s="84">
        <v>62.713627241563522</v>
      </c>
      <c r="K1661" s="84">
        <v>61.452298311107327</v>
      </c>
      <c r="L1661" s="84">
        <v>62.625422421251905</v>
      </c>
      <c r="M1661" s="85">
        <v>4161076.4434791133</v>
      </c>
      <c r="N1661" s="83" t="s">
        <v>1666</v>
      </c>
      <c r="O1661" s="25">
        <f t="shared" si="52"/>
        <v>-9.2957746478873338E-3</v>
      </c>
    </row>
    <row r="1662" spans="1:15">
      <c r="A1662" s="84">
        <v>316.51512354103869</v>
      </c>
      <c r="B1662" s="84">
        <v>316.83893837614829</v>
      </c>
      <c r="C1662" s="84">
        <v>315.57143459300482</v>
      </c>
      <c r="D1662" s="84">
        <v>316.17280500106563</v>
      </c>
      <c r="E1662" s="85">
        <v>3025172.5485902443</v>
      </c>
      <c r="F1662" s="83" t="s">
        <v>1667</v>
      </c>
      <c r="G1662" s="25">
        <f t="shared" si="51"/>
        <v>1.0826944460700094E-3</v>
      </c>
      <c r="I1662" s="84">
        <v>62.299064586098901</v>
      </c>
      <c r="J1662" s="84">
        <v>63.031164594685364</v>
      </c>
      <c r="K1662" s="84">
        <v>62.045211113242054</v>
      </c>
      <c r="L1662" s="84">
        <v>62.36080796031704</v>
      </c>
      <c r="M1662" s="85">
        <v>3330887.1211575624</v>
      </c>
      <c r="N1662" s="83" t="s">
        <v>1667</v>
      </c>
      <c r="O1662" s="25">
        <f t="shared" si="52"/>
        <v>-9.9009900990099098E-4</v>
      </c>
    </row>
    <row r="1663" spans="1:15">
      <c r="A1663" s="84">
        <v>313.78582707368588</v>
      </c>
      <c r="B1663" s="84">
        <v>313.80433077854929</v>
      </c>
      <c r="C1663" s="84">
        <v>312.49981958567895</v>
      </c>
      <c r="D1663" s="84">
        <v>313.05493073158124</v>
      </c>
      <c r="E1663" s="85">
        <v>1564732.0476482238</v>
      </c>
      <c r="F1663" s="83" t="s">
        <v>1668</v>
      </c>
      <c r="G1663" s="25">
        <f t="shared" si="51"/>
        <v>2.334722345361584E-3</v>
      </c>
      <c r="I1663" s="84">
        <v>61.981527232977058</v>
      </c>
      <c r="J1663" s="84">
        <v>62.581320011096096</v>
      </c>
      <c r="K1663" s="84">
        <v>61.646348915792899</v>
      </c>
      <c r="L1663" s="84">
        <v>62.581320011096096</v>
      </c>
      <c r="M1663" s="85">
        <v>1993818.471356571</v>
      </c>
      <c r="N1663" s="83" t="s">
        <v>1668</v>
      </c>
      <c r="O1663" s="25">
        <f t="shared" si="52"/>
        <v>-9.584214235377142E-3</v>
      </c>
    </row>
    <row r="1664" spans="1:15">
      <c r="A1664" s="84">
        <v>312.53682699540582</v>
      </c>
      <c r="B1664" s="84">
        <v>314.33168636715646</v>
      </c>
      <c r="C1664" s="84">
        <v>312.42580476622533</v>
      </c>
      <c r="D1664" s="84">
        <v>313.21221222292024</v>
      </c>
      <c r="E1664" s="85">
        <v>3979924.0500009446</v>
      </c>
      <c r="F1664" s="83" t="s">
        <v>1669</v>
      </c>
      <c r="G1664" s="25">
        <f t="shared" si="51"/>
        <v>-2.1563183080286485E-3</v>
      </c>
      <c r="I1664" s="84">
        <v>62.378448924379363</v>
      </c>
      <c r="J1664" s="84">
        <v>62.987062184529556</v>
      </c>
      <c r="K1664" s="84">
        <v>61.381734454858034</v>
      </c>
      <c r="L1664" s="84">
        <v>61.558144095481282</v>
      </c>
      <c r="M1664" s="85">
        <v>4889670.4111665236</v>
      </c>
      <c r="N1664" s="83" t="s">
        <v>1669</v>
      </c>
      <c r="O1664" s="25">
        <f t="shared" si="52"/>
        <v>1.3325691359793446E-2</v>
      </c>
    </row>
    <row r="1665" spans="1:15">
      <c r="A1665" s="84">
        <v>312.28702697974978</v>
      </c>
      <c r="B1665" s="84">
        <v>313.22146407535195</v>
      </c>
      <c r="C1665" s="84">
        <v>311.2970787695574</v>
      </c>
      <c r="D1665" s="84">
        <v>313.14744925589832</v>
      </c>
      <c r="E1665" s="85">
        <v>2573889.9507731451</v>
      </c>
      <c r="F1665" s="83" t="s">
        <v>1670</v>
      </c>
      <c r="G1665" s="25">
        <f t="shared" si="51"/>
        <v>-2.7476585812628018E-3</v>
      </c>
      <c r="I1665" s="84">
        <v>61.081838065798514</v>
      </c>
      <c r="J1665" s="84">
        <v>61.840399520478464</v>
      </c>
      <c r="K1665" s="84">
        <v>60.834864568925966</v>
      </c>
      <c r="L1665" s="84">
        <v>61.293529634546402</v>
      </c>
      <c r="M1665" s="85">
        <v>4608469.2261023577</v>
      </c>
      <c r="N1665" s="83" t="s">
        <v>1670</v>
      </c>
      <c r="O1665" s="25">
        <f t="shared" si="52"/>
        <v>-3.45373435026608E-3</v>
      </c>
    </row>
    <row r="1666" spans="1:15">
      <c r="A1666" s="84">
        <v>312.90421805546868</v>
      </c>
      <c r="B1666" s="84">
        <v>313.63213799499522</v>
      </c>
      <c r="C1666" s="84">
        <v>307.85484936103137</v>
      </c>
      <c r="D1666" s="84">
        <v>310.36110535535062</v>
      </c>
      <c r="E1666" s="85">
        <v>4252235.6950590359</v>
      </c>
      <c r="F1666" s="83" t="s">
        <v>1671</v>
      </c>
      <c r="G1666" s="25">
        <f t="shared" si="51"/>
        <v>8.194044473473161E-3</v>
      </c>
      <c r="I1666" s="84">
        <v>61.452298311107327</v>
      </c>
      <c r="J1666" s="84">
        <v>61.955065786883573</v>
      </c>
      <c r="K1666" s="84">
        <v>59.785227207217666</v>
      </c>
      <c r="L1666" s="84">
        <v>60.587891072053424</v>
      </c>
      <c r="M1666" s="85">
        <v>9468558.4874997195</v>
      </c>
      <c r="N1666" s="83" t="s">
        <v>1671</v>
      </c>
      <c r="O1666" s="25">
        <f t="shared" si="52"/>
        <v>1.4266996651623343E-2</v>
      </c>
    </row>
    <row r="1667" spans="1:15">
      <c r="A1667" s="84">
        <v>313.87170658268752</v>
      </c>
      <c r="B1667" s="84">
        <v>315.58554340233229</v>
      </c>
      <c r="C1667" s="84">
        <v>312.08415635144513</v>
      </c>
      <c r="D1667" s="84">
        <v>315.48418746138555</v>
      </c>
      <c r="E1667" s="85">
        <v>6539542.6632991573</v>
      </c>
      <c r="F1667" s="83" t="s">
        <v>1672</v>
      </c>
      <c r="G1667" s="25">
        <f t="shared" si="51"/>
        <v>-5.1111305820846775E-3</v>
      </c>
      <c r="I1667" s="84">
        <v>61.893322412665441</v>
      </c>
      <c r="J1667" s="84">
        <v>62.413730852504017</v>
      </c>
      <c r="K1667" s="84">
        <v>61.575785059543598</v>
      </c>
      <c r="L1667" s="84">
        <v>62.246141693911923</v>
      </c>
      <c r="M1667" s="85">
        <v>19057656.872506596</v>
      </c>
      <c r="N1667" s="83" t="s">
        <v>1672</v>
      </c>
      <c r="O1667" s="25">
        <f t="shared" si="52"/>
        <v>-5.6681309338244557E-3</v>
      </c>
    </row>
    <row r="1668" spans="1:15">
      <c r="A1668" s="84">
        <v>315.13404875629686</v>
      </c>
      <c r="B1668" s="84">
        <v>315.35518899108973</v>
      </c>
      <c r="C1668" s="84">
        <v>314.16656022907802</v>
      </c>
      <c r="D1668" s="84">
        <v>314.91290852150394</v>
      </c>
      <c r="E1668" s="85">
        <v>2851036.1336575421</v>
      </c>
      <c r="F1668" s="83" t="s">
        <v>1673</v>
      </c>
      <c r="G1668" s="25">
        <f t="shared" si="51"/>
        <v>7.0222664364938403E-4</v>
      </c>
      <c r="I1668" s="84">
        <v>62.307885068130062</v>
      </c>
      <c r="J1668" s="84">
        <v>63.05762604077885</v>
      </c>
      <c r="K1668" s="84">
        <v>62.19321880172496</v>
      </c>
      <c r="L1668" s="84">
        <v>62.969421220467233</v>
      </c>
      <c r="M1668" s="85">
        <v>6541527.9795538764</v>
      </c>
      <c r="N1668" s="83" t="s">
        <v>1673</v>
      </c>
      <c r="O1668" s="25">
        <f t="shared" si="52"/>
        <v>-1.0505673063454291E-2</v>
      </c>
    </row>
    <row r="1669" spans="1:15">
      <c r="A1669" s="84">
        <v>313.42942611310178</v>
      </c>
      <c r="B1669" s="84">
        <v>314.2402736406757</v>
      </c>
      <c r="C1669" s="84">
        <v>312.32372493913738</v>
      </c>
      <c r="D1669" s="84">
        <v>313.12535829026154</v>
      </c>
      <c r="E1669" s="85">
        <v>3194158.4970351029</v>
      </c>
      <c r="F1669" s="83" t="s">
        <v>1674</v>
      </c>
      <c r="G1669" s="25">
        <f t="shared" si="51"/>
        <v>9.7107377218041968E-4</v>
      </c>
      <c r="I1669" s="84">
        <v>62.246141693911923</v>
      </c>
      <c r="J1669" s="84">
        <v>62.779780856797238</v>
      </c>
      <c r="K1669" s="84">
        <v>62.14223641558484</v>
      </c>
      <c r="L1669" s="84">
        <v>62.757729651719345</v>
      </c>
      <c r="M1669" s="85">
        <v>6372778.6986482078</v>
      </c>
      <c r="N1669" s="83" t="s">
        <v>1674</v>
      </c>
      <c r="O1669" s="25">
        <f t="shared" si="52"/>
        <v>-8.1517919887563739E-3</v>
      </c>
    </row>
    <row r="1670" spans="1:15">
      <c r="A1670" s="84">
        <v>312.95028893771718</v>
      </c>
      <c r="B1670" s="84">
        <v>312.95028893771718</v>
      </c>
      <c r="C1670" s="84">
        <v>309.81746894481813</v>
      </c>
      <c r="D1670" s="84">
        <v>311.10745364777659</v>
      </c>
      <c r="E1670" s="85">
        <v>2998207.1811626819</v>
      </c>
      <c r="F1670" s="83" t="s">
        <v>1675</v>
      </c>
      <c r="G1670" s="25">
        <f t="shared" si="51"/>
        <v>5.9234687833193966E-3</v>
      </c>
      <c r="I1670" s="84">
        <v>62.660704349376559</v>
      </c>
      <c r="J1670" s="84">
        <v>63.331060983744884</v>
      </c>
      <c r="K1670" s="84">
        <v>61.831579038447295</v>
      </c>
      <c r="L1670" s="84">
        <v>63.066446522810018</v>
      </c>
      <c r="M1670" s="85">
        <v>9215421.528305009</v>
      </c>
      <c r="N1670" s="83" t="s">
        <v>1675</v>
      </c>
      <c r="O1670" s="25">
        <f t="shared" si="52"/>
        <v>-6.4335664335664067E-3</v>
      </c>
    </row>
    <row r="1671" spans="1:15">
      <c r="A1671" s="84">
        <v>308.68412524150466</v>
      </c>
      <c r="B1671" s="84">
        <v>313.08850158446279</v>
      </c>
      <c r="C1671" s="84">
        <v>308.57355512410822</v>
      </c>
      <c r="D1671" s="84">
        <v>312.13944141014332</v>
      </c>
      <c r="E1671" s="85">
        <v>2881032.3033107622</v>
      </c>
      <c r="F1671" s="83" t="s">
        <v>1676</v>
      </c>
      <c r="G1671" s="25">
        <f t="shared" si="51"/>
        <v>-1.1069783917817877E-2</v>
      </c>
      <c r="I1671" s="84">
        <v>62.449012780628657</v>
      </c>
      <c r="J1671" s="84">
        <v>65.125147028883291</v>
      </c>
      <c r="K1671" s="84">
        <v>62.369628442348194</v>
      </c>
      <c r="L1671" s="84">
        <v>64.742338108730848</v>
      </c>
      <c r="M1671" s="85">
        <v>12300085.144632889</v>
      </c>
      <c r="N1671" s="83" t="s">
        <v>1676</v>
      </c>
      <c r="O1671" s="25">
        <f t="shared" si="52"/>
        <v>-3.5422343324250871E-2</v>
      </c>
    </row>
    <row r="1672" spans="1:15">
      <c r="A1672" s="84">
        <v>310.10310841475894</v>
      </c>
      <c r="B1672" s="84">
        <v>310.33346282600155</v>
      </c>
      <c r="C1672" s="84">
        <v>307.54156736174144</v>
      </c>
      <c r="D1672" s="84">
        <v>308.96055053499578</v>
      </c>
      <c r="E1672" s="85">
        <v>2591538.1727652224</v>
      </c>
      <c r="F1672" s="83" t="s">
        <v>1677</v>
      </c>
      <c r="G1672" s="25">
        <f t="shared" si="51"/>
        <v>3.6980704422771016E-3</v>
      </c>
      <c r="I1672" s="84">
        <v>64.292493525141566</v>
      </c>
      <c r="J1672" s="84">
        <v>64.901106785291759</v>
      </c>
      <c r="K1672" s="84">
        <v>63.825007977489967</v>
      </c>
      <c r="L1672" s="84">
        <v>64.08962243842484</v>
      </c>
      <c r="M1672" s="85">
        <v>8146817.798180066</v>
      </c>
      <c r="N1672" s="83" t="s">
        <v>1677</v>
      </c>
      <c r="O1672" s="25">
        <f t="shared" si="52"/>
        <v>3.1654280209192365E-3</v>
      </c>
    </row>
    <row r="1673" spans="1:15">
      <c r="A1673" s="84">
        <v>310.49931800209617</v>
      </c>
      <c r="B1673" s="84">
        <v>311.43907185820143</v>
      </c>
      <c r="C1673" s="84">
        <v>308.52932707714962</v>
      </c>
      <c r="D1673" s="84">
        <v>309.35676012233301</v>
      </c>
      <c r="E1673" s="85">
        <v>2972114.7787312367</v>
      </c>
      <c r="F1673" s="83" t="s">
        <v>1678</v>
      </c>
      <c r="G1673" s="25">
        <f t="shared" si="51"/>
        <v>3.6933341275986464E-3</v>
      </c>
      <c r="I1673" s="84">
        <v>64.371877863422029</v>
      </c>
      <c r="J1673" s="84">
        <v>65.042234497790361</v>
      </c>
      <c r="K1673" s="84">
        <v>63.90439231577043</v>
      </c>
      <c r="L1673" s="84">
        <v>64.36305738139086</v>
      </c>
      <c r="M1673" s="85">
        <v>8500529.759610014</v>
      </c>
      <c r="N1673" s="83" t="s">
        <v>1678</v>
      </c>
      <c r="O1673" s="25">
        <f t="shared" si="52"/>
        <v>1.3704262025493463E-4</v>
      </c>
    </row>
    <row r="1674" spans="1:15">
      <c r="A1674" s="84">
        <v>310.64674482529142</v>
      </c>
      <c r="B1674" s="84">
        <v>314.14158981089935</v>
      </c>
      <c r="C1674" s="84">
        <v>309.83589729771757</v>
      </c>
      <c r="D1674" s="84">
        <v>314.00991922943308</v>
      </c>
      <c r="E1674" s="85">
        <v>2762903.4606581922</v>
      </c>
      <c r="F1674" s="83" t="s">
        <v>1679</v>
      </c>
      <c r="G1674" s="25">
        <f t="shared" si="51"/>
        <v>-1.0710408169253838E-2</v>
      </c>
      <c r="I1674" s="84">
        <v>64.865824857167112</v>
      </c>
      <c r="J1674" s="84">
        <v>65.990436316140304</v>
      </c>
      <c r="K1674" s="84">
        <v>64.636492324356894</v>
      </c>
      <c r="L1674" s="84">
        <v>65.6861296860652</v>
      </c>
      <c r="M1674" s="85">
        <v>6042104.026935773</v>
      </c>
      <c r="N1674" s="83" t="s">
        <v>1679</v>
      </c>
      <c r="O1674" s="25">
        <f t="shared" si="52"/>
        <v>-1.2488250302135073E-2</v>
      </c>
    </row>
    <row r="1675" spans="1:15">
      <c r="A1675" s="84">
        <v>313.42942611310178</v>
      </c>
      <c r="B1675" s="84">
        <v>313.92699164138571</v>
      </c>
      <c r="C1675" s="84">
        <v>311.3009513532204</v>
      </c>
      <c r="D1675" s="84">
        <v>311.33780805901915</v>
      </c>
      <c r="E1675" s="85">
        <v>2114344.1420234228</v>
      </c>
      <c r="F1675" s="83" t="s">
        <v>1680</v>
      </c>
      <c r="G1675" s="25">
        <f t="shared" si="51"/>
        <v>6.7181627156767121E-3</v>
      </c>
      <c r="I1675" s="84">
        <v>65.694950168096369</v>
      </c>
      <c r="J1675" s="84">
        <v>65.721411614189861</v>
      </c>
      <c r="K1675" s="84">
        <v>64.204288704829949</v>
      </c>
      <c r="L1675" s="84">
        <v>64.557107986076431</v>
      </c>
      <c r="M1675" s="85">
        <v>4948584.4249544442</v>
      </c>
      <c r="N1675" s="83" t="s">
        <v>1680</v>
      </c>
      <c r="O1675" s="25">
        <f t="shared" si="52"/>
        <v>1.7625358655554146E-2</v>
      </c>
    </row>
    <row r="1676" spans="1:15">
      <c r="A1676" s="84">
        <v>312.52643682103087</v>
      </c>
      <c r="B1676" s="84">
        <v>312.94107476126749</v>
      </c>
      <c r="C1676" s="84">
        <v>311.35623641191859</v>
      </c>
      <c r="D1676" s="84">
        <v>312.42508088008412</v>
      </c>
      <c r="E1676" s="85">
        <v>2108795.0839736774</v>
      </c>
      <c r="F1676" s="83" t="s">
        <v>1681</v>
      </c>
      <c r="G1676" s="25">
        <f t="shared" si="51"/>
        <v>3.2441678709416166E-4</v>
      </c>
      <c r="I1676" s="84">
        <v>64.424800755609013</v>
      </c>
      <c r="J1676" s="84">
        <v>65.051054979821515</v>
      </c>
      <c r="K1676" s="84">
        <v>63.992597136082047</v>
      </c>
      <c r="L1676" s="84">
        <v>64.724697144668511</v>
      </c>
      <c r="M1676" s="85">
        <v>5570940.4345926922</v>
      </c>
      <c r="N1676" s="83" t="s">
        <v>1681</v>
      </c>
      <c r="O1676" s="25">
        <f t="shared" si="52"/>
        <v>-4.6334150994818968E-3</v>
      </c>
    </row>
    <row r="1677" spans="1:15">
      <c r="A1677" s="84">
        <v>313.10692993736217</v>
      </c>
      <c r="B1677" s="84">
        <v>313.13457246671123</v>
      </c>
      <c r="C1677" s="84">
        <v>310.93238429523223</v>
      </c>
      <c r="D1677" s="84">
        <v>310.98260155688314</v>
      </c>
      <c r="E1677" s="85">
        <v>3155230.4385202741</v>
      </c>
      <c r="F1677" s="83" t="s">
        <v>1682</v>
      </c>
      <c r="G1677" s="25">
        <f t="shared" si="51"/>
        <v>6.831020030843904E-3</v>
      </c>
      <c r="I1677" s="84">
        <v>65.192182692320117</v>
      </c>
      <c r="J1677" s="84">
        <v>65.85177833861043</v>
      </c>
      <c r="K1677" s="84">
        <v>64.724697144668511</v>
      </c>
      <c r="L1677" s="84">
        <v>64.724697144668511</v>
      </c>
      <c r="M1677" s="85">
        <v>10541296.912290005</v>
      </c>
      <c r="N1677" s="83" t="s">
        <v>1682</v>
      </c>
      <c r="O1677" s="25">
        <f t="shared" si="52"/>
        <v>7.2226764786045283E-3</v>
      </c>
    </row>
    <row r="1678" spans="1:15">
      <c r="A1678" s="84">
        <v>310.4348187669483</v>
      </c>
      <c r="B1678" s="84">
        <v>311.71558929345701</v>
      </c>
      <c r="C1678" s="84">
        <v>309.48575859262883</v>
      </c>
      <c r="D1678" s="84">
        <v>310.4348187669483</v>
      </c>
      <c r="E1678" s="85">
        <v>3094238.5524773165</v>
      </c>
      <c r="F1678" s="83" t="s">
        <v>1683</v>
      </c>
      <c r="G1678" s="25">
        <f t="shared" si="51"/>
        <v>0</v>
      </c>
      <c r="I1678" s="84">
        <v>64.645312806388063</v>
      </c>
      <c r="J1678" s="84">
        <v>65.615565829815907</v>
      </c>
      <c r="K1678" s="84">
        <v>63.428086286087662</v>
      </c>
      <c r="L1678" s="84">
        <v>63.604495926710911</v>
      </c>
      <c r="M1678" s="85">
        <v>7816015.015555325</v>
      </c>
      <c r="N1678" s="83" t="s">
        <v>1683</v>
      </c>
      <c r="O1678" s="25">
        <f t="shared" si="52"/>
        <v>1.6363888503674984E-2</v>
      </c>
    </row>
    <row r="1679" spans="1:15">
      <c r="A1679" s="84">
        <v>310.5269605314453</v>
      </c>
      <c r="B1679" s="84">
        <v>310.61910229594235</v>
      </c>
      <c r="C1679" s="84">
        <v>308.35241488931536</v>
      </c>
      <c r="D1679" s="84">
        <v>308.87762294694846</v>
      </c>
      <c r="E1679" s="85">
        <v>2463959.7606936935</v>
      </c>
      <c r="F1679" s="83" t="s">
        <v>1684</v>
      </c>
      <c r="G1679" s="25">
        <f t="shared" si="51"/>
        <v>5.3397768629555031E-3</v>
      </c>
      <c r="I1679" s="84">
        <v>63.454547732181155</v>
      </c>
      <c r="J1679" s="84">
        <v>63.811777254443221</v>
      </c>
      <c r="K1679" s="84">
        <v>62.351987478285871</v>
      </c>
      <c r="L1679" s="84">
        <v>62.793011579843984</v>
      </c>
      <c r="M1679" s="85">
        <v>6123945.3591271024</v>
      </c>
      <c r="N1679" s="83" t="s">
        <v>1684</v>
      </c>
      <c r="O1679" s="25">
        <f t="shared" si="52"/>
        <v>1.0535187526337975E-2</v>
      </c>
    </row>
    <row r="1680" spans="1:15">
      <c r="A1680" s="84">
        <v>309.87275400351638</v>
      </c>
      <c r="B1680" s="84">
        <v>311.25488047097184</v>
      </c>
      <c r="C1680" s="84">
        <v>308.96976471144546</v>
      </c>
      <c r="D1680" s="84">
        <v>309.52261529842764</v>
      </c>
      <c r="E1680" s="85">
        <v>3513222.280548248</v>
      </c>
      <c r="F1680" s="83" t="s">
        <v>1685</v>
      </c>
      <c r="G1680" s="25">
        <f t="shared" si="51"/>
        <v>1.1312217194570096E-3</v>
      </c>
      <c r="I1680" s="84">
        <v>62.828293507968638</v>
      </c>
      <c r="J1680" s="84">
        <v>64.336595935297382</v>
      </c>
      <c r="K1680" s="84">
        <v>62.810652543906308</v>
      </c>
      <c r="L1680" s="84">
        <v>64.14254533061181</v>
      </c>
      <c r="M1680" s="85">
        <v>7421120.4975806605</v>
      </c>
      <c r="N1680" s="83" t="s">
        <v>1685</v>
      </c>
      <c r="O1680" s="25">
        <f t="shared" si="52"/>
        <v>-2.0489548954895409E-2</v>
      </c>
    </row>
    <row r="1681" spans="1:15">
      <c r="A1681" s="84">
        <v>306.50036542292503</v>
      </c>
      <c r="B1681" s="84">
        <v>307.41256889144563</v>
      </c>
      <c r="C1681" s="84">
        <v>304.10467954600222</v>
      </c>
      <c r="D1681" s="84">
        <v>307.20064283310245</v>
      </c>
      <c r="E1681" s="85">
        <v>4531828.7779636942</v>
      </c>
      <c r="F1681" s="83" t="s">
        <v>1686</v>
      </c>
      <c r="G1681" s="25">
        <f t="shared" si="51"/>
        <v>-2.2795440911816955E-3</v>
      </c>
      <c r="I1681" s="84">
        <v>63.260497127495583</v>
      </c>
      <c r="J1681" s="84">
        <v>64.874645339198267</v>
      </c>
      <c r="K1681" s="84">
        <v>62.942959774373747</v>
      </c>
      <c r="L1681" s="84">
        <v>64.468903165764814</v>
      </c>
      <c r="M1681" s="85">
        <v>12165771.623465396</v>
      </c>
      <c r="N1681" s="83" t="s">
        <v>1686</v>
      </c>
      <c r="O1681" s="25">
        <f t="shared" si="52"/>
        <v>-1.8744014229032824E-2</v>
      </c>
    </row>
    <row r="1682" spans="1:15">
      <c r="A1682" s="84">
        <v>307.88249189038049</v>
      </c>
      <c r="B1682" s="84">
        <v>308.31555818351654</v>
      </c>
      <c r="C1682" s="84">
        <v>306.99793095120901</v>
      </c>
      <c r="D1682" s="84">
        <v>308.01609744890123</v>
      </c>
      <c r="E1682" s="85">
        <v>1068690.1920916936</v>
      </c>
      <c r="F1682" s="83" t="s">
        <v>1687</v>
      </c>
      <c r="G1682" s="25">
        <f t="shared" si="51"/>
        <v>-4.3376161060193485E-4</v>
      </c>
      <c r="I1682" s="84">
        <v>65.192182692320117</v>
      </c>
      <c r="J1682" s="84">
        <v>65.624386311847076</v>
      </c>
      <c r="K1682" s="84">
        <v>64.733605831519995</v>
      </c>
      <c r="L1682" s="84">
        <v>65.068695943883839</v>
      </c>
      <c r="M1682" s="85">
        <v>5785847.0568501865</v>
      </c>
      <c r="N1682" s="83" t="s">
        <v>1687</v>
      </c>
      <c r="O1682" s="25">
        <f t="shared" si="52"/>
        <v>1.8977904297141635E-3</v>
      </c>
    </row>
    <row r="1683" spans="1:15">
      <c r="A1683" s="84">
        <v>307.0071451276587</v>
      </c>
      <c r="B1683" s="84">
        <v>307.44942559724444</v>
      </c>
      <c r="C1683" s="84">
        <v>306.04887077688954</v>
      </c>
      <c r="D1683" s="84">
        <v>307.44942559724444</v>
      </c>
      <c r="E1683" s="85">
        <v>2449334.4709854266</v>
      </c>
      <c r="F1683" s="83" t="s">
        <v>1688</v>
      </c>
      <c r="G1683" s="25">
        <f t="shared" si="51"/>
        <v>-1.4385470674618261E-3</v>
      </c>
      <c r="I1683" s="84">
        <v>65.1039778720085</v>
      </c>
      <c r="J1683" s="84">
        <v>65.439156189192659</v>
      </c>
      <c r="K1683" s="84">
        <v>64.301314007172735</v>
      </c>
      <c r="L1683" s="84">
        <v>64.874645339198267</v>
      </c>
      <c r="M1683" s="85">
        <v>6092916.442676384</v>
      </c>
      <c r="N1683" s="83" t="s">
        <v>1688</v>
      </c>
      <c r="O1683" s="25">
        <f t="shared" si="52"/>
        <v>3.5350101971449721E-3</v>
      </c>
    </row>
    <row r="1684" spans="1:15">
      <c r="A1684" s="84">
        <v>307.51392483239238</v>
      </c>
      <c r="B1684" s="84">
        <v>307.98384783132724</v>
      </c>
      <c r="C1684" s="84">
        <v>304.15996460470046</v>
      </c>
      <c r="D1684" s="84">
        <v>305.00766883807307</v>
      </c>
      <c r="E1684" s="85">
        <v>2886563.9968135105</v>
      </c>
      <c r="F1684" s="83" t="s">
        <v>1689</v>
      </c>
      <c r="G1684" s="25">
        <f t="shared" si="51"/>
        <v>8.2170261615615026E-3</v>
      </c>
      <c r="I1684" s="84">
        <v>65.589104383722415</v>
      </c>
      <c r="J1684" s="84">
        <v>66.435870658713981</v>
      </c>
      <c r="K1684" s="84">
        <v>65.095157389977331</v>
      </c>
      <c r="L1684" s="84">
        <v>65.350951368881042</v>
      </c>
      <c r="M1684" s="85">
        <v>11984087.675316267</v>
      </c>
      <c r="N1684" s="83" t="s">
        <v>1689</v>
      </c>
      <c r="O1684" s="25">
        <f t="shared" si="52"/>
        <v>3.6442164934538113E-3</v>
      </c>
    </row>
    <row r="1685" spans="1:15">
      <c r="A1685" s="84">
        <v>302.61198296115032</v>
      </c>
      <c r="B1685" s="84">
        <v>303.69925578221529</v>
      </c>
      <c r="C1685" s="84">
        <v>300.43743731902038</v>
      </c>
      <c r="D1685" s="84">
        <v>302.48298449085445</v>
      </c>
      <c r="E1685" s="85">
        <v>2412190.6196745452</v>
      </c>
      <c r="F1685" s="83" t="s">
        <v>1690</v>
      </c>
      <c r="G1685" s="25">
        <f t="shared" si="51"/>
        <v>4.2646521262335035E-4</v>
      </c>
      <c r="I1685" s="84">
        <v>64.071981474362516</v>
      </c>
      <c r="J1685" s="84">
        <v>64.248391114985765</v>
      </c>
      <c r="K1685" s="84">
        <v>62.043270607195197</v>
      </c>
      <c r="L1685" s="84">
        <v>62.46665374469098</v>
      </c>
      <c r="M1685" s="85">
        <v>8172777.830658</v>
      </c>
      <c r="N1685" s="83" t="s">
        <v>1690</v>
      </c>
      <c r="O1685" s="25">
        <f t="shared" si="52"/>
        <v>2.5698955097430254E-2</v>
      </c>
    </row>
    <row r="1686" spans="1:15">
      <c r="A1686" s="84">
        <v>300.83364690635761</v>
      </c>
      <c r="B1686" s="84">
        <v>302.83128036065324</v>
      </c>
      <c r="C1686" s="84">
        <v>300.75071931831025</v>
      </c>
      <c r="D1686" s="84">
        <v>302.60276878470063</v>
      </c>
      <c r="E1686" s="85">
        <v>3817548.9900818323</v>
      </c>
      <c r="F1686" s="83" t="s">
        <v>1691</v>
      </c>
      <c r="G1686" s="25">
        <f t="shared" si="51"/>
        <v>-5.8463505983374908E-3</v>
      </c>
      <c r="I1686" s="84">
        <v>61.53168264938779</v>
      </c>
      <c r="J1686" s="84">
        <v>62.731268205625852</v>
      </c>
      <c r="K1686" s="84">
        <v>61.434657347045004</v>
      </c>
      <c r="L1686" s="84">
        <v>62.449012780628657</v>
      </c>
      <c r="M1686" s="85">
        <v>6615968.3556784773</v>
      </c>
      <c r="N1686" s="83" t="s">
        <v>1691</v>
      </c>
      <c r="O1686" s="25">
        <f t="shared" si="52"/>
        <v>-1.4689265536723117E-2</v>
      </c>
    </row>
    <row r="1687" spans="1:15">
      <c r="A1687" s="84">
        <v>302.86076572529225</v>
      </c>
      <c r="B1687" s="84">
        <v>303.22933278328037</v>
      </c>
      <c r="C1687" s="84">
        <v>299.8385158497897</v>
      </c>
      <c r="D1687" s="84">
        <v>301.08242967049955</v>
      </c>
      <c r="E1687" s="85">
        <v>3214786.4935834133</v>
      </c>
      <c r="F1687" s="83" t="s">
        <v>1692</v>
      </c>
      <c r="G1687" s="25">
        <f t="shared" si="51"/>
        <v>5.9064757008202573E-3</v>
      </c>
      <c r="I1687" s="84">
        <v>62.722447723594691</v>
      </c>
      <c r="J1687" s="84">
        <v>62.828293507968638</v>
      </c>
      <c r="K1687" s="84">
        <v>60.155687452526479</v>
      </c>
      <c r="L1687" s="84">
        <v>60.552609143928784</v>
      </c>
      <c r="M1687" s="85">
        <v>10122980.771860907</v>
      </c>
      <c r="N1687" s="83" t="s">
        <v>1692</v>
      </c>
      <c r="O1687" s="25">
        <f t="shared" si="52"/>
        <v>3.583394027676623E-2</v>
      </c>
    </row>
    <row r="1688" spans="1:15">
      <c r="A1688" s="84">
        <v>301.59842355168297</v>
      </c>
      <c r="B1688" s="84">
        <v>306.03965660043986</v>
      </c>
      <c r="C1688" s="84">
        <v>301.57078102233385</v>
      </c>
      <c r="D1688" s="84">
        <v>305.56973360150499</v>
      </c>
      <c r="E1688" s="85">
        <v>2873644.7738477038</v>
      </c>
      <c r="F1688" s="83" t="s">
        <v>1693</v>
      </c>
      <c r="G1688" s="25">
        <f t="shared" si="51"/>
        <v>-1.2996411663600882E-2</v>
      </c>
      <c r="I1688" s="84">
        <v>61.311170598608733</v>
      </c>
      <c r="J1688" s="84">
        <v>62.903267605233516</v>
      </c>
      <c r="K1688" s="84">
        <v>61.152401922047808</v>
      </c>
      <c r="L1688" s="84">
        <v>61.44788807009175</v>
      </c>
      <c r="M1688" s="85">
        <v>15183521.663197936</v>
      </c>
      <c r="N1688" s="83" t="s">
        <v>1693</v>
      </c>
      <c r="O1688" s="25">
        <f t="shared" si="52"/>
        <v>-2.2249336108519646E-3</v>
      </c>
    </row>
    <row r="1689" spans="1:15">
      <c r="A1689" s="84">
        <v>305.30252248446357</v>
      </c>
      <c r="B1689" s="84">
        <v>306.37136695262916</v>
      </c>
      <c r="C1689" s="84">
        <v>303.37675960647567</v>
      </c>
      <c r="D1689" s="84">
        <v>304.74045772103176</v>
      </c>
      <c r="E1689" s="85">
        <v>3312434.9383371482</v>
      </c>
      <c r="F1689" s="83" t="s">
        <v>1694</v>
      </c>
      <c r="G1689" s="25">
        <f t="shared" si="51"/>
        <v>1.8444048014993886E-3</v>
      </c>
      <c r="I1689" s="84">
        <v>60.746659748614348</v>
      </c>
      <c r="J1689" s="84">
        <v>61.408195900951519</v>
      </c>
      <c r="K1689" s="84">
        <v>59.410356720893269</v>
      </c>
      <c r="L1689" s="84">
        <v>59.55589467440744</v>
      </c>
      <c r="M1689" s="85">
        <v>12623090.167480217</v>
      </c>
      <c r="N1689" s="83" t="s">
        <v>1694</v>
      </c>
      <c r="O1689" s="25">
        <f t="shared" si="52"/>
        <v>1.999407582938395E-2</v>
      </c>
    </row>
    <row r="1690" spans="1:15">
      <c r="A1690" s="84">
        <v>306.83207577511433</v>
      </c>
      <c r="B1690" s="84">
        <v>306.94264589251077</v>
      </c>
      <c r="C1690" s="84">
        <v>304.44099698641634</v>
      </c>
      <c r="D1690" s="84">
        <v>305.58816195440437</v>
      </c>
      <c r="E1690" s="85">
        <v>3276207.0668803612</v>
      </c>
      <c r="F1690" s="83" t="s">
        <v>1695</v>
      </c>
      <c r="G1690" s="25">
        <f t="shared" si="51"/>
        <v>4.070556309362372E-3</v>
      </c>
      <c r="I1690" s="84">
        <v>60.561429625959939</v>
      </c>
      <c r="J1690" s="84">
        <v>60.900136135956565</v>
      </c>
      <c r="K1690" s="84">
        <v>59.22953683925445</v>
      </c>
      <c r="L1690" s="84">
        <v>59.591176602532094</v>
      </c>
      <c r="M1690" s="85">
        <v>14608083.724311141</v>
      </c>
      <c r="N1690" s="83" t="s">
        <v>1695</v>
      </c>
      <c r="O1690" s="25">
        <f t="shared" si="52"/>
        <v>1.6281823564239239E-2</v>
      </c>
    </row>
    <row r="1691" spans="1:15">
      <c r="A1691" s="84">
        <v>303.15561937168275</v>
      </c>
      <c r="B1691" s="84">
        <v>303.81904007606141</v>
      </c>
      <c r="C1691" s="84">
        <v>300.28079631937538</v>
      </c>
      <c r="D1691" s="84">
        <v>300.79679020055875</v>
      </c>
      <c r="E1691" s="85">
        <v>2168881.8430044139</v>
      </c>
      <c r="F1691" s="83" t="s">
        <v>1696</v>
      </c>
      <c r="G1691" s="25">
        <f t="shared" si="51"/>
        <v>7.8419359779444697E-3</v>
      </c>
      <c r="I1691" s="84">
        <v>58.347488636138223</v>
      </c>
      <c r="J1691" s="84">
        <v>58.56800068691728</v>
      </c>
      <c r="K1691" s="84">
        <v>56.909750065058766</v>
      </c>
      <c r="L1691" s="84">
        <v>57.139082597868992</v>
      </c>
      <c r="M1691" s="85">
        <v>7740312.8036307441</v>
      </c>
      <c r="N1691" s="83" t="s">
        <v>1696</v>
      </c>
      <c r="O1691" s="25">
        <f t="shared" si="52"/>
        <v>2.1148502624266818E-2</v>
      </c>
    </row>
    <row r="1692" spans="1:15">
      <c r="A1692" s="84">
        <v>299.09216755736372</v>
      </c>
      <c r="B1692" s="84">
        <v>301.7089936690794</v>
      </c>
      <c r="C1692" s="84">
        <v>297.36911656126921</v>
      </c>
      <c r="D1692" s="84">
        <v>301.06400131760017</v>
      </c>
      <c r="E1692" s="85">
        <v>2756386.329113361</v>
      </c>
      <c r="F1692" s="83" t="s">
        <v>1697</v>
      </c>
      <c r="G1692" s="25">
        <f t="shared" si="51"/>
        <v>-6.5495501009976698E-3</v>
      </c>
      <c r="I1692" s="84">
        <v>56.442264517407175</v>
      </c>
      <c r="J1692" s="84">
        <v>57.013655343385864</v>
      </c>
      <c r="K1692" s="84">
        <v>55.807189811163497</v>
      </c>
      <c r="L1692" s="84">
        <v>56.345239215064389</v>
      </c>
      <c r="M1692" s="85">
        <v>9461482.9104757532</v>
      </c>
      <c r="N1692" s="83" t="s">
        <v>1697</v>
      </c>
      <c r="O1692" s="25">
        <f t="shared" si="52"/>
        <v>1.7219787100815065E-3</v>
      </c>
    </row>
    <row r="1693" spans="1:15">
      <c r="A1693" s="84">
        <v>301.88406302162372</v>
      </c>
      <c r="B1693" s="84">
        <v>302.68569637274794</v>
      </c>
      <c r="C1693" s="84">
        <v>300.53879325996712</v>
      </c>
      <c r="D1693" s="84">
        <v>301.69056531617997</v>
      </c>
      <c r="E1693" s="85">
        <v>3010016.1584048648</v>
      </c>
      <c r="F1693" s="83" t="s">
        <v>1698</v>
      </c>
      <c r="G1693" s="25">
        <f t="shared" si="51"/>
        <v>6.4137804654573749E-4</v>
      </c>
      <c r="I1693" s="84">
        <v>57.663901278723138</v>
      </c>
      <c r="J1693" s="84">
        <v>59.283919765672849</v>
      </c>
      <c r="K1693" s="84">
        <v>57.024650740629482</v>
      </c>
      <c r="L1693" s="84">
        <v>59.240135482241776</v>
      </c>
      <c r="M1693" s="85">
        <v>11562012.903487043</v>
      </c>
      <c r="N1693" s="83" t="s">
        <v>1698</v>
      </c>
      <c r="O1693" s="25">
        <f t="shared" si="52"/>
        <v>-2.6607538802660868E-2</v>
      </c>
    </row>
    <row r="1694" spans="1:15">
      <c r="A1694" s="84">
        <v>299.77401661464171</v>
      </c>
      <c r="B1694" s="84">
        <v>300.65857755381325</v>
      </c>
      <c r="C1694" s="84">
        <v>296.7517667391391</v>
      </c>
      <c r="D1694" s="84">
        <v>299.24880855700866</v>
      </c>
      <c r="E1694" s="85">
        <v>4472261.8700586818</v>
      </c>
      <c r="F1694" s="83" t="s">
        <v>1699</v>
      </c>
      <c r="G1694" s="25">
        <f t="shared" si="51"/>
        <v>1.7550882162760129E-3</v>
      </c>
      <c r="I1694" s="84">
        <v>59.450300042710921</v>
      </c>
      <c r="J1694" s="84">
        <v>59.677978316552505</v>
      </c>
      <c r="K1694" s="84">
        <v>57.576332711860999</v>
      </c>
      <c r="L1694" s="84">
        <v>57.882822695878502</v>
      </c>
      <c r="M1694" s="85">
        <v>16396952.142204011</v>
      </c>
      <c r="N1694" s="83" t="s">
        <v>1699</v>
      </c>
      <c r="O1694" s="25">
        <f t="shared" si="52"/>
        <v>2.7080181543116533E-2</v>
      </c>
    </row>
    <row r="1695" spans="1:15">
      <c r="A1695" s="84">
        <v>300.16101202552926</v>
      </c>
      <c r="B1695" s="84">
        <v>308.85919459404903</v>
      </c>
      <c r="C1695" s="84">
        <v>299.71873155594346</v>
      </c>
      <c r="D1695" s="84">
        <v>308.08520377227399</v>
      </c>
      <c r="E1695" s="85">
        <v>8787851.0295522753</v>
      </c>
      <c r="F1695" s="83" t="s">
        <v>1700</v>
      </c>
      <c r="G1695" s="25">
        <f t="shared" si="51"/>
        <v>-2.5720779997607468E-2</v>
      </c>
      <c r="I1695" s="84">
        <v>56.91081160370868</v>
      </c>
      <c r="J1695" s="84">
        <v>58.136771539778728</v>
      </c>
      <c r="K1695" s="84">
        <v>54.721597432155036</v>
      </c>
      <c r="L1695" s="84">
        <v>57.024650740629482</v>
      </c>
      <c r="M1695" s="85">
        <v>21721533.972280264</v>
      </c>
      <c r="N1695" s="83" t="s">
        <v>1700</v>
      </c>
      <c r="O1695" s="25">
        <f t="shared" si="52"/>
        <v>-1.9963144963147661E-3</v>
      </c>
    </row>
    <row r="1696" spans="1:15">
      <c r="A1696" s="84">
        <v>296.4661272691983</v>
      </c>
      <c r="B1696" s="84">
        <v>297.54418591381358</v>
      </c>
      <c r="C1696" s="84">
        <v>294.32383124464235</v>
      </c>
      <c r="D1696" s="84">
        <v>296.18048779925749</v>
      </c>
      <c r="E1696" s="85">
        <v>3951106.2327412833</v>
      </c>
      <c r="F1696" s="83" t="s">
        <v>1701</v>
      </c>
      <c r="G1696" s="25">
        <f t="shared" si="51"/>
        <v>9.6441015430559496E-4</v>
      </c>
      <c r="I1696" s="84">
        <v>51.280152754472702</v>
      </c>
      <c r="J1696" s="84">
        <v>51.534101598372921</v>
      </c>
      <c r="K1696" s="84">
        <v>50.124247671892377</v>
      </c>
      <c r="L1696" s="84">
        <v>50.465765082654741</v>
      </c>
      <c r="M1696" s="85">
        <v>8964209.7401885334</v>
      </c>
      <c r="N1696" s="83" t="s">
        <v>1701</v>
      </c>
      <c r="O1696" s="25">
        <f t="shared" si="52"/>
        <v>1.6137428422696498E-2</v>
      </c>
    </row>
    <row r="1697" spans="1:15">
      <c r="A1697" s="84">
        <v>296.50298397499716</v>
      </c>
      <c r="B1697" s="84">
        <v>298.12467903014488</v>
      </c>
      <c r="C1697" s="84">
        <v>295.33278356588482</v>
      </c>
      <c r="D1697" s="84">
        <v>295.71977897677237</v>
      </c>
      <c r="E1697" s="85">
        <v>4287177.5047538532</v>
      </c>
      <c r="F1697" s="83" t="s">
        <v>1702</v>
      </c>
      <c r="G1697" s="25">
        <f t="shared" si="51"/>
        <v>2.64847011902547E-3</v>
      </c>
      <c r="I1697" s="84">
        <v>51.034960767258688</v>
      </c>
      <c r="J1697" s="84">
        <v>51.507831028314278</v>
      </c>
      <c r="K1697" s="84">
        <v>49.800243974502429</v>
      </c>
      <c r="L1697" s="84">
        <v>50.010408534971582</v>
      </c>
      <c r="M1697" s="85">
        <v>8503799.0991936941</v>
      </c>
      <c r="N1697" s="83" t="s">
        <v>1702</v>
      </c>
      <c r="O1697" s="25">
        <f t="shared" si="52"/>
        <v>2.0486779898441609E-2</v>
      </c>
    </row>
    <row r="1698" spans="1:15">
      <c r="A1698" s="84">
        <v>290.80862292908057</v>
      </c>
      <c r="B1698" s="84">
        <v>294.5311502147606</v>
      </c>
      <c r="C1698" s="84">
        <v>287.48230523073778</v>
      </c>
      <c r="D1698" s="84">
        <v>288.57879222825244</v>
      </c>
      <c r="E1698" s="85">
        <v>6240571.8312299764</v>
      </c>
      <c r="F1698" s="83" t="s">
        <v>1703</v>
      </c>
      <c r="G1698" s="25">
        <f t="shared" ref="G1698:G1730" si="53">A1698/D1698-1</f>
        <v>7.726938918866999E-3</v>
      </c>
      <c r="I1698" s="84">
        <v>49.756459691071356</v>
      </c>
      <c r="J1698" s="84">
        <v>51.306423324531345</v>
      </c>
      <c r="K1698" s="84">
        <v>49.160993436408766</v>
      </c>
      <c r="L1698" s="84">
        <v>50.229329952126946</v>
      </c>
      <c r="M1698" s="85">
        <v>9891668.1069316342</v>
      </c>
      <c r="N1698" s="83" t="s">
        <v>1703</v>
      </c>
      <c r="O1698" s="25">
        <f t="shared" ref="O1698:O1730" si="54">I1698/L1698-1</f>
        <v>-9.4142259414226048E-3</v>
      </c>
    </row>
    <row r="1699" spans="1:15">
      <c r="A1699" s="84">
        <v>284.40477029653692</v>
      </c>
      <c r="B1699" s="84">
        <v>286.32131899807518</v>
      </c>
      <c r="C1699" s="84">
        <v>282.03672694896318</v>
      </c>
      <c r="D1699" s="84">
        <v>282.47900741854892</v>
      </c>
      <c r="E1699" s="85">
        <v>3666462.2372288574</v>
      </c>
      <c r="F1699" s="83" t="s">
        <v>1704</v>
      </c>
      <c r="G1699" s="25">
        <f t="shared" si="53"/>
        <v>6.8173663437389731E-3</v>
      </c>
      <c r="I1699" s="84">
        <v>49.949110538168078</v>
      </c>
      <c r="J1699" s="84">
        <v>50.360682802420165</v>
      </c>
      <c r="K1699" s="84">
        <v>49.336130570133058</v>
      </c>
      <c r="L1699" s="84">
        <v>49.484997133798707</v>
      </c>
      <c r="M1699" s="85">
        <v>8839352.152679855</v>
      </c>
      <c r="N1699" s="83" t="s">
        <v>1704</v>
      </c>
      <c r="O1699" s="25">
        <f t="shared" si="54"/>
        <v>9.3788709962838723E-3</v>
      </c>
    </row>
    <row r="1700" spans="1:15">
      <c r="A1700" s="84">
        <v>279.47518589594574</v>
      </c>
      <c r="B1700" s="84">
        <v>281.31802118588638</v>
      </c>
      <c r="C1700" s="84">
        <v>277.00578660742531</v>
      </c>
      <c r="D1700" s="84">
        <v>279.53047095464393</v>
      </c>
      <c r="E1700" s="85">
        <v>4428389.2567864424</v>
      </c>
      <c r="F1700" s="83" t="s">
        <v>1705</v>
      </c>
      <c r="G1700" s="25">
        <f t="shared" si="53"/>
        <v>-1.9777829053624352E-4</v>
      </c>
      <c r="I1700" s="84">
        <v>48.819476025646395</v>
      </c>
      <c r="J1700" s="84">
        <v>49.038397442801759</v>
      </c>
      <c r="K1700" s="84">
        <v>47.20821439538291</v>
      </c>
      <c r="L1700" s="84">
        <v>48.512986041628885</v>
      </c>
      <c r="M1700" s="85">
        <v>11135082.312526772</v>
      </c>
      <c r="N1700" s="83" t="s">
        <v>1705</v>
      </c>
      <c r="O1700" s="25">
        <f t="shared" si="54"/>
        <v>6.3176895306860104E-3</v>
      </c>
    </row>
    <row r="1701" spans="1:15">
      <c r="A1701" s="84">
        <v>276.25943831499933</v>
      </c>
      <c r="B1701" s="84">
        <v>279.06054795570913</v>
      </c>
      <c r="C1701" s="84">
        <v>273.08054743985178</v>
      </c>
      <c r="D1701" s="84">
        <v>277.86270501724766</v>
      </c>
      <c r="E1701" s="85">
        <v>6394963.2744333278</v>
      </c>
      <c r="F1701" s="83" t="s">
        <v>1706</v>
      </c>
      <c r="G1701" s="25">
        <f t="shared" si="53"/>
        <v>-5.7699960206923917E-3</v>
      </c>
      <c r="I1701" s="84">
        <v>47.567245519517712</v>
      </c>
      <c r="J1701" s="84">
        <v>47.6810846564385</v>
      </c>
      <c r="K1701" s="84">
        <v>46.341285583447664</v>
      </c>
      <c r="L1701" s="84">
        <v>46.516422717171956</v>
      </c>
      <c r="M1701" s="85">
        <v>16643119.240426997</v>
      </c>
      <c r="N1701" s="83" t="s">
        <v>1706</v>
      </c>
      <c r="O1701" s="25">
        <f t="shared" si="54"/>
        <v>2.2590361445783191E-2</v>
      </c>
    </row>
    <row r="1702" spans="1:15">
      <c r="A1702" s="84">
        <v>279.40147248434812</v>
      </c>
      <c r="B1702" s="84">
        <v>282.18415377215842</v>
      </c>
      <c r="C1702" s="84">
        <v>275.21823637618286</v>
      </c>
      <c r="D1702" s="84">
        <v>276.7201471374845</v>
      </c>
      <c r="E1702" s="85">
        <v>5822735.2485450367</v>
      </c>
      <c r="F1702" s="83" t="s">
        <v>1707</v>
      </c>
      <c r="G1702" s="25">
        <f t="shared" si="53"/>
        <v>9.6896643580182129E-3</v>
      </c>
      <c r="I1702" s="84">
        <v>46.533936430544387</v>
      </c>
      <c r="J1702" s="84">
        <v>46.831669557875678</v>
      </c>
      <c r="K1702" s="84">
        <v>45.465599914826207</v>
      </c>
      <c r="L1702" s="84">
        <v>45.973497602626651</v>
      </c>
      <c r="M1702" s="85">
        <v>17123138.515678726</v>
      </c>
      <c r="N1702" s="83" t="s">
        <v>1707</v>
      </c>
      <c r="O1702" s="25">
        <f t="shared" si="54"/>
        <v>1.2190476190476307E-2</v>
      </c>
    </row>
    <row r="1703" spans="1:15">
      <c r="A1703" s="84">
        <v>276.48979272624189</v>
      </c>
      <c r="B1703" s="84">
        <v>281.71423077322362</v>
      </c>
      <c r="C1703" s="84">
        <v>276.07054769778046</v>
      </c>
      <c r="D1703" s="84">
        <v>281.1521660097917</v>
      </c>
      <c r="E1703" s="85">
        <v>6132348.3773550363</v>
      </c>
      <c r="F1703" s="83" t="s">
        <v>1708</v>
      </c>
      <c r="G1703" s="25">
        <f t="shared" si="53"/>
        <v>-1.6583095729689079E-2</v>
      </c>
      <c r="I1703" s="84">
        <v>45.83338789564722</v>
      </c>
      <c r="J1703" s="84">
        <v>49.099695439605263</v>
      </c>
      <c r="K1703" s="84">
        <v>45.754576185471286</v>
      </c>
      <c r="L1703" s="84">
        <v>48.337848907904593</v>
      </c>
      <c r="M1703" s="85">
        <v>22596523.74024827</v>
      </c>
      <c r="N1703" s="83" t="s">
        <v>1708</v>
      </c>
      <c r="O1703" s="25">
        <f t="shared" si="54"/>
        <v>-5.1811594202898492E-2</v>
      </c>
    </row>
    <row r="1704" spans="1:15">
      <c r="A1704" s="84">
        <v>286.34896152742425</v>
      </c>
      <c r="B1704" s="84">
        <v>287.91537152387383</v>
      </c>
      <c r="C1704" s="84">
        <v>286.15389741198402</v>
      </c>
      <c r="D1704" s="84">
        <v>287.6481604068324</v>
      </c>
      <c r="E1704" s="85">
        <v>2383400.2007534327</v>
      </c>
      <c r="F1704" s="83" t="s">
        <v>1709</v>
      </c>
      <c r="G1704" s="25">
        <f t="shared" si="53"/>
        <v>-4.516625024024612E-3</v>
      </c>
      <c r="I1704" s="84">
        <v>49.502510847171138</v>
      </c>
      <c r="J1704" s="84">
        <v>52.366002983563305</v>
      </c>
      <c r="K1704" s="84">
        <v>49.423699136995204</v>
      </c>
      <c r="L1704" s="84">
        <v>52.33973241350467</v>
      </c>
      <c r="M1704" s="85">
        <v>16884897.777619801</v>
      </c>
      <c r="N1704" s="83" t="s">
        <v>1709</v>
      </c>
      <c r="O1704" s="25">
        <f t="shared" si="54"/>
        <v>-5.4207796553454979E-2</v>
      </c>
    </row>
    <row r="1705" spans="1:15">
      <c r="A1705" s="84">
        <v>287.29802170174372</v>
      </c>
      <c r="B1705" s="84">
        <v>290.32027157724633</v>
      </c>
      <c r="C1705" s="84">
        <v>284.12834500304581</v>
      </c>
      <c r="D1705" s="84">
        <v>289.61077999061916</v>
      </c>
      <c r="E1705" s="85">
        <v>3620314.8683000044</v>
      </c>
      <c r="F1705" s="83" t="s">
        <v>1710</v>
      </c>
      <c r="G1705" s="25">
        <f t="shared" si="53"/>
        <v>-7.9857465559477481E-3</v>
      </c>
      <c r="I1705" s="84">
        <v>53.250445508870989</v>
      </c>
      <c r="J1705" s="84">
        <v>54.073590037375155</v>
      </c>
      <c r="K1705" s="84">
        <v>52.436057837053028</v>
      </c>
      <c r="L1705" s="84">
        <v>53.986021470513009</v>
      </c>
      <c r="M1705" s="85">
        <v>8675295.568053823</v>
      </c>
      <c r="N1705" s="83" t="s">
        <v>1710</v>
      </c>
      <c r="O1705" s="25">
        <f t="shared" si="54"/>
        <v>-1.3625304136252958E-2</v>
      </c>
    </row>
    <row r="1706" spans="1:15">
      <c r="A1706" s="84">
        <v>292.68831492482002</v>
      </c>
      <c r="B1706" s="84">
        <v>292.86338427736433</v>
      </c>
      <c r="C1706" s="84">
        <v>290.46769840044158</v>
      </c>
      <c r="D1706" s="84">
        <v>292.86338427736433</v>
      </c>
      <c r="E1706" s="85">
        <v>1551363.8226952502</v>
      </c>
      <c r="F1706" s="83" t="s">
        <v>1711</v>
      </c>
      <c r="G1706" s="25">
        <f t="shared" si="53"/>
        <v>-5.9778504908114538E-4</v>
      </c>
      <c r="I1706" s="84">
        <v>54.791652285644751</v>
      </c>
      <c r="J1706" s="84">
        <v>55.859988801362931</v>
      </c>
      <c r="K1706" s="84">
        <v>54.660299435351533</v>
      </c>
      <c r="L1706" s="84">
        <v>55.229495119955487</v>
      </c>
      <c r="M1706" s="85">
        <v>6697108.5746238511</v>
      </c>
      <c r="N1706" s="83" t="s">
        <v>1711</v>
      </c>
      <c r="O1706" s="25">
        <f t="shared" si="54"/>
        <v>-7.927699381639508E-3</v>
      </c>
    </row>
    <row r="1707" spans="1:15">
      <c r="A1707" s="84">
        <v>291.69318386825211</v>
      </c>
      <c r="B1707" s="84">
        <v>292.23682027878459</v>
      </c>
      <c r="C1707" s="84">
        <v>288.39450869925838</v>
      </c>
      <c r="D1707" s="84">
        <v>290.3018432243469</v>
      </c>
      <c r="E1707" s="85">
        <v>2563875.3641147311</v>
      </c>
      <c r="F1707" s="83" t="s">
        <v>1712</v>
      </c>
      <c r="G1707" s="25">
        <f t="shared" si="53"/>
        <v>4.7927378911953866E-3</v>
      </c>
      <c r="I1707" s="84">
        <v>54.993059989427685</v>
      </c>
      <c r="J1707" s="84">
        <v>55.141926553093334</v>
      </c>
      <c r="K1707" s="84">
        <v>52.733790964384319</v>
      </c>
      <c r="L1707" s="84">
        <v>52.742547821070538</v>
      </c>
      <c r="M1707" s="85">
        <v>7982383.6914038286</v>
      </c>
      <c r="N1707" s="83" t="s">
        <v>1712</v>
      </c>
      <c r="O1707" s="25">
        <f t="shared" si="54"/>
        <v>4.266976589739313E-2</v>
      </c>
    </row>
    <row r="1708" spans="1:15">
      <c r="A1708" s="84">
        <v>290.0991313424534</v>
      </c>
      <c r="B1708" s="84">
        <v>292.57074203332184</v>
      </c>
      <c r="C1708" s="84">
        <v>289.86877693121085</v>
      </c>
      <c r="D1708" s="84">
        <v>290.62433940008657</v>
      </c>
      <c r="E1708" s="85">
        <v>2830127.0485047172</v>
      </c>
      <c r="F1708" s="83" t="s">
        <v>1713</v>
      </c>
      <c r="G1708" s="25">
        <f t="shared" si="53"/>
        <v>-1.8071716178944541E-3</v>
      </c>
      <c r="I1708" s="84">
        <v>52.847630101305114</v>
      </c>
      <c r="J1708" s="84">
        <v>53.504394352771207</v>
      </c>
      <c r="K1708" s="84">
        <v>52.707520394325677</v>
      </c>
      <c r="L1708" s="84">
        <v>52.908928098108618</v>
      </c>
      <c r="M1708" s="85">
        <v>6448840.2658113427</v>
      </c>
      <c r="N1708" s="83" t="s">
        <v>1713</v>
      </c>
      <c r="O1708" s="25">
        <f t="shared" si="54"/>
        <v>-1.1585567692816712E-3</v>
      </c>
    </row>
    <row r="1709" spans="1:15">
      <c r="A1709" s="84">
        <v>290.62433940008657</v>
      </c>
      <c r="B1709" s="84">
        <v>293.62816092268974</v>
      </c>
      <c r="C1709" s="84">
        <v>290.04310914963924</v>
      </c>
      <c r="D1709" s="84">
        <v>290.68883863523445</v>
      </c>
      <c r="E1709" s="85">
        <v>3328090.1627391777</v>
      </c>
      <c r="F1709" s="83" t="s">
        <v>1714</v>
      </c>
      <c r="G1709" s="25">
        <f t="shared" si="53"/>
        <v>-2.2188411309731482E-4</v>
      </c>
      <c r="I1709" s="84">
        <v>53.626990346378214</v>
      </c>
      <c r="J1709" s="84">
        <v>54.566250794541595</v>
      </c>
      <c r="K1709" s="84">
        <v>53.451853212653916</v>
      </c>
      <c r="L1709" s="84">
        <v>54.274997741158089</v>
      </c>
      <c r="M1709" s="85">
        <v>6807025.8696636632</v>
      </c>
      <c r="N1709" s="83" t="s">
        <v>1714</v>
      </c>
      <c r="O1709" s="25">
        <f t="shared" si="54"/>
        <v>-1.1939335269441687E-2</v>
      </c>
    </row>
    <row r="1710" spans="1:15">
      <c r="A1710" s="84">
        <v>289.48178152032335</v>
      </c>
      <c r="B1710" s="84">
        <v>295.67370809452382</v>
      </c>
      <c r="C1710" s="84">
        <v>288.70779069854825</v>
      </c>
      <c r="D1710" s="84">
        <v>295.13007168399139</v>
      </c>
      <c r="E1710" s="85">
        <v>2419731.1742080147</v>
      </c>
      <c r="F1710" s="83" t="s">
        <v>1715</v>
      </c>
      <c r="G1710" s="25">
        <f t="shared" si="53"/>
        <v>-1.9138307836403468E-2</v>
      </c>
      <c r="I1710" s="84">
        <v>53.819641193474936</v>
      </c>
      <c r="J1710" s="84">
        <v>54.879220852506904</v>
      </c>
      <c r="K1710" s="84">
        <v>53.416825785909062</v>
      </c>
      <c r="L1710" s="84">
        <v>53.942237187081936</v>
      </c>
      <c r="M1710" s="85">
        <v>8419976.7841436472</v>
      </c>
      <c r="N1710" s="83" t="s">
        <v>1715</v>
      </c>
      <c r="O1710" s="25">
        <f t="shared" si="54"/>
        <v>-2.2727272727272041E-3</v>
      </c>
    </row>
    <row r="1711" spans="1:15">
      <c r="A1711" s="84">
        <v>293.92301456908024</v>
      </c>
      <c r="B1711" s="84">
        <v>296.88997938588466</v>
      </c>
      <c r="C1711" s="84">
        <v>293.84008698103287</v>
      </c>
      <c r="D1711" s="84">
        <v>295.45256785973095</v>
      </c>
      <c r="E1711" s="85">
        <v>1812349.70820838</v>
      </c>
      <c r="F1711" s="83" t="s">
        <v>1716</v>
      </c>
      <c r="G1711" s="25">
        <f t="shared" si="53"/>
        <v>-5.1769842507406461E-3</v>
      </c>
      <c r="I1711" s="84">
        <v>54.073590037375155</v>
      </c>
      <c r="J1711" s="84">
        <v>54.32753888127538</v>
      </c>
      <c r="K1711" s="84">
        <v>53.10157894520534</v>
      </c>
      <c r="L1711" s="84">
        <v>53.416825785909062</v>
      </c>
      <c r="M1711" s="85">
        <v>9464579.9251771495</v>
      </c>
      <c r="N1711" s="83" t="s">
        <v>1716</v>
      </c>
      <c r="O1711" s="25">
        <f t="shared" si="54"/>
        <v>1.2295081967213184E-2</v>
      </c>
    </row>
    <row r="1712" spans="1:15">
      <c r="A1712" s="84">
        <v>294.17179733322223</v>
      </c>
      <c r="B1712" s="84">
        <v>294.57722109700916</v>
      </c>
      <c r="C1712" s="84">
        <v>290.45406141929595</v>
      </c>
      <c r="D1712" s="84">
        <v>290.90076469357757</v>
      </c>
      <c r="E1712" s="85">
        <v>2699205.9611362559</v>
      </c>
      <c r="F1712" s="83" t="s">
        <v>1717</v>
      </c>
      <c r="G1712" s="25">
        <f t="shared" si="53"/>
        <v>1.1244496531627179E-2</v>
      </c>
      <c r="I1712" s="84">
        <v>52.970226094912121</v>
      </c>
      <c r="J1712" s="84">
        <v>52.978982951598333</v>
      </c>
      <c r="K1712" s="84">
        <v>51.595399595176424</v>
      </c>
      <c r="L1712" s="84">
        <v>51.98945814605608</v>
      </c>
      <c r="M1712" s="85">
        <v>7042372.8753128881</v>
      </c>
      <c r="N1712" s="83" t="s">
        <v>1717</v>
      </c>
      <c r="O1712" s="25">
        <f t="shared" si="54"/>
        <v>1.8864746504968943E-2</v>
      </c>
    </row>
    <row r="1713" spans="1:15">
      <c r="A1713" s="84">
        <v>294.52193603831091</v>
      </c>
      <c r="B1713" s="84">
        <v>297.89432461890232</v>
      </c>
      <c r="C1713" s="84">
        <v>293.86772951038205</v>
      </c>
      <c r="D1713" s="84">
        <v>296.8991935623344</v>
      </c>
      <c r="E1713" s="85">
        <v>2070495.4050033046</v>
      </c>
      <c r="F1713" s="83" t="s">
        <v>1718</v>
      </c>
      <c r="G1713" s="25">
        <f t="shared" si="53"/>
        <v>-8.0069517720814387E-3</v>
      </c>
      <c r="I1713" s="84">
        <v>52.488598977170312</v>
      </c>
      <c r="J1713" s="84">
        <v>52.838873244618902</v>
      </c>
      <c r="K1713" s="84">
        <v>51.84934843907665</v>
      </c>
      <c r="L1713" s="84">
        <v>51.910646435880153</v>
      </c>
      <c r="M1713" s="85">
        <v>6821774.3124700086</v>
      </c>
      <c r="N1713" s="83" t="s">
        <v>1718</v>
      </c>
      <c r="O1713" s="25">
        <f t="shared" si="54"/>
        <v>1.1133603238866252E-2</v>
      </c>
    </row>
    <row r="1714" spans="1:15">
      <c r="A1714" s="84">
        <v>296.37398550470124</v>
      </c>
      <c r="B1714" s="84">
        <v>298.29053420623956</v>
      </c>
      <c r="C1714" s="84">
        <v>295.50508866549427</v>
      </c>
      <c r="D1714" s="84">
        <v>298.20760661819219</v>
      </c>
      <c r="E1714" s="85">
        <v>2419900.4785412359</v>
      </c>
      <c r="F1714" s="83" t="s">
        <v>1719</v>
      </c>
      <c r="G1714" s="25">
        <f t="shared" si="53"/>
        <v>-6.1488073167718094E-3</v>
      </c>
      <c r="I1714" s="84">
        <v>52.120810996349306</v>
      </c>
      <c r="J1714" s="84">
        <v>52.62870868414975</v>
      </c>
      <c r="K1714" s="84">
        <v>51.253882184414053</v>
      </c>
      <c r="L1714" s="84">
        <v>52.32221870013224</v>
      </c>
      <c r="M1714" s="85">
        <v>10091211.169312771</v>
      </c>
      <c r="N1714" s="83" t="s">
        <v>1719</v>
      </c>
      <c r="O1714" s="25">
        <f t="shared" si="54"/>
        <v>-3.8493723849372108E-3</v>
      </c>
    </row>
    <row r="1715" spans="1:15">
      <c r="A1715" s="84">
        <v>298.28132002978987</v>
      </c>
      <c r="B1715" s="84">
        <v>299.66528933253522</v>
      </c>
      <c r="C1715" s="84">
        <v>295.46178203618069</v>
      </c>
      <c r="D1715" s="84">
        <v>295.90406250576638</v>
      </c>
      <c r="E1715" s="85">
        <v>2381420.6423957688</v>
      </c>
      <c r="F1715" s="83" t="s">
        <v>1720</v>
      </c>
      <c r="G1715" s="25">
        <f t="shared" si="53"/>
        <v>8.0338793049763435E-3</v>
      </c>
      <c r="I1715" s="84">
        <v>53.005253521656975</v>
      </c>
      <c r="J1715" s="84">
        <v>53.136606371950194</v>
      </c>
      <c r="K1715" s="84">
        <v>52.15583842309416</v>
      </c>
      <c r="L1715" s="84">
        <v>52.401030410308174</v>
      </c>
      <c r="M1715" s="85">
        <v>6142537.4340860611</v>
      </c>
      <c r="N1715" s="83" t="s">
        <v>1720</v>
      </c>
      <c r="O1715" s="25">
        <f t="shared" si="54"/>
        <v>1.1530748663101553E-2</v>
      </c>
    </row>
    <row r="1716" spans="1:15">
      <c r="A1716" s="84">
        <v>293.54523333464238</v>
      </c>
      <c r="B1716" s="84">
        <v>294.02427836826246</v>
      </c>
      <c r="C1716" s="84">
        <v>291.95118080884379</v>
      </c>
      <c r="D1716" s="84">
        <v>292.5224597487254</v>
      </c>
      <c r="E1716" s="85">
        <v>3032367.5862426325</v>
      </c>
      <c r="F1716" s="83" t="s">
        <v>1721</v>
      </c>
      <c r="G1716" s="25">
        <f t="shared" si="53"/>
        <v>3.4963933600022923E-3</v>
      </c>
      <c r="I1716" s="84">
        <v>52.46232840711167</v>
      </c>
      <c r="J1716" s="84">
        <v>53.705802056554141</v>
      </c>
      <c r="K1716" s="84">
        <v>52.444814693739239</v>
      </c>
      <c r="L1716" s="84">
        <v>53.609476633005784</v>
      </c>
      <c r="M1716" s="85">
        <v>4564002.978707714</v>
      </c>
      <c r="N1716" s="83" t="s">
        <v>1721</v>
      </c>
      <c r="O1716" s="25">
        <f t="shared" si="54"/>
        <v>-2.13982358706305E-2</v>
      </c>
    </row>
    <row r="1717" spans="1:15">
      <c r="A1717" s="84">
        <v>290.95604975227582</v>
      </c>
      <c r="B1717" s="84">
        <v>291.0297631638735</v>
      </c>
      <c r="C1717" s="84">
        <v>289.37121140292692</v>
      </c>
      <c r="D1717" s="84">
        <v>290.20970145984984</v>
      </c>
      <c r="E1717" s="85">
        <v>1879398.5653007471</v>
      </c>
      <c r="F1717" s="83" t="s">
        <v>1722</v>
      </c>
      <c r="G1717" s="25">
        <f t="shared" si="53"/>
        <v>2.5717551435102681E-3</v>
      </c>
      <c r="I1717" s="84">
        <v>53.24168865218477</v>
      </c>
      <c r="J1717" s="84">
        <v>53.285472935615843</v>
      </c>
      <c r="K1717" s="84">
        <v>52.262321800398531</v>
      </c>
      <c r="L1717" s="84">
        <v>52.383516696935736</v>
      </c>
      <c r="M1717" s="85">
        <v>5119461.4239346664</v>
      </c>
      <c r="N1717" s="83" t="s">
        <v>1722</v>
      </c>
      <c r="O1717" s="25">
        <f t="shared" si="54"/>
        <v>1.6382480775660291E-2</v>
      </c>
    </row>
    <row r="1718" spans="1:15">
      <c r="A1718" s="84">
        <v>288.40372287570807</v>
      </c>
      <c r="B1718" s="84">
        <v>289.15007116813405</v>
      </c>
      <c r="C1718" s="84">
        <v>286.19232052777932</v>
      </c>
      <c r="D1718" s="84">
        <v>286.19895473482308</v>
      </c>
      <c r="E1718" s="85">
        <v>1853481.9789076471</v>
      </c>
      <c r="F1718" s="83" t="s">
        <v>1723</v>
      </c>
      <c r="G1718" s="25">
        <f t="shared" si="53"/>
        <v>7.703620521353205E-3</v>
      </c>
      <c r="I1718" s="84">
        <v>52.269677560014948</v>
      </c>
      <c r="J1718" s="84">
        <v>52.488598977170312</v>
      </c>
      <c r="K1718" s="84">
        <v>51.621670165235074</v>
      </c>
      <c r="L1718" s="84">
        <v>51.936917005938795</v>
      </c>
      <c r="M1718" s="85">
        <v>5625074.357736595</v>
      </c>
      <c r="N1718" s="83" t="s">
        <v>1723</v>
      </c>
      <c r="O1718" s="25">
        <f t="shared" si="54"/>
        <v>6.4070139942673521E-3</v>
      </c>
    </row>
    <row r="1719" spans="1:15">
      <c r="A1719" s="84">
        <v>283.53863771026482</v>
      </c>
      <c r="B1719" s="84">
        <v>289.61999416706885</v>
      </c>
      <c r="C1719" s="84">
        <v>283.04162503256782</v>
      </c>
      <c r="D1719" s="84">
        <v>287.71265964198034</v>
      </c>
      <c r="E1719" s="85">
        <v>3678905.0204364327</v>
      </c>
      <c r="F1719" s="83" t="s">
        <v>1724</v>
      </c>
      <c r="G1719" s="25">
        <f t="shared" si="53"/>
        <v>-1.4507606084867897E-2</v>
      </c>
      <c r="I1719" s="84">
        <v>51.183827330924338</v>
      </c>
      <c r="J1719" s="84">
        <v>53.049037805088048</v>
      </c>
      <c r="K1719" s="84">
        <v>51.166313617551907</v>
      </c>
      <c r="L1719" s="84">
        <v>52.374759840249524</v>
      </c>
      <c r="M1719" s="85">
        <v>8207559.2390525797</v>
      </c>
      <c r="N1719" s="83" t="s">
        <v>1724</v>
      </c>
      <c r="O1719" s="25">
        <f t="shared" si="54"/>
        <v>-2.2738672462798926E-2</v>
      </c>
    </row>
    <row r="1720" spans="1:15">
      <c r="A1720" s="84">
        <v>287.55601864233535</v>
      </c>
      <c r="B1720" s="84">
        <v>287.74951634777915</v>
      </c>
      <c r="C1720" s="84">
        <v>284.43241282588599</v>
      </c>
      <c r="D1720" s="84">
        <v>284.43241282588599</v>
      </c>
      <c r="E1720" s="85">
        <v>2566104.5378354774</v>
      </c>
      <c r="F1720" s="83" t="s">
        <v>1725</v>
      </c>
      <c r="G1720" s="25">
        <f t="shared" si="53"/>
        <v>1.0981891217726414E-2</v>
      </c>
      <c r="I1720" s="84">
        <v>52.112054139663087</v>
      </c>
      <c r="J1720" s="84">
        <v>52.830116387932684</v>
      </c>
      <c r="K1720" s="84">
        <v>51.814321012331789</v>
      </c>
      <c r="L1720" s="84">
        <v>52.409787266994385</v>
      </c>
      <c r="M1720" s="85">
        <v>6940588.635609258</v>
      </c>
      <c r="N1720" s="83" t="s">
        <v>1725</v>
      </c>
      <c r="O1720" s="25">
        <f t="shared" si="54"/>
        <v>-5.6808688387636197E-3</v>
      </c>
    </row>
    <row r="1721" spans="1:15">
      <c r="A1721" s="84">
        <v>282.61722006529453</v>
      </c>
      <c r="B1721" s="84">
        <v>284.33105688493924</v>
      </c>
      <c r="C1721" s="84">
        <v>280.30906886464385</v>
      </c>
      <c r="D1721" s="84">
        <v>280.77438477535389</v>
      </c>
      <c r="E1721" s="85">
        <v>3391609.6756543941</v>
      </c>
      <c r="F1721" s="83" t="s">
        <v>1726</v>
      </c>
      <c r="G1721" s="25">
        <f t="shared" si="53"/>
        <v>6.5634024678393743E-3</v>
      </c>
      <c r="I1721" s="84">
        <v>51.963187575997438</v>
      </c>
      <c r="J1721" s="84">
        <v>51.998215002742299</v>
      </c>
      <c r="K1721" s="84">
        <v>49.484997133798707</v>
      </c>
      <c r="L1721" s="84">
        <v>49.493753990484926</v>
      </c>
      <c r="M1721" s="85">
        <v>9571041.6423670184</v>
      </c>
      <c r="N1721" s="83" t="s">
        <v>1726</v>
      </c>
      <c r="O1721" s="25">
        <f t="shared" si="54"/>
        <v>4.9893842887473339E-2</v>
      </c>
    </row>
    <row r="1722" spans="1:15">
      <c r="A1722" s="84">
        <v>285.27090288280903</v>
      </c>
      <c r="B1722" s="84">
        <v>286.66224352671418</v>
      </c>
      <c r="C1722" s="84">
        <v>283.57549441606363</v>
      </c>
      <c r="D1722" s="84">
        <v>285.78689676399239</v>
      </c>
      <c r="E1722" s="85">
        <v>3261984.4176055882</v>
      </c>
      <c r="F1722" s="83" t="s">
        <v>1727</v>
      </c>
      <c r="G1722" s="25">
        <f t="shared" si="53"/>
        <v>-1.8055197317513594E-3</v>
      </c>
      <c r="I1722" s="84">
        <v>50.316898518989092</v>
      </c>
      <c r="J1722" s="84">
        <v>51.183827330924338</v>
      </c>
      <c r="K1722" s="84">
        <v>49.992894821599158</v>
      </c>
      <c r="L1722" s="84">
        <v>50.632145359692821</v>
      </c>
      <c r="M1722" s="85">
        <v>7451977.6146078184</v>
      </c>
      <c r="N1722" s="83" t="s">
        <v>1727</v>
      </c>
      <c r="O1722" s="25">
        <f t="shared" si="54"/>
        <v>-6.2262193012798672E-3</v>
      </c>
    </row>
    <row r="1723" spans="1:15">
      <c r="A1723" s="84">
        <v>283.47413847511689</v>
      </c>
      <c r="B1723" s="84">
        <v>286.3304410327604</v>
      </c>
      <c r="C1723" s="84">
        <v>281.81558671417037</v>
      </c>
      <c r="D1723" s="84">
        <v>281.99065606671468</v>
      </c>
      <c r="E1723" s="85">
        <v>4671610.1254374012</v>
      </c>
      <c r="F1723" s="83" t="s">
        <v>1728</v>
      </c>
      <c r="G1723" s="25">
        <f t="shared" si="53"/>
        <v>5.2607502287282948E-3</v>
      </c>
      <c r="I1723" s="84">
        <v>50.386953372478807</v>
      </c>
      <c r="J1723" s="84">
        <v>51.319558609560659</v>
      </c>
      <c r="K1723" s="84">
        <v>50.00165167828537</v>
      </c>
      <c r="L1723" s="84">
        <v>50.44825136928231</v>
      </c>
      <c r="M1723" s="85">
        <v>8802727.1385346651</v>
      </c>
      <c r="N1723" s="83" t="s">
        <v>1728</v>
      </c>
      <c r="O1723" s="25">
        <f t="shared" si="54"/>
        <v>-1.2150668286755595E-3</v>
      </c>
    </row>
    <row r="1724" spans="1:15">
      <c r="A1724" s="84">
        <v>281.30880700943669</v>
      </c>
      <c r="B1724" s="84">
        <v>283.34514000482102</v>
      </c>
      <c r="C1724" s="84">
        <v>280.7098855402059</v>
      </c>
      <c r="D1724" s="84">
        <v>282.72779018269091</v>
      </c>
      <c r="E1724" s="85">
        <v>2504109.8492034399</v>
      </c>
      <c r="F1724" s="83" t="s">
        <v>1729</v>
      </c>
      <c r="G1724" s="25">
        <f t="shared" si="53"/>
        <v>-5.0189023595357263E-3</v>
      </c>
      <c r="I1724" s="84">
        <v>50.439494512596099</v>
      </c>
      <c r="J1724" s="84">
        <v>51.481560458255636</v>
      </c>
      <c r="K1724" s="84">
        <v>50.342205834812255</v>
      </c>
      <c r="L1724" s="84">
        <v>51.385235034707271</v>
      </c>
      <c r="M1724" s="85">
        <v>7325859.3007454257</v>
      </c>
      <c r="N1724" s="83" t="s">
        <v>1729</v>
      </c>
      <c r="O1724" s="25">
        <f t="shared" si="54"/>
        <v>-1.8404907975460016E-2</v>
      </c>
    </row>
    <row r="1725" spans="1:15">
      <c r="A1725" s="84">
        <v>282.92267001460226</v>
      </c>
      <c r="B1725" s="84">
        <v>283.52822508727581</v>
      </c>
      <c r="C1725" s="84">
        <v>281.15188018087485</v>
      </c>
      <c r="D1725" s="84">
        <v>282.06021278988527</v>
      </c>
      <c r="E1725" s="85">
        <v>2657103.6270836848</v>
      </c>
      <c r="F1725" s="83" t="s">
        <v>1730</v>
      </c>
      <c r="G1725" s="25">
        <f t="shared" si="53"/>
        <v>3.0577060698719905E-3</v>
      </c>
      <c r="I1725" s="84">
        <v>51.569129025117782</v>
      </c>
      <c r="J1725" s="84">
        <v>52.164595279780372</v>
      </c>
      <c r="K1725" s="84">
        <v>50.868580490220616</v>
      </c>
      <c r="L1725" s="84">
        <v>50.868580490220616</v>
      </c>
      <c r="M1725" s="85">
        <v>6232237.4289753865</v>
      </c>
      <c r="N1725" s="83" t="s">
        <v>1730</v>
      </c>
      <c r="O1725" s="25">
        <f t="shared" si="54"/>
        <v>1.3771733516956486E-2</v>
      </c>
    </row>
    <row r="1726" spans="1:15">
      <c r="A1726" s="84">
        <v>278.26173097038708</v>
      </c>
      <c r="B1726" s="84">
        <v>278.95903681164765</v>
      </c>
      <c r="C1726" s="84">
        <v>272.2428805510857</v>
      </c>
      <c r="D1726" s="84">
        <v>273.02734962250372</v>
      </c>
      <c r="E1726" s="85">
        <v>2925282.3069896959</v>
      </c>
      <c r="F1726" s="83" t="s">
        <v>1731</v>
      </c>
      <c r="G1726" s="25">
        <f t="shared" si="53"/>
        <v>1.9171637402335628E-2</v>
      </c>
      <c r="I1726" s="84">
        <v>50.343169089047741</v>
      </c>
      <c r="J1726" s="84">
        <v>50.562090506203106</v>
      </c>
      <c r="K1726" s="84">
        <v>49.336130570133058</v>
      </c>
      <c r="L1726" s="84">
        <v>49.800243974502429</v>
      </c>
      <c r="M1726" s="85">
        <v>13652340.592509978</v>
      </c>
      <c r="N1726" s="83" t="s">
        <v>1731</v>
      </c>
      <c r="O1726" s="25">
        <f t="shared" si="54"/>
        <v>1.0902057323720848E-2</v>
      </c>
    </row>
    <row r="1727" spans="1:15">
      <c r="A1727" s="84">
        <v>273.87604423193267</v>
      </c>
      <c r="B1727" s="84">
        <v>276.59186698210527</v>
      </c>
      <c r="C1727" s="84">
        <v>270.70146763882553</v>
      </c>
      <c r="D1727" s="84">
        <v>271.86670239987933</v>
      </c>
      <c r="E1727" s="85">
        <v>3412139.2640263685</v>
      </c>
      <c r="F1727" s="83" t="s">
        <v>1732</v>
      </c>
      <c r="G1727" s="25">
        <f t="shared" si="53"/>
        <v>7.3909081704970347E-3</v>
      </c>
      <c r="I1727" s="84">
        <v>50.246843665499377</v>
      </c>
      <c r="J1727" s="84">
        <v>51.06998819400355</v>
      </c>
      <c r="K1727" s="84">
        <v>49.581322557347065</v>
      </c>
      <c r="L1727" s="84">
        <v>50.833553063475755</v>
      </c>
      <c r="M1727" s="85">
        <v>8835708.1510542221</v>
      </c>
      <c r="N1727" s="83" t="s">
        <v>1732</v>
      </c>
      <c r="O1727" s="25">
        <f t="shared" si="54"/>
        <v>-1.1541774332472055E-2</v>
      </c>
    </row>
    <row r="1728" spans="1:15">
      <c r="A1728" s="84">
        <v>273.12368792952003</v>
      </c>
      <c r="B1728" s="84">
        <v>280.34447341730998</v>
      </c>
      <c r="C1728" s="84">
        <v>272.65575900972675</v>
      </c>
      <c r="D1728" s="84">
        <v>280.0967463421253</v>
      </c>
      <c r="E1728" s="85">
        <v>3003554.1308730808</v>
      </c>
      <c r="F1728" s="83" t="s">
        <v>1733</v>
      </c>
      <c r="G1728" s="25">
        <f t="shared" si="53"/>
        <v>-2.4895178197064771E-2</v>
      </c>
      <c r="I1728" s="84">
        <v>51.078745050689761</v>
      </c>
      <c r="J1728" s="84">
        <v>53.311743505674485</v>
      </c>
      <c r="K1728" s="84">
        <v>51.052474480631119</v>
      </c>
      <c r="L1728" s="84">
        <v>52.383516696935736</v>
      </c>
      <c r="M1728" s="85">
        <v>8313439.6974435002</v>
      </c>
      <c r="N1728" s="83" t="s">
        <v>1733</v>
      </c>
      <c r="O1728" s="25">
        <f t="shared" si="54"/>
        <v>-2.49080575058509E-2</v>
      </c>
    </row>
    <row r="1729" spans="1:15">
      <c r="A1729" s="84">
        <v>279.60129219175599</v>
      </c>
      <c r="B1729" s="84">
        <v>280.06004603469057</v>
      </c>
      <c r="C1729" s="84">
        <v>275.86703591026867</v>
      </c>
      <c r="D1729" s="84">
        <v>278.10575466378936</v>
      </c>
      <c r="E1729" s="85">
        <v>2988021.8359185155</v>
      </c>
      <c r="F1729" s="83" t="s">
        <v>1734</v>
      </c>
      <c r="G1729" s="25">
        <f t="shared" si="53"/>
        <v>5.3775856949620504E-3</v>
      </c>
      <c r="I1729" s="84">
        <v>52.357246126877094</v>
      </c>
      <c r="J1729" s="84">
        <v>53.22417493881234</v>
      </c>
      <c r="K1729" s="84">
        <v>51.604244020429505</v>
      </c>
      <c r="L1729" s="84">
        <v>52.488598977170312</v>
      </c>
      <c r="M1729" s="85">
        <v>6718443.8558434369</v>
      </c>
      <c r="N1729" s="83" t="s">
        <v>1734</v>
      </c>
      <c r="O1729" s="25">
        <f t="shared" si="54"/>
        <v>-2.5025025025025016E-3</v>
      </c>
    </row>
    <row r="1730" spans="1:15">
      <c r="A1730" s="84">
        <v>276.80289374985517</v>
      </c>
      <c r="B1730" s="84">
        <v>276.85794421100735</v>
      </c>
      <c r="C1730" s="84">
        <v>272.34380639653125</v>
      </c>
      <c r="D1730" s="84">
        <v>275.68353437309486</v>
      </c>
      <c r="E1730" s="85">
        <v>4944740.0494551947</v>
      </c>
      <c r="F1730" s="83" t="s">
        <v>1735</v>
      </c>
      <c r="G1730" s="25">
        <f t="shared" si="53"/>
        <v>4.0603055213497274E-3</v>
      </c>
      <c r="I1730" s="84">
        <v>52.558653830660035</v>
      </c>
      <c r="J1730" s="84">
        <v>54.79060146284241</v>
      </c>
      <c r="K1730" s="84">
        <v>52.217136419897663</v>
      </c>
      <c r="L1730" s="84">
        <v>53.924723473709506</v>
      </c>
      <c r="M1730" s="85">
        <v>10100857.324665865</v>
      </c>
      <c r="N1730" s="83" t="s">
        <v>1735</v>
      </c>
      <c r="O1730" s="25">
        <f t="shared" si="54"/>
        <v>-2.5332900292302618E-2</v>
      </c>
    </row>
  </sheetData>
  <sortState xmlns:xlrd2="http://schemas.microsoft.com/office/spreadsheetml/2017/richdata2" ref="Q249:Q339">
    <sortCondition ref="Q249"/>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sqref="A1:XFD1048576"/>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2026-10-22T00:22:54Z</dcterms:modified>
</cp:coreProperties>
</file>