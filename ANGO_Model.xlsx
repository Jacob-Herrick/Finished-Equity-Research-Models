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A1DA76BD-1E67-4E5E-8F52-AA9AA60F7E4E}" xr6:coauthVersionLast="47" xr6:coauthVersionMax="47" xr10:uidLastSave="{00000000-0000-0000-0000-000000000000}"/>
  <bookViews>
    <workbookView xWindow="28800" yWindow="390" windowWidth="29010" windowHeight="15480"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 r:id="rId8"/>
    <externalReference r:id="rId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86" i="2" l="1"/>
  <c r="AZ85" i="2"/>
  <c r="AZ87" i="2" s="1"/>
  <c r="BX56" i="2"/>
  <c r="AZ88" i="2"/>
  <c r="AZ78" i="2"/>
  <c r="AZ77" i="2"/>
  <c r="AZ76" i="2"/>
  <c r="AZ72" i="2"/>
  <c r="AZ74" i="2" s="1"/>
  <c r="AZ62" i="2"/>
  <c r="AZ20" i="2"/>
  <c r="AZ19" i="2"/>
  <c r="AZ17" i="2"/>
  <c r="AZ24" i="2" s="1"/>
  <c r="AZ9" i="2"/>
  <c r="AZ8" i="2"/>
  <c r="AZ6" i="2"/>
  <c r="C8" i="1"/>
  <c r="BV86" i="2"/>
  <c r="BV85" i="2"/>
  <c r="BV73" i="2"/>
  <c r="BV71" i="2"/>
  <c r="BV70" i="2"/>
  <c r="BV69" i="2"/>
  <c r="BV68" i="2"/>
  <c r="BV67" i="2"/>
  <c r="BV66" i="2"/>
  <c r="BV65" i="2"/>
  <c r="BV64" i="2"/>
  <c r="CA56" i="2" s="1"/>
  <c r="BV61" i="2"/>
  <c r="BV60" i="2"/>
  <c r="BV59" i="2"/>
  <c r="BV58" i="2"/>
  <c r="BV57" i="2"/>
  <c r="BV56" i="2"/>
  <c r="BV55" i="2"/>
  <c r="BV54" i="2"/>
  <c r="BV53" i="2"/>
  <c r="BV52" i="2"/>
  <c r="BV78" i="2" s="1"/>
  <c r="BV42" i="2"/>
  <c r="BV37" i="2"/>
  <c r="BK26" i="2"/>
  <c r="AY88" i="2"/>
  <c r="AY87" i="2"/>
  <c r="AY78" i="2"/>
  <c r="AY77" i="2"/>
  <c r="AY76" i="2"/>
  <c r="AY72" i="2"/>
  <c r="AY74" i="2" s="1"/>
  <c r="AY62" i="2"/>
  <c r="AY20" i="2"/>
  <c r="AY19" i="2"/>
  <c r="AY17" i="2"/>
  <c r="AY24" i="2" s="1"/>
  <c r="AY9" i="2"/>
  <c r="AY8" i="2"/>
  <c r="AY6" i="2"/>
  <c r="AY26" i="2" s="1"/>
  <c r="AX86" i="2"/>
  <c r="AX85" i="2"/>
  <c r="AX38" i="2"/>
  <c r="BV38" i="2" s="1"/>
  <c r="AX40" i="2"/>
  <c r="BV40" i="2" s="1"/>
  <c r="AX37" i="2"/>
  <c r="AX35" i="2"/>
  <c r="BV35" i="2" s="1"/>
  <c r="AX34" i="2"/>
  <c r="BV34" i="2" s="1"/>
  <c r="AX33" i="2"/>
  <c r="BV33" i="2" s="1"/>
  <c r="AX32" i="2"/>
  <c r="BV32" i="2" s="1"/>
  <c r="AX31" i="2"/>
  <c r="BV31" i="2" s="1"/>
  <c r="AX30" i="2"/>
  <c r="BV30" i="2" s="1"/>
  <c r="AX29" i="2"/>
  <c r="BV29" i="2" s="1"/>
  <c r="AX27" i="2"/>
  <c r="AZ80" i="2" s="1"/>
  <c r="AX16" i="2"/>
  <c r="BV16" i="2" s="1"/>
  <c r="AX15" i="2"/>
  <c r="BV15" i="2" s="1"/>
  <c r="AX5" i="2"/>
  <c r="BV5" i="2" s="1"/>
  <c r="AX4" i="2"/>
  <c r="BV4" i="2" s="1"/>
  <c r="AZ89" i="2" l="1"/>
  <c r="BV76" i="2"/>
  <c r="BV77" i="2"/>
  <c r="BV27" i="2"/>
  <c r="AY80" i="2"/>
  <c r="AZ26" i="2"/>
  <c r="AZ28" i="2" s="1"/>
  <c r="AZ45" i="2" s="1"/>
  <c r="AZ12" i="2"/>
  <c r="AZ13" i="2"/>
  <c r="AZ23" i="2"/>
  <c r="AY89" i="2"/>
  <c r="AY13" i="2"/>
  <c r="AY47" i="2"/>
  <c r="AY46" i="2"/>
  <c r="AY28" i="2"/>
  <c r="AY79" i="2"/>
  <c r="AY23" i="2"/>
  <c r="AY12" i="2"/>
  <c r="AX88" i="2"/>
  <c r="AX87" i="2"/>
  <c r="AX80" i="2"/>
  <c r="AX78" i="2"/>
  <c r="AX77" i="2"/>
  <c r="AX76" i="2"/>
  <c r="AX72" i="2"/>
  <c r="AX62" i="2"/>
  <c r="BV62" i="2" s="1"/>
  <c r="AX17" i="2"/>
  <c r="AX24" i="2" s="1"/>
  <c r="AX6" i="2"/>
  <c r="AX26" i="2" s="1"/>
  <c r="AX74" i="2" l="1"/>
  <c r="BV74" i="2" s="1"/>
  <c r="BV72" i="2"/>
  <c r="AZ46" i="2"/>
  <c r="AZ47" i="2"/>
  <c r="AZ79" i="2"/>
  <c r="AZ36" i="2"/>
  <c r="AZ39" i="2" s="1"/>
  <c r="AY45" i="2"/>
  <c r="AY36" i="2"/>
  <c r="AX89" i="2"/>
  <c r="AX79" i="2"/>
  <c r="AX47" i="2"/>
  <c r="AX46" i="2"/>
  <c r="AX28" i="2"/>
  <c r="AX12" i="2"/>
  <c r="AX23" i="2"/>
  <c r="AX13" i="2"/>
  <c r="CF62" i="2"/>
  <c r="CF57" i="2"/>
  <c r="CF58" i="2"/>
  <c r="CF64" i="2"/>
  <c r="BU73" i="2"/>
  <c r="BT73" i="2"/>
  <c r="BS73" i="2"/>
  <c r="BR73" i="2"/>
  <c r="BU71" i="2"/>
  <c r="BT71" i="2"/>
  <c r="BS71" i="2"/>
  <c r="BR71" i="2"/>
  <c r="BU70" i="2"/>
  <c r="BT70" i="2"/>
  <c r="BS70" i="2"/>
  <c r="BR70" i="2"/>
  <c r="BU69" i="2"/>
  <c r="BT69" i="2"/>
  <c r="BS69" i="2"/>
  <c r="BR69" i="2"/>
  <c r="BU68" i="2"/>
  <c r="BT68" i="2"/>
  <c r="BS68" i="2"/>
  <c r="BR68" i="2"/>
  <c r="BU67" i="2"/>
  <c r="BT67" i="2"/>
  <c r="BS67" i="2"/>
  <c r="BR67" i="2"/>
  <c r="BU66" i="2"/>
  <c r="BT66" i="2"/>
  <c r="BS66" i="2"/>
  <c r="BR66" i="2"/>
  <c r="BU65" i="2"/>
  <c r="BT65" i="2"/>
  <c r="BS65" i="2"/>
  <c r="BR65" i="2"/>
  <c r="BU64" i="2"/>
  <c r="BZ56" i="2" s="1"/>
  <c r="BT64" i="2"/>
  <c r="BS64" i="2"/>
  <c r="BR64" i="2"/>
  <c r="BU61" i="2"/>
  <c r="BT61" i="2"/>
  <c r="BS61" i="2"/>
  <c r="BR61" i="2"/>
  <c r="BU60" i="2"/>
  <c r="BT60" i="2"/>
  <c r="BS60" i="2"/>
  <c r="BR60" i="2"/>
  <c r="BU59" i="2"/>
  <c r="BT59" i="2"/>
  <c r="BS59" i="2"/>
  <c r="BR59" i="2"/>
  <c r="BU58" i="2"/>
  <c r="BT58" i="2"/>
  <c r="BS58" i="2"/>
  <c r="BR58" i="2"/>
  <c r="BU57" i="2"/>
  <c r="BT57" i="2"/>
  <c r="BS57" i="2"/>
  <c r="BR57" i="2"/>
  <c r="BU56" i="2"/>
  <c r="BT56" i="2"/>
  <c r="BS56" i="2"/>
  <c r="BR56" i="2"/>
  <c r="BU55" i="2"/>
  <c r="BT55" i="2"/>
  <c r="BS55" i="2"/>
  <c r="BR55" i="2"/>
  <c r="BU54" i="2"/>
  <c r="BT54" i="2"/>
  <c r="BS54" i="2"/>
  <c r="BR54" i="2"/>
  <c r="BU53" i="2"/>
  <c r="BT53" i="2"/>
  <c r="BS53" i="2"/>
  <c r="BS77" i="2" s="1"/>
  <c r="BR53" i="2"/>
  <c r="BR52" i="2"/>
  <c r="BS52" i="2"/>
  <c r="BT52" i="2"/>
  <c r="BU52" i="2"/>
  <c r="BT78" i="2"/>
  <c r="AV78" i="2"/>
  <c r="AU78" i="2"/>
  <c r="AT78" i="2"/>
  <c r="AS78" i="2"/>
  <c r="AR78" i="2"/>
  <c r="AQ78" i="2"/>
  <c r="AP78" i="2"/>
  <c r="AO78" i="2"/>
  <c r="AN78" i="2"/>
  <c r="AM78" i="2"/>
  <c r="AL78" i="2"/>
  <c r="AK78" i="2"/>
  <c r="AJ78" i="2"/>
  <c r="AI78" i="2"/>
  <c r="AH78" i="2"/>
  <c r="AV77" i="2"/>
  <c r="AU77" i="2"/>
  <c r="AT77" i="2"/>
  <c r="AS77" i="2"/>
  <c r="AR77" i="2"/>
  <c r="AQ77" i="2"/>
  <c r="AP77" i="2"/>
  <c r="AO77" i="2"/>
  <c r="AN77" i="2"/>
  <c r="AM77" i="2"/>
  <c r="AL77" i="2"/>
  <c r="AK77" i="2"/>
  <c r="AJ77" i="2"/>
  <c r="AI77" i="2"/>
  <c r="AH77" i="2"/>
  <c r="AV76" i="2"/>
  <c r="AU76" i="2"/>
  <c r="AT76" i="2"/>
  <c r="AS76" i="2"/>
  <c r="AR76" i="2"/>
  <c r="AQ76" i="2"/>
  <c r="AP76" i="2"/>
  <c r="AO76" i="2"/>
  <c r="AN76" i="2"/>
  <c r="AM76" i="2"/>
  <c r="AL76" i="2"/>
  <c r="AK76" i="2"/>
  <c r="AJ76" i="2"/>
  <c r="AI76" i="2"/>
  <c r="AH76" i="2"/>
  <c r="AW78" i="2"/>
  <c r="AW77" i="2"/>
  <c r="AW76" i="2"/>
  <c r="AJ62" i="2"/>
  <c r="AK62" i="2"/>
  <c r="AH62" i="2"/>
  <c r="BR62" i="2" s="1"/>
  <c r="AM62" i="2"/>
  <c r="AN62" i="2"/>
  <c r="AO62" i="2"/>
  <c r="AL62" i="2"/>
  <c r="BS62" i="2" s="1"/>
  <c r="AQ62" i="2"/>
  <c r="AR62" i="2"/>
  <c r="AS62" i="2"/>
  <c r="AW62" i="2"/>
  <c r="AP62" i="2"/>
  <c r="BT62" i="2" s="1"/>
  <c r="AV72" i="2"/>
  <c r="AV74" i="2" s="1"/>
  <c r="AU72" i="2"/>
  <c r="AU74" i="2" s="1"/>
  <c r="AT72" i="2"/>
  <c r="AT74" i="2" s="1"/>
  <c r="BU74" i="2" s="1"/>
  <c r="AS72" i="2"/>
  <c r="AS74" i="2" s="1"/>
  <c r="AR72" i="2"/>
  <c r="AR74" i="2" s="1"/>
  <c r="AQ72" i="2"/>
  <c r="AQ74" i="2" s="1"/>
  <c r="AP72" i="2"/>
  <c r="AP74" i="2" s="1"/>
  <c r="BT74" i="2" s="1"/>
  <c r="AO72" i="2"/>
  <c r="AO74" i="2" s="1"/>
  <c r="AN72" i="2"/>
  <c r="AN74" i="2" s="1"/>
  <c r="AM72" i="2"/>
  <c r="AM74" i="2" s="1"/>
  <c r="AL72" i="2"/>
  <c r="AL74" i="2" s="1"/>
  <c r="BS74" i="2" s="1"/>
  <c r="AK72" i="2"/>
  <c r="AK74" i="2" s="1"/>
  <c r="AJ72" i="2"/>
  <c r="AJ74" i="2" s="1"/>
  <c r="AI72" i="2"/>
  <c r="AI74" i="2" s="1"/>
  <c r="AH72" i="2"/>
  <c r="AH74" i="2" s="1"/>
  <c r="BR74" i="2" s="1"/>
  <c r="AW72" i="2"/>
  <c r="AW74" i="2" s="1"/>
  <c r="AV62" i="2"/>
  <c r="AU62" i="2"/>
  <c r="AT62" i="2"/>
  <c r="BU62" i="2" s="1"/>
  <c r="AI62" i="2"/>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K209" i="3" s="1"/>
  <c r="BU86" i="2"/>
  <c r="BU87" i="2" s="1"/>
  <c r="BT86" i="2"/>
  <c r="BT87" i="2" s="1"/>
  <c r="BS86" i="2"/>
  <c r="BR86" i="2"/>
  <c r="BQ86" i="2"/>
  <c r="BP86" i="2"/>
  <c r="BO86" i="2"/>
  <c r="BN86" i="2"/>
  <c r="BL86" i="2"/>
  <c r="BK86" i="2"/>
  <c r="BS85" i="2"/>
  <c r="BS87" i="2" s="1"/>
  <c r="BR85" i="2"/>
  <c r="BR87" i="2" s="1"/>
  <c r="BQ85" i="2"/>
  <c r="BQ87" i="2" s="1"/>
  <c r="BP85" i="2"/>
  <c r="BP87" i="2" s="1"/>
  <c r="BO85" i="2"/>
  <c r="BO87" i="2" s="1"/>
  <c r="BN85" i="2"/>
  <c r="BN87" i="2" s="1"/>
  <c r="BM85" i="2"/>
  <c r="BM87" i="2" s="1"/>
  <c r="BM89" i="2" s="1"/>
  <c r="BL85" i="2"/>
  <c r="BK85" i="2"/>
  <c r="BR42" i="2"/>
  <c r="BQ42" i="2"/>
  <c r="BP42" i="2"/>
  <c r="BO42" i="2"/>
  <c r="BN42" i="2"/>
  <c r="BM42" i="2"/>
  <c r="BL42" i="2"/>
  <c r="BK42" i="2"/>
  <c r="BQ40" i="2"/>
  <c r="BP40" i="2"/>
  <c r="BO40" i="2"/>
  <c r="BN40" i="2"/>
  <c r="BM40" i="2"/>
  <c r="BL40" i="2"/>
  <c r="BK40" i="2"/>
  <c r="BQ38" i="2"/>
  <c r="BP38" i="2"/>
  <c r="BO38" i="2"/>
  <c r="BN38" i="2"/>
  <c r="BM38" i="2"/>
  <c r="BL38" i="2"/>
  <c r="BK38" i="2"/>
  <c r="BQ37" i="2"/>
  <c r="BP37" i="2"/>
  <c r="BO37" i="2"/>
  <c r="BN37" i="2"/>
  <c r="BM37" i="2"/>
  <c r="BL37" i="2"/>
  <c r="BK37" i="2"/>
  <c r="BQ35" i="2"/>
  <c r="BP35" i="2"/>
  <c r="BO35" i="2"/>
  <c r="BN35" i="2"/>
  <c r="BM35" i="2"/>
  <c r="BL35" i="2"/>
  <c r="BK35" i="2"/>
  <c r="BQ34" i="2"/>
  <c r="BP34" i="2"/>
  <c r="BO34" i="2"/>
  <c r="BN34" i="2"/>
  <c r="BM34" i="2"/>
  <c r="BL34" i="2"/>
  <c r="BK34" i="2"/>
  <c r="BQ33" i="2"/>
  <c r="BP33" i="2"/>
  <c r="BO33" i="2"/>
  <c r="BN33" i="2"/>
  <c r="BM33" i="2"/>
  <c r="BL33" i="2"/>
  <c r="BK33" i="2"/>
  <c r="BQ32" i="2"/>
  <c r="BP32" i="2"/>
  <c r="BO32" i="2"/>
  <c r="BN32" i="2"/>
  <c r="BM32" i="2"/>
  <c r="BL32" i="2"/>
  <c r="BK32" i="2"/>
  <c r="BQ30" i="2"/>
  <c r="BP30" i="2"/>
  <c r="BO30" i="2"/>
  <c r="BN30" i="2"/>
  <c r="BM30" i="2"/>
  <c r="BL30" i="2"/>
  <c r="BK30" i="2"/>
  <c r="BQ29" i="2"/>
  <c r="BP29" i="2"/>
  <c r="BP46" i="2" s="1"/>
  <c r="BO29" i="2"/>
  <c r="BO46" i="2" s="1"/>
  <c r="BN29" i="2"/>
  <c r="BM29" i="2"/>
  <c r="BL29" i="2"/>
  <c r="BK29" i="2"/>
  <c r="BK46" i="2" s="1"/>
  <c r="BQ27" i="2"/>
  <c r="BP27" i="2"/>
  <c r="BO27" i="2"/>
  <c r="BN27" i="2"/>
  <c r="BM27" i="2"/>
  <c r="BL27" i="2"/>
  <c r="BK27" i="2"/>
  <c r="BU42" i="2"/>
  <c r="BT42" i="2"/>
  <c r="BS42" i="2"/>
  <c r="AW88" i="2"/>
  <c r="AV88" i="2"/>
  <c r="AU88" i="2"/>
  <c r="AT88" i="2"/>
  <c r="AS88" i="2"/>
  <c r="AR88" i="2"/>
  <c r="AQ88" i="2"/>
  <c r="AP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C88" i="2"/>
  <c r="AW87" i="2"/>
  <c r="AV87" i="2"/>
  <c r="AU87" i="2"/>
  <c r="AT87" i="2"/>
  <c r="AS87" i="2"/>
  <c r="AR87" i="2"/>
  <c r="AQ87" i="2"/>
  <c r="AP87" i="2"/>
  <c r="AO87" i="2"/>
  <c r="AN87" i="2"/>
  <c r="AM87" i="2"/>
  <c r="AL87" i="2"/>
  <c r="AK87" i="2"/>
  <c r="AJ87" i="2"/>
  <c r="AI87" i="2"/>
  <c r="AH87" i="2"/>
  <c r="AG87" i="2"/>
  <c r="AF87" i="2"/>
  <c r="AE87" i="2"/>
  <c r="AD87" i="2"/>
  <c r="AC87" i="2"/>
  <c r="AB87" i="2"/>
  <c r="AA87" i="2"/>
  <c r="Z87" i="2"/>
  <c r="Y87" i="2"/>
  <c r="X87" i="2"/>
  <c r="W87" i="2"/>
  <c r="V87" i="2"/>
  <c r="U87" i="2"/>
  <c r="T87" i="2"/>
  <c r="S87" i="2"/>
  <c r="R87" i="2"/>
  <c r="Q87" i="2"/>
  <c r="P87" i="2"/>
  <c r="O87" i="2"/>
  <c r="N87" i="2"/>
  <c r="M87" i="2"/>
  <c r="L87" i="2"/>
  <c r="K87" i="2"/>
  <c r="J87" i="2"/>
  <c r="I87" i="2"/>
  <c r="H87" i="2"/>
  <c r="G87" i="2"/>
  <c r="F87" i="2"/>
  <c r="E87" i="2"/>
  <c r="D87" i="2"/>
  <c r="C87" i="2"/>
  <c r="BL26" i="2"/>
  <c r="BM26" i="2"/>
  <c r="BN26" i="2"/>
  <c r="BO26" i="2"/>
  <c r="BP26" i="2"/>
  <c r="BQ2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AD31" i="2"/>
  <c r="AC31" i="2"/>
  <c r="AC47" i="2" s="1"/>
  <c r="AB31" i="2"/>
  <c r="AB47" i="2" s="1"/>
  <c r="AA31" i="2"/>
  <c r="AA47" i="2" s="1"/>
  <c r="Z31" i="2"/>
  <c r="Z47" i="2" s="1"/>
  <c r="Y31" i="2"/>
  <c r="X31" i="2"/>
  <c r="X47" i="2" s="1"/>
  <c r="W31" i="2"/>
  <c r="W47" i="2" s="1"/>
  <c r="V31" i="2"/>
  <c r="V47" i="2" s="1"/>
  <c r="U31" i="2"/>
  <c r="T31" i="2"/>
  <c r="T47" i="2" s="1"/>
  <c r="S31" i="2"/>
  <c r="S47" i="2" s="1"/>
  <c r="R31" i="2"/>
  <c r="R47" i="2" s="1"/>
  <c r="Q31" i="2"/>
  <c r="Q47" i="2" s="1"/>
  <c r="P31" i="2"/>
  <c r="P47" i="2" s="1"/>
  <c r="O31" i="2"/>
  <c r="O47" i="2" s="1"/>
  <c r="N31" i="2"/>
  <c r="N47" i="2" s="1"/>
  <c r="M31" i="2"/>
  <c r="L31" i="2"/>
  <c r="K31" i="2"/>
  <c r="K47" i="2" s="1"/>
  <c r="J31" i="2"/>
  <c r="J47" i="2" s="1"/>
  <c r="I31" i="2"/>
  <c r="I47" i="2" s="1"/>
  <c r="H31" i="2"/>
  <c r="H47" i="2" s="1"/>
  <c r="G31" i="2"/>
  <c r="G47" i="2" s="1"/>
  <c r="F31" i="2"/>
  <c r="F47" i="2" s="1"/>
  <c r="E31" i="2"/>
  <c r="E47" i="2" s="1"/>
  <c r="D31" i="2"/>
  <c r="D47" i="2" s="1"/>
  <c r="C31" i="2"/>
  <c r="C47" i="2" s="1"/>
  <c r="AD28" i="2"/>
  <c r="AD45" i="2" s="1"/>
  <c r="AC28" i="2"/>
  <c r="AB28" i="2"/>
  <c r="AA28" i="2"/>
  <c r="AA45" i="2" s="1"/>
  <c r="Z28" i="2"/>
  <c r="Z45" i="2" s="1"/>
  <c r="Y28" i="2"/>
  <c r="Y45" i="2" s="1"/>
  <c r="X28" i="2"/>
  <c r="W28" i="2"/>
  <c r="W45" i="2" s="1"/>
  <c r="V28" i="2"/>
  <c r="V45" i="2" s="1"/>
  <c r="U28" i="2"/>
  <c r="T28" i="2"/>
  <c r="S28" i="2"/>
  <c r="R28" i="2"/>
  <c r="R45" i="2" s="1"/>
  <c r="Q28" i="2"/>
  <c r="Q45" i="2" s="1"/>
  <c r="P28" i="2"/>
  <c r="P45" i="2" s="1"/>
  <c r="O28" i="2"/>
  <c r="O45" i="2" s="1"/>
  <c r="N28" i="2"/>
  <c r="N45" i="2" s="1"/>
  <c r="M28" i="2"/>
  <c r="L28" i="2"/>
  <c r="K28" i="2"/>
  <c r="J28" i="2"/>
  <c r="J45" i="2" s="1"/>
  <c r="I28" i="2"/>
  <c r="I45" i="2" s="1"/>
  <c r="H28" i="2"/>
  <c r="G28" i="2"/>
  <c r="G45" i="2" s="1"/>
  <c r="F28" i="2"/>
  <c r="F45" i="2" s="1"/>
  <c r="E28" i="2"/>
  <c r="D28" i="2"/>
  <c r="C28" i="2"/>
  <c r="AH26" i="2"/>
  <c r="BR26" i="2" s="1"/>
  <c r="AH40" i="2"/>
  <c r="BR40" i="2" s="1"/>
  <c r="AH38" i="2"/>
  <c r="BR38" i="2" s="1"/>
  <c r="AH37" i="2"/>
  <c r="BR37" i="2" s="1"/>
  <c r="AH35" i="2"/>
  <c r="BR35" i="2" s="1"/>
  <c r="AH34" i="2"/>
  <c r="BR34" i="2" s="1"/>
  <c r="AH33" i="2"/>
  <c r="BR33" i="2" s="1"/>
  <c r="AH32" i="2"/>
  <c r="BR32" i="2" s="1"/>
  <c r="AH31" i="2"/>
  <c r="BR31" i="2" s="1"/>
  <c r="AH30" i="2"/>
  <c r="BR30" i="2" s="1"/>
  <c r="AH29" i="2"/>
  <c r="BR29" i="2" s="1"/>
  <c r="BR46" i="2" s="1"/>
  <c r="AH27" i="2"/>
  <c r="BR27" i="2" s="1"/>
  <c r="AL40" i="2"/>
  <c r="BS40" i="2" s="1"/>
  <c r="AL38" i="2"/>
  <c r="BS38" i="2" s="1"/>
  <c r="AL37" i="2"/>
  <c r="BS37" i="2" s="1"/>
  <c r="AL35" i="2"/>
  <c r="BS35" i="2" s="1"/>
  <c r="AL34" i="2"/>
  <c r="BS34" i="2" s="1"/>
  <c r="AL33" i="2"/>
  <c r="BS33" i="2" s="1"/>
  <c r="AL32" i="2"/>
  <c r="BS32" i="2" s="1"/>
  <c r="AL31" i="2"/>
  <c r="BS31" i="2" s="1"/>
  <c r="AL30" i="2"/>
  <c r="BS30" i="2" s="1"/>
  <c r="AL29" i="2"/>
  <c r="BS29" i="2" s="1"/>
  <c r="AL27" i="2"/>
  <c r="BS27" i="2" s="1"/>
  <c r="BV80" i="2" s="1"/>
  <c r="AP40" i="2"/>
  <c r="BT40" i="2" s="1"/>
  <c r="AP38" i="2"/>
  <c r="BT38" i="2" s="1"/>
  <c r="AP37" i="2"/>
  <c r="BT37" i="2" s="1"/>
  <c r="AP35" i="2"/>
  <c r="BT35" i="2" s="1"/>
  <c r="AP34" i="2"/>
  <c r="BT34" i="2" s="1"/>
  <c r="AP33" i="2"/>
  <c r="BT33" i="2" s="1"/>
  <c r="AP32" i="2"/>
  <c r="BT32" i="2" s="1"/>
  <c r="AP31" i="2"/>
  <c r="BT31" i="2" s="1"/>
  <c r="AP30" i="2"/>
  <c r="BT30" i="2" s="1"/>
  <c r="AP29" i="2"/>
  <c r="BT29" i="2" s="1"/>
  <c r="AP27" i="2"/>
  <c r="BT27" i="2" s="1"/>
  <c r="AT40" i="2"/>
  <c r="BU40" i="2" s="1"/>
  <c r="AT38" i="2"/>
  <c r="BU38" i="2" s="1"/>
  <c r="AT37" i="2"/>
  <c r="BU37" i="2" s="1"/>
  <c r="AT35" i="2"/>
  <c r="BU35" i="2" s="1"/>
  <c r="AT34" i="2"/>
  <c r="BU34" i="2" s="1"/>
  <c r="AT33" i="2"/>
  <c r="BU33" i="2" s="1"/>
  <c r="AT32" i="2"/>
  <c r="BU32" i="2" s="1"/>
  <c r="AT31" i="2"/>
  <c r="BU31" i="2" s="1"/>
  <c r="AT30" i="2"/>
  <c r="BU30" i="2" s="1"/>
  <c r="AT29" i="2"/>
  <c r="BU29" i="2" s="1"/>
  <c r="AT27" i="2"/>
  <c r="BU27" i="2" s="1"/>
  <c r="AG47" i="2"/>
  <c r="AF47" i="2"/>
  <c r="AE47" i="2"/>
  <c r="AD47" i="2"/>
  <c r="U47" i="2"/>
  <c r="M47" i="2"/>
  <c r="AG46" i="2"/>
  <c r="AF46" i="2"/>
  <c r="AE46" i="2"/>
  <c r="AG28" i="2"/>
  <c r="AG45" i="2" s="1"/>
  <c r="AF28" i="2"/>
  <c r="AF45" i="2" s="1"/>
  <c r="AE28" i="2"/>
  <c r="AE45" i="2" s="1"/>
  <c r="AW20" i="2"/>
  <c r="AV20" i="2"/>
  <c r="AU20" i="2"/>
  <c r="AS20" i="2"/>
  <c r="AR20" i="2"/>
  <c r="AQ20" i="2"/>
  <c r="AO20" i="2"/>
  <c r="AN20" i="2"/>
  <c r="AM20" i="2"/>
  <c r="AW19" i="2"/>
  <c r="AV19" i="2"/>
  <c r="AU19" i="2"/>
  <c r="AS19" i="2"/>
  <c r="AR19" i="2"/>
  <c r="AQ19" i="2"/>
  <c r="AO19" i="2"/>
  <c r="AN19" i="2"/>
  <c r="AM19" i="2"/>
  <c r="AV9" i="2"/>
  <c r="AU9" i="2"/>
  <c r="AS9" i="2"/>
  <c r="AR9" i="2"/>
  <c r="AQ9" i="2"/>
  <c r="AO9" i="2"/>
  <c r="AN9" i="2"/>
  <c r="AM9" i="2"/>
  <c r="AV8" i="2"/>
  <c r="AU8" i="2"/>
  <c r="AS8" i="2"/>
  <c r="AR8" i="2"/>
  <c r="AQ8" i="2"/>
  <c r="AO8" i="2"/>
  <c r="AN8" i="2"/>
  <c r="AM8" i="2"/>
  <c r="AW9" i="2"/>
  <c r="AW8" i="2"/>
  <c r="AL16" i="2"/>
  <c r="BS16" i="2" s="1"/>
  <c r="AL15" i="2"/>
  <c r="BS15" i="2" s="1"/>
  <c r="AL5" i="2"/>
  <c r="BS5" i="2" s="1"/>
  <c r="AL4" i="2"/>
  <c r="BS4" i="2" s="1"/>
  <c r="AP16" i="2"/>
  <c r="BT16" i="2" s="1"/>
  <c r="BT20" i="2" s="1"/>
  <c r="AP15" i="2"/>
  <c r="BT15" i="2" s="1"/>
  <c r="AP5" i="2"/>
  <c r="BT5" i="2" s="1"/>
  <c r="AP4" i="2"/>
  <c r="BT4" i="2" s="1"/>
  <c r="AT16" i="2"/>
  <c r="AT15" i="2"/>
  <c r="AT5" i="2"/>
  <c r="AX9" i="2" s="1"/>
  <c r="AT4" i="2"/>
  <c r="AV17" i="2"/>
  <c r="AU17" i="2"/>
  <c r="AS17" i="2"/>
  <c r="AR17" i="2"/>
  <c r="AR23" i="2" s="1"/>
  <c r="AQ17" i="2"/>
  <c r="AO17" i="2"/>
  <c r="AN17" i="2"/>
  <c r="AN23" i="2" s="1"/>
  <c r="AM17" i="2"/>
  <c r="AM23" i="2" s="1"/>
  <c r="AK17" i="2"/>
  <c r="AK23" i="2" s="1"/>
  <c r="AJ17" i="2"/>
  <c r="AJ23" i="2" s="1"/>
  <c r="AI17" i="2"/>
  <c r="AI23" i="2" s="1"/>
  <c r="AW17" i="2"/>
  <c r="AW24" i="2" s="1"/>
  <c r="AV6" i="2"/>
  <c r="AU6" i="2"/>
  <c r="AS6" i="2"/>
  <c r="AR6" i="2"/>
  <c r="AR12" i="2" s="1"/>
  <c r="AQ6" i="2"/>
  <c r="AQ13" i="2" s="1"/>
  <c r="AO6" i="2"/>
  <c r="AO26" i="2" s="1"/>
  <c r="AO28" i="2" s="1"/>
  <c r="AO45" i="2" s="1"/>
  <c r="AN6" i="2"/>
  <c r="AN26" i="2" s="1"/>
  <c r="AN46" i="2" s="1"/>
  <c r="AM6" i="2"/>
  <c r="AM26" i="2" s="1"/>
  <c r="AM28" i="2" s="1"/>
  <c r="AM36" i="2" s="1"/>
  <c r="AM48" i="2" s="1"/>
  <c r="AK6" i="2"/>
  <c r="AK26" i="2" s="1"/>
  <c r="AK47" i="2" s="1"/>
  <c r="AJ6" i="2"/>
  <c r="AJ26" i="2" s="1"/>
  <c r="AJ28" i="2" s="1"/>
  <c r="AJ36" i="2" s="1"/>
  <c r="AJ39" i="2" s="1"/>
  <c r="AI6" i="2"/>
  <c r="AI26" i="2" s="1"/>
  <c r="AI46" i="2" s="1"/>
  <c r="AW6" i="2"/>
  <c r="AW13" i="2" s="1"/>
  <c r="BS80" i="2" l="1"/>
  <c r="BQ46" i="2"/>
  <c r="AK79" i="2"/>
  <c r="AV12" i="2"/>
  <c r="AZ10" i="2"/>
  <c r="AT80" i="2"/>
  <c r="BL46" i="2"/>
  <c r="BM46" i="2"/>
  <c r="BU78" i="2"/>
  <c r="AL80" i="2"/>
  <c r="BV17" i="2"/>
  <c r="BV88" i="2"/>
  <c r="BN46" i="2"/>
  <c r="BR72" i="2"/>
  <c r="AV23" i="2"/>
  <c r="AZ21" i="2"/>
  <c r="BV87" i="2"/>
  <c r="BR47" i="2"/>
  <c r="BR80" i="2"/>
  <c r="BU77" i="2"/>
  <c r="AZ48" i="2"/>
  <c r="AZ41" i="2"/>
  <c r="AZ49" i="2"/>
  <c r="BU4" i="2"/>
  <c r="BW4" i="2" s="1"/>
  <c r="BX4" i="2" s="1"/>
  <c r="BY4" i="2" s="1"/>
  <c r="BZ4" i="2" s="1"/>
  <c r="CA4" i="2" s="1"/>
  <c r="AX8" i="2"/>
  <c r="AJ79" i="2"/>
  <c r="AK80" i="2"/>
  <c r="AS80" i="2"/>
  <c r="AM80" i="2"/>
  <c r="AU80" i="2"/>
  <c r="BS72" i="2"/>
  <c r="BU16" i="2"/>
  <c r="BV20" i="2" s="1"/>
  <c r="AX20" i="2"/>
  <c r="AM79" i="2"/>
  <c r="AN80" i="2"/>
  <c r="AV80" i="2"/>
  <c r="BT72" i="2"/>
  <c r="BU15" i="2"/>
  <c r="BV19" i="2" s="1"/>
  <c r="AX19" i="2"/>
  <c r="BT8" i="2"/>
  <c r="AN79" i="2"/>
  <c r="AO80" i="2"/>
  <c r="BR79" i="2"/>
  <c r="BU72" i="2"/>
  <c r="AU13" i="2"/>
  <c r="AY10" i="2"/>
  <c r="D89" i="2"/>
  <c r="L89" i="2"/>
  <c r="T89" i="2"/>
  <c r="AB89" i="2"/>
  <c r="AJ89" i="2"/>
  <c r="AR89" i="2"/>
  <c r="AO79" i="2"/>
  <c r="AH80" i="2"/>
  <c r="AP80" i="2"/>
  <c r="AU23" i="2"/>
  <c r="AY21" i="2"/>
  <c r="AW80" i="2"/>
  <c r="AH79" i="2"/>
  <c r="AI80" i="2"/>
  <c r="AQ80" i="2"/>
  <c r="AI79" i="2"/>
  <c r="AJ80" i="2"/>
  <c r="AR80" i="2"/>
  <c r="AY48" i="2"/>
  <c r="AY39" i="2"/>
  <c r="CF59" i="2"/>
  <c r="AX45" i="2"/>
  <c r="AX36" i="2"/>
  <c r="BS78" i="2"/>
  <c r="BT77" i="2"/>
  <c r="BR78" i="2"/>
  <c r="BT76" i="2"/>
  <c r="BU76" i="2"/>
  <c r="BT80" i="2"/>
  <c r="BU80" i="2"/>
  <c r="BR77" i="2"/>
  <c r="BR76" i="2"/>
  <c r="BS76" i="2"/>
  <c r="F89" i="2"/>
  <c r="N89" i="2"/>
  <c r="V89" i="2"/>
  <c r="AD89" i="2"/>
  <c r="AL89" i="2"/>
  <c r="AT89" i="2"/>
  <c r="G89" i="2"/>
  <c r="O89" i="2"/>
  <c r="W89" i="2"/>
  <c r="AE89" i="2"/>
  <c r="AM89" i="2"/>
  <c r="AU89" i="2"/>
  <c r="M36" i="2"/>
  <c r="M48" i="2" s="1"/>
  <c r="U36" i="2"/>
  <c r="U48" i="2" s="1"/>
  <c r="AC36" i="2"/>
  <c r="AC48" i="2" s="1"/>
  <c r="BK88" i="2"/>
  <c r="BO88" i="2"/>
  <c r="BQ88" i="2"/>
  <c r="BS88" i="2"/>
  <c r="BU88" i="2"/>
  <c r="BU89" i="2" s="1"/>
  <c r="BU20" i="2"/>
  <c r="BT9" i="2"/>
  <c r="BM28" i="2"/>
  <c r="BM45" i="2" s="1"/>
  <c r="AG89" i="2"/>
  <c r="BU8" i="2"/>
  <c r="C89" i="2"/>
  <c r="K89" i="2"/>
  <c r="S89" i="2"/>
  <c r="AA89" i="2"/>
  <c r="AI89" i="2"/>
  <c r="AQ89" i="2"/>
  <c r="BL87" i="2"/>
  <c r="E89" i="2"/>
  <c r="M89" i="2"/>
  <c r="U89" i="2"/>
  <c r="AC89" i="2"/>
  <c r="AK89" i="2"/>
  <c r="AS89" i="2"/>
  <c r="Y89" i="2"/>
  <c r="AW89" i="2"/>
  <c r="Y36" i="2"/>
  <c r="Y39" i="2" s="1"/>
  <c r="Y41" i="2" s="1"/>
  <c r="Y84" i="2" s="1"/>
  <c r="J89" i="2"/>
  <c r="R89" i="2"/>
  <c r="Z89" i="2"/>
  <c r="AH89" i="2"/>
  <c r="AP89" i="2"/>
  <c r="BK87" i="2"/>
  <c r="BK28" i="2"/>
  <c r="BK45" i="2" s="1"/>
  <c r="AO89" i="2"/>
  <c r="I89" i="2"/>
  <c r="BL88" i="2"/>
  <c r="BN88" i="2"/>
  <c r="BN89" i="2" s="1"/>
  <c r="BP88" i="2"/>
  <c r="BP89" i="2" s="1"/>
  <c r="BR88" i="2"/>
  <c r="BR89" i="2" s="1"/>
  <c r="BT88" i="2"/>
  <c r="BT89" i="2" s="1"/>
  <c r="Q89" i="2"/>
  <c r="BS89" i="2"/>
  <c r="BQ89" i="2"/>
  <c r="BO89" i="2"/>
  <c r="H89" i="2"/>
  <c r="P89" i="2"/>
  <c r="X89" i="2"/>
  <c r="AF89" i="2"/>
  <c r="AN89" i="2"/>
  <c r="AV89" i="2"/>
  <c r="BL28" i="2"/>
  <c r="BL45" i="2" s="1"/>
  <c r="BN28" i="2"/>
  <c r="BN45" i="2" s="1"/>
  <c r="BP28" i="2"/>
  <c r="BP45" i="2" s="1"/>
  <c r="BM31" i="2"/>
  <c r="BM47" i="2" s="1"/>
  <c r="BT19" i="2"/>
  <c r="AQ21" i="2"/>
  <c r="BO28" i="2"/>
  <c r="BO45" i="2" s="1"/>
  <c r="K205" i="3"/>
  <c r="K206" i="3"/>
  <c r="K207" i="3"/>
  <c r="K208" i="3"/>
  <c r="BK31" i="2"/>
  <c r="BK47" i="2" s="1"/>
  <c r="Y47" i="2"/>
  <c r="BL31" i="2"/>
  <c r="BL47" i="2" s="1"/>
  <c r="BN31" i="2"/>
  <c r="BN47" i="2" s="1"/>
  <c r="BO31" i="2"/>
  <c r="BO47" i="2" s="1"/>
  <c r="BP31" i="2"/>
  <c r="BP47" i="2" s="1"/>
  <c r="AS10" i="2"/>
  <c r="AT9" i="2"/>
  <c r="BQ28" i="2"/>
  <c r="BQ45" i="2" s="1"/>
  <c r="BQ31" i="2"/>
  <c r="BQ47" i="2" s="1"/>
  <c r="AQ10" i="2"/>
  <c r="AT8" i="2"/>
  <c r="AK24" i="2"/>
  <c r="BU5" i="2"/>
  <c r="BV6" i="2" s="1"/>
  <c r="W36" i="2"/>
  <c r="AV26" i="2"/>
  <c r="AU10" i="2"/>
  <c r="AI24" i="2"/>
  <c r="AI13" i="2"/>
  <c r="AO21" i="2"/>
  <c r="AP9" i="2"/>
  <c r="AN24" i="2"/>
  <c r="AV13" i="2"/>
  <c r="AT19" i="2"/>
  <c r="AP19" i="2"/>
  <c r="AR21" i="2"/>
  <c r="AQ24" i="2"/>
  <c r="AK46" i="2"/>
  <c r="AU21" i="2"/>
  <c r="AV24" i="2"/>
  <c r="AO46" i="2"/>
  <c r="AS21" i="2"/>
  <c r="AW23" i="2"/>
  <c r="AK12" i="2"/>
  <c r="H36" i="2"/>
  <c r="H48" i="2" s="1"/>
  <c r="X36" i="2"/>
  <c r="X48" i="2" s="1"/>
  <c r="AO23" i="2"/>
  <c r="AM12" i="2"/>
  <c r="AO10" i="2"/>
  <c r="AQ23" i="2"/>
  <c r="AS12" i="2"/>
  <c r="AW26" i="2"/>
  <c r="AW79" i="2" s="1"/>
  <c r="AN28" i="2"/>
  <c r="AN45" i="2" s="1"/>
  <c r="AR26" i="2"/>
  <c r="AR79" i="2" s="1"/>
  <c r="AR10" i="2"/>
  <c r="AS24" i="2"/>
  <c r="AU12" i="2"/>
  <c r="AN13" i="2"/>
  <c r="AJ47" i="2"/>
  <c r="AU26" i="2"/>
  <c r="AW10" i="2"/>
  <c r="AS23" i="2"/>
  <c r="AM24" i="2"/>
  <c r="AU24" i="2"/>
  <c r="AO12" i="2"/>
  <c r="AW12" i="2"/>
  <c r="AI28" i="2"/>
  <c r="AJ46" i="2"/>
  <c r="AM47" i="2"/>
  <c r="AM21" i="2"/>
  <c r="AP8" i="2"/>
  <c r="AV10" i="2"/>
  <c r="AN21" i="2"/>
  <c r="AV21" i="2"/>
  <c r="AO24" i="2"/>
  <c r="AI12" i="2"/>
  <c r="AQ12" i="2"/>
  <c r="AJ13" i="2"/>
  <c r="AR13" i="2"/>
  <c r="AK28" i="2"/>
  <c r="AK36" i="2" s="1"/>
  <c r="AK48" i="2" s="1"/>
  <c r="AM46" i="2"/>
  <c r="AO47" i="2"/>
  <c r="L36" i="2"/>
  <c r="L39" i="2" s="1"/>
  <c r="L41" i="2" s="1"/>
  <c r="L84" i="2" s="1"/>
  <c r="AP20" i="2"/>
  <c r="AN47" i="2"/>
  <c r="AM10" i="2"/>
  <c r="AW21" i="2"/>
  <c r="AJ12" i="2"/>
  <c r="AK13" i="2"/>
  <c r="AS13" i="2"/>
  <c r="AQ26" i="2"/>
  <c r="AQ79" i="2" s="1"/>
  <c r="AT17" i="2"/>
  <c r="AT20" i="2"/>
  <c r="AJ24" i="2"/>
  <c r="AR24" i="2"/>
  <c r="AM13" i="2"/>
  <c r="AI47" i="2"/>
  <c r="AS26" i="2"/>
  <c r="AS79" i="2" s="1"/>
  <c r="AN12" i="2"/>
  <c r="AO13" i="2"/>
  <c r="T36" i="2"/>
  <c r="T39" i="2" s="1"/>
  <c r="L47" i="2"/>
  <c r="Y49" i="2"/>
  <c r="D36" i="2"/>
  <c r="D39" i="2" s="1"/>
  <c r="C36" i="2"/>
  <c r="AB36" i="2"/>
  <c r="AB39" i="2" s="1"/>
  <c r="S36" i="2"/>
  <c r="K36" i="2"/>
  <c r="E36" i="2"/>
  <c r="E48" i="2" s="1"/>
  <c r="AA36" i="2"/>
  <c r="Z36" i="2"/>
  <c r="Z39" i="2" s="1"/>
  <c r="AG36" i="2"/>
  <c r="AG39" i="2" s="1"/>
  <c r="AG41" i="2" s="1"/>
  <c r="AG84" i="2" s="1"/>
  <c r="AJ45" i="2"/>
  <c r="G36" i="2"/>
  <c r="AM45" i="2"/>
  <c r="I36" i="2"/>
  <c r="I39" i="2" s="1"/>
  <c r="C45" i="2"/>
  <c r="T45" i="2"/>
  <c r="J36" i="2"/>
  <c r="J39" i="2" s="1"/>
  <c r="D45" i="2"/>
  <c r="N36" i="2"/>
  <c r="N48" i="2" s="1"/>
  <c r="O36" i="2"/>
  <c r="K45" i="2"/>
  <c r="Q36" i="2"/>
  <c r="Q39" i="2" s="1"/>
  <c r="L45" i="2"/>
  <c r="R36" i="2"/>
  <c r="R39" i="2" s="1"/>
  <c r="F36" i="2"/>
  <c r="F48" i="2" s="1"/>
  <c r="V36" i="2"/>
  <c r="V48" i="2" s="1"/>
  <c r="S45" i="2"/>
  <c r="H45" i="2"/>
  <c r="X45" i="2"/>
  <c r="P36" i="2"/>
  <c r="P48" i="2" s="1"/>
  <c r="E45" i="2"/>
  <c r="M45" i="2"/>
  <c r="U45" i="2"/>
  <c r="AH46" i="2"/>
  <c r="AF36" i="2"/>
  <c r="AF48" i="2" s="1"/>
  <c r="AH47" i="2"/>
  <c r="AH28" i="2"/>
  <c r="AH36" i="2" s="1"/>
  <c r="AH39" i="2" s="1"/>
  <c r="AH41" i="2" s="1"/>
  <c r="AO36" i="2"/>
  <c r="AB45" i="2"/>
  <c r="AC45" i="2"/>
  <c r="AD36" i="2"/>
  <c r="AD48" i="2" s="1"/>
  <c r="AE36" i="2"/>
  <c r="AJ48" i="2"/>
  <c r="Y48" i="2"/>
  <c r="AJ41" i="2"/>
  <c r="AJ49" i="2"/>
  <c r="E39" i="2"/>
  <c r="AM39" i="2"/>
  <c r="AN10" i="2"/>
  <c r="AL6" i="2"/>
  <c r="AL13" i="2" s="1"/>
  <c r="AL17" i="2"/>
  <c r="AL24" i="2" s="1"/>
  <c r="AP6" i="2"/>
  <c r="AP26" i="2" s="1"/>
  <c r="AP17" i="2"/>
  <c r="AP23" i="2" s="1"/>
  <c r="AT6" i="2"/>
  <c r="AU79" i="2" l="1"/>
  <c r="BV26" i="2"/>
  <c r="BV79" i="2" s="1"/>
  <c r="BV89" i="2"/>
  <c r="BU19" i="2"/>
  <c r="BV21" i="2"/>
  <c r="BV24" i="2"/>
  <c r="BV23" i="2"/>
  <c r="AZ84" i="2"/>
  <c r="AZ43" i="2"/>
  <c r="AZ82" i="2"/>
  <c r="AZ81" i="2"/>
  <c r="AZ50" i="2"/>
  <c r="BV13" i="2"/>
  <c r="BU6" i="2"/>
  <c r="BV10" i="2" s="1"/>
  <c r="AX10" i="2"/>
  <c r="AT24" i="2"/>
  <c r="AX21" i="2"/>
  <c r="BV12" i="2"/>
  <c r="AJ84" i="2"/>
  <c r="AJ81" i="2"/>
  <c r="AJ82" i="2"/>
  <c r="AH84" i="2"/>
  <c r="AH82" i="2"/>
  <c r="AH81" i="2"/>
  <c r="AP46" i="2"/>
  <c r="AP79" i="2"/>
  <c r="AV28" i="2"/>
  <c r="AV45" i="2" s="1"/>
  <c r="AV79" i="2"/>
  <c r="BW5" i="2"/>
  <c r="BX5" i="2" s="1"/>
  <c r="CC56" i="2"/>
  <c r="AY41" i="2"/>
  <c r="AY49" i="2"/>
  <c r="AX39" i="2"/>
  <c r="AX48" i="2"/>
  <c r="AC39" i="2"/>
  <c r="AC49" i="2" s="1"/>
  <c r="U39" i="2"/>
  <c r="U49" i="2" s="1"/>
  <c r="M39" i="2"/>
  <c r="M49" i="2" s="1"/>
  <c r="AV46" i="2"/>
  <c r="BL89" i="2"/>
  <c r="AV47" i="2"/>
  <c r="BK89" i="2"/>
  <c r="AV36" i="2"/>
  <c r="AV48" i="2" s="1"/>
  <c r="L48" i="2"/>
  <c r="H39" i="2"/>
  <c r="H41" i="2" s="1"/>
  <c r="H84" i="2" s="1"/>
  <c r="BU13" i="2"/>
  <c r="BU9" i="2"/>
  <c r="BU12" i="2"/>
  <c r="W39" i="2"/>
  <c r="BP36" i="2"/>
  <c r="BP48" i="2" s="1"/>
  <c r="S39" i="2"/>
  <c r="S41" i="2" s="1"/>
  <c r="BO36" i="2"/>
  <c r="BO48" i="2" s="1"/>
  <c r="AA39" i="2"/>
  <c r="BQ36" i="2"/>
  <c r="BQ48" i="2" s="1"/>
  <c r="O48" i="2"/>
  <c r="BN36" i="2"/>
  <c r="BN48" i="2" s="1"/>
  <c r="G48" i="2"/>
  <c r="BL36" i="2"/>
  <c r="BL48" i="2" s="1"/>
  <c r="BR28" i="2"/>
  <c r="BR45" i="2" s="1"/>
  <c r="K39" i="2"/>
  <c r="K49" i="2" s="1"/>
  <c r="BM36" i="2"/>
  <c r="BM48" i="2" s="1"/>
  <c r="AE48" i="2"/>
  <c r="BR36" i="2"/>
  <c r="BR48" i="2" s="1"/>
  <c r="C39" i="2"/>
  <c r="BK36" i="2"/>
  <c r="BK48" i="2" s="1"/>
  <c r="W48" i="2"/>
  <c r="AT23" i="2"/>
  <c r="BU17" i="2"/>
  <c r="BT26" i="2"/>
  <c r="BT17" i="2"/>
  <c r="BS6" i="2"/>
  <c r="AI36" i="2"/>
  <c r="AI48" i="2" s="1"/>
  <c r="AP28" i="2"/>
  <c r="AP45" i="2" s="1"/>
  <c r="BS17" i="2"/>
  <c r="AB48" i="2"/>
  <c r="AP12" i="2"/>
  <c r="BT6" i="2"/>
  <c r="BU10" i="2" s="1"/>
  <c r="R48" i="2"/>
  <c r="L49" i="2"/>
  <c r="X39" i="2"/>
  <c r="X49" i="2" s="1"/>
  <c r="C48" i="2"/>
  <c r="K48" i="2"/>
  <c r="AW46" i="2"/>
  <c r="AW47" i="2"/>
  <c r="AW28" i="2"/>
  <c r="S48" i="2"/>
  <c r="AI45" i="2"/>
  <c r="AS46" i="2"/>
  <c r="AS47" i="2"/>
  <c r="AS28" i="2"/>
  <c r="AT21" i="2"/>
  <c r="AP13" i="2"/>
  <c r="AK39" i="2"/>
  <c r="AK41" i="2" s="1"/>
  <c r="T48" i="2"/>
  <c r="AK45" i="2"/>
  <c r="AQ28" i="2"/>
  <c r="AQ46" i="2"/>
  <c r="AQ47" i="2"/>
  <c r="AL23" i="2"/>
  <c r="AR28" i="2"/>
  <c r="AR47" i="2"/>
  <c r="AR46" i="2"/>
  <c r="AT26" i="2"/>
  <c r="AT13" i="2"/>
  <c r="AT10" i="2"/>
  <c r="AN36" i="2"/>
  <c r="AP47" i="2"/>
  <c r="AT12" i="2"/>
  <c r="AU47" i="2"/>
  <c r="AU28" i="2"/>
  <c r="AU46" i="2"/>
  <c r="AP21" i="2"/>
  <c r="AL12" i="2"/>
  <c r="AP24" i="2"/>
  <c r="D48" i="2"/>
  <c r="D49" i="2"/>
  <c r="D41" i="2"/>
  <c r="I41" i="2"/>
  <c r="I49" i="2"/>
  <c r="M41" i="2"/>
  <c r="M84" i="2" s="1"/>
  <c r="R41" i="2"/>
  <c r="R49" i="2"/>
  <c r="T49" i="2"/>
  <c r="T41" i="2"/>
  <c r="E49" i="2"/>
  <c r="E41" i="2"/>
  <c r="E84" i="2" s="1"/>
  <c r="Z41" i="2"/>
  <c r="Z49" i="2"/>
  <c r="Q41" i="2"/>
  <c r="Q49" i="2"/>
  <c r="J41" i="2"/>
  <c r="J49" i="2"/>
  <c r="AB49" i="2"/>
  <c r="AB41" i="2"/>
  <c r="AA48" i="2"/>
  <c r="G39" i="2"/>
  <c r="AG49" i="2"/>
  <c r="AG48" i="2"/>
  <c r="J48" i="2"/>
  <c r="Z48" i="2"/>
  <c r="I48" i="2"/>
  <c r="V39" i="2"/>
  <c r="N39" i="2"/>
  <c r="O39" i="2"/>
  <c r="F39" i="2"/>
  <c r="Q48" i="2"/>
  <c r="P39" i="2"/>
  <c r="AF39" i="2"/>
  <c r="AF41" i="2" s="1"/>
  <c r="AF84" i="2" s="1"/>
  <c r="AH45" i="2"/>
  <c r="AH49" i="2"/>
  <c r="AH48" i="2"/>
  <c r="AE39" i="2"/>
  <c r="AO39" i="2"/>
  <c r="AO48" i="2"/>
  <c r="AD39" i="2"/>
  <c r="AM49" i="2"/>
  <c r="AM41" i="2"/>
  <c r="AH43" i="2"/>
  <c r="AH50" i="2"/>
  <c r="Y50" i="2"/>
  <c r="Y43" i="2"/>
  <c r="L43" i="2"/>
  <c r="L50" i="2"/>
  <c r="AJ43" i="2"/>
  <c r="AJ50" i="2"/>
  <c r="AG50" i="2"/>
  <c r="AG43" i="2"/>
  <c r="AL26" i="2"/>
  <c r="AP10" i="2"/>
  <c r="BV28" i="2" l="1"/>
  <c r="U41" i="2"/>
  <c r="U84" i="2" s="1"/>
  <c r="BW6" i="2"/>
  <c r="BW13" i="2" s="1"/>
  <c r="AC41" i="2"/>
  <c r="AC84" i="2" s="1"/>
  <c r="BT47" i="2"/>
  <c r="BT79" i="2"/>
  <c r="BT46" i="2"/>
  <c r="BS26" i="2"/>
  <c r="AL79" i="2"/>
  <c r="AK84" i="2"/>
  <c r="AK81" i="2"/>
  <c r="AK82" i="2"/>
  <c r="BU26" i="2"/>
  <c r="AT79" i="2"/>
  <c r="AY50" i="2"/>
  <c r="AY84" i="2"/>
  <c r="AY82" i="2"/>
  <c r="AY43" i="2"/>
  <c r="AY81" i="2"/>
  <c r="BW10" i="2"/>
  <c r="BW26" i="2"/>
  <c r="BW12" i="2"/>
  <c r="AM84" i="2"/>
  <c r="AM81" i="2"/>
  <c r="AM82" i="2"/>
  <c r="AX41" i="2"/>
  <c r="AX49" i="2"/>
  <c r="BY5" i="2"/>
  <c r="BX6" i="2"/>
  <c r="H49" i="2"/>
  <c r="AV39" i="2"/>
  <c r="AV41" i="2" s="1"/>
  <c r="X41" i="2"/>
  <c r="X84" i="2" s="1"/>
  <c r="BL39" i="2"/>
  <c r="BL49" i="2" s="1"/>
  <c r="AP36" i="2"/>
  <c r="AP39" i="2" s="1"/>
  <c r="AP41" i="2" s="1"/>
  <c r="BS13" i="2"/>
  <c r="BS12" i="2"/>
  <c r="BK39" i="2"/>
  <c r="BK49" i="2" s="1"/>
  <c r="BS24" i="2"/>
  <c r="BS23" i="2"/>
  <c r="S49" i="2"/>
  <c r="BT21" i="2"/>
  <c r="BT24" i="2"/>
  <c r="BT23" i="2"/>
  <c r="K41" i="2"/>
  <c r="K50" i="2" s="1"/>
  <c r="BT10" i="2"/>
  <c r="BT13" i="2"/>
  <c r="BT12" i="2"/>
  <c r="BU21" i="2"/>
  <c r="BU23" i="2"/>
  <c r="BU24" i="2"/>
  <c r="BT28" i="2"/>
  <c r="BT45" i="2" s="1"/>
  <c r="T43" i="2"/>
  <c r="T84" i="2"/>
  <c r="Z50" i="2"/>
  <c r="Z84" i="2"/>
  <c r="BQ39" i="2"/>
  <c r="BQ49" i="2" s="1"/>
  <c r="AE41" i="2"/>
  <c r="BR39" i="2"/>
  <c r="BR49" i="2" s="1"/>
  <c r="BN39" i="2"/>
  <c r="BN49" i="2" s="1"/>
  <c r="BM39" i="2"/>
  <c r="BM49" i="2" s="1"/>
  <c r="Q43" i="2"/>
  <c r="Q84" i="2"/>
  <c r="R50" i="2"/>
  <c r="R84" i="2"/>
  <c r="I50" i="2"/>
  <c r="I84" i="2"/>
  <c r="BO39" i="2"/>
  <c r="BO49" i="2" s="1"/>
  <c r="K84" i="2"/>
  <c r="AB50" i="2"/>
  <c r="AB84" i="2"/>
  <c r="S43" i="2"/>
  <c r="S84" i="2"/>
  <c r="AA41" i="2"/>
  <c r="J50" i="2"/>
  <c r="J84" i="2"/>
  <c r="C49" i="2"/>
  <c r="C41" i="2"/>
  <c r="AK49" i="2"/>
  <c r="AA49" i="2"/>
  <c r="D43" i="2"/>
  <c r="D84" i="2"/>
  <c r="W49" i="2"/>
  <c r="BP39" i="2"/>
  <c r="BP49" i="2" s="1"/>
  <c r="W41" i="2"/>
  <c r="AN48" i="2"/>
  <c r="Z43" i="2"/>
  <c r="AI39" i="2"/>
  <c r="AT47" i="2"/>
  <c r="AT28" i="2"/>
  <c r="BU28" i="2" s="1"/>
  <c r="AT46" i="2"/>
  <c r="AU36" i="2"/>
  <c r="AU45" i="2"/>
  <c r="AL46" i="2"/>
  <c r="AL28" i="2"/>
  <c r="BS28" i="2" s="1"/>
  <c r="AL47" i="2"/>
  <c r="AN39" i="2"/>
  <c r="AR45" i="2"/>
  <c r="AR36" i="2"/>
  <c r="AW36" i="2"/>
  <c r="AW45" i="2"/>
  <c r="AQ36" i="2"/>
  <c r="AQ45" i="2"/>
  <c r="J43" i="2"/>
  <c r="AS45" i="2"/>
  <c r="AS36" i="2"/>
  <c r="T50" i="2"/>
  <c r="S50" i="2"/>
  <c r="D50" i="2"/>
  <c r="AB43" i="2"/>
  <c r="R43" i="2"/>
  <c r="Q50" i="2"/>
  <c r="G41" i="2"/>
  <c r="G49" i="2"/>
  <c r="I43" i="2"/>
  <c r="F49" i="2"/>
  <c r="F41" i="2"/>
  <c r="O49" i="2"/>
  <c r="O41" i="2"/>
  <c r="P41" i="2"/>
  <c r="P49" i="2"/>
  <c r="N49" i="2"/>
  <c r="N41" i="2"/>
  <c r="V49" i="2"/>
  <c r="V41" i="2"/>
  <c r="AD49" i="2"/>
  <c r="AD41" i="2"/>
  <c r="AE49" i="2"/>
  <c r="AF49" i="2"/>
  <c r="AO49" i="2"/>
  <c r="AO41" i="2"/>
  <c r="E50" i="2"/>
  <c r="E43" i="2"/>
  <c r="AK50" i="2"/>
  <c r="AK43" i="2"/>
  <c r="AC50" i="2"/>
  <c r="AC43" i="2"/>
  <c r="U50" i="2"/>
  <c r="U43" i="2"/>
  <c r="X43" i="2"/>
  <c r="X50" i="2"/>
  <c r="AF43" i="2"/>
  <c r="AF50" i="2"/>
  <c r="H43" i="2"/>
  <c r="H50" i="2"/>
  <c r="M50" i="2"/>
  <c r="M43" i="2"/>
  <c r="AM43" i="2"/>
  <c r="AM50" i="2"/>
  <c r="BV36" i="2" l="1"/>
  <c r="BX57" i="2" s="1"/>
  <c r="BS45" i="2"/>
  <c r="BU45" i="2"/>
  <c r="BS47" i="2"/>
  <c r="BS79" i="2"/>
  <c r="BS46" i="2"/>
  <c r="BV48" i="2"/>
  <c r="AO84" i="2"/>
  <c r="AO82" i="2"/>
  <c r="AO81" i="2"/>
  <c r="BU47" i="2"/>
  <c r="BU46" i="2"/>
  <c r="BU79" i="2"/>
  <c r="BW29" i="2"/>
  <c r="BW27" i="2"/>
  <c r="BW28" i="2" s="1"/>
  <c r="BW30" i="2"/>
  <c r="BX10" i="2"/>
  <c r="BX26" i="2"/>
  <c r="BX12" i="2"/>
  <c r="BX13" i="2"/>
  <c r="AP84" i="2"/>
  <c r="AP82" i="2"/>
  <c r="AP81" i="2"/>
  <c r="AV84" i="2"/>
  <c r="AV81" i="2"/>
  <c r="AV82" i="2"/>
  <c r="AV49" i="2"/>
  <c r="AX84" i="2"/>
  <c r="AX82" i="2"/>
  <c r="AX43" i="2"/>
  <c r="AX81" i="2"/>
  <c r="AX50" i="2"/>
  <c r="BZ5" i="2"/>
  <c r="CA5" i="2" s="1"/>
  <c r="BY6" i="2"/>
  <c r="BM41" i="2"/>
  <c r="K43" i="2"/>
  <c r="AP43" i="2"/>
  <c r="BT36" i="2"/>
  <c r="BT48" i="2" s="1"/>
  <c r="AP50" i="2"/>
  <c r="AP49" i="2"/>
  <c r="AP48" i="2"/>
  <c r="C43" i="2"/>
  <c r="C84" i="2"/>
  <c r="BK41" i="2"/>
  <c r="O50" i="2"/>
  <c r="O84" i="2"/>
  <c r="BN41" i="2"/>
  <c r="BR41" i="2"/>
  <c r="AE84" i="2"/>
  <c r="V43" i="2"/>
  <c r="BO43" i="2" s="1"/>
  <c r="V84" i="2"/>
  <c r="F50" i="2"/>
  <c r="F84" i="2"/>
  <c r="P50" i="2"/>
  <c r="P84" i="2"/>
  <c r="AE50" i="2"/>
  <c r="AE43" i="2"/>
  <c r="BR43" i="2" s="1"/>
  <c r="C50" i="2"/>
  <c r="AA50" i="2"/>
  <c r="BQ41" i="2"/>
  <c r="AA84" i="2"/>
  <c r="BP41" i="2"/>
  <c r="W84" i="2"/>
  <c r="W43" i="2"/>
  <c r="BP43" i="2" s="1"/>
  <c r="W50" i="2"/>
  <c r="N50" i="2"/>
  <c r="N84" i="2"/>
  <c r="AA43" i="2"/>
  <c r="AD50" i="2"/>
  <c r="AD84" i="2"/>
  <c r="G50" i="2"/>
  <c r="G84" i="2"/>
  <c r="BL41" i="2"/>
  <c r="BO41" i="2"/>
  <c r="AI41" i="2"/>
  <c r="AI49" i="2"/>
  <c r="AN49" i="2"/>
  <c r="BT39" i="2"/>
  <c r="BT49" i="2" s="1"/>
  <c r="AL36" i="2"/>
  <c r="BS36" i="2" s="1"/>
  <c r="BS48" i="2" s="1"/>
  <c r="AL45" i="2"/>
  <c r="AQ39" i="2"/>
  <c r="AQ48" i="2"/>
  <c r="AW39" i="2"/>
  <c r="AW48" i="2"/>
  <c r="AU48" i="2"/>
  <c r="AU39" i="2"/>
  <c r="BV39" i="2" s="1"/>
  <c r="AN41" i="2"/>
  <c r="AR39" i="2"/>
  <c r="AR48" i="2"/>
  <c r="AS48" i="2"/>
  <c r="AS39" i="2"/>
  <c r="AT45" i="2"/>
  <c r="AT36" i="2"/>
  <c r="BU36" i="2" s="1"/>
  <c r="BU48" i="2" s="1"/>
  <c r="P43" i="2"/>
  <c r="AD43" i="2"/>
  <c r="F43" i="2"/>
  <c r="N43" i="2"/>
  <c r="V50" i="2"/>
  <c r="O43" i="2"/>
  <c r="G43" i="2"/>
  <c r="BL43" i="2" s="1"/>
  <c r="AO50" i="2"/>
  <c r="AO43" i="2"/>
  <c r="AV50" i="2"/>
  <c r="AV43" i="2"/>
  <c r="CA6" i="2" l="1"/>
  <c r="CA13" i="2"/>
  <c r="BR84" i="2"/>
  <c r="BR50" i="2"/>
  <c r="BR81" i="2"/>
  <c r="BR82" i="2"/>
  <c r="BK84" i="2"/>
  <c r="BK50" i="2"/>
  <c r="BN84" i="2"/>
  <c r="BN50" i="2"/>
  <c r="AI84" i="2"/>
  <c r="AI81" i="2"/>
  <c r="AI82" i="2"/>
  <c r="BM84" i="2"/>
  <c r="BM50" i="2"/>
  <c r="BP84" i="2"/>
  <c r="BP50" i="2"/>
  <c r="BO84" i="2"/>
  <c r="BO50" i="2"/>
  <c r="BQ84" i="2"/>
  <c r="BQ50" i="2"/>
  <c r="BM43" i="2"/>
  <c r="BL84" i="2"/>
  <c r="BL50" i="2"/>
  <c r="BW36" i="2"/>
  <c r="BW48" i="2" s="1"/>
  <c r="BY10" i="2"/>
  <c r="BY26" i="2"/>
  <c r="BY12" i="2"/>
  <c r="BX29" i="2"/>
  <c r="BX27" i="2"/>
  <c r="BX28" i="2" s="1"/>
  <c r="BX30" i="2"/>
  <c r="BZ6" i="2"/>
  <c r="BW37" i="2"/>
  <c r="BY13" i="2"/>
  <c r="AN84" i="2"/>
  <c r="AN81" i="2"/>
  <c r="AN82" i="2"/>
  <c r="BN43" i="2"/>
  <c r="BQ43" i="2"/>
  <c r="BK43" i="2"/>
  <c r="AN43" i="2"/>
  <c r="BT43" i="2" s="1"/>
  <c r="BT41" i="2"/>
  <c r="AI43" i="2"/>
  <c r="AI50" i="2"/>
  <c r="AU49" i="2"/>
  <c r="AU41" i="2"/>
  <c r="BV41" i="2" s="1"/>
  <c r="AN50" i="2"/>
  <c r="AT48" i="2"/>
  <c r="AT39" i="2"/>
  <c r="BU39" i="2" s="1"/>
  <c r="BU49" i="2" s="1"/>
  <c r="AW41" i="2"/>
  <c r="AW49" i="2"/>
  <c r="AQ49" i="2"/>
  <c r="AQ41" i="2"/>
  <c r="AS41" i="2"/>
  <c r="AS49" i="2"/>
  <c r="AR41" i="2"/>
  <c r="AR49" i="2"/>
  <c r="AL48" i="2"/>
  <c r="AL39" i="2"/>
  <c r="BS39" i="2" s="1"/>
  <c r="BS49" i="2" s="1"/>
  <c r="BV82" i="2" l="1"/>
  <c r="BV81" i="2"/>
  <c r="BV50" i="2"/>
  <c r="BV43" i="2"/>
  <c r="CA26" i="2"/>
  <c r="CA12" i="2"/>
  <c r="BZ13" i="2"/>
  <c r="CA10" i="2"/>
  <c r="AW84" i="2"/>
  <c r="AW81" i="2"/>
  <c r="AW82" i="2"/>
  <c r="AR84" i="2"/>
  <c r="AR82" i="2"/>
  <c r="AR81" i="2"/>
  <c r="AS84" i="2"/>
  <c r="AS82" i="2"/>
  <c r="AS81" i="2"/>
  <c r="AU84" i="2"/>
  <c r="BV84" i="2" s="1"/>
  <c r="AU81" i="2"/>
  <c r="AU82" i="2"/>
  <c r="AQ82" i="2"/>
  <c r="AQ81" i="2"/>
  <c r="BW39" i="2"/>
  <c r="BW40" i="2" s="1"/>
  <c r="BW41" i="2" s="1"/>
  <c r="BW52" i="2" s="1"/>
  <c r="BX37" i="2" s="1"/>
  <c r="BZ10" i="2"/>
  <c r="BX36" i="2"/>
  <c r="BX48" i="2" s="1"/>
  <c r="BY29" i="2"/>
  <c r="BY27" i="2"/>
  <c r="BY28" i="2" s="1"/>
  <c r="BY30" i="2"/>
  <c r="BZ12" i="2"/>
  <c r="BZ26" i="2"/>
  <c r="BT84" i="2"/>
  <c r="BT82" i="2"/>
  <c r="BT50" i="2"/>
  <c r="BT81" i="2"/>
  <c r="AQ84" i="2"/>
  <c r="AL41" i="2"/>
  <c r="AL49" i="2"/>
  <c r="AW43" i="2"/>
  <c r="AW50" i="2"/>
  <c r="AR43" i="2"/>
  <c r="AR50" i="2"/>
  <c r="AT49" i="2"/>
  <c r="AT41" i="2"/>
  <c r="AS43" i="2"/>
  <c r="AS50" i="2"/>
  <c r="AU50" i="2"/>
  <c r="AU43" i="2"/>
  <c r="AQ50" i="2"/>
  <c r="AQ43" i="2"/>
  <c r="CA27" i="2" l="1"/>
  <c r="CA28" i="2" s="1"/>
  <c r="CA29" i="2"/>
  <c r="CA30" i="2"/>
  <c r="AL82" i="2"/>
  <c r="AL81" i="2"/>
  <c r="AT84" i="2"/>
  <c r="AT81" i="2"/>
  <c r="AT82" i="2"/>
  <c r="BX39" i="2"/>
  <c r="BX40" i="2" s="1"/>
  <c r="BX41" i="2" s="1"/>
  <c r="BX52" i="2" s="1"/>
  <c r="BY37" i="2" s="1"/>
  <c r="BY36" i="2"/>
  <c r="BY48" i="2" s="1"/>
  <c r="BW43" i="2"/>
  <c r="BW50" i="2"/>
  <c r="BZ29" i="2"/>
  <c r="BZ27" i="2"/>
  <c r="BZ30" i="2"/>
  <c r="BZ28" i="2"/>
  <c r="BZ36" i="2" s="1"/>
  <c r="BZ48" i="2" s="1"/>
  <c r="BU41" i="2"/>
  <c r="BS41" i="2"/>
  <c r="AL84" i="2"/>
  <c r="AT43" i="2"/>
  <c r="BU43" i="2" s="1"/>
  <c r="AT50" i="2"/>
  <c r="AL50" i="2"/>
  <c r="AL43" i="2"/>
  <c r="BS43" i="2" s="1"/>
  <c r="BY39" i="2" l="1"/>
  <c r="BY40" i="2" s="1"/>
  <c r="BY41" i="2" s="1"/>
  <c r="CA36" i="2"/>
  <c r="CA48" i="2" s="1"/>
  <c r="BU84" i="2"/>
  <c r="BU82" i="2"/>
  <c r="BU50" i="2"/>
  <c r="BU81" i="2"/>
  <c r="BS84" i="2"/>
  <c r="BS50" i="2"/>
  <c r="BS82" i="2"/>
  <c r="BS81" i="2"/>
  <c r="BX43" i="2"/>
  <c r="BX50" i="2"/>
  <c r="BL3" i="2"/>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K210" i="3"/>
  <c r="C7" i="1"/>
  <c r="BY50" i="2" l="1"/>
  <c r="BY52" i="2"/>
  <c r="BZ37" i="2" s="1"/>
  <c r="BZ39" i="2" s="1"/>
  <c r="BZ40" i="2" s="1"/>
  <c r="BZ41" i="2" s="1"/>
  <c r="BY43" i="2"/>
  <c r="C10" i="1"/>
  <c r="BZ52" i="2" l="1"/>
  <c r="BZ50" i="2"/>
  <c r="BZ43" i="2"/>
  <c r="CA37" i="2"/>
  <c r="CA39" i="2" s="1"/>
  <c r="CA40" i="2" s="1"/>
  <c r="CA41" i="2" s="1"/>
  <c r="CA52" i="2" s="1"/>
  <c r="S228" i="3"/>
  <c r="S218" i="3"/>
  <c r="S217" i="3"/>
  <c r="S220" i="3"/>
  <c r="S227" i="3"/>
  <c r="S219" i="3"/>
  <c r="S230" i="3"/>
  <c r="S226" i="3"/>
  <c r="S222" i="3"/>
  <c r="S225" i="3"/>
  <c r="S229" i="3"/>
  <c r="S224" i="3"/>
  <c r="S221" i="3"/>
  <c r="S223" i="3"/>
  <c r="CA50" i="2" l="1"/>
  <c r="CA43" i="2"/>
  <c r="CB41" i="2"/>
  <c r="CC41" i="2" s="1"/>
  <c r="CD41" i="2" s="1"/>
  <c r="CE41" i="2" s="1"/>
  <c r="CF41" i="2" s="1"/>
  <c r="CG41" i="2" s="1"/>
  <c r="CH41" i="2" s="1"/>
  <c r="CI41" i="2" s="1"/>
  <c r="CJ41" i="2" s="1"/>
  <c r="CK41" i="2" s="1"/>
  <c r="CL41" i="2" s="1"/>
  <c r="CM41" i="2" s="1"/>
  <c r="CN41" i="2" s="1"/>
  <c r="CO41" i="2" s="1"/>
  <c r="CP41" i="2" s="1"/>
  <c r="CQ41" i="2" s="1"/>
  <c r="CR41" i="2" s="1"/>
  <c r="CS41" i="2" s="1"/>
  <c r="CT41" i="2" s="1"/>
  <c r="CU41" i="2" s="1"/>
  <c r="CV41" i="2" s="1"/>
  <c r="CW41" i="2" s="1"/>
  <c r="CX41" i="2" s="1"/>
  <c r="CY41" i="2" s="1"/>
  <c r="CZ41" i="2" s="1"/>
  <c r="DA41" i="2" s="1"/>
  <c r="DB41" i="2" s="1"/>
  <c r="DC41" i="2" s="1"/>
  <c r="DD41" i="2" s="1"/>
  <c r="DE41" i="2" s="1"/>
  <c r="DF41" i="2" s="1"/>
  <c r="DG41" i="2" s="1"/>
  <c r="DH41" i="2" s="1"/>
  <c r="DI41" i="2" s="1"/>
  <c r="DJ41" i="2" s="1"/>
  <c r="DK41" i="2" s="1"/>
  <c r="DL41" i="2" s="1"/>
  <c r="DM41" i="2" s="1"/>
  <c r="DN41" i="2" s="1"/>
  <c r="DO41" i="2" s="1"/>
  <c r="DP41" i="2" s="1"/>
  <c r="DQ41" i="2" s="1"/>
  <c r="DR41" i="2" s="1"/>
  <c r="DS41" i="2" s="1"/>
  <c r="DT41" i="2" s="1"/>
  <c r="DU41" i="2" s="1"/>
  <c r="DV41" i="2" s="1"/>
  <c r="DW41" i="2" s="1"/>
  <c r="DX41" i="2" s="1"/>
  <c r="DY41" i="2" s="1"/>
  <c r="DZ41" i="2" s="1"/>
  <c r="EA41" i="2" s="1"/>
  <c r="EB41" i="2" s="1"/>
  <c r="EC41" i="2" s="1"/>
  <c r="ED41" i="2" s="1"/>
  <c r="CF61" i="2" l="1"/>
  <c r="CF63" i="2" s="1"/>
  <c r="CF65" i="2" s="1"/>
  <c r="CG65" i="2" s="1"/>
  <c r="CE66" i="2" l="1" a="1"/>
  <c r="CE6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tc={2C668D59-21C3-4E48-8B15-F761A16ECCE8}</author>
    <author>tc={45877BC2-841E-490B-A181-6E4C92787AE0}</author>
  </authors>
  <commentList>
    <comment ref="BW41" authorId="0" shapeId="0" xr:uid="{2C668D59-21C3-4E48-8B15-F761A16ECCE8}">
      <text>
        <t>[Threaded comment]
Your version of Excel allows you to read this threaded comment; however, any edits to it will get removed if the file is opened in a newer version of Excel. Learn more: https://go.microsoft.com/fwlink/?linkid=870924
Comment:
    -$27.15M</t>
      </text>
    </comment>
    <comment ref="BW43" authorId="1" shapeId="0" xr:uid="{45877BC2-841E-490B-A181-6E4C92787AE0}">
      <text>
        <t>[Threaded comment]
Your version of Excel allows you to read this threaded comment; however, any edits to it will get removed if the file is opened in a newer version of Excel. Learn more: https://go.microsoft.com/fwlink/?linkid=870924
Comment:
    -$0.23</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<sst xmlns="http://schemas.openxmlformats.org/spreadsheetml/2006/main" count="1477" uniqueCount="1367">
  <si>
    <t>Master</t>
  </si>
  <si>
    <t>Capital Structure Snapshot:</t>
  </si>
  <si>
    <t>ANGO</t>
  </si>
  <si>
    <t xml:space="preserve">Price </t>
  </si>
  <si>
    <t>SO</t>
  </si>
  <si>
    <t>MC</t>
  </si>
  <si>
    <t>Resources:</t>
  </si>
  <si>
    <t>Cash</t>
  </si>
  <si>
    <t>SEC filings</t>
  </si>
  <si>
    <t>https://www.sec.gov/edgar/browse/?CIK=1275187&amp;owner=exclude</t>
  </si>
  <si>
    <t>Debt</t>
  </si>
  <si>
    <t>AngioDynamics Homepage</t>
  </si>
  <si>
    <t>https://www.angiodynamics.com/</t>
  </si>
  <si>
    <t>EV</t>
  </si>
  <si>
    <t>AngioDynamics Product Portfolio</t>
  </si>
  <si>
    <t>https://www.angiodynamics.com/products/</t>
  </si>
  <si>
    <t>AngioDynamics IR Page</t>
  </si>
  <si>
    <t>https://investors.angiodynamics.com/</t>
  </si>
  <si>
    <t>AngioDynamics, Inc. (ANGO)</t>
  </si>
  <si>
    <t>Earnings Calls</t>
  </si>
  <si>
    <t>https://seekingalpha.com/symbol/ANGO/earnings/transcripts</t>
  </si>
  <si>
    <t>Equity Analysis</t>
  </si>
  <si>
    <t>https://stockanalysis.com/stocks/ango/company/</t>
  </si>
  <si>
    <t>Founder(s): Eamonn P. Hobbs and Howard S. Stern</t>
  </si>
  <si>
    <t>Registered Exchange: NASDAQ</t>
  </si>
  <si>
    <t>Godel Terminal</t>
  </si>
  <si>
    <t>https://app.godelterminal.com/</t>
  </si>
  <si>
    <t>Founded: 1988</t>
  </si>
  <si>
    <t>Address: 14 Plaza Drive, Latham, New York 12110</t>
  </si>
  <si>
    <t>MarketTrends</t>
  </si>
  <si>
    <t>https://www.macrotrends.net/stocks/charts/ANGO/angiodynamics/income-statement?freq=Q</t>
  </si>
  <si>
    <t>Headquarters: Latham, New York</t>
  </si>
  <si>
    <t>Investor Relations Contact:</t>
  </si>
  <si>
    <t>ROIC/WACC</t>
  </si>
  <si>
    <t>https://www.gurufocus.com/term/wacc/ANGO</t>
  </si>
  <si>
    <t>Current CEO: James Clemmer</t>
  </si>
  <si>
    <t>Stephen Trowbridge -- Investors Relation Contact</t>
  </si>
  <si>
    <t>PubMed/NIH reporting's</t>
  </si>
  <si>
    <t>https://pubmed.ncbi.nlm.nih.gov/</t>
  </si>
  <si>
    <t>Employees: 748</t>
  </si>
  <si>
    <t>Phone: (518) 795-1408</t>
  </si>
  <si>
    <t xml:space="preserve">Email: </t>
  </si>
  <si>
    <t>https://investors.angio</t>
  </si>
  <si>
    <t>Clinical Trail.Gov</t>
  </si>
  <si>
    <t>https://clinicaltrials.gov/</t>
  </si>
  <si>
    <t>Industry: Medical Instruments &amp; Supplies</t>
  </si>
  <si>
    <t>FDAAA Trail Tracker</t>
  </si>
  <si>
    <t>https://fdaaa.trialstracker.net/</t>
  </si>
  <si>
    <t>Sector:  Healthcare</t>
  </si>
  <si>
    <t>FDA Med Device reporting's</t>
  </si>
  <si>
    <t>https://www.fda.gov/medical-devices</t>
  </si>
  <si>
    <t xml:space="preserve">IPO: May 27, 2004 </t>
  </si>
  <si>
    <t>Thrombectomy News</t>
  </si>
  <si>
    <t>https://evtoday.com/</t>
  </si>
  <si>
    <t>Company Overview:</t>
  </si>
  <si>
    <t>AngioDynamics, Inc., a medical technology company, engages in the design, manufacture, and sale of medical, surgical, and diagnostic devices for the use in treating peripheral vascular disease, and oncology and surgical settings in the United States and internationally</t>
  </si>
  <si>
    <t>Initially dedicated to the research and development of products used in interventional radiology, the Company soon became well established as a producer of diagnostic catheters for non-coronary angiography and thrombolytic delivery systems</t>
  </si>
  <si>
    <t>The Company grew over the following years as a result of acquisitions of companies including RITA Medical Systems in January 2007, Oncobionic in May 2008, the assets of Diomed in June 2008, Vortex Medical, Inc. in October 2012, the assets of Microsulis Medical Limited in January 2013, and Clinical Devices in August 2013</t>
  </si>
  <si>
    <t>These acquisitions added product lines including ablation and NanoKnife systems, vascular access products, angiographic products and accessories, dialysis products, drainage products, thrombolytic products, embolization products and venous products</t>
  </si>
  <si>
    <t>The Company offers Auryon Atherectomy system that is designed to deliver an optimized wavelength, pulse width, and amplitude to remove lesions while preserving vessel wall endothelium</t>
  </si>
  <si>
    <t>The Company's thrombus management portfolio includes AlphaVac mechanical thrombectomy system, an emergent mechanical aspiration device that eliminates the need for perfusionist support</t>
  </si>
  <si>
    <t>Thrombolytic catheters that are used to deliver thrombolytic agents, which are drugs to dissolve blood clots in hemodialysis access grafts, arteries, veins, and surgical bypass grafts</t>
  </si>
  <si>
    <t>AngioVac venous drainage cannula and extracorporeal circuit, indicated for extracorporeal circulatory support for periods of up to six hours including off-the-shelf pump, filter, and reinfusion cannula, to facilitate venous drainage as part of an extracorporeal bypass procedure</t>
  </si>
  <si>
    <t>The company also offers NanoKnife IRE Ablation System, an alternative to traditional thermal ablation for the surgical ablation of soft tissue</t>
  </si>
  <si>
    <t>Peripheral products, which includes angiographic catheters, and diagnostic and interventional guidewires, percutaneous drainage catheters, and coaxial micro-introducer kits used during peripheral diagnostic and interventional procedures</t>
  </si>
  <si>
    <t>In addition, it provides drainage catheters for multi-purpose/general, nephrostomy, and biliary drainage</t>
  </si>
  <si>
    <t>Micro-Access kits provides interventional physicians a smaller introducer system for minimally invasive procedures</t>
  </si>
  <si>
    <t>VenaCure EVLT system that are used in endovascular laser procedures to treat superficial venous disease</t>
  </si>
  <si>
    <t>Solero MTA System includes solero microwave generator and the specially designed solero MW applicators</t>
  </si>
  <si>
    <t>The company was founded in 1988 and is headquartered in Latham, New York</t>
  </si>
  <si>
    <t>Manufacturing primarily out of the Queensbury facility</t>
  </si>
  <si>
    <t>Product Segments and Markets:</t>
  </si>
  <si>
    <t>The Company's product offerings fall within two segments, Med Tech and Med Device</t>
  </si>
  <si>
    <t>All products discussed below have been cleared for sale in the United States by the Food and Drug Administration</t>
  </si>
  <si>
    <t>MedTech:</t>
  </si>
  <si>
    <t>Thrombectomy</t>
  </si>
  <si>
    <t>Our Thrombus Management portfolio includes the AlphaVac Mechanical Thrombectomy System, AngioVac venous drainage cannula and circuit, as well as catheter directed thrombolytic devices, including the Uni-Fuse system, the Uni-Fuse+ system, the Pulse Spray system and SpeedLyser infusion catheters</t>
  </si>
  <si>
    <t>AngioDynamics offers a range of options when treating thrombus and removing fresh, soft thrombi or emboli</t>
  </si>
  <si>
    <t>AngioVac:</t>
  </si>
  <si>
    <t>Our AngioVac venous drainage system includes a Venous Drainage Cannula and Extracorporeal Circuit</t>
  </si>
  <si>
    <t>The cannula is indicated for use as a venous drainage cannula and for removal of fresh, soft thrombi or emboli during extracorporeal bypass</t>
  </si>
  <si>
    <t>The AngioVac circuit is indicated for use in procedures requiring extracorporeal circulatory support for periods of up to six hours</t>
  </si>
  <si>
    <t>AngioVac devices are for use with other manufacturers’ off-the-shelf pump, filter and reinfusion cannula, to facilitate venous drainage as part of an extracorporeal bypass procedure</t>
  </si>
  <si>
    <t>The AngioVac venous drainage cannula is a 22 French flat coil-reinforced cannula designed with a proprietary self-expanding nitinol reinforced funnel shaped distal tip</t>
  </si>
  <si>
    <t>The funnel shaped tip enhances venous drainage flow when the distal tip is exposed by retracting the sheath, helps prevent clogging of the cannula with commonly encountered undesirable intravascular material, and facilitates embolic removal of such extraneous material</t>
  </si>
  <si>
    <t>AlphaVac</t>
  </si>
  <si>
    <t>The AlphaVac System is an emergent mechanical aspiration device that eliminates the need for perfusionist support</t>
  </si>
  <si>
    <t>AlphaVac is offered in both a 22 French flat coil-reinforced cannula and an 18 French braided reinforced cannula each designed with a proprietary self-expanding nitinol reinforced funnel shaped distal tip</t>
  </si>
  <si>
    <t>AlphaVac is indicated for the non-surgical removal of thrombi or emboli from vasculature as well as aspiration of contrast media and other fluids from the vasculature</t>
  </si>
  <si>
    <t>The cannula is intended for use in the venous system</t>
  </si>
  <si>
    <t>The handle is indicated as a vacuum source for the AlphaVac MMA system</t>
  </si>
  <si>
    <t>The AlphaVac F18 system is indicated for the treatment of pulmonary embolism and allows for the utilization in the non-surgical removal of thrombi or emboli from the venous vasculature, reducing thrombus burden and improving right ventricular function in patients with PE</t>
  </si>
  <si>
    <t>Thrombolytic Catheters</t>
  </si>
  <si>
    <t>Thrombolytic catheters are used to deliver thrombolytic agents, which are drugs that dissolve blood clots in hemodialysis access grafts, arteries, veins and surgical bypass grafts</t>
  </si>
  <si>
    <t>AngioDynamics’ Uni-Fuse infusion catheter features pressure response outlets, a proprietary slit technology that provides a consistent, even distribution of fluid volume along the entire length of the infusion pattern, designed to provide an advantage over standard side-hole catheters</t>
  </si>
  <si>
    <t>We also offer the Pulse-Spray infusion system for high pressure, pulsed delivery of lytic agents designed to shorten treatment time, and the SpeedLyser infusion system built for dialysis grafts and fistulas</t>
  </si>
  <si>
    <t>NanoKnife</t>
  </si>
  <si>
    <t>The NanoKnife IRE Ablation System is an alternative to traditional thermal ablation that received 510(k) clearance from the Food and Drug Administration for the surgical ablation of soft tissue</t>
  </si>
  <si>
    <t>The system utilizes low energy direct current electrical pulses to permanently open pores in target cell membranes</t>
  </si>
  <si>
    <t>These permanent pores or nano-scale defects in the cell membranes result in cell death</t>
  </si>
  <si>
    <t>The treated tissue is then removed by the body’s natural processes in a matter of weeks, mimicking natural cell death</t>
  </si>
  <si>
    <t>Unlike other ablation technologies, the NanoKnife System does not achieve tissue ablation using thermal energy</t>
  </si>
  <si>
    <t>The NanoKnife System consists of two major components: a Low Energy Direct Current, or LEDC Generator and needle-like electrode probes</t>
  </si>
  <si>
    <t>Up to six (6) electrode probes can be placed into or around the targeted soft tissue</t>
  </si>
  <si>
    <t>Once the probes are in place, the user enters the appropriate parameters for voltage, number of pulses, interval between pulses, and the pulse length into the generator user interface</t>
  </si>
  <si>
    <t>The generator then delivers a series of short electric pulses between each electrode probe</t>
  </si>
  <si>
    <t>The energy delivery is hyperechoic and can be monitored under real-time ultrasound</t>
  </si>
  <si>
    <t>Med Devices:</t>
  </si>
  <si>
    <t>Peripheral Products (Interventional Devices)</t>
  </si>
  <si>
    <t>We offer a comprehensive portfolio of products for use during minimally invasive procedures</t>
  </si>
  <si>
    <t>Product categories include an extensive line of angiographic catheters, guidewires, drainage catheters and micropuncture kits</t>
  </si>
  <si>
    <t>Angiographic Catheters &amp; Guidewires</t>
  </si>
  <si>
    <t>Our extensive line of various angiographic catheter configurations are designed to allow physicians to navigate and reach targeted anatomical locations within a patient’s vasculature that are in need of angiographic diagnosis</t>
  </si>
  <si>
    <t>Typically run over a diagnostic guidewire, our angiographic catheters allow physicians to deliver contrast media to the desired location to determine the diagnosis and subsequent therapeutic modalities, as needed for the patient</t>
  </si>
  <si>
    <t>AngioDynamics offers three different angiographic catheter lines to meet physicians’ procedural needs</t>
  </si>
  <si>
    <t xml:space="preserve"> All of our catheters feature our soft, atraumatic, super-radiopaque tip that is uniquely welded to our co-extruded nylon shaft, which provides excellent visibility under fluoroscopy and re-enforced tip stability</t>
  </si>
  <si>
    <t>~</t>
  </si>
  <si>
    <t>Soft-Vu Angiographic Catheters highlight the soft, atraumatic super-radiopaque and proprietary tip-to-shaft weld in a full offering of different tip shapes, lengths and french sized flush and selective catheters. Flush catheters are used in procedures where a large volume of contrast is required to deliver a concentrated bolus of contrast quickly for visualization or larger anatomical locations, such as the aorta or for run-offs into lower extremities. Selective catheters are typically used to gain access to more specific vasculature within the body to deliver smaller amounts of contrast. Mariner Hydrophilic Catheters also feature a hydrophilic coating on the distal 20cm of the catheter that reduces friction during catheter advancement in the vasculature and allows for smooth navigation, as well as, optimum handling and control by the physician</t>
  </si>
  <si>
    <t>Accu-Vu Sizing Catheters are our line of flush catheters that also feature highly visible radiopaque marker bands, which are heat embedded, along the catheter shaft, providing a smooth transition across the catheter shaft to ensure the marker bands will not separate from the shaft. These radiopaque marker bands come in different patterns along the shaft and allow physicians, under fluoroscopy, to take measurements in different anatomical locations for the placement of stents, IVC filters or other devices. The tight tolerances and consistent placement across the entire sizing pattern, within +/-1mm of accuracy, provide a highly accurate measurement to the physician</t>
  </si>
  <si>
    <t>AngioDynamics offers a line of diagnostic and interventional guidewires which are designed to aid in delivering diagnostic and/or therapeutic devices to the desired location</t>
  </si>
  <si>
    <t>The ADx Peripheral Vascular Guidewire line is AngioDynamics diagnostic line of guidewires that is available in a multitude of fixed core wire configurations, including J-Tip and Bentson, in various lengths and ODs. By utilizing a proprietary pre-coat process for the Polytetrafluoroethylene (PTFE) and upholding tight specifications, our ADx Guidewires offer high quality and performance for physicians</t>
  </si>
  <si>
    <t>The NiT-Vu High Performance Micro Guidewires are our highly kink resistant nitinol shaft interventional wires that feature a highly visible radiopaque tungsten tip and lubricious coating. The NiT-Vu wires are designed to reduce friction during wire advancement and also provides torque control, flexibility and kink resistance</t>
  </si>
  <si>
    <t>Drainage Products</t>
  </si>
  <si>
    <t>To aid physicians in percutaneous drainage procedures, AngioDynamics offers two different Drainage Catheter lines: Total Abscession Drainage Catheters and Exodus Drainage Catheters</t>
  </si>
  <si>
    <t>Each line is available in a Multipurpose/General and Biliary configuration, while Total Abscession also offers a Nephrostomy option. Both lines offer options with a radiopaque marker band at the distal tip to aid in placement</t>
  </si>
  <si>
    <t>The Total Abscession Drainage Catheter line offers a soft, kink resistant shaft that features the lubricious Blue Silk Finish for easier insertion and pushability, while providing the optimal patient comfort. The unique Vault Locking Mechanism securely fixes the pigtail and prevents tampering or accidental removal</t>
  </si>
  <si>
    <t>The Exodus Drainage line features an integrated polymer blend extruded shaft with external catheter markings, and GLYCE Hydrophilic Coating on the distal 20cm of the catheter shaft. The unique Sure-Twist hub provides audible and tactile feedback when locked, without the need for a separate tool</t>
  </si>
  <si>
    <t>Micropuncture Kits</t>
  </si>
  <si>
    <t>AngioDynamics offers physicians two micropuncture kit lines that are designed to start each procedure with ease and efficiency: Mini Stick MAX Coaxial Microintroducer Kits and Micro-Introducer Kits</t>
  </si>
  <si>
    <t>Each kit features a coaxial design with a 4F or 5F sheath introducer and stiff or standard dilator, along with a 21G needle and various 0.018” access wire configurations</t>
  </si>
  <si>
    <t>Mini Stick MAX Coaxial Introducer kits contain a unique containment clip that keeps all the unique components of the kit together and organize. The kit options include our AngioDynamics proprietary coaxial introducer with smooth transition at the tip, translucent 21G needle with bevel indicator and 0.018” access wire available in three different wire material configurations</t>
  </si>
  <si>
    <t>The Micro-Introducer Kits offer a variety of configurations that include aid in simplifying set up and gaining vascular access</t>
  </si>
  <si>
    <t>Ports</t>
  </si>
  <si>
    <t>Ports are implantable devices utilized for the central venous administration of a variety of medical therapies and for blood sampling and diagnostic purposes</t>
  </si>
  <si>
    <t>Central venous access facilitates a more systemic delivery of treatment agents, while mitigating certain harsh side effects of certain treatment protocols and eliminating the need for repeated access to peripheral veins</t>
  </si>
  <si>
    <t>Depending upon needle gauge size and the port size, a port can be utilized for up to approximately 2,000 accesses once implanted in the body</t>
  </si>
  <si>
    <t>Our ports are used primarily in systemic or regional short- and long-term cancer treatment protocols that require frequent infusions of highly concentrated or toxic medications (such as chemotherapy agents, antibiotics or analgesics) and frequent blood samplings</t>
  </si>
  <si>
    <t>Our port products and accessories include:</t>
  </si>
  <si>
    <t>SmartPort, SmartPort+, SmartPort Plastic: The SmartPort power-injectable port with Vortex technology offers the ability for a clinician to access a vein for both the delivery of medications or fluids and for administering power-injected contrast to perform a CT scan. The ability to access a port for power-injected contrast studies eliminates the need for additional needle sticks in the patient’s arm and wrist veins. Once implanted, repeated access to the bloodstream can be accomplished with greater ease and less discomfort. Our SmartPort port line is available in standard, mini and low-profile to accommodate more patient anatomies. The SmartPort+ port line combines Vortex technology with BioFlo catheters. In addition to the three titanium port body sizes, there is a plastic port body</t>
  </si>
  <si>
    <t>BioFlo Port: Our BioFlo Port was the first port available featuring a catheter with Endexo Technology. Advanced features of the BioFlo Port include multiple profile and catheter options, a large septum area for ease of access, PASV and non-PASV valve technology and the ability to administer contrast through a CT injection for purposes of imaging</t>
  </si>
  <si>
    <t>Xcela Plus: The Xcela Plus Port product family is Power-Injectable and part of a complete portfolio of vascular access products, and is fully compatible with the LifeGuard Safety Infusion product family  It has easily identifiable critical information radiopaque “CT” lettering which helps to confirm if port is power-injectable or flipped. The Xcela Plus port family is available in single lumen standard size in either a non-valved or valved configuration</t>
  </si>
  <si>
    <t>BioFlo: AngioDynamics offers the BioFlo catheter, the only catheter on the market with Endexo Technology, a material more resistant to thrombus accumulation, in vitro (based on platelet count). Endexo Technology is a permanent and non-eluting polymer that is “blended” into the polyurethane from which the catheter is made. It is present throughout the catheter, including the extraluminal, intraluminal and cut catheter surface of the tip. Endexo Technology remains present for the life of the catheter. The BioFlo catheter’s long-term durability and efficacy is intended to provide clinicians a high degree of safety and confidence in providing better patient care and improved patient outcomes</t>
  </si>
  <si>
    <t>Vortex: Our Vortex port technology line of ports features a clear-flow port technology that, we believe, revolutionized port design. With its rounded chamber, the Vortex port is designed to have no sludge-harboring corners or dead spaces. This product line consists of titanium, plastic and dual-lumen offerings</t>
  </si>
  <si>
    <t>PASV Valve Technology: The PASV Valve Technology is designed to automatically resist backflow and reduce blood reflux that could lead to catheter-related complications</t>
  </si>
  <si>
    <t>VenaCure EVLT laser system</t>
  </si>
  <si>
    <t>Our VenaCure EVLT system products are used in endovascular laser procedures to treat superficial venous disease (varicose veins). Superficial venous disease is a malfunction of one or more valves in the leg veins whereby blood refluxes or does not return to the heart, thereby pooling in the legs and leading to symptoms such as pain, swelling and ulcerations. The VenaCure EVLT system uses laser energy to stop the reflux by ablating (collapsing and destroying) the affected vein. Blood is then re-routed to other healthy veins</t>
  </si>
  <si>
    <t>The procedure is minimally invasive and generally takes less than an hour, typically allowing the patient to quickly return to normal activities</t>
  </si>
  <si>
    <t>The VenaCure EVLT system is sold as a system that includes diode laser hardware and procedure kits which include disposable laser fiber components, an access sheath, access wires and needles. Our VenaCure EVLT 1470 nanometer wavelength laser allows physicians to more efficiently heat the vein wall using lower power settings thereby reducing the risk of collateral damage. The NeverTouch tip fiber eliminates laser tip contact with the vein wall, which in turn minimizes perforations of the vein wall that typically result in less pain and bruising as compared to traditional bare-tip fibers. The NeverTouch tip also maximizes ultrasonic visibility, making it easier for physicians to use. Procedure kits are available in a variety of lengths and configurations to accommodate varied patient anatomies</t>
  </si>
  <si>
    <t>The VenaCure EVLT system comes with a comprehensive physician training program and extensive marketing support</t>
  </si>
  <si>
    <t>Solero Microwave Tissue Ablation (MTA) System</t>
  </si>
  <si>
    <t>The Solero MTA System features the Solero Microwave (MW) Generator and the specially designed Solero MW Applicators.  The solid state Solero MW Generator with a 2.45 GHz operating frequency can power up to 140W for optimized power delivery and fast ablations. The Solero MW Applicator’s optimized ceramic tip diffuses MW energy nearly spherically, and its patented cooling channel with thermocouple provides real-time monitoring to help protect non-targeted tissue during the ablation. In addition, the Solero MTA System offers physicians scalability with a single applicator designed for multiple, predictable ablation volumes by varying time and wattage. Solero is a single applicator system able to complete up to a 5 cm ablation in six (6) minutes at maximum power</t>
  </si>
  <si>
    <t>The Solero MTA System and Accessories are indicated for the ablation of soft tissue during open procedures. The Solero MTA System is not intended for cardiac use</t>
  </si>
  <si>
    <t>IsoLoc Endorectal Balloon</t>
  </si>
  <si>
    <t>The IsoLoc Endorectal Balloon's unique, customer-driven design is the result of collaborations with Radiation Oncologists, Therapists and Physicists with one goal in mind, to create a new standard for endorectal balloons (ERB) in the oncology space</t>
  </si>
  <si>
    <t>The design of the IsoLoc device not only addresses patient comfort, but also simplifies three challenging clinical scenarios that many physicians face when using radiation therapy for and/or in relation to the prostate. First, its' gas-release tip removes rectal gas and reduces prostate motion for gaseous patients. Secondly, the structure of the ERB aids in defining the anatomy for difficult planning scenarios with post-radical patients. Lastly, the IsoLoc device repositions and lifts the bowel in patients that have a low-lying bowel</t>
  </si>
  <si>
    <t>Alatus Vaginal Balloon Packing System</t>
  </si>
  <si>
    <t>The Alatus device was developed with the patient's comfort in mind and to assist the physician to move healthy tissue away from the radiation treatment field. Prior to the Alatus device, the clinician would push gauze into the vagina to move the bladder and bowel away from the radiation treatment field. Inserting gauze into the vagina can be uncomfortable before treatment and unpleasant at the end of treatment as it tends to dry out before removing</t>
  </si>
  <si>
    <t>[Fiscal June - May]</t>
  </si>
  <si>
    <t>Q1 2020</t>
  </si>
  <si>
    <t>Q1 2021</t>
  </si>
  <si>
    <t>Q1 2022</t>
  </si>
  <si>
    <t>Q1 2023</t>
  </si>
  <si>
    <t>Q1 2024</t>
  </si>
  <si>
    <t>Q1 2025</t>
  </si>
  <si>
    <t>Q1 2026</t>
  </si>
  <si>
    <t>Q3 2027</t>
  </si>
  <si>
    <t>Quarterly</t>
  </si>
  <si>
    <t>June</t>
  </si>
  <si>
    <t>Aug.</t>
  </si>
  <si>
    <t>Nov.</t>
  </si>
  <si>
    <t>Feb.</t>
  </si>
  <si>
    <t>Revenues</t>
  </si>
  <si>
    <t>Q1 2014</t>
  </si>
  <si>
    <t>Q2 2014</t>
  </si>
  <si>
    <t>Q3 2014</t>
  </si>
  <si>
    <t>Q4 2015</t>
  </si>
  <si>
    <t>Q1 2015</t>
  </si>
  <si>
    <t>Q2 2015</t>
  </si>
  <si>
    <t>Q3 2015</t>
  </si>
  <si>
    <t>Q4 2016</t>
  </si>
  <si>
    <t>Q1 2016</t>
  </si>
  <si>
    <t>Q2 2016</t>
  </si>
  <si>
    <t>Q3 2016</t>
  </si>
  <si>
    <t>Q4 2017</t>
  </si>
  <si>
    <t>Q1 2017</t>
  </si>
  <si>
    <t>Q2 2017</t>
  </si>
  <si>
    <t>Q3 2017</t>
  </si>
  <si>
    <t>Q4 2018</t>
  </si>
  <si>
    <t>Q1 2018</t>
  </si>
  <si>
    <t>Q2 2018</t>
  </si>
  <si>
    <t>Q3 2019</t>
  </si>
  <si>
    <t>Q4 2019</t>
  </si>
  <si>
    <t>Q1 2019</t>
  </si>
  <si>
    <t>Q2 2019</t>
  </si>
  <si>
    <t>Q3 2020</t>
  </si>
  <si>
    <t>Q4 2020</t>
  </si>
  <si>
    <t>Q2 2020</t>
  </si>
  <si>
    <t>Q3 2021</t>
  </si>
  <si>
    <t>Q4 2021</t>
  </si>
  <si>
    <t>Q2 2021</t>
  </si>
  <si>
    <t>Q3 2022</t>
  </si>
  <si>
    <t>Q4 2022</t>
  </si>
  <si>
    <t>Q2 2022</t>
  </si>
  <si>
    <t>Q3 2023</t>
  </si>
  <si>
    <t>Q4 2023</t>
  </si>
  <si>
    <t>Q2 2023</t>
  </si>
  <si>
    <t>Q3 2024</t>
  </si>
  <si>
    <t>Q4 2024</t>
  </si>
  <si>
    <t>Q2 2024</t>
  </si>
  <si>
    <t>Q3 2025</t>
  </si>
  <si>
    <t>Q4 2025</t>
  </si>
  <si>
    <t>Q2 2025</t>
  </si>
  <si>
    <t>Q2 2026</t>
  </si>
  <si>
    <t>Q3 2026</t>
  </si>
  <si>
    <t>Q4 2026</t>
  </si>
  <si>
    <t>MedTech</t>
  </si>
  <si>
    <t>Med Devices</t>
  </si>
  <si>
    <t>Ttl Revenues</t>
  </si>
  <si>
    <t>MedTech Growth Y/y</t>
  </si>
  <si>
    <t>Ttl Revenue Growth Y/y</t>
  </si>
  <si>
    <t>MedTech % of Ttl Revenues</t>
  </si>
  <si>
    <t>Med Devices % of Ttl Revenues</t>
  </si>
  <si>
    <t>U.S. Revenues</t>
  </si>
  <si>
    <t>Intl. Revenues</t>
  </si>
  <si>
    <t>U.S. Revenue Growth Y/y</t>
  </si>
  <si>
    <t>Intl. Revenue Growth Y/y</t>
  </si>
  <si>
    <t>U.S. % of Revenues</t>
  </si>
  <si>
    <t>Intl. Revenues % of Revenues</t>
  </si>
  <si>
    <t>COGS</t>
  </si>
  <si>
    <t>GP</t>
  </si>
  <si>
    <t>R&amp;D</t>
  </si>
  <si>
    <t>Sales &amp; Marketing</t>
  </si>
  <si>
    <t>General &amp; Admin</t>
  </si>
  <si>
    <t>Amortization of Intangibles</t>
  </si>
  <si>
    <t>Goodwill Impairment</t>
  </si>
  <si>
    <t>Change in FV of CC</t>
  </si>
  <si>
    <t>Acquisition Costs</t>
  </si>
  <si>
    <t>Operating Income</t>
  </si>
  <si>
    <t>Interest Income</t>
  </si>
  <si>
    <t>Other Income</t>
  </si>
  <si>
    <t>Pretax Income</t>
  </si>
  <si>
    <t>Taxes</t>
  </si>
  <si>
    <t>Net Income</t>
  </si>
  <si>
    <t>SC</t>
  </si>
  <si>
    <t>EPS</t>
  </si>
  <si>
    <t>Gross Profit Margin</t>
  </si>
  <si>
    <t>R&amp;D as % of Revenue</t>
  </si>
  <si>
    <t>SG&amp;A as % of Revenue</t>
  </si>
  <si>
    <t>Operating Profit Margin</t>
  </si>
  <si>
    <t>Effective Tax Rate</t>
  </si>
  <si>
    <t>Net Profit Margin</t>
  </si>
  <si>
    <t xml:space="preserve">Cash &amp; CEs </t>
  </si>
  <si>
    <t>A/R</t>
  </si>
  <si>
    <t>Inventories</t>
  </si>
  <si>
    <t>ROIC</t>
  </si>
  <si>
    <t>Need to commit to full DCF model to value this one</t>
  </si>
  <si>
    <t>Earn-out Recievable</t>
  </si>
  <si>
    <t>Terminal</t>
  </si>
  <si>
    <t>Prepaid Expenses</t>
  </si>
  <si>
    <t>RFR (10-year yield)</t>
  </si>
  <si>
    <t>PP&amp;E</t>
  </si>
  <si>
    <t>ERP 
(Avg. market return - (less) RFR)</t>
  </si>
  <si>
    <t>Intangibles</t>
  </si>
  <si>
    <t>Equity β (1-year avg.)</t>
  </si>
  <si>
    <t>Goodwill</t>
  </si>
  <si>
    <t>Discount (Cost of Equity)</t>
  </si>
  <si>
    <t>Other Assets</t>
  </si>
  <si>
    <t>Non-current Assets Held For Sale</t>
  </si>
  <si>
    <t>NPV</t>
  </si>
  <si>
    <t>Ttl Assets</t>
  </si>
  <si>
    <t>FV</t>
  </si>
  <si>
    <t>A/P</t>
  </si>
  <si>
    <t>CP</t>
  </si>
  <si>
    <t>Accrued ST Liabilities</t>
  </si>
  <si>
    <t>Change Δ</t>
  </si>
  <si>
    <t>Current Portion of CC</t>
  </si>
  <si>
    <t>Other ST Liabilities</t>
  </si>
  <si>
    <t>LT Debt</t>
  </si>
  <si>
    <t>Deffered Income Taxes</t>
  </si>
  <si>
    <t>CC, net of Current Portion</t>
  </si>
  <si>
    <t>Other LT Liabilities</t>
  </si>
  <si>
    <t>Ttl Liabilities</t>
  </si>
  <si>
    <t>SE</t>
  </si>
  <si>
    <t>Ttl L + SE</t>
  </si>
  <si>
    <t>Current Ratio</t>
  </si>
  <si>
    <t>Quick Ratio</t>
  </si>
  <si>
    <t>Cash Ratio</t>
  </si>
  <si>
    <t>Ttl Asset Turnover</t>
  </si>
  <si>
    <t>Inventory Turnover Ratio</t>
  </si>
  <si>
    <t>Return on Assets</t>
  </si>
  <si>
    <t>Return on Equity</t>
  </si>
  <si>
    <t>CFFO</t>
  </si>
  <si>
    <t>CapEx, net</t>
  </si>
  <si>
    <t>FCF</t>
  </si>
  <si>
    <t>FCF per Share</t>
  </si>
  <si>
    <t>Employee Scope:</t>
  </si>
  <si>
    <t>Revenues:</t>
  </si>
  <si>
    <t>Notes:</t>
  </si>
  <si>
    <t>[X]</t>
  </si>
  <si>
    <t>[Y]</t>
  </si>
  <si>
    <t>[Z]</t>
  </si>
  <si>
    <t>Institutional Ownership Snapshot (4/14/2025)</t>
  </si>
  <si>
    <t>Earnings Scope:</t>
  </si>
  <si>
    <t>P/p Total Revenues, Net Income, FCF</t>
  </si>
  <si>
    <t>Balance Sheet Scope:</t>
  </si>
  <si>
    <t>Y/y Total Revenues, Net Income, FCF</t>
  </si>
  <si>
    <t>[Equity Preformance Compared to Peers]</t>
  </si>
  <si>
    <r>
      <rPr>
        <i/>
        <sz val="11"/>
        <color theme="1"/>
        <rFont val="Calibre"/>
      </rPr>
      <t>n</t>
    </r>
    <r>
      <rPr>
        <sz val="11"/>
        <color theme="1"/>
        <rFont val="Calibre"/>
      </rPr>
      <t xml:space="preserve"> # of Trading Days? (From: </t>
    </r>
    <r>
      <rPr>
        <i/>
        <sz val="11"/>
        <color theme="1"/>
        <rFont val="Calibre"/>
      </rPr>
      <t>date the data snapshot was collected</t>
    </r>
    <r>
      <rPr>
        <sz val="11"/>
        <color theme="1"/>
        <rFont val="Calibre"/>
      </rPr>
      <t>)</t>
    </r>
  </si>
  <si>
    <t>Close</t>
  </si>
  <si>
    <t>High</t>
  </si>
  <si>
    <t>Low</t>
  </si>
  <si>
    <t>Open</t>
  </si>
  <si>
    <t>Volume</t>
  </si>
  <si>
    <t>UTC Date</t>
  </si>
  <si>
    <t>Change</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</si>
  <si>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</si>
  <si>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</si>
  <si>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</si>
  <si>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</si>
  <si>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</si>
  <si>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</si>
  <si>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</si>
  <si>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</si>
  <si>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</si>
  <si>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</si>
  <si>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</si>
  <si>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</si>
  <si>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</si>
  <si>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</si>
  <si>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</si>
  <si>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</si>
  <si>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Min</t>
  </si>
  <si>
    <t>Fri, 16 May 2025 00:00:00 GMT</t>
  </si>
  <si>
    <t>Max</t>
  </si>
  <si>
    <t>Thu, 15 May 2025 00:00:00 GMT</t>
  </si>
  <si>
    <t>Mean μ</t>
  </si>
  <si>
    <t>Wed, 14 May 2025 00:00:00 GMT</t>
  </si>
  <si>
    <t>Median</t>
  </si>
  <si>
    <t>Tue, 13 May 2025 00:00:00 GMT</t>
  </si>
  <si>
    <t>SD σ</t>
  </si>
  <si>
    <t>Mon, 12 May 2025 00:00:00 GMT</t>
  </si>
  <si>
    <t xml:space="preserve">  3σ 1-Day Δ: ±</t>
  </si>
  <si>
    <t>&lt;- Sharpe Ratio (Risk Adjusted Return)</t>
  </si>
  <si>
    <t>Fri, 09 May 2025 00:00:00 GMT</t>
  </si>
  <si>
    <t>β (1-year avg.)</t>
  </si>
  <si>
    <t>&lt;- Sortino Ratio (Downside Risk Adjusted Return)</t>
  </si>
  <si>
    <t>Thu, 08 May 2025 00:00:00 GMT</t>
  </si>
  <si>
    <t>Wed, 07 May 2025 00:00:00 GMT</t>
  </si>
  <si>
    <t>Tue, 06 May 2025 00:00:00 GMT</t>
  </si>
  <si>
    <r>
      <rPr>
        <i/>
        <sz val="11"/>
        <color theme="1"/>
        <rFont val="Calibre"/>
      </rPr>
      <t>n</t>
    </r>
    <r>
      <rPr>
        <sz val="11"/>
        <color theme="1"/>
        <rFont val="Calibre"/>
      </rPr>
      <t xml:space="preserve"> =</t>
    </r>
  </si>
  <si>
    <t>Mon, 05 May 2025 00:00:00 GMT</t>
  </si>
  <si>
    <t>Histogram Data</t>
  </si>
  <si>
    <t>Distribution Overlay</t>
  </si>
  <si>
    <t>SD Lines</t>
  </si>
  <si>
    <t>Fri, 02 May 2025 00:00:00 GMT</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</si>
  <si>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</si>
  <si>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</si>
  <si>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</si>
  <si>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</si>
  <si>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</si>
  <si>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</si>
  <si>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Thu, 01 May 2025 00:00:00 GMT</t>
  </si>
  <si>
    <t>Mean</t>
  </si>
  <si>
    <t>Wed, 30 Apr 2025 00:00:00 GMT</t>
  </si>
  <si>
    <t>Tue, 29 Apr 2025 00:00:00 GMT</t>
  </si>
  <si>
    <t>-3σ</t>
  </si>
  <si>
    <t>Mon, 28 Apr 2025 00:00:00 GMT</t>
  </si>
  <si>
    <t>Fri, 25 Apr 2025 00:00:00 GMT</t>
  </si>
  <si>
    <t>-2σ</t>
  </si>
  <si>
    <t>Thu, 24 Apr 2025 00:00:00 GMT</t>
  </si>
  <si>
    <t>Wed, 23 Apr 2025 00:00:00 GMT</t>
  </si>
  <si>
    <t>-1σ</t>
  </si>
  <si>
    <t>Tue, 22 Apr 2025 00:00:00 GMT</t>
  </si>
  <si>
    <t>Mon, 21 Apr 2025 00:00:00 GMT</t>
  </si>
  <si>
    <t>1σ</t>
  </si>
  <si>
    <t>Thu, 17 Apr 2025 00:00:00 GMT</t>
  </si>
  <si>
    <t>Wed, 16 Apr 2025 00:00:00 GMT</t>
  </si>
  <si>
    <t>2σ</t>
  </si>
  <si>
    <t>Tue, 15 Apr 2025 00:00:00 GMT</t>
  </si>
  <si>
    <t>Mon, 14 Apr 2025 00:00:00 GMT</t>
  </si>
  <si>
    <t>3σ</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</si>
  <si>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</si>
  <si>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</si>
  <si>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</si>
  <si>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</si>
  <si>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</si>
  <si>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</si>
  <si>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</si>
  <si>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</si>
  <si>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</si>
  <si>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</si>
  <si>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</si>
  <si>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</si>
  <si>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</si>
  <si>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</si>
  <si>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</si>
  <si>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</si>
  <si>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</si>
  <si>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</si>
  <si>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</si>
  <si>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</si>
  <si>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</si>
  <si>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</si>
  <si>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</si>
  <si>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</si>
  <si>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</si>
  <si>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</si>
  <si>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</si>
  <si>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</si>
  <si>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</si>
  <si>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</si>
  <si>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</si>
  <si>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</si>
  <si>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</si>
  <si>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</si>
  <si>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</si>
  <si>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</si>
  <si>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</si>
  <si>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</si>
  <si>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</si>
  <si>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</si>
  <si>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</si>
  <si>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</si>
  <si>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</si>
  <si>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</si>
  <si>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</si>
  <si>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</si>
  <si>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</si>
  <si>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</si>
  <si>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</si>
  <si>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</si>
  <si>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</si>
  <si>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</si>
  <si>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</si>
  <si>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</si>
  <si>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</si>
  <si>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</si>
  <si>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</si>
  <si>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</si>
  <si>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</si>
  <si>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</si>
  <si>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</si>
  <si>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</si>
  <si>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</si>
  <si>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</si>
  <si>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</si>
  <si>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</si>
  <si>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</si>
  <si>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</si>
  <si>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</si>
  <si>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</si>
  <si>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</si>
  <si>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</si>
  <si>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</si>
  <si>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</si>
  <si>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</si>
  <si>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</si>
  <si>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</si>
  <si>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</si>
  <si>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</si>
  <si>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</si>
  <si>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</si>
  <si>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</si>
  <si>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</si>
  <si>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</si>
  <si>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</si>
  <si>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</si>
  <si>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</si>
  <si>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</si>
  <si>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</si>
  <si>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</si>
  <si>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</si>
  <si>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</si>
  <si>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</si>
  <si>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</si>
  <si>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</si>
  <si>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</si>
  <si>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</si>
  <si>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</si>
  <si>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</si>
  <si>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</si>
  <si>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</si>
  <si>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</si>
  <si>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</si>
  <si>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</si>
  <si>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</si>
  <si>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</si>
  <si>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</si>
  <si>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</si>
  <si>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</si>
  <si>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</si>
  <si>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</si>
  <si>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</si>
  <si>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</si>
  <si>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</si>
  <si>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</si>
  <si>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</si>
  <si>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</si>
  <si>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</si>
  <si>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</si>
  <si>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</si>
  <si>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</si>
  <si>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</si>
  <si>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</si>
  <si>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</si>
  <si>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</si>
  <si>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</si>
  <si>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</si>
  <si>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</si>
  <si>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</si>
  <si>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</si>
  <si>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</si>
  <si>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</si>
  <si>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</si>
  <si>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</si>
  <si>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</si>
  <si>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</si>
  <si>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</si>
  <si>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</si>
  <si>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</si>
  <si>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</si>
  <si>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</si>
  <si>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</si>
  <si>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</si>
  <si>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</si>
  <si>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</si>
  <si>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</si>
  <si>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</si>
  <si>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</si>
  <si>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</si>
  <si>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</si>
  <si>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</si>
  <si>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</si>
  <si>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</si>
  <si>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</si>
  <si>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</si>
  <si>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</si>
  <si>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</si>
  <si>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</si>
  <si>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</si>
  <si>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</si>
  <si>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</si>
  <si>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</si>
  <si>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</si>
  <si>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</si>
  <si>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</si>
  <si>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</si>
  <si>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</si>
  <si>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</si>
  <si>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</si>
  <si>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</si>
  <si>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</si>
  <si>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</si>
  <si>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</si>
  <si>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</si>
  <si>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</si>
  <si>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</si>
  <si>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</si>
  <si>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</si>
  <si>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</si>
  <si>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</si>
  <si>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</si>
  <si>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</si>
  <si>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</si>
  <si>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</si>
  <si>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</si>
  <si>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</si>
  <si>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</si>
  <si>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</si>
  <si>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</si>
  <si>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</si>
  <si>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</si>
  <si>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</si>
  <si>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</si>
  <si>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</si>
  <si>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</si>
  <si>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</si>
  <si>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</si>
  <si>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</si>
  <si>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</si>
  <si>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</si>
  <si>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</si>
  <si>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</si>
  <si>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</si>
  <si>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</si>
  <si>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</si>
  <si>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</si>
  <si>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</si>
  <si>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</si>
  <si>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</si>
  <si>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</si>
  <si>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</si>
  <si>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</si>
  <si>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</si>
  <si>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</si>
  <si>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</si>
  <si>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</si>
  <si>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</si>
  <si>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</si>
  <si>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</si>
  <si>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</si>
  <si>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</si>
  <si>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</si>
  <si>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</si>
  <si>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</si>
  <si>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</si>
  <si>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</si>
  <si>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</si>
  <si>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</si>
  <si>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</si>
  <si>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</si>
  <si>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</si>
  <si>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</si>
  <si>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</si>
  <si>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</si>
  <si>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</si>
  <si>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</si>
  <si>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</si>
  <si>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</si>
  <si>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</si>
  <si>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</si>
  <si>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</si>
  <si>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</si>
  <si>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</si>
  <si>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</si>
  <si>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</si>
  <si>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</si>
  <si>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</si>
  <si>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</si>
  <si>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</si>
  <si>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</si>
  <si>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</si>
  <si>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</si>
  <si>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</si>
  <si>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</si>
  <si>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</si>
  <si>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</si>
  <si>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</si>
  <si>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</si>
  <si>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</si>
  <si>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</si>
  <si>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</si>
  <si>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</si>
  <si>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</si>
  <si>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</si>
  <si>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</si>
  <si>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</si>
  <si>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</si>
  <si>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</si>
  <si>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</si>
  <si>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</si>
  <si>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</si>
  <si>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</si>
  <si>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</si>
  <si>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</si>
  <si>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</si>
  <si>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</si>
  <si>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</si>
  <si>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</si>
  <si>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</si>
  <si>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</si>
  <si>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</si>
  <si>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</si>
  <si>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</si>
  <si>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</si>
  <si>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</si>
  <si>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</si>
  <si>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</si>
  <si>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</si>
  <si>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</si>
  <si>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</si>
  <si>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</si>
  <si>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</si>
  <si>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</si>
  <si>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</si>
  <si>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</si>
  <si>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</si>
  <si>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</si>
  <si>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</si>
  <si>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</si>
  <si>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</si>
  <si>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</si>
  <si>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</si>
  <si>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</si>
  <si>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</si>
  <si>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</si>
  <si>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</si>
  <si>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</si>
  <si>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</si>
  <si>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</si>
  <si>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</si>
  <si>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</si>
  <si>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</si>
  <si>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</si>
  <si>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</si>
  <si>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</si>
  <si>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</si>
  <si>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</si>
  <si>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</si>
  <si>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</si>
  <si>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</si>
  <si>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</si>
  <si>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</si>
  <si>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</si>
  <si>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</si>
  <si>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</si>
  <si>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</si>
  <si>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</si>
  <si>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</si>
  <si>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</si>
  <si>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</si>
  <si>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</si>
  <si>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</si>
  <si>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</si>
  <si>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</si>
  <si>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</si>
  <si>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</si>
  <si>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</si>
  <si>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</si>
  <si>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</si>
  <si>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</si>
  <si>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</si>
  <si>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</si>
  <si>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</si>
  <si>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</si>
  <si>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</si>
  <si>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</si>
  <si>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</si>
  <si>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</si>
  <si>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</si>
  <si>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</si>
  <si>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</si>
  <si>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</si>
  <si>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</si>
  <si>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</si>
  <si>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</si>
  <si>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</si>
  <si>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</si>
  <si>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</si>
  <si>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</si>
  <si>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</si>
  <si>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</si>
  <si>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</si>
  <si>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</si>
  <si>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</si>
  <si>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</si>
  <si>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</si>
  <si>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</si>
  <si>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</si>
  <si>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</si>
  <si>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</si>
  <si>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</si>
  <si>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</si>
  <si>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</si>
  <si>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</si>
  <si>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</si>
  <si>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</si>
  <si>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</si>
  <si>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</si>
  <si>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</si>
  <si>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</si>
  <si>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</si>
  <si>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</si>
  <si>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</si>
  <si>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</si>
  <si>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</si>
  <si>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</si>
  <si>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</si>
  <si>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</si>
  <si>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</si>
  <si>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</si>
  <si>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</si>
  <si>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</si>
  <si>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</si>
  <si>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</si>
  <si>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</si>
  <si>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</si>
  <si>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</si>
  <si>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</si>
  <si>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</si>
  <si>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</si>
  <si>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</si>
  <si>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</si>
  <si>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</si>
  <si>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</si>
  <si>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</si>
  <si>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</si>
  <si>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</si>
  <si>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</si>
  <si>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</si>
  <si>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</si>
  <si>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</si>
  <si>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</si>
  <si>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</si>
  <si>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</si>
  <si>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</si>
  <si>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</si>
  <si>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</si>
  <si>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</si>
  <si>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</si>
  <si>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</si>
  <si>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</si>
  <si>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</si>
  <si>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</si>
  <si>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</si>
  <si>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</si>
  <si>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</si>
  <si>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</si>
  <si>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</si>
  <si>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</si>
  <si>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</si>
  <si>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</si>
  <si>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</si>
  <si>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</si>
  <si>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</si>
  <si>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</si>
  <si>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</si>
  <si>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</si>
  <si>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</si>
  <si>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</si>
  <si>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</si>
  <si>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</si>
  <si>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</si>
  <si>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</si>
  <si>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</si>
  <si>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</si>
  <si>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</si>
  <si>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</si>
  <si>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</si>
  <si>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</si>
  <si>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</si>
  <si>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</si>
  <si>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</si>
  <si>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</si>
  <si>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</si>
  <si>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</si>
  <si>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</si>
  <si>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</si>
  <si>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</si>
  <si>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</si>
  <si>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</si>
  <si>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</si>
  <si>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</si>
  <si>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</si>
  <si>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</si>
  <si>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</si>
  <si>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</si>
  <si>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</si>
  <si>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</si>
  <si>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</si>
  <si>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</si>
  <si>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</si>
  <si>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</si>
  <si>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</si>
  <si>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</si>
  <si>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</si>
  <si>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</si>
  <si>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</si>
  <si>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</si>
  <si>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</si>
  <si>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</si>
  <si>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</si>
  <si>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</si>
  <si>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</si>
  <si>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</si>
  <si>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</si>
  <si>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</si>
  <si>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</si>
  <si>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</si>
  <si>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</si>
  <si>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</si>
  <si>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</si>
  <si>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</si>
  <si>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</si>
  <si>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</si>
  <si>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</si>
  <si>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</si>
  <si>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</si>
  <si>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</si>
  <si>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</si>
  <si>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</si>
  <si>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</si>
  <si>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</si>
  <si>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</si>
  <si>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</si>
  <si>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</si>
  <si>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</si>
  <si>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</si>
  <si>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</si>
  <si>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</si>
  <si>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</si>
  <si>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</si>
  <si>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</si>
  <si>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</si>
  <si>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</si>
  <si>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</si>
  <si>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</si>
  <si>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</si>
  <si>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</si>
  <si>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</si>
  <si>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</si>
  <si>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</si>
  <si>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</si>
  <si>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</si>
  <si>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</si>
  <si>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</si>
  <si>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</si>
  <si>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</si>
  <si>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</si>
  <si>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</si>
  <si>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</si>
  <si>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</si>
  <si>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</si>
  <si>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</si>
  <si>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</si>
  <si>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</si>
  <si>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</si>
  <si>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</si>
  <si>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</si>
  <si>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</si>
  <si>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</si>
  <si>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</si>
  <si>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</si>
  <si>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</si>
  <si>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</si>
  <si>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</si>
  <si>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</si>
  <si>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</si>
  <si>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</si>
  <si>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</si>
  <si>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</si>
  <si>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</si>
  <si>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</si>
  <si>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</si>
  <si>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</si>
  <si>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</si>
  <si>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</si>
  <si>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</si>
  <si>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</si>
  <si>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</si>
  <si>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</si>
  <si>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</si>
  <si>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</si>
  <si>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</si>
  <si>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</si>
  <si>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</si>
  <si>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</si>
  <si>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</si>
  <si>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</si>
  <si>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</si>
  <si>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</si>
  <si>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</si>
  <si>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</si>
  <si>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</si>
  <si>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</si>
  <si>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</si>
  <si>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</si>
  <si>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</si>
  <si>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</si>
  <si>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</si>
  <si>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</si>
  <si>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</si>
  <si>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</si>
  <si>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</si>
  <si>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</si>
  <si>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</si>
  <si>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</si>
  <si>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</si>
  <si>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</si>
  <si>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</si>
  <si>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</si>
  <si>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</si>
  <si>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</si>
  <si>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</si>
  <si>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</si>
  <si>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</si>
  <si>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</si>
  <si>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</si>
  <si>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</si>
  <si>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</si>
  <si>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</si>
  <si>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</si>
  <si>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</si>
  <si>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</si>
  <si>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</si>
  <si>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</si>
  <si>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</si>
  <si>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</si>
  <si>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</si>
  <si>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</si>
  <si>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</si>
  <si>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</si>
  <si>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</si>
  <si>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</si>
  <si>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</si>
  <si>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</si>
  <si>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</si>
  <si>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</si>
  <si>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</si>
  <si>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</si>
  <si>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</si>
  <si>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</si>
  <si>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</si>
  <si>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</si>
  <si>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</si>
  <si>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</si>
  <si>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</si>
  <si>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</si>
  <si>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</si>
  <si>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</si>
  <si>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</si>
  <si>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</si>
  <si>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</si>
  <si>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</si>
  <si>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</si>
  <si>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</si>
  <si>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</si>
  <si>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</si>
  <si>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</si>
  <si>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</si>
  <si>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</si>
  <si>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</si>
  <si>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</si>
  <si>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</si>
  <si>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</si>
  <si>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</si>
  <si>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</si>
  <si>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</si>
  <si>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</si>
  <si>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</si>
  <si>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</si>
  <si>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</si>
  <si>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</si>
  <si>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</si>
  <si>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</si>
  <si>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</si>
  <si>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</si>
  <si>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</si>
  <si>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</si>
  <si>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</si>
  <si>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</si>
  <si>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</si>
  <si>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</si>
  <si>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</si>
  <si>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</si>
  <si>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</si>
  <si>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</si>
  <si>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</si>
  <si>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</si>
  <si>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</si>
  <si>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</si>
  <si>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</si>
  <si>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</si>
  <si>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</si>
  <si>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</si>
  <si>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</si>
  <si>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</si>
  <si>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</si>
  <si>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</si>
  <si>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</si>
  <si>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</si>
  <si>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</si>
  <si>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</si>
  <si>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</si>
  <si>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</si>
  <si>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</si>
  <si>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</si>
  <si>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</si>
  <si>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</si>
  <si>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</si>
  <si>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</si>
  <si>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</si>
  <si>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</si>
  <si>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</si>
  <si>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</si>
  <si>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</si>
  <si>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</si>
  <si>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</si>
  <si>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</si>
  <si>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</si>
  <si>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</si>
  <si>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</si>
  <si>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</si>
  <si>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</si>
  <si>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</si>
  <si>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</si>
  <si>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</si>
  <si>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</si>
  <si>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</si>
  <si>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</si>
  <si>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</si>
  <si>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</si>
  <si>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</si>
  <si>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</si>
  <si>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</si>
  <si>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</si>
  <si>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</si>
  <si>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</si>
  <si>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</si>
  <si>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</si>
  <si>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</si>
  <si>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</si>
  <si>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</si>
  <si>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</si>
  <si>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</si>
  <si>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</si>
  <si>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</si>
  <si>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</si>
  <si>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</si>
  <si>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</si>
  <si>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</si>
  <si>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</si>
  <si>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</si>
  <si>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</si>
  <si>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</si>
  <si>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</si>
  <si>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</si>
  <si>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</si>
  <si>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</si>
  <si>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</si>
  <si>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</si>
  <si>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</si>
  <si>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</si>
  <si>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</si>
  <si>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</si>
  <si>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</si>
  <si>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</si>
  <si>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</si>
  <si>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</si>
  <si>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</si>
  <si>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</si>
  <si>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</si>
  <si>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</si>
  <si>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</si>
  <si>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</si>
  <si>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</si>
  <si>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</si>
  <si>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</si>
  <si>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</si>
  <si>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</si>
  <si>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</si>
  <si>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</si>
  <si>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</si>
  <si>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</si>
  <si>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</si>
  <si>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</si>
  <si>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</si>
  <si>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</si>
  <si>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</si>
  <si>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</si>
  <si>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</si>
  <si>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</si>
  <si>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</si>
  <si>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</si>
  <si>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</si>
  <si>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</si>
  <si>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</si>
  <si>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</si>
  <si>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</si>
  <si>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</si>
  <si>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</si>
  <si>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</si>
  <si>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</si>
  <si>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</si>
  <si>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</si>
  <si>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</si>
  <si>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</si>
  <si>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</si>
  <si>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</si>
  <si>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</si>
  <si>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</si>
  <si>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</si>
  <si>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</si>
  <si>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</si>
  <si>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</si>
  <si>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</si>
  <si>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</si>
  <si>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</si>
  <si>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</si>
  <si>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</si>
  <si>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</si>
  <si>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</si>
  <si>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</si>
  <si>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</si>
  <si>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</si>
  <si>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</si>
  <si>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</si>
  <si>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</si>
  <si>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</si>
  <si>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</si>
  <si>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</si>
  <si>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</si>
  <si>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</si>
  <si>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</si>
  <si>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</si>
  <si>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</si>
  <si>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</si>
  <si>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</si>
  <si>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</si>
  <si>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</si>
  <si>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</si>
  <si>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</si>
  <si>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</si>
  <si>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</si>
  <si>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</si>
  <si>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</si>
  <si>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</si>
  <si>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</si>
  <si>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</si>
  <si>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</si>
  <si>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</si>
  <si>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</si>
  <si>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</si>
  <si>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</si>
  <si>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</si>
  <si>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</si>
  <si>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</si>
  <si>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</si>
  <si>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</si>
  <si>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</si>
  <si>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</si>
  <si>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</si>
  <si>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</si>
  <si>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</si>
  <si>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</si>
  <si>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</si>
  <si>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</si>
  <si>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</si>
  <si>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</si>
  <si>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</si>
  <si>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</si>
  <si>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</si>
  <si>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</si>
  <si>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</si>
  <si>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</si>
  <si>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</si>
  <si>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</si>
  <si>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</si>
  <si>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</si>
  <si>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</si>
  <si>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</si>
  <si>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</si>
  <si>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</si>
  <si>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</si>
  <si>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</si>
  <si>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</si>
  <si>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</si>
  <si>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</si>
  <si>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</si>
  <si>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</si>
  <si>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</si>
  <si>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</si>
  <si>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</si>
  <si>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</si>
  <si>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</si>
  <si>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</si>
  <si>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</si>
  <si>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</si>
  <si>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</si>
  <si>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</si>
  <si>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</si>
  <si>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</si>
  <si>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</si>
  <si>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</si>
  <si>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</si>
  <si>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</si>
  <si>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</si>
  <si>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</si>
  <si>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</si>
  <si>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</si>
  <si>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</si>
  <si>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</si>
  <si>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</si>
  <si>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</si>
  <si>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</si>
  <si>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</si>
  <si>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</si>
  <si>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</si>
  <si>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</si>
  <si>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</si>
  <si>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</si>
  <si>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</si>
  <si>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</si>
  <si>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</si>
  <si>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</si>
  <si>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</si>
  <si>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</si>
  <si>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</si>
  <si>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</si>
  <si>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</si>
  <si>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</si>
  <si>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</si>
  <si>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</si>
  <si>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</si>
  <si>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</si>
  <si>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</si>
  <si>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</si>
  <si>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</si>
  <si>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</si>
  <si>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</si>
  <si>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</si>
  <si>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</si>
  <si>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</si>
  <si>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</si>
  <si>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</si>
  <si>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</si>
  <si>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</si>
  <si>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</si>
  <si>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</si>
  <si>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</si>
  <si>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</si>
  <si>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</si>
  <si>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</si>
  <si>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</si>
  <si>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</si>
  <si>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</si>
  <si>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</si>
  <si>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</si>
  <si>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</si>
  <si>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</si>
  <si>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</si>
  <si>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</si>
  <si>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</si>
  <si>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</si>
  <si>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</si>
  <si>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</si>
  <si>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</si>
  <si>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</si>
  <si>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</si>
  <si>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</si>
  <si>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</si>
  <si>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</si>
  <si>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</si>
  <si>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</si>
  <si>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</si>
  <si>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</si>
  <si>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</si>
  <si>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</si>
  <si>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</si>
  <si>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</si>
  <si>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</si>
  <si>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</si>
  <si>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</si>
  <si>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</si>
  <si>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</si>
  <si>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[Bold Title]</t>
  </si>
  <si>
    <t>Line Titles</t>
  </si>
  <si>
    <t>&lt;-- General</t>
  </si>
  <si>
    <t>&lt;-- Info</t>
  </si>
  <si>
    <t>Projected ROIC:</t>
  </si>
  <si>
    <t>Invested Capital</t>
  </si>
  <si>
    <t>AVG Invested Capital</t>
  </si>
  <si>
    <t>2023-2024</t>
  </si>
  <si>
    <t>Med Device Growth Y/y</t>
  </si>
  <si>
    <t>Q1 2027</t>
  </si>
  <si>
    <t>Q2 2027</t>
  </si>
  <si>
    <t>Q4 2027</t>
  </si>
  <si>
    <t>Q1'26</t>
  </si>
  <si>
    <t xml:space="preserve">General Notes/Observations </t>
  </si>
  <si>
    <t xml:space="preserve">Financial Stmts. Notes/Observations </t>
  </si>
  <si>
    <t xml:space="preserve">Revenue Breakdown by Segment </t>
  </si>
  <si>
    <t xml:space="preserve">ANGO Historical Return Histogram </t>
  </si>
  <si>
    <t>Sept.</t>
  </si>
  <si>
    <t>Dec.</t>
  </si>
  <si>
    <t>Mar.</t>
  </si>
  <si>
    <t>Q2'26</t>
  </si>
  <si>
    <t>1/10/2025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</si>
</sst>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
  </numFmts>
  <fonts count="20">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sz val="10"/>
      <name val="Arial"/>
      <family val="2"/>
    </font>
    <font>
      <sz val="11"/>
      <color theme="4" tint="-0.249977111117893"/>
      <name val="Calibre"/>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cellStyleXfs>
  <cellXfs count="84">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center"/>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44" fontId="2" fillId="0" borderId="0" xfId="0" applyNumberFormat="1" applyFont="1" applyAlignment="1">
      <alignment horizontal="right" indent="1"/>
    </xf>
    <xf numFmtId="0" fontId="16" fillId="0" borderId="0" xfId="3" applyFont="1"/>
    <xf numFmtId="165" fontId="2" fillId="0" borderId="0" xfId="0" applyNumberFormat="1" applyFont="1" applyAlignment="1">
      <alignment horizontal="left" indent="5"/>
    </xf>
    <xf numFmtId="165" fontId="2" fillId="0" borderId="0" xfId="0" applyNumberFormat="1" applyFont="1"/>
    <xf numFmtId="166" fontId="2" fillId="0" borderId="0" xfId="1" applyNumberFormat="1" applyFont="1"/>
    <xf numFmtId="165" fontId="3" fillId="0" borderId="0" xfId="0" applyNumberFormat="1" applyFont="1"/>
    <xf numFmtId="0" fontId="17" fillId="0" borderId="0" xfId="0" applyFont="1"/>
    <xf numFmtId="9" fontId="2" fillId="0" borderId="0" xfId="1" applyFont="1"/>
    <xf numFmtId="0" fontId="18" fillId="0" borderId="0" xfId="0" applyFont="1"/>
    <xf numFmtId="2" fontId="18" fillId="0" borderId="0" xfId="0" applyNumberFormat="1" applyFont="1"/>
    <xf numFmtId="10" fontId="2" fillId="0" borderId="0" xfId="1" applyNumberFormat="1" applyFont="1"/>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horizontal="left" vertical="top"/>
    </xf>
    <xf numFmtId="166" fontId="13" fillId="0" borderId="0" xfId="1" applyNumberFormat="1" applyFont="1"/>
    <xf numFmtId="2" fontId="13" fillId="0" borderId="0" xfId="0" applyNumberFormat="1" applyFont="1"/>
    <xf numFmtId="165" fontId="13" fillId="0" borderId="0" xfId="0" applyNumberFormat="1" applyFont="1"/>
    <xf numFmtId="165" fontId="12" fillId="0" borderId="0" xfId="0" applyNumberFormat="1" applyFont="1"/>
    <xf numFmtId="0" fontId="13" fillId="0" borderId="0" xfId="0" applyFont="1" applyAlignment="1">
      <alignment vertical="top" wrapText="1"/>
    </xf>
    <xf numFmtId="10" fontId="13" fillId="0" borderId="0" xfId="0" applyNumberFormat="1" applyFont="1"/>
    <xf numFmtId="14" fontId="13" fillId="0" borderId="0" xfId="0" applyNumberFormat="1" applyFont="1" applyAlignment="1">
      <alignment horizontal="right"/>
    </xf>
    <xf numFmtId="0" fontId="13" fillId="0" borderId="0" xfId="0" applyFont="1" applyAlignment="1">
      <alignment horizontal="right"/>
    </xf>
    <xf numFmtId="49" fontId="13" fillId="0" borderId="0" xfId="0" applyNumberFormat="1" applyFont="1" applyAlignment="1">
      <alignment horizontal="right"/>
    </xf>
    <xf numFmtId="44" fontId="2" fillId="0" borderId="0" xfId="0" applyNumberFormat="1" applyFont="1"/>
    <xf numFmtId="44" fontId="2" fillId="0" borderId="0" xfId="2" applyFont="1" applyAlignment="1">
      <alignment horizontal="right" indent="1"/>
    </xf>
    <xf numFmtId="164" fontId="2" fillId="0" borderId="0" xfId="0" applyNumberFormat="1" applyFont="1" applyAlignment="1">
      <alignment horizontal="right" indent="2"/>
    </xf>
    <xf numFmtId="44" fontId="2" fillId="0" borderId="0" xfId="0" applyNumberFormat="1" applyFont="1" applyAlignment="1">
      <alignment horizontal="right"/>
    </xf>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1" fontId="13" fillId="0" borderId="0" xfId="0" applyNumberFormat="1" applyFont="1" applyAlignment="1">
      <alignment vertical="top"/>
    </xf>
    <xf numFmtId="165" fontId="13" fillId="0" borderId="0" xfId="0" applyNumberFormat="1" applyFont="1" applyAlignment="1">
      <alignment vertical="top"/>
    </xf>
    <xf numFmtId="166" fontId="13" fillId="0" borderId="0" xfId="1" applyNumberFormat="1" applyFont="1" applyAlignment="1">
      <alignment vertical="top"/>
    </xf>
    <xf numFmtId="166" fontId="3" fillId="0" borderId="0" xfId="1" applyNumberFormat="1" applyFont="1"/>
    <xf numFmtId="166" fontId="12" fillId="0" borderId="0" xfId="1" applyNumberFormat="1" applyFont="1"/>
    <xf numFmtId="0" fontId="2" fillId="0" borderId="0" xfId="0" applyFont="1" applyAlignment="1">
      <alignment horizontal="left" vertical="top" wrapText="1"/>
    </xf>
    <xf numFmtId="0" fontId="2" fillId="0" borderId="0" xfId="0" applyFont="1" applyAlignment="1">
      <alignment horizontal="left" wrapText="1"/>
    </xf>
    <xf numFmtId="0" fontId="2" fillId="0" borderId="0" xfId="0" applyFont="1" applyAlignment="1">
      <alignment horizontal="center" wrapText="1"/>
    </xf>
    <xf numFmtId="0" fontId="19" fillId="0" borderId="0" xfId="0" applyFont="1" applyAlignment="1">
      <alignment horizontal="center"/>
    </xf>
  </cellXfs>
  <cellStyles count="4">
    <cellStyle name="Currency" xfId="2" builtinId="4"/>
    <cellStyle name="Hyperlink" xfId="3"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(ANGO) Historical Return Histogram + Normal Distribution Overlay</a:t>
            </a:r>
          </a:p>
        </c:rich>
      </c:tx>
      <c:layout>
        <c:manualLayout>
          <c:xMode val="edge"/>
          <c:yMode val="edge"/>
          <c:x val="0.30247484689413823"/>
          <c:y val="1.3885844006834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5152794667284949E-2"/>
          <c:y val="7.3102355294668728E-2"/>
          <c:w val="0.94945999344094489"/>
          <c:h val="0.8723512307833301"/>
        </c:manualLayout>
      </c:layout>
      <c:scatterChart>
        <c:scatterStyle val="smoothMarker"/>
        <c:varyColors val="0"/>
        <c:ser>
          <c:idx val="0"/>
          <c:order val="0"/>
          <c:spPr>
            <a:ln w="1905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strRef>
              <c:f>'[1]Notes | Quant Analysis'!$I$182:$I$262</c:f>
              <c:strCache>
                <c:ptCount val="81"/>
                <c:pt idx="6">
                  <c:v>Notes:</c:v>
                </c:pt>
                <c:pt idx="42">
                  <c:v>Notes:</c:v>
                </c:pt>
              </c:strCache>
            </c:strRef>
          </c:xVal>
          <c:yVal>
            <c:numRef>
              <c:f>'[1]Notes | Quant Analysis'!$J$182:$J$262</c:f>
              <c:numCache>
                <c:formatCode>General</c:formatCode>
                <c:ptCount val="81"/>
                <c:pt idx="6">
                  <c:v>0</c:v>
                </c:pt>
                <c:pt idx="7">
                  <c:v>0</c:v>
                </c:pt>
                <c:pt idx="8">
                  <c:v>0</c:v>
                </c:pt>
                <c:pt idx="42">
                  <c:v>0</c:v>
                </c:pt>
                <c:pt idx="43">
                  <c:v>0</c:v>
                </c:pt>
                <c:pt idx="44">
                  <c:v>0</c:v>
                </c:pt>
                <c:pt idx="76">
                  <c:v>0</c:v>
                </c:pt>
                <c:pt idx="77">
                  <c:v>0</c:v>
                </c:pt>
                <c:pt idx="79">
                  <c:v>0</c:v>
                </c:pt>
                <c:pt idx="80">
                  <c:v>0</c:v>
                </c:pt>
              </c:numCache>
            </c:numRef>
          </c:yVal>
          <c:smooth val="1"/>
          <c:extLst>
            <c:ext xmlns:c16="http://schemas.microsoft.com/office/drawing/2014/chart" uri="{C3380CC4-5D6E-409C-BE32-E72D297353CC}">
              <c16:uniqueId val="{00000000-64C8-46E7-8417-05DC731C65AA}"/>
            </c:ext>
          </c:extLst>
        </c:ser>
        <c:ser>
          <c:idx val="1"/>
          <c:order val="1"/>
          <c:tx>
            <c:strRef>
              <c:f>'[1]Notes | Quant Analysis'!$L$180</c:f>
              <c:strCache>
                <c:ptCount val="1"/>
              </c:strCache>
            </c:strRef>
          </c:tx>
          <c:spPr>
            <a:ln w="19050" cap="rnd">
              <a:solidFill>
                <a:srgbClr val="FFC000"/>
              </a:solidFill>
              <a:round/>
            </a:ln>
            <a:effectLst/>
          </c:spPr>
          <c:marker>
            <c:symbol val="none"/>
          </c:marker>
          <c:xVal>
            <c:numRef>
              <c:f>'[1]Notes | Quant Analysis'!$L$182:$L$264</c:f>
              <c:numCache>
                <c:formatCode>General</c:formatCode>
                <c:ptCount val="83"/>
              </c:numCache>
            </c:numRef>
          </c:xVal>
          <c:yVal>
            <c:numRef>
              <c:f>'[1]Notes | Quant Analysis'!$M$182:$M$264</c:f>
              <c:numCache>
                <c:formatCode>General</c:formatCode>
                <c:ptCount val="83"/>
              </c:numCache>
            </c:numRef>
          </c:yVal>
          <c:smooth val="1"/>
          <c:extLst>
            <c:ext xmlns:c16="http://schemas.microsoft.com/office/drawing/2014/chart" uri="{C3380CC4-5D6E-409C-BE32-E72D297353CC}">
              <c16:uniqueId val="{00000001-64C8-46E7-8417-05DC731C65AA}"/>
            </c:ext>
          </c:extLst>
        </c:ser>
        <c:ser>
          <c:idx val="2"/>
          <c:order val="2"/>
          <c:tx>
            <c:strRef>
              <c:f>'[1]Notes | Quant Analysis'!$O$182</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64C8-46E7-8417-05DC731C65AA}"/>
                </c:ext>
              </c:extLst>
            </c:dLbl>
            <c:dLbl>
              <c:idx val="1"/>
              <c:layout>
                <c:manualLayout>
                  <c:x val="-6.5761321986558208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Analysis'!$P$182:$P$183</c:f>
              <c:numCache>
                <c:formatCode>General</c:formatCode>
                <c:ptCount val="2"/>
              </c:numCache>
            </c:numRef>
          </c:xVal>
          <c:yVal>
            <c:numRef>
              <c:f>'[1]Notes | Quant Analysis'!$Q$182:$Q$183</c:f>
              <c:numCache>
                <c:formatCode>General</c:formatCode>
                <c:ptCount val="2"/>
              </c:numCache>
            </c:numRef>
          </c:yVal>
          <c:smooth val="1"/>
          <c:extLst>
            <c:ext xmlns:c16="http://schemas.microsoft.com/office/drawing/2014/chart" uri="{C3380CC4-5D6E-409C-BE32-E72D297353CC}">
              <c16:uniqueId val="{00000004-64C8-46E7-8417-05DC731C65AA}"/>
            </c:ext>
          </c:extLst>
        </c:ser>
        <c:ser>
          <c:idx val="3"/>
          <c:order val="3"/>
          <c:tx>
            <c:strRef>
              <c:f>'[1]Notes | Quant Analysis'!$O$184</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64C8-46E7-8417-05DC731C65AA}"/>
                </c:ext>
              </c:extLst>
            </c:dLbl>
            <c:dLbl>
              <c:idx val="1"/>
              <c:layout>
                <c:manualLayout>
                  <c:x val="-4.0576134842769972E-2"/>
                  <c:y val="-4.958333821358315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Analysis'!$P$184:$P$185</c:f>
              <c:numCache>
                <c:formatCode>General</c:formatCode>
                <c:ptCount val="2"/>
              </c:numCache>
            </c:numRef>
          </c:xVal>
          <c:yVal>
            <c:numRef>
              <c:f>'[1]Notes | Quant Analysis'!$Q$184:$Q$185</c:f>
              <c:numCache>
                <c:formatCode>General</c:formatCode>
                <c:ptCount val="2"/>
              </c:numCache>
            </c:numRef>
          </c:yVal>
          <c:smooth val="1"/>
          <c:extLst>
            <c:ext xmlns:c16="http://schemas.microsoft.com/office/drawing/2014/chart" uri="{C3380CC4-5D6E-409C-BE32-E72D297353CC}">
              <c16:uniqueId val="{00000007-64C8-46E7-8417-05DC731C65AA}"/>
            </c:ext>
          </c:extLst>
        </c:ser>
        <c:ser>
          <c:idx val="4"/>
          <c:order val="4"/>
          <c:tx>
            <c:strRef>
              <c:f>'[1]Notes | Quant Analysis'!$O$186</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64C8-46E7-8417-05DC731C65AA}"/>
                </c:ext>
              </c:extLst>
            </c:dLbl>
            <c:dLbl>
              <c:idx val="1"/>
              <c:layout>
                <c:manualLayout>
                  <c:x val="-5.3168728414664079E-2"/>
                  <c:y val="-3.541667015255957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Analysis'!$P$186:$P$187</c:f>
              <c:numCache>
                <c:formatCode>General</c:formatCode>
                <c:ptCount val="2"/>
              </c:numCache>
            </c:numRef>
          </c:xVal>
          <c:yVal>
            <c:numRef>
              <c:f>'[1]Notes | Quant Analysis'!$Q$186:$Q$187</c:f>
              <c:numCache>
                <c:formatCode>General</c:formatCode>
                <c:ptCount val="2"/>
              </c:numCache>
            </c:numRef>
          </c:yVal>
          <c:smooth val="1"/>
          <c:extLst>
            <c:ext xmlns:c16="http://schemas.microsoft.com/office/drawing/2014/chart" uri="{C3380CC4-5D6E-409C-BE32-E72D297353CC}">
              <c16:uniqueId val="{0000000A-64C8-46E7-8417-05DC731C65AA}"/>
            </c:ext>
          </c:extLst>
        </c:ser>
        <c:ser>
          <c:idx val="5"/>
          <c:order val="5"/>
          <c:tx>
            <c:strRef>
              <c:f>'[1]Notes | Quant Analysis'!$O$188</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64C8-46E7-8417-05DC731C65AA}"/>
                </c:ext>
              </c:extLst>
            </c:dLbl>
            <c:dLbl>
              <c:idx val="1"/>
              <c:layout>
                <c:manualLayout>
                  <c:x val="-9.5144040320977827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Analysis'!$P$188:$P$189</c:f>
              <c:numCache>
                <c:formatCode>General</c:formatCode>
                <c:ptCount val="2"/>
              </c:numCache>
            </c:numRef>
          </c:xVal>
          <c:yVal>
            <c:numRef>
              <c:f>'[1]Notes | Quant Analysis'!$Q$188:$Q$189</c:f>
              <c:numCache>
                <c:formatCode>General</c:formatCode>
                <c:ptCount val="2"/>
              </c:numCache>
            </c:numRef>
          </c:yVal>
          <c:smooth val="1"/>
          <c:extLst>
            <c:ext xmlns:c16="http://schemas.microsoft.com/office/drawing/2014/chart" uri="{C3380CC4-5D6E-409C-BE32-E72D297353CC}">
              <c16:uniqueId val="{0000000D-64C8-46E7-8417-05DC731C65AA}"/>
            </c:ext>
          </c:extLst>
        </c:ser>
        <c:ser>
          <c:idx val="6"/>
          <c:order val="6"/>
          <c:tx>
            <c:strRef>
              <c:f>'[1]Notes | Quant Analysis'!$O$190</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64C8-46E7-8417-05DC731C65AA}"/>
                </c:ext>
              </c:extLst>
            </c:dLbl>
            <c:dLbl>
              <c:idx val="1"/>
              <c:layout>
                <c:manualLayout>
                  <c:x val="-2.3786010080244464E-2"/>
                  <c:y val="-2.8333336122047612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1201295968475098E-2"/>
                      <c:h val="4.9276393738927629E-2"/>
                    </c:manualLayout>
                  </c15:layout>
                </c:ext>
                <c:ext xmlns:c16="http://schemas.microsoft.com/office/drawing/2014/chart" uri="{C3380CC4-5D6E-409C-BE32-E72D297353CC}">
                  <c16:uniqueId val="{0000000F-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Analysis'!$P$190:$P$191</c:f>
              <c:numCache>
                <c:formatCode>General</c:formatCode>
                <c:ptCount val="2"/>
              </c:numCache>
            </c:numRef>
          </c:xVal>
          <c:yVal>
            <c:numRef>
              <c:f>'[1]Notes | Quant Analysis'!$Q$190:$Q$191</c:f>
              <c:numCache>
                <c:formatCode>General</c:formatCode>
                <c:ptCount val="2"/>
              </c:numCache>
            </c:numRef>
          </c:yVal>
          <c:smooth val="1"/>
          <c:extLst>
            <c:ext xmlns:c16="http://schemas.microsoft.com/office/drawing/2014/chart" uri="{C3380CC4-5D6E-409C-BE32-E72D297353CC}">
              <c16:uniqueId val="{00000010-64C8-46E7-8417-05DC731C65AA}"/>
            </c:ext>
          </c:extLst>
        </c:ser>
        <c:ser>
          <c:idx val="7"/>
          <c:order val="7"/>
          <c:tx>
            <c:strRef>
              <c:f>'[1]Notes | Quant Analysis'!$O$192</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64C8-46E7-8417-05DC731C65AA}"/>
                </c:ext>
              </c:extLst>
            </c:dLbl>
            <c:dLbl>
              <c:idx val="1"/>
              <c:layout>
                <c:manualLayout>
                  <c:x val="-3.7777780715682475E-2"/>
                  <c:y val="-6.138889493110313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2-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Analysis'!$P$192:$P$193</c:f>
              <c:numCache>
                <c:formatCode>General</c:formatCode>
                <c:ptCount val="2"/>
              </c:numCache>
            </c:numRef>
          </c:xVal>
          <c:yVal>
            <c:numRef>
              <c:f>'[1]Notes | Quant Analysis'!$Q$192:$Q$193</c:f>
              <c:numCache>
                <c:formatCode>General</c:formatCode>
                <c:ptCount val="2"/>
              </c:numCache>
            </c:numRef>
          </c:yVal>
          <c:smooth val="1"/>
          <c:extLst>
            <c:ext xmlns:c16="http://schemas.microsoft.com/office/drawing/2014/chart" uri="{C3380CC4-5D6E-409C-BE32-E72D297353CC}">
              <c16:uniqueId val="{00000013-64C8-46E7-8417-05DC731C65AA}"/>
            </c:ext>
          </c:extLst>
        </c:ser>
        <c:ser>
          <c:idx val="8"/>
          <c:order val="8"/>
          <c:tx>
            <c:strRef>
              <c:f>'[1]Notes | Quant Analysis'!$O$194</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4-64C8-46E7-8417-05DC731C65AA}"/>
                </c:ext>
              </c:extLst>
            </c:dLbl>
            <c:dLbl>
              <c:idx val="1"/>
              <c:layout>
                <c:manualLayout>
                  <c:x val="-3.3580249525050995E-2"/>
                  <c:y val="-3.77777814960633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64C8-46E7-8417-05DC731C65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Analysis'!$P$194:$P$195</c:f>
              <c:numCache>
                <c:formatCode>General</c:formatCode>
                <c:ptCount val="2"/>
              </c:numCache>
            </c:numRef>
          </c:xVal>
          <c:yVal>
            <c:numRef>
              <c:f>'[1]Notes | Quant Analysis'!$Q$194:$Q$195</c:f>
              <c:numCache>
                <c:formatCode>General</c:formatCode>
                <c:ptCount val="2"/>
              </c:numCache>
            </c:numRef>
          </c:yVal>
          <c:smooth val="1"/>
          <c:extLst>
            <c:ext xmlns:c16="http://schemas.microsoft.com/office/drawing/2014/chart" uri="{C3380CC4-5D6E-409C-BE32-E72D297353CC}">
              <c16:uniqueId val="{00000016-64C8-46E7-8417-05DC731C65AA}"/>
            </c:ext>
          </c:extLst>
        </c:ser>
        <c:dLbls>
          <c:showLegendKey val="0"/>
          <c:showVal val="0"/>
          <c:showCatName val="0"/>
          <c:showSerName val="0"/>
          <c:showPercent val="0"/>
          <c:showBubbleSize val="0"/>
        </c:dLbls>
        <c:axId val="1297843279"/>
        <c:axId val="1297840879"/>
      </c:scatterChart>
      <c:valAx>
        <c:axId val="1297843279"/>
        <c:scaling>
          <c:orientation val="minMax"/>
          <c:max val="4.5000000000000012E-2"/>
          <c:min val="-4.5000000000000012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0879"/>
        <c:crosses val="autoZero"/>
        <c:crossBetween val="midCat"/>
        <c:majorUnit val="5.000000000000001E-3"/>
      </c:valAx>
      <c:valAx>
        <c:axId val="129784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3279"/>
        <c:crossesAt val="-10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(ANGO) Yearly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numRef>
              <c:f>Model!$BK$3:$BV$3</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cat>
          <c:val>
            <c:numRef>
              <c:f>Model!$BK$41:$BV$41</c:f>
              <c:numCache>
                <c:formatCode>0.0</c:formatCode>
                <c:ptCount val="12"/>
                <c:pt idx="0">
                  <c:v>2.2999999999999856</c:v>
                </c:pt>
                <c:pt idx="1">
                  <c:v>-3.4000000000000221</c:v>
                </c:pt>
                <c:pt idx="2">
                  <c:v>-43.799999999999983</c:v>
                </c:pt>
                <c:pt idx="3">
                  <c:v>4.7999999999999794</c:v>
                </c:pt>
                <c:pt idx="4">
                  <c:v>-6.2999999999999901</c:v>
                </c:pt>
                <c:pt idx="5">
                  <c:v>-10.999999999999991</c:v>
                </c:pt>
                <c:pt idx="6">
                  <c:v>-166.90000000000003</c:v>
                </c:pt>
                <c:pt idx="7">
                  <c:v>-31.546000000000006</c:v>
                </c:pt>
                <c:pt idx="8">
                  <c:v>-26.546999999999951</c:v>
                </c:pt>
                <c:pt idx="9">
                  <c:v>-52.441999999999993</c:v>
                </c:pt>
                <c:pt idx="10">
                  <c:v>-184.34899999999999</c:v>
                </c:pt>
                <c:pt idx="11">
                  <c:v>-33.989999999999995</c:v>
                </c:pt>
              </c:numCache>
            </c:numRef>
          </c:val>
          <c:extLst>
            <c:ext xmlns:c16="http://schemas.microsoft.com/office/drawing/2014/chart" uri="{C3380CC4-5D6E-409C-BE32-E72D297353CC}">
              <c16:uniqueId val="{00000000-57C9-4A06-BA69-AB6EB220CD35}"/>
            </c:ext>
          </c:extLst>
        </c:ser>
        <c:ser>
          <c:idx val="2"/>
          <c:order val="2"/>
          <c:tx>
            <c:v>FCF</c:v>
          </c:tx>
          <c:spPr>
            <a:solidFill>
              <a:srgbClr val="FFC000"/>
            </a:solidFill>
          </c:spPr>
          <c:invertIfNegative val="0"/>
          <c:cat>
            <c:numRef>
              <c:f>Model!$BK$3:$BV$3</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cat>
          <c:val>
            <c:numRef>
              <c:f>Model!$BK$87:$BV$87</c:f>
              <c:numCache>
                <c:formatCode>0.0</c:formatCode>
                <c:ptCount val="12"/>
                <c:pt idx="0">
                  <c:v>13.500000000000004</c:v>
                </c:pt>
                <c:pt idx="1">
                  <c:v>14.399999999999999</c:v>
                </c:pt>
                <c:pt idx="2">
                  <c:v>42.900000000000006</c:v>
                </c:pt>
                <c:pt idx="3">
                  <c:v>52.7</c:v>
                </c:pt>
                <c:pt idx="4">
                  <c:v>39</c:v>
                </c:pt>
                <c:pt idx="5">
                  <c:v>34.299999999999997</c:v>
                </c:pt>
                <c:pt idx="6">
                  <c:v>-21.7</c:v>
                </c:pt>
                <c:pt idx="7">
                  <c:v>18.900000000000002</c:v>
                </c:pt>
                <c:pt idx="8">
                  <c:v>-11.500000000000002</c:v>
                </c:pt>
                <c:pt idx="9">
                  <c:v>-4.1999999999999993</c:v>
                </c:pt>
                <c:pt idx="10">
                  <c:v>-30.7</c:v>
                </c:pt>
                <c:pt idx="11">
                  <c:v>-14.591999999999995</c:v>
                </c:pt>
              </c:numCache>
            </c:numRef>
          </c:val>
          <c:extLst>
            <c:ext xmlns:c16="http://schemas.microsoft.com/office/drawing/2014/chart" uri="{C3380CC4-5D6E-409C-BE32-E72D297353CC}">
              <c16:uniqueId val="{00000001-57C9-4A06-BA69-AB6EB220CD35}"/>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marker>
            <c:symbol val="none"/>
          </c:marker>
          <c:cat>
            <c:numRef>
              <c:f>Model!$BK$3:$BV$3</c:f>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cat>
          <c:val>
            <c:numRef>
              <c:f>Model!$BK$26:$BV$26</c:f>
              <c:numCache>
                <c:formatCode>0.0</c:formatCode>
                <c:ptCount val="12"/>
                <c:pt idx="0">
                  <c:v>354.5</c:v>
                </c:pt>
                <c:pt idx="1">
                  <c:v>356.5</c:v>
                </c:pt>
                <c:pt idx="2">
                  <c:v>353.9</c:v>
                </c:pt>
                <c:pt idx="3">
                  <c:v>269.8</c:v>
                </c:pt>
                <c:pt idx="4">
                  <c:v>261.7</c:v>
                </c:pt>
                <c:pt idx="5">
                  <c:v>270.60000000000002</c:v>
                </c:pt>
                <c:pt idx="6">
                  <c:v>264.10000000000002</c:v>
                </c:pt>
                <c:pt idx="7">
                  <c:v>291.01</c:v>
                </c:pt>
                <c:pt idx="8">
                  <c:v>316.21900000000005</c:v>
                </c:pt>
                <c:pt idx="9">
                  <c:v>338.75200000000001</c:v>
                </c:pt>
                <c:pt idx="10">
                  <c:v>303.91399999999999</c:v>
                </c:pt>
                <c:pt idx="11">
                  <c:v>292.49799999999999</c:v>
                </c:pt>
              </c:numCache>
            </c:numRef>
          </c:val>
          <c:smooth val="0"/>
          <c:extLst>
            <c:ext xmlns:c16="http://schemas.microsoft.com/office/drawing/2014/chart" uri="{C3380CC4-5D6E-409C-BE32-E72D297353CC}">
              <c16:uniqueId val="{00000002-57C9-4A06-BA69-AB6EB220CD35}"/>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(ANGO)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Model!$AE$41:$AY$41</c:f>
              <c:numCache>
                <c:formatCode>0.0</c:formatCode>
                <c:ptCount val="21"/>
                <c:pt idx="0">
                  <c:v>-4.268000000000014</c:v>
                </c:pt>
                <c:pt idx="1">
                  <c:v>-4.2679999999999909</c:v>
                </c:pt>
                <c:pt idx="2">
                  <c:v>-3.5439999999999925</c:v>
                </c:pt>
                <c:pt idx="3">
                  <c:v>-19.466000000000008</c:v>
                </c:pt>
                <c:pt idx="4">
                  <c:v>-6.9719999999999933</c:v>
                </c:pt>
                <c:pt idx="5">
                  <c:v>-8.351000000000008</c:v>
                </c:pt>
                <c:pt idx="6">
                  <c:v>-4.9580000000000011</c:v>
                </c:pt>
                <c:pt idx="7">
                  <c:v>-6.2659999999999485</c:v>
                </c:pt>
                <c:pt idx="8">
                  <c:v>-13.002999999999998</c:v>
                </c:pt>
                <c:pt idx="9">
                  <c:v>-8.4859999999999953</c:v>
                </c:pt>
                <c:pt idx="10">
                  <c:v>-9.4950000000000028</c:v>
                </c:pt>
                <c:pt idx="11">
                  <c:v>-21.458000000000002</c:v>
                </c:pt>
                <c:pt idx="12">
                  <c:v>45.893000000000001</c:v>
                </c:pt>
                <c:pt idx="13">
                  <c:v>-29.051000000000002</c:v>
                </c:pt>
                <c:pt idx="14">
                  <c:v>-187.73599999999999</c:v>
                </c:pt>
                <c:pt idx="15">
                  <c:v>-13.454999999999991</c:v>
                </c:pt>
                <c:pt idx="16">
                  <c:v>-12.793600000000001</c:v>
                </c:pt>
                <c:pt idx="17">
                  <c:v>-10.738999999999999</c:v>
                </c:pt>
                <c:pt idx="18">
                  <c:v>-4.4110000000000023</c:v>
                </c:pt>
                <c:pt idx="19">
                  <c:v>-6.0463999999999913</c:v>
                </c:pt>
                <c:pt idx="20">
                  <c:v>-10.930999999999983</c:v>
                </c:pt>
              </c:numCache>
            </c:numRef>
          </c:val>
          <c:extLst>
            <c:ext xmlns:c16="http://schemas.microsoft.com/office/drawing/2014/chart" uri="{C3380CC4-5D6E-409C-BE32-E72D297353CC}">
              <c16:uniqueId val="{00000000-26C7-4623-8DC3-BDC6161279F8}"/>
            </c:ext>
          </c:extLst>
        </c:ser>
        <c:ser>
          <c:idx val="2"/>
          <c:order val="2"/>
          <c:tx>
            <c:v>FCF</c:v>
          </c:tx>
          <c:spPr>
            <a:solidFill>
              <a:srgbClr val="FFC000"/>
            </a:solidFill>
          </c:spPr>
          <c:invertIfNegative val="0"/>
          <c:cat>
            <c:strRef>
              <c:f>[3]Model!$AW$3:$BQ$3</c:f>
              <c:strCache>
                <c:ptCount val="21"/>
                <c:pt idx="0">
                  <c:v>Q3 2020</c:v>
                </c:pt>
                <c:pt idx="1">
                  <c:v>Q4 2020</c:v>
                </c:pt>
                <c:pt idx="2">
                  <c:v>Q1 2021</c:v>
                </c:pt>
                <c:pt idx="3">
                  <c:v>Q2 2021</c:v>
                </c:pt>
                <c:pt idx="4">
                  <c:v>Q3 2021</c:v>
                </c:pt>
                <c:pt idx="5">
                  <c:v>Q4 2021</c:v>
                </c:pt>
                <c:pt idx="6">
                  <c:v>Q1 2022</c:v>
                </c:pt>
                <c:pt idx="7">
                  <c:v>Q2 2022</c:v>
                </c:pt>
                <c:pt idx="8">
                  <c:v>Q3 2022</c:v>
                </c:pt>
                <c:pt idx="9">
                  <c:v>Q4 2022</c:v>
                </c:pt>
                <c:pt idx="10">
                  <c:v>Q1 2023</c:v>
                </c:pt>
                <c:pt idx="11">
                  <c:v>Q2 2023</c:v>
                </c:pt>
                <c:pt idx="12">
                  <c:v>Q3 2023</c:v>
                </c:pt>
                <c:pt idx="13">
                  <c:v>Q4 2023</c:v>
                </c:pt>
                <c:pt idx="14">
                  <c:v>Q1 2024</c:v>
                </c:pt>
                <c:pt idx="15">
                  <c:v>Q2 2024</c:v>
                </c:pt>
                <c:pt idx="16">
                  <c:v>Q3 2024</c:v>
                </c:pt>
                <c:pt idx="17">
                  <c:v>Q4 2024</c:v>
                </c:pt>
                <c:pt idx="18">
                  <c:v>Q1 2025</c:v>
                </c:pt>
                <c:pt idx="19">
                  <c:v>Q2 2025</c:v>
                </c:pt>
                <c:pt idx="20">
                  <c:v>Q3 2025</c:v>
                </c:pt>
              </c:strCache>
            </c:strRef>
          </c:cat>
          <c:val>
            <c:numRef>
              <c:f>Model!$AE$87:$AY$87</c:f>
              <c:numCache>
                <c:formatCode>0.0</c:formatCode>
                <c:ptCount val="21"/>
                <c:pt idx="0">
                  <c:v>-7.2</c:v>
                </c:pt>
                <c:pt idx="1">
                  <c:v>10</c:v>
                </c:pt>
                <c:pt idx="2">
                  <c:v>4.5</c:v>
                </c:pt>
                <c:pt idx="3">
                  <c:v>11.6</c:v>
                </c:pt>
                <c:pt idx="4">
                  <c:v>-14.4</c:v>
                </c:pt>
                <c:pt idx="5">
                  <c:v>-1.9</c:v>
                </c:pt>
                <c:pt idx="6">
                  <c:v>-11.4</c:v>
                </c:pt>
                <c:pt idx="7">
                  <c:v>16.2</c:v>
                </c:pt>
                <c:pt idx="8">
                  <c:v>-27.7</c:v>
                </c:pt>
                <c:pt idx="9">
                  <c:v>5</c:v>
                </c:pt>
                <c:pt idx="10">
                  <c:v>-0.70000000000000018</c:v>
                </c:pt>
                <c:pt idx="11">
                  <c:v>19.899999999999999</c:v>
                </c:pt>
                <c:pt idx="12">
                  <c:v>-27.5</c:v>
                </c:pt>
                <c:pt idx="13">
                  <c:v>3.5</c:v>
                </c:pt>
                <c:pt idx="14">
                  <c:v>-14.3</c:v>
                </c:pt>
                <c:pt idx="15">
                  <c:v>7.7</c:v>
                </c:pt>
                <c:pt idx="16">
                  <c:v>-20.7</c:v>
                </c:pt>
                <c:pt idx="17">
                  <c:v>0.5</c:v>
                </c:pt>
                <c:pt idx="18">
                  <c:v>-16.399999999999999</c:v>
                </c:pt>
                <c:pt idx="19">
                  <c:v>22.007999999999999</c:v>
                </c:pt>
                <c:pt idx="20">
                  <c:v>-16.645</c:v>
                </c:pt>
              </c:numCache>
            </c:numRef>
          </c:val>
          <c:extLst>
            <c:ext xmlns:c16="http://schemas.microsoft.com/office/drawing/2014/chart" uri="{C3380CC4-5D6E-409C-BE32-E72D297353CC}">
              <c16:uniqueId val="{00000001-26C7-4623-8DC3-BDC6161279F8}"/>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marker>
            <c:symbol val="none"/>
          </c:marker>
          <c:cat>
            <c:strRef>
              <c:f>Model!$AE$1:$AY$1</c:f>
              <c:strCache>
                <c:ptCount val="21"/>
                <c:pt idx="0">
                  <c:v>Q1 2021</c:v>
                </c:pt>
                <c:pt idx="4">
                  <c:v>Q1 2022</c:v>
                </c:pt>
                <c:pt idx="8">
                  <c:v>Q1 2023</c:v>
                </c:pt>
                <c:pt idx="12">
                  <c:v>Q1 2024</c:v>
                </c:pt>
                <c:pt idx="16">
                  <c:v>Q1 2025</c:v>
                </c:pt>
                <c:pt idx="20">
                  <c:v>Q1 2026</c:v>
                </c:pt>
              </c:strCache>
            </c:strRef>
          </c:cat>
          <c:val>
            <c:numRef>
              <c:f>Model!$AE$26:$AY$26</c:f>
              <c:numCache>
                <c:formatCode>0.0</c:formatCode>
                <c:ptCount val="21"/>
                <c:pt idx="0">
                  <c:v>70.215999999999994</c:v>
                </c:pt>
                <c:pt idx="1">
                  <c:v>72.77</c:v>
                </c:pt>
                <c:pt idx="2">
                  <c:v>71.182000000000002</c:v>
                </c:pt>
                <c:pt idx="3">
                  <c:v>76.841999999999985</c:v>
                </c:pt>
                <c:pt idx="4">
                  <c:v>76.971000000000004</c:v>
                </c:pt>
                <c:pt idx="5">
                  <c:v>78.28</c:v>
                </c:pt>
                <c:pt idx="6">
                  <c:v>73.97</c:v>
                </c:pt>
                <c:pt idx="7">
                  <c:v>86.998000000000033</c:v>
                </c:pt>
                <c:pt idx="8">
                  <c:v>81.537000000000006</c:v>
                </c:pt>
                <c:pt idx="9">
                  <c:v>85.429000000000002</c:v>
                </c:pt>
                <c:pt idx="10">
                  <c:v>80.699999999999989</c:v>
                </c:pt>
                <c:pt idx="11">
                  <c:v>91.085999999999999</c:v>
                </c:pt>
                <c:pt idx="12">
                  <c:v>78.679000000000002</c:v>
                </c:pt>
                <c:pt idx="13">
                  <c:v>79.069999999999993</c:v>
                </c:pt>
                <c:pt idx="14">
                  <c:v>75.182000000000002</c:v>
                </c:pt>
                <c:pt idx="15">
                  <c:v>70.983000000000018</c:v>
                </c:pt>
                <c:pt idx="16">
                  <c:v>67.491</c:v>
                </c:pt>
                <c:pt idx="17">
                  <c:v>72.843999999999994</c:v>
                </c:pt>
                <c:pt idx="18">
                  <c:v>72</c:v>
                </c:pt>
                <c:pt idx="19">
                  <c:v>80.163000000000011</c:v>
                </c:pt>
                <c:pt idx="20">
                  <c:v>75.711000000000013</c:v>
                </c:pt>
              </c:numCache>
            </c:numRef>
          </c:val>
          <c:smooth val="0"/>
          <c:extLst>
            <c:ext xmlns:c16="http://schemas.microsoft.com/office/drawing/2014/chart" uri="{C3380CC4-5D6E-409C-BE32-E72D297353CC}">
              <c16:uniqueId val="{00000002-26C7-4623-8DC3-BDC6161279F8}"/>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min val="-225"/>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(ANGO)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2"/>
          <c:order val="0"/>
          <c:tx>
            <c:strRef>
              <c:f>Model!$B$4</c:f>
              <c:strCache>
                <c:ptCount val="1"/>
                <c:pt idx="0">
                  <c:v>MedTech</c:v>
                </c:pt>
              </c:strCache>
            </c:strRef>
          </c:tx>
          <c:spPr>
            <a:solidFill>
              <a:srgbClr val="FFC000"/>
            </a:solidFill>
            <a:ln>
              <a:noFill/>
            </a:ln>
            <a:effectLst/>
          </c:spPr>
          <c:invertIfNegative val="0"/>
          <c:cat>
            <c:strRef>
              <c:f>Model!$AI$1:$AY$1</c:f>
              <c:strCache>
                <c:ptCount val="17"/>
                <c:pt idx="0">
                  <c:v>Q1 2022</c:v>
                </c:pt>
                <c:pt idx="4">
                  <c:v>Q1 2023</c:v>
                </c:pt>
                <c:pt idx="8">
                  <c:v>Q1 2024</c:v>
                </c:pt>
                <c:pt idx="12">
                  <c:v>Q1 2025</c:v>
                </c:pt>
                <c:pt idx="16">
                  <c:v>Q1 2026</c:v>
                </c:pt>
              </c:strCache>
            </c:strRef>
          </c:cat>
          <c:val>
            <c:numRef>
              <c:f>Model!$AI$4:$AY$4</c:f>
              <c:numCache>
                <c:formatCode>0.0</c:formatCode>
                <c:ptCount val="17"/>
                <c:pt idx="0">
                  <c:v>17.606999999999999</c:v>
                </c:pt>
                <c:pt idx="1">
                  <c:v>18.885999999999999</c:v>
                </c:pt>
                <c:pt idx="2">
                  <c:v>19.611999999999998</c:v>
                </c:pt>
                <c:pt idx="3">
                  <c:v>22.612000000000009</c:v>
                </c:pt>
                <c:pt idx="4">
                  <c:v>22.817</c:v>
                </c:pt>
                <c:pt idx="5">
                  <c:v>24.501999999999999</c:v>
                </c:pt>
                <c:pt idx="6">
                  <c:v>22.9</c:v>
                </c:pt>
                <c:pt idx="7">
                  <c:v>26.468000000000004</c:v>
                </c:pt>
                <c:pt idx="8">
                  <c:v>25.86</c:v>
                </c:pt>
                <c:pt idx="9">
                  <c:v>25.36</c:v>
                </c:pt>
                <c:pt idx="10">
                  <c:v>25.844000000000001</c:v>
                </c:pt>
                <c:pt idx="11">
                  <c:v>29.339000000000013</c:v>
                </c:pt>
                <c:pt idx="12">
                  <c:v>27.969000000000001</c:v>
                </c:pt>
                <c:pt idx="13">
                  <c:v>31.553999999999998</c:v>
                </c:pt>
                <c:pt idx="14">
                  <c:v>31.34</c:v>
                </c:pt>
                <c:pt idx="15">
                  <c:v>35.790000000000006</c:v>
                </c:pt>
                <c:pt idx="16">
                  <c:v>35.261000000000003</c:v>
                </c:pt>
              </c:numCache>
            </c:numRef>
          </c:val>
          <c:extLst>
            <c:ext xmlns:c16="http://schemas.microsoft.com/office/drawing/2014/chart" uri="{C3380CC4-5D6E-409C-BE32-E72D297353CC}">
              <c16:uniqueId val="{00000000-5B03-4525-A238-0C8A0C2FCFCC}"/>
            </c:ext>
          </c:extLst>
        </c:ser>
        <c:ser>
          <c:idx val="6"/>
          <c:order val="1"/>
          <c:tx>
            <c:strRef>
              <c:f>Model!$B$5</c:f>
              <c:strCache>
                <c:ptCount val="1"/>
                <c:pt idx="0">
                  <c:v>Med Devices</c:v>
                </c:pt>
              </c:strCache>
            </c:strRef>
          </c:tx>
          <c:spPr>
            <a:solidFill>
              <a:srgbClr val="00B0F0"/>
            </a:solidFill>
            <a:ln>
              <a:noFill/>
            </a:ln>
            <a:effectLst/>
          </c:spPr>
          <c:invertIfNegative val="0"/>
          <c:cat>
            <c:strRef>
              <c:f>Model!$AI$1:$AY$1</c:f>
              <c:strCache>
                <c:ptCount val="17"/>
                <c:pt idx="0">
                  <c:v>Q1 2022</c:v>
                </c:pt>
                <c:pt idx="4">
                  <c:v>Q1 2023</c:v>
                </c:pt>
                <c:pt idx="8">
                  <c:v>Q1 2024</c:v>
                </c:pt>
                <c:pt idx="12">
                  <c:v>Q1 2025</c:v>
                </c:pt>
                <c:pt idx="16">
                  <c:v>Q1 2026</c:v>
                </c:pt>
              </c:strCache>
            </c:strRef>
          </c:cat>
          <c:val>
            <c:numRef>
              <c:f>Model!$AI$5:$AY$5</c:f>
              <c:numCache>
                <c:formatCode>0.0</c:formatCode>
                <c:ptCount val="17"/>
                <c:pt idx="0">
                  <c:v>59.363999999999997</c:v>
                </c:pt>
                <c:pt idx="1">
                  <c:v>59.393999999999998</c:v>
                </c:pt>
                <c:pt idx="2">
                  <c:v>54.357999999999997</c:v>
                </c:pt>
                <c:pt idx="3">
                  <c:v>64.386000000000024</c:v>
                </c:pt>
                <c:pt idx="4">
                  <c:v>58.72</c:v>
                </c:pt>
                <c:pt idx="5">
                  <c:v>60.927</c:v>
                </c:pt>
                <c:pt idx="6">
                  <c:v>57.8</c:v>
                </c:pt>
                <c:pt idx="7">
                  <c:v>64.617999999999995</c:v>
                </c:pt>
                <c:pt idx="8">
                  <c:v>52.819000000000003</c:v>
                </c:pt>
                <c:pt idx="9">
                  <c:v>53.71</c:v>
                </c:pt>
                <c:pt idx="10">
                  <c:v>49.338000000000001</c:v>
                </c:pt>
                <c:pt idx="11">
                  <c:v>41.644000000000005</c:v>
                </c:pt>
                <c:pt idx="12">
                  <c:v>39.521999999999998</c:v>
                </c:pt>
                <c:pt idx="13">
                  <c:v>41.29</c:v>
                </c:pt>
                <c:pt idx="14">
                  <c:v>40.659999999999997</c:v>
                </c:pt>
                <c:pt idx="15">
                  <c:v>44.373000000000005</c:v>
                </c:pt>
                <c:pt idx="16">
                  <c:v>40.450000000000003</c:v>
                </c:pt>
              </c:numCache>
            </c:numRef>
          </c:val>
          <c:extLst>
            <c:ext xmlns:c16="http://schemas.microsoft.com/office/drawing/2014/chart" uri="{C3380CC4-5D6E-409C-BE32-E72D297353CC}">
              <c16:uniqueId val="{00000001-5B03-4525-A238-0C8A0C2FCFCC}"/>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8.png"/><Relationship Id="rId5" Type="http://schemas.openxmlformats.org/officeDocument/2006/relationships/chart" Target="../charts/chart3.xml"/><Relationship Id="rId10" Type="http://schemas.openxmlformats.org/officeDocument/2006/relationships/image" Target="../media/image7.png"/><Relationship Id="rId4" Type="http://schemas.openxmlformats.org/officeDocument/2006/relationships/chart" Target="../charts/chart2.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6402</xdr:colOff>
      <xdr:row>3</xdr:row>
      <xdr:rowOff>11205</xdr:rowOff>
    </xdr:from>
    <xdr:to>
      <xdr:col>9</xdr:col>
      <xdr:colOff>0</xdr:colOff>
      <xdr:row>9</xdr:row>
      <xdr:rowOff>179293</xdr:rowOff>
    </xdr:to>
    <xdr:pic>
      <xdr:nvPicPr>
        <xdr:cNvPr id="2" name="Picture 1">
          <a:extLst>
            <a:ext uri="{FF2B5EF4-FFF2-40B4-BE49-F238E27FC236}">
              <a16:creationId xmlns:a16="http://schemas.microsoft.com/office/drawing/2014/main" id="{98AE2562-82BC-5F5D-CCF1-53BCCFDD7135}"/>
            </a:ext>
          </a:extLst>
        </xdr:cNvPr>
        <xdr:cNvPicPr>
          <a:picLocks noChangeAspect="1"/>
        </xdr:cNvPicPr>
      </xdr:nvPicPr>
      <xdr:blipFill rotWithShape="1">
        <a:blip xmlns:r="http://schemas.openxmlformats.org/officeDocument/2006/relationships" r:embed="rId1"/>
        <a:srcRect l="4025" r="3979"/>
        <a:stretch>
          <a:fillRect/>
        </a:stretch>
      </xdr:blipFill>
      <xdr:spPr>
        <a:xfrm>
          <a:off x="3592284" y="560293"/>
          <a:ext cx="1808951" cy="12662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52</xdr:col>
      <xdr:colOff>-1</xdr:colOff>
      <xdr:row>0</xdr:row>
      <xdr:rowOff>0</xdr:rowOff>
    </xdr:from>
    <xdr:to>
      <xdr:col>52</xdr:col>
      <xdr:colOff>-1</xdr:colOff>
      <xdr:row>114</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32900470" y="0"/>
          <a:ext cx="0" cy="2099534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0</xdr:colOff>
      <xdr:row>0</xdr:row>
      <xdr:rowOff>0</xdr:rowOff>
    </xdr:from>
    <xdr:to>
      <xdr:col>74</xdr:col>
      <xdr:colOff>0</xdr:colOff>
      <xdr:row>113</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46213059" y="0"/>
          <a:ext cx="0" cy="2073984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172</xdr:row>
      <xdr:rowOff>0</xdr:rowOff>
    </xdr:from>
    <xdr:to>
      <xdr:col>23</xdr:col>
      <xdr:colOff>0</xdr:colOff>
      <xdr:row>200</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9526</xdr:colOff>
      <xdr:row>2</xdr:row>
      <xdr:rowOff>19050</xdr:rowOff>
    </xdr:from>
    <xdr:to>
      <xdr:col>18</xdr:col>
      <xdr:colOff>4161</xdr:colOff>
      <xdr:row>29</xdr:row>
      <xdr:rowOff>156882</xdr:rowOff>
    </xdr:to>
    <xdr:pic>
      <xdr:nvPicPr>
        <xdr:cNvPr id="5" name="Picture 4">
          <a:extLst>
            <a:ext uri="{FF2B5EF4-FFF2-40B4-BE49-F238E27FC236}">
              <a16:creationId xmlns:a16="http://schemas.microsoft.com/office/drawing/2014/main" id="{3C22FA64-ECC7-9777-85D9-F8553C6DB19D}"/>
            </a:ext>
          </a:extLst>
        </xdr:cNvPr>
        <xdr:cNvPicPr>
          <a:picLocks noChangeAspect="1"/>
        </xdr:cNvPicPr>
      </xdr:nvPicPr>
      <xdr:blipFill>
        <a:blip xmlns:r="http://schemas.openxmlformats.org/officeDocument/2006/relationships" r:embed="rId2"/>
        <a:stretch>
          <a:fillRect/>
        </a:stretch>
      </xdr:blipFill>
      <xdr:spPr>
        <a:xfrm>
          <a:off x="4486276" y="390525"/>
          <a:ext cx="6090635" cy="5048250"/>
        </a:xfrm>
        <a:prstGeom prst="rect">
          <a:avLst/>
        </a:prstGeom>
      </xdr:spPr>
    </xdr:pic>
    <xdr:clientData/>
  </xdr:twoCellAnchor>
  <xdr:twoCellAnchor editAs="oneCell">
    <xdr:from>
      <xdr:col>7</xdr:col>
      <xdr:colOff>219489</xdr:colOff>
      <xdr:row>35</xdr:row>
      <xdr:rowOff>4139</xdr:rowOff>
    </xdr:from>
    <xdr:to>
      <xdr:col>18</xdr:col>
      <xdr:colOff>216</xdr:colOff>
      <xdr:row>64</xdr:row>
      <xdr:rowOff>168206</xdr:rowOff>
    </xdr:to>
    <xdr:pic>
      <xdr:nvPicPr>
        <xdr:cNvPr id="6" name="Picture 5">
          <a:extLst>
            <a:ext uri="{FF2B5EF4-FFF2-40B4-BE49-F238E27FC236}">
              <a16:creationId xmlns:a16="http://schemas.microsoft.com/office/drawing/2014/main" id="{720C2AA8-E766-0210-EEF4-6272330D46BC}"/>
            </a:ext>
          </a:extLst>
        </xdr:cNvPr>
        <xdr:cNvPicPr>
          <a:picLocks noChangeAspect="1"/>
        </xdr:cNvPicPr>
      </xdr:nvPicPr>
      <xdr:blipFill>
        <a:blip xmlns:r="http://schemas.openxmlformats.org/officeDocument/2006/relationships" r:embed="rId3"/>
        <a:stretch>
          <a:fillRect/>
        </a:stretch>
      </xdr:blipFill>
      <xdr:spPr>
        <a:xfrm>
          <a:off x="219489" y="6049474"/>
          <a:ext cx="6529291" cy="5163679"/>
        </a:xfrm>
        <a:prstGeom prst="rect">
          <a:avLst/>
        </a:prstGeom>
      </xdr:spPr>
    </xdr:pic>
    <xdr:clientData/>
  </xdr:twoCellAnchor>
  <xdr:twoCellAnchor>
    <xdr:from>
      <xdr:col>8</xdr:col>
      <xdr:colOff>0</xdr:colOff>
      <xdr:row>139</xdr:row>
      <xdr:rowOff>0</xdr:rowOff>
    </xdr:from>
    <xdr:to>
      <xdr:col>23</xdr:col>
      <xdr:colOff>0</xdr:colOff>
      <xdr:row>167</xdr:row>
      <xdr:rowOff>0</xdr:rowOff>
    </xdr:to>
    <xdr:graphicFrame macro="">
      <xdr:nvGraphicFramePr>
        <xdr:cNvPr id="8" name="Chart 7">
          <a:extLst>
            <a:ext uri="{FF2B5EF4-FFF2-40B4-BE49-F238E27FC236}">
              <a16:creationId xmlns:a16="http://schemas.microsoft.com/office/drawing/2014/main" id="{D6890169-3885-42EE-ACD8-B1D2AB469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106</xdr:row>
      <xdr:rowOff>0</xdr:rowOff>
    </xdr:from>
    <xdr:to>
      <xdr:col>23</xdr:col>
      <xdr:colOff>0</xdr:colOff>
      <xdr:row>134</xdr:row>
      <xdr:rowOff>0</xdr:rowOff>
    </xdr:to>
    <xdr:graphicFrame macro="">
      <xdr:nvGraphicFramePr>
        <xdr:cNvPr id="9" name="Chart 8">
          <a:extLst>
            <a:ext uri="{FF2B5EF4-FFF2-40B4-BE49-F238E27FC236}">
              <a16:creationId xmlns:a16="http://schemas.microsoft.com/office/drawing/2014/main" id="{14795D95-9AD3-4387-8767-7F751DE07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70</xdr:row>
      <xdr:rowOff>0</xdr:rowOff>
    </xdr:from>
    <xdr:to>
      <xdr:col>23</xdr:col>
      <xdr:colOff>0</xdr:colOff>
      <xdr:row>101</xdr:row>
      <xdr:rowOff>0</xdr:rowOff>
    </xdr:to>
    <xdr:graphicFrame macro="">
      <xdr:nvGraphicFramePr>
        <xdr:cNvPr id="11" name="Chart 10">
          <a:extLst>
            <a:ext uri="{FF2B5EF4-FFF2-40B4-BE49-F238E27FC236}">
              <a16:creationId xmlns:a16="http://schemas.microsoft.com/office/drawing/2014/main" id="{C325E87F-FBE9-421D-89C9-E5B139240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29</xdr:col>
      <xdr:colOff>0</xdr:colOff>
      <xdr:row>18</xdr:row>
      <xdr:rowOff>190499</xdr:rowOff>
    </xdr:from>
    <xdr:to>
      <xdr:col>40</xdr:col>
      <xdr:colOff>11206</xdr:colOff>
      <xdr:row>44</xdr:row>
      <xdr:rowOff>4417</xdr:rowOff>
    </xdr:to>
    <xdr:pic>
      <xdr:nvPicPr>
        <xdr:cNvPr id="12" name="Picture 11">
          <a:extLst>
            <a:ext uri="{FF2B5EF4-FFF2-40B4-BE49-F238E27FC236}">
              <a16:creationId xmlns:a16="http://schemas.microsoft.com/office/drawing/2014/main" id="{F41F2D7F-8255-0590-F9B4-66E8A57AF310}"/>
            </a:ext>
          </a:extLst>
        </xdr:cNvPr>
        <xdr:cNvPicPr>
          <a:picLocks noChangeAspect="1"/>
        </xdr:cNvPicPr>
      </xdr:nvPicPr>
      <xdr:blipFill>
        <a:blip xmlns:r="http://schemas.openxmlformats.org/officeDocument/2006/relationships" r:embed="rId7"/>
        <a:stretch>
          <a:fillRect/>
        </a:stretch>
      </xdr:blipFill>
      <xdr:spPr>
        <a:xfrm>
          <a:off x="12505765" y="6678705"/>
          <a:ext cx="6667500" cy="4497977"/>
        </a:xfrm>
        <a:prstGeom prst="rect">
          <a:avLst/>
        </a:prstGeom>
      </xdr:spPr>
    </xdr:pic>
    <xdr:clientData/>
  </xdr:twoCellAnchor>
  <xdr:twoCellAnchor editAs="oneCell">
    <xdr:from>
      <xdr:col>29</xdr:col>
      <xdr:colOff>0</xdr:colOff>
      <xdr:row>70</xdr:row>
      <xdr:rowOff>0</xdr:rowOff>
    </xdr:from>
    <xdr:to>
      <xdr:col>40</xdr:col>
      <xdr:colOff>11206</xdr:colOff>
      <xdr:row>95</xdr:row>
      <xdr:rowOff>1</xdr:rowOff>
    </xdr:to>
    <xdr:pic>
      <xdr:nvPicPr>
        <xdr:cNvPr id="14" name="Picture 13">
          <a:extLst>
            <a:ext uri="{FF2B5EF4-FFF2-40B4-BE49-F238E27FC236}">
              <a16:creationId xmlns:a16="http://schemas.microsoft.com/office/drawing/2014/main" id="{1155299A-3827-402D-9BE3-C6423EFFD4EE}"/>
            </a:ext>
          </a:extLst>
        </xdr:cNvPr>
        <xdr:cNvPicPr>
          <a:picLocks noChangeAspect="1"/>
        </xdr:cNvPicPr>
      </xdr:nvPicPr>
      <xdr:blipFill>
        <a:blip xmlns:r="http://schemas.openxmlformats.org/officeDocument/2006/relationships" r:embed="rId8"/>
        <a:stretch>
          <a:fillRect/>
        </a:stretch>
      </xdr:blipFill>
      <xdr:spPr>
        <a:xfrm>
          <a:off x="12505765" y="24462441"/>
          <a:ext cx="6667500" cy="4493559"/>
        </a:xfrm>
        <a:prstGeom prst="rect">
          <a:avLst/>
        </a:prstGeom>
      </xdr:spPr>
    </xdr:pic>
    <xdr:clientData/>
  </xdr:twoCellAnchor>
  <xdr:twoCellAnchor editAs="oneCell">
    <xdr:from>
      <xdr:col>40</xdr:col>
      <xdr:colOff>0</xdr:colOff>
      <xdr:row>69</xdr:row>
      <xdr:rowOff>190499</xdr:rowOff>
    </xdr:from>
    <xdr:to>
      <xdr:col>51</xdr:col>
      <xdr:colOff>11206</xdr:colOff>
      <xdr:row>95</xdr:row>
      <xdr:rowOff>0</xdr:rowOff>
    </xdr:to>
    <xdr:pic>
      <xdr:nvPicPr>
        <xdr:cNvPr id="15" name="Picture 14">
          <a:extLst>
            <a:ext uri="{FF2B5EF4-FFF2-40B4-BE49-F238E27FC236}">
              <a16:creationId xmlns:a16="http://schemas.microsoft.com/office/drawing/2014/main" id="{5F767378-7F7E-43D5-6DE9-0DFAAB121CF2}"/>
            </a:ext>
          </a:extLst>
        </xdr:cNvPr>
        <xdr:cNvPicPr>
          <a:picLocks noChangeAspect="1"/>
        </xdr:cNvPicPr>
      </xdr:nvPicPr>
      <xdr:blipFill>
        <a:blip xmlns:r="http://schemas.openxmlformats.org/officeDocument/2006/relationships" r:embed="rId9"/>
        <a:stretch>
          <a:fillRect/>
        </a:stretch>
      </xdr:blipFill>
      <xdr:spPr>
        <a:xfrm>
          <a:off x="19162059" y="24462440"/>
          <a:ext cx="6667500" cy="4493559"/>
        </a:xfrm>
        <a:prstGeom prst="rect">
          <a:avLst/>
        </a:prstGeom>
      </xdr:spPr>
    </xdr:pic>
    <xdr:clientData/>
  </xdr:twoCellAnchor>
  <xdr:twoCellAnchor editAs="oneCell">
    <xdr:from>
      <xdr:col>50</xdr:col>
      <xdr:colOff>605117</xdr:colOff>
      <xdr:row>70</xdr:row>
      <xdr:rowOff>0</xdr:rowOff>
    </xdr:from>
    <xdr:to>
      <xdr:col>62</xdr:col>
      <xdr:colOff>0</xdr:colOff>
      <xdr:row>95</xdr:row>
      <xdr:rowOff>1</xdr:rowOff>
    </xdr:to>
    <xdr:pic>
      <xdr:nvPicPr>
        <xdr:cNvPr id="16" name="Picture 15">
          <a:extLst>
            <a:ext uri="{FF2B5EF4-FFF2-40B4-BE49-F238E27FC236}">
              <a16:creationId xmlns:a16="http://schemas.microsoft.com/office/drawing/2014/main" id="{BC64B075-AE10-B45A-81BC-ADF6CA6AD94D}"/>
            </a:ext>
          </a:extLst>
        </xdr:cNvPr>
        <xdr:cNvPicPr>
          <a:picLocks noChangeAspect="1"/>
        </xdr:cNvPicPr>
      </xdr:nvPicPr>
      <xdr:blipFill>
        <a:blip xmlns:r="http://schemas.openxmlformats.org/officeDocument/2006/relationships" r:embed="rId10"/>
        <a:stretch>
          <a:fillRect/>
        </a:stretch>
      </xdr:blipFill>
      <xdr:spPr>
        <a:xfrm>
          <a:off x="25818352" y="24462441"/>
          <a:ext cx="6656295" cy="4493559"/>
        </a:xfrm>
        <a:prstGeom prst="rect">
          <a:avLst/>
        </a:prstGeom>
      </xdr:spPr>
    </xdr:pic>
    <xdr:clientData/>
  </xdr:twoCellAnchor>
  <xdr:twoCellAnchor editAs="oneCell">
    <xdr:from>
      <xdr:col>29</xdr:col>
      <xdr:colOff>0</xdr:colOff>
      <xdr:row>172</xdr:row>
      <xdr:rowOff>0</xdr:rowOff>
    </xdr:from>
    <xdr:to>
      <xdr:col>43</xdr:col>
      <xdr:colOff>9424</xdr:colOff>
      <xdr:row>203</xdr:row>
      <xdr:rowOff>11207</xdr:rowOff>
    </xdr:to>
    <xdr:pic>
      <xdr:nvPicPr>
        <xdr:cNvPr id="18" name="Picture 17">
          <a:extLst>
            <a:ext uri="{FF2B5EF4-FFF2-40B4-BE49-F238E27FC236}">
              <a16:creationId xmlns:a16="http://schemas.microsoft.com/office/drawing/2014/main" id="{C48134A0-1E3D-73AC-6142-B2ABBC6F9670}"/>
            </a:ext>
          </a:extLst>
        </xdr:cNvPr>
        <xdr:cNvPicPr>
          <a:picLocks noChangeAspect="1"/>
        </xdr:cNvPicPr>
      </xdr:nvPicPr>
      <xdr:blipFill>
        <a:blip xmlns:r="http://schemas.openxmlformats.org/officeDocument/2006/relationships" r:embed="rId11"/>
        <a:stretch>
          <a:fillRect/>
        </a:stretch>
      </xdr:blipFill>
      <xdr:spPr>
        <a:xfrm>
          <a:off x="12505765" y="31499735"/>
          <a:ext cx="8481071" cy="55805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OneDrive\Desktop\Equity%20Research\Models\Health%20Care\MedTech\SYK_Model.xlsx" TargetMode="External"/><Relationship Id="rId1" Type="http://schemas.openxmlformats.org/officeDocument/2006/relationships/externalLinkPath" Target="SYK_Mode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6FDD6CD1F6A5D55A/Desktop/Equity%20Research/Models/Health%20Care/MedTech/BSX_Mode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OneDrive\Desktop\Equity%20Research\Models\Health%20Care\MedTech\BSX_Model.xlsx" TargetMode="External"/><Relationship Id="rId1" Type="http://schemas.openxmlformats.org/officeDocument/2006/relationships/externalLinkPath" Target="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M&amp;A"/>
      <sheetName val="Management"/>
      <sheetName val="Markets | Product Lines"/>
      <sheetName val="NARI"/>
      <sheetName val="Debt Schedule"/>
    </sheetNames>
    <sheetDataSet>
      <sheetData sheetId="0">
        <row r="5">
          <cell r="C5">
            <v>367.54</v>
          </cell>
        </row>
      </sheetData>
      <sheetData sheetId="1">
        <row r="79">
          <cell r="CZ79">
            <v>409.93116237430775</v>
          </cell>
        </row>
      </sheetData>
      <sheetData sheetId="2">
        <row r="188">
          <cell r="I188" t="str">
            <v>Notes:</v>
          </cell>
          <cell r="J188" t="str">
            <v>[X]</v>
          </cell>
        </row>
        <row r="189">
          <cell r="J189" t="str">
            <v>[Y]</v>
          </cell>
        </row>
        <row r="190">
          <cell r="J190" t="str">
            <v>[Z]</v>
          </cell>
        </row>
        <row r="224">
          <cell r="I224" t="str">
            <v>Notes:</v>
          </cell>
          <cell r="J224" t="str">
            <v>[X]</v>
          </cell>
        </row>
        <row r="225">
          <cell r="J225" t="str">
            <v>[Y]</v>
          </cell>
        </row>
        <row r="226">
          <cell r="J226" t="str">
            <v>[Z]</v>
          </cell>
        </row>
        <row r="258">
          <cell r="J258" t="str">
            <v xml:space="preserve">The return distribution fits a Gaussian curve well, implying that daily change follows a roughly normal distribution </v>
          </cell>
        </row>
        <row r="259">
          <cell r="J259" t="str">
            <v xml:space="preserve">There is slight implied upside to mean 1-day returns </v>
          </cell>
        </row>
        <row r="261">
          <cell r="I261"/>
          <cell r="J261" t="str">
            <v>Min</v>
          </cell>
        </row>
        <row r="262">
          <cell r="I262"/>
          <cell r="J262" t="str">
            <v>Max</v>
          </cell>
        </row>
      </sheetData>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Interventional Cardiology"/>
      <sheetName val="Watchman"/>
      <sheetName val="M&amp;A Scope"/>
      <sheetName val="Management"/>
      <sheetName val="Debt Schedule"/>
      <sheetName val="Clinical Trial Channel"/>
      <sheetName val="Main | Overview"/>
      <sheetName val="Markets | Product Lines"/>
    </sheetNames>
    <sheetDataSet>
      <sheetData sheetId="0">
        <row r="3">
          <cell r="C3">
            <v>98.22</v>
          </cell>
        </row>
      </sheetData>
      <sheetData sheetId="1">
        <row r="3">
          <cell r="AW3" t="str">
            <v>Q3 2020</v>
          </cell>
          <cell r="AX3" t="str">
            <v>Q4 2020</v>
          </cell>
          <cell r="AY3" t="str">
            <v>Q1 2021</v>
          </cell>
          <cell r="AZ3" t="str">
            <v>Q2 2021</v>
          </cell>
          <cell r="BA3" t="str">
            <v>Q3 2021</v>
          </cell>
          <cell r="BB3" t="str">
            <v>Q4 2021</v>
          </cell>
          <cell r="BC3" t="str">
            <v>Q1 2022</v>
          </cell>
          <cell r="BD3" t="str">
            <v>Q2 2022</v>
          </cell>
          <cell r="BE3" t="str">
            <v>Q3 2022</v>
          </cell>
          <cell r="BF3" t="str">
            <v>Q4 2022</v>
          </cell>
          <cell r="BG3" t="str">
            <v>Q1 2023</v>
          </cell>
          <cell r="BH3" t="str">
            <v>Q2 2023</v>
          </cell>
          <cell r="BI3" t="str">
            <v>Q3 2023</v>
          </cell>
          <cell r="BJ3" t="str">
            <v>Q4 2023</v>
          </cell>
          <cell r="BK3" t="str">
            <v>Q1 2024</v>
          </cell>
          <cell r="BL3" t="str">
            <v>Q2 2024</v>
          </cell>
          <cell r="BM3" t="str">
            <v>Q3 2024</v>
          </cell>
          <cell r="BN3" t="str">
            <v>Q4 2024</v>
          </cell>
          <cell r="BO3" t="str">
            <v>Q1 2025</v>
          </cell>
          <cell r="BP3" t="str">
            <v>Q2 2025</v>
          </cell>
          <cell r="BQ3" t="str">
            <v>Q3 2025</v>
          </cell>
        </row>
      </sheetData>
      <sheetData sheetId="2"/>
      <sheetData sheetId="3"/>
      <sheetData sheetId="4"/>
      <sheetData sheetId="5"/>
      <sheetData sheetId="6"/>
      <sheetData sheetId="7"/>
      <sheetData sheetId="8"/>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Jacob H" id="{EF8FC050-EB94-4F9B-97D0-A36CD00FA61C}" userId="6fdd6cd1f6a5d55a"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BW41" dT="2025-06-12T03:35:27.40" personId="{EF8FC050-EB94-4F9B-97D0-A36CD00FA61C}" id="{2C668D59-21C3-4E48-8B15-F761A16ECCE8}">
    <text>-$27.15M</text>
  </threadedComment>
  <threadedComment ref="BW43" dT="2025-06-12T03:36:47.15" personId="{EF8FC050-EB94-4F9B-97D0-A36CD00FA61C}" id="{45877BC2-841E-490B-A181-6E4C92787AE0}">
    <text>-$0.23</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evtoday.com/" TargetMode="External"/><Relationship Id="rId13" Type="http://schemas.openxmlformats.org/officeDocument/2006/relationships/hyperlink" Target="https://investors.angio/" TargetMode="External"/><Relationship Id="rId3" Type="http://schemas.openxmlformats.org/officeDocument/2006/relationships/hyperlink" Target="000%20Med-Devices%20Master%20List%20000.xlsx" TargetMode="External"/><Relationship Id="rId7" Type="http://schemas.openxmlformats.org/officeDocument/2006/relationships/hyperlink" Target="https://www.gurufocus.com/term/wacc/ANGO" TargetMode="External"/><Relationship Id="rId12" Type="http://schemas.openxmlformats.org/officeDocument/2006/relationships/hyperlink" Target="https://fdaaa.trialstracker.net/" TargetMode="External"/><Relationship Id="rId2" Type="http://schemas.openxmlformats.org/officeDocument/2006/relationships/hyperlink" Target="https://app.godelterminal.com/" TargetMode="External"/><Relationship Id="rId1" Type="http://schemas.openxmlformats.org/officeDocument/2006/relationships/hyperlink" Target="https://investors.angiodynamics.com/" TargetMode="External"/><Relationship Id="rId6" Type="http://schemas.openxmlformats.org/officeDocument/2006/relationships/hyperlink" Target="https://www.macrotrends.net/stocks/charts/ANGO/angiodynamics/income-statement?freq=Q" TargetMode="External"/><Relationship Id="rId11" Type="http://schemas.openxmlformats.org/officeDocument/2006/relationships/hyperlink" Target="https://clinicaltrials.gov/" TargetMode="External"/><Relationship Id="rId5" Type="http://schemas.openxmlformats.org/officeDocument/2006/relationships/hyperlink" Target="https://www.angiodynamics.com/products/" TargetMode="External"/><Relationship Id="rId10" Type="http://schemas.openxmlformats.org/officeDocument/2006/relationships/hyperlink" Target="https://pubmed.ncbi.nlm.nih.gov/" TargetMode="External"/><Relationship Id="rId4" Type="http://schemas.openxmlformats.org/officeDocument/2006/relationships/hyperlink" Target="https://www.angiodynamics.com/" TargetMode="External"/><Relationship Id="rId9" Type="http://schemas.openxmlformats.org/officeDocument/2006/relationships/hyperlink" Target="https://www.fda.gov/medical-devices"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55"/>
  <sheetViews>
    <sheetView tabSelected="1" zoomScale="85" zoomScaleNormal="85" workbookViewId="0">
      <selection activeCell="C5" sqref="C5"/>
    </sheetView>
  </sheetViews>
  <sheetFormatPr defaultColWidth="9.140625" defaultRowHeight="14.25"/>
  <cols>
    <col min="1" max="1" width="3.42578125" style="1" customWidth="1"/>
    <col min="2" max="3" width="11.5703125" style="1" customWidth="1"/>
    <col min="4" max="4" width="9" style="1" customWidth="1"/>
    <col min="5" max="16384" width="9.140625" style="1"/>
  </cols>
  <sheetData>
    <row r="1" spans="1:18">
      <c r="A1" s="46" t="s">
        <v>0</v>
      </c>
    </row>
    <row r="2" spans="1:18" ht="15">
      <c r="A2" s="2" t="s">
        <v>1</v>
      </c>
    </row>
    <row r="4" spans="1:18" ht="15">
      <c r="B4" s="2" t="s">
        <v>2</v>
      </c>
    </row>
    <row r="5" spans="1:18">
      <c r="B5" s="1" t="s">
        <v>3</v>
      </c>
      <c r="C5" s="45">
        <v>9.99</v>
      </c>
      <c r="D5" s="44" t="s">
        <v>1366</v>
      </c>
      <c r="F5" s="68"/>
    </row>
    <row r="6" spans="1:18">
      <c r="B6" s="1" t="s">
        <v>4</v>
      </c>
      <c r="C6" s="47">
        <v>41.19</v>
      </c>
      <c r="D6" s="1" t="s">
        <v>1365</v>
      </c>
      <c r="F6" s="68"/>
    </row>
    <row r="7" spans="1:18" ht="15">
      <c r="B7" s="1" t="s">
        <v>5</v>
      </c>
      <c r="C7" s="69">
        <f>C5*C6</f>
        <v>411.48809999999997</v>
      </c>
      <c r="N7" s="1" t="s">
        <v>6</v>
      </c>
      <c r="Q7" s="2"/>
    </row>
    <row r="8" spans="1:18">
      <c r="B8" s="1" t="s">
        <v>7</v>
      </c>
      <c r="C8" s="71">
        <f>38.76</f>
        <v>38.76</v>
      </c>
      <c r="D8" s="1" t="s">
        <v>1365</v>
      </c>
      <c r="N8" s="1" t="s">
        <v>8</v>
      </c>
      <c r="Q8" s="46" t="s">
        <v>9</v>
      </c>
    </row>
    <row r="9" spans="1:18">
      <c r="B9" s="1" t="s">
        <v>10</v>
      </c>
      <c r="C9" s="70">
        <v>0</v>
      </c>
      <c r="D9" s="1" t="s">
        <v>1365</v>
      </c>
      <c r="N9" s="1" t="s">
        <v>11</v>
      </c>
      <c r="Q9" s="46" t="s">
        <v>12</v>
      </c>
    </row>
    <row r="10" spans="1:18">
      <c r="B10" s="1" t="s">
        <v>13</v>
      </c>
      <c r="C10" s="45">
        <f>C7-C8+C9</f>
        <v>372.72809999999998</v>
      </c>
      <c r="O10" s="1" t="s">
        <v>14</v>
      </c>
      <c r="R10" s="46" t="s">
        <v>15</v>
      </c>
    </row>
    <row r="11" spans="1:18">
      <c r="O11" s="1" t="s">
        <v>16</v>
      </c>
      <c r="R11" s="46" t="s">
        <v>17</v>
      </c>
    </row>
    <row r="12" spans="1:18" ht="15">
      <c r="B12" s="2" t="s">
        <v>18</v>
      </c>
      <c r="N12" s="1" t="s">
        <v>19</v>
      </c>
      <c r="Q12" s="46" t="s">
        <v>20</v>
      </c>
    </row>
    <row r="13" spans="1:18">
      <c r="N13" s="1" t="s">
        <v>21</v>
      </c>
      <c r="Q13" s="46" t="s">
        <v>22</v>
      </c>
    </row>
    <row r="14" spans="1:18">
      <c r="B14" s="1" t="s">
        <v>23</v>
      </c>
      <c r="G14" s="1" t="s">
        <v>24</v>
      </c>
      <c r="N14" s="1" t="s">
        <v>25</v>
      </c>
      <c r="Q14" s="46" t="s">
        <v>26</v>
      </c>
    </row>
    <row r="15" spans="1:18">
      <c r="B15" s="1" t="s">
        <v>27</v>
      </c>
      <c r="G15" s="1" t="s">
        <v>28</v>
      </c>
      <c r="N15" s="1" t="s">
        <v>29</v>
      </c>
      <c r="Q15" s="46" t="s">
        <v>30</v>
      </c>
    </row>
    <row r="16" spans="1:18">
      <c r="B16" s="1" t="s">
        <v>31</v>
      </c>
      <c r="G16" s="1" t="s">
        <v>32</v>
      </c>
      <c r="N16" s="1" t="s">
        <v>33</v>
      </c>
      <c r="Q16" s="46" t="s">
        <v>34</v>
      </c>
    </row>
    <row r="17" spans="1:18">
      <c r="B17" s="1" t="s">
        <v>35</v>
      </c>
      <c r="G17" s="1" t="s">
        <v>36</v>
      </c>
      <c r="N17" s="1" t="s">
        <v>37</v>
      </c>
      <c r="Q17" s="46" t="s">
        <v>38</v>
      </c>
    </row>
    <row r="18" spans="1:18">
      <c r="B18" s="1" t="s">
        <v>39</v>
      </c>
      <c r="G18" s="1" t="s">
        <v>40</v>
      </c>
      <c r="J18" s="1" t="s">
        <v>41</v>
      </c>
      <c r="K18" s="46" t="s">
        <v>42</v>
      </c>
      <c r="N18" s="1" t="s">
        <v>43</v>
      </c>
      <c r="Q18" s="46" t="s">
        <v>44</v>
      </c>
      <c r="R18" s="46"/>
    </row>
    <row r="19" spans="1:18">
      <c r="B19" s="1" t="s">
        <v>45</v>
      </c>
      <c r="O19" s="1" t="s">
        <v>46</v>
      </c>
      <c r="Q19" s="46"/>
      <c r="R19" s="46" t="s">
        <v>47</v>
      </c>
    </row>
    <row r="20" spans="1:18">
      <c r="B20" s="1" t="s">
        <v>48</v>
      </c>
      <c r="N20" s="1" t="s">
        <v>49</v>
      </c>
      <c r="Q20" s="46" t="s">
        <v>50</v>
      </c>
    </row>
    <row r="21" spans="1:18">
      <c r="B21" s="1" t="s">
        <v>51</v>
      </c>
      <c r="N21" s="1" t="s">
        <v>52</v>
      </c>
      <c r="Q21" s="46" t="s">
        <v>53</v>
      </c>
    </row>
    <row r="23" spans="1:18" ht="15">
      <c r="A23" s="2" t="s">
        <v>54</v>
      </c>
    </row>
    <row r="24" spans="1:18">
      <c r="B24" s="1" t="s">
        <v>55</v>
      </c>
    </row>
    <row r="25" spans="1:18">
      <c r="C25" s="1" t="s">
        <v>56</v>
      </c>
    </row>
    <row r="26" spans="1:18">
      <c r="C26" s="1" t="s">
        <v>57</v>
      </c>
    </row>
    <row r="27" spans="1:18">
      <c r="D27" s="1" t="s">
        <v>58</v>
      </c>
    </row>
    <row r="28" spans="1:18">
      <c r="B28" s="1" t="s">
        <v>59</v>
      </c>
    </row>
    <row r="29" spans="1:18">
      <c r="B29" s="1" t="s">
        <v>60</v>
      </c>
    </row>
    <row r="30" spans="1:18">
      <c r="C30" s="1" t="s">
        <v>61</v>
      </c>
    </row>
    <row r="31" spans="1:18">
      <c r="C31" s="1" t="s">
        <v>62</v>
      </c>
    </row>
    <row r="32" spans="1:18">
      <c r="B32" s="1" t="s">
        <v>63</v>
      </c>
    </row>
    <row r="33" spans="1:3">
      <c r="C33" s="1" t="s">
        <v>64</v>
      </c>
    </row>
    <row r="34" spans="1:3">
      <c r="B34" s="1" t="s">
        <v>65</v>
      </c>
    </row>
    <row r="35" spans="1:3">
      <c r="C35" s="1" t="s">
        <v>66</v>
      </c>
    </row>
    <row r="36" spans="1:3">
      <c r="C36" s="1" t="s">
        <v>67</v>
      </c>
    </row>
    <row r="37" spans="1:3">
      <c r="C37" s="1" t="s">
        <v>68</v>
      </c>
    </row>
    <row r="38" spans="1:3">
      <c r="B38" s="1" t="s">
        <v>69</v>
      </c>
    </row>
    <row r="39" spans="1:3">
      <c r="C39" s="1" t="s">
        <v>70</v>
      </c>
    </row>
    <row r="41" spans="1:3" ht="15">
      <c r="A41" s="2" t="s">
        <v>71</v>
      </c>
    </row>
    <row r="42" spans="1:3">
      <c r="B42" s="1" t="s">
        <v>72</v>
      </c>
    </row>
    <row r="43" spans="1:3">
      <c r="C43" s="1" t="s">
        <v>73</v>
      </c>
    </row>
    <row r="44" spans="1:3" ht="15">
      <c r="A44" s="2" t="s">
        <v>74</v>
      </c>
    </row>
    <row r="45" spans="1:3">
      <c r="B45" s="1" t="s">
        <v>75</v>
      </c>
    </row>
    <row r="46" spans="1:3">
      <c r="C46" s="1" t="s">
        <v>76</v>
      </c>
    </row>
    <row r="47" spans="1:3">
      <c r="C47" s="1" t="s">
        <v>77</v>
      </c>
    </row>
    <row r="48" spans="1:3">
      <c r="C48" s="1" t="s">
        <v>78</v>
      </c>
    </row>
    <row r="49" spans="2:5">
      <c r="D49" s="1" t="s">
        <v>79</v>
      </c>
    </row>
    <row r="50" spans="2:5">
      <c r="E50" s="1" t="s">
        <v>80</v>
      </c>
    </row>
    <row r="51" spans="2:5">
      <c r="E51" s="1" t="s">
        <v>81</v>
      </c>
    </row>
    <row r="52" spans="2:5">
      <c r="E52" s="1" t="s">
        <v>82</v>
      </c>
    </row>
    <row r="53" spans="2:5">
      <c r="D53" s="1" t="s">
        <v>83</v>
      </c>
    </row>
    <row r="54" spans="2:5">
      <c r="E54" s="1" t="s">
        <v>84</v>
      </c>
    </row>
    <row r="55" spans="2:5">
      <c r="B55" s="1" t="s">
        <v>85</v>
      </c>
    </row>
    <row r="56" spans="2:5">
      <c r="C56" s="1" t="s">
        <v>86</v>
      </c>
    </row>
    <row r="57" spans="2:5">
      <c r="D57" s="1" t="s">
        <v>87</v>
      </c>
    </row>
    <row r="58" spans="2:5">
      <c r="D58" s="1" t="s">
        <v>88</v>
      </c>
    </row>
    <row r="59" spans="2:5">
      <c r="D59" s="1" t="s">
        <v>89</v>
      </c>
    </row>
    <row r="60" spans="2:5">
      <c r="D60" s="1" t="s">
        <v>90</v>
      </c>
    </row>
    <row r="61" spans="2:5">
      <c r="D61" s="1" t="s">
        <v>91</v>
      </c>
    </row>
    <row r="62" spans="2:5">
      <c r="B62" s="1" t="s">
        <v>92</v>
      </c>
    </row>
    <row r="63" spans="2:5">
      <c r="C63" s="1" t="s">
        <v>93</v>
      </c>
    </row>
    <row r="64" spans="2:5">
      <c r="D64" s="1" t="s">
        <v>94</v>
      </c>
    </row>
    <row r="65" spans="1:4">
      <c r="D65" s="1" t="s">
        <v>95</v>
      </c>
    </row>
    <row r="66" spans="1:4">
      <c r="B66" s="1" t="s">
        <v>96</v>
      </c>
    </row>
    <row r="67" spans="1:4">
      <c r="C67" s="1" t="s">
        <v>97</v>
      </c>
    </row>
    <row r="68" spans="1:4">
      <c r="D68" s="1" t="s">
        <v>98</v>
      </c>
    </row>
    <row r="69" spans="1:4">
      <c r="D69" s="1" t="s">
        <v>99</v>
      </c>
    </row>
    <row r="70" spans="1:4">
      <c r="D70" s="1" t="s">
        <v>100</v>
      </c>
    </row>
    <row r="71" spans="1:4" ht="15">
      <c r="D71" s="2" t="s">
        <v>101</v>
      </c>
    </row>
    <row r="72" spans="1:4">
      <c r="C72" s="1" t="s">
        <v>102</v>
      </c>
    </row>
    <row r="73" spans="1:4">
      <c r="D73" s="1" t="s">
        <v>103</v>
      </c>
    </row>
    <row r="74" spans="1:4">
      <c r="D74" s="1" t="s">
        <v>104</v>
      </c>
    </row>
    <row r="75" spans="1:4">
      <c r="D75" s="1" t="s">
        <v>105</v>
      </c>
    </row>
    <row r="76" spans="1:4">
      <c r="D76" s="1" t="s">
        <v>106</v>
      </c>
    </row>
    <row r="77" spans="1:4" ht="15">
      <c r="A77" s="2" t="s">
        <v>107</v>
      </c>
    </row>
    <row r="78" spans="1:4">
      <c r="B78" s="1" t="s">
        <v>108</v>
      </c>
    </row>
    <row r="79" spans="1:4">
      <c r="C79" s="1" t="s">
        <v>109</v>
      </c>
    </row>
    <row r="80" spans="1:4">
      <c r="C80" s="1" t="s">
        <v>110</v>
      </c>
    </row>
    <row r="81" spans="3:28">
      <c r="C81" s="1" t="s">
        <v>111</v>
      </c>
    </row>
    <row r="82" spans="3:28">
      <c r="D82" s="1" t="s">
        <v>112</v>
      </c>
    </row>
    <row r="83" spans="3:28">
      <c r="D83" s="1" t="s">
        <v>113</v>
      </c>
    </row>
    <row r="84" spans="3:28">
      <c r="D84" s="1" t="s">
        <v>114</v>
      </c>
    </row>
    <row r="85" spans="3:28">
      <c r="E85" s="1" t="s">
        <v>115</v>
      </c>
    </row>
    <row r="86" spans="3:28" ht="14.25" customHeight="1">
      <c r="C86" s="29" t="s">
        <v>116</v>
      </c>
      <c r="D86" s="80" t="s">
        <v>117</v>
      </c>
      <c r="E86" s="80"/>
      <c r="F86" s="80"/>
      <c r="G86" s="80"/>
      <c r="H86" s="80"/>
      <c r="I86" s="80"/>
      <c r="J86" s="80"/>
      <c r="K86" s="80"/>
      <c r="L86" s="80"/>
      <c r="M86" s="80"/>
      <c r="N86" s="80"/>
      <c r="O86" s="80"/>
      <c r="P86" s="80"/>
      <c r="Q86" s="80"/>
      <c r="R86" s="80"/>
      <c r="S86" s="80"/>
      <c r="T86" s="80"/>
      <c r="U86" s="80"/>
      <c r="V86" s="80"/>
      <c r="W86" s="80"/>
      <c r="X86" s="80"/>
      <c r="Y86" s="80"/>
      <c r="Z86" s="56"/>
      <c r="AA86" s="56"/>
      <c r="AB86" s="56"/>
    </row>
    <row r="87" spans="3:28">
      <c r="C87" s="29"/>
      <c r="D87" s="80"/>
      <c r="E87" s="80"/>
      <c r="F87" s="80"/>
      <c r="G87" s="80"/>
      <c r="H87" s="80"/>
      <c r="I87" s="80"/>
      <c r="J87" s="80"/>
      <c r="K87" s="80"/>
      <c r="L87" s="80"/>
      <c r="M87" s="80"/>
      <c r="N87" s="80"/>
      <c r="O87" s="80"/>
      <c r="P87" s="80"/>
      <c r="Q87" s="80"/>
      <c r="R87" s="80"/>
      <c r="S87" s="80"/>
      <c r="T87" s="80"/>
      <c r="U87" s="80"/>
      <c r="V87" s="80"/>
      <c r="W87" s="80"/>
      <c r="X87" s="80"/>
      <c r="Y87" s="80"/>
      <c r="Z87" s="56"/>
      <c r="AA87" s="56"/>
      <c r="AB87" s="56"/>
    </row>
    <row r="88" spans="3:28">
      <c r="C88" s="29"/>
      <c r="D88" s="80"/>
      <c r="E88" s="80"/>
      <c r="F88" s="80"/>
      <c r="G88" s="80"/>
      <c r="H88" s="80"/>
      <c r="I88" s="80"/>
      <c r="J88" s="80"/>
      <c r="K88" s="80"/>
      <c r="L88" s="80"/>
      <c r="M88" s="80"/>
      <c r="N88" s="80"/>
      <c r="O88" s="80"/>
      <c r="P88" s="80"/>
      <c r="Q88" s="80"/>
      <c r="R88" s="80"/>
      <c r="S88" s="80"/>
      <c r="T88" s="80"/>
      <c r="U88" s="80"/>
      <c r="V88" s="80"/>
      <c r="W88" s="80"/>
      <c r="X88" s="80"/>
      <c r="Y88" s="80"/>
      <c r="Z88" s="56"/>
      <c r="AA88" s="56"/>
      <c r="AB88" s="56"/>
    </row>
    <row r="89" spans="3:28">
      <c r="C89" s="29"/>
      <c r="D89" s="80"/>
      <c r="E89" s="80"/>
      <c r="F89" s="80"/>
      <c r="G89" s="80"/>
      <c r="H89" s="80"/>
      <c r="I89" s="80"/>
      <c r="J89" s="80"/>
      <c r="K89" s="80"/>
      <c r="L89" s="80"/>
      <c r="M89" s="80"/>
      <c r="N89" s="80"/>
      <c r="O89" s="80"/>
      <c r="P89" s="80"/>
      <c r="Q89" s="80"/>
      <c r="R89" s="80"/>
      <c r="S89" s="80"/>
      <c r="T89" s="80"/>
      <c r="U89" s="80"/>
      <c r="V89" s="80"/>
      <c r="W89" s="80"/>
      <c r="X89" s="80"/>
      <c r="Y89" s="80"/>
      <c r="Z89" s="56"/>
      <c r="AA89" s="56"/>
      <c r="AB89" s="56"/>
    </row>
    <row r="90" spans="3:28" ht="14.25" customHeight="1">
      <c r="C90" s="29" t="s">
        <v>116</v>
      </c>
      <c r="D90" s="80" t="s">
        <v>118</v>
      </c>
      <c r="E90" s="80"/>
      <c r="F90" s="80"/>
      <c r="G90" s="80"/>
      <c r="H90" s="80"/>
      <c r="I90" s="80"/>
      <c r="J90" s="80"/>
      <c r="K90" s="80"/>
      <c r="L90" s="80"/>
      <c r="M90" s="80"/>
      <c r="N90" s="80"/>
      <c r="O90" s="80"/>
      <c r="P90" s="80"/>
      <c r="Q90" s="80"/>
      <c r="R90" s="80"/>
      <c r="S90" s="80"/>
      <c r="T90" s="80"/>
      <c r="U90" s="80"/>
      <c r="V90" s="80"/>
      <c r="W90" s="80"/>
      <c r="X90" s="80"/>
      <c r="Y90" s="80"/>
    </row>
    <row r="91" spans="3:28">
      <c r="D91" s="80"/>
      <c r="E91" s="80"/>
      <c r="F91" s="80"/>
      <c r="G91" s="80"/>
      <c r="H91" s="80"/>
      <c r="I91" s="80"/>
      <c r="J91" s="80"/>
      <c r="K91" s="80"/>
      <c r="L91" s="80"/>
      <c r="M91" s="80"/>
      <c r="N91" s="80"/>
      <c r="O91" s="80"/>
      <c r="P91" s="80"/>
      <c r="Q91" s="80"/>
      <c r="R91" s="80"/>
      <c r="S91" s="80"/>
      <c r="T91" s="80"/>
      <c r="U91" s="80"/>
      <c r="V91" s="80"/>
      <c r="W91" s="80"/>
      <c r="X91" s="80"/>
      <c r="Y91" s="80"/>
    </row>
    <row r="92" spans="3:28">
      <c r="D92" s="80"/>
      <c r="E92" s="80"/>
      <c r="F92" s="80"/>
      <c r="G92" s="80"/>
      <c r="H92" s="80"/>
      <c r="I92" s="80"/>
      <c r="J92" s="80"/>
      <c r="K92" s="80"/>
      <c r="L92" s="80"/>
      <c r="M92" s="80"/>
      <c r="N92" s="80"/>
      <c r="O92" s="80"/>
      <c r="P92" s="80"/>
      <c r="Q92" s="80"/>
      <c r="R92" s="80"/>
      <c r="S92" s="80"/>
      <c r="T92" s="80"/>
      <c r="U92" s="80"/>
      <c r="V92" s="80"/>
      <c r="W92" s="80"/>
      <c r="X92" s="80"/>
      <c r="Y92" s="80"/>
    </row>
    <row r="93" spans="3:28">
      <c r="C93" s="1" t="s">
        <v>119</v>
      </c>
      <c r="D93" s="57"/>
      <c r="E93" s="57"/>
      <c r="F93" s="57"/>
      <c r="G93" s="57"/>
      <c r="H93" s="57"/>
      <c r="I93" s="57"/>
      <c r="J93" s="57"/>
      <c r="K93" s="57"/>
      <c r="L93" s="57"/>
      <c r="M93" s="57"/>
      <c r="N93" s="57"/>
      <c r="O93" s="57"/>
      <c r="P93" s="57"/>
      <c r="Q93" s="57"/>
      <c r="R93" s="57"/>
      <c r="S93" s="57"/>
      <c r="T93" s="57"/>
      <c r="U93" s="57"/>
      <c r="V93" s="57"/>
      <c r="W93" s="57"/>
      <c r="X93" s="57"/>
      <c r="Y93" s="57"/>
    </row>
    <row r="94" spans="3:28">
      <c r="D94" s="81" t="s">
        <v>120</v>
      </c>
      <c r="E94" s="81"/>
      <c r="F94" s="81"/>
      <c r="G94" s="81"/>
      <c r="H94" s="81"/>
      <c r="I94" s="81"/>
      <c r="J94" s="81"/>
      <c r="K94" s="81"/>
      <c r="L94" s="81"/>
      <c r="M94" s="81"/>
      <c r="N94" s="81"/>
      <c r="O94" s="81"/>
      <c r="P94" s="81"/>
      <c r="Q94" s="81"/>
      <c r="R94" s="81"/>
      <c r="S94" s="81"/>
      <c r="T94" s="81"/>
      <c r="U94" s="81"/>
      <c r="V94" s="81"/>
      <c r="W94" s="81"/>
      <c r="X94" s="81"/>
      <c r="Y94" s="81"/>
    </row>
    <row r="95" spans="3:28">
      <c r="D95" s="81"/>
      <c r="E95" s="81"/>
      <c r="F95" s="81"/>
      <c r="G95" s="81"/>
      <c r="H95" s="81"/>
      <c r="I95" s="81"/>
      <c r="J95" s="81"/>
      <c r="K95" s="81"/>
      <c r="L95" s="81"/>
      <c r="M95" s="81"/>
      <c r="N95" s="81"/>
      <c r="O95" s="81"/>
      <c r="P95" s="81"/>
      <c r="Q95" s="81"/>
      <c r="R95" s="81"/>
      <c r="S95" s="81"/>
      <c r="T95" s="81"/>
      <c r="U95" s="81"/>
      <c r="V95" s="81"/>
      <c r="W95" s="81"/>
      <c r="X95" s="81"/>
      <c r="Y95" s="81"/>
    </row>
    <row r="96" spans="3:28">
      <c r="D96" s="80" t="s">
        <v>121</v>
      </c>
      <c r="E96" s="80"/>
      <c r="F96" s="80"/>
      <c r="G96" s="80"/>
      <c r="H96" s="80"/>
      <c r="I96" s="80"/>
      <c r="J96" s="80"/>
      <c r="K96" s="80"/>
      <c r="L96" s="80"/>
      <c r="M96" s="80"/>
      <c r="N96" s="80"/>
      <c r="O96" s="80"/>
      <c r="P96" s="80"/>
      <c r="Q96" s="80"/>
      <c r="R96" s="80"/>
      <c r="S96" s="80"/>
      <c r="T96" s="80"/>
      <c r="U96" s="80"/>
      <c r="V96" s="80"/>
      <c r="W96" s="80"/>
      <c r="X96" s="80"/>
      <c r="Y96" s="80"/>
    </row>
    <row r="97" spans="2:48">
      <c r="D97" s="80"/>
      <c r="E97" s="80"/>
      <c r="F97" s="80"/>
      <c r="G97" s="80"/>
      <c r="H97" s="80"/>
      <c r="I97" s="80"/>
      <c r="J97" s="80"/>
      <c r="K97" s="80"/>
      <c r="L97" s="80"/>
      <c r="M97" s="80"/>
      <c r="N97" s="80"/>
      <c r="O97" s="80"/>
      <c r="P97" s="80"/>
      <c r="Q97" s="80"/>
      <c r="R97" s="80"/>
      <c r="S97" s="80"/>
      <c r="T97" s="80"/>
      <c r="U97" s="80"/>
      <c r="V97" s="80"/>
      <c r="W97" s="80"/>
      <c r="X97" s="80"/>
      <c r="Y97" s="80"/>
    </row>
    <row r="98" spans="2:48">
      <c r="B98" s="1" t="s">
        <v>122</v>
      </c>
    </row>
    <row r="99" spans="2:48">
      <c r="C99" s="1" t="s">
        <v>123</v>
      </c>
    </row>
    <row r="100" spans="2:48">
      <c r="C100" s="1" t="s">
        <v>124</v>
      </c>
    </row>
    <row r="101" spans="2:48">
      <c r="D101" s="81" t="s">
        <v>125</v>
      </c>
      <c r="E101" s="81"/>
      <c r="F101" s="81"/>
      <c r="G101" s="81"/>
      <c r="H101" s="81"/>
      <c r="I101" s="81"/>
      <c r="J101" s="81"/>
      <c r="K101" s="81"/>
      <c r="L101" s="81"/>
      <c r="M101" s="81"/>
      <c r="N101" s="81"/>
      <c r="O101" s="81"/>
      <c r="P101" s="81"/>
      <c r="Q101" s="81"/>
      <c r="R101" s="81"/>
      <c r="S101" s="81"/>
      <c r="T101" s="81"/>
      <c r="U101" s="81"/>
      <c r="V101" s="81"/>
      <c r="W101" s="81"/>
      <c r="X101" s="81"/>
      <c r="Y101" s="81"/>
    </row>
    <row r="102" spans="2:48">
      <c r="D102" s="81"/>
      <c r="E102" s="81"/>
      <c r="F102" s="81"/>
      <c r="G102" s="81"/>
      <c r="H102" s="81"/>
      <c r="I102" s="81"/>
      <c r="J102" s="81"/>
      <c r="K102" s="81"/>
      <c r="L102" s="81"/>
      <c r="M102" s="81"/>
      <c r="N102" s="81"/>
      <c r="O102" s="81"/>
      <c r="P102" s="81"/>
      <c r="Q102" s="81"/>
      <c r="R102" s="81"/>
      <c r="S102" s="81"/>
      <c r="T102" s="81"/>
      <c r="U102" s="81"/>
      <c r="V102" s="81"/>
      <c r="W102" s="81"/>
      <c r="X102" s="81"/>
      <c r="Y102" s="81"/>
    </row>
    <row r="103" spans="2:48">
      <c r="D103" s="80" t="s">
        <v>126</v>
      </c>
      <c r="E103" s="80"/>
      <c r="F103" s="80"/>
      <c r="G103" s="80"/>
      <c r="H103" s="80"/>
      <c r="I103" s="80"/>
      <c r="J103" s="80"/>
      <c r="K103" s="80"/>
      <c r="L103" s="80"/>
      <c r="M103" s="80"/>
      <c r="N103" s="80"/>
      <c r="O103" s="80"/>
      <c r="P103" s="80"/>
      <c r="Q103" s="80"/>
      <c r="R103" s="80"/>
      <c r="S103" s="80"/>
      <c r="T103" s="80"/>
      <c r="U103" s="80"/>
      <c r="V103" s="80"/>
      <c r="W103" s="80"/>
      <c r="X103" s="80"/>
      <c r="Y103" s="80"/>
    </row>
    <row r="104" spans="2:48">
      <c r="D104" s="80"/>
      <c r="E104" s="80"/>
      <c r="F104" s="80"/>
      <c r="G104" s="80"/>
      <c r="H104" s="80"/>
      <c r="I104" s="80"/>
      <c r="J104" s="80"/>
      <c r="K104" s="80"/>
      <c r="L104" s="80"/>
      <c r="M104" s="80"/>
      <c r="N104" s="80"/>
      <c r="O104" s="80"/>
      <c r="P104" s="80"/>
      <c r="Q104" s="80"/>
      <c r="R104" s="80"/>
      <c r="S104" s="80"/>
      <c r="T104" s="80"/>
      <c r="U104" s="80"/>
      <c r="V104" s="80"/>
      <c r="W104" s="80"/>
      <c r="X104" s="80"/>
      <c r="Y104" s="80"/>
    </row>
    <row r="105" spans="2:48">
      <c r="B105" s="1" t="s">
        <v>127</v>
      </c>
    </row>
    <row r="106" spans="2:48">
      <c r="C106" s="1" t="s">
        <v>128</v>
      </c>
    </row>
    <row r="107" spans="2:48">
      <c r="C107" s="1" t="s">
        <v>129</v>
      </c>
    </row>
    <row r="108" spans="2:48" ht="14.25" customHeight="1">
      <c r="C108" s="29" t="s">
        <v>116</v>
      </c>
      <c r="D108" s="80" t="s">
        <v>130</v>
      </c>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row>
    <row r="109" spans="2:48">
      <c r="C109" s="56"/>
      <c r="D109" s="80"/>
      <c r="E109" s="80"/>
      <c r="F109" s="80"/>
      <c r="G109" s="80"/>
      <c r="H109" s="80"/>
      <c r="I109" s="80"/>
      <c r="J109" s="80"/>
      <c r="K109" s="80"/>
      <c r="L109" s="80"/>
      <c r="M109" s="80"/>
      <c r="N109" s="80"/>
      <c r="O109" s="80"/>
      <c r="P109" s="80"/>
      <c r="Q109" s="80"/>
      <c r="R109" s="80"/>
      <c r="S109" s="80"/>
      <c r="T109" s="80"/>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row>
    <row r="110" spans="2:48">
      <c r="C110" s="29" t="s">
        <v>116</v>
      </c>
      <c r="D110" s="58" t="s">
        <v>131</v>
      </c>
      <c r="E110" s="56"/>
      <c r="F110" s="56"/>
      <c r="G110" s="56"/>
      <c r="H110" s="56"/>
      <c r="I110" s="56"/>
      <c r="J110" s="56"/>
      <c r="K110" s="56"/>
      <c r="L110" s="56"/>
      <c r="M110" s="56"/>
      <c r="N110" s="56"/>
      <c r="O110" s="56"/>
      <c r="P110" s="56"/>
      <c r="Q110" s="56"/>
      <c r="R110" s="56"/>
      <c r="S110" s="56"/>
      <c r="T110" s="56"/>
      <c r="U110" s="56"/>
      <c r="V110" s="56"/>
      <c r="W110" s="56"/>
      <c r="X110" s="56"/>
      <c r="Y110" s="56"/>
    </row>
    <row r="111" spans="2:48">
      <c r="B111" s="1" t="s">
        <v>132</v>
      </c>
    </row>
    <row r="112" spans="2:48">
      <c r="C112" s="1" t="s">
        <v>133</v>
      </c>
    </row>
    <row r="113" spans="3:27">
      <c r="D113" s="1" t="s">
        <v>134</v>
      </c>
    </row>
    <row r="114" spans="3:27">
      <c r="D114" s="1" t="s">
        <v>135</v>
      </c>
    </row>
    <row r="115" spans="3:27">
      <c r="D115" s="1" t="s">
        <v>136</v>
      </c>
    </row>
    <row r="116" spans="3:27">
      <c r="C116" s="1" t="s">
        <v>137</v>
      </c>
    </row>
    <row r="117" spans="3:27" ht="14.25" customHeight="1">
      <c r="C117" s="29" t="s">
        <v>116</v>
      </c>
      <c r="D117" s="81" t="s">
        <v>138</v>
      </c>
      <c r="E117" s="81"/>
      <c r="F117" s="81"/>
      <c r="G117" s="81"/>
      <c r="H117" s="81"/>
      <c r="I117" s="81"/>
      <c r="J117" s="81"/>
      <c r="K117" s="81"/>
      <c r="L117" s="81"/>
      <c r="M117" s="81"/>
      <c r="N117" s="81"/>
      <c r="O117" s="81"/>
      <c r="P117" s="81"/>
      <c r="Q117" s="81"/>
      <c r="R117" s="81"/>
      <c r="S117" s="81"/>
      <c r="T117" s="81"/>
      <c r="U117" s="81"/>
      <c r="V117" s="81"/>
      <c r="W117" s="81"/>
      <c r="X117" s="81"/>
      <c r="Y117" s="81"/>
    </row>
    <row r="118" spans="3:27">
      <c r="D118" s="81"/>
      <c r="E118" s="81"/>
      <c r="F118" s="81"/>
      <c r="G118" s="81"/>
      <c r="H118" s="81"/>
      <c r="I118" s="81"/>
      <c r="J118" s="81"/>
      <c r="K118" s="81"/>
      <c r="L118" s="81"/>
      <c r="M118" s="81"/>
      <c r="N118" s="81"/>
      <c r="O118" s="81"/>
      <c r="P118" s="81"/>
      <c r="Q118" s="81"/>
      <c r="R118" s="81"/>
      <c r="S118" s="81"/>
      <c r="T118" s="81"/>
      <c r="U118" s="81"/>
      <c r="V118" s="81"/>
      <c r="W118" s="81"/>
      <c r="X118" s="81"/>
      <c r="Y118" s="81"/>
    </row>
    <row r="119" spans="3:27">
      <c r="D119" s="81"/>
      <c r="E119" s="81"/>
      <c r="F119" s="81"/>
      <c r="G119" s="81"/>
      <c r="H119" s="81"/>
      <c r="I119" s="81"/>
      <c r="J119" s="81"/>
      <c r="K119" s="81"/>
      <c r="L119" s="81"/>
      <c r="M119" s="81"/>
      <c r="N119" s="81"/>
      <c r="O119" s="81"/>
      <c r="P119" s="81"/>
      <c r="Q119" s="81"/>
      <c r="R119" s="81"/>
      <c r="S119" s="81"/>
      <c r="T119" s="81"/>
      <c r="U119" s="81"/>
      <c r="V119" s="81"/>
      <c r="W119" s="81"/>
      <c r="X119" s="81"/>
      <c r="Y119" s="81"/>
    </row>
    <row r="120" spans="3:27">
      <c r="D120" s="81"/>
      <c r="E120" s="81"/>
      <c r="F120" s="81"/>
      <c r="G120" s="81"/>
      <c r="H120" s="81"/>
      <c r="I120" s="81"/>
      <c r="J120" s="81"/>
      <c r="K120" s="81"/>
      <c r="L120" s="81"/>
      <c r="M120" s="81"/>
      <c r="N120" s="81"/>
      <c r="O120" s="81"/>
      <c r="P120" s="81"/>
      <c r="Q120" s="81"/>
      <c r="R120" s="81"/>
      <c r="S120" s="81"/>
      <c r="T120" s="81"/>
      <c r="U120" s="81"/>
      <c r="V120" s="81"/>
      <c r="W120" s="81"/>
      <c r="X120" s="81"/>
      <c r="Y120" s="81"/>
    </row>
    <row r="121" spans="3:27">
      <c r="C121" s="29" t="s">
        <v>116</v>
      </c>
      <c r="D121" s="81" t="s">
        <v>139</v>
      </c>
      <c r="E121" s="81"/>
      <c r="F121" s="81"/>
      <c r="G121" s="81"/>
      <c r="H121" s="81"/>
      <c r="I121" s="81"/>
      <c r="J121" s="81"/>
      <c r="K121" s="81"/>
      <c r="L121" s="81"/>
      <c r="M121" s="81"/>
      <c r="N121" s="81"/>
      <c r="O121" s="81"/>
      <c r="P121" s="81"/>
      <c r="Q121" s="81"/>
      <c r="R121" s="81"/>
      <c r="S121" s="81"/>
      <c r="T121" s="81"/>
      <c r="U121" s="81"/>
      <c r="V121" s="81"/>
      <c r="W121" s="81"/>
      <c r="X121" s="81"/>
      <c r="Y121" s="81"/>
    </row>
    <row r="122" spans="3:27">
      <c r="D122" s="81"/>
      <c r="E122" s="81"/>
      <c r="F122" s="81"/>
      <c r="G122" s="81"/>
      <c r="H122" s="81"/>
      <c r="I122" s="81"/>
      <c r="J122" s="81"/>
      <c r="K122" s="81"/>
      <c r="L122" s="81"/>
      <c r="M122" s="81"/>
      <c r="N122" s="81"/>
      <c r="O122" s="81"/>
      <c r="P122" s="81"/>
      <c r="Q122" s="81"/>
      <c r="R122" s="81"/>
      <c r="S122" s="81"/>
      <c r="T122" s="81"/>
      <c r="U122" s="81"/>
      <c r="V122" s="81"/>
      <c r="W122" s="81"/>
      <c r="X122" s="81"/>
      <c r="Y122" s="81"/>
    </row>
    <row r="123" spans="3:27" ht="14.25" customHeight="1">
      <c r="D123" s="80" t="s">
        <v>140</v>
      </c>
      <c r="E123" s="80"/>
      <c r="F123" s="80"/>
      <c r="G123" s="80"/>
      <c r="H123" s="80"/>
      <c r="I123" s="80"/>
      <c r="J123" s="80"/>
      <c r="K123" s="80"/>
      <c r="L123" s="80"/>
      <c r="M123" s="80"/>
      <c r="N123" s="80"/>
      <c r="O123" s="80"/>
      <c r="P123" s="80"/>
      <c r="Q123" s="80"/>
      <c r="R123" s="80"/>
      <c r="S123" s="80"/>
      <c r="T123" s="80"/>
      <c r="U123" s="80"/>
      <c r="V123" s="80"/>
      <c r="W123" s="80"/>
      <c r="X123" s="80"/>
      <c r="Y123" s="80"/>
      <c r="Z123" s="80"/>
    </row>
    <row r="124" spans="3:27">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spans="3:27" ht="14.25" customHeight="1">
      <c r="C125" s="29" t="s">
        <v>116</v>
      </c>
      <c r="D125" s="82" t="s">
        <v>141</v>
      </c>
      <c r="E125" s="82"/>
      <c r="F125" s="82"/>
      <c r="G125" s="82"/>
      <c r="H125" s="82"/>
      <c r="I125" s="82"/>
      <c r="J125" s="82"/>
      <c r="K125" s="82"/>
      <c r="L125" s="82"/>
      <c r="M125" s="82"/>
      <c r="N125" s="82"/>
      <c r="O125" s="82"/>
      <c r="P125" s="82"/>
      <c r="Q125" s="82"/>
      <c r="R125" s="82"/>
      <c r="S125" s="82"/>
      <c r="T125" s="82"/>
      <c r="U125" s="82"/>
      <c r="V125" s="82"/>
      <c r="W125" s="82"/>
      <c r="X125" s="82"/>
      <c r="Y125" s="82"/>
      <c r="Z125" s="82"/>
      <c r="AA125" s="82"/>
    </row>
    <row r="126" spans="3:27">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82"/>
    </row>
    <row r="127" spans="3:27">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82"/>
    </row>
    <row r="128" spans="3:27">
      <c r="C128" s="29" t="s">
        <v>116</v>
      </c>
      <c r="D128" s="80" t="s">
        <v>142</v>
      </c>
      <c r="E128" s="80"/>
      <c r="F128" s="80"/>
      <c r="G128" s="80"/>
      <c r="H128" s="80"/>
      <c r="I128" s="80"/>
      <c r="J128" s="80"/>
      <c r="K128" s="80"/>
      <c r="L128" s="80"/>
      <c r="M128" s="80"/>
      <c r="N128" s="80"/>
      <c r="O128" s="80"/>
      <c r="P128" s="80"/>
      <c r="Q128" s="80"/>
      <c r="R128" s="80"/>
      <c r="S128" s="80"/>
      <c r="T128" s="80"/>
      <c r="U128" s="80"/>
      <c r="V128" s="80"/>
      <c r="W128" s="80"/>
      <c r="X128" s="80"/>
      <c r="Y128" s="80"/>
    </row>
    <row r="129" spans="2:25">
      <c r="D129" s="80"/>
      <c r="E129" s="80"/>
      <c r="F129" s="80"/>
      <c r="G129" s="80"/>
      <c r="H129" s="80"/>
      <c r="I129" s="80"/>
      <c r="J129" s="80"/>
      <c r="K129" s="80"/>
      <c r="L129" s="80"/>
      <c r="M129" s="80"/>
      <c r="N129" s="80"/>
      <c r="O129" s="80"/>
      <c r="P129" s="80"/>
      <c r="Q129" s="80"/>
      <c r="R129" s="80"/>
      <c r="S129" s="80"/>
      <c r="T129" s="80"/>
      <c r="U129" s="80"/>
      <c r="V129" s="80"/>
      <c r="W129" s="80"/>
      <c r="X129" s="80"/>
      <c r="Y129" s="80"/>
    </row>
    <row r="130" spans="2:25">
      <c r="C130" s="29" t="s">
        <v>116</v>
      </c>
      <c r="D130" s="1" t="s">
        <v>143</v>
      </c>
    </row>
    <row r="131" spans="2:25">
      <c r="B131" s="1" t="s">
        <v>144</v>
      </c>
    </row>
    <row r="132" spans="2:25">
      <c r="C132" s="29" t="s">
        <v>116</v>
      </c>
      <c r="D132" s="81" t="s">
        <v>145</v>
      </c>
      <c r="E132" s="81"/>
      <c r="F132" s="81"/>
      <c r="G132" s="81"/>
      <c r="H132" s="81"/>
      <c r="I132" s="81"/>
      <c r="J132" s="81"/>
      <c r="K132" s="81"/>
      <c r="L132" s="81"/>
      <c r="M132" s="81"/>
      <c r="N132" s="81"/>
      <c r="O132" s="81"/>
      <c r="P132" s="81"/>
      <c r="Q132" s="81"/>
      <c r="R132" s="81"/>
      <c r="S132" s="81"/>
      <c r="T132" s="81"/>
      <c r="U132" s="81"/>
      <c r="V132" s="81"/>
      <c r="W132" s="81"/>
      <c r="X132" s="81"/>
      <c r="Y132" s="81"/>
    </row>
    <row r="133" spans="2:25">
      <c r="D133" s="81"/>
      <c r="E133" s="81"/>
      <c r="F133" s="81"/>
      <c r="G133" s="81"/>
      <c r="H133" s="81"/>
      <c r="I133" s="81"/>
      <c r="J133" s="81"/>
      <c r="K133" s="81"/>
      <c r="L133" s="81"/>
      <c r="M133" s="81"/>
      <c r="N133" s="81"/>
      <c r="O133" s="81"/>
      <c r="P133" s="81"/>
      <c r="Q133" s="81"/>
      <c r="R133" s="81"/>
      <c r="S133" s="81"/>
      <c r="T133" s="81"/>
      <c r="U133" s="81"/>
      <c r="V133" s="81"/>
      <c r="W133" s="81"/>
      <c r="X133" s="81"/>
      <c r="Y133" s="81"/>
    </row>
    <row r="134" spans="2:25">
      <c r="D134" s="81"/>
      <c r="E134" s="81"/>
      <c r="F134" s="81"/>
      <c r="G134" s="81"/>
      <c r="H134" s="81"/>
      <c r="I134" s="81"/>
      <c r="J134" s="81"/>
      <c r="K134" s="81"/>
      <c r="L134" s="81"/>
      <c r="M134" s="81"/>
      <c r="N134" s="81"/>
      <c r="O134" s="81"/>
      <c r="P134" s="81"/>
      <c r="Q134" s="81"/>
      <c r="R134" s="81"/>
      <c r="S134" s="81"/>
      <c r="T134" s="81"/>
      <c r="U134" s="81"/>
      <c r="V134" s="81"/>
      <c r="W134" s="81"/>
      <c r="X134" s="81"/>
      <c r="Y134" s="81"/>
    </row>
    <row r="135" spans="2:25">
      <c r="C135" s="29" t="s">
        <v>116</v>
      </c>
      <c r="D135" s="1" t="s">
        <v>146</v>
      </c>
    </row>
    <row r="136" spans="2:25" ht="14.25" customHeight="1">
      <c r="C136" s="29" t="s">
        <v>116</v>
      </c>
      <c r="D136" s="80" t="s">
        <v>147</v>
      </c>
      <c r="E136" s="80"/>
      <c r="F136" s="80"/>
      <c r="G136" s="80"/>
      <c r="H136" s="80"/>
      <c r="I136" s="80"/>
      <c r="J136" s="80"/>
      <c r="K136" s="80"/>
      <c r="L136" s="80"/>
      <c r="M136" s="80"/>
      <c r="N136" s="80"/>
      <c r="O136" s="80"/>
      <c r="P136" s="80"/>
      <c r="Q136" s="80"/>
      <c r="R136" s="80"/>
      <c r="S136" s="80"/>
      <c r="T136" s="80"/>
      <c r="U136" s="80"/>
      <c r="V136" s="80"/>
      <c r="W136" s="80"/>
      <c r="X136" s="80"/>
      <c r="Y136" s="80"/>
    </row>
    <row r="137" spans="2:25">
      <c r="D137" s="80"/>
      <c r="E137" s="80"/>
      <c r="F137" s="80"/>
      <c r="G137" s="80"/>
      <c r="H137" s="80"/>
      <c r="I137" s="80"/>
      <c r="J137" s="80"/>
      <c r="K137" s="80"/>
      <c r="L137" s="80"/>
      <c r="M137" s="80"/>
      <c r="N137" s="80"/>
      <c r="O137" s="80"/>
      <c r="P137" s="80"/>
      <c r="Q137" s="80"/>
      <c r="R137" s="80"/>
      <c r="S137" s="80"/>
      <c r="T137" s="80"/>
      <c r="U137" s="80"/>
      <c r="V137" s="80"/>
      <c r="W137" s="80"/>
      <c r="X137" s="80"/>
      <c r="Y137" s="80"/>
    </row>
    <row r="138" spans="2:25">
      <c r="D138" s="80"/>
      <c r="E138" s="80"/>
      <c r="F138" s="80"/>
      <c r="G138" s="80"/>
      <c r="H138" s="80"/>
      <c r="I138" s="80"/>
      <c r="J138" s="80"/>
      <c r="K138" s="80"/>
      <c r="L138" s="80"/>
      <c r="M138" s="80"/>
      <c r="N138" s="80"/>
      <c r="O138" s="80"/>
      <c r="P138" s="80"/>
      <c r="Q138" s="80"/>
      <c r="R138" s="80"/>
      <c r="S138" s="80"/>
      <c r="T138" s="80"/>
      <c r="U138" s="80"/>
      <c r="V138" s="80"/>
      <c r="W138" s="80"/>
      <c r="X138" s="80"/>
      <c r="Y138" s="80"/>
    </row>
    <row r="139" spans="2:25">
      <c r="D139" s="80"/>
      <c r="E139" s="80"/>
      <c r="F139" s="80"/>
      <c r="G139" s="80"/>
      <c r="H139" s="80"/>
      <c r="I139" s="80"/>
      <c r="J139" s="80"/>
      <c r="K139" s="80"/>
      <c r="L139" s="80"/>
      <c r="M139" s="80"/>
      <c r="N139" s="80"/>
      <c r="O139" s="80"/>
      <c r="P139" s="80"/>
      <c r="Q139" s="80"/>
      <c r="R139" s="80"/>
      <c r="S139" s="80"/>
      <c r="T139" s="80"/>
      <c r="U139" s="80"/>
      <c r="V139" s="80"/>
      <c r="W139" s="80"/>
      <c r="X139" s="80"/>
      <c r="Y139" s="80"/>
    </row>
    <row r="140" spans="2:25">
      <c r="C140" s="29" t="s">
        <v>116</v>
      </c>
      <c r="D140" s="1" t="s">
        <v>148</v>
      </c>
    </row>
    <row r="141" spans="2:25">
      <c r="B141" s="1" t="s">
        <v>149</v>
      </c>
    </row>
    <row r="142" spans="2:25">
      <c r="C142" s="29" t="s">
        <v>116</v>
      </c>
      <c r="D142" s="80" t="s">
        <v>150</v>
      </c>
      <c r="E142" s="80"/>
      <c r="F142" s="80"/>
      <c r="G142" s="80"/>
      <c r="H142" s="80"/>
      <c r="I142" s="80"/>
      <c r="J142" s="80"/>
      <c r="K142" s="80"/>
      <c r="L142" s="80"/>
      <c r="M142" s="80"/>
      <c r="N142" s="80"/>
      <c r="O142" s="80"/>
      <c r="P142" s="80"/>
      <c r="Q142" s="80"/>
      <c r="R142" s="80"/>
      <c r="S142" s="80"/>
      <c r="T142" s="80"/>
      <c r="U142" s="80"/>
      <c r="V142" s="80"/>
      <c r="W142" s="80"/>
      <c r="X142" s="80"/>
      <c r="Y142" s="80"/>
    </row>
    <row r="143" spans="2:25">
      <c r="C143" s="29"/>
      <c r="D143" s="80"/>
      <c r="E143" s="80"/>
      <c r="F143" s="80"/>
      <c r="G143" s="80"/>
      <c r="H143" s="80"/>
      <c r="I143" s="80"/>
      <c r="J143" s="80"/>
      <c r="K143" s="80"/>
      <c r="L143" s="80"/>
      <c r="M143" s="80"/>
      <c r="N143" s="80"/>
      <c r="O143" s="80"/>
      <c r="P143" s="80"/>
      <c r="Q143" s="80"/>
      <c r="R143" s="80"/>
      <c r="S143" s="80"/>
      <c r="T143" s="80"/>
      <c r="U143" s="80"/>
      <c r="V143" s="80"/>
      <c r="W143" s="80"/>
      <c r="X143" s="80"/>
      <c r="Y143" s="80"/>
    </row>
    <row r="144" spans="2:25">
      <c r="D144" s="80"/>
      <c r="E144" s="80"/>
      <c r="F144" s="80"/>
      <c r="G144" s="80"/>
      <c r="H144" s="80"/>
      <c r="I144" s="80"/>
      <c r="J144" s="80"/>
      <c r="K144" s="80"/>
      <c r="L144" s="80"/>
      <c r="M144" s="80"/>
      <c r="N144" s="80"/>
      <c r="O144" s="80"/>
      <c r="P144" s="80"/>
      <c r="Q144" s="80"/>
      <c r="R144" s="80"/>
      <c r="S144" s="80"/>
      <c r="T144" s="80"/>
      <c r="U144" s="80"/>
      <c r="V144" s="80"/>
      <c r="W144" s="80"/>
      <c r="X144" s="80"/>
      <c r="Y144" s="80"/>
    </row>
    <row r="145" spans="2:26">
      <c r="D145" s="80"/>
      <c r="E145" s="80"/>
      <c r="F145" s="80"/>
      <c r="G145" s="80"/>
      <c r="H145" s="80"/>
      <c r="I145" s="80"/>
      <c r="J145" s="80"/>
      <c r="K145" s="80"/>
      <c r="L145" s="80"/>
      <c r="M145" s="80"/>
      <c r="N145" s="80"/>
      <c r="O145" s="80"/>
      <c r="P145" s="80"/>
      <c r="Q145" s="80"/>
      <c r="R145" s="80"/>
      <c r="S145" s="80"/>
      <c r="T145" s="80"/>
      <c r="U145" s="80"/>
      <c r="V145" s="80"/>
      <c r="W145" s="80"/>
      <c r="X145" s="80"/>
      <c r="Y145" s="80"/>
    </row>
    <row r="146" spans="2:26">
      <c r="D146" s="1" t="s">
        <v>151</v>
      </c>
    </row>
    <row r="147" spans="2:26">
      <c r="B147" s="1" t="s">
        <v>152</v>
      </c>
    </row>
    <row r="148" spans="2:26">
      <c r="C148" s="29" t="s">
        <v>116</v>
      </c>
      <c r="D148" s="1" t="s">
        <v>153</v>
      </c>
    </row>
    <row r="149" spans="2:26">
      <c r="C149" s="29"/>
      <c r="D149" s="81" t="s">
        <v>154</v>
      </c>
      <c r="E149" s="81"/>
      <c r="F149" s="81"/>
      <c r="G149" s="81"/>
      <c r="H149" s="81"/>
      <c r="I149" s="81"/>
      <c r="J149" s="81"/>
      <c r="K149" s="81"/>
      <c r="L149" s="81"/>
      <c r="M149" s="81"/>
      <c r="N149" s="81"/>
      <c r="O149" s="81"/>
      <c r="P149" s="81"/>
      <c r="Q149" s="81"/>
      <c r="R149" s="81"/>
      <c r="S149" s="81"/>
      <c r="T149" s="81"/>
      <c r="U149" s="81"/>
      <c r="V149" s="81"/>
      <c r="W149" s="81"/>
      <c r="X149" s="81"/>
      <c r="Y149" s="81"/>
    </row>
    <row r="150" spans="2:26">
      <c r="D150" s="81"/>
      <c r="E150" s="81"/>
      <c r="F150" s="81"/>
      <c r="G150" s="81"/>
      <c r="H150" s="81"/>
      <c r="I150" s="81"/>
      <c r="J150" s="81"/>
      <c r="K150" s="81"/>
      <c r="L150" s="81"/>
      <c r="M150" s="81"/>
      <c r="N150" s="81"/>
      <c r="O150" s="81"/>
      <c r="P150" s="81"/>
      <c r="Q150" s="81"/>
      <c r="R150" s="81"/>
      <c r="S150" s="81"/>
      <c r="T150" s="81"/>
      <c r="U150" s="81"/>
      <c r="V150" s="81"/>
      <c r="W150" s="81"/>
      <c r="X150" s="81"/>
      <c r="Y150" s="81"/>
    </row>
    <row r="151" spans="2:26">
      <c r="D151" s="81"/>
      <c r="E151" s="81"/>
      <c r="F151" s="81"/>
      <c r="G151" s="81"/>
      <c r="H151" s="81"/>
      <c r="I151" s="81"/>
      <c r="J151" s="81"/>
      <c r="K151" s="81"/>
      <c r="L151" s="81"/>
      <c r="M151" s="81"/>
      <c r="N151" s="81"/>
      <c r="O151" s="81"/>
      <c r="P151" s="81"/>
      <c r="Q151" s="81"/>
      <c r="R151" s="81"/>
      <c r="S151" s="81"/>
      <c r="T151" s="81"/>
      <c r="U151" s="81"/>
      <c r="V151" s="81"/>
      <c r="W151" s="81"/>
      <c r="X151" s="81"/>
      <c r="Y151" s="81"/>
    </row>
    <row r="152" spans="2:26">
      <c r="B152" s="1" t="s">
        <v>155</v>
      </c>
    </row>
    <row r="153" spans="2:26" ht="14.25" customHeight="1">
      <c r="D153" s="80" t="s">
        <v>156</v>
      </c>
      <c r="E153" s="80"/>
      <c r="F153" s="80"/>
      <c r="G153" s="80"/>
      <c r="H153" s="80"/>
      <c r="I153" s="80"/>
      <c r="J153" s="80"/>
      <c r="K153" s="80"/>
      <c r="L153" s="80"/>
      <c r="M153" s="80"/>
      <c r="N153" s="80"/>
      <c r="O153" s="80"/>
      <c r="P153" s="80"/>
      <c r="Q153" s="80"/>
      <c r="R153" s="80"/>
      <c r="S153" s="80"/>
      <c r="T153" s="80"/>
      <c r="U153" s="80"/>
      <c r="V153" s="80"/>
      <c r="W153" s="80"/>
      <c r="X153" s="80"/>
      <c r="Y153" s="80"/>
      <c r="Z153" s="80"/>
    </row>
    <row r="154" spans="2:26">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spans="2:26">
      <c r="D155" s="56"/>
      <c r="E155" s="56"/>
      <c r="F155" s="56"/>
      <c r="G155" s="56"/>
      <c r="H155" s="56"/>
      <c r="I155" s="56"/>
      <c r="J155" s="56"/>
      <c r="K155" s="56"/>
      <c r="L155" s="56"/>
      <c r="M155" s="56"/>
      <c r="N155" s="56"/>
      <c r="O155" s="56"/>
      <c r="P155" s="56"/>
      <c r="Q155" s="56"/>
      <c r="R155" s="56"/>
      <c r="S155" s="56"/>
      <c r="T155" s="56"/>
      <c r="U155" s="56"/>
      <c r="V155" s="56"/>
      <c r="W155" s="56"/>
      <c r="X155" s="56"/>
      <c r="Y155" s="56"/>
    </row>
  </sheetData>
  <mergeCells count="18">
    <mergeCell ref="D94:Y95"/>
    <mergeCell ref="D96:Y97"/>
    <mergeCell ref="D101:Y102"/>
    <mergeCell ref="D103:Y104"/>
    <mergeCell ref="D86:Y89"/>
    <mergeCell ref="D90:Y92"/>
    <mergeCell ref="Z108:AV109"/>
    <mergeCell ref="D108:Y109"/>
    <mergeCell ref="D117:Y120"/>
    <mergeCell ref="D121:Y122"/>
    <mergeCell ref="D123:Z124"/>
    <mergeCell ref="D136:Y139"/>
    <mergeCell ref="D142:Y145"/>
    <mergeCell ref="D149:Y151"/>
    <mergeCell ref="D153:Z154"/>
    <mergeCell ref="D125:AA127"/>
    <mergeCell ref="D128:Y129"/>
    <mergeCell ref="D132:Y134"/>
  </mergeCells>
  <hyperlinks>
    <hyperlink ref="R11" r:id="rId1" xr:uid="{3A32E811-E794-46FB-A010-EBB0450F323B}"/>
    <hyperlink ref="Q14" r:id="rId2" xr:uid="{14375537-5C3D-4253-9650-337AB6789785}"/>
    <hyperlink ref="A1" r:id="rId3" xr:uid="{EDA13AC1-BCFA-467D-9643-ECC07842BBBD}"/>
    <hyperlink ref="Q9" r:id="rId4" xr:uid="{B855939C-3615-49D9-AD66-80F5636434DC}"/>
    <hyperlink ref="R10" r:id="rId5" xr:uid="{A176D109-421B-41BE-9E54-D31AE2F0979D}"/>
    <hyperlink ref="Q15" r:id="rId6" xr:uid="{F867F9C4-0C41-496F-A572-468A1A8320AD}"/>
    <hyperlink ref="Q16" r:id="rId7" xr:uid="{15922CCE-5C77-4DF6-B11A-1C168A4424C2}"/>
    <hyperlink ref="Q21" r:id="rId8" xr:uid="{6E0C9D70-F167-4458-B67B-F7B459F793D8}"/>
    <hyperlink ref="Q20" r:id="rId9" xr:uid="{3CE57C13-08E3-404B-8B3A-1129D2D58149}"/>
    <hyperlink ref="Q17" r:id="rId10" xr:uid="{8FC47F99-145C-490E-A7CB-4DC674812574}"/>
    <hyperlink ref="Q18" r:id="rId11" xr:uid="{6AA9AA8D-CFA3-443E-8D93-720D0F6FCFED}"/>
    <hyperlink ref="R19" r:id="rId12" xr:uid="{2E7FD18F-88C6-4BC8-8B89-53ECD514E36C}"/>
    <hyperlink ref="K18" r:id="rId13" xr:uid="{F6F6BDA3-2ACF-44F4-B3B7-59842082DB68}"/>
  </hyperlinks>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EF89"/>
  <sheetViews>
    <sheetView zoomScale="85" zoomScaleNormal="85" workbookViewId="0">
      <pane xSplit="2" ySplit="3" topLeftCell="AG4" activePane="bottomRight" state="frozen"/>
      <selection pane="topRight" activeCell="C1" sqref="C1"/>
      <selection pane="bottomLeft" activeCell="A4" sqref="A4"/>
      <selection pane="bottomRight" activeCell="CG64" sqref="CG64"/>
    </sheetView>
  </sheetViews>
  <sheetFormatPr defaultColWidth="9.140625" defaultRowHeight="14.25"/>
  <cols>
    <col min="1" max="1" width="3.140625" style="1" customWidth="1"/>
    <col min="2" max="2" width="36.42578125" style="1" customWidth="1"/>
    <col min="3" max="52" width="9.140625" style="1"/>
    <col min="53" max="58" width="9.140625" style="36"/>
    <col min="59" max="74" width="9.140625" style="1"/>
    <col min="75" max="134" width="9.140625" style="36"/>
    <col min="135" max="16384" width="9.140625" style="1"/>
  </cols>
  <sheetData>
    <row r="1" spans="2:136" ht="15">
      <c r="B1" s="1" t="s">
        <v>157</v>
      </c>
      <c r="AE1" s="34" t="s">
        <v>159</v>
      </c>
      <c r="AI1" s="34" t="s">
        <v>160</v>
      </c>
      <c r="AM1" s="34" t="s">
        <v>161</v>
      </c>
      <c r="AQ1" s="34" t="s">
        <v>162</v>
      </c>
      <c r="AU1" s="2" t="s">
        <v>163</v>
      </c>
      <c r="AW1" s="34"/>
      <c r="AY1" s="2" t="s">
        <v>164</v>
      </c>
      <c r="BA1" s="35"/>
      <c r="BC1" s="35" t="s">
        <v>1354</v>
      </c>
      <c r="BE1" s="35"/>
    </row>
    <row r="2" spans="2:136">
      <c r="B2" s="1" t="s">
        <v>166</v>
      </c>
      <c r="C2" s="1" t="s">
        <v>1362</v>
      </c>
      <c r="D2" s="1" t="s">
        <v>168</v>
      </c>
      <c r="E2" s="1" t="s">
        <v>1364</v>
      </c>
      <c r="F2" s="1" t="s">
        <v>167</v>
      </c>
      <c r="G2" s="1" t="s">
        <v>1362</v>
      </c>
      <c r="H2" s="1" t="s">
        <v>1363</v>
      </c>
      <c r="I2" s="1" t="s">
        <v>1364</v>
      </c>
      <c r="J2" s="1" t="s">
        <v>167</v>
      </c>
      <c r="K2" s="1" t="s">
        <v>1362</v>
      </c>
      <c r="L2" s="1" t="s">
        <v>1363</v>
      </c>
      <c r="M2" s="1" t="s">
        <v>1364</v>
      </c>
      <c r="N2" s="1" t="s">
        <v>167</v>
      </c>
      <c r="O2" s="1" t="s">
        <v>1362</v>
      </c>
      <c r="P2" s="1" t="s">
        <v>1363</v>
      </c>
      <c r="Q2" s="1" t="s">
        <v>1364</v>
      </c>
      <c r="R2" s="1" t="s">
        <v>167</v>
      </c>
      <c r="S2" s="1" t="s">
        <v>1362</v>
      </c>
      <c r="T2" s="1" t="s">
        <v>1363</v>
      </c>
      <c r="U2" s="1" t="s">
        <v>1364</v>
      </c>
      <c r="V2" s="1" t="s">
        <v>167</v>
      </c>
      <c r="W2" s="1" t="s">
        <v>1362</v>
      </c>
      <c r="X2" s="1" t="s">
        <v>1363</v>
      </c>
      <c r="Y2" s="1" t="s">
        <v>1364</v>
      </c>
      <c r="Z2" s="1" t="s">
        <v>167</v>
      </c>
      <c r="AA2" s="1" t="s">
        <v>1362</v>
      </c>
      <c r="AB2" s="1" t="s">
        <v>1363</v>
      </c>
      <c r="AC2" s="1" t="s">
        <v>1364</v>
      </c>
      <c r="AD2" s="1" t="s">
        <v>167</v>
      </c>
      <c r="AE2" s="1" t="s">
        <v>1362</v>
      </c>
      <c r="AF2" s="1" t="s">
        <v>1363</v>
      </c>
      <c r="AG2" s="1" t="s">
        <v>1364</v>
      </c>
      <c r="AH2" s="1" t="s">
        <v>167</v>
      </c>
      <c r="AI2" s="1" t="s">
        <v>1362</v>
      </c>
      <c r="AJ2" s="1" t="s">
        <v>1363</v>
      </c>
      <c r="AK2" s="1" t="s">
        <v>1364</v>
      </c>
      <c r="AL2" s="1" t="s">
        <v>167</v>
      </c>
      <c r="AM2" s="1" t="s">
        <v>1362</v>
      </c>
      <c r="AN2" s="1" t="s">
        <v>1363</v>
      </c>
      <c r="AO2" s="1" t="s">
        <v>1364</v>
      </c>
      <c r="AP2" s="1" t="s">
        <v>167</v>
      </c>
      <c r="AQ2" s="1" t="s">
        <v>1362</v>
      </c>
      <c r="AR2" s="1" t="s">
        <v>1363</v>
      </c>
      <c r="AS2" s="1" t="s">
        <v>1364</v>
      </c>
      <c r="AT2" s="1" t="s">
        <v>167</v>
      </c>
      <c r="AU2" s="1" t="s">
        <v>1362</v>
      </c>
      <c r="AV2" s="1" t="s">
        <v>1363</v>
      </c>
      <c r="AW2" s="1" t="s">
        <v>1364</v>
      </c>
      <c r="AX2" s="1" t="s">
        <v>167</v>
      </c>
      <c r="AY2" s="1" t="s">
        <v>1362</v>
      </c>
      <c r="AZ2" s="1" t="s">
        <v>1363</v>
      </c>
      <c r="BA2" s="36" t="s">
        <v>170</v>
      </c>
      <c r="BB2" s="36" t="s">
        <v>167</v>
      </c>
      <c r="BC2" s="36" t="s">
        <v>168</v>
      </c>
      <c r="BD2" s="36" t="s">
        <v>169</v>
      </c>
      <c r="BE2" s="36" t="s">
        <v>170</v>
      </c>
      <c r="BF2" s="36" t="s">
        <v>167</v>
      </c>
    </row>
    <row r="3" spans="2:136" ht="15">
      <c r="B3" s="2" t="s">
        <v>171</v>
      </c>
      <c r="C3" s="34" t="s">
        <v>172</v>
      </c>
      <c r="D3" s="34" t="s">
        <v>173</v>
      </c>
      <c r="E3" s="34" t="s">
        <v>174</v>
      </c>
      <c r="F3" s="34" t="s">
        <v>175</v>
      </c>
      <c r="G3" s="34" t="s">
        <v>176</v>
      </c>
      <c r="H3" s="34" t="s">
        <v>177</v>
      </c>
      <c r="I3" s="34" t="s">
        <v>178</v>
      </c>
      <c r="J3" s="34" t="s">
        <v>179</v>
      </c>
      <c r="K3" s="34" t="s">
        <v>180</v>
      </c>
      <c r="L3" s="34" t="s">
        <v>181</v>
      </c>
      <c r="M3" s="34" t="s">
        <v>182</v>
      </c>
      <c r="N3" s="34" t="s">
        <v>183</v>
      </c>
      <c r="O3" s="34" t="s">
        <v>184</v>
      </c>
      <c r="P3" s="34" t="s">
        <v>185</v>
      </c>
      <c r="Q3" s="34" t="s">
        <v>186</v>
      </c>
      <c r="R3" s="34" t="s">
        <v>187</v>
      </c>
      <c r="S3" s="34" t="s">
        <v>188</v>
      </c>
      <c r="T3" s="34" t="s">
        <v>189</v>
      </c>
      <c r="U3" s="34" t="s">
        <v>190</v>
      </c>
      <c r="V3" s="34" t="s">
        <v>191</v>
      </c>
      <c r="W3" s="34" t="s">
        <v>192</v>
      </c>
      <c r="X3" s="34" t="s">
        <v>193</v>
      </c>
      <c r="Y3" s="34" t="s">
        <v>194</v>
      </c>
      <c r="Z3" s="34" t="s">
        <v>195</v>
      </c>
      <c r="AA3" s="34" t="s">
        <v>158</v>
      </c>
      <c r="AB3" s="34" t="s">
        <v>196</v>
      </c>
      <c r="AC3" s="34" t="s">
        <v>197</v>
      </c>
      <c r="AD3" s="34" t="s">
        <v>198</v>
      </c>
      <c r="AE3" s="34" t="s">
        <v>159</v>
      </c>
      <c r="AF3" s="34" t="s">
        <v>199</v>
      </c>
      <c r="AG3" s="34" t="s">
        <v>200</v>
      </c>
      <c r="AH3" s="34" t="s">
        <v>201</v>
      </c>
      <c r="AI3" s="34" t="s">
        <v>160</v>
      </c>
      <c r="AJ3" s="34" t="s">
        <v>202</v>
      </c>
      <c r="AK3" s="34" t="s">
        <v>203</v>
      </c>
      <c r="AL3" s="34" t="s">
        <v>204</v>
      </c>
      <c r="AM3" s="34" t="s">
        <v>161</v>
      </c>
      <c r="AN3" s="34" t="s">
        <v>205</v>
      </c>
      <c r="AO3" s="34" t="s">
        <v>206</v>
      </c>
      <c r="AP3" s="34" t="s">
        <v>207</v>
      </c>
      <c r="AQ3" s="34" t="s">
        <v>162</v>
      </c>
      <c r="AR3" s="34" t="s">
        <v>208</v>
      </c>
      <c r="AS3" s="34" t="s">
        <v>209</v>
      </c>
      <c r="AT3" s="34" t="s">
        <v>210</v>
      </c>
      <c r="AU3" s="2" t="s">
        <v>163</v>
      </c>
      <c r="AV3" s="2" t="s">
        <v>211</v>
      </c>
      <c r="AW3" s="2" t="s">
        <v>209</v>
      </c>
      <c r="AX3" s="2" t="s">
        <v>210</v>
      </c>
      <c r="AY3" s="2" t="s">
        <v>164</v>
      </c>
      <c r="AZ3" s="2" t="s">
        <v>212</v>
      </c>
      <c r="BA3" s="35" t="s">
        <v>213</v>
      </c>
      <c r="BB3" s="35" t="s">
        <v>214</v>
      </c>
      <c r="BC3" s="35" t="s">
        <v>1354</v>
      </c>
      <c r="BD3" s="35" t="s">
        <v>1355</v>
      </c>
      <c r="BE3" s="35" t="s">
        <v>165</v>
      </c>
      <c r="BF3" s="35" t="s">
        <v>1356</v>
      </c>
      <c r="BK3" s="2">
        <v>2014</v>
      </c>
      <c r="BL3" s="2">
        <f t="shared" ref="BL3:DR3" si="0">BK3+1</f>
        <v>2015</v>
      </c>
      <c r="BM3" s="2">
        <f t="shared" si="0"/>
        <v>2016</v>
      </c>
      <c r="BN3" s="2">
        <f t="shared" si="0"/>
        <v>2017</v>
      </c>
      <c r="BO3" s="2">
        <f t="shared" si="0"/>
        <v>2018</v>
      </c>
      <c r="BP3" s="2">
        <f t="shared" si="0"/>
        <v>2019</v>
      </c>
      <c r="BQ3" s="2">
        <f t="shared" si="0"/>
        <v>2020</v>
      </c>
      <c r="BR3" s="2">
        <f t="shared" si="0"/>
        <v>2021</v>
      </c>
      <c r="BS3" s="2">
        <f t="shared" si="0"/>
        <v>2022</v>
      </c>
      <c r="BT3" s="2">
        <f t="shared" si="0"/>
        <v>2023</v>
      </c>
      <c r="BU3" s="2">
        <f t="shared" si="0"/>
        <v>2024</v>
      </c>
      <c r="BV3" s="2">
        <f t="shared" si="0"/>
        <v>2025</v>
      </c>
      <c r="BW3" s="35">
        <f t="shared" si="0"/>
        <v>2026</v>
      </c>
      <c r="BX3" s="35">
        <f t="shared" si="0"/>
        <v>2027</v>
      </c>
      <c r="BY3" s="35">
        <f t="shared" si="0"/>
        <v>2028</v>
      </c>
      <c r="BZ3" s="35">
        <f t="shared" si="0"/>
        <v>2029</v>
      </c>
      <c r="CA3" s="35">
        <f t="shared" si="0"/>
        <v>2030</v>
      </c>
      <c r="CB3" s="35">
        <f t="shared" si="0"/>
        <v>2031</v>
      </c>
      <c r="CC3" s="35">
        <f t="shared" si="0"/>
        <v>2032</v>
      </c>
      <c r="CD3" s="35">
        <f t="shared" si="0"/>
        <v>2033</v>
      </c>
      <c r="CE3" s="35">
        <f t="shared" si="0"/>
        <v>2034</v>
      </c>
      <c r="CF3" s="35">
        <f t="shared" si="0"/>
        <v>2035</v>
      </c>
      <c r="CG3" s="35">
        <f t="shared" si="0"/>
        <v>2036</v>
      </c>
      <c r="CH3" s="35">
        <f t="shared" si="0"/>
        <v>2037</v>
      </c>
      <c r="CI3" s="35">
        <f t="shared" si="0"/>
        <v>2038</v>
      </c>
      <c r="CJ3" s="35">
        <f t="shared" si="0"/>
        <v>2039</v>
      </c>
      <c r="CK3" s="35">
        <f t="shared" si="0"/>
        <v>2040</v>
      </c>
      <c r="CL3" s="35">
        <f t="shared" si="0"/>
        <v>2041</v>
      </c>
      <c r="CM3" s="35">
        <f t="shared" si="0"/>
        <v>2042</v>
      </c>
      <c r="CN3" s="35">
        <f t="shared" si="0"/>
        <v>2043</v>
      </c>
      <c r="CO3" s="35">
        <f t="shared" si="0"/>
        <v>2044</v>
      </c>
      <c r="CP3" s="35">
        <f t="shared" si="0"/>
        <v>2045</v>
      </c>
      <c r="CQ3" s="35">
        <f t="shared" si="0"/>
        <v>2046</v>
      </c>
      <c r="CR3" s="35">
        <f t="shared" si="0"/>
        <v>2047</v>
      </c>
      <c r="CS3" s="35">
        <f t="shared" si="0"/>
        <v>2048</v>
      </c>
      <c r="CT3" s="35">
        <f t="shared" si="0"/>
        <v>2049</v>
      </c>
      <c r="CU3" s="35">
        <f t="shared" si="0"/>
        <v>2050</v>
      </c>
      <c r="CV3" s="35">
        <f t="shared" si="0"/>
        <v>2051</v>
      </c>
      <c r="CW3" s="35">
        <f t="shared" si="0"/>
        <v>2052</v>
      </c>
      <c r="CX3" s="35">
        <f t="shared" si="0"/>
        <v>2053</v>
      </c>
      <c r="CY3" s="35">
        <f t="shared" si="0"/>
        <v>2054</v>
      </c>
      <c r="CZ3" s="35">
        <f t="shared" si="0"/>
        <v>2055</v>
      </c>
      <c r="DA3" s="35">
        <f t="shared" si="0"/>
        <v>2056</v>
      </c>
      <c r="DB3" s="35">
        <f t="shared" si="0"/>
        <v>2057</v>
      </c>
      <c r="DC3" s="35">
        <f t="shared" si="0"/>
        <v>2058</v>
      </c>
      <c r="DD3" s="35">
        <f t="shared" si="0"/>
        <v>2059</v>
      </c>
      <c r="DE3" s="35">
        <f t="shared" si="0"/>
        <v>2060</v>
      </c>
      <c r="DF3" s="35">
        <f t="shared" si="0"/>
        <v>2061</v>
      </c>
      <c r="DG3" s="35">
        <f t="shared" si="0"/>
        <v>2062</v>
      </c>
      <c r="DH3" s="35">
        <f t="shared" si="0"/>
        <v>2063</v>
      </c>
      <c r="DI3" s="35">
        <f t="shared" si="0"/>
        <v>2064</v>
      </c>
      <c r="DJ3" s="35">
        <f t="shared" si="0"/>
        <v>2065</v>
      </c>
      <c r="DK3" s="35">
        <f t="shared" si="0"/>
        <v>2066</v>
      </c>
      <c r="DL3" s="35">
        <f t="shared" si="0"/>
        <v>2067</v>
      </c>
      <c r="DM3" s="35">
        <f t="shared" si="0"/>
        <v>2068</v>
      </c>
      <c r="DN3" s="35">
        <f t="shared" si="0"/>
        <v>2069</v>
      </c>
      <c r="DO3" s="35">
        <f t="shared" si="0"/>
        <v>2070</v>
      </c>
      <c r="DP3" s="35">
        <f t="shared" si="0"/>
        <v>2071</v>
      </c>
      <c r="DQ3" s="35">
        <f t="shared" si="0"/>
        <v>2072</v>
      </c>
      <c r="DR3" s="35">
        <f t="shared" si="0"/>
        <v>2073</v>
      </c>
      <c r="DS3" s="35">
        <f t="shared" ref="DS3:ED3" si="1">DR3+1</f>
        <v>2074</v>
      </c>
      <c r="DT3" s="35">
        <f t="shared" si="1"/>
        <v>2075</v>
      </c>
      <c r="DU3" s="35">
        <f t="shared" si="1"/>
        <v>2076</v>
      </c>
      <c r="DV3" s="35">
        <f t="shared" si="1"/>
        <v>2077</v>
      </c>
      <c r="DW3" s="35">
        <f t="shared" si="1"/>
        <v>2078</v>
      </c>
      <c r="DX3" s="35">
        <f t="shared" si="1"/>
        <v>2079</v>
      </c>
      <c r="DY3" s="35">
        <f t="shared" si="1"/>
        <v>2080</v>
      </c>
      <c r="DZ3" s="35">
        <f t="shared" si="1"/>
        <v>2081</v>
      </c>
      <c r="EA3" s="35">
        <f t="shared" si="1"/>
        <v>2082</v>
      </c>
      <c r="EB3" s="35">
        <f t="shared" si="1"/>
        <v>2083</v>
      </c>
      <c r="EC3" s="35">
        <f t="shared" si="1"/>
        <v>2084</v>
      </c>
      <c r="ED3" s="35">
        <f t="shared" si="1"/>
        <v>2085</v>
      </c>
      <c r="EE3" s="2"/>
      <c r="EF3" s="2"/>
    </row>
    <row r="4" spans="2:136">
      <c r="B4" s="37" t="s">
        <v>215</v>
      </c>
      <c r="AG4" s="48"/>
      <c r="AH4" s="48"/>
      <c r="AI4" s="48">
        <v>17.606999999999999</v>
      </c>
      <c r="AJ4" s="48">
        <v>18.885999999999999</v>
      </c>
      <c r="AK4" s="48">
        <v>19.611999999999998</v>
      </c>
      <c r="AL4" s="48">
        <f>78.717-SUM(AI4:AK4)</f>
        <v>22.612000000000009</v>
      </c>
      <c r="AM4" s="48">
        <v>22.817</v>
      </c>
      <c r="AN4" s="48">
        <v>24.501999999999999</v>
      </c>
      <c r="AO4" s="48">
        <v>22.9</v>
      </c>
      <c r="AP4" s="48">
        <f>96.687-SUM(AM4:AO4)</f>
        <v>26.468000000000004</v>
      </c>
      <c r="AQ4" s="48">
        <v>25.86</v>
      </c>
      <c r="AR4" s="48">
        <v>25.36</v>
      </c>
      <c r="AS4" s="48">
        <v>25.844000000000001</v>
      </c>
      <c r="AT4" s="48">
        <f>106.403-SUM(AQ4:AS4)</f>
        <v>29.339000000000013</v>
      </c>
      <c r="AU4" s="48">
        <v>27.969000000000001</v>
      </c>
      <c r="AV4" s="48">
        <v>31.553999999999998</v>
      </c>
      <c r="AW4" s="48">
        <v>31.34</v>
      </c>
      <c r="AX4" s="48">
        <f>126.653-SUM(AU4:AW4)</f>
        <v>35.790000000000006</v>
      </c>
      <c r="AY4" s="48">
        <v>35.261000000000003</v>
      </c>
      <c r="AZ4" s="48">
        <v>35.65</v>
      </c>
      <c r="BS4" s="48">
        <f>SUM(AI4:AL4)</f>
        <v>78.716999999999999</v>
      </c>
      <c r="BT4" s="48">
        <f>SUM(AM4:AP4)</f>
        <v>96.686999999999998</v>
      </c>
      <c r="BU4" s="48">
        <f>SUM(AQ4:AT4)</f>
        <v>106.40300000000001</v>
      </c>
      <c r="BV4" s="48">
        <f>SUM(AU4:AX4)</f>
        <v>126.65300000000001</v>
      </c>
      <c r="BW4" s="61">
        <f t="shared" ref="BW4:CA4" si="2">BV4*(1+BW8)</f>
        <v>144.38442000000003</v>
      </c>
      <c r="BX4" s="61">
        <f t="shared" si="2"/>
        <v>161.71055040000005</v>
      </c>
      <c r="BY4" s="61">
        <f t="shared" si="2"/>
        <v>179.49871094400007</v>
      </c>
      <c r="BZ4" s="61">
        <f t="shared" si="2"/>
        <v>197.44858203840008</v>
      </c>
      <c r="CA4" s="61">
        <f t="shared" si="2"/>
        <v>217.19344024224011</v>
      </c>
    </row>
    <row r="5" spans="2:136">
      <c r="B5" s="37" t="s">
        <v>216</v>
      </c>
      <c r="AG5" s="48"/>
      <c r="AH5" s="48"/>
      <c r="AI5" s="48">
        <v>59.363999999999997</v>
      </c>
      <c r="AJ5" s="48">
        <v>59.393999999999998</v>
      </c>
      <c r="AK5" s="48">
        <v>54.357999999999997</v>
      </c>
      <c r="AL5" s="48">
        <f>237.502-SUM(AI5:AK5)</f>
        <v>64.386000000000024</v>
      </c>
      <c r="AM5" s="48">
        <v>58.72</v>
      </c>
      <c r="AN5" s="48">
        <v>60.927</v>
      </c>
      <c r="AO5" s="48">
        <v>57.8</v>
      </c>
      <c r="AP5" s="48">
        <f>242.065-SUM(AM5:AO5)</f>
        <v>64.617999999999995</v>
      </c>
      <c r="AQ5" s="48">
        <v>52.819000000000003</v>
      </c>
      <c r="AR5" s="48">
        <v>53.71</v>
      </c>
      <c r="AS5" s="48">
        <v>49.338000000000001</v>
      </c>
      <c r="AT5" s="48">
        <f>197.511-SUM(AQ5:AS5)</f>
        <v>41.644000000000005</v>
      </c>
      <c r="AU5" s="48">
        <v>39.521999999999998</v>
      </c>
      <c r="AV5" s="48">
        <v>41.29</v>
      </c>
      <c r="AW5" s="48">
        <v>40.659999999999997</v>
      </c>
      <c r="AX5" s="48">
        <f>165.845-SUM(AU5:AW5)</f>
        <v>44.373000000000005</v>
      </c>
      <c r="AY5" s="48">
        <v>40.450000000000003</v>
      </c>
      <c r="AZ5" s="48">
        <v>43.78</v>
      </c>
      <c r="BS5" s="48">
        <f>SUM(AI5:AL5)</f>
        <v>237.50200000000001</v>
      </c>
      <c r="BT5" s="48">
        <f>SUM(AM5:AP5)</f>
        <v>242.065</v>
      </c>
      <c r="BU5" s="48">
        <f>SUM(AQ5:AT5)</f>
        <v>197.511</v>
      </c>
      <c r="BV5" s="48">
        <f>SUM(AU5:AX5)</f>
        <v>165.845</v>
      </c>
      <c r="BW5" s="61">
        <f t="shared" ref="BW5:CA5" si="3">BV5*(1+BW9)</f>
        <v>157.55275</v>
      </c>
      <c r="BX5" s="61">
        <f t="shared" si="3"/>
        <v>163.85486</v>
      </c>
      <c r="BY5" s="61">
        <f t="shared" si="3"/>
        <v>167.13195720000002</v>
      </c>
      <c r="BZ5" s="61">
        <f t="shared" si="3"/>
        <v>168.80327677200003</v>
      </c>
      <c r="CA5" s="61">
        <f t="shared" si="3"/>
        <v>170.49130953972002</v>
      </c>
    </row>
    <row r="6" spans="2:136" s="2" customFormat="1" ht="15">
      <c r="B6" s="34" t="s">
        <v>217</v>
      </c>
      <c r="AE6" s="50"/>
      <c r="AF6" s="50"/>
      <c r="AG6" s="50"/>
      <c r="AH6" s="50"/>
      <c r="AI6" s="50">
        <f t="shared" ref="AI6:AV6" si="4">SUM(AI4:AI5)</f>
        <v>76.971000000000004</v>
      </c>
      <c r="AJ6" s="50">
        <f t="shared" si="4"/>
        <v>78.28</v>
      </c>
      <c r="AK6" s="50">
        <f t="shared" si="4"/>
        <v>73.97</v>
      </c>
      <c r="AL6" s="50">
        <f t="shared" si="4"/>
        <v>86.998000000000033</v>
      </c>
      <c r="AM6" s="50">
        <f t="shared" si="4"/>
        <v>81.537000000000006</v>
      </c>
      <c r="AN6" s="50">
        <f t="shared" si="4"/>
        <v>85.429000000000002</v>
      </c>
      <c r="AO6" s="50">
        <f t="shared" si="4"/>
        <v>80.699999999999989</v>
      </c>
      <c r="AP6" s="50">
        <f t="shared" si="4"/>
        <v>91.085999999999999</v>
      </c>
      <c r="AQ6" s="50">
        <f t="shared" si="4"/>
        <v>78.679000000000002</v>
      </c>
      <c r="AR6" s="50">
        <f t="shared" si="4"/>
        <v>79.069999999999993</v>
      </c>
      <c r="AS6" s="50">
        <f t="shared" si="4"/>
        <v>75.182000000000002</v>
      </c>
      <c r="AT6" s="50">
        <f t="shared" si="4"/>
        <v>70.983000000000018</v>
      </c>
      <c r="AU6" s="50">
        <f t="shared" si="4"/>
        <v>67.491</v>
      </c>
      <c r="AV6" s="50">
        <f t="shared" si="4"/>
        <v>72.843999999999994</v>
      </c>
      <c r="AW6" s="50">
        <f>SUM(AW4:AW5)</f>
        <v>72</v>
      </c>
      <c r="AX6" s="50">
        <f t="shared" ref="AX6" si="5">SUM(AX4:AX5)</f>
        <v>80.163000000000011</v>
      </c>
      <c r="AY6" s="50">
        <f>SUM(AY4:AY5)</f>
        <v>75.711000000000013</v>
      </c>
      <c r="AZ6" s="50">
        <f>SUM(AZ4:AZ5)</f>
        <v>79.430000000000007</v>
      </c>
      <c r="BA6" s="35"/>
      <c r="BB6" s="35"/>
      <c r="BC6" s="35"/>
      <c r="BD6" s="35"/>
      <c r="BE6" s="35"/>
      <c r="BF6" s="35"/>
      <c r="BS6" s="50">
        <f>SUM(AI6:AL6)</f>
        <v>316.21900000000005</v>
      </c>
      <c r="BT6" s="50">
        <f>SUM(AM6:AP6)</f>
        <v>338.75200000000001</v>
      </c>
      <c r="BU6" s="50">
        <f>SUM(AQ6:AT6)</f>
        <v>303.91399999999999</v>
      </c>
      <c r="BV6" s="50">
        <f>SUM(BV4:BV5)</f>
        <v>292.49799999999999</v>
      </c>
      <c r="BW6" s="62">
        <f t="shared" ref="BW6:BZ6" si="6">SUM(BW4:BW5)</f>
        <v>301.93717000000004</v>
      </c>
      <c r="BX6" s="62">
        <f t="shared" si="6"/>
        <v>325.56541040000002</v>
      </c>
      <c r="BY6" s="62">
        <f t="shared" si="6"/>
        <v>346.63066814400008</v>
      </c>
      <c r="BZ6" s="62">
        <f t="shared" si="6"/>
        <v>366.25185881040011</v>
      </c>
      <c r="CA6" s="62">
        <f t="shared" ref="CA6" si="7">SUM(CA4:CA5)</f>
        <v>387.68474978196014</v>
      </c>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row>
    <row r="7" spans="2:136">
      <c r="B7" s="37"/>
    </row>
    <row r="8" spans="2:136">
      <c r="B8" s="38" t="s">
        <v>218</v>
      </c>
      <c r="AM8" s="49">
        <f t="shared" ref="AM8:AX8" si="8">AM4/AI4-1</f>
        <v>0.29590503776906929</v>
      </c>
      <c r="AN8" s="49">
        <f t="shared" si="8"/>
        <v>0.29736312612517213</v>
      </c>
      <c r="AO8" s="49">
        <f t="shared" si="8"/>
        <v>0.16765245767897219</v>
      </c>
      <c r="AP8" s="49">
        <f t="shared" si="8"/>
        <v>0.17052892269591347</v>
      </c>
      <c r="AQ8" s="49">
        <f t="shared" si="8"/>
        <v>0.13336547311215319</v>
      </c>
      <c r="AR8" s="49">
        <f t="shared" si="8"/>
        <v>3.5017549587788688E-2</v>
      </c>
      <c r="AS8" s="49">
        <f t="shared" si="8"/>
        <v>0.12855895196506562</v>
      </c>
      <c r="AT8" s="49">
        <f t="shared" si="8"/>
        <v>0.10847060601481062</v>
      </c>
      <c r="AU8" s="49">
        <f t="shared" si="8"/>
        <v>8.1554524361949099E-2</v>
      </c>
      <c r="AV8" s="49">
        <f t="shared" si="8"/>
        <v>0.24424290220820177</v>
      </c>
      <c r="AW8" s="49">
        <f>AW4/AS4-1</f>
        <v>0.2126605788577618</v>
      </c>
      <c r="AX8" s="49">
        <f t="shared" si="8"/>
        <v>0.21987797811786325</v>
      </c>
      <c r="AY8" s="49">
        <f t="shared" ref="AY8:AZ10" si="9">AY4/AU4-1</f>
        <v>0.26071722263935082</v>
      </c>
      <c r="AZ8" s="49">
        <f t="shared" si="9"/>
        <v>0.12980921594726502</v>
      </c>
      <c r="BT8" s="49">
        <f t="shared" ref="BT8" si="10">BT4/BS4-1</f>
        <v>0.22828613895346628</v>
      </c>
      <c r="BU8" s="49">
        <f>BU4/BT4-1</f>
        <v>0.1004892074425725</v>
      </c>
      <c r="BV8" s="49">
        <v>0.22500000000000001</v>
      </c>
      <c r="BW8" s="59">
        <v>0.14000000000000001</v>
      </c>
      <c r="BX8" s="59">
        <v>0.12</v>
      </c>
      <c r="BY8" s="59">
        <v>0.11</v>
      </c>
      <c r="BZ8" s="59">
        <v>0.1</v>
      </c>
      <c r="CA8" s="59">
        <v>0.1</v>
      </c>
    </row>
    <row r="9" spans="2:136">
      <c r="B9" s="38" t="s">
        <v>1353</v>
      </c>
      <c r="AM9" s="49">
        <f t="shared" ref="AM9:AX9" si="11">AM5/AI5-1</f>
        <v>-1.0848325584529306E-2</v>
      </c>
      <c r="AN9" s="49">
        <f t="shared" si="11"/>
        <v>2.5810687948277566E-2</v>
      </c>
      <c r="AO9" s="49">
        <f t="shared" si="11"/>
        <v>6.3320946318849103E-2</v>
      </c>
      <c r="AP9" s="49">
        <f t="shared" si="11"/>
        <v>3.6032677911341793E-3</v>
      </c>
      <c r="AQ9" s="49">
        <f t="shared" si="11"/>
        <v>-0.10049386920980918</v>
      </c>
      <c r="AR9" s="49">
        <f t="shared" si="11"/>
        <v>-0.11845323091568594</v>
      </c>
      <c r="AS9" s="49">
        <f t="shared" si="11"/>
        <v>-0.14640138408304493</v>
      </c>
      <c r="AT9" s="49">
        <f t="shared" si="11"/>
        <v>-0.35553560927295791</v>
      </c>
      <c r="AU9" s="49">
        <f t="shared" si="11"/>
        <v>-0.25174653060451735</v>
      </c>
      <c r="AV9" s="49">
        <f t="shared" si="11"/>
        <v>-0.23124185440327694</v>
      </c>
      <c r="AW9" s="49">
        <f>AW5/AS5-1</f>
        <v>-0.17588876727877101</v>
      </c>
      <c r="AX9" s="49">
        <f t="shared" si="11"/>
        <v>6.5531649217174026E-2</v>
      </c>
      <c r="AY9" s="49">
        <f t="shared" si="9"/>
        <v>2.3480593087394475E-2</v>
      </c>
      <c r="AZ9" s="49">
        <f t="shared" si="9"/>
        <v>6.0305158634051947E-2</v>
      </c>
      <c r="BT9" s="49">
        <f t="shared" ref="BT9:BU9" si="12">BT5/BS5-1</f>
        <v>1.9212469789728015E-2</v>
      </c>
      <c r="BU9" s="49">
        <f t="shared" si="12"/>
        <v>-0.18405800095015801</v>
      </c>
      <c r="BV9" s="49">
        <v>7.0000000000000007E-2</v>
      </c>
      <c r="BW9" s="59">
        <v>-0.05</v>
      </c>
      <c r="BX9" s="59">
        <v>0.04</v>
      </c>
      <c r="BY9" s="59">
        <v>0.02</v>
      </c>
      <c r="BZ9" s="59">
        <v>0.01</v>
      </c>
      <c r="CA9" s="59">
        <v>0.01</v>
      </c>
    </row>
    <row r="10" spans="2:136" s="2" customFormat="1" ht="15">
      <c r="B10" s="2" t="s">
        <v>219</v>
      </c>
      <c r="AM10" s="78">
        <f t="shared" ref="AM10:AX10" si="13">AM6/AI6-1</f>
        <v>5.9321042990217121E-2</v>
      </c>
      <c r="AN10" s="78">
        <f t="shared" si="13"/>
        <v>9.132600919775169E-2</v>
      </c>
      <c r="AO10" s="78">
        <f t="shared" si="13"/>
        <v>9.098283087738257E-2</v>
      </c>
      <c r="AP10" s="78">
        <f t="shared" si="13"/>
        <v>4.6989585967493142E-2</v>
      </c>
      <c r="AQ10" s="78">
        <f t="shared" si="13"/>
        <v>-3.5051571679115101E-2</v>
      </c>
      <c r="AR10" s="78">
        <f t="shared" si="13"/>
        <v>-7.4436081424340772E-2</v>
      </c>
      <c r="AS10" s="78">
        <f t="shared" si="13"/>
        <v>-6.837670384138772E-2</v>
      </c>
      <c r="AT10" s="78">
        <f t="shared" si="13"/>
        <v>-0.22070351096765672</v>
      </c>
      <c r="AU10" s="78">
        <f t="shared" si="13"/>
        <v>-0.14219804522172375</v>
      </c>
      <c r="AV10" s="78">
        <f t="shared" si="13"/>
        <v>-7.8740356646009868E-2</v>
      </c>
      <c r="AW10" s="78">
        <f>AW6/AS6-1</f>
        <v>-4.2323960522465565E-2</v>
      </c>
      <c r="AX10" s="78">
        <f t="shared" si="13"/>
        <v>0.12932674020540125</v>
      </c>
      <c r="AY10" s="78">
        <f t="shared" si="9"/>
        <v>0.121794016980042</v>
      </c>
      <c r="AZ10" s="78">
        <f t="shared" si="9"/>
        <v>9.0412388117072195E-2</v>
      </c>
      <c r="BA10" s="35"/>
      <c r="BB10" s="35"/>
      <c r="BC10" s="35"/>
      <c r="BD10" s="35"/>
      <c r="BE10" s="35"/>
      <c r="BF10" s="35"/>
      <c r="BT10" s="78">
        <f t="shared" ref="BT10:BU10" si="14">BT6/BS6-1</f>
        <v>7.1257577817904538E-2</v>
      </c>
      <c r="BU10" s="78">
        <f t="shared" si="14"/>
        <v>-0.10284219724164001</v>
      </c>
      <c r="BV10" s="78">
        <f>BV6/BU6-1</f>
        <v>-3.7563258026941826E-2</v>
      </c>
      <c r="BW10" s="79">
        <f t="shared" ref="BW10:CA10" si="15">BW6/BV6-1</f>
        <v>3.2270887322306541E-2</v>
      </c>
      <c r="BX10" s="79">
        <f t="shared" si="15"/>
        <v>7.8255487391631684E-2</v>
      </c>
      <c r="BY10" s="79">
        <f t="shared" si="15"/>
        <v>6.470361122859658E-2</v>
      </c>
      <c r="BZ10" s="79">
        <f t="shared" si="15"/>
        <v>5.660546647952347E-2</v>
      </c>
      <c r="CA10" s="79">
        <f t="shared" si="15"/>
        <v>5.8519541828879307E-2</v>
      </c>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row>
    <row r="12" spans="2:136">
      <c r="B12" s="38" t="s">
        <v>220</v>
      </c>
      <c r="AI12" s="49">
        <f t="shared" ref="AI12:AW12" si="16">AI4/AI6</f>
        <v>0.22874848969092254</v>
      </c>
      <c r="AJ12" s="49">
        <f t="shared" si="16"/>
        <v>0.24126213592233009</v>
      </c>
      <c r="AK12" s="49">
        <f t="shared" si="16"/>
        <v>0.26513451399215898</v>
      </c>
      <c r="AL12" s="49">
        <f t="shared" si="16"/>
        <v>0.2599140210119773</v>
      </c>
      <c r="AM12" s="49">
        <f t="shared" si="16"/>
        <v>0.27983614800642653</v>
      </c>
      <c r="AN12" s="49">
        <f t="shared" si="16"/>
        <v>0.28681127017757435</v>
      </c>
      <c r="AO12" s="49">
        <f t="shared" si="16"/>
        <v>0.28376703841387857</v>
      </c>
      <c r="AP12" s="49">
        <f t="shared" si="16"/>
        <v>0.29058252640361859</v>
      </c>
      <c r="AQ12" s="49">
        <f t="shared" si="16"/>
        <v>0.32867728364620802</v>
      </c>
      <c r="AR12" s="49">
        <f t="shared" si="16"/>
        <v>0.32072846844568104</v>
      </c>
      <c r="AS12" s="49">
        <f t="shared" si="16"/>
        <v>0.34375249394801949</v>
      </c>
      <c r="AT12" s="49">
        <f t="shared" si="16"/>
        <v>0.41332431709000755</v>
      </c>
      <c r="AU12" s="49">
        <f t="shared" si="16"/>
        <v>0.41441081033026628</v>
      </c>
      <c r="AV12" s="49">
        <f t="shared" si="16"/>
        <v>0.4331722585250673</v>
      </c>
      <c r="AW12" s="49">
        <f t="shared" si="16"/>
        <v>0.43527777777777776</v>
      </c>
      <c r="AX12" s="49">
        <f t="shared" ref="AX12:AY12" si="17">AX4/AX6</f>
        <v>0.44646532689644852</v>
      </c>
      <c r="AY12" s="49">
        <f t="shared" si="17"/>
        <v>0.46573153174571724</v>
      </c>
      <c r="AZ12" s="49">
        <f t="shared" ref="AZ12" si="18">AZ4/AZ6</f>
        <v>0.44882286289814927</v>
      </c>
      <c r="BS12" s="49">
        <f t="shared" ref="BS12:BU12" si="19">BS4/BS6</f>
        <v>0.24893191111223548</v>
      </c>
      <c r="BT12" s="49">
        <f t="shared" si="19"/>
        <v>0.28542119308520686</v>
      </c>
      <c r="BU12" s="49">
        <f t="shared" si="19"/>
        <v>0.35010891238968922</v>
      </c>
      <c r="BV12" s="49">
        <f>BV4/BV6</f>
        <v>0.43300467011740257</v>
      </c>
      <c r="BW12" s="59">
        <f t="shared" ref="BW12:BZ12" si="20">BW4/BW6</f>
        <v>0.4781935923953981</v>
      </c>
      <c r="BX12" s="59">
        <f t="shared" si="20"/>
        <v>0.49670679142884777</v>
      </c>
      <c r="BY12" s="59">
        <f t="shared" si="20"/>
        <v>0.51783851643914924</v>
      </c>
      <c r="BZ12" s="59">
        <f t="shared" si="20"/>
        <v>0.53910602032088117</v>
      </c>
      <c r="CA12" s="59">
        <f t="shared" ref="CA12" si="21">CA4/CA6</f>
        <v>0.56023209673424879</v>
      </c>
    </row>
    <row r="13" spans="2:136">
      <c r="B13" s="38" t="s">
        <v>221</v>
      </c>
      <c r="AI13" s="49">
        <f t="shared" ref="AI13:AW13" si="22">AI5/AI6</f>
        <v>0.77125151030907735</v>
      </c>
      <c r="AJ13" s="49">
        <f t="shared" si="22"/>
        <v>0.75873786407766985</v>
      </c>
      <c r="AK13" s="49">
        <f t="shared" si="22"/>
        <v>0.73486548600784096</v>
      </c>
      <c r="AL13" s="49">
        <f t="shared" si="22"/>
        <v>0.74008597898802275</v>
      </c>
      <c r="AM13" s="49">
        <f t="shared" si="22"/>
        <v>0.72016385199357336</v>
      </c>
      <c r="AN13" s="49">
        <f t="shared" si="22"/>
        <v>0.71318872982242565</v>
      </c>
      <c r="AO13" s="49">
        <f t="shared" si="22"/>
        <v>0.71623296158612149</v>
      </c>
      <c r="AP13" s="49">
        <f t="shared" si="22"/>
        <v>0.70941747359638141</v>
      </c>
      <c r="AQ13" s="49">
        <f t="shared" si="22"/>
        <v>0.67132271635379204</v>
      </c>
      <c r="AR13" s="49">
        <f t="shared" si="22"/>
        <v>0.67927153155431907</v>
      </c>
      <c r="AS13" s="49">
        <f t="shared" si="22"/>
        <v>0.65624750605198057</v>
      </c>
      <c r="AT13" s="49">
        <f t="shared" si="22"/>
        <v>0.5866756829099925</v>
      </c>
      <c r="AU13" s="49">
        <f t="shared" si="22"/>
        <v>0.58558918966973372</v>
      </c>
      <c r="AV13" s="49">
        <f t="shared" si="22"/>
        <v>0.56682774147493276</v>
      </c>
      <c r="AW13" s="49">
        <f t="shared" si="22"/>
        <v>0.56472222222222213</v>
      </c>
      <c r="AX13" s="49">
        <f t="shared" ref="AX13:AY13" si="23">AX5/AX6</f>
        <v>0.55353467310355153</v>
      </c>
      <c r="AY13" s="49">
        <f t="shared" si="23"/>
        <v>0.53426846825428265</v>
      </c>
      <c r="AZ13" s="49">
        <f t="shared" ref="AZ13" si="24">AZ5/AZ6</f>
        <v>0.55117713710185068</v>
      </c>
      <c r="BS13" s="49">
        <f t="shared" ref="BS13:BU13" si="25">BS5/BS6</f>
        <v>0.75106808888776444</v>
      </c>
      <c r="BT13" s="49">
        <f t="shared" si="25"/>
        <v>0.71457880691479314</v>
      </c>
      <c r="BU13" s="49">
        <f t="shared" si="25"/>
        <v>0.64989108761031078</v>
      </c>
      <c r="BV13" s="49">
        <f>BV5/BV6</f>
        <v>0.56699532988259749</v>
      </c>
      <c r="BW13" s="59">
        <f t="shared" ref="BW13:BZ13" si="26">BW5/BW6</f>
        <v>0.52180640760460195</v>
      </c>
      <c r="BX13" s="59">
        <f t="shared" si="26"/>
        <v>0.50329320857115234</v>
      </c>
      <c r="BY13" s="59">
        <f t="shared" si="26"/>
        <v>0.48216148356085076</v>
      </c>
      <c r="BZ13" s="59">
        <f t="shared" si="26"/>
        <v>0.46089397967911877</v>
      </c>
      <c r="CA13" s="59">
        <f t="shared" ref="CA13" si="27">CA5/CA6</f>
        <v>0.43976790326575127</v>
      </c>
    </row>
    <row r="15" spans="2:136">
      <c r="B15" s="1" t="s">
        <v>222</v>
      </c>
      <c r="AG15" s="48"/>
      <c r="AH15" s="48"/>
      <c r="AI15" s="48">
        <v>64.463999999999999</v>
      </c>
      <c r="AJ15" s="48">
        <v>65.349999999999994</v>
      </c>
      <c r="AK15" s="48">
        <v>62.445</v>
      </c>
      <c r="AL15" s="48">
        <f>265.963-SUM(AI15:AK15)</f>
        <v>73.704000000000036</v>
      </c>
      <c r="AM15" s="48">
        <v>69.022999999999996</v>
      </c>
      <c r="AN15" s="48">
        <v>71.631</v>
      </c>
      <c r="AO15" s="48">
        <v>67.599999999999994</v>
      </c>
      <c r="AP15" s="48">
        <f>282.713-SUM(AM15:AO15)</f>
        <v>74.459000000000032</v>
      </c>
      <c r="AQ15" s="48">
        <v>64.399000000000001</v>
      </c>
      <c r="AR15" s="48">
        <v>64.001999999999995</v>
      </c>
      <c r="AS15" s="48">
        <v>62.341999999999999</v>
      </c>
      <c r="AT15" s="48">
        <f>251.486-SUM(AQ15:AS15)</f>
        <v>60.742999999999995</v>
      </c>
      <c r="AU15" s="48">
        <v>59.481000000000002</v>
      </c>
      <c r="AV15" s="48">
        <v>62.677999999999997</v>
      </c>
      <c r="AW15" s="48">
        <v>61.34</v>
      </c>
      <c r="AX15" s="48">
        <f>250.983-SUM(AU15:AW15)</f>
        <v>67.484000000000009</v>
      </c>
      <c r="AY15" s="48">
        <v>66.456000000000003</v>
      </c>
      <c r="AZ15" s="48">
        <v>67.59</v>
      </c>
      <c r="BS15" s="48">
        <f>SUM(AI15:AL15)</f>
        <v>265.96300000000002</v>
      </c>
      <c r="BT15" s="48">
        <f>SUM(AM15:AP15)</f>
        <v>282.71300000000002</v>
      </c>
      <c r="BU15" s="48">
        <f>SUM(AQ15:AT15)</f>
        <v>251.48599999999999</v>
      </c>
      <c r="BV15" s="48">
        <f>SUM(AU15:AX15)</f>
        <v>250.983</v>
      </c>
    </row>
    <row r="16" spans="2:136">
      <c r="B16" s="1" t="s">
        <v>223</v>
      </c>
      <c r="AG16" s="48"/>
      <c r="AH16" s="48"/>
      <c r="AI16" s="48">
        <v>12.507</v>
      </c>
      <c r="AJ16" s="48">
        <v>12.93</v>
      </c>
      <c r="AK16" s="48">
        <v>11.525</v>
      </c>
      <c r="AL16" s="48">
        <f>50.256-SUM(AI16:AK16)</f>
        <v>13.294000000000004</v>
      </c>
      <c r="AM16" s="48">
        <v>12.513999999999999</v>
      </c>
      <c r="AN16" s="48">
        <v>13.798</v>
      </c>
      <c r="AO16" s="48">
        <v>13.1</v>
      </c>
      <c r="AP16" s="48">
        <f>56.039-SUM(AM16:AO16)</f>
        <v>16.627000000000002</v>
      </c>
      <c r="AQ16" s="48">
        <v>14.28</v>
      </c>
      <c r="AR16" s="48">
        <v>15.071</v>
      </c>
      <c r="AS16" s="48">
        <v>12.84</v>
      </c>
      <c r="AT16" s="48">
        <f>52.428-SUM(AQ16:AS16)</f>
        <v>10.236999999999995</v>
      </c>
      <c r="AU16" s="48">
        <v>8.01</v>
      </c>
      <c r="AV16" s="48">
        <v>10.167</v>
      </c>
      <c r="AW16" s="48">
        <v>10.66</v>
      </c>
      <c r="AX16" s="48">
        <f>41.515-SUM(AU16:AW16)</f>
        <v>12.678000000000001</v>
      </c>
      <c r="AY16" s="48">
        <v>9.2550000000000008</v>
      </c>
      <c r="AZ16" s="48">
        <v>11.84</v>
      </c>
      <c r="BS16" s="48">
        <f>SUM(AI16:AL16)</f>
        <v>50.256</v>
      </c>
      <c r="BT16" s="48">
        <f>SUM(AM16:AP16)</f>
        <v>56.039000000000001</v>
      </c>
      <c r="BU16" s="48">
        <f>SUM(AQ16:AT16)</f>
        <v>52.427999999999997</v>
      </c>
      <c r="BV16" s="48">
        <f>SUM(AU16:AX16)</f>
        <v>41.515000000000001</v>
      </c>
    </row>
    <row r="17" spans="2:134" ht="15">
      <c r="B17" s="1" t="s">
        <v>217</v>
      </c>
      <c r="AE17" s="48"/>
      <c r="AF17" s="48"/>
      <c r="AG17" s="48"/>
      <c r="AH17" s="48"/>
      <c r="AI17" s="50">
        <f t="shared" ref="AI17:AV17" si="28">SUM(AI15:AI16)</f>
        <v>76.971000000000004</v>
      </c>
      <c r="AJ17" s="50">
        <f t="shared" si="28"/>
        <v>78.28</v>
      </c>
      <c r="AK17" s="50">
        <f t="shared" si="28"/>
        <v>73.97</v>
      </c>
      <c r="AL17" s="50">
        <f t="shared" si="28"/>
        <v>86.998000000000047</v>
      </c>
      <c r="AM17" s="50">
        <f t="shared" si="28"/>
        <v>81.536999999999992</v>
      </c>
      <c r="AN17" s="50">
        <f t="shared" si="28"/>
        <v>85.429000000000002</v>
      </c>
      <c r="AO17" s="50">
        <f t="shared" si="28"/>
        <v>80.699999999999989</v>
      </c>
      <c r="AP17" s="50">
        <f t="shared" si="28"/>
        <v>91.086000000000041</v>
      </c>
      <c r="AQ17" s="50">
        <f t="shared" si="28"/>
        <v>78.679000000000002</v>
      </c>
      <c r="AR17" s="50">
        <f t="shared" si="28"/>
        <v>79.072999999999993</v>
      </c>
      <c r="AS17" s="50">
        <f t="shared" si="28"/>
        <v>75.182000000000002</v>
      </c>
      <c r="AT17" s="50">
        <f t="shared" si="28"/>
        <v>70.97999999999999</v>
      </c>
      <c r="AU17" s="50">
        <f t="shared" si="28"/>
        <v>67.491</v>
      </c>
      <c r="AV17" s="50">
        <f t="shared" si="28"/>
        <v>72.844999999999999</v>
      </c>
      <c r="AW17" s="50">
        <f>SUM(AW15:AW16)</f>
        <v>72</v>
      </c>
      <c r="AX17" s="50">
        <f t="shared" ref="AX17" si="29">SUM(AX15:AX16)</f>
        <v>80.162000000000006</v>
      </c>
      <c r="AY17" s="50">
        <f>SUM(AY15:AY16)</f>
        <v>75.710999999999999</v>
      </c>
      <c r="AZ17" s="50">
        <f>SUM(AZ15:AZ16)</f>
        <v>79.430000000000007</v>
      </c>
      <c r="BS17" s="48">
        <f>SUM(AI17:AL17)</f>
        <v>316.21900000000005</v>
      </c>
      <c r="BT17" s="48">
        <f>SUM(AM17:AP17)</f>
        <v>338.75200000000007</v>
      </c>
      <c r="BU17" s="48">
        <f>SUM(AQ17:AT17)</f>
        <v>303.91399999999999</v>
      </c>
      <c r="BV17" s="48">
        <f>SUM(AU17:AX17)</f>
        <v>292.49800000000005</v>
      </c>
    </row>
    <row r="19" spans="2:134">
      <c r="B19" s="1" t="s">
        <v>224</v>
      </c>
      <c r="AM19" s="49">
        <f t="shared" ref="AM19:AM21" si="30">AM15/AI15-1</f>
        <v>7.0721643087614749E-2</v>
      </c>
      <c r="AN19" s="49">
        <f t="shared" ref="AN19:AN21" si="31">AN15/AJ15-1</f>
        <v>9.6113236419280934E-2</v>
      </c>
      <c r="AO19" s="49">
        <f t="shared" ref="AO19:AO21" si="32">AO15/AK15-1</f>
        <v>8.255264632876913E-2</v>
      </c>
      <c r="AP19" s="49">
        <f t="shared" ref="AP19:AP21" si="33">AP15/AL15-1</f>
        <v>1.0243677412351992E-2</v>
      </c>
      <c r="AQ19" s="49">
        <f t="shared" ref="AQ19:AQ21" si="34">AQ15/AM15-1</f>
        <v>-6.6992162032945446E-2</v>
      </c>
      <c r="AR19" s="49">
        <f t="shared" ref="AR19:AR21" si="35">AR15/AN15-1</f>
        <v>-0.10650416719018307</v>
      </c>
      <c r="AS19" s="49">
        <f t="shared" ref="AS19:AS21" si="36">AS15/AO15-1</f>
        <v>-7.7781065088757373E-2</v>
      </c>
      <c r="AT19" s="49">
        <f t="shared" ref="AT19:AT21" si="37">AT15/AP15-1</f>
        <v>-0.18420875918290647</v>
      </c>
      <c r="AU19" s="49">
        <f t="shared" ref="AU19:AU21" si="38">AU15/AQ15-1</f>
        <v>-7.6367645460333256E-2</v>
      </c>
      <c r="AV19" s="49">
        <f t="shared" ref="AV19:AV21" si="39">AV15/AR15-1</f>
        <v>-2.0686853535826999E-2</v>
      </c>
      <c r="AW19" s="49">
        <f>AW15/AS15-1</f>
        <v>-1.6072631612716881E-2</v>
      </c>
      <c r="AX19" s="49">
        <f t="shared" ref="AX19:AX21" si="40">AX15/AT15-1</f>
        <v>0.11097575029221507</v>
      </c>
      <c r="AY19" s="49">
        <f t="shared" ref="AY19:AZ21" si="41">AY15/AU15-1</f>
        <v>0.11726433651081858</v>
      </c>
      <c r="AZ19" s="49">
        <f t="shared" si="41"/>
        <v>7.8368805641533035E-2</v>
      </c>
      <c r="BT19" s="49">
        <f t="shared" ref="BT19:BV19" si="42">BT15/BS15-1</f>
        <v>6.29786850050571E-2</v>
      </c>
      <c r="BU19" s="49">
        <f t="shared" si="42"/>
        <v>-0.11045477215409272</v>
      </c>
      <c r="BV19" s="49">
        <f t="shared" si="42"/>
        <v>-2.0001113382056568E-3</v>
      </c>
    </row>
    <row r="20" spans="2:134">
      <c r="B20" s="1" t="s">
        <v>225</v>
      </c>
      <c r="AM20" s="49">
        <f t="shared" si="30"/>
        <v>5.5968657551774825E-4</v>
      </c>
      <c r="AN20" s="49">
        <f t="shared" si="31"/>
        <v>6.7130703789636481E-2</v>
      </c>
      <c r="AO20" s="49">
        <f t="shared" si="32"/>
        <v>0.1366594360086768</v>
      </c>
      <c r="AP20" s="49">
        <f t="shared" si="33"/>
        <v>0.25071460809387669</v>
      </c>
      <c r="AQ20" s="49">
        <f t="shared" si="34"/>
        <v>0.14112194342336593</v>
      </c>
      <c r="AR20" s="49">
        <f t="shared" si="35"/>
        <v>9.2259747789534607E-2</v>
      </c>
      <c r="AS20" s="49">
        <f t="shared" si="36"/>
        <v>-1.984732824427482E-2</v>
      </c>
      <c r="AT20" s="49">
        <f t="shared" si="37"/>
        <v>-0.38431466891201094</v>
      </c>
      <c r="AU20" s="49">
        <f t="shared" si="38"/>
        <v>-0.43907563025210083</v>
      </c>
      <c r="AV20" s="49">
        <f t="shared" si="39"/>
        <v>-0.32539313914139734</v>
      </c>
      <c r="AW20" s="49">
        <f>AW16/AS16-1</f>
        <v>-0.16978193146417442</v>
      </c>
      <c r="AX20" s="49">
        <f t="shared" si="40"/>
        <v>0.23844876428641282</v>
      </c>
      <c r="AY20" s="49">
        <f t="shared" si="41"/>
        <v>0.15543071161048694</v>
      </c>
      <c r="AZ20" s="49">
        <f t="shared" si="41"/>
        <v>0.16455198190223275</v>
      </c>
      <c r="BT20" s="49">
        <f t="shared" ref="BT20:BV20" si="43">BT16/BS16-1</f>
        <v>0.11507083731295764</v>
      </c>
      <c r="BU20" s="49">
        <f t="shared" si="43"/>
        <v>-6.4437266903406676E-2</v>
      </c>
      <c r="BV20" s="49">
        <f t="shared" si="43"/>
        <v>-0.20815213244830999</v>
      </c>
    </row>
    <row r="21" spans="2:134">
      <c r="B21" s="1" t="s">
        <v>219</v>
      </c>
      <c r="AM21" s="49">
        <f t="shared" si="30"/>
        <v>5.9321042990216899E-2</v>
      </c>
      <c r="AN21" s="49">
        <f t="shared" si="31"/>
        <v>9.132600919775169E-2</v>
      </c>
      <c r="AO21" s="49">
        <f t="shared" si="32"/>
        <v>9.098283087738257E-2</v>
      </c>
      <c r="AP21" s="49">
        <f t="shared" si="33"/>
        <v>4.6989585967493364E-2</v>
      </c>
      <c r="AQ21" s="49">
        <f t="shared" si="34"/>
        <v>-3.5051571679114879E-2</v>
      </c>
      <c r="AR21" s="49">
        <f t="shared" si="35"/>
        <v>-7.4400964543656189E-2</v>
      </c>
      <c r="AS21" s="49">
        <f t="shared" si="36"/>
        <v>-6.837670384138772E-2</v>
      </c>
      <c r="AT21" s="49">
        <f t="shared" si="37"/>
        <v>-0.22073644687438287</v>
      </c>
      <c r="AU21" s="49">
        <f t="shared" si="38"/>
        <v>-0.14219804522172375</v>
      </c>
      <c r="AV21" s="49">
        <f t="shared" si="39"/>
        <v>-7.8762662349980306E-2</v>
      </c>
      <c r="AW21" s="49">
        <f>AW17/AS17-1</f>
        <v>-4.2323960522465565E-2</v>
      </c>
      <c r="AX21" s="49">
        <f t="shared" si="40"/>
        <v>0.12936038320653731</v>
      </c>
      <c r="AY21" s="49">
        <f t="shared" si="41"/>
        <v>0.12179401698004177</v>
      </c>
      <c r="AZ21" s="49">
        <f t="shared" si="41"/>
        <v>9.0397419177706162E-2</v>
      </c>
      <c r="BT21" s="49">
        <f t="shared" ref="BT21:BV21" si="44">BT17/BS17-1</f>
        <v>7.125757781790476E-2</v>
      </c>
      <c r="BU21" s="49">
        <f t="shared" si="44"/>
        <v>-0.10284219724164012</v>
      </c>
      <c r="BV21" s="49">
        <f t="shared" si="44"/>
        <v>-3.7563258026941604E-2</v>
      </c>
    </row>
    <row r="23" spans="2:134">
      <c r="B23" s="39" t="s">
        <v>226</v>
      </c>
      <c r="AI23" s="49">
        <f t="shared" ref="AI23:AV23" si="45">AI15/AI17</f>
        <v>0.83751023112600842</v>
      </c>
      <c r="AJ23" s="49">
        <f t="shared" si="45"/>
        <v>0.83482370975983644</v>
      </c>
      <c r="AK23" s="49">
        <f t="shared" si="45"/>
        <v>0.84419359199675548</v>
      </c>
      <c r="AL23" s="49">
        <f t="shared" si="45"/>
        <v>0.84719188946872337</v>
      </c>
      <c r="AM23" s="49">
        <f t="shared" si="45"/>
        <v>0.84652366410341318</v>
      </c>
      <c r="AN23" s="49">
        <f t="shared" si="45"/>
        <v>0.8384857601048824</v>
      </c>
      <c r="AO23" s="49">
        <f t="shared" si="45"/>
        <v>0.8376703841387857</v>
      </c>
      <c r="AP23" s="49">
        <f t="shared" si="45"/>
        <v>0.81745822629163645</v>
      </c>
      <c r="AQ23" s="49">
        <f t="shared" si="45"/>
        <v>0.81850303130441415</v>
      </c>
      <c r="AR23" s="49">
        <f t="shared" si="45"/>
        <v>0.80940396848481788</v>
      </c>
      <c r="AS23" s="49">
        <f t="shared" si="45"/>
        <v>0.82921443962650632</v>
      </c>
      <c r="AT23" s="49">
        <f t="shared" si="45"/>
        <v>0.85577627500704434</v>
      </c>
      <c r="AU23" s="49">
        <f t="shared" si="45"/>
        <v>0.88131750900120021</v>
      </c>
      <c r="AV23" s="49">
        <f t="shared" si="45"/>
        <v>0.86042967945637994</v>
      </c>
      <c r="AW23" s="49">
        <f>AW15/AW17</f>
        <v>0.8519444444444445</v>
      </c>
      <c r="AX23" s="49">
        <f t="shared" ref="AX23" si="46">AX15/AX17</f>
        <v>0.84184526334173304</v>
      </c>
      <c r="AY23" s="49">
        <f>AY15/AY17</f>
        <v>0.87775884613860611</v>
      </c>
      <c r="AZ23" s="49">
        <f>AZ15/AZ17</f>
        <v>0.85093793277099328</v>
      </c>
      <c r="BS23" s="49">
        <f t="shared" ref="BS23:BT23" si="47">BS15/BS17</f>
        <v>0.84107216833903076</v>
      </c>
      <c r="BT23" s="49">
        <f t="shared" si="47"/>
        <v>0.83457219440770825</v>
      </c>
      <c r="BU23" s="49">
        <f>BU15/BU17</f>
        <v>0.82749067170317914</v>
      </c>
      <c r="BV23" s="49">
        <f>BV15/BV17</f>
        <v>0.85806740558909789</v>
      </c>
    </row>
    <row r="24" spans="2:134">
      <c r="B24" s="1" t="s">
        <v>227</v>
      </c>
      <c r="AI24" s="49">
        <f t="shared" ref="AI24:AV24" si="48">AI16/AI17</f>
        <v>0.1624897688739915</v>
      </c>
      <c r="AJ24" s="49">
        <f t="shared" si="48"/>
        <v>0.1651762902401635</v>
      </c>
      <c r="AK24" s="49">
        <f t="shared" si="48"/>
        <v>0.15580640800324458</v>
      </c>
      <c r="AL24" s="49">
        <f t="shared" si="48"/>
        <v>0.15280811053127655</v>
      </c>
      <c r="AM24" s="49">
        <f t="shared" si="48"/>
        <v>0.15347633589658682</v>
      </c>
      <c r="AN24" s="49">
        <f t="shared" si="48"/>
        <v>0.16151423989511757</v>
      </c>
      <c r="AO24" s="49">
        <f t="shared" si="48"/>
        <v>0.16232961586121439</v>
      </c>
      <c r="AP24" s="49">
        <f t="shared" si="48"/>
        <v>0.18254177370836347</v>
      </c>
      <c r="AQ24" s="49">
        <f t="shared" si="48"/>
        <v>0.18149696869558585</v>
      </c>
      <c r="AR24" s="49">
        <f t="shared" si="48"/>
        <v>0.19059603151518217</v>
      </c>
      <c r="AS24" s="49">
        <f t="shared" si="48"/>
        <v>0.17078556037349366</v>
      </c>
      <c r="AT24" s="49">
        <f t="shared" si="48"/>
        <v>0.14422372499295572</v>
      </c>
      <c r="AU24" s="49">
        <f t="shared" si="48"/>
        <v>0.11868249099879984</v>
      </c>
      <c r="AV24" s="49">
        <f t="shared" si="48"/>
        <v>0.13957032054362001</v>
      </c>
      <c r="AW24" s="49">
        <f>AW16/AW17</f>
        <v>0.14805555555555555</v>
      </c>
      <c r="AX24" s="49">
        <f t="shared" ref="AX24" si="49">AX16/AX17</f>
        <v>0.15815473665826701</v>
      </c>
      <c r="AY24" s="49">
        <f>AY16/AY17</f>
        <v>0.122241153861394</v>
      </c>
      <c r="AZ24" s="49">
        <f>AZ16/AZ17</f>
        <v>0.14906206722900667</v>
      </c>
      <c r="BS24" s="49">
        <f t="shared" ref="BS24:BT24" si="50">BS16/BS17</f>
        <v>0.1589278316609691</v>
      </c>
      <c r="BT24" s="49">
        <f t="shared" si="50"/>
        <v>0.16542780559229167</v>
      </c>
      <c r="BU24" s="49">
        <f>BU16/BU17</f>
        <v>0.17250932829682081</v>
      </c>
      <c r="BV24" s="49">
        <f>BV16/BV17</f>
        <v>0.14193259441090195</v>
      </c>
    </row>
    <row r="26" spans="2:134" s="2" customFormat="1" ht="15">
      <c r="B26" s="2" t="s">
        <v>171</v>
      </c>
      <c r="C26" s="50">
        <v>83.6</v>
      </c>
      <c r="D26" s="50">
        <v>88.6</v>
      </c>
      <c r="E26" s="50">
        <v>88.2</v>
      </c>
      <c r="F26" s="50">
        <v>94.1</v>
      </c>
      <c r="G26" s="50">
        <v>87.3</v>
      </c>
      <c r="H26" s="50">
        <v>92.1</v>
      </c>
      <c r="I26" s="50">
        <v>86.6</v>
      </c>
      <c r="J26" s="50">
        <v>90.5</v>
      </c>
      <c r="K26" s="50">
        <v>83.8</v>
      </c>
      <c r="L26" s="50">
        <v>89.3</v>
      </c>
      <c r="M26" s="50">
        <v>87.4</v>
      </c>
      <c r="N26" s="50">
        <v>93.4</v>
      </c>
      <c r="O26" s="50">
        <v>88.1</v>
      </c>
      <c r="P26" s="50">
        <v>89</v>
      </c>
      <c r="Q26" s="50">
        <v>85.6</v>
      </c>
      <c r="R26" s="50">
        <v>7.1</v>
      </c>
      <c r="S26" s="50">
        <v>85.4</v>
      </c>
      <c r="T26" s="50">
        <v>86.7</v>
      </c>
      <c r="U26" s="50">
        <v>83.9</v>
      </c>
      <c r="V26" s="50">
        <v>5.7</v>
      </c>
      <c r="W26" s="50">
        <v>63.9</v>
      </c>
      <c r="X26" s="50">
        <v>70</v>
      </c>
      <c r="Y26" s="50">
        <v>65.5</v>
      </c>
      <c r="Z26" s="50">
        <v>71.2</v>
      </c>
      <c r="AA26" s="50">
        <v>66</v>
      </c>
      <c r="AB26" s="50">
        <v>70</v>
      </c>
      <c r="AC26" s="50">
        <v>69.8</v>
      </c>
      <c r="AD26" s="50">
        <v>58.3</v>
      </c>
      <c r="AE26" s="50">
        <v>70.215999999999994</v>
      </c>
      <c r="AF26" s="50">
        <v>72.77</v>
      </c>
      <c r="AG26" s="50">
        <v>71.182000000000002</v>
      </c>
      <c r="AH26" s="50">
        <f>291.01-SUM(AE26:AG26)</f>
        <v>76.841999999999985</v>
      </c>
      <c r="AI26" s="50">
        <f t="shared" ref="AI26:AV26" si="51">AI6</f>
        <v>76.971000000000004</v>
      </c>
      <c r="AJ26" s="50">
        <f t="shared" si="51"/>
        <v>78.28</v>
      </c>
      <c r="AK26" s="50">
        <f t="shared" si="51"/>
        <v>73.97</v>
      </c>
      <c r="AL26" s="50">
        <f t="shared" si="51"/>
        <v>86.998000000000033</v>
      </c>
      <c r="AM26" s="50">
        <f t="shared" si="51"/>
        <v>81.537000000000006</v>
      </c>
      <c r="AN26" s="50">
        <f t="shared" si="51"/>
        <v>85.429000000000002</v>
      </c>
      <c r="AO26" s="50">
        <f t="shared" si="51"/>
        <v>80.699999999999989</v>
      </c>
      <c r="AP26" s="50">
        <f t="shared" si="51"/>
        <v>91.085999999999999</v>
      </c>
      <c r="AQ26" s="50">
        <f t="shared" si="51"/>
        <v>78.679000000000002</v>
      </c>
      <c r="AR26" s="50">
        <f t="shared" si="51"/>
        <v>79.069999999999993</v>
      </c>
      <c r="AS26" s="50">
        <f t="shared" si="51"/>
        <v>75.182000000000002</v>
      </c>
      <c r="AT26" s="50">
        <f t="shared" si="51"/>
        <v>70.983000000000018</v>
      </c>
      <c r="AU26" s="50">
        <f t="shared" si="51"/>
        <v>67.491</v>
      </c>
      <c r="AV26" s="50">
        <f t="shared" si="51"/>
        <v>72.843999999999994</v>
      </c>
      <c r="AW26" s="50">
        <f>AW6</f>
        <v>72</v>
      </c>
      <c r="AX26" s="50">
        <f t="shared" ref="AX26" si="52">AX6</f>
        <v>80.163000000000011</v>
      </c>
      <c r="AY26" s="50">
        <f>AY6</f>
        <v>75.711000000000013</v>
      </c>
      <c r="AZ26" s="50">
        <f>AZ6</f>
        <v>79.430000000000007</v>
      </c>
      <c r="BA26" s="35"/>
      <c r="BB26" s="35"/>
      <c r="BC26" s="35"/>
      <c r="BD26" s="35"/>
      <c r="BE26" s="35"/>
      <c r="BF26" s="35"/>
      <c r="BK26" s="50">
        <f t="shared" ref="BK26:BK41" si="53">SUM(C26:F26)</f>
        <v>354.5</v>
      </c>
      <c r="BL26" s="50">
        <f t="shared" ref="BL26:BL41" si="54">SUM(G26:J26)</f>
        <v>356.5</v>
      </c>
      <c r="BM26" s="50">
        <f t="shared" ref="BM26:BM41" si="55">SUM(K26:N26)</f>
        <v>353.9</v>
      </c>
      <c r="BN26" s="50">
        <f t="shared" ref="BN26:BN41" si="56">SUM(O26:R26)</f>
        <v>269.8</v>
      </c>
      <c r="BO26" s="50">
        <f t="shared" ref="BO26:BO41" si="57">SUM(S26:V26)</f>
        <v>261.7</v>
      </c>
      <c r="BP26" s="50">
        <f t="shared" ref="BP26:BP41" si="58">SUM(W26:Z26)</f>
        <v>270.60000000000002</v>
      </c>
      <c r="BQ26" s="50">
        <f t="shared" ref="BQ26:BQ41" si="59">SUM(AA26:AD26)</f>
        <v>264.10000000000002</v>
      </c>
      <c r="BR26" s="50">
        <f t="shared" ref="BR26:BR41" si="60">SUM(AE26:AH26)</f>
        <v>291.01</v>
      </c>
      <c r="BS26" s="50">
        <f t="shared" ref="BS26:BS41" si="61">SUM(AI26:AL26)</f>
        <v>316.21900000000005</v>
      </c>
      <c r="BT26" s="50">
        <f t="shared" ref="BT26:BT41" si="62">SUM(AM26:AP26)</f>
        <v>338.75200000000001</v>
      </c>
      <c r="BU26" s="50">
        <f t="shared" ref="BU26:BU41" si="63">SUM(AQ26:AT26)</f>
        <v>303.91399999999999</v>
      </c>
      <c r="BV26" s="50">
        <f t="shared" ref="BV26:BV40" si="64">SUM(AU26:AX26)</f>
        <v>292.49799999999999</v>
      </c>
      <c r="BW26" s="62">
        <f t="shared" ref="BW26:BZ26" si="65">BW6</f>
        <v>301.93717000000004</v>
      </c>
      <c r="BX26" s="62">
        <f t="shared" si="65"/>
        <v>325.56541040000002</v>
      </c>
      <c r="BY26" s="62">
        <f t="shared" si="65"/>
        <v>346.63066814400008</v>
      </c>
      <c r="BZ26" s="62">
        <f t="shared" si="65"/>
        <v>366.25185881040011</v>
      </c>
      <c r="CA26" s="62">
        <f t="shared" ref="CA26" si="66">CA6</f>
        <v>387.68474978196014</v>
      </c>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row>
    <row r="27" spans="2:134">
      <c r="B27" s="1" t="s">
        <v>228</v>
      </c>
      <c r="C27" s="48">
        <v>41.1</v>
      </c>
      <c r="D27" s="48">
        <v>43.7</v>
      </c>
      <c r="E27" s="48">
        <v>43.4</v>
      </c>
      <c r="F27" s="48">
        <v>46.1</v>
      </c>
      <c r="G27" s="48">
        <v>41.5</v>
      </c>
      <c r="H27" s="48">
        <v>44.5</v>
      </c>
      <c r="I27" s="48">
        <v>48.7</v>
      </c>
      <c r="J27" s="48">
        <v>46</v>
      </c>
      <c r="K27" s="48">
        <v>40.4</v>
      </c>
      <c r="L27" s="48">
        <v>43.4</v>
      </c>
      <c r="M27" s="48">
        <v>43.9</v>
      </c>
      <c r="N27" s="48">
        <v>51.9</v>
      </c>
      <c r="O27" s="48">
        <v>43.1</v>
      </c>
      <c r="P27" s="48">
        <v>44</v>
      </c>
      <c r="Q27" s="48">
        <v>41.8</v>
      </c>
      <c r="R27" s="48">
        <v>-3.1</v>
      </c>
      <c r="S27" s="48">
        <v>44.2</v>
      </c>
      <c r="T27" s="48">
        <v>44</v>
      </c>
      <c r="U27" s="48">
        <v>38.4</v>
      </c>
      <c r="V27" s="48">
        <v>-8.8000000000000007</v>
      </c>
      <c r="W27" s="48">
        <v>28</v>
      </c>
      <c r="X27" s="48">
        <v>29.4</v>
      </c>
      <c r="Y27" s="48">
        <v>27.4</v>
      </c>
      <c r="Z27" s="48">
        <v>29.8</v>
      </c>
      <c r="AA27" s="48">
        <v>27.8</v>
      </c>
      <c r="AB27" s="48">
        <v>28.5</v>
      </c>
      <c r="AC27" s="48">
        <v>29.5</v>
      </c>
      <c r="AD27" s="48">
        <v>28.1</v>
      </c>
      <c r="AE27" s="48">
        <v>34.451999999999998</v>
      </c>
      <c r="AF27" s="48">
        <v>32.595999999999997</v>
      </c>
      <c r="AG27" s="48">
        <v>32.652000000000001</v>
      </c>
      <c r="AH27" s="48">
        <f>134.22-SUM(AE27:AG27)</f>
        <v>34.519999999999996</v>
      </c>
      <c r="AI27" s="48">
        <v>36.832000000000001</v>
      </c>
      <c r="AJ27" s="48">
        <v>37.725000000000001</v>
      </c>
      <c r="AK27" s="48">
        <v>35.387</v>
      </c>
      <c r="AL27" s="48">
        <f>150.487-SUM(AI27:AK27)</f>
        <v>40.542999999999992</v>
      </c>
      <c r="AM27" s="48">
        <v>39.231999999999999</v>
      </c>
      <c r="AN27" s="48">
        <v>40.350999999999999</v>
      </c>
      <c r="AO27" s="48">
        <v>40.207999999999998</v>
      </c>
      <c r="AP27" s="48">
        <f>164.506-SUM(AM27:AO27)</f>
        <v>44.715000000000003</v>
      </c>
      <c r="AQ27" s="48">
        <v>38.619</v>
      </c>
      <c r="AR27" s="48">
        <v>38.811</v>
      </c>
      <c r="AS27" s="48">
        <v>39.320999999999998</v>
      </c>
      <c r="AT27" s="48">
        <f>149.216-SUM(AQ27:AS27)</f>
        <v>32.465000000000003</v>
      </c>
      <c r="AU27" s="48">
        <v>30.767600000000002</v>
      </c>
      <c r="AV27" s="48">
        <v>32.939</v>
      </c>
      <c r="AW27" s="48">
        <v>33.146999999999998</v>
      </c>
      <c r="AX27" s="48">
        <f>134.79-SUM(AU27:AW27)</f>
        <v>37.936399999999992</v>
      </c>
      <c r="AY27" s="48">
        <v>33.85</v>
      </c>
      <c r="AZ27" s="48">
        <v>34.65</v>
      </c>
      <c r="BK27" s="48">
        <f t="shared" si="53"/>
        <v>174.3</v>
      </c>
      <c r="BL27" s="48">
        <f t="shared" si="54"/>
        <v>180.7</v>
      </c>
      <c r="BM27" s="48">
        <f t="shared" si="55"/>
        <v>179.6</v>
      </c>
      <c r="BN27" s="48">
        <f t="shared" si="56"/>
        <v>125.79999999999998</v>
      </c>
      <c r="BO27" s="48">
        <f t="shared" si="57"/>
        <v>117.8</v>
      </c>
      <c r="BP27" s="48">
        <f t="shared" si="58"/>
        <v>114.6</v>
      </c>
      <c r="BQ27" s="48">
        <f t="shared" si="59"/>
        <v>113.9</v>
      </c>
      <c r="BR27" s="48">
        <f t="shared" si="60"/>
        <v>134.22</v>
      </c>
      <c r="BS27" s="48">
        <f t="shared" si="61"/>
        <v>150.48699999999999</v>
      </c>
      <c r="BT27" s="48">
        <f t="shared" si="62"/>
        <v>164.506</v>
      </c>
      <c r="BU27" s="48">
        <f t="shared" si="63"/>
        <v>149.21600000000001</v>
      </c>
      <c r="BV27" s="48">
        <f t="shared" si="64"/>
        <v>134.79</v>
      </c>
      <c r="BW27" s="61">
        <f t="shared" ref="BW27:BZ27" si="67">BW26*(1-BW45)</f>
        <v>140.40078405</v>
      </c>
      <c r="BX27" s="61">
        <f t="shared" si="67"/>
        <v>143.248780576</v>
      </c>
      <c r="BY27" s="61">
        <f t="shared" si="67"/>
        <v>149.05118730192007</v>
      </c>
      <c r="BZ27" s="61">
        <f t="shared" si="67"/>
        <v>166.64459575873204</v>
      </c>
      <c r="CA27" s="61">
        <f t="shared" ref="CA27" si="68">CA26*(1-CA45)</f>
        <v>176.39656115079185</v>
      </c>
    </row>
    <row r="28" spans="2:134">
      <c r="B28" s="1" t="s">
        <v>229</v>
      </c>
      <c r="C28" s="48">
        <f t="shared" ref="C28" si="69">C26-C27</f>
        <v>42.499999999999993</v>
      </c>
      <c r="D28" s="48">
        <f t="shared" ref="D28" si="70">D26-D27</f>
        <v>44.899999999999991</v>
      </c>
      <c r="E28" s="48">
        <f t="shared" ref="E28" si="71">E26-E27</f>
        <v>44.800000000000004</v>
      </c>
      <c r="F28" s="48">
        <f t="shared" ref="F28" si="72">F26-F27</f>
        <v>47.999999999999993</v>
      </c>
      <c r="G28" s="48">
        <f t="shared" ref="G28" si="73">G26-G27</f>
        <v>45.8</v>
      </c>
      <c r="H28" s="48">
        <f t="shared" ref="H28" si="74">H26-H27</f>
        <v>47.599999999999994</v>
      </c>
      <c r="I28" s="48">
        <f t="shared" ref="I28" si="75">I26-I27</f>
        <v>37.899999999999991</v>
      </c>
      <c r="J28" s="48">
        <f t="shared" ref="J28" si="76">J26-J27</f>
        <v>44.5</v>
      </c>
      <c r="K28" s="48">
        <f t="shared" ref="K28" si="77">K26-K27</f>
        <v>43.4</v>
      </c>
      <c r="L28" s="48">
        <f t="shared" ref="L28" si="78">L26-L27</f>
        <v>45.9</v>
      </c>
      <c r="M28" s="48">
        <f t="shared" ref="M28" si="79">M26-M27</f>
        <v>43.500000000000007</v>
      </c>
      <c r="N28" s="48">
        <f t="shared" ref="N28" si="80">N26-N27</f>
        <v>41.500000000000007</v>
      </c>
      <c r="O28" s="48">
        <f t="shared" ref="O28" si="81">O26-O27</f>
        <v>44.999999999999993</v>
      </c>
      <c r="P28" s="48">
        <f t="shared" ref="P28" si="82">P26-P27</f>
        <v>45</v>
      </c>
      <c r="Q28" s="48">
        <f t="shared" ref="Q28" si="83">Q26-Q27</f>
        <v>43.8</v>
      </c>
      <c r="R28" s="48">
        <f t="shared" ref="R28" si="84">R26-R27</f>
        <v>10.199999999999999</v>
      </c>
      <c r="S28" s="48">
        <f t="shared" ref="S28" si="85">S26-S27</f>
        <v>41.2</v>
      </c>
      <c r="T28" s="48">
        <f t="shared" ref="T28" si="86">T26-T27</f>
        <v>42.7</v>
      </c>
      <c r="U28" s="48">
        <f t="shared" ref="U28" si="87">U26-U27</f>
        <v>45.500000000000007</v>
      </c>
      <c r="V28" s="48">
        <f t="shared" ref="V28" si="88">V26-V27</f>
        <v>14.5</v>
      </c>
      <c r="W28" s="48">
        <f t="shared" ref="W28" si="89">W26-W27</f>
        <v>35.9</v>
      </c>
      <c r="X28" s="48">
        <f t="shared" ref="X28" si="90">X26-X27</f>
        <v>40.6</v>
      </c>
      <c r="Y28" s="48">
        <f t="shared" ref="Y28" si="91">Y26-Y27</f>
        <v>38.1</v>
      </c>
      <c r="Z28" s="48">
        <f t="shared" ref="Z28" si="92">Z26-Z27</f>
        <v>41.400000000000006</v>
      </c>
      <c r="AA28" s="48">
        <f t="shared" ref="AA28" si="93">AA26-AA27</f>
        <v>38.200000000000003</v>
      </c>
      <c r="AB28" s="48">
        <f t="shared" ref="AB28" si="94">AB26-AB27</f>
        <v>41.5</v>
      </c>
      <c r="AC28" s="48">
        <f t="shared" ref="AC28" si="95">AC26-AC27</f>
        <v>40.299999999999997</v>
      </c>
      <c r="AD28" s="48">
        <f t="shared" ref="AD28" si="96">AD26-AD27</f>
        <v>30.199999999999996</v>
      </c>
      <c r="AE28" s="48">
        <f t="shared" ref="AE28:AV28" si="97">AE26-AE27</f>
        <v>35.763999999999996</v>
      </c>
      <c r="AF28" s="48">
        <f t="shared" si="97"/>
        <v>40.173999999999999</v>
      </c>
      <c r="AG28" s="48">
        <f t="shared" si="97"/>
        <v>38.53</v>
      </c>
      <c r="AH28" s="48">
        <f t="shared" si="97"/>
        <v>42.321999999999989</v>
      </c>
      <c r="AI28" s="48">
        <f t="shared" si="97"/>
        <v>40.139000000000003</v>
      </c>
      <c r="AJ28" s="48">
        <f t="shared" si="97"/>
        <v>40.555</v>
      </c>
      <c r="AK28" s="48">
        <f t="shared" si="97"/>
        <v>38.582999999999998</v>
      </c>
      <c r="AL28" s="48">
        <f t="shared" si="97"/>
        <v>46.455000000000041</v>
      </c>
      <c r="AM28" s="48">
        <f t="shared" si="97"/>
        <v>42.305000000000007</v>
      </c>
      <c r="AN28" s="48">
        <f t="shared" si="97"/>
        <v>45.078000000000003</v>
      </c>
      <c r="AO28" s="48">
        <f t="shared" si="97"/>
        <v>40.49199999999999</v>
      </c>
      <c r="AP28" s="48">
        <f t="shared" si="97"/>
        <v>46.370999999999995</v>
      </c>
      <c r="AQ28" s="48">
        <f t="shared" si="97"/>
        <v>40.06</v>
      </c>
      <c r="AR28" s="48">
        <f t="shared" si="97"/>
        <v>40.258999999999993</v>
      </c>
      <c r="AS28" s="48">
        <f t="shared" si="97"/>
        <v>35.861000000000004</v>
      </c>
      <c r="AT28" s="48">
        <f t="shared" si="97"/>
        <v>38.518000000000015</v>
      </c>
      <c r="AU28" s="48">
        <f t="shared" si="97"/>
        <v>36.723399999999998</v>
      </c>
      <c r="AV28" s="48">
        <f t="shared" si="97"/>
        <v>39.904999999999994</v>
      </c>
      <c r="AW28" s="48">
        <f>AW26-AW27</f>
        <v>38.853000000000002</v>
      </c>
      <c r="AX28" s="48">
        <f t="shared" ref="AX28" si="98">AX26-AX27</f>
        <v>42.226600000000019</v>
      </c>
      <c r="AY28" s="48">
        <f>AY26-AY27</f>
        <v>41.861000000000011</v>
      </c>
      <c r="AZ28" s="48">
        <f>AZ26-AZ27</f>
        <v>44.780000000000008</v>
      </c>
      <c r="BK28" s="48">
        <f t="shared" si="53"/>
        <v>180.2</v>
      </c>
      <c r="BL28" s="48">
        <f t="shared" si="54"/>
        <v>175.79999999999998</v>
      </c>
      <c r="BM28" s="48">
        <f t="shared" si="55"/>
        <v>174.3</v>
      </c>
      <c r="BN28" s="48">
        <f t="shared" si="56"/>
        <v>144</v>
      </c>
      <c r="BO28" s="48">
        <f t="shared" si="57"/>
        <v>143.9</v>
      </c>
      <c r="BP28" s="48">
        <f t="shared" si="58"/>
        <v>156</v>
      </c>
      <c r="BQ28" s="48">
        <f t="shared" si="59"/>
        <v>150.19999999999999</v>
      </c>
      <c r="BR28" s="48">
        <f t="shared" si="60"/>
        <v>156.78999999999996</v>
      </c>
      <c r="BS28" s="48">
        <f t="shared" si="61"/>
        <v>165.73200000000003</v>
      </c>
      <c r="BT28" s="48">
        <f t="shared" si="62"/>
        <v>174.24599999999998</v>
      </c>
      <c r="BU28" s="48">
        <f t="shared" si="63"/>
        <v>154.69800000000001</v>
      </c>
      <c r="BV28" s="48">
        <f t="shared" si="64"/>
        <v>157.70800000000003</v>
      </c>
      <c r="BW28" s="61">
        <f t="shared" ref="BW28:BZ28" si="99">BW26-BW27</f>
        <v>161.53638595000004</v>
      </c>
      <c r="BX28" s="61">
        <f t="shared" si="99"/>
        <v>182.31662982400002</v>
      </c>
      <c r="BY28" s="61">
        <f t="shared" si="99"/>
        <v>197.57948084208002</v>
      </c>
      <c r="BZ28" s="61">
        <f t="shared" si="99"/>
        <v>199.60726305166807</v>
      </c>
      <c r="CA28" s="61">
        <f t="shared" ref="CA28" si="100">CA26-CA27</f>
        <v>211.28818863116828</v>
      </c>
    </row>
    <row r="29" spans="2:134">
      <c r="B29" s="1" t="s">
        <v>230</v>
      </c>
      <c r="C29" s="48">
        <v>6.7</v>
      </c>
      <c r="D29" s="48">
        <v>7</v>
      </c>
      <c r="E29" s="48">
        <v>7</v>
      </c>
      <c r="F29" s="48">
        <v>7.4</v>
      </c>
      <c r="G29" s="48">
        <v>6.7</v>
      </c>
      <c r="H29" s="48">
        <v>6.1</v>
      </c>
      <c r="I29" s="48">
        <v>6.9</v>
      </c>
      <c r="J29" s="48">
        <v>7</v>
      </c>
      <c r="K29" s="48">
        <v>6.1</v>
      </c>
      <c r="L29" s="48">
        <v>6.2</v>
      </c>
      <c r="M29" s="48">
        <v>5.8</v>
      </c>
      <c r="N29" s="48">
        <v>6.9</v>
      </c>
      <c r="O29" s="48">
        <v>6.7</v>
      </c>
      <c r="P29" s="48">
        <v>5.9</v>
      </c>
      <c r="Q29" s="48">
        <v>6</v>
      </c>
      <c r="R29" s="48">
        <v>5.6</v>
      </c>
      <c r="S29" s="48">
        <v>6.4</v>
      </c>
      <c r="T29" s="48">
        <v>6.1</v>
      </c>
      <c r="U29" s="48">
        <v>6.5</v>
      </c>
      <c r="V29" s="48">
        <v>5.3</v>
      </c>
      <c r="W29" s="48">
        <v>7.4</v>
      </c>
      <c r="X29" s="48">
        <v>7.1</v>
      </c>
      <c r="Y29" s="48">
        <v>6.9</v>
      </c>
      <c r="Z29" s="48">
        <v>6.9</v>
      </c>
      <c r="AA29" s="48">
        <v>6.3</v>
      </c>
      <c r="AB29" s="48">
        <v>7.8</v>
      </c>
      <c r="AC29" s="48">
        <v>8.4</v>
      </c>
      <c r="AD29" s="48">
        <v>7.2</v>
      </c>
      <c r="AE29" s="48">
        <v>9.0090000000000003</v>
      </c>
      <c r="AF29" s="48">
        <v>9.7119999999999997</v>
      </c>
      <c r="AG29" s="48">
        <v>8.5649999999999995</v>
      </c>
      <c r="AH29" s="48">
        <f>36.39-SUM(AE29:AG29)</f>
        <v>9.1039999999999992</v>
      </c>
      <c r="AI29" s="48">
        <v>7.3940000000000001</v>
      </c>
      <c r="AJ29" s="48">
        <v>8.1989999999999998</v>
      </c>
      <c r="AK29" s="48">
        <v>7.28</v>
      </c>
      <c r="AL29" s="48">
        <f>30.739-SUM(AI29:AK29)</f>
        <v>7.8659999999999997</v>
      </c>
      <c r="AM29" s="48">
        <v>8.3330000000000002</v>
      </c>
      <c r="AN29" s="48">
        <v>6.8380000000000001</v>
      </c>
      <c r="AO29" s="48">
        <v>6.85</v>
      </c>
      <c r="AP29" s="48">
        <f>29.883-SUM(AM29:AO29)</f>
        <v>7.8619999999999983</v>
      </c>
      <c r="AQ29" s="48">
        <v>7.94</v>
      </c>
      <c r="AR29" s="48">
        <v>8.6579999999999995</v>
      </c>
      <c r="AS29" s="48">
        <v>8.1890000000000001</v>
      </c>
      <c r="AT29" s="48">
        <f>31.512-SUM(AQ29:AS29)</f>
        <v>6.7250000000000014</v>
      </c>
      <c r="AU29" s="48">
        <v>6.2850000000000001</v>
      </c>
      <c r="AV29" s="48">
        <v>6.4340000000000002</v>
      </c>
      <c r="AW29" s="48">
        <v>6.9130000000000003</v>
      </c>
      <c r="AX29" s="48">
        <f>26.222-SUM(AU29:AW29)</f>
        <v>6.59</v>
      </c>
      <c r="AY29" s="48">
        <v>6.4169999999999998</v>
      </c>
      <c r="AZ29" s="48">
        <v>7.76</v>
      </c>
      <c r="BK29" s="48">
        <f t="shared" si="53"/>
        <v>28.1</v>
      </c>
      <c r="BL29" s="48">
        <f t="shared" si="54"/>
        <v>26.700000000000003</v>
      </c>
      <c r="BM29" s="48">
        <f t="shared" si="55"/>
        <v>25</v>
      </c>
      <c r="BN29" s="48">
        <f t="shared" si="56"/>
        <v>24.200000000000003</v>
      </c>
      <c r="BO29" s="48">
        <f t="shared" si="57"/>
        <v>24.3</v>
      </c>
      <c r="BP29" s="48">
        <f t="shared" si="58"/>
        <v>28.299999999999997</v>
      </c>
      <c r="BQ29" s="48">
        <f t="shared" si="59"/>
        <v>29.7</v>
      </c>
      <c r="BR29" s="48">
        <f t="shared" si="60"/>
        <v>36.39</v>
      </c>
      <c r="BS29" s="48">
        <f t="shared" si="61"/>
        <v>30.739000000000001</v>
      </c>
      <c r="BT29" s="48">
        <f t="shared" si="62"/>
        <v>29.882999999999999</v>
      </c>
      <c r="BU29" s="48">
        <f t="shared" si="63"/>
        <v>31.512</v>
      </c>
      <c r="BV29" s="48">
        <f t="shared" si="64"/>
        <v>26.222000000000001</v>
      </c>
      <c r="BW29" s="61">
        <f t="shared" ref="BW29:BZ29" si="101">BW26*BW46</f>
        <v>28.382093980000004</v>
      </c>
      <c r="BX29" s="61">
        <f t="shared" si="101"/>
        <v>29.9520177568</v>
      </c>
      <c r="BY29" s="61">
        <f t="shared" si="101"/>
        <v>31.196760132960005</v>
      </c>
      <c r="BZ29" s="61">
        <f t="shared" si="101"/>
        <v>32.23016357531521</v>
      </c>
      <c r="CA29" s="61">
        <f t="shared" ref="CA29" si="102">CA26*CA46</f>
        <v>33.34088848124857</v>
      </c>
    </row>
    <row r="30" spans="2:134">
      <c r="B30" s="1" t="s">
        <v>231</v>
      </c>
      <c r="C30" s="48">
        <v>6.7</v>
      </c>
      <c r="D30" s="48">
        <v>6.4</v>
      </c>
      <c r="E30" s="48">
        <v>6.4</v>
      </c>
      <c r="F30" s="48">
        <v>7.4</v>
      </c>
      <c r="G30" s="48">
        <v>7.3</v>
      </c>
      <c r="H30" s="48">
        <v>8</v>
      </c>
      <c r="I30" s="48">
        <v>6.9</v>
      </c>
      <c r="J30" s="48">
        <v>7.8</v>
      </c>
      <c r="K30" s="48">
        <v>7.9</v>
      </c>
      <c r="L30" s="48">
        <v>8.1</v>
      </c>
      <c r="M30" s="48">
        <v>6.9</v>
      </c>
      <c r="N30" s="48">
        <v>7.7</v>
      </c>
      <c r="O30" s="48">
        <v>8.1999999999999993</v>
      </c>
      <c r="P30" s="48">
        <v>7.8</v>
      </c>
      <c r="Q30" s="48">
        <v>7.1</v>
      </c>
      <c r="R30" s="48">
        <v>8</v>
      </c>
      <c r="S30" s="48">
        <v>8.1</v>
      </c>
      <c r="T30" s="48">
        <v>7.5</v>
      </c>
      <c r="U30" s="48">
        <v>7.7</v>
      </c>
      <c r="V30" s="48">
        <v>7.7</v>
      </c>
      <c r="W30" s="48">
        <v>8.4</v>
      </c>
      <c r="X30" s="48">
        <v>9.3000000000000007</v>
      </c>
      <c r="Y30" s="48">
        <v>8.6999999999999993</v>
      </c>
      <c r="Z30" s="48">
        <v>8.5</v>
      </c>
      <c r="AA30" s="48">
        <v>8.5</v>
      </c>
      <c r="AB30" s="48">
        <v>11</v>
      </c>
      <c r="AC30" s="48">
        <v>10.199999999999999</v>
      </c>
      <c r="AD30" s="48">
        <v>8.1999999999999993</v>
      </c>
      <c r="AE30" s="48">
        <v>17.704999999999998</v>
      </c>
      <c r="AF30" s="48">
        <v>20.173999999999999</v>
      </c>
      <c r="AG30" s="48">
        <v>19.606999999999999</v>
      </c>
      <c r="AH30" s="48">
        <f>81.306-SUM(AE30:AG30)</f>
        <v>23.82</v>
      </c>
      <c r="AI30" s="48">
        <v>24.446000000000002</v>
      </c>
      <c r="AJ30" s="48">
        <v>23.606000000000002</v>
      </c>
      <c r="AK30" s="48">
        <v>20.416</v>
      </c>
      <c r="AL30" s="48">
        <f>95.301-SUM(AI30:AK30)</f>
        <v>26.832999999999998</v>
      </c>
      <c r="AM30" s="48">
        <v>26.542999999999999</v>
      </c>
      <c r="AN30" s="48">
        <v>26.007000000000001</v>
      </c>
      <c r="AO30" s="48">
        <v>25.405999999999999</v>
      </c>
      <c r="AP30" s="48">
        <f>104.249-SUM(AM30:AO30)</f>
        <v>26.293000000000006</v>
      </c>
      <c r="AQ30" s="48">
        <v>27.36</v>
      </c>
      <c r="AR30" s="48">
        <v>25.463999999999999</v>
      </c>
      <c r="AS30" s="48">
        <v>25.405000000000001</v>
      </c>
      <c r="AT30" s="48">
        <f>102.818-SUM(AQ30:AS30)</f>
        <v>24.588999999999999</v>
      </c>
      <c r="AU30" s="48">
        <v>25.6</v>
      </c>
      <c r="AV30" s="48">
        <v>25.588999999999999</v>
      </c>
      <c r="AW30" s="48">
        <v>25.504000000000001</v>
      </c>
      <c r="AX30" s="48">
        <f>103.135-SUM(AU30:AW30)</f>
        <v>26.442000000000007</v>
      </c>
      <c r="AY30" s="48">
        <v>28.13</v>
      </c>
      <c r="AZ30" s="48">
        <v>26.71</v>
      </c>
      <c r="BK30" s="48">
        <f t="shared" si="53"/>
        <v>26.9</v>
      </c>
      <c r="BL30" s="48">
        <f t="shared" si="54"/>
        <v>30.000000000000004</v>
      </c>
      <c r="BM30" s="48">
        <f t="shared" si="55"/>
        <v>30.599999999999998</v>
      </c>
      <c r="BN30" s="48">
        <f t="shared" si="56"/>
        <v>31.1</v>
      </c>
      <c r="BO30" s="48">
        <f t="shared" si="57"/>
        <v>31</v>
      </c>
      <c r="BP30" s="48">
        <f t="shared" si="58"/>
        <v>34.900000000000006</v>
      </c>
      <c r="BQ30" s="48">
        <f t="shared" si="59"/>
        <v>37.9</v>
      </c>
      <c r="BR30" s="48">
        <f t="shared" si="60"/>
        <v>81.305999999999997</v>
      </c>
      <c r="BS30" s="48">
        <f t="shared" si="61"/>
        <v>95.301000000000002</v>
      </c>
      <c r="BT30" s="48">
        <f t="shared" si="62"/>
        <v>104.249</v>
      </c>
      <c r="BU30" s="48">
        <f t="shared" si="63"/>
        <v>102.818</v>
      </c>
      <c r="BV30" s="48">
        <f t="shared" si="64"/>
        <v>103.13500000000001</v>
      </c>
      <c r="BW30" s="61">
        <f t="shared" ref="BW30:BZ30" si="103">BW26*BW47</f>
        <v>141.91046990000001</v>
      </c>
      <c r="BX30" s="61">
        <f t="shared" si="103"/>
        <v>146.50443468</v>
      </c>
      <c r="BY30" s="61">
        <f t="shared" si="103"/>
        <v>152.51749398336003</v>
      </c>
      <c r="BZ30" s="61">
        <f t="shared" si="103"/>
        <v>153.82578070036803</v>
      </c>
      <c r="CA30" s="61">
        <f t="shared" ref="CA30" si="104">CA26*CA47</f>
        <v>158.95074741060364</v>
      </c>
    </row>
    <row r="31" spans="2:134">
      <c r="B31" s="1" t="s">
        <v>232</v>
      </c>
      <c r="C31" s="48">
        <f>41.2-SUM(C29:C30)</f>
        <v>27.800000000000004</v>
      </c>
      <c r="D31" s="48">
        <f>43.4-SUM(D29:D30)</f>
        <v>30</v>
      </c>
      <c r="E31" s="48">
        <f>38.3-SUM(E29:E30)</f>
        <v>24.9</v>
      </c>
      <c r="F31" s="48">
        <f>46.8-SUM(F29:F30)</f>
        <v>31.999999999999996</v>
      </c>
      <c r="G31" s="48">
        <f>42.6-SUM(G29:G30)</f>
        <v>28.6</v>
      </c>
      <c r="H31" s="48">
        <f>43.1-SUM(H29:H30)</f>
        <v>29</v>
      </c>
      <c r="I31" s="48">
        <f>48-SUM(I29:I30)</f>
        <v>34.200000000000003</v>
      </c>
      <c r="J31" s="48">
        <f>45.6-SUM(J29:J30)</f>
        <v>30.8</v>
      </c>
      <c r="K31" s="48">
        <f>43.2-SUM(K29:K30)</f>
        <v>29.200000000000003</v>
      </c>
      <c r="L31" s="48">
        <f>45.3-SUM(L29:L30)</f>
        <v>30.999999999999996</v>
      </c>
      <c r="M31" s="48">
        <f>41.6-SUM(M29:M30)</f>
        <v>28.900000000000002</v>
      </c>
      <c r="N31" s="48">
        <f>43.3-SUM(N29:N30)</f>
        <v>28.699999999999996</v>
      </c>
      <c r="O31" s="48">
        <f>41.5-SUM(O29:O30)</f>
        <v>26.6</v>
      </c>
      <c r="P31" s="48">
        <f>29.4-SUM(P29:P30)</f>
        <v>15.7</v>
      </c>
      <c r="Q31" s="48">
        <f>38.7-SUM(Q29:Q30)</f>
        <v>25.6</v>
      </c>
      <c r="R31" s="48">
        <f>45.6-SUM(R29:R30)</f>
        <v>32</v>
      </c>
      <c r="S31" s="48">
        <f>41.1-SUM(S29:S30)</f>
        <v>26.6</v>
      </c>
      <c r="T31" s="48">
        <f>41.6-SUM(T29:T30)</f>
        <v>28</v>
      </c>
      <c r="U31" s="48">
        <f>40.6-SUM(U29:U30)</f>
        <v>26.400000000000002</v>
      </c>
      <c r="V31" s="48">
        <f>34.8-SUM(V29:V30)</f>
        <v>21.799999999999997</v>
      </c>
      <c r="W31" s="48">
        <f>42.1-SUM(W29:W30)</f>
        <v>26.3</v>
      </c>
      <c r="X31" s="48">
        <f>43.1-SUM(X29:X30)</f>
        <v>26.700000000000003</v>
      </c>
      <c r="Y31" s="48">
        <f>41.8-SUM(Y29:Y30)</f>
        <v>26.199999999999996</v>
      </c>
      <c r="Z31" s="48">
        <f>38.4-SUM(Z29:Z30)</f>
        <v>23</v>
      </c>
      <c r="AA31" s="48">
        <f>39-SUM(AA29:AA30)</f>
        <v>24.2</v>
      </c>
      <c r="AB31" s="48">
        <f>45-SUM(AB29:AB30)</f>
        <v>26.2</v>
      </c>
      <c r="AC31" s="48">
        <f>46.5-SUM(AC29:AC30)</f>
        <v>27.9</v>
      </c>
      <c r="AD31" s="48">
        <f>186.8-SUM(AD29:AD30)</f>
        <v>171.4</v>
      </c>
      <c r="AE31" s="48">
        <v>8.5570000000000004</v>
      </c>
      <c r="AF31" s="48">
        <v>9.2189999999999994</v>
      </c>
      <c r="AG31" s="48">
        <v>9.0109999999999992</v>
      </c>
      <c r="AH31" s="48">
        <f>35.918-SUM(AE31:AG31)</f>
        <v>9.1310000000000002</v>
      </c>
      <c r="AI31" s="48">
        <v>8.9429999999999996</v>
      </c>
      <c r="AJ31" s="48">
        <v>9.6780000000000008</v>
      </c>
      <c r="AK31" s="48">
        <v>8.7270000000000003</v>
      </c>
      <c r="AL31" s="48">
        <f>38.451-SUM(AI31:AK31)</f>
        <v>11.102999999999998</v>
      </c>
      <c r="AM31" s="48">
        <v>10.1</v>
      </c>
      <c r="AN31" s="48">
        <v>10.835000000000001</v>
      </c>
      <c r="AO31" s="48">
        <v>8.8390000000000004</v>
      </c>
      <c r="AP31" s="48">
        <f>40.003-SUM(AM31:AO31)</f>
        <v>10.228999999999999</v>
      </c>
      <c r="AQ31" s="48">
        <v>10.856</v>
      </c>
      <c r="AR31" s="48">
        <v>9.2889999999999997</v>
      </c>
      <c r="AS31" s="48">
        <v>10.577999999999999</v>
      </c>
      <c r="AT31" s="48">
        <f>41.164-SUM(AQ31:AS31)</f>
        <v>10.441000000000003</v>
      </c>
      <c r="AU31" s="48">
        <v>10.975</v>
      </c>
      <c r="AV31" s="48">
        <v>10.391</v>
      </c>
      <c r="AW31" s="48">
        <v>10.49</v>
      </c>
      <c r="AX31" s="48">
        <f>42.092-SUM(AU31:AW31)</f>
        <v>10.235999999999997</v>
      </c>
      <c r="AY31" s="48">
        <v>12.55</v>
      </c>
      <c r="AZ31" s="48">
        <v>10.15</v>
      </c>
      <c r="BK31" s="48">
        <f t="shared" si="53"/>
        <v>114.7</v>
      </c>
      <c r="BL31" s="48">
        <f t="shared" si="54"/>
        <v>122.60000000000001</v>
      </c>
      <c r="BM31" s="48">
        <f t="shared" si="55"/>
        <v>117.80000000000001</v>
      </c>
      <c r="BN31" s="48">
        <f t="shared" si="56"/>
        <v>99.9</v>
      </c>
      <c r="BO31" s="48">
        <f t="shared" si="57"/>
        <v>102.8</v>
      </c>
      <c r="BP31" s="48">
        <f t="shared" si="58"/>
        <v>102.19999999999999</v>
      </c>
      <c r="BQ31" s="48">
        <f t="shared" si="59"/>
        <v>249.7</v>
      </c>
      <c r="BR31" s="48">
        <f t="shared" si="60"/>
        <v>35.917999999999999</v>
      </c>
      <c r="BS31" s="48">
        <f t="shared" si="61"/>
        <v>38.451000000000001</v>
      </c>
      <c r="BT31" s="48">
        <f t="shared" si="62"/>
        <v>40.003</v>
      </c>
      <c r="BU31" s="48">
        <f t="shared" si="63"/>
        <v>41.164000000000001</v>
      </c>
      <c r="BV31" s="48">
        <f t="shared" si="64"/>
        <v>42.091999999999999</v>
      </c>
      <c r="BW31" s="61"/>
      <c r="BX31" s="61"/>
      <c r="BY31" s="61"/>
      <c r="BZ31" s="61"/>
      <c r="CA31" s="61"/>
    </row>
    <row r="32" spans="2:134">
      <c r="B32" s="1" t="s">
        <v>233</v>
      </c>
      <c r="C32" s="48">
        <v>0</v>
      </c>
      <c r="D32" s="48">
        <v>0</v>
      </c>
      <c r="E32" s="48">
        <v>0</v>
      </c>
      <c r="F32" s="48">
        <v>0</v>
      </c>
      <c r="G32" s="48">
        <v>0</v>
      </c>
      <c r="H32" s="48">
        <v>0</v>
      </c>
      <c r="I32" s="48">
        <v>0</v>
      </c>
      <c r="J32" s="48">
        <v>0</v>
      </c>
      <c r="K32" s="48">
        <v>0</v>
      </c>
      <c r="L32" s="48">
        <v>0</v>
      </c>
      <c r="M32" s="48">
        <v>0</v>
      </c>
      <c r="N32" s="48">
        <v>0</v>
      </c>
      <c r="O32" s="48">
        <v>0</v>
      </c>
      <c r="P32" s="48">
        <v>0</v>
      </c>
      <c r="Q32" s="48">
        <v>0</v>
      </c>
      <c r="R32" s="48">
        <v>0</v>
      </c>
      <c r="S32" s="48">
        <v>0</v>
      </c>
      <c r="T32" s="48">
        <v>0</v>
      </c>
      <c r="U32" s="48">
        <v>0</v>
      </c>
      <c r="V32" s="48">
        <v>0</v>
      </c>
      <c r="W32" s="48">
        <v>0</v>
      </c>
      <c r="X32" s="48">
        <v>0</v>
      </c>
      <c r="Y32" s="48">
        <v>0</v>
      </c>
      <c r="Z32" s="48">
        <v>0</v>
      </c>
      <c r="AA32" s="48">
        <v>0</v>
      </c>
      <c r="AB32" s="48">
        <v>0</v>
      </c>
      <c r="AC32" s="48">
        <v>0</v>
      </c>
      <c r="AD32" s="48">
        <v>0</v>
      </c>
      <c r="AE32" s="48">
        <v>4.9530000000000003</v>
      </c>
      <c r="AF32" s="48">
        <v>4.593</v>
      </c>
      <c r="AG32" s="48">
        <v>4.2919999999999998</v>
      </c>
      <c r="AH32" s="48">
        <f>18.136-SUM(AE32:AG32)</f>
        <v>4.298</v>
      </c>
      <c r="AI32" s="48">
        <v>4.8209999999999997</v>
      </c>
      <c r="AJ32" s="48">
        <v>4.8890000000000002</v>
      </c>
      <c r="AK32" s="48">
        <v>4.8949999999999996</v>
      </c>
      <c r="AL32" s="48">
        <f>19.458-SUM(AI32:AK32)</f>
        <v>4.852999999999998</v>
      </c>
      <c r="AM32" s="48">
        <v>4.8369999999999997</v>
      </c>
      <c r="AN32" s="48">
        <v>4.8079999999999998</v>
      </c>
      <c r="AO32" s="48">
        <v>4.7389999999999999</v>
      </c>
      <c r="AP32" s="48">
        <f>18.79-SUM(AM32:AO32)</f>
        <v>4.4059999999999988</v>
      </c>
      <c r="AQ32" s="48">
        <v>3.625</v>
      </c>
      <c r="AR32" s="48">
        <v>3.5619999999999998</v>
      </c>
      <c r="AS32" s="48">
        <v>3.2869999999999999</v>
      </c>
      <c r="AT32" s="48">
        <f>13.048-SUM(AQ32:AS32)</f>
        <v>2.5739999999999998</v>
      </c>
      <c r="AU32" s="48">
        <v>2.57</v>
      </c>
      <c r="AV32" s="48">
        <v>2.5619999999999998</v>
      </c>
      <c r="AW32" s="48">
        <v>2.5979999999999999</v>
      </c>
      <c r="AX32" s="48">
        <f>10.318-SUM(AU32:AW32)</f>
        <v>2.5880000000000001</v>
      </c>
      <c r="AY32" s="48">
        <v>2.65</v>
      </c>
      <c r="AZ32" s="48">
        <v>2.64</v>
      </c>
      <c r="BK32" s="48">
        <f t="shared" si="53"/>
        <v>0</v>
      </c>
      <c r="BL32" s="48">
        <f t="shared" si="54"/>
        <v>0</v>
      </c>
      <c r="BM32" s="48">
        <f t="shared" si="55"/>
        <v>0</v>
      </c>
      <c r="BN32" s="48">
        <f t="shared" si="56"/>
        <v>0</v>
      </c>
      <c r="BO32" s="48">
        <f t="shared" si="57"/>
        <v>0</v>
      </c>
      <c r="BP32" s="48">
        <f t="shared" si="58"/>
        <v>0</v>
      </c>
      <c r="BQ32" s="48">
        <f t="shared" si="59"/>
        <v>0</v>
      </c>
      <c r="BR32" s="48">
        <f t="shared" si="60"/>
        <v>18.135999999999999</v>
      </c>
      <c r="BS32" s="48">
        <f t="shared" si="61"/>
        <v>19.457999999999998</v>
      </c>
      <c r="BT32" s="48">
        <f t="shared" si="62"/>
        <v>18.79</v>
      </c>
      <c r="BU32" s="48">
        <f t="shared" si="63"/>
        <v>13.048</v>
      </c>
      <c r="BV32" s="48">
        <f t="shared" si="64"/>
        <v>10.318</v>
      </c>
      <c r="BW32" s="61">
        <v>0</v>
      </c>
      <c r="BX32" s="61">
        <v>0</v>
      </c>
      <c r="BY32" s="61">
        <v>0</v>
      </c>
      <c r="BZ32" s="61">
        <v>0</v>
      </c>
      <c r="CA32" s="61">
        <v>0</v>
      </c>
    </row>
    <row r="33" spans="2:134">
      <c r="B33" s="1" t="s">
        <v>234</v>
      </c>
      <c r="C33" s="48">
        <v>0</v>
      </c>
      <c r="D33" s="48">
        <v>0</v>
      </c>
      <c r="E33" s="48">
        <v>0</v>
      </c>
      <c r="F33" s="48">
        <v>0</v>
      </c>
      <c r="G33" s="48">
        <v>0</v>
      </c>
      <c r="H33" s="48">
        <v>0</v>
      </c>
      <c r="I33" s="48">
        <v>0</v>
      </c>
      <c r="J33" s="48">
        <v>0</v>
      </c>
      <c r="K33" s="48">
        <v>0</v>
      </c>
      <c r="L33" s="48">
        <v>0</v>
      </c>
      <c r="M33" s="48">
        <v>0</v>
      </c>
      <c r="N33" s="48">
        <v>0</v>
      </c>
      <c r="O33" s="48">
        <v>0</v>
      </c>
      <c r="P33" s="48">
        <v>0</v>
      </c>
      <c r="Q33" s="48">
        <v>0</v>
      </c>
      <c r="R33" s="48">
        <v>0</v>
      </c>
      <c r="S33" s="48">
        <v>0</v>
      </c>
      <c r="T33" s="48">
        <v>0</v>
      </c>
      <c r="U33" s="48">
        <v>0</v>
      </c>
      <c r="V33" s="48">
        <v>0</v>
      </c>
      <c r="W33" s="48">
        <v>0</v>
      </c>
      <c r="X33" s="48">
        <v>0</v>
      </c>
      <c r="Y33" s="48">
        <v>0</v>
      </c>
      <c r="Z33" s="48">
        <v>0</v>
      </c>
      <c r="AA33" s="48">
        <v>0</v>
      </c>
      <c r="AB33" s="48">
        <v>0</v>
      </c>
      <c r="AC33" s="48">
        <v>0</v>
      </c>
      <c r="AD33" s="48">
        <v>0</v>
      </c>
      <c r="AE33" s="1">
        <v>0</v>
      </c>
      <c r="AF33" s="48">
        <v>0</v>
      </c>
      <c r="AG33" s="1">
        <v>0</v>
      </c>
      <c r="AH33" s="48">
        <f>0-SUM(AE33:AG33)</f>
        <v>0</v>
      </c>
      <c r="AI33" s="48">
        <v>0</v>
      </c>
      <c r="AJ33" s="48">
        <v>0</v>
      </c>
      <c r="AK33" s="48">
        <v>0</v>
      </c>
      <c r="AL33" s="48">
        <f>0-SUM(AI33:AK33)</f>
        <v>0</v>
      </c>
      <c r="AM33" s="48">
        <v>0</v>
      </c>
      <c r="AN33" s="48">
        <v>0</v>
      </c>
      <c r="AO33" s="48">
        <v>0</v>
      </c>
      <c r="AP33" s="48">
        <f>14.549-SUM(AM33:AO33)</f>
        <v>14.548999999999999</v>
      </c>
      <c r="AQ33" s="48">
        <v>0</v>
      </c>
      <c r="AR33" s="1">
        <v>0</v>
      </c>
      <c r="AS33" s="48">
        <v>159.476</v>
      </c>
      <c r="AT33" s="48">
        <f>159.476-SUM(AQ33:AS33)</f>
        <v>0</v>
      </c>
      <c r="AU33" s="48">
        <v>0</v>
      </c>
      <c r="AV33" s="48">
        <v>0</v>
      </c>
      <c r="AW33" s="48">
        <v>0</v>
      </c>
      <c r="AX33" s="48">
        <f>0-SUM(AU33:AW33)</f>
        <v>0</v>
      </c>
      <c r="AY33" s="48">
        <v>0</v>
      </c>
      <c r="AZ33" s="48">
        <v>0</v>
      </c>
      <c r="BK33" s="48">
        <f t="shared" si="53"/>
        <v>0</v>
      </c>
      <c r="BL33" s="48">
        <f t="shared" si="54"/>
        <v>0</v>
      </c>
      <c r="BM33" s="48">
        <f t="shared" si="55"/>
        <v>0</v>
      </c>
      <c r="BN33" s="48">
        <f t="shared" si="56"/>
        <v>0</v>
      </c>
      <c r="BO33" s="48">
        <f t="shared" si="57"/>
        <v>0</v>
      </c>
      <c r="BP33" s="48">
        <f t="shared" si="58"/>
        <v>0</v>
      </c>
      <c r="BQ33" s="48">
        <f t="shared" si="59"/>
        <v>0</v>
      </c>
      <c r="BR33" s="48">
        <f t="shared" si="60"/>
        <v>0</v>
      </c>
      <c r="BS33" s="48">
        <f t="shared" si="61"/>
        <v>0</v>
      </c>
      <c r="BT33" s="48">
        <f t="shared" si="62"/>
        <v>14.548999999999999</v>
      </c>
      <c r="BU33" s="48">
        <f t="shared" si="63"/>
        <v>159.476</v>
      </c>
      <c r="BV33" s="48">
        <f t="shared" si="64"/>
        <v>0</v>
      </c>
      <c r="BW33" s="61">
        <v>0</v>
      </c>
      <c r="BX33" s="61">
        <v>0</v>
      </c>
      <c r="BY33" s="61">
        <v>0</v>
      </c>
      <c r="BZ33" s="61">
        <v>0</v>
      </c>
      <c r="CA33" s="61">
        <v>0</v>
      </c>
    </row>
    <row r="34" spans="2:134">
      <c r="B34" s="1" t="s">
        <v>235</v>
      </c>
      <c r="C34" s="48">
        <v>0</v>
      </c>
      <c r="D34" s="48">
        <v>0</v>
      </c>
      <c r="E34" s="48">
        <v>0</v>
      </c>
      <c r="F34" s="48">
        <v>0</v>
      </c>
      <c r="G34" s="48">
        <v>0</v>
      </c>
      <c r="H34" s="48">
        <v>0</v>
      </c>
      <c r="I34" s="48">
        <v>0</v>
      </c>
      <c r="J34" s="48">
        <v>0</v>
      </c>
      <c r="K34" s="48">
        <v>0</v>
      </c>
      <c r="L34" s="48">
        <v>0</v>
      </c>
      <c r="M34" s="48">
        <v>0</v>
      </c>
      <c r="N34" s="48">
        <v>0</v>
      </c>
      <c r="O34" s="48">
        <v>0</v>
      </c>
      <c r="P34" s="48">
        <v>0</v>
      </c>
      <c r="Q34" s="48">
        <v>0</v>
      </c>
      <c r="R34" s="48">
        <v>0</v>
      </c>
      <c r="S34" s="48">
        <v>0</v>
      </c>
      <c r="T34" s="48">
        <v>0</v>
      </c>
      <c r="U34" s="48">
        <v>0</v>
      </c>
      <c r="V34" s="48">
        <v>0</v>
      </c>
      <c r="W34" s="48">
        <v>0</v>
      </c>
      <c r="X34" s="48">
        <v>0</v>
      </c>
      <c r="Y34" s="48">
        <v>0</v>
      </c>
      <c r="Z34" s="48">
        <v>0</v>
      </c>
      <c r="AA34" s="48">
        <v>0</v>
      </c>
      <c r="AB34" s="48">
        <v>0</v>
      </c>
      <c r="AC34" s="48">
        <v>0</v>
      </c>
      <c r="AD34" s="48">
        <v>0</v>
      </c>
      <c r="AE34" s="48">
        <v>-0.65700000000000003</v>
      </c>
      <c r="AF34" s="48">
        <v>0.184</v>
      </c>
      <c r="AG34" s="48">
        <v>0.183</v>
      </c>
      <c r="AH34" s="48">
        <f>0.089-SUM(AE34:AG34)</f>
        <v>0.379</v>
      </c>
      <c r="AI34" s="48">
        <v>0.19500000000000001</v>
      </c>
      <c r="AJ34" s="48">
        <v>0.60899999999999999</v>
      </c>
      <c r="AK34" s="48">
        <v>0.20100000000000001</v>
      </c>
      <c r="AL34" s="48">
        <f>1.212-SUM(AI34:AK34)</f>
        <v>0.20699999999999985</v>
      </c>
      <c r="AM34" s="48">
        <v>0.21099999999999999</v>
      </c>
      <c r="AN34" s="48">
        <v>1.6459999999999999</v>
      </c>
      <c r="AO34" s="48">
        <v>0.22700000000000001</v>
      </c>
      <c r="AP34" s="48">
        <f>2.32-SUM(AM34:AO34)</f>
        <v>0.23599999999999977</v>
      </c>
      <c r="AQ34" s="48">
        <v>-0.13</v>
      </c>
      <c r="AR34" s="48">
        <v>0.221</v>
      </c>
      <c r="AS34" s="48">
        <v>0.112</v>
      </c>
      <c r="AT34" s="48">
        <f>0.432-SUM(AQ34:AS34)</f>
        <v>0.22899999999999998</v>
      </c>
      <c r="AU34" s="48">
        <v>7.5999999999999998E-2</v>
      </c>
      <c r="AV34" s="48">
        <v>0.156</v>
      </c>
      <c r="AW34" s="48">
        <v>0.04</v>
      </c>
      <c r="AX34" s="48">
        <f>0.272-SUM(AU34:AW34)</f>
        <v>0</v>
      </c>
      <c r="AY34" s="48">
        <v>0.04</v>
      </c>
      <c r="AZ34" s="48">
        <v>0</v>
      </c>
      <c r="BK34" s="48">
        <f t="shared" si="53"/>
        <v>0</v>
      </c>
      <c r="BL34" s="48">
        <f t="shared" si="54"/>
        <v>0</v>
      </c>
      <c r="BM34" s="48">
        <f t="shared" si="55"/>
        <v>0</v>
      </c>
      <c r="BN34" s="48">
        <f t="shared" si="56"/>
        <v>0</v>
      </c>
      <c r="BO34" s="48">
        <f t="shared" si="57"/>
        <v>0</v>
      </c>
      <c r="BP34" s="48">
        <f t="shared" si="58"/>
        <v>0</v>
      </c>
      <c r="BQ34" s="48">
        <f t="shared" si="59"/>
        <v>0</v>
      </c>
      <c r="BR34" s="48">
        <f t="shared" si="60"/>
        <v>8.8999999999999968E-2</v>
      </c>
      <c r="BS34" s="48">
        <f t="shared" si="61"/>
        <v>1.212</v>
      </c>
      <c r="BT34" s="48">
        <f t="shared" si="62"/>
        <v>2.3199999999999998</v>
      </c>
      <c r="BU34" s="48">
        <f t="shared" si="63"/>
        <v>0.432</v>
      </c>
      <c r="BV34" s="48">
        <f t="shared" si="64"/>
        <v>0.27199999999999996</v>
      </c>
      <c r="BW34" s="61">
        <v>0</v>
      </c>
      <c r="BX34" s="61">
        <v>0</v>
      </c>
      <c r="BY34" s="61">
        <v>0</v>
      </c>
      <c r="BZ34" s="61">
        <v>0</v>
      </c>
      <c r="CA34" s="61">
        <v>0</v>
      </c>
    </row>
    <row r="35" spans="2:134">
      <c r="B35" s="1" t="s">
        <v>236</v>
      </c>
      <c r="C35" s="48">
        <v>0</v>
      </c>
      <c r="D35" s="48">
        <v>0</v>
      </c>
      <c r="E35" s="48">
        <v>0</v>
      </c>
      <c r="F35" s="48">
        <v>0</v>
      </c>
      <c r="G35" s="48">
        <v>0</v>
      </c>
      <c r="H35" s="48">
        <v>0</v>
      </c>
      <c r="I35" s="48">
        <v>0</v>
      </c>
      <c r="J35" s="48">
        <v>0</v>
      </c>
      <c r="K35" s="48">
        <v>0</v>
      </c>
      <c r="L35" s="48">
        <v>0</v>
      </c>
      <c r="M35" s="48">
        <v>0</v>
      </c>
      <c r="N35" s="48">
        <v>0</v>
      </c>
      <c r="O35" s="48">
        <v>0</v>
      </c>
      <c r="P35" s="48">
        <v>0</v>
      </c>
      <c r="Q35" s="48">
        <v>0</v>
      </c>
      <c r="R35" s="48">
        <v>0</v>
      </c>
      <c r="S35" s="48">
        <v>0</v>
      </c>
      <c r="T35" s="48">
        <v>0</v>
      </c>
      <c r="U35" s="48">
        <v>0</v>
      </c>
      <c r="V35" s="48">
        <v>0</v>
      </c>
      <c r="W35" s="48">
        <v>0</v>
      </c>
      <c r="X35" s="48">
        <v>0</v>
      </c>
      <c r="Y35" s="48">
        <v>0</v>
      </c>
      <c r="Z35" s="48">
        <v>0</v>
      </c>
      <c r="AA35" s="48">
        <v>0</v>
      </c>
      <c r="AB35" s="48">
        <v>0</v>
      </c>
      <c r="AC35" s="48">
        <v>0</v>
      </c>
      <c r="AD35" s="48">
        <v>0</v>
      </c>
      <c r="AE35" s="48">
        <v>1.319</v>
      </c>
      <c r="AF35" s="48">
        <v>1.1279999999999999</v>
      </c>
      <c r="AG35" s="48">
        <v>0.61</v>
      </c>
      <c r="AH35" s="48">
        <f>20.232-SUM(AE35:AG35)</f>
        <v>17.175000000000001</v>
      </c>
      <c r="AI35" s="48">
        <v>2.44</v>
      </c>
      <c r="AJ35" s="48">
        <v>2.2530000000000001</v>
      </c>
      <c r="AK35" s="48">
        <v>2.359</v>
      </c>
      <c r="AL35" s="48">
        <f>9.042-SUM(AI35:AK35)</f>
        <v>1.9900000000000002</v>
      </c>
      <c r="AM35" s="48">
        <v>5.5810000000000004</v>
      </c>
      <c r="AN35" s="48">
        <v>3.0590000000000002</v>
      </c>
      <c r="AO35" s="48">
        <v>3.3690000000000002</v>
      </c>
      <c r="AP35" s="48">
        <f>15.633-SUM(AM35:AO35)</f>
        <v>3.6239999999999988</v>
      </c>
      <c r="AQ35" s="48">
        <v>3.2120000000000002</v>
      </c>
      <c r="AR35" s="48">
        <v>6.1879999999999997</v>
      </c>
      <c r="AS35" s="48">
        <v>35.366999999999997</v>
      </c>
      <c r="AT35" s="48">
        <f>53.182-SUM(AQ35:AS35)</f>
        <v>8.4150000000000063</v>
      </c>
      <c r="AU35" s="48">
        <v>4.3109999999999999</v>
      </c>
      <c r="AV35" s="48">
        <v>5.8680000000000003</v>
      </c>
      <c r="AW35" s="48">
        <v>3.286</v>
      </c>
      <c r="AX35" s="48">
        <f>15.62-SUM(AU35:AW35)</f>
        <v>2.1549999999999994</v>
      </c>
      <c r="AY35" s="48">
        <v>2.758</v>
      </c>
      <c r="AZ35" s="48">
        <v>3.63</v>
      </c>
      <c r="BK35" s="48">
        <f t="shared" si="53"/>
        <v>0</v>
      </c>
      <c r="BL35" s="48">
        <f t="shared" si="54"/>
        <v>0</v>
      </c>
      <c r="BM35" s="48">
        <f t="shared" si="55"/>
        <v>0</v>
      </c>
      <c r="BN35" s="48">
        <f t="shared" si="56"/>
        <v>0</v>
      </c>
      <c r="BO35" s="48">
        <f t="shared" si="57"/>
        <v>0</v>
      </c>
      <c r="BP35" s="48">
        <f t="shared" si="58"/>
        <v>0</v>
      </c>
      <c r="BQ35" s="48">
        <f t="shared" si="59"/>
        <v>0</v>
      </c>
      <c r="BR35" s="48">
        <f t="shared" si="60"/>
        <v>20.231999999999999</v>
      </c>
      <c r="BS35" s="48">
        <f t="shared" si="61"/>
        <v>9.0419999999999998</v>
      </c>
      <c r="BT35" s="48">
        <f t="shared" si="62"/>
        <v>15.632999999999999</v>
      </c>
      <c r="BU35" s="48">
        <f t="shared" si="63"/>
        <v>53.182000000000002</v>
      </c>
      <c r="BV35" s="48">
        <f t="shared" si="64"/>
        <v>15.62</v>
      </c>
      <c r="BW35" s="61">
        <v>0</v>
      </c>
      <c r="BX35" s="61">
        <v>0</v>
      </c>
      <c r="BY35" s="61">
        <v>0</v>
      </c>
      <c r="BZ35" s="61">
        <v>0</v>
      </c>
      <c r="CA35" s="61">
        <v>0</v>
      </c>
    </row>
    <row r="36" spans="2:134">
      <c r="B36" s="1" t="s">
        <v>237</v>
      </c>
      <c r="C36" s="48">
        <f t="shared" ref="C36:AE36" si="105">C28-SUM(C29:C35)</f>
        <v>1.2999999999999901</v>
      </c>
      <c r="D36" s="48">
        <f t="shared" si="105"/>
        <v>1.4999999999999929</v>
      </c>
      <c r="E36" s="48">
        <f t="shared" si="105"/>
        <v>6.5000000000000071</v>
      </c>
      <c r="F36" s="48">
        <f t="shared" si="105"/>
        <v>1.1999999999999957</v>
      </c>
      <c r="G36" s="48">
        <f t="shared" si="105"/>
        <v>3.1999999999999957</v>
      </c>
      <c r="H36" s="48">
        <f t="shared" si="105"/>
        <v>4.4999999999999929</v>
      </c>
      <c r="I36" s="48">
        <f t="shared" si="105"/>
        <v>-10.100000000000009</v>
      </c>
      <c r="J36" s="48">
        <f t="shared" si="105"/>
        <v>-1.1000000000000014</v>
      </c>
      <c r="K36" s="48">
        <f t="shared" si="105"/>
        <v>0.19999999999999574</v>
      </c>
      <c r="L36" s="48">
        <f t="shared" si="105"/>
        <v>0.60000000000000142</v>
      </c>
      <c r="M36" s="48">
        <f t="shared" si="105"/>
        <v>1.9000000000000057</v>
      </c>
      <c r="N36" s="48">
        <f t="shared" si="105"/>
        <v>-1.7999999999999901</v>
      </c>
      <c r="O36" s="48">
        <f t="shared" si="105"/>
        <v>3.4999999999999929</v>
      </c>
      <c r="P36" s="48">
        <f t="shared" si="105"/>
        <v>15.600000000000001</v>
      </c>
      <c r="Q36" s="48">
        <f t="shared" si="105"/>
        <v>5.0999999999999943</v>
      </c>
      <c r="R36" s="48">
        <f t="shared" si="105"/>
        <v>-35.400000000000006</v>
      </c>
      <c r="S36" s="48">
        <f t="shared" si="105"/>
        <v>0.10000000000000142</v>
      </c>
      <c r="T36" s="48">
        <f t="shared" si="105"/>
        <v>1.1000000000000014</v>
      </c>
      <c r="U36" s="48">
        <f t="shared" si="105"/>
        <v>4.9000000000000057</v>
      </c>
      <c r="V36" s="48">
        <f t="shared" si="105"/>
        <v>-20.299999999999997</v>
      </c>
      <c r="W36" s="48">
        <f t="shared" si="105"/>
        <v>-6.2000000000000028</v>
      </c>
      <c r="X36" s="48">
        <f t="shared" si="105"/>
        <v>-2.5</v>
      </c>
      <c r="Y36" s="48">
        <f t="shared" si="105"/>
        <v>-3.6999999999999957</v>
      </c>
      <c r="Z36" s="48">
        <f t="shared" si="105"/>
        <v>3.0000000000000071</v>
      </c>
      <c r="AA36" s="48">
        <f t="shared" si="105"/>
        <v>-0.79999999999999716</v>
      </c>
      <c r="AB36" s="48">
        <f t="shared" si="105"/>
        <v>-3.5</v>
      </c>
      <c r="AC36" s="48">
        <f t="shared" si="105"/>
        <v>-6.2000000000000028</v>
      </c>
      <c r="AD36" s="48">
        <f t="shared" si="105"/>
        <v>-156.60000000000002</v>
      </c>
      <c r="AE36" s="48">
        <f t="shared" si="105"/>
        <v>-5.1220000000000141</v>
      </c>
      <c r="AF36" s="48">
        <f t="shared" ref="AF36:AU36" si="106">AF28-SUM(AF29:AF35)</f>
        <v>-4.8359999999999914</v>
      </c>
      <c r="AG36" s="48">
        <f t="shared" si="106"/>
        <v>-3.7379999999999924</v>
      </c>
      <c r="AH36" s="48">
        <f t="shared" si="106"/>
        <v>-21.585000000000008</v>
      </c>
      <c r="AI36" s="48">
        <f t="shared" si="106"/>
        <v>-8.0999999999999943</v>
      </c>
      <c r="AJ36" s="48">
        <f t="shared" si="106"/>
        <v>-8.6790000000000092</v>
      </c>
      <c r="AK36" s="48">
        <f t="shared" si="106"/>
        <v>-5.2950000000000017</v>
      </c>
      <c r="AL36" s="48">
        <f t="shared" si="106"/>
        <v>-6.3969999999999487</v>
      </c>
      <c r="AM36" s="48">
        <f>AM28-SUM(AM29:AM35)</f>
        <v>-13.299999999999997</v>
      </c>
      <c r="AN36" s="48">
        <f>AN28-SUM(AN29:AN35)</f>
        <v>-8.1149999999999949</v>
      </c>
      <c r="AO36" s="48">
        <f t="shared" si="106"/>
        <v>-8.9380000000000024</v>
      </c>
      <c r="AP36" s="48">
        <f t="shared" si="106"/>
        <v>-20.828000000000003</v>
      </c>
      <c r="AQ36" s="48">
        <f>AQ28-SUM(AQ29:AQ35)+47.842</f>
        <v>35.039000000000001</v>
      </c>
      <c r="AR36" s="48">
        <f>AR28-SUM(AR29:AR35)</f>
        <v>-13.123000000000005</v>
      </c>
      <c r="AS36" s="48">
        <f>AS28-SUM(AS29:AS35)+6.657</f>
        <v>-199.89599999999999</v>
      </c>
      <c r="AT36" s="48">
        <f t="shared" si="106"/>
        <v>-14.454999999999991</v>
      </c>
      <c r="AU36" s="48">
        <f t="shared" si="106"/>
        <v>-13.093600000000002</v>
      </c>
      <c r="AV36" s="48">
        <f>AV28-SUM(AV29:AV35)</f>
        <v>-11.094999999999999</v>
      </c>
      <c r="AW36" s="48">
        <f>AW28-SUM(AW29:AW35)</f>
        <v>-9.9780000000000015</v>
      </c>
      <c r="AX36" s="48">
        <f t="shared" ref="AX36" si="107">AX28-SUM(AX29:AX35)</f>
        <v>-5.7843999999999909</v>
      </c>
      <c r="AY36" s="48">
        <f>AY28-SUM(AY29:AY35)</f>
        <v>-10.683999999999983</v>
      </c>
      <c r="AZ36" s="48">
        <f>AZ28-SUM(AZ29:AZ35)</f>
        <v>-6.1099999999999923</v>
      </c>
      <c r="BK36" s="48">
        <f t="shared" si="53"/>
        <v>10.499999999999986</v>
      </c>
      <c r="BL36" s="48">
        <f t="shared" si="54"/>
        <v>-3.5000000000000213</v>
      </c>
      <c r="BM36" s="48">
        <f t="shared" si="55"/>
        <v>0.90000000000001279</v>
      </c>
      <c r="BN36" s="48">
        <f t="shared" si="56"/>
        <v>-11.200000000000017</v>
      </c>
      <c r="BO36" s="48">
        <f t="shared" si="57"/>
        <v>-14.199999999999989</v>
      </c>
      <c r="BP36" s="48">
        <f t="shared" si="58"/>
        <v>-9.3999999999999915</v>
      </c>
      <c r="BQ36" s="48">
        <f t="shared" si="59"/>
        <v>-167.10000000000002</v>
      </c>
      <c r="BR36" s="48">
        <f t="shared" si="60"/>
        <v>-35.281000000000006</v>
      </c>
      <c r="BS36" s="48">
        <f t="shared" si="61"/>
        <v>-28.470999999999954</v>
      </c>
      <c r="BT36" s="48">
        <f t="shared" si="62"/>
        <v>-51.180999999999997</v>
      </c>
      <c r="BU36" s="48">
        <f t="shared" si="63"/>
        <v>-192.43499999999997</v>
      </c>
      <c r="BV36" s="48">
        <f t="shared" si="64"/>
        <v>-39.950999999999993</v>
      </c>
      <c r="BW36" s="61">
        <f t="shared" ref="BW36:BZ36" si="108">BW28-SUM(BW29:BW35)</f>
        <v>-8.7561779299999785</v>
      </c>
      <c r="BX36" s="61">
        <f t="shared" si="108"/>
        <v>5.8601773872000251</v>
      </c>
      <c r="BY36" s="61">
        <f t="shared" si="108"/>
        <v>13.865226725759982</v>
      </c>
      <c r="BZ36" s="61">
        <f t="shared" si="108"/>
        <v>13.551318775984839</v>
      </c>
      <c r="CA36" s="61">
        <f t="shared" ref="CA36" si="109">CA28-SUM(CA29:CA35)</f>
        <v>18.996552739316087</v>
      </c>
    </row>
    <row r="37" spans="2:134">
      <c r="B37" s="1" t="s">
        <v>238</v>
      </c>
      <c r="C37" s="48">
        <v>-2</v>
      </c>
      <c r="D37" s="48">
        <v>-1.8</v>
      </c>
      <c r="E37" s="48">
        <v>-2</v>
      </c>
      <c r="F37" s="48">
        <v>0.4</v>
      </c>
      <c r="G37" s="48">
        <v>-1.8</v>
      </c>
      <c r="H37" s="48">
        <v>-1.7</v>
      </c>
      <c r="I37" s="48">
        <v>-1.8</v>
      </c>
      <c r="J37" s="48">
        <v>0.7</v>
      </c>
      <c r="K37" s="48">
        <v>-0.9</v>
      </c>
      <c r="L37" s="48">
        <v>-1.2</v>
      </c>
      <c r="M37" s="48">
        <v>-1</v>
      </c>
      <c r="N37" s="48">
        <v>-1.1000000000000001</v>
      </c>
      <c r="O37" s="48">
        <v>-0.7</v>
      </c>
      <c r="P37" s="48">
        <v>-1.2</v>
      </c>
      <c r="Q37" s="48">
        <v>-0.6</v>
      </c>
      <c r="R37" s="48">
        <v>-0.7</v>
      </c>
      <c r="S37" s="48">
        <v>-0.2</v>
      </c>
      <c r="T37" s="48">
        <v>-1</v>
      </c>
      <c r="U37" s="48">
        <v>-0.8</v>
      </c>
      <c r="V37" s="48">
        <v>-1.1000000000000001</v>
      </c>
      <c r="W37" s="48">
        <v>-0.8</v>
      </c>
      <c r="X37" s="48">
        <v>-1.2</v>
      </c>
      <c r="Y37" s="48">
        <v>-1.7</v>
      </c>
      <c r="Z37" s="48">
        <v>-1.5</v>
      </c>
      <c r="AA37" s="48">
        <v>-0.6</v>
      </c>
      <c r="AB37" s="48">
        <v>0.1</v>
      </c>
      <c r="AC37" s="48">
        <v>-0.3</v>
      </c>
      <c r="AD37" s="48">
        <v>-0.3</v>
      </c>
      <c r="AE37" s="48">
        <v>-0.215</v>
      </c>
      <c r="AF37" s="48">
        <v>-0.23499999999999999</v>
      </c>
      <c r="AG37" s="48">
        <v>-0.22600000000000001</v>
      </c>
      <c r="AH37" s="48">
        <f>-0.861-SUM(AE37:AG37)</f>
        <v>-0.18500000000000005</v>
      </c>
      <c r="AI37" s="48">
        <v>-0.156</v>
      </c>
      <c r="AJ37" s="48">
        <v>-0.17399999999999999</v>
      </c>
      <c r="AK37" s="48">
        <v>-0.17299999999999999</v>
      </c>
      <c r="AL37" s="48">
        <f>-0.688-SUM(AI37:AK37)</f>
        <v>-0.18500000000000005</v>
      </c>
      <c r="AM37" s="48">
        <v>-0.38100000000000001</v>
      </c>
      <c r="AN37" s="48">
        <v>-0.68400000000000005</v>
      </c>
      <c r="AO37" s="48">
        <v>-0.73599999999999999</v>
      </c>
      <c r="AP37" s="48">
        <f>-2.702-SUM(AM37:AO37)</f>
        <v>-0.90100000000000002</v>
      </c>
      <c r="AQ37" s="48">
        <v>0.11899999999999999</v>
      </c>
      <c r="AR37" s="48">
        <v>0.53400000000000003</v>
      </c>
      <c r="AS37" s="48">
        <v>0.39400000000000002</v>
      </c>
      <c r="AT37" s="48">
        <f>1.614-SUM(AQ37:AS37)</f>
        <v>0.56699999999999995</v>
      </c>
      <c r="AU37" s="48">
        <v>0.60599999999999998</v>
      </c>
      <c r="AV37" s="48">
        <v>0.23400000000000001</v>
      </c>
      <c r="AW37" s="48">
        <v>0.13500000000000001</v>
      </c>
      <c r="AX37" s="48">
        <f>0.978-SUM(AU37:AW37)</f>
        <v>3.0000000000000027E-3</v>
      </c>
      <c r="AY37" s="48">
        <v>-4.0000000000000001E-3</v>
      </c>
      <c r="AZ37" s="48">
        <v>-0.1</v>
      </c>
      <c r="BK37" s="48">
        <f t="shared" si="53"/>
        <v>-5.3999999999999995</v>
      </c>
      <c r="BL37" s="48">
        <f t="shared" si="54"/>
        <v>-4.5999999999999996</v>
      </c>
      <c r="BM37" s="48">
        <f t="shared" si="55"/>
        <v>-4.2</v>
      </c>
      <c r="BN37" s="48">
        <f t="shared" si="56"/>
        <v>-3.2</v>
      </c>
      <c r="BO37" s="48">
        <f t="shared" si="57"/>
        <v>-3.1</v>
      </c>
      <c r="BP37" s="48">
        <f t="shared" si="58"/>
        <v>-5.2</v>
      </c>
      <c r="BQ37" s="48">
        <f t="shared" si="59"/>
        <v>-1.1000000000000001</v>
      </c>
      <c r="BR37" s="48">
        <f t="shared" si="60"/>
        <v>-0.86099999999999999</v>
      </c>
      <c r="BS37" s="48">
        <f t="shared" si="61"/>
        <v>-0.68799999999999994</v>
      </c>
      <c r="BT37" s="48">
        <f t="shared" si="62"/>
        <v>-2.702</v>
      </c>
      <c r="BU37" s="48">
        <f t="shared" si="63"/>
        <v>1.6140000000000001</v>
      </c>
      <c r="BV37" s="48">
        <f t="shared" si="64"/>
        <v>0.97799999999999998</v>
      </c>
      <c r="BW37" s="61">
        <f>BV52*$CF$54</f>
        <v>4.7509050000000004</v>
      </c>
      <c r="BX37" s="61">
        <f>BW52*$CF$54</f>
        <v>4.4070523189595026</v>
      </c>
      <c r="BY37" s="61">
        <f>BX52*$CF$54</f>
        <v>5.2884939892332978</v>
      </c>
      <c r="BZ37" s="61">
        <f>BY52*$CF$54</f>
        <v>6.9328409126154709</v>
      </c>
      <c r="CA37" s="61">
        <f>BZ52*$CF$54</f>
        <v>8.6914060218818072</v>
      </c>
    </row>
    <row r="38" spans="2:134">
      <c r="B38" s="1" t="s">
        <v>239</v>
      </c>
      <c r="C38" s="48">
        <v>0</v>
      </c>
      <c r="D38" s="48">
        <v>0</v>
      </c>
      <c r="E38" s="48">
        <v>0</v>
      </c>
      <c r="F38" s="48">
        <v>0</v>
      </c>
      <c r="G38" s="48">
        <v>0</v>
      </c>
      <c r="H38" s="48">
        <v>0</v>
      </c>
      <c r="I38" s="48">
        <v>0</v>
      </c>
      <c r="J38" s="48">
        <v>0</v>
      </c>
      <c r="K38" s="48">
        <v>0</v>
      </c>
      <c r="L38" s="48">
        <v>0</v>
      </c>
      <c r="M38" s="48">
        <v>0</v>
      </c>
      <c r="N38" s="48">
        <v>0</v>
      </c>
      <c r="O38" s="48">
        <v>0</v>
      </c>
      <c r="P38" s="48">
        <v>0</v>
      </c>
      <c r="Q38" s="48">
        <v>0</v>
      </c>
      <c r="R38" s="48">
        <v>0</v>
      </c>
      <c r="S38" s="48">
        <v>0</v>
      </c>
      <c r="T38" s="48">
        <v>0</v>
      </c>
      <c r="U38" s="48">
        <v>0</v>
      </c>
      <c r="V38" s="48">
        <v>0</v>
      </c>
      <c r="W38" s="48">
        <v>0</v>
      </c>
      <c r="X38" s="48">
        <v>0</v>
      </c>
      <c r="Y38" s="48">
        <v>0</v>
      </c>
      <c r="Z38" s="48">
        <v>0</v>
      </c>
      <c r="AA38" s="48">
        <v>0</v>
      </c>
      <c r="AB38" s="48">
        <v>0</v>
      </c>
      <c r="AC38" s="48">
        <v>0</v>
      </c>
      <c r="AD38" s="48">
        <v>0</v>
      </c>
      <c r="AE38" s="48">
        <v>0.52400000000000002</v>
      </c>
      <c r="AF38" s="48">
        <v>-0.10199999999999999</v>
      </c>
      <c r="AG38" s="48">
        <v>-0.16300000000000001</v>
      </c>
      <c r="AH38" s="48">
        <f>0.092-SUM(AE38:AG38)</f>
        <v>-0.16700000000000001</v>
      </c>
      <c r="AI38" s="48">
        <v>-0.35199999999999998</v>
      </c>
      <c r="AJ38" s="48">
        <v>-0.01</v>
      </c>
      <c r="AK38" s="48">
        <v>-0.28899999999999998</v>
      </c>
      <c r="AL38" s="48">
        <f>-0.79-SUM(AI38:AK38)</f>
        <v>-0.13900000000000001</v>
      </c>
      <c r="AM38" s="48">
        <v>-0.17499999999999999</v>
      </c>
      <c r="AN38" s="48">
        <v>-0.252</v>
      </c>
      <c r="AO38" s="48">
        <v>0</v>
      </c>
      <c r="AP38" s="48">
        <f>-0.554-SUM(AM38:AO38)</f>
        <v>-0.12700000000000006</v>
      </c>
      <c r="AQ38" s="48">
        <v>-0.28799999999999998</v>
      </c>
      <c r="AR38" s="48">
        <v>-3.2000000000000001E-2</v>
      </c>
      <c r="AS38" s="48">
        <v>-0.23799999999999999</v>
      </c>
      <c r="AT38" s="48">
        <f>-0.817-SUM(AQ38:AS38)</f>
        <v>-0.25900000000000001</v>
      </c>
      <c r="AU38" s="48">
        <v>-0.17299999999999999</v>
      </c>
      <c r="AV38" s="48">
        <v>1.2E-2</v>
      </c>
      <c r="AW38" s="48">
        <v>5.43</v>
      </c>
      <c r="AX38" s="48">
        <f>4.944-SUM(AU38:AW38)</f>
        <v>-0.32500000000000018</v>
      </c>
      <c r="AY38" s="48">
        <v>-0.17799999999999999</v>
      </c>
      <c r="AZ38" s="48">
        <v>-0.128</v>
      </c>
      <c r="BK38" s="48">
        <f t="shared" si="53"/>
        <v>0</v>
      </c>
      <c r="BL38" s="48">
        <f t="shared" si="54"/>
        <v>0</v>
      </c>
      <c r="BM38" s="48">
        <f t="shared" si="55"/>
        <v>0</v>
      </c>
      <c r="BN38" s="48">
        <f t="shared" si="56"/>
        <v>0</v>
      </c>
      <c r="BO38" s="48">
        <f t="shared" si="57"/>
        <v>0</v>
      </c>
      <c r="BP38" s="48">
        <f t="shared" si="58"/>
        <v>0</v>
      </c>
      <c r="BQ38" s="48">
        <f t="shared" si="59"/>
        <v>0</v>
      </c>
      <c r="BR38" s="48">
        <f t="shared" si="60"/>
        <v>9.1999999999999998E-2</v>
      </c>
      <c r="BS38" s="48">
        <f t="shared" si="61"/>
        <v>-0.79</v>
      </c>
      <c r="BT38" s="48">
        <f t="shared" si="62"/>
        <v>-0.55400000000000005</v>
      </c>
      <c r="BU38" s="48">
        <f t="shared" si="63"/>
        <v>-0.81699999999999995</v>
      </c>
      <c r="BV38" s="48">
        <f t="shared" si="64"/>
        <v>4.944</v>
      </c>
      <c r="BW38" s="61">
        <v>0</v>
      </c>
      <c r="BX38" s="61">
        <v>0</v>
      </c>
      <c r="BY38" s="61">
        <v>0</v>
      </c>
      <c r="BZ38" s="61">
        <v>0</v>
      </c>
      <c r="CA38" s="61">
        <v>0</v>
      </c>
    </row>
    <row r="39" spans="2:134">
      <c r="B39" s="1" t="s">
        <v>240</v>
      </c>
      <c r="C39" s="48">
        <f t="shared" ref="C39:Q39" si="110">C36+SUM(C37:C38)</f>
        <v>-0.70000000000000995</v>
      </c>
      <c r="D39" s="48">
        <f t="shared" si="110"/>
        <v>-0.30000000000000715</v>
      </c>
      <c r="E39" s="48">
        <f t="shared" si="110"/>
        <v>4.5000000000000071</v>
      </c>
      <c r="F39" s="48">
        <f t="shared" si="110"/>
        <v>1.5999999999999956</v>
      </c>
      <c r="G39" s="48">
        <f t="shared" si="110"/>
        <v>1.3999999999999957</v>
      </c>
      <c r="H39" s="48">
        <f t="shared" si="110"/>
        <v>2.7999999999999927</v>
      </c>
      <c r="I39" s="48">
        <f t="shared" si="110"/>
        <v>-11.900000000000009</v>
      </c>
      <c r="J39" s="48">
        <f t="shared" si="110"/>
        <v>-0.40000000000000147</v>
      </c>
      <c r="K39" s="48">
        <f t="shared" si="110"/>
        <v>-0.70000000000000429</v>
      </c>
      <c r="L39" s="48">
        <f t="shared" si="110"/>
        <v>-0.59999999999999853</v>
      </c>
      <c r="M39" s="48">
        <f t="shared" si="110"/>
        <v>0.90000000000000568</v>
      </c>
      <c r="N39" s="48">
        <f t="shared" si="110"/>
        <v>-2.8999999999999901</v>
      </c>
      <c r="O39" s="48">
        <f t="shared" si="110"/>
        <v>2.7999999999999927</v>
      </c>
      <c r="P39" s="48">
        <f t="shared" si="110"/>
        <v>14.400000000000002</v>
      </c>
      <c r="Q39" s="48">
        <f t="shared" si="110"/>
        <v>4.4999999999999947</v>
      </c>
      <c r="R39" s="48">
        <f>R36+SUM(R37:R38)+12</f>
        <v>-24.100000000000009</v>
      </c>
      <c r="S39" s="48">
        <f t="shared" ref="S39:AD39" si="111">S36+SUM(S37:S38)</f>
        <v>-9.999999999999859E-2</v>
      </c>
      <c r="T39" s="48">
        <f t="shared" si="111"/>
        <v>0.10000000000000142</v>
      </c>
      <c r="U39" s="48">
        <f t="shared" si="111"/>
        <v>4.1000000000000059</v>
      </c>
      <c r="V39" s="48">
        <f t="shared" si="111"/>
        <v>-21.4</v>
      </c>
      <c r="W39" s="48">
        <f t="shared" si="111"/>
        <v>-7.0000000000000027</v>
      </c>
      <c r="X39" s="48">
        <f t="shared" si="111"/>
        <v>-3.7</v>
      </c>
      <c r="Y39" s="48">
        <f t="shared" si="111"/>
        <v>-5.3999999999999959</v>
      </c>
      <c r="Z39" s="48">
        <f t="shared" si="111"/>
        <v>1.5000000000000071</v>
      </c>
      <c r="AA39" s="48">
        <f t="shared" si="111"/>
        <v>-1.3999999999999972</v>
      </c>
      <c r="AB39" s="48">
        <f t="shared" si="111"/>
        <v>-3.4</v>
      </c>
      <c r="AC39" s="48">
        <f t="shared" si="111"/>
        <v>-6.5000000000000027</v>
      </c>
      <c r="AD39" s="48">
        <f t="shared" si="111"/>
        <v>-156.90000000000003</v>
      </c>
      <c r="AE39" s="48">
        <f t="shared" ref="AE39:AV39" si="112">AE36+SUM(AE37:AE38)</f>
        <v>-4.8130000000000139</v>
      </c>
      <c r="AF39" s="48">
        <f t="shared" si="112"/>
        <v>-5.1729999999999912</v>
      </c>
      <c r="AG39" s="48">
        <f t="shared" si="112"/>
        <v>-4.1269999999999927</v>
      </c>
      <c r="AH39" s="48">
        <f t="shared" si="112"/>
        <v>-21.937000000000008</v>
      </c>
      <c r="AI39" s="48">
        <f t="shared" si="112"/>
        <v>-8.6079999999999934</v>
      </c>
      <c r="AJ39" s="48">
        <f t="shared" si="112"/>
        <v>-8.8630000000000084</v>
      </c>
      <c r="AK39" s="48">
        <f t="shared" si="112"/>
        <v>-5.7570000000000014</v>
      </c>
      <c r="AL39" s="48">
        <f t="shared" si="112"/>
        <v>-6.7209999999999486</v>
      </c>
      <c r="AM39" s="48">
        <f t="shared" si="112"/>
        <v>-13.855999999999998</v>
      </c>
      <c r="AN39" s="48">
        <f t="shared" si="112"/>
        <v>-9.0509999999999948</v>
      </c>
      <c r="AO39" s="48">
        <f t="shared" si="112"/>
        <v>-9.674000000000003</v>
      </c>
      <c r="AP39" s="48">
        <f t="shared" si="112"/>
        <v>-21.856000000000002</v>
      </c>
      <c r="AQ39" s="48">
        <f t="shared" si="112"/>
        <v>34.870000000000005</v>
      </c>
      <c r="AR39" s="48">
        <f t="shared" si="112"/>
        <v>-12.621000000000004</v>
      </c>
      <c r="AS39" s="48">
        <f t="shared" si="112"/>
        <v>-199.73999999999998</v>
      </c>
      <c r="AT39" s="48">
        <f t="shared" si="112"/>
        <v>-14.146999999999991</v>
      </c>
      <c r="AU39" s="48">
        <f t="shared" si="112"/>
        <v>-12.660600000000002</v>
      </c>
      <c r="AV39" s="48">
        <f t="shared" si="112"/>
        <v>-10.848999999999998</v>
      </c>
      <c r="AW39" s="48">
        <f>AW36+SUM(AW37:AW38)</f>
        <v>-4.413000000000002</v>
      </c>
      <c r="AX39" s="48">
        <f t="shared" ref="AX39" si="113">AX36+SUM(AX37:AX38)</f>
        <v>-6.1063999999999909</v>
      </c>
      <c r="AY39" s="48">
        <f>AY36+SUM(AY37:AY38)</f>
        <v>-10.865999999999984</v>
      </c>
      <c r="AZ39" s="48">
        <f>AZ36+SUM(AZ37:AZ38)</f>
        <v>-6.3379999999999921</v>
      </c>
      <c r="BK39" s="48">
        <f t="shared" si="53"/>
        <v>5.0999999999999854</v>
      </c>
      <c r="BL39" s="48">
        <f t="shared" si="54"/>
        <v>-8.1000000000000227</v>
      </c>
      <c r="BM39" s="48">
        <f t="shared" si="55"/>
        <v>-3.2999999999999874</v>
      </c>
      <c r="BN39" s="48">
        <f t="shared" si="56"/>
        <v>-2.4000000000000199</v>
      </c>
      <c r="BO39" s="48">
        <f t="shared" si="57"/>
        <v>-17.29999999999999</v>
      </c>
      <c r="BP39" s="48">
        <f t="shared" si="58"/>
        <v>-14.599999999999991</v>
      </c>
      <c r="BQ39" s="48">
        <f t="shared" si="59"/>
        <v>-168.20000000000005</v>
      </c>
      <c r="BR39" s="48">
        <f t="shared" si="60"/>
        <v>-36.050000000000004</v>
      </c>
      <c r="BS39" s="48">
        <f t="shared" si="61"/>
        <v>-29.948999999999955</v>
      </c>
      <c r="BT39" s="48">
        <f t="shared" si="62"/>
        <v>-54.436999999999998</v>
      </c>
      <c r="BU39" s="48">
        <f t="shared" si="63"/>
        <v>-191.63799999999998</v>
      </c>
      <c r="BV39" s="48">
        <f t="shared" si="64"/>
        <v>-34.028999999999996</v>
      </c>
      <c r="BW39" s="61">
        <f t="shared" ref="BW39:BZ39" si="114">BW36+SUM(BW37:BW38)</f>
        <v>-4.0052729299999781</v>
      </c>
      <c r="BX39" s="61">
        <f t="shared" si="114"/>
        <v>10.267229706159528</v>
      </c>
      <c r="BY39" s="61">
        <f t="shared" si="114"/>
        <v>19.15372071499328</v>
      </c>
      <c r="BZ39" s="61">
        <f t="shared" si="114"/>
        <v>20.484159688600311</v>
      </c>
      <c r="CA39" s="61">
        <f t="shared" ref="CA39" si="115">CA36+SUM(CA37:CA38)</f>
        <v>27.687958761197894</v>
      </c>
    </row>
    <row r="40" spans="2:134">
      <c r="B40" s="1" t="s">
        <v>241</v>
      </c>
      <c r="C40" s="48">
        <v>-0.2</v>
      </c>
      <c r="D40" s="48">
        <v>-0.1</v>
      </c>
      <c r="E40" s="48">
        <v>0</v>
      </c>
      <c r="F40" s="48">
        <v>3.1</v>
      </c>
      <c r="G40" s="48">
        <v>0.9</v>
      </c>
      <c r="H40" s="48">
        <v>1.5</v>
      </c>
      <c r="I40" s="48">
        <v>-7.7</v>
      </c>
      <c r="J40" s="48">
        <v>0.6</v>
      </c>
      <c r="K40" s="48">
        <v>0.1</v>
      </c>
      <c r="L40" s="48">
        <v>-0.3</v>
      </c>
      <c r="M40" s="48">
        <v>0.4</v>
      </c>
      <c r="N40" s="48">
        <v>40.299999999999997</v>
      </c>
      <c r="O40" s="48">
        <v>1.6</v>
      </c>
      <c r="P40" s="48">
        <v>0.7</v>
      </c>
      <c r="Q40" s="48">
        <v>1.7</v>
      </c>
      <c r="R40" s="48">
        <v>-11.2</v>
      </c>
      <c r="S40" s="48">
        <v>0</v>
      </c>
      <c r="T40" s="48">
        <v>-0.2</v>
      </c>
      <c r="U40" s="48">
        <v>-9.9</v>
      </c>
      <c r="V40" s="48">
        <v>-0.9</v>
      </c>
      <c r="W40" s="48">
        <v>-1.2</v>
      </c>
      <c r="X40" s="48">
        <v>-0.2</v>
      </c>
      <c r="Y40" s="48">
        <v>-0.8</v>
      </c>
      <c r="Z40" s="48">
        <v>-1.4</v>
      </c>
      <c r="AA40" s="48">
        <v>-0.1</v>
      </c>
      <c r="AB40" s="48">
        <v>-0.6</v>
      </c>
      <c r="AC40" s="48">
        <v>-0.8</v>
      </c>
      <c r="AD40" s="48">
        <v>0.2</v>
      </c>
      <c r="AE40" s="48">
        <v>-0.54500000000000004</v>
      </c>
      <c r="AF40" s="48">
        <v>-0.90500000000000003</v>
      </c>
      <c r="AG40" s="48">
        <v>-0.58299999999999996</v>
      </c>
      <c r="AH40" s="48">
        <f>-4.504-SUM(AE40:AG40)</f>
        <v>-2.4709999999999992</v>
      </c>
      <c r="AI40" s="48">
        <v>-1.6359999999999999</v>
      </c>
      <c r="AJ40" s="48">
        <v>-0.51200000000000001</v>
      </c>
      <c r="AK40" s="48">
        <v>-0.79900000000000004</v>
      </c>
      <c r="AL40" s="48">
        <f>-3.402-SUM(AI40:AK40)</f>
        <v>-0.45500000000000052</v>
      </c>
      <c r="AM40" s="48">
        <v>-0.85299999999999998</v>
      </c>
      <c r="AN40" s="48">
        <v>-0.56499999999999995</v>
      </c>
      <c r="AO40" s="48">
        <v>-0.17899999999999999</v>
      </c>
      <c r="AP40" s="48">
        <f>-1.995-SUM(AM40:AO40)</f>
        <v>-0.39800000000000013</v>
      </c>
      <c r="AQ40" s="48">
        <v>-11.023</v>
      </c>
      <c r="AR40" s="48">
        <v>16.43</v>
      </c>
      <c r="AS40" s="48">
        <v>-12.004</v>
      </c>
      <c r="AT40" s="48">
        <f>-7.289-SUM(AQ40:AS40)</f>
        <v>-0.69200000000000017</v>
      </c>
      <c r="AU40" s="48">
        <v>0.13300000000000001</v>
      </c>
      <c r="AV40" s="48">
        <v>-0.11</v>
      </c>
      <c r="AW40" s="48">
        <v>-2E-3</v>
      </c>
      <c r="AX40" s="48">
        <f>-0.039-SUM(AU40:AW40)</f>
        <v>-6.0000000000000005E-2</v>
      </c>
      <c r="AY40" s="48">
        <v>6.5000000000000002E-2</v>
      </c>
      <c r="AZ40" s="48">
        <v>5.0000000000000001E-3</v>
      </c>
      <c r="BK40" s="48">
        <f t="shared" si="53"/>
        <v>2.8</v>
      </c>
      <c r="BL40" s="48">
        <f t="shared" si="54"/>
        <v>-4.7000000000000011</v>
      </c>
      <c r="BM40" s="48">
        <f t="shared" si="55"/>
        <v>40.5</v>
      </c>
      <c r="BN40" s="48">
        <f t="shared" si="56"/>
        <v>-7.1999999999999993</v>
      </c>
      <c r="BO40" s="48">
        <f t="shared" si="57"/>
        <v>-11</v>
      </c>
      <c r="BP40" s="48">
        <f t="shared" si="58"/>
        <v>-3.6</v>
      </c>
      <c r="BQ40" s="48">
        <f t="shared" si="59"/>
        <v>-1.3</v>
      </c>
      <c r="BR40" s="48">
        <f t="shared" si="60"/>
        <v>-4.5039999999999996</v>
      </c>
      <c r="BS40" s="48">
        <f t="shared" si="61"/>
        <v>-3.4020000000000001</v>
      </c>
      <c r="BT40" s="48">
        <f t="shared" si="62"/>
        <v>-1.9950000000000001</v>
      </c>
      <c r="BU40" s="48">
        <f t="shared" si="63"/>
        <v>-7.2889999999999997</v>
      </c>
      <c r="BV40" s="48">
        <f t="shared" si="64"/>
        <v>-3.9E-2</v>
      </c>
      <c r="BW40" s="61">
        <f t="shared" ref="BW40:BZ40" si="116">BW39*-BW49</f>
        <v>4.0052729299999784E-2</v>
      </c>
      <c r="BX40" s="61">
        <f t="shared" si="116"/>
        <v>-0.10267229706159528</v>
      </c>
      <c r="BY40" s="61">
        <f t="shared" si="116"/>
        <v>-0.1915372071499328</v>
      </c>
      <c r="BZ40" s="61">
        <f t="shared" si="116"/>
        <v>-0.20484159688600312</v>
      </c>
      <c r="CA40" s="61">
        <f t="shared" ref="CA40" si="117">CA39*-CA49</f>
        <v>-0.27687958761197895</v>
      </c>
    </row>
    <row r="41" spans="2:134" s="2" customFormat="1" ht="15">
      <c r="B41" s="2" t="s">
        <v>242</v>
      </c>
      <c r="C41" s="50">
        <f t="shared" ref="C41" si="118">C39-C40</f>
        <v>-0.50000000000000999</v>
      </c>
      <c r="D41" s="50">
        <f t="shared" ref="D41" si="119">D39-D40</f>
        <v>-0.20000000000000714</v>
      </c>
      <c r="E41" s="50">
        <f t="shared" ref="E41" si="120">E39-E40</f>
        <v>4.5000000000000071</v>
      </c>
      <c r="F41" s="50">
        <f t="shared" ref="F41" si="121">F39-F40</f>
        <v>-1.5000000000000044</v>
      </c>
      <c r="G41" s="50">
        <f t="shared" ref="G41" si="122">G39-G40</f>
        <v>0.49999999999999567</v>
      </c>
      <c r="H41" s="50">
        <f t="shared" ref="H41" si="123">H39-H40</f>
        <v>1.2999999999999927</v>
      </c>
      <c r="I41" s="50">
        <f t="shared" ref="I41" si="124">I39-I40</f>
        <v>-4.2000000000000091</v>
      </c>
      <c r="J41" s="50">
        <f t="shared" ref="J41" si="125">J39-J40</f>
        <v>-1.0000000000000013</v>
      </c>
      <c r="K41" s="50">
        <f t="shared" ref="K41" si="126">K39-K40</f>
        <v>-0.80000000000000426</v>
      </c>
      <c r="L41" s="50">
        <f t="shared" ref="L41" si="127">L39-L40</f>
        <v>-0.29999999999999855</v>
      </c>
      <c r="M41" s="50">
        <f t="shared" ref="M41" si="128">M39-M40</f>
        <v>0.50000000000000566</v>
      </c>
      <c r="N41" s="50">
        <f t="shared" ref="N41" si="129">N39-N40</f>
        <v>-43.199999999999989</v>
      </c>
      <c r="O41" s="50">
        <f t="shared" ref="O41" si="130">O39-O40</f>
        <v>1.1999999999999926</v>
      </c>
      <c r="P41" s="50">
        <f t="shared" ref="P41" si="131">P39-P40</f>
        <v>13.700000000000003</v>
      </c>
      <c r="Q41" s="50">
        <f t="shared" ref="Q41" si="132">Q39-Q40</f>
        <v>2.7999999999999945</v>
      </c>
      <c r="R41" s="50">
        <f t="shared" ref="R41" si="133">R39-R40</f>
        <v>-12.900000000000009</v>
      </c>
      <c r="S41" s="50">
        <f t="shared" ref="S41" si="134">S39-S40</f>
        <v>-9.999999999999859E-2</v>
      </c>
      <c r="T41" s="50">
        <f t="shared" ref="T41" si="135">T39-T40</f>
        <v>0.30000000000000143</v>
      </c>
      <c r="U41" s="50">
        <f t="shared" ref="U41" si="136">U39-U40</f>
        <v>14.000000000000007</v>
      </c>
      <c r="V41" s="50">
        <f t="shared" ref="V41" si="137">V39-V40</f>
        <v>-20.5</v>
      </c>
      <c r="W41" s="50">
        <f t="shared" ref="W41" si="138">W39-W40</f>
        <v>-5.8000000000000025</v>
      </c>
      <c r="X41" s="50">
        <f t="shared" ref="X41" si="139">X39-X40</f>
        <v>-3.5</v>
      </c>
      <c r="Y41" s="50">
        <f t="shared" ref="Y41" si="140">Y39-Y40</f>
        <v>-4.5999999999999961</v>
      </c>
      <c r="Z41" s="50">
        <f t="shared" ref="Z41" si="141">Z39-Z40</f>
        <v>2.900000000000007</v>
      </c>
      <c r="AA41" s="50">
        <f t="shared" ref="AA41" si="142">AA39-AA40</f>
        <v>-1.2999999999999972</v>
      </c>
      <c r="AB41" s="50">
        <f t="shared" ref="AB41" si="143">AB39-AB40</f>
        <v>-2.8</v>
      </c>
      <c r="AC41" s="50">
        <f t="shared" ref="AC41" si="144">AC39-AC40</f>
        <v>-5.7000000000000028</v>
      </c>
      <c r="AD41" s="50">
        <f t="shared" ref="AD41" si="145">AD39-AD40</f>
        <v>-157.10000000000002</v>
      </c>
      <c r="AE41" s="50">
        <f t="shared" ref="AE41:AV41" si="146">AE39-AE40</f>
        <v>-4.268000000000014</v>
      </c>
      <c r="AF41" s="50">
        <f t="shared" si="146"/>
        <v>-4.2679999999999909</v>
      </c>
      <c r="AG41" s="50">
        <f t="shared" si="146"/>
        <v>-3.5439999999999925</v>
      </c>
      <c r="AH41" s="50">
        <f t="shared" si="146"/>
        <v>-19.466000000000008</v>
      </c>
      <c r="AI41" s="50">
        <f t="shared" si="146"/>
        <v>-6.9719999999999933</v>
      </c>
      <c r="AJ41" s="50">
        <f t="shared" si="146"/>
        <v>-8.351000000000008</v>
      </c>
      <c r="AK41" s="50">
        <f t="shared" si="146"/>
        <v>-4.9580000000000011</v>
      </c>
      <c r="AL41" s="50">
        <f t="shared" si="146"/>
        <v>-6.2659999999999485</v>
      </c>
      <c r="AM41" s="50">
        <f t="shared" si="146"/>
        <v>-13.002999999999998</v>
      </c>
      <c r="AN41" s="50">
        <f t="shared" si="146"/>
        <v>-8.4859999999999953</v>
      </c>
      <c r="AO41" s="50">
        <f t="shared" si="146"/>
        <v>-9.4950000000000028</v>
      </c>
      <c r="AP41" s="50">
        <f t="shared" si="146"/>
        <v>-21.458000000000002</v>
      </c>
      <c r="AQ41" s="50">
        <f t="shared" si="146"/>
        <v>45.893000000000001</v>
      </c>
      <c r="AR41" s="50">
        <f t="shared" si="146"/>
        <v>-29.051000000000002</v>
      </c>
      <c r="AS41" s="50">
        <f t="shared" si="146"/>
        <v>-187.73599999999999</v>
      </c>
      <c r="AT41" s="50">
        <f t="shared" si="146"/>
        <v>-13.454999999999991</v>
      </c>
      <c r="AU41" s="50">
        <f t="shared" si="146"/>
        <v>-12.793600000000001</v>
      </c>
      <c r="AV41" s="50">
        <f t="shared" si="146"/>
        <v>-10.738999999999999</v>
      </c>
      <c r="AW41" s="50">
        <f>AW39-AW40</f>
        <v>-4.4110000000000023</v>
      </c>
      <c r="AX41" s="50">
        <f t="shared" ref="AX41" si="147">AX39-AX40</f>
        <v>-6.0463999999999913</v>
      </c>
      <c r="AY41" s="50">
        <f>AY39-AY40</f>
        <v>-10.930999999999983</v>
      </c>
      <c r="AZ41" s="50">
        <f>AZ39-AZ40</f>
        <v>-6.342999999999992</v>
      </c>
      <c r="BA41" s="35"/>
      <c r="BB41" s="35"/>
      <c r="BC41" s="35"/>
      <c r="BD41" s="35"/>
      <c r="BE41" s="35"/>
      <c r="BF41" s="35"/>
      <c r="BK41" s="50">
        <f t="shared" si="53"/>
        <v>2.2999999999999856</v>
      </c>
      <c r="BL41" s="50">
        <f t="shared" si="54"/>
        <v>-3.4000000000000221</v>
      </c>
      <c r="BM41" s="50">
        <f t="shared" si="55"/>
        <v>-43.799999999999983</v>
      </c>
      <c r="BN41" s="50">
        <f t="shared" si="56"/>
        <v>4.7999999999999794</v>
      </c>
      <c r="BO41" s="50">
        <f t="shared" si="57"/>
        <v>-6.2999999999999901</v>
      </c>
      <c r="BP41" s="50">
        <f t="shared" si="58"/>
        <v>-10.999999999999991</v>
      </c>
      <c r="BQ41" s="50">
        <f t="shared" si="59"/>
        <v>-166.90000000000003</v>
      </c>
      <c r="BR41" s="50">
        <f t="shared" si="60"/>
        <v>-31.546000000000006</v>
      </c>
      <c r="BS41" s="50">
        <f t="shared" si="61"/>
        <v>-26.546999999999951</v>
      </c>
      <c r="BT41" s="50">
        <f t="shared" si="62"/>
        <v>-52.441999999999993</v>
      </c>
      <c r="BU41" s="50">
        <f t="shared" si="63"/>
        <v>-184.34899999999999</v>
      </c>
      <c r="BV41" s="50">
        <f>SUM(AU41:AX41)</f>
        <v>-33.989999999999995</v>
      </c>
      <c r="BW41" s="62">
        <f>BW39-BW40</f>
        <v>-4.0453256592999782</v>
      </c>
      <c r="BX41" s="62">
        <f>BX39-BX40</f>
        <v>10.369902003221123</v>
      </c>
      <c r="BY41" s="62">
        <f t="shared" ref="BY41:BZ41" si="148">BY39-BY40</f>
        <v>19.345257922143212</v>
      </c>
      <c r="BZ41" s="62">
        <f t="shared" si="148"/>
        <v>20.689001285486313</v>
      </c>
      <c r="CA41" s="62">
        <f t="shared" ref="CA41" si="149">CA39-CA40</f>
        <v>27.964838348809874</v>
      </c>
      <c r="CB41" s="62">
        <f t="shared" ref="CB41:DG41" si="150">CA41*(1+$CF$55)</f>
        <v>28.314398828169995</v>
      </c>
      <c r="CC41" s="62">
        <f t="shared" si="150"/>
        <v>28.66832881352212</v>
      </c>
      <c r="CD41" s="62">
        <f t="shared" si="150"/>
        <v>29.026682923691144</v>
      </c>
      <c r="CE41" s="62">
        <f t="shared" si="150"/>
        <v>29.389516460237282</v>
      </c>
      <c r="CF41" s="62">
        <f t="shared" si="150"/>
        <v>29.756885415990247</v>
      </c>
      <c r="CG41" s="62">
        <f t="shared" si="150"/>
        <v>30.128846483690126</v>
      </c>
      <c r="CH41" s="62">
        <f t="shared" si="150"/>
        <v>30.505457064736252</v>
      </c>
      <c r="CI41" s="62">
        <f t="shared" si="150"/>
        <v>30.886775278045455</v>
      </c>
      <c r="CJ41" s="62">
        <f t="shared" si="150"/>
        <v>31.27285996902102</v>
      </c>
      <c r="CK41" s="62">
        <f t="shared" si="150"/>
        <v>31.663770718633781</v>
      </c>
      <c r="CL41" s="62">
        <f t="shared" si="150"/>
        <v>32.059567852616702</v>
      </c>
      <c r="CM41" s="62">
        <f t="shared" si="150"/>
        <v>32.46031245077441</v>
      </c>
      <c r="CN41" s="62">
        <f t="shared" si="150"/>
        <v>32.866066356409085</v>
      </c>
      <c r="CO41" s="62">
        <f t="shared" si="150"/>
        <v>33.276892185864199</v>
      </c>
      <c r="CP41" s="62">
        <f t="shared" si="150"/>
        <v>33.692853338187497</v>
      </c>
      <c r="CQ41" s="62">
        <f t="shared" si="150"/>
        <v>34.114014004914843</v>
      </c>
      <c r="CR41" s="62">
        <f t="shared" si="150"/>
        <v>34.540439179976275</v>
      </c>
      <c r="CS41" s="62">
        <f t="shared" si="150"/>
        <v>34.97219466972598</v>
      </c>
      <c r="CT41" s="62">
        <f t="shared" si="150"/>
        <v>35.409347103097552</v>
      </c>
      <c r="CU41" s="62">
        <f t="shared" si="150"/>
        <v>35.851963941886268</v>
      </c>
      <c r="CV41" s="62">
        <f t="shared" si="150"/>
        <v>36.300113491159848</v>
      </c>
      <c r="CW41" s="62">
        <f t="shared" si="150"/>
        <v>36.753864909799347</v>
      </c>
      <c r="CX41" s="62">
        <f t="shared" si="150"/>
        <v>37.213288221171837</v>
      </c>
      <c r="CY41" s="62">
        <f t="shared" si="150"/>
        <v>37.678454323936485</v>
      </c>
      <c r="CZ41" s="62">
        <f t="shared" si="150"/>
        <v>38.14943500298569</v>
      </c>
      <c r="DA41" s="62">
        <f t="shared" si="150"/>
        <v>38.626302940523011</v>
      </c>
      <c r="DB41" s="62">
        <f t="shared" si="150"/>
        <v>39.109131727279546</v>
      </c>
      <c r="DC41" s="62">
        <f t="shared" si="150"/>
        <v>39.597995873870538</v>
      </c>
      <c r="DD41" s="62">
        <f t="shared" si="150"/>
        <v>40.092970822293921</v>
      </c>
      <c r="DE41" s="62">
        <f t="shared" si="150"/>
        <v>40.59413295757259</v>
      </c>
      <c r="DF41" s="62">
        <f t="shared" si="150"/>
        <v>41.101559619542243</v>
      </c>
      <c r="DG41" s="62">
        <f t="shared" si="150"/>
        <v>41.615329114786519</v>
      </c>
      <c r="DH41" s="62">
        <f t="shared" ref="DH41:ED41" si="151">DG41*(1+$CF$55)</f>
        <v>42.135520728721346</v>
      </c>
      <c r="DI41" s="62">
        <f t="shared" si="151"/>
        <v>42.662214737830361</v>
      </c>
      <c r="DJ41" s="62">
        <f t="shared" si="151"/>
        <v>43.195492422053242</v>
      </c>
      <c r="DK41" s="62">
        <f t="shared" si="151"/>
        <v>43.735436077328906</v>
      </c>
      <c r="DL41" s="62">
        <f t="shared" si="151"/>
        <v>44.282129028295515</v>
      </c>
      <c r="DM41" s="62">
        <f t="shared" si="151"/>
        <v>44.835655641149209</v>
      </c>
      <c r="DN41" s="62">
        <f t="shared" si="151"/>
        <v>45.39610133666357</v>
      </c>
      <c r="DO41" s="62">
        <f t="shared" si="151"/>
        <v>45.963552603371859</v>
      </c>
      <c r="DP41" s="62">
        <f t="shared" si="151"/>
        <v>46.538097010914008</v>
      </c>
      <c r="DQ41" s="62">
        <f t="shared" si="151"/>
        <v>47.119823223550434</v>
      </c>
      <c r="DR41" s="62">
        <f t="shared" si="151"/>
        <v>47.708821013844812</v>
      </c>
      <c r="DS41" s="62">
        <f t="shared" si="151"/>
        <v>48.305181276517871</v>
      </c>
      <c r="DT41" s="62">
        <f t="shared" si="151"/>
        <v>48.908996042474342</v>
      </c>
      <c r="DU41" s="62">
        <f t="shared" si="151"/>
        <v>49.520358493005268</v>
      </c>
      <c r="DV41" s="62">
        <f t="shared" si="151"/>
        <v>50.139362974167831</v>
      </c>
      <c r="DW41" s="62">
        <f t="shared" si="151"/>
        <v>50.766105011344926</v>
      </c>
      <c r="DX41" s="62">
        <f t="shared" si="151"/>
        <v>51.400681323986738</v>
      </c>
      <c r="DY41" s="62">
        <f t="shared" si="151"/>
        <v>52.04318984053657</v>
      </c>
      <c r="DZ41" s="62">
        <f t="shared" si="151"/>
        <v>52.693729713543277</v>
      </c>
      <c r="EA41" s="62">
        <f t="shared" si="151"/>
        <v>53.352401334962565</v>
      </c>
      <c r="EB41" s="62">
        <f t="shared" si="151"/>
        <v>54.019306351649597</v>
      </c>
      <c r="EC41" s="62">
        <f t="shared" si="151"/>
        <v>54.694547681045215</v>
      </c>
      <c r="ED41" s="62">
        <f t="shared" si="151"/>
        <v>55.378229527058281</v>
      </c>
    </row>
    <row r="42" spans="2:134">
      <c r="B42" s="1" t="s">
        <v>243</v>
      </c>
      <c r="C42" s="48">
        <v>35</v>
      </c>
      <c r="D42" s="48">
        <v>35</v>
      </c>
      <c r="E42" s="48">
        <v>35</v>
      </c>
      <c r="F42" s="48">
        <v>35</v>
      </c>
      <c r="G42" s="48">
        <v>35</v>
      </c>
      <c r="H42" s="48">
        <v>36</v>
      </c>
      <c r="I42" s="48">
        <v>36</v>
      </c>
      <c r="J42" s="48">
        <v>36</v>
      </c>
      <c r="K42" s="48">
        <v>36</v>
      </c>
      <c r="L42" s="48">
        <v>36</v>
      </c>
      <c r="M42" s="48">
        <v>36</v>
      </c>
      <c r="N42" s="48">
        <v>36</v>
      </c>
      <c r="O42" s="48">
        <v>37</v>
      </c>
      <c r="P42" s="48">
        <v>37</v>
      </c>
      <c r="Q42" s="48">
        <v>37</v>
      </c>
      <c r="R42" s="48">
        <v>37</v>
      </c>
      <c r="S42" s="48">
        <v>37</v>
      </c>
      <c r="T42" s="48">
        <v>37</v>
      </c>
      <c r="U42" s="48">
        <v>37</v>
      </c>
      <c r="V42" s="48">
        <v>37</v>
      </c>
      <c r="W42" s="48">
        <v>37</v>
      </c>
      <c r="X42" s="48">
        <v>37</v>
      </c>
      <c r="Y42" s="48">
        <v>38</v>
      </c>
      <c r="Z42" s="48">
        <v>37</v>
      </c>
      <c r="AA42" s="48">
        <v>38</v>
      </c>
      <c r="AB42" s="48">
        <v>38</v>
      </c>
      <c r="AC42" s="48">
        <v>38</v>
      </c>
      <c r="AD42" s="48">
        <v>38</v>
      </c>
      <c r="AE42" s="48">
        <v>38.156999999999996</v>
      </c>
      <c r="AF42" s="48">
        <v>38.326999999999998</v>
      </c>
      <c r="AG42" s="48">
        <v>38.36</v>
      </c>
      <c r="AH42" s="48">
        <v>38.341999999999999</v>
      </c>
      <c r="AI42" s="48">
        <v>38.734000000000002</v>
      </c>
      <c r="AJ42" s="48">
        <v>39.052999999999997</v>
      </c>
      <c r="AK42" s="48">
        <v>39.091999999999999</v>
      </c>
      <c r="AL42" s="48">
        <v>39.009</v>
      </c>
      <c r="AM42" s="48">
        <v>39.302</v>
      </c>
      <c r="AN42" s="48">
        <v>39.49</v>
      </c>
      <c r="AO42" s="48">
        <v>39.509</v>
      </c>
      <c r="AP42" s="48">
        <v>39.479999999999997</v>
      </c>
      <c r="AQ42" s="48">
        <v>39.841999999999999</v>
      </c>
      <c r="AR42" s="48">
        <v>40.219000000000001</v>
      </c>
      <c r="AS42" s="48">
        <v>40.234000000000002</v>
      </c>
      <c r="AT42" s="48">
        <v>40.180999999999997</v>
      </c>
      <c r="AU42" s="48">
        <v>40.652999999999999</v>
      </c>
      <c r="AV42" s="48">
        <v>40.921999999999997</v>
      </c>
      <c r="AW42" s="48">
        <v>40.853000000000002</v>
      </c>
      <c r="AX42" s="48">
        <v>40.853000000000002</v>
      </c>
      <c r="AY42" s="48">
        <v>41.173999999999999</v>
      </c>
      <c r="AZ42" s="48">
        <v>41.54</v>
      </c>
      <c r="BK42" s="48">
        <f>AVERAGE(C42:F42)</f>
        <v>35</v>
      </c>
      <c r="BL42" s="48">
        <f>AVERAGE(G42:J42)</f>
        <v>35.75</v>
      </c>
      <c r="BM42" s="48">
        <f>AVERAGE(K42:N42)</f>
        <v>36</v>
      </c>
      <c r="BN42" s="48">
        <f>AVERAGE(O42:R42)</f>
        <v>37</v>
      </c>
      <c r="BO42" s="48">
        <f>AVERAGE(S42:V42)</f>
        <v>37</v>
      </c>
      <c r="BP42" s="48">
        <f>AVERAGE(W42:Z42)</f>
        <v>37.25</v>
      </c>
      <c r="BQ42" s="48">
        <f>AVERAGE(AA42:AD42)</f>
        <v>38</v>
      </c>
      <c r="BR42" s="48">
        <f>AVERAGE(AE42:AH42)</f>
        <v>38.296499999999995</v>
      </c>
      <c r="BS42" s="48">
        <f>AVERAGE(AI42:AL42)</f>
        <v>38.972000000000001</v>
      </c>
      <c r="BT42" s="48">
        <f>AVERAGE(AM42:AP42)</f>
        <v>39.445250000000001</v>
      </c>
      <c r="BU42" s="48">
        <f>AVERAGE(AQ42:AT42)</f>
        <v>40.119</v>
      </c>
      <c r="BV42" s="48">
        <f>AVERAGE(AU42:AX42)</f>
        <v>40.820250000000001</v>
      </c>
      <c r="BW42" s="61">
        <v>40.1</v>
      </c>
      <c r="BX42" s="61">
        <v>40.1</v>
      </c>
      <c r="BY42" s="61">
        <v>40.1</v>
      </c>
      <c r="BZ42" s="61">
        <v>40.1</v>
      </c>
      <c r="CA42" s="61">
        <v>40.1</v>
      </c>
    </row>
    <row r="43" spans="2:134">
      <c r="B43" s="1" t="s">
        <v>244</v>
      </c>
      <c r="C43" s="41">
        <f t="shared" ref="C43:AV43" si="152">C41/C42</f>
        <v>-1.4285714285714571E-2</v>
      </c>
      <c r="D43" s="41">
        <f t="shared" si="152"/>
        <v>-5.7142857142859181E-3</v>
      </c>
      <c r="E43" s="41">
        <f t="shared" si="152"/>
        <v>0.12857142857142878</v>
      </c>
      <c r="F43" s="41">
        <f t="shared" si="152"/>
        <v>-4.2857142857142982E-2</v>
      </c>
      <c r="G43" s="41">
        <f t="shared" si="152"/>
        <v>1.4285714285714162E-2</v>
      </c>
      <c r="H43" s="41">
        <f t="shared" si="152"/>
        <v>3.6111111111110906E-2</v>
      </c>
      <c r="I43" s="41">
        <f t="shared" si="152"/>
        <v>-0.11666666666666692</v>
      </c>
      <c r="J43" s="41">
        <f t="shared" si="152"/>
        <v>-2.7777777777777814E-2</v>
      </c>
      <c r="K43" s="41">
        <f t="shared" si="152"/>
        <v>-2.2222222222222341E-2</v>
      </c>
      <c r="L43" s="41">
        <f t="shared" si="152"/>
        <v>-8.3333333333332933E-3</v>
      </c>
      <c r="M43" s="41">
        <f t="shared" si="152"/>
        <v>1.3888888888889046E-2</v>
      </c>
      <c r="N43" s="41">
        <f t="shared" si="152"/>
        <v>-1.1999999999999997</v>
      </c>
      <c r="O43" s="41">
        <f t="shared" si="152"/>
        <v>3.2432432432432233E-2</v>
      </c>
      <c r="P43" s="41">
        <f t="shared" si="152"/>
        <v>0.37027027027027037</v>
      </c>
      <c r="Q43" s="41">
        <f t="shared" si="152"/>
        <v>7.5675675675675527E-2</v>
      </c>
      <c r="R43" s="41">
        <f t="shared" si="152"/>
        <v>-0.34864864864864892</v>
      </c>
      <c r="S43" s="41">
        <f t="shared" si="152"/>
        <v>-2.7027027027026647E-3</v>
      </c>
      <c r="T43" s="41">
        <f t="shared" si="152"/>
        <v>8.1081081081081467E-3</v>
      </c>
      <c r="U43" s="41">
        <f t="shared" si="152"/>
        <v>0.37837837837837857</v>
      </c>
      <c r="V43" s="41">
        <f t="shared" si="152"/>
        <v>-0.55405405405405406</v>
      </c>
      <c r="W43" s="41">
        <f t="shared" si="152"/>
        <v>-0.15675675675675682</v>
      </c>
      <c r="X43" s="41">
        <f t="shared" si="152"/>
        <v>-9.45945945945946E-2</v>
      </c>
      <c r="Y43" s="41">
        <f t="shared" si="152"/>
        <v>-0.12105263157894726</v>
      </c>
      <c r="Z43" s="41">
        <f t="shared" si="152"/>
        <v>7.8378378378378563E-2</v>
      </c>
      <c r="AA43" s="41">
        <f t="shared" si="152"/>
        <v>-3.42105263157894E-2</v>
      </c>
      <c r="AB43" s="41">
        <f t="shared" si="152"/>
        <v>-7.3684210526315783E-2</v>
      </c>
      <c r="AC43" s="41">
        <f t="shared" si="152"/>
        <v>-0.15000000000000008</v>
      </c>
      <c r="AD43" s="41">
        <f t="shared" si="152"/>
        <v>-4.1342105263157904</v>
      </c>
      <c r="AE43" s="41">
        <f t="shared" si="152"/>
        <v>-0.11185365725817056</v>
      </c>
      <c r="AF43" s="41">
        <f t="shared" si="152"/>
        <v>-0.11135752863516558</v>
      </c>
      <c r="AG43" s="41">
        <f t="shared" si="152"/>
        <v>-9.2387904066735985E-2</v>
      </c>
      <c r="AH43" s="41">
        <f t="shared" si="152"/>
        <v>-0.50769391268061159</v>
      </c>
      <c r="AI43" s="41">
        <f t="shared" si="152"/>
        <v>-0.17999690194661003</v>
      </c>
      <c r="AJ43" s="41">
        <f t="shared" si="152"/>
        <v>-0.21383760530561055</v>
      </c>
      <c r="AK43" s="41">
        <f t="shared" si="152"/>
        <v>-0.12682901872505886</v>
      </c>
      <c r="AL43" s="41">
        <f t="shared" si="152"/>
        <v>-0.16062959829782739</v>
      </c>
      <c r="AM43" s="41">
        <f t="shared" si="152"/>
        <v>-0.33084830288534933</v>
      </c>
      <c r="AN43" s="41">
        <f t="shared" si="152"/>
        <v>-0.21488984553051393</v>
      </c>
      <c r="AO43" s="41">
        <f t="shared" si="152"/>
        <v>-0.24032498924295737</v>
      </c>
      <c r="AP43" s="41">
        <f t="shared" si="152"/>
        <v>-0.54351570415400208</v>
      </c>
      <c r="AQ43" s="41">
        <f t="shared" si="152"/>
        <v>1.1518749058782189</v>
      </c>
      <c r="AR43" s="41">
        <f t="shared" si="152"/>
        <v>-0.72232029637733408</v>
      </c>
      <c r="AS43" s="41">
        <f t="shared" si="152"/>
        <v>-4.6661032957200375</v>
      </c>
      <c r="AT43" s="41">
        <f t="shared" si="152"/>
        <v>-0.33485975958786474</v>
      </c>
      <c r="AU43" s="41">
        <f t="shared" si="152"/>
        <v>-0.31470248198164963</v>
      </c>
      <c r="AV43" s="41">
        <f t="shared" si="152"/>
        <v>-0.2624260788817751</v>
      </c>
      <c r="AW43" s="41">
        <f>AW41/AW42</f>
        <v>-0.10797248672068152</v>
      </c>
      <c r="AX43" s="41">
        <f t="shared" ref="AX43" si="153">AX41/AX42</f>
        <v>-0.14800381856901551</v>
      </c>
      <c r="AY43" s="41">
        <f>AY41/AY42</f>
        <v>-0.26548307184145292</v>
      </c>
      <c r="AZ43" s="41">
        <f>AZ41/AZ42</f>
        <v>-0.15269619643716881</v>
      </c>
      <c r="BK43" s="41">
        <f>SUM(C43:F43)</f>
        <v>6.5714285714285309E-2</v>
      </c>
      <c r="BL43" s="41">
        <f>SUM(G43:J43)</f>
        <v>-9.4047619047619671E-2</v>
      </c>
      <c r="BM43" s="41">
        <f>SUM(K43:N43)</f>
        <v>-1.2166666666666663</v>
      </c>
      <c r="BN43" s="41">
        <f>SUM(O43:R43)</f>
        <v>0.12972972972972918</v>
      </c>
      <c r="BO43" s="41">
        <f>SUM(S43:V43)</f>
        <v>-0.17027027027027003</v>
      </c>
      <c r="BP43" s="41">
        <f>SUM(W43:Z43)</f>
        <v>-0.29402560455192012</v>
      </c>
      <c r="BQ43" s="41">
        <f>SUM(AA43:AD43)</f>
        <v>-4.3921052631578954</v>
      </c>
      <c r="BR43" s="41">
        <f>SUM(AE43:AH43)</f>
        <v>-0.82329300264068372</v>
      </c>
      <c r="BS43" s="41">
        <f>SUM(AI43:AL43)</f>
        <v>-0.6812931242751068</v>
      </c>
      <c r="BT43" s="41">
        <f>SUM(AM43:AP43)</f>
        <v>-1.3295788418128227</v>
      </c>
      <c r="BU43" s="41">
        <f>SUM(AQ43:AT43)</f>
        <v>-4.571408445807017</v>
      </c>
      <c r="BV43" s="41">
        <f>BV41/BV42</f>
        <v>-0.83267495911955447</v>
      </c>
      <c r="BW43" s="60">
        <f>BW41/BW42</f>
        <v>-0.1008809391346628</v>
      </c>
      <c r="BX43" s="60">
        <f>BX41/BX42</f>
        <v>0.2586010474618734</v>
      </c>
      <c r="BY43" s="60">
        <f t="shared" ref="BY43:BZ43" si="154">BY41/BY42</f>
        <v>0.48242538459210005</v>
      </c>
      <c r="BZ43" s="60">
        <f t="shared" si="154"/>
        <v>0.51593519415177835</v>
      </c>
      <c r="CA43" s="60">
        <f t="shared" ref="CA43" si="155">CA41/CA42</f>
        <v>0.69737751493291456</v>
      </c>
    </row>
    <row r="45" spans="2:134">
      <c r="B45" s="38" t="s">
        <v>245</v>
      </c>
      <c r="C45" s="49">
        <f t="shared" ref="C45:AV45" si="156">C28/C26</f>
        <v>0.5083732057416267</v>
      </c>
      <c r="D45" s="49">
        <f t="shared" si="156"/>
        <v>0.50677200902934527</v>
      </c>
      <c r="E45" s="49">
        <f t="shared" si="156"/>
        <v>0.50793650793650802</v>
      </c>
      <c r="F45" s="49">
        <f t="shared" si="156"/>
        <v>0.51009564293304988</v>
      </c>
      <c r="G45" s="49">
        <f t="shared" si="156"/>
        <v>0.52462772050400919</v>
      </c>
      <c r="H45" s="49">
        <f t="shared" si="156"/>
        <v>0.51682953311617807</v>
      </c>
      <c r="I45" s="49">
        <f t="shared" si="156"/>
        <v>0.43764434180138562</v>
      </c>
      <c r="J45" s="49">
        <f t="shared" si="156"/>
        <v>0.49171270718232046</v>
      </c>
      <c r="K45" s="49">
        <f t="shared" si="156"/>
        <v>0.5178997613365155</v>
      </c>
      <c r="L45" s="49">
        <f t="shared" si="156"/>
        <v>0.51399776035834266</v>
      </c>
      <c r="M45" s="49">
        <f t="shared" si="156"/>
        <v>0.49771167048054926</v>
      </c>
      <c r="N45" s="49">
        <f t="shared" si="156"/>
        <v>0.44432548179871523</v>
      </c>
      <c r="O45" s="49">
        <f t="shared" si="156"/>
        <v>0.51078320090805895</v>
      </c>
      <c r="P45" s="49">
        <f t="shared" si="156"/>
        <v>0.5056179775280899</v>
      </c>
      <c r="Q45" s="49">
        <f t="shared" si="156"/>
        <v>0.51168224299065423</v>
      </c>
      <c r="R45" s="49">
        <f t="shared" si="156"/>
        <v>1.436619718309859</v>
      </c>
      <c r="S45" s="49">
        <f t="shared" si="156"/>
        <v>0.48243559718969553</v>
      </c>
      <c r="T45" s="49">
        <f t="shared" si="156"/>
        <v>0.49250288350634375</v>
      </c>
      <c r="U45" s="49">
        <f t="shared" si="156"/>
        <v>0.54231227651966629</v>
      </c>
      <c r="V45" s="49">
        <f t="shared" si="156"/>
        <v>2.5438596491228069</v>
      </c>
      <c r="W45" s="49">
        <f t="shared" si="156"/>
        <v>0.56181533646322379</v>
      </c>
      <c r="X45" s="49">
        <f t="shared" si="156"/>
        <v>0.58000000000000007</v>
      </c>
      <c r="Y45" s="49">
        <f t="shared" si="156"/>
        <v>0.58167938931297714</v>
      </c>
      <c r="Z45" s="49">
        <f t="shared" si="156"/>
        <v>0.5814606741573034</v>
      </c>
      <c r="AA45" s="49">
        <f t="shared" si="156"/>
        <v>0.57878787878787885</v>
      </c>
      <c r="AB45" s="49">
        <f t="shared" si="156"/>
        <v>0.59285714285714286</v>
      </c>
      <c r="AC45" s="49">
        <f t="shared" si="156"/>
        <v>0.57736389684813749</v>
      </c>
      <c r="AD45" s="49">
        <f t="shared" si="156"/>
        <v>0.51801029159519718</v>
      </c>
      <c r="AE45" s="49">
        <f t="shared" si="156"/>
        <v>0.50934259997721321</v>
      </c>
      <c r="AF45" s="49">
        <f t="shared" si="156"/>
        <v>0.55206815995602587</v>
      </c>
      <c r="AG45" s="49">
        <f t="shared" si="156"/>
        <v>0.54128852799865135</v>
      </c>
      <c r="AH45" s="49">
        <f t="shared" si="156"/>
        <v>0.5507665078993258</v>
      </c>
      <c r="AI45" s="49">
        <f t="shared" si="156"/>
        <v>0.52148211664133248</v>
      </c>
      <c r="AJ45" s="49">
        <f t="shared" si="156"/>
        <v>0.51807613694430255</v>
      </c>
      <c r="AK45" s="49">
        <f t="shared" si="156"/>
        <v>0.52160335271055835</v>
      </c>
      <c r="AL45" s="49">
        <f t="shared" si="156"/>
        <v>0.53397779259293343</v>
      </c>
      <c r="AM45" s="49">
        <f t="shared" si="156"/>
        <v>0.51884420569802669</v>
      </c>
      <c r="AN45" s="49">
        <f t="shared" si="156"/>
        <v>0.52766624916597415</v>
      </c>
      <c r="AO45" s="49">
        <f t="shared" si="156"/>
        <v>0.50175960346964055</v>
      </c>
      <c r="AP45" s="49">
        <f t="shared" si="156"/>
        <v>0.5090903102562413</v>
      </c>
      <c r="AQ45" s="49">
        <f t="shared" si="156"/>
        <v>0.50915746260120232</v>
      </c>
      <c r="AR45" s="49">
        <f t="shared" si="156"/>
        <v>0.50915644365751866</v>
      </c>
      <c r="AS45" s="49">
        <f t="shared" si="156"/>
        <v>0.4769891729403315</v>
      </c>
      <c r="AT45" s="49">
        <f t="shared" si="156"/>
        <v>0.54263696941521211</v>
      </c>
      <c r="AU45" s="49">
        <f t="shared" si="156"/>
        <v>0.54412292009304941</v>
      </c>
      <c r="AV45" s="49">
        <f t="shared" si="156"/>
        <v>0.54781450771511719</v>
      </c>
      <c r="AW45" s="49">
        <f>AW28/AW26</f>
        <v>0.53962500000000002</v>
      </c>
      <c r="AX45" s="49">
        <f t="shared" ref="AX45" si="157">AX28/AX26</f>
        <v>0.52675922807280184</v>
      </c>
      <c r="AY45" s="49">
        <f>AY28/AY26</f>
        <v>0.55290512607150877</v>
      </c>
      <c r="AZ45" s="49">
        <f>AZ28/AZ26</f>
        <v>0.56376683872592226</v>
      </c>
      <c r="BK45" s="49">
        <f t="shared" ref="BK45:BT45" si="158">BK28/BK26</f>
        <v>0.50832157968970382</v>
      </c>
      <c r="BL45" s="49">
        <f t="shared" si="158"/>
        <v>0.49312762973352031</v>
      </c>
      <c r="BM45" s="49">
        <f t="shared" si="158"/>
        <v>0.49251200904210235</v>
      </c>
      <c r="BN45" s="49">
        <f t="shared" si="158"/>
        <v>0.53372868791697547</v>
      </c>
      <c r="BO45" s="49">
        <f t="shared" si="158"/>
        <v>0.54986625907527709</v>
      </c>
      <c r="BP45" s="49">
        <f t="shared" si="158"/>
        <v>0.57649667405764959</v>
      </c>
      <c r="BQ45" s="49">
        <f t="shared" si="158"/>
        <v>0.56872396819386584</v>
      </c>
      <c r="BR45" s="49">
        <f t="shared" si="158"/>
        <v>0.53877873612590621</v>
      </c>
      <c r="BS45" s="49">
        <f t="shared" si="158"/>
        <v>0.5241051296727901</v>
      </c>
      <c r="BT45" s="49">
        <f t="shared" si="158"/>
        <v>0.51437629888532022</v>
      </c>
      <c r="BU45" s="49">
        <f>BU28/BU26</f>
        <v>0.509018998795712</v>
      </c>
      <c r="BV45" s="49">
        <v>0.53</v>
      </c>
      <c r="BW45" s="59">
        <v>0.53500000000000003</v>
      </c>
      <c r="BX45" s="59">
        <v>0.56000000000000005</v>
      </c>
      <c r="BY45" s="59">
        <v>0.56999999999999995</v>
      </c>
      <c r="BZ45" s="59">
        <v>0.54500000000000004</v>
      </c>
      <c r="CA45" s="59">
        <v>0.54500000000000004</v>
      </c>
    </row>
    <row r="46" spans="2:134">
      <c r="B46" s="38" t="s">
        <v>246</v>
      </c>
      <c r="C46" s="49">
        <f t="shared" ref="C46:AV46" si="159">C29/C26</f>
        <v>8.0143540669856461E-2</v>
      </c>
      <c r="D46" s="49">
        <f t="shared" si="159"/>
        <v>7.900677200902935E-2</v>
      </c>
      <c r="E46" s="49">
        <f t="shared" si="159"/>
        <v>7.9365079365079361E-2</v>
      </c>
      <c r="F46" s="49">
        <f t="shared" si="159"/>
        <v>7.8639744952178542E-2</v>
      </c>
      <c r="G46" s="49">
        <f t="shared" si="159"/>
        <v>7.6746849942726236E-2</v>
      </c>
      <c r="H46" s="49">
        <f t="shared" si="159"/>
        <v>6.6232356134636267E-2</v>
      </c>
      <c r="I46" s="49">
        <f t="shared" si="159"/>
        <v>7.9676674364896088E-2</v>
      </c>
      <c r="J46" s="49">
        <f t="shared" si="159"/>
        <v>7.7348066298342538E-2</v>
      </c>
      <c r="K46" s="49">
        <f t="shared" si="159"/>
        <v>7.2792362768496419E-2</v>
      </c>
      <c r="L46" s="49">
        <f t="shared" si="159"/>
        <v>6.942889137737962E-2</v>
      </c>
      <c r="M46" s="49">
        <f t="shared" si="159"/>
        <v>6.6361556064073221E-2</v>
      </c>
      <c r="N46" s="49">
        <f t="shared" si="159"/>
        <v>7.3875802997858675E-2</v>
      </c>
      <c r="O46" s="49">
        <f t="shared" si="159"/>
        <v>7.6049943246311022E-2</v>
      </c>
      <c r="P46" s="49">
        <f t="shared" si="159"/>
        <v>6.6292134831460681E-2</v>
      </c>
      <c r="Q46" s="49">
        <f t="shared" si="159"/>
        <v>7.0093457943925241E-2</v>
      </c>
      <c r="R46" s="49">
        <f t="shared" si="159"/>
        <v>0.78873239436619713</v>
      </c>
      <c r="S46" s="49">
        <f t="shared" si="159"/>
        <v>7.4941451990632318E-2</v>
      </c>
      <c r="T46" s="49">
        <f t="shared" si="159"/>
        <v>7.0357554786620521E-2</v>
      </c>
      <c r="U46" s="49">
        <f t="shared" si="159"/>
        <v>7.7473182359952319E-2</v>
      </c>
      <c r="V46" s="49">
        <f t="shared" si="159"/>
        <v>0.92982456140350866</v>
      </c>
      <c r="W46" s="49">
        <f t="shared" si="159"/>
        <v>0.11580594679186229</v>
      </c>
      <c r="X46" s="49">
        <f t="shared" si="159"/>
        <v>0.10142857142857142</v>
      </c>
      <c r="Y46" s="49">
        <f t="shared" si="159"/>
        <v>0.10534351145038169</v>
      </c>
      <c r="Z46" s="49">
        <f t="shared" si="159"/>
        <v>9.6910112359550563E-2</v>
      </c>
      <c r="AA46" s="49">
        <f t="shared" si="159"/>
        <v>9.5454545454545459E-2</v>
      </c>
      <c r="AB46" s="49">
        <f t="shared" si="159"/>
        <v>0.11142857142857143</v>
      </c>
      <c r="AC46" s="49">
        <f t="shared" si="159"/>
        <v>0.12034383954154729</v>
      </c>
      <c r="AD46" s="49">
        <f t="shared" si="159"/>
        <v>0.12349914236706691</v>
      </c>
      <c r="AE46" s="49">
        <f t="shared" si="159"/>
        <v>0.12830409023584369</v>
      </c>
      <c r="AF46" s="49">
        <f t="shared" si="159"/>
        <v>0.13346159131510238</v>
      </c>
      <c r="AG46" s="49">
        <f t="shared" si="159"/>
        <v>0.12032536315360624</v>
      </c>
      <c r="AH46" s="49">
        <f t="shared" si="159"/>
        <v>0.11847687462585567</v>
      </c>
      <c r="AI46" s="49">
        <f t="shared" si="159"/>
        <v>9.6062153278507492E-2</v>
      </c>
      <c r="AJ46" s="49">
        <f t="shared" si="159"/>
        <v>0.10473939703628002</v>
      </c>
      <c r="AK46" s="49">
        <f t="shared" si="159"/>
        <v>9.8418277680140609E-2</v>
      </c>
      <c r="AL46" s="49">
        <f t="shared" si="159"/>
        <v>9.0415871629232814E-2</v>
      </c>
      <c r="AM46" s="49">
        <f t="shared" si="159"/>
        <v>0.1021990016802188</v>
      </c>
      <c r="AN46" s="49">
        <f t="shared" si="159"/>
        <v>8.004307670697304E-2</v>
      </c>
      <c r="AO46" s="49">
        <f t="shared" si="159"/>
        <v>8.48822800495663E-2</v>
      </c>
      <c r="AP46" s="49">
        <f t="shared" si="159"/>
        <v>8.631403289199216E-2</v>
      </c>
      <c r="AQ46" s="49">
        <f t="shared" si="159"/>
        <v>0.10091638175370811</v>
      </c>
      <c r="AR46" s="49">
        <f t="shared" si="159"/>
        <v>0.10949791324143164</v>
      </c>
      <c r="AS46" s="49">
        <f t="shared" si="159"/>
        <v>0.10892234843446569</v>
      </c>
      <c r="AT46" s="49">
        <f t="shared" si="159"/>
        <v>9.4740994322584274E-2</v>
      </c>
      <c r="AU46" s="49">
        <f t="shared" si="159"/>
        <v>9.3123527581455312E-2</v>
      </c>
      <c r="AV46" s="49">
        <f t="shared" si="159"/>
        <v>8.8325737191807155E-2</v>
      </c>
      <c r="AW46" s="49">
        <f>AW29/AW26</f>
        <v>9.6013888888888899E-2</v>
      </c>
      <c r="AX46" s="49">
        <f t="shared" ref="AX46" si="160">AX29/AX26</f>
        <v>8.2207502214238476E-2</v>
      </c>
      <c r="AY46" s="49">
        <f>AY29/AY26</f>
        <v>8.4756508301303629E-2</v>
      </c>
      <c r="AZ46" s="49">
        <f>AZ29/AZ26</f>
        <v>9.76960846027949E-2</v>
      </c>
      <c r="BK46" s="49">
        <f t="shared" ref="BK46:BT46" si="161">BK29/BK26</f>
        <v>7.9266572637517629E-2</v>
      </c>
      <c r="BL46" s="49">
        <f t="shared" si="161"/>
        <v>7.4894810659186545E-2</v>
      </c>
      <c r="BM46" s="49">
        <f t="shared" si="161"/>
        <v>7.0641424131110492E-2</v>
      </c>
      <c r="BN46" s="49">
        <f t="shared" si="161"/>
        <v>8.9696071163825067E-2</v>
      </c>
      <c r="BO46" s="49">
        <f t="shared" si="161"/>
        <v>9.2854413450515871E-2</v>
      </c>
      <c r="BP46" s="49">
        <f t="shared" si="161"/>
        <v>0.10458240946045823</v>
      </c>
      <c r="BQ46" s="49">
        <f t="shared" si="161"/>
        <v>0.11245740249905338</v>
      </c>
      <c r="BR46" s="49">
        <f t="shared" si="161"/>
        <v>0.12504724923542146</v>
      </c>
      <c r="BS46" s="49">
        <f t="shared" si="161"/>
        <v>9.7207947656529167E-2</v>
      </c>
      <c r="BT46" s="49">
        <f t="shared" si="161"/>
        <v>8.8214977328547134E-2</v>
      </c>
      <c r="BU46" s="49">
        <f>BU29/BU26</f>
        <v>0.10368722730772521</v>
      </c>
      <c r="BV46" s="49">
        <v>9.5000000000000001E-2</v>
      </c>
      <c r="BW46" s="59">
        <v>9.4E-2</v>
      </c>
      <c r="BX46" s="59">
        <v>9.1999999999999998E-2</v>
      </c>
      <c r="BY46" s="59">
        <v>0.09</v>
      </c>
      <c r="BZ46" s="59">
        <v>8.7999999999999995E-2</v>
      </c>
      <c r="CA46" s="59">
        <v>8.5999999999999993E-2</v>
      </c>
    </row>
    <row r="47" spans="2:134">
      <c r="B47" s="38" t="s">
        <v>247</v>
      </c>
      <c r="C47" s="49">
        <f t="shared" ref="C47:AD47" si="162">SUM(C30:C31)/C26</f>
        <v>0.4126794258373207</v>
      </c>
      <c r="D47" s="49">
        <f t="shared" si="162"/>
        <v>0.41083521444695259</v>
      </c>
      <c r="E47" s="49">
        <f t="shared" si="162"/>
        <v>0.35487528344671199</v>
      </c>
      <c r="F47" s="49">
        <f t="shared" si="162"/>
        <v>0.41870350690754515</v>
      </c>
      <c r="G47" s="49">
        <f t="shared" si="162"/>
        <v>0.41122565864833904</v>
      </c>
      <c r="H47" s="49">
        <f t="shared" si="162"/>
        <v>0.40173724212812162</v>
      </c>
      <c r="I47" s="49">
        <f t="shared" si="162"/>
        <v>0.47459584295612012</v>
      </c>
      <c r="J47" s="49">
        <f t="shared" si="162"/>
        <v>0.42651933701657463</v>
      </c>
      <c r="K47" s="49">
        <f t="shared" si="162"/>
        <v>0.44272076372315039</v>
      </c>
      <c r="L47" s="49">
        <f t="shared" si="162"/>
        <v>0.43784994400895849</v>
      </c>
      <c r="M47" s="49">
        <f t="shared" si="162"/>
        <v>0.40961098398169338</v>
      </c>
      <c r="N47" s="49">
        <f t="shared" si="162"/>
        <v>0.38972162740899352</v>
      </c>
      <c r="O47" s="49">
        <f t="shared" si="162"/>
        <v>0.39500567536889897</v>
      </c>
      <c r="P47" s="49">
        <f t="shared" si="162"/>
        <v>0.2640449438202247</v>
      </c>
      <c r="Q47" s="49">
        <f t="shared" si="162"/>
        <v>0.38200934579439261</v>
      </c>
      <c r="R47" s="49">
        <f t="shared" si="162"/>
        <v>5.6338028169014089</v>
      </c>
      <c r="S47" s="49">
        <f t="shared" si="162"/>
        <v>0.40632318501170961</v>
      </c>
      <c r="T47" s="49">
        <f t="shared" si="162"/>
        <v>0.40945790080738176</v>
      </c>
      <c r="U47" s="49">
        <f t="shared" si="162"/>
        <v>0.40643623361144215</v>
      </c>
      <c r="V47" s="49">
        <f t="shared" si="162"/>
        <v>5.1754385964912277</v>
      </c>
      <c r="W47" s="49">
        <f t="shared" si="162"/>
        <v>0.54303599374021916</v>
      </c>
      <c r="X47" s="49">
        <f t="shared" si="162"/>
        <v>0.51428571428571423</v>
      </c>
      <c r="Y47" s="49">
        <f t="shared" si="162"/>
        <v>0.53282442748091585</v>
      </c>
      <c r="Z47" s="49">
        <f t="shared" si="162"/>
        <v>0.44241573033707865</v>
      </c>
      <c r="AA47" s="49">
        <f t="shared" si="162"/>
        <v>0.49545454545454548</v>
      </c>
      <c r="AB47" s="49">
        <f t="shared" si="162"/>
        <v>0.53142857142857147</v>
      </c>
      <c r="AC47" s="49">
        <f t="shared" si="162"/>
        <v>0.54584527220630363</v>
      </c>
      <c r="AD47" s="49">
        <f t="shared" si="162"/>
        <v>3.0806174957118353</v>
      </c>
      <c r="AE47" s="49">
        <f t="shared" ref="AE47:AV47" si="163">SUM(AE30:AE31)/AE26</f>
        <v>0.37401731799020171</v>
      </c>
      <c r="AF47" s="49">
        <f t="shared" si="163"/>
        <v>0.40391644908616192</v>
      </c>
      <c r="AG47" s="49">
        <f t="shared" si="163"/>
        <v>0.40203984153297179</v>
      </c>
      <c r="AH47" s="49">
        <f t="shared" si="163"/>
        <v>0.4288149709794124</v>
      </c>
      <c r="AI47" s="49">
        <f t="shared" si="163"/>
        <v>0.43378675085421786</v>
      </c>
      <c r="AJ47" s="49">
        <f t="shared" si="163"/>
        <v>0.42519161982626474</v>
      </c>
      <c r="AK47" s="49">
        <f t="shared" si="163"/>
        <v>0.39398404758685956</v>
      </c>
      <c r="AL47" s="49">
        <f t="shared" si="163"/>
        <v>0.43605600128738564</v>
      </c>
      <c r="AM47" s="49">
        <f t="shared" si="163"/>
        <v>0.4494033383617253</v>
      </c>
      <c r="AN47" s="49">
        <f t="shared" si="163"/>
        <v>0.43125870606000299</v>
      </c>
      <c r="AO47" s="49">
        <f t="shared" si="163"/>
        <v>0.42434944237918221</v>
      </c>
      <c r="AP47" s="49">
        <f t="shared" si="163"/>
        <v>0.400961728476385</v>
      </c>
      <c r="AQ47" s="49">
        <f t="shared" si="163"/>
        <v>0.48572045908056788</v>
      </c>
      <c r="AR47" s="49">
        <f t="shared" si="163"/>
        <v>0.43952194258252186</v>
      </c>
      <c r="AS47" s="49">
        <f t="shared" si="163"/>
        <v>0.47861190178500179</v>
      </c>
      <c r="AT47" s="49">
        <f t="shared" si="163"/>
        <v>0.49349844328923814</v>
      </c>
      <c r="AU47" s="49">
        <f t="shared" si="163"/>
        <v>0.54192410839963856</v>
      </c>
      <c r="AV47" s="49">
        <f t="shared" si="163"/>
        <v>0.49393223875679532</v>
      </c>
      <c r="AW47" s="49">
        <f>SUM(AW30:AW31)/AW26</f>
        <v>0.49991666666666668</v>
      </c>
      <c r="AX47" s="49">
        <f t="shared" ref="AX47" si="164">SUM(AX30:AX31)/AX26</f>
        <v>0.45754275663335953</v>
      </c>
      <c r="AY47" s="49">
        <f>SUM(AY30:AY31)/AY26</f>
        <v>0.53730633593533295</v>
      </c>
      <c r="AZ47" s="49">
        <f>SUM(AZ30:AZ31)/AZ26</f>
        <v>0.46405640186327579</v>
      </c>
      <c r="BK47" s="49">
        <f t="shared" ref="BK47:BT47" si="165">SUM(BK30:BK31)/BK26</f>
        <v>0.39943582510578279</v>
      </c>
      <c r="BL47" s="49">
        <f t="shared" si="165"/>
        <v>0.42805049088359054</v>
      </c>
      <c r="BM47" s="49">
        <f t="shared" si="165"/>
        <v>0.4193274936422719</v>
      </c>
      <c r="BN47" s="49">
        <f t="shared" si="165"/>
        <v>0.4855448480355819</v>
      </c>
      <c r="BO47" s="49">
        <f t="shared" si="165"/>
        <v>0.51127244936950711</v>
      </c>
      <c r="BP47" s="49">
        <f t="shared" si="165"/>
        <v>0.50665188470066513</v>
      </c>
      <c r="BQ47" s="49">
        <f t="shared" si="165"/>
        <v>1.0889814464218097</v>
      </c>
      <c r="BR47" s="49">
        <f t="shared" si="165"/>
        <v>0.40281777258513451</v>
      </c>
      <c r="BS47" s="49">
        <f t="shared" si="165"/>
        <v>0.42297268665070725</v>
      </c>
      <c r="BT47" s="49">
        <f t="shared" si="165"/>
        <v>0.42583364821462311</v>
      </c>
      <c r="BU47" s="49">
        <f>SUM(BU30:BU31)/BU26</f>
        <v>0.4737590239344025</v>
      </c>
      <c r="BV47" s="49">
        <v>0.4975</v>
      </c>
      <c r="BW47" s="59">
        <v>0.47</v>
      </c>
      <c r="BX47" s="59">
        <v>0.45</v>
      </c>
      <c r="BY47" s="59">
        <v>0.44</v>
      </c>
      <c r="BZ47" s="59">
        <v>0.42</v>
      </c>
      <c r="CA47" s="59">
        <v>0.41</v>
      </c>
    </row>
    <row r="48" spans="2:134">
      <c r="B48" s="38" t="s">
        <v>248</v>
      </c>
      <c r="C48" s="49">
        <f t="shared" ref="C48:AV48" si="166">C36/C26</f>
        <v>1.5550239234449642E-2</v>
      </c>
      <c r="D48" s="49">
        <f t="shared" si="166"/>
        <v>1.6930022573363353E-2</v>
      </c>
      <c r="E48" s="49">
        <f t="shared" si="166"/>
        <v>7.369614512471663E-2</v>
      </c>
      <c r="F48" s="49">
        <f t="shared" si="166"/>
        <v>1.2752391073326205E-2</v>
      </c>
      <c r="G48" s="49">
        <f t="shared" si="166"/>
        <v>3.6655211912943825E-2</v>
      </c>
      <c r="H48" s="49">
        <f t="shared" si="166"/>
        <v>4.885993485342012E-2</v>
      </c>
      <c r="I48" s="49">
        <f t="shared" si="166"/>
        <v>-0.11662817551963059</v>
      </c>
      <c r="J48" s="49">
        <f t="shared" si="166"/>
        <v>-1.2154696132596701E-2</v>
      </c>
      <c r="K48" s="49">
        <f t="shared" si="166"/>
        <v>2.3866348448686845E-3</v>
      </c>
      <c r="L48" s="49">
        <f t="shared" si="166"/>
        <v>6.7189249720044954E-3</v>
      </c>
      <c r="M48" s="49">
        <f t="shared" si="166"/>
        <v>2.1739130434782674E-2</v>
      </c>
      <c r="N48" s="49">
        <f t="shared" si="166"/>
        <v>-1.9271948608136937E-2</v>
      </c>
      <c r="O48" s="49">
        <f t="shared" si="166"/>
        <v>3.9727582292848958E-2</v>
      </c>
      <c r="P48" s="49">
        <f t="shared" si="166"/>
        <v>0.17528089887640452</v>
      </c>
      <c r="Q48" s="49">
        <f t="shared" si="166"/>
        <v>5.9579439252336386E-2</v>
      </c>
      <c r="R48" s="49">
        <f t="shared" si="166"/>
        <v>-4.9859154929577478</v>
      </c>
      <c r="S48" s="49">
        <f t="shared" si="166"/>
        <v>1.1709601873536465E-3</v>
      </c>
      <c r="T48" s="49">
        <f t="shared" si="166"/>
        <v>1.2687427912341422E-2</v>
      </c>
      <c r="U48" s="49">
        <f t="shared" si="166"/>
        <v>5.8402860548271818E-2</v>
      </c>
      <c r="V48" s="49">
        <f t="shared" si="166"/>
        <v>-3.5614035087719293</v>
      </c>
      <c r="W48" s="49">
        <f t="shared" si="166"/>
        <v>-9.702660406885763E-2</v>
      </c>
      <c r="X48" s="49">
        <f t="shared" si="166"/>
        <v>-3.5714285714285712E-2</v>
      </c>
      <c r="Y48" s="49">
        <f t="shared" si="166"/>
        <v>-5.6488549618320547E-2</v>
      </c>
      <c r="Z48" s="49">
        <f t="shared" si="166"/>
        <v>4.2134831460674253E-2</v>
      </c>
      <c r="AA48" s="49">
        <f t="shared" si="166"/>
        <v>-1.2121212121212078E-2</v>
      </c>
      <c r="AB48" s="49">
        <f t="shared" si="166"/>
        <v>-0.05</v>
      </c>
      <c r="AC48" s="49">
        <f t="shared" si="166"/>
        <v>-8.8825214899713512E-2</v>
      </c>
      <c r="AD48" s="49">
        <f t="shared" si="166"/>
        <v>-2.6861063464837054</v>
      </c>
      <c r="AE48" s="49">
        <f t="shared" si="166"/>
        <v>-7.2946337017204266E-2</v>
      </c>
      <c r="AF48" s="49">
        <f t="shared" si="166"/>
        <v>-6.6455957125188841E-2</v>
      </c>
      <c r="AG48" s="49">
        <f t="shared" si="166"/>
        <v>-5.2513275828158699E-2</v>
      </c>
      <c r="AH48" s="49">
        <f t="shared" si="166"/>
        <v>-0.28090106972749296</v>
      </c>
      <c r="AI48" s="49">
        <f t="shared" si="166"/>
        <v>-0.10523443894453748</v>
      </c>
      <c r="AJ48" s="49">
        <f t="shared" si="166"/>
        <v>-0.11087123147675024</v>
      </c>
      <c r="AK48" s="49">
        <f t="shared" si="166"/>
        <v>-7.1583074219278106E-2</v>
      </c>
      <c r="AL48" s="49">
        <f t="shared" si="166"/>
        <v>-7.3530425986803677E-2</v>
      </c>
      <c r="AM48" s="49">
        <f t="shared" si="166"/>
        <v>-0.16311613132688224</v>
      </c>
      <c r="AN48" s="49">
        <f t="shared" si="166"/>
        <v>-9.4991162251694322E-2</v>
      </c>
      <c r="AO48" s="49">
        <f t="shared" si="166"/>
        <v>-0.11075588599752173</v>
      </c>
      <c r="AP48" s="49">
        <f t="shared" si="166"/>
        <v>-0.22866302175965575</v>
      </c>
      <c r="AQ48" s="49">
        <f t="shared" si="166"/>
        <v>0.44534119650732723</v>
      </c>
      <c r="AR48" s="49">
        <f t="shared" si="166"/>
        <v>-0.16596686480333889</v>
      </c>
      <c r="AS48" s="49">
        <f t="shared" si="166"/>
        <v>-2.6588279109361279</v>
      </c>
      <c r="AT48" s="49">
        <f t="shared" si="166"/>
        <v>-0.20364030824281854</v>
      </c>
      <c r="AU48" s="49">
        <f t="shared" si="166"/>
        <v>-0.19400512660947389</v>
      </c>
      <c r="AV48" s="49">
        <f t="shared" si="166"/>
        <v>-0.15231178957772776</v>
      </c>
      <c r="AW48" s="49">
        <f>AW36/AW26</f>
        <v>-0.13858333333333336</v>
      </c>
      <c r="AX48" s="49">
        <f t="shared" ref="AX48" si="167">AX36/AX26</f>
        <v>-7.2157978119581231E-2</v>
      </c>
      <c r="AY48" s="49">
        <f>AY36/AY26</f>
        <v>-0.14111555784496285</v>
      </c>
      <c r="AZ48" s="49">
        <f>AZ36/AZ26</f>
        <v>-7.6923076923076816E-2</v>
      </c>
      <c r="BK48" s="49">
        <f t="shared" ref="BK48:BT48" si="168">BK36/BK26</f>
        <v>2.9619181946403346E-2</v>
      </c>
      <c r="BL48" s="49">
        <f t="shared" si="168"/>
        <v>-9.8176718092567224E-3</v>
      </c>
      <c r="BM48" s="49">
        <f t="shared" si="168"/>
        <v>2.5430912687200136E-3</v>
      </c>
      <c r="BN48" s="49">
        <f t="shared" si="168"/>
        <v>-4.1512231282431492E-2</v>
      </c>
      <c r="BO48" s="49">
        <f t="shared" si="168"/>
        <v>-5.4260603744745853E-2</v>
      </c>
      <c r="BP48" s="49">
        <f t="shared" si="168"/>
        <v>-3.4737620103473726E-2</v>
      </c>
      <c r="BQ48" s="49">
        <f t="shared" si="168"/>
        <v>-0.63271488072699733</v>
      </c>
      <c r="BR48" s="49">
        <f t="shared" si="168"/>
        <v>-0.12123638362942857</v>
      </c>
      <c r="BS48" s="49">
        <f t="shared" si="168"/>
        <v>-9.003570310449388E-2</v>
      </c>
      <c r="BT48" s="49">
        <f t="shared" si="168"/>
        <v>-0.15108693085206876</v>
      </c>
      <c r="BU48" s="49">
        <f>BU36/BU26</f>
        <v>-0.63318899425495367</v>
      </c>
      <c r="BV48" s="49">
        <f>BV36/BV26</f>
        <v>-0.1365855493029012</v>
      </c>
      <c r="BW48" s="59">
        <f t="shared" ref="BW48:BZ48" si="169">BW36/BW26</f>
        <v>-2.8999999999999925E-2</v>
      </c>
      <c r="BX48" s="59">
        <f t="shared" si="169"/>
        <v>1.8000000000000075E-2</v>
      </c>
      <c r="BY48" s="59">
        <f t="shared" si="169"/>
        <v>3.9999999999999938E-2</v>
      </c>
      <c r="BZ48" s="59">
        <f t="shared" si="169"/>
        <v>3.7000000000000095E-2</v>
      </c>
      <c r="CA48" s="59">
        <f t="shared" ref="CA48" si="170">CA36/CA26</f>
        <v>4.9000000000000106E-2</v>
      </c>
    </row>
    <row r="49" spans="2:134">
      <c r="B49" s="38" t="s">
        <v>249</v>
      </c>
      <c r="C49" s="49">
        <f t="shared" ref="C49:AV49" si="171">C40/C39</f>
        <v>0.28571428571428165</v>
      </c>
      <c r="D49" s="49">
        <f t="shared" si="171"/>
        <v>0.33333333333332543</v>
      </c>
      <c r="E49" s="49">
        <f t="shared" si="171"/>
        <v>0</v>
      </c>
      <c r="F49" s="49">
        <f t="shared" si="171"/>
        <v>1.9375000000000053</v>
      </c>
      <c r="G49" s="49">
        <f t="shared" si="171"/>
        <v>0.6428571428571449</v>
      </c>
      <c r="H49" s="49">
        <f t="shared" si="171"/>
        <v>0.53571428571428714</v>
      </c>
      <c r="I49" s="49">
        <f t="shared" si="171"/>
        <v>0.64705882352941124</v>
      </c>
      <c r="J49" s="49">
        <f t="shared" si="171"/>
        <v>-1.4999999999999944</v>
      </c>
      <c r="K49" s="49">
        <f t="shared" si="171"/>
        <v>-0.14285714285714199</v>
      </c>
      <c r="L49" s="49">
        <f t="shared" si="171"/>
        <v>0.50000000000000122</v>
      </c>
      <c r="M49" s="49">
        <f t="shared" si="171"/>
        <v>0.44444444444444164</v>
      </c>
      <c r="N49" s="52">
        <f t="shared" si="171"/>
        <v>-13.896551724137977</v>
      </c>
      <c r="O49" s="49">
        <f t="shared" si="171"/>
        <v>0.57142857142857295</v>
      </c>
      <c r="P49" s="49">
        <f t="shared" si="171"/>
        <v>4.8611111111111098E-2</v>
      </c>
      <c r="Q49" s="49">
        <f t="shared" si="171"/>
        <v>0.37777777777777821</v>
      </c>
      <c r="R49" s="49">
        <f t="shared" si="171"/>
        <v>0.46473029045643133</v>
      </c>
      <c r="S49" s="49">
        <f t="shared" si="171"/>
        <v>0</v>
      </c>
      <c r="T49" s="49">
        <f t="shared" si="171"/>
        <v>-1.9999999999999716</v>
      </c>
      <c r="U49" s="49">
        <f t="shared" si="171"/>
        <v>-2.4146341463414602</v>
      </c>
      <c r="V49" s="49">
        <f t="shared" si="171"/>
        <v>4.2056074766355145E-2</v>
      </c>
      <c r="W49" s="49">
        <f t="shared" si="171"/>
        <v>0.17142857142857135</v>
      </c>
      <c r="X49" s="49">
        <f t="shared" si="171"/>
        <v>5.4054054054054057E-2</v>
      </c>
      <c r="Y49" s="49">
        <f t="shared" si="171"/>
        <v>0.14814814814814828</v>
      </c>
      <c r="Z49" s="49">
        <f t="shared" si="171"/>
        <v>-0.93333333333332891</v>
      </c>
      <c r="AA49" s="49">
        <f t="shared" si="171"/>
        <v>7.1428571428571577E-2</v>
      </c>
      <c r="AB49" s="49">
        <f t="shared" si="171"/>
        <v>0.17647058823529413</v>
      </c>
      <c r="AC49" s="49">
        <f t="shared" si="171"/>
        <v>0.12307692307692303</v>
      </c>
      <c r="AD49" s="49">
        <f t="shared" si="171"/>
        <v>-1.274697259400892E-3</v>
      </c>
      <c r="AE49" s="49">
        <f t="shared" si="171"/>
        <v>0.11323498857261552</v>
      </c>
      <c r="AF49" s="49">
        <f t="shared" si="171"/>
        <v>0.17494683935820637</v>
      </c>
      <c r="AG49" s="49">
        <f t="shared" si="171"/>
        <v>0.14126484128907221</v>
      </c>
      <c r="AH49" s="49">
        <f t="shared" si="171"/>
        <v>0.11264074394857995</v>
      </c>
      <c r="AI49" s="49">
        <f t="shared" si="171"/>
        <v>0.19005576208178451</v>
      </c>
      <c r="AJ49" s="49">
        <f t="shared" si="171"/>
        <v>5.7768250028207097E-2</v>
      </c>
      <c r="AK49" s="49">
        <f t="shared" si="171"/>
        <v>0.13878756296682296</v>
      </c>
      <c r="AL49" s="49">
        <f t="shared" si="171"/>
        <v>6.7698259187621485E-2</v>
      </c>
      <c r="AM49" s="49">
        <f t="shared" si="171"/>
        <v>6.1561778290993081E-2</v>
      </c>
      <c r="AN49" s="49">
        <f t="shared" si="171"/>
        <v>6.2424041542371037E-2</v>
      </c>
      <c r="AO49" s="49">
        <f t="shared" si="171"/>
        <v>1.8503204465577832E-2</v>
      </c>
      <c r="AP49" s="49">
        <f t="shared" si="171"/>
        <v>1.8210102489019039E-2</v>
      </c>
      <c r="AQ49" s="49">
        <f t="shared" si="171"/>
        <v>-0.31611700602236875</v>
      </c>
      <c r="AR49" s="49">
        <f t="shared" si="171"/>
        <v>-1.3017985896521667</v>
      </c>
      <c r="AS49" s="49">
        <f t="shared" si="171"/>
        <v>6.0098127565835588E-2</v>
      </c>
      <c r="AT49" s="49">
        <f t="shared" si="171"/>
        <v>4.8914964303385919E-2</v>
      </c>
      <c r="AU49" s="49">
        <f t="shared" si="171"/>
        <v>-1.0505031357123674E-2</v>
      </c>
      <c r="AV49" s="49">
        <f t="shared" si="171"/>
        <v>1.0139183334869574E-2</v>
      </c>
      <c r="AW49" s="49">
        <f>AW40/AW39</f>
        <v>4.5320643553138434E-4</v>
      </c>
      <c r="AX49" s="49">
        <f t="shared" ref="AX49" si="172">AX40/AX39</f>
        <v>9.8257565832569269E-3</v>
      </c>
      <c r="AY49" s="49">
        <f>AY40/AY39</f>
        <v>-5.9819620835634179E-3</v>
      </c>
      <c r="AZ49" s="49">
        <f>AZ40/AZ39</f>
        <v>-7.8889239507731247E-4</v>
      </c>
      <c r="BK49" s="49">
        <f t="shared" ref="BK49:BT49" si="173">BK40/BK39</f>
        <v>0.54901960784313875</v>
      </c>
      <c r="BL49" s="49">
        <f t="shared" si="173"/>
        <v>0.58024691358024538</v>
      </c>
      <c r="BM49" s="52">
        <f t="shared" si="173"/>
        <v>-12.27272727272732</v>
      </c>
      <c r="BN49" s="49">
        <f t="shared" si="173"/>
        <v>2.9999999999999747</v>
      </c>
      <c r="BO49" s="49">
        <f t="shared" si="173"/>
        <v>0.63583815028901769</v>
      </c>
      <c r="BP49" s="49">
        <f t="shared" si="173"/>
        <v>0.24657534246575358</v>
      </c>
      <c r="BQ49" s="49">
        <f t="shared" si="173"/>
        <v>7.7288941736028518E-3</v>
      </c>
      <c r="BR49" s="49">
        <f t="shared" si="173"/>
        <v>0.12493758668515947</v>
      </c>
      <c r="BS49" s="49">
        <f t="shared" si="173"/>
        <v>0.11359310828408312</v>
      </c>
      <c r="BT49" s="49">
        <f t="shared" si="173"/>
        <v>3.6647868177893714E-2</v>
      </c>
      <c r="BU49" s="49">
        <f>BU40/BU39</f>
        <v>3.8035253968419627E-2</v>
      </c>
      <c r="BV49" s="49">
        <v>0.12</v>
      </c>
      <c r="BW49" s="59">
        <v>0.01</v>
      </c>
      <c r="BX49" s="59">
        <v>0.01</v>
      </c>
      <c r="BY49" s="59">
        <v>0.01</v>
      </c>
      <c r="BZ49" s="59">
        <v>0.01</v>
      </c>
      <c r="CA49" s="59">
        <v>0.01</v>
      </c>
    </row>
    <row r="50" spans="2:134">
      <c r="B50" s="38" t="s">
        <v>250</v>
      </c>
      <c r="C50" s="49">
        <f t="shared" ref="C50:AV50" si="174">C41/C26</f>
        <v>-5.9808612440192584E-3</v>
      </c>
      <c r="D50" s="49">
        <f t="shared" si="174"/>
        <v>-2.2573363431152051E-3</v>
      </c>
      <c r="E50" s="49">
        <f t="shared" si="174"/>
        <v>5.1020408163265384E-2</v>
      </c>
      <c r="F50" s="49">
        <f t="shared" si="174"/>
        <v>-1.5940488841657861E-2</v>
      </c>
      <c r="G50" s="49">
        <f t="shared" si="174"/>
        <v>5.7273768613974301E-3</v>
      </c>
      <c r="H50" s="49">
        <f t="shared" si="174"/>
        <v>1.4115092290987978E-2</v>
      </c>
      <c r="I50" s="49">
        <f t="shared" si="174"/>
        <v>-4.8498845265589022E-2</v>
      </c>
      <c r="J50" s="49">
        <f t="shared" si="174"/>
        <v>-1.1049723756906093E-2</v>
      </c>
      <c r="K50" s="49">
        <f t="shared" si="174"/>
        <v>-9.5465393794749911E-3</v>
      </c>
      <c r="L50" s="49">
        <f t="shared" si="174"/>
        <v>-3.3594624860022234E-3</v>
      </c>
      <c r="M50" s="49">
        <f t="shared" si="174"/>
        <v>5.7208237986270663E-3</v>
      </c>
      <c r="N50" s="49">
        <f t="shared" si="174"/>
        <v>-0.46252676659528891</v>
      </c>
      <c r="O50" s="49">
        <f t="shared" si="174"/>
        <v>1.3620885357548157E-2</v>
      </c>
      <c r="P50" s="49">
        <f t="shared" si="174"/>
        <v>0.15393258426966294</v>
      </c>
      <c r="Q50" s="49">
        <f t="shared" si="174"/>
        <v>3.2710280373831717E-2</v>
      </c>
      <c r="R50" s="49">
        <f t="shared" si="174"/>
        <v>-1.8169014084507056</v>
      </c>
      <c r="S50" s="49">
        <f t="shared" si="174"/>
        <v>-1.1709601873536135E-3</v>
      </c>
      <c r="T50" s="49">
        <f t="shared" si="174"/>
        <v>3.460207612456764E-3</v>
      </c>
      <c r="U50" s="49">
        <f t="shared" si="174"/>
        <v>0.16686531585220507</v>
      </c>
      <c r="V50" s="49">
        <f t="shared" si="174"/>
        <v>-3.5964912280701755</v>
      </c>
      <c r="W50" s="49">
        <f t="shared" si="174"/>
        <v>-9.0766823161189406E-2</v>
      </c>
      <c r="X50" s="49">
        <f t="shared" si="174"/>
        <v>-0.05</v>
      </c>
      <c r="Y50" s="49">
        <f t="shared" si="174"/>
        <v>-7.022900763358772E-2</v>
      </c>
      <c r="Z50" s="49">
        <f t="shared" si="174"/>
        <v>4.0730337078651785E-2</v>
      </c>
      <c r="AA50" s="49">
        <f t="shared" si="174"/>
        <v>-1.9696969696969654E-2</v>
      </c>
      <c r="AB50" s="49">
        <f t="shared" si="174"/>
        <v>-0.04</v>
      </c>
      <c r="AC50" s="49">
        <f t="shared" si="174"/>
        <v>-8.1661891117478555E-2</v>
      </c>
      <c r="AD50" s="49">
        <f t="shared" si="174"/>
        <v>-2.694682675814752</v>
      </c>
      <c r="AE50" s="49">
        <f t="shared" si="174"/>
        <v>-6.07838669249176E-2</v>
      </c>
      <c r="AF50" s="49">
        <f t="shared" si="174"/>
        <v>-5.8650542806101297E-2</v>
      </c>
      <c r="AG50" s="49">
        <f t="shared" si="174"/>
        <v>-4.9787867719367149E-2</v>
      </c>
      <c r="AH50" s="49">
        <f t="shared" si="174"/>
        <v>-0.25332500455480089</v>
      </c>
      <c r="AI50" s="49">
        <f t="shared" si="174"/>
        <v>-9.0579568928557411E-2</v>
      </c>
      <c r="AJ50" s="49">
        <f t="shared" si="174"/>
        <v>-0.10668114460909565</v>
      </c>
      <c r="AK50" s="49">
        <f t="shared" si="174"/>
        <v>-6.7027173178315552E-2</v>
      </c>
      <c r="AL50" s="49">
        <f t="shared" si="174"/>
        <v>-7.2024644244694666E-2</v>
      </c>
      <c r="AM50" s="49">
        <f t="shared" si="174"/>
        <v>-0.15947361320627443</v>
      </c>
      <c r="AN50" s="49">
        <f t="shared" si="174"/>
        <v>-9.9333949829683077E-2</v>
      </c>
      <c r="AO50" s="49">
        <f t="shared" si="174"/>
        <v>-0.11765799256505581</v>
      </c>
      <c r="AP50" s="49">
        <f t="shared" si="174"/>
        <v>-0.23557956217201328</v>
      </c>
      <c r="AQ50" s="49">
        <f t="shared" si="174"/>
        <v>0.5832941445620814</v>
      </c>
      <c r="AR50" s="49">
        <f t="shared" si="174"/>
        <v>-0.36740862526874929</v>
      </c>
      <c r="AS50" s="49">
        <f t="shared" si="174"/>
        <v>-2.4970870687132556</v>
      </c>
      <c r="AT50" s="49">
        <f t="shared" si="174"/>
        <v>-0.18955242804615172</v>
      </c>
      <c r="AU50" s="49">
        <f t="shared" si="174"/>
        <v>-0.18956008949341396</v>
      </c>
      <c r="AV50" s="49">
        <f t="shared" si="174"/>
        <v>-0.1474246334632914</v>
      </c>
      <c r="AW50" s="49">
        <f>AW41/AW26</f>
        <v>-6.1263888888888923E-2</v>
      </c>
      <c r="AX50" s="49">
        <f t="shared" ref="AX50" si="175">AX41/AX26</f>
        <v>-7.542631887529147E-2</v>
      </c>
      <c r="AY50" s="49">
        <f>AY41/AY26</f>
        <v>-0.14437796357200383</v>
      </c>
      <c r="AZ50" s="49">
        <f>AZ41/AZ26</f>
        <v>-7.9856477401485479E-2</v>
      </c>
      <c r="BK50" s="49">
        <f t="shared" ref="BK50:BT50" si="176">BK41/BK26</f>
        <v>6.4880112834978434E-3</v>
      </c>
      <c r="BL50" s="49">
        <f t="shared" si="176"/>
        <v>-9.5371669004208192E-3</v>
      </c>
      <c r="BM50" s="49">
        <f t="shared" si="176"/>
        <v>-0.12376377507770553</v>
      </c>
      <c r="BN50" s="49">
        <f t="shared" si="176"/>
        <v>1.7790956263899108E-2</v>
      </c>
      <c r="BO50" s="49">
        <f t="shared" si="176"/>
        <v>-2.4073366450133703E-2</v>
      </c>
      <c r="BP50" s="49">
        <f t="shared" si="176"/>
        <v>-4.0650406504065005E-2</v>
      </c>
      <c r="BQ50" s="49">
        <f t="shared" si="176"/>
        <v>-0.63195759182127986</v>
      </c>
      <c r="BR50" s="49">
        <f t="shared" si="176"/>
        <v>-0.10840177313494384</v>
      </c>
      <c r="BS50" s="49">
        <f t="shared" si="176"/>
        <v>-8.3951312223490518E-2</v>
      </c>
      <c r="BT50" s="49">
        <f t="shared" si="176"/>
        <v>-0.15480941809937651</v>
      </c>
      <c r="BU50" s="49">
        <f>BU41/BU26</f>
        <v>-0.60658278328737736</v>
      </c>
      <c r="BV50" s="49">
        <f>BV41/BV26</f>
        <v>-0.11620592277554033</v>
      </c>
      <c r="BW50" s="59">
        <f t="shared" ref="BW50:BZ50" si="177">BW41/BW26</f>
        <v>-1.3397905462583416E-2</v>
      </c>
      <c r="BX50" s="59">
        <f t="shared" si="177"/>
        <v>3.1851977120297671E-2</v>
      </c>
      <c r="BY50" s="59">
        <f t="shared" si="177"/>
        <v>5.5809423977761397E-2</v>
      </c>
      <c r="BZ50" s="59">
        <f t="shared" si="177"/>
        <v>5.6488454018185662E-2</v>
      </c>
      <c r="CA50" s="59">
        <f t="shared" ref="CA50" si="178">CA41/CA26</f>
        <v>7.2132933690421744E-2</v>
      </c>
    </row>
    <row r="51" spans="2:134">
      <c r="B51" s="38"/>
    </row>
    <row r="52" spans="2:134" ht="15" customHeight="1">
      <c r="B52" s="1" t="s">
        <v>251</v>
      </c>
      <c r="AC52" s="48"/>
      <c r="AD52" s="48"/>
      <c r="AE52" s="48"/>
      <c r="AF52" s="48"/>
      <c r="AG52" s="48"/>
      <c r="AH52" s="48">
        <v>48.161000000000001</v>
      </c>
      <c r="AI52" s="48">
        <v>35.472000000000001</v>
      </c>
      <c r="AJ52" s="48">
        <v>34.290999999999997</v>
      </c>
      <c r="AK52" s="48">
        <v>23.89</v>
      </c>
      <c r="AL52" s="48">
        <v>28.824999999999999</v>
      </c>
      <c r="AM52" s="48">
        <v>24.564</v>
      </c>
      <c r="AN52" s="48">
        <v>29.856999999999999</v>
      </c>
      <c r="AO52" s="48">
        <v>30.111000000000001</v>
      </c>
      <c r="AP52" s="48">
        <v>44.62</v>
      </c>
      <c r="AQ52" s="48">
        <v>57.585999999999999</v>
      </c>
      <c r="AR52" s="48">
        <v>60.896000000000001</v>
      </c>
      <c r="AS52" s="48">
        <v>78.450999999999993</v>
      </c>
      <c r="AT52" s="48">
        <v>76.055999999999997</v>
      </c>
      <c r="AU52" s="48">
        <v>55.005000000000003</v>
      </c>
      <c r="AV52" s="48">
        <v>54.088999999999999</v>
      </c>
      <c r="AW52" s="48">
        <v>44.76</v>
      </c>
      <c r="AX52" s="48">
        <v>55.893000000000001</v>
      </c>
      <c r="AY52" s="48">
        <v>38.762</v>
      </c>
      <c r="AZ52" s="48">
        <v>41.64</v>
      </c>
      <c r="BR52" s="48">
        <f t="shared" ref="BR52:BR62" si="179">SUM(AH52)</f>
        <v>48.161000000000001</v>
      </c>
      <c r="BS52" s="48">
        <f t="shared" ref="BS52:BS62" si="180">AL52</f>
        <v>28.824999999999999</v>
      </c>
      <c r="BT52" s="48">
        <f t="shared" ref="BT52:BT62" si="181">AP52</f>
        <v>44.62</v>
      </c>
      <c r="BU52" s="48">
        <f t="shared" ref="BU52:BU62" si="182">AT52</f>
        <v>76.055999999999997</v>
      </c>
      <c r="BV52" s="48">
        <f>AX52</f>
        <v>55.893000000000001</v>
      </c>
      <c r="BW52" s="61">
        <f t="shared" ref="BW52:CA52" si="183">BV52+BW41</f>
        <v>51.847674340700024</v>
      </c>
      <c r="BX52" s="61">
        <f t="shared" si="183"/>
        <v>62.217576343921145</v>
      </c>
      <c r="BY52" s="61">
        <f t="shared" si="183"/>
        <v>81.562834266064357</v>
      </c>
      <c r="BZ52" s="61">
        <f t="shared" si="183"/>
        <v>102.25183555155067</v>
      </c>
      <c r="CA52" s="61">
        <f t="shared" si="183"/>
        <v>130.21667390036055</v>
      </c>
    </row>
    <row r="53" spans="2:134" ht="15" customHeight="1">
      <c r="B53" s="1" t="s">
        <v>252</v>
      </c>
      <c r="AC53" s="48"/>
      <c r="AD53" s="48"/>
      <c r="AE53" s="48"/>
      <c r="AF53" s="48"/>
      <c r="AG53" s="48"/>
      <c r="AH53" s="48">
        <v>35.405000000000001</v>
      </c>
      <c r="AI53" s="48">
        <v>35.415999999999997</v>
      </c>
      <c r="AJ53" s="48">
        <v>38.204999999999998</v>
      </c>
      <c r="AK53" s="48">
        <v>41.81</v>
      </c>
      <c r="AL53" s="48">
        <v>52.304000000000002</v>
      </c>
      <c r="AM53" s="48">
        <v>53.585999999999999</v>
      </c>
      <c r="AN53" s="48">
        <v>52.85</v>
      </c>
      <c r="AO53" s="48">
        <v>50.892000000000003</v>
      </c>
      <c r="AP53" s="48">
        <v>52.826000000000001</v>
      </c>
      <c r="AQ53" s="48">
        <v>49.755000000000003</v>
      </c>
      <c r="AR53" s="48">
        <v>51.603000000000002</v>
      </c>
      <c r="AS53" s="48">
        <v>49.475000000000001</v>
      </c>
      <c r="AT53" s="48">
        <v>43.61</v>
      </c>
      <c r="AU53" s="48">
        <v>39.563000000000002</v>
      </c>
      <c r="AV53" s="48">
        <v>43.158000000000001</v>
      </c>
      <c r="AW53" s="48">
        <v>43.46</v>
      </c>
      <c r="AX53" s="48">
        <v>42.89</v>
      </c>
      <c r="AY53" s="48">
        <v>42.64</v>
      </c>
      <c r="AZ53" s="48">
        <v>44.4</v>
      </c>
      <c r="BR53" s="48">
        <f t="shared" si="179"/>
        <v>35.405000000000001</v>
      </c>
      <c r="BS53" s="48">
        <f t="shared" si="180"/>
        <v>52.304000000000002</v>
      </c>
      <c r="BT53" s="48">
        <f t="shared" si="181"/>
        <v>52.826000000000001</v>
      </c>
      <c r="BU53" s="48">
        <f t="shared" si="182"/>
        <v>43.61</v>
      </c>
      <c r="BV53" s="48">
        <f t="shared" ref="BV53:BV62" si="184">AX53</f>
        <v>42.89</v>
      </c>
    </row>
    <row r="54" spans="2:134" ht="15" customHeight="1">
      <c r="B54" s="1" t="s">
        <v>253</v>
      </c>
      <c r="AC54" s="48"/>
      <c r="AD54" s="48"/>
      <c r="AE54" s="48"/>
      <c r="AF54" s="48"/>
      <c r="AG54" s="48"/>
      <c r="AH54" s="48">
        <v>48.613999999999997</v>
      </c>
      <c r="AI54" s="48">
        <v>49.305</v>
      </c>
      <c r="AJ54" s="48">
        <v>48.183</v>
      </c>
      <c r="AK54" s="48">
        <v>48.039000000000001</v>
      </c>
      <c r="AL54" s="48">
        <v>51.39</v>
      </c>
      <c r="AM54" s="48">
        <v>57.609000000000002</v>
      </c>
      <c r="AN54" s="48">
        <v>63.177</v>
      </c>
      <c r="AO54" s="48">
        <v>63.531999999999996</v>
      </c>
      <c r="AP54" s="48">
        <v>55.32</v>
      </c>
      <c r="AQ54" s="48">
        <v>59.972000000000001</v>
      </c>
      <c r="AR54" s="48">
        <v>64.254000000000005</v>
      </c>
      <c r="AS54" s="48">
        <v>58.067999999999998</v>
      </c>
      <c r="AT54" s="48">
        <v>60.61</v>
      </c>
      <c r="AU54" s="48">
        <v>64.7</v>
      </c>
      <c r="AV54" s="48">
        <v>65.91</v>
      </c>
      <c r="AW54" s="48">
        <v>63.104999999999997</v>
      </c>
      <c r="AX54" s="48">
        <v>62.006</v>
      </c>
      <c r="AY54" s="48">
        <v>62.255000000000003</v>
      </c>
      <c r="AZ54" s="48">
        <v>65.56</v>
      </c>
      <c r="BR54" s="48">
        <f t="shared" si="179"/>
        <v>48.613999999999997</v>
      </c>
      <c r="BS54" s="48">
        <f t="shared" si="180"/>
        <v>51.39</v>
      </c>
      <c r="BT54" s="48">
        <f t="shared" si="181"/>
        <v>55.32</v>
      </c>
      <c r="BU54" s="48">
        <f t="shared" si="182"/>
        <v>60.61</v>
      </c>
      <c r="BV54" s="48">
        <f t="shared" si="184"/>
        <v>62.006</v>
      </c>
      <c r="BX54" s="72" t="s">
        <v>1349</v>
      </c>
      <c r="BY54" s="73"/>
      <c r="BZ54" s="73"/>
      <c r="CA54" s="72" t="s">
        <v>1350</v>
      </c>
      <c r="CB54" s="73"/>
      <c r="CC54" s="74" t="s">
        <v>1351</v>
      </c>
      <c r="CD54" s="73"/>
      <c r="CE54" s="63" t="s">
        <v>254</v>
      </c>
      <c r="CF54" s="64">
        <v>8.5000000000000006E-2</v>
      </c>
      <c r="CI54" s="36" t="s">
        <v>255</v>
      </c>
    </row>
    <row r="55" spans="2:134" ht="15" customHeight="1">
      <c r="B55" s="1" t="s">
        <v>256</v>
      </c>
      <c r="AC55" s="48"/>
      <c r="AD55" s="48"/>
      <c r="AE55" s="48"/>
      <c r="AF55" s="48"/>
      <c r="AG55" s="48"/>
      <c r="AH55" s="48">
        <v>8.6989999999999998</v>
      </c>
      <c r="AI55" s="48">
        <v>11.128</v>
      </c>
      <c r="AJ55" s="48">
        <v>11.506</v>
      </c>
      <c r="AK55" s="48">
        <v>13.946999999999999</v>
      </c>
      <c r="AL55" s="48">
        <v>10.82</v>
      </c>
      <c r="AM55" s="48">
        <v>15.612</v>
      </c>
      <c r="AN55" s="48">
        <v>12.94</v>
      </c>
      <c r="AO55" s="48">
        <v>8.0389999999999997</v>
      </c>
      <c r="AP55" s="48">
        <v>4.617</v>
      </c>
      <c r="AQ55" s="48">
        <v>8.1620000000000008</v>
      </c>
      <c r="AR55" s="48">
        <v>8.7149999999999999</v>
      </c>
      <c r="AS55" s="48">
        <v>10.913</v>
      </c>
      <c r="AT55" s="48">
        <v>0</v>
      </c>
      <c r="AU55" s="48">
        <v>0</v>
      </c>
      <c r="AV55" s="48">
        <v>0</v>
      </c>
      <c r="AW55" s="48">
        <v>5.5</v>
      </c>
      <c r="AX55" s="48">
        <v>0</v>
      </c>
      <c r="AY55" s="48">
        <v>0</v>
      </c>
      <c r="AZ55" s="48">
        <v>9.6999999999999993</v>
      </c>
      <c r="BR55" s="48">
        <f t="shared" si="179"/>
        <v>8.6989999999999998</v>
      </c>
      <c r="BS55" s="48">
        <f t="shared" si="180"/>
        <v>10.82</v>
      </c>
      <c r="BT55" s="48">
        <f t="shared" si="181"/>
        <v>4.617</v>
      </c>
      <c r="BU55" s="48">
        <f t="shared" si="182"/>
        <v>0</v>
      </c>
      <c r="BV55" s="48">
        <f t="shared" si="184"/>
        <v>0</v>
      </c>
      <c r="BX55" s="73">
        <v>2025</v>
      </c>
      <c r="BY55" s="73"/>
      <c r="BZ55" s="73">
        <v>2024</v>
      </c>
      <c r="CA55" s="73">
        <v>2025</v>
      </c>
      <c r="CB55" s="73"/>
      <c r="CC55" s="74" t="s">
        <v>1352</v>
      </c>
      <c r="CD55" s="73"/>
      <c r="CE55" s="63" t="s">
        <v>257</v>
      </c>
      <c r="CF55" s="64">
        <v>1.2500000000000001E-2</v>
      </c>
    </row>
    <row r="56" spans="2:134" ht="15" customHeight="1">
      <c r="B56" s="1" t="s">
        <v>258</v>
      </c>
      <c r="AC56" s="48"/>
      <c r="AD56" s="48"/>
      <c r="AE56" s="48"/>
      <c r="AF56" s="48"/>
      <c r="AG56" s="48"/>
      <c r="AH56" s="48">
        <v>0</v>
      </c>
      <c r="AI56" s="48">
        <v>0</v>
      </c>
      <c r="AJ56" s="48">
        <v>0</v>
      </c>
      <c r="AK56" s="48">
        <v>0</v>
      </c>
      <c r="AL56" s="48">
        <v>0</v>
      </c>
      <c r="AM56" s="48">
        <v>0</v>
      </c>
      <c r="AN56" s="48">
        <v>0</v>
      </c>
      <c r="AO56" s="48">
        <v>0</v>
      </c>
      <c r="AP56" s="48">
        <v>6.15</v>
      </c>
      <c r="AQ56" s="48">
        <v>0</v>
      </c>
      <c r="AR56" s="48">
        <v>0</v>
      </c>
      <c r="AS56" s="48">
        <v>0</v>
      </c>
      <c r="AT56" s="48">
        <v>12.97</v>
      </c>
      <c r="AU56" s="48">
        <v>13.326000000000001</v>
      </c>
      <c r="AV56" s="48">
        <v>12.19</v>
      </c>
      <c r="AW56" s="48">
        <v>15.44</v>
      </c>
      <c r="AX56" s="48">
        <v>7.5350000000000001</v>
      </c>
      <c r="AY56" s="48">
        <v>12.996</v>
      </c>
      <c r="AZ56" s="48">
        <v>30.52</v>
      </c>
      <c r="BR56" s="48">
        <f t="shared" si="179"/>
        <v>0</v>
      </c>
      <c r="BS56" s="48">
        <f t="shared" si="180"/>
        <v>0</v>
      </c>
      <c r="BT56" s="48">
        <f t="shared" si="181"/>
        <v>6.15</v>
      </c>
      <c r="BU56" s="48">
        <f t="shared" si="182"/>
        <v>12.97</v>
      </c>
      <c r="BV56" s="48">
        <f t="shared" si="184"/>
        <v>7.5350000000000001</v>
      </c>
      <c r="BX56" s="75">
        <f>AVERAGE(BV36)*(1-BV49)</f>
        <v>-35.156879999999994</v>
      </c>
      <c r="BY56" s="73"/>
      <c r="BZ56" s="76">
        <f>SUM(BU52:BU54)-BU64+BU57+BU59+BU58</f>
        <v>255.571</v>
      </c>
      <c r="CA56" s="76">
        <f>SUM(BV52:BV54)-BV64+BV57+BV59+BV58</f>
        <v>228.91399999999999</v>
      </c>
      <c r="CC56" s="76">
        <f>AVERAGE(BZ56:CA56)</f>
        <v>242.24250000000001</v>
      </c>
      <c r="CD56" s="73"/>
      <c r="CE56" s="63" t="s">
        <v>259</v>
      </c>
      <c r="CF56" s="64">
        <v>4.1599999999999998E-2</v>
      </c>
    </row>
    <row r="57" spans="2:134" ht="15" customHeight="1">
      <c r="B57" s="1" t="s">
        <v>260</v>
      </c>
      <c r="AC57" s="48"/>
      <c r="AD57" s="48"/>
      <c r="AE57" s="48"/>
      <c r="AF57" s="48"/>
      <c r="AG57" s="48"/>
      <c r="AH57" s="48">
        <v>37.073</v>
      </c>
      <c r="AI57" s="48">
        <v>41.133000000000003</v>
      </c>
      <c r="AJ57" s="48">
        <v>43.09</v>
      </c>
      <c r="AK57" s="48">
        <v>43.594000000000001</v>
      </c>
      <c r="AL57" s="48">
        <v>45.005000000000003</v>
      </c>
      <c r="AM57" s="48">
        <v>46.189</v>
      </c>
      <c r="AN57" s="48">
        <v>45.957000000000001</v>
      </c>
      <c r="AO57" s="48">
        <v>45.558999999999997</v>
      </c>
      <c r="AP57" s="48">
        <v>44.384</v>
      </c>
      <c r="AQ57" s="48">
        <v>43.356000000000002</v>
      </c>
      <c r="AR57" s="48">
        <v>42.557000000000002</v>
      </c>
      <c r="AS57" s="48">
        <v>37.04</v>
      </c>
      <c r="AT57" s="48">
        <v>35.665999999999997</v>
      </c>
      <c r="AU57" s="48">
        <v>34.377000000000002</v>
      </c>
      <c r="AV57" s="48">
        <v>32.976999999999997</v>
      </c>
      <c r="AW57" s="48">
        <v>32.53</v>
      </c>
      <c r="AX57" s="48">
        <v>32.299999999999997</v>
      </c>
      <c r="AY57" s="48">
        <v>31.065999999999999</v>
      </c>
      <c r="AZ57" s="48">
        <v>66.731999999999999</v>
      </c>
      <c r="BR57" s="48">
        <f t="shared" si="179"/>
        <v>37.073</v>
      </c>
      <c r="BS57" s="48">
        <f t="shared" si="180"/>
        <v>45.005000000000003</v>
      </c>
      <c r="BT57" s="48">
        <f t="shared" si="181"/>
        <v>44.384</v>
      </c>
      <c r="BU57" s="48">
        <f t="shared" si="182"/>
        <v>35.665999999999997</v>
      </c>
      <c r="BV57" s="48">
        <f t="shared" si="184"/>
        <v>32.299999999999997</v>
      </c>
      <c r="BX57" s="77">
        <f>BX56/CC56</f>
        <v>-0.14513093284621811</v>
      </c>
      <c r="BY57" s="73"/>
      <c r="BZ57" s="73"/>
      <c r="CA57" s="73"/>
      <c r="CB57" s="73"/>
      <c r="CC57" s="73"/>
      <c r="CD57" s="73"/>
      <c r="CE57" s="63" t="s">
        <v>261</v>
      </c>
      <c r="CF57" s="64">
        <f>7.5%-CF56</f>
        <v>3.3399999999999999E-2</v>
      </c>
    </row>
    <row r="58" spans="2:134" ht="15" customHeight="1">
      <c r="B58" s="1" t="s">
        <v>262</v>
      </c>
      <c r="AC58" s="48"/>
      <c r="AD58" s="48"/>
      <c r="AE58" s="48"/>
      <c r="AF58" s="48"/>
      <c r="AG58" s="48"/>
      <c r="AH58" s="48">
        <v>168.977</v>
      </c>
      <c r="AI58" s="48">
        <v>168.893</v>
      </c>
      <c r="AJ58" s="48">
        <v>165</v>
      </c>
      <c r="AK58" s="48">
        <v>159.10499999999999</v>
      </c>
      <c r="AL58" s="48">
        <v>152.38</v>
      </c>
      <c r="AM58" s="48">
        <v>147.976</v>
      </c>
      <c r="AN58" s="48">
        <v>141.94300000000001</v>
      </c>
      <c r="AO58" s="48">
        <v>134.011</v>
      </c>
      <c r="AP58" s="48">
        <v>111.14400000000001</v>
      </c>
      <c r="AQ58" s="48">
        <v>106.67100000000001</v>
      </c>
      <c r="AR58" s="48">
        <v>103.89100000000001</v>
      </c>
      <c r="AS58" s="48">
        <v>81.569999999999993</v>
      </c>
      <c r="AT58" s="48">
        <v>77.38</v>
      </c>
      <c r="AU58" s="48">
        <v>75.774000000000001</v>
      </c>
      <c r="AV58" s="48">
        <v>73.11</v>
      </c>
      <c r="AW58" s="48">
        <v>70.930000000000007</v>
      </c>
      <c r="AX58" s="48">
        <v>69.116</v>
      </c>
      <c r="AY58" s="48">
        <v>68.38</v>
      </c>
      <c r="AZ58" s="48">
        <v>11</v>
      </c>
      <c r="BR58" s="48">
        <f t="shared" si="179"/>
        <v>168.977</v>
      </c>
      <c r="BS58" s="48">
        <f t="shared" si="180"/>
        <v>152.38</v>
      </c>
      <c r="BT58" s="48">
        <f t="shared" si="181"/>
        <v>111.14400000000001</v>
      </c>
      <c r="BU58" s="48">
        <f t="shared" si="182"/>
        <v>77.38</v>
      </c>
      <c r="BV58" s="48">
        <f t="shared" si="184"/>
        <v>69.116</v>
      </c>
      <c r="CE58" s="63" t="s">
        <v>263</v>
      </c>
      <c r="CF58" s="36">
        <f>'Notes | Quant Analysis'!K211</f>
        <v>0.62</v>
      </c>
    </row>
    <row r="59" spans="2:134" ht="15" customHeight="1">
      <c r="B59" s="1" t="s">
        <v>264</v>
      </c>
      <c r="AC59" s="48"/>
      <c r="AD59" s="48"/>
      <c r="AE59" s="48"/>
      <c r="AF59" s="48"/>
      <c r="AG59" s="48"/>
      <c r="AH59" s="48">
        <v>201.316</v>
      </c>
      <c r="AI59" s="48">
        <v>201.49100000000001</v>
      </c>
      <c r="AJ59" s="48">
        <v>201.70599999999999</v>
      </c>
      <c r="AK59" s="48">
        <v>201.48400000000001</v>
      </c>
      <c r="AL59" s="48">
        <v>201.05799999999999</v>
      </c>
      <c r="AM59" s="48">
        <v>201.03800000000001</v>
      </c>
      <c r="AN59" s="48">
        <v>200.755</v>
      </c>
      <c r="AO59" s="48">
        <v>199.976</v>
      </c>
      <c r="AP59" s="48">
        <v>159.238</v>
      </c>
      <c r="AQ59" s="48">
        <v>159.017</v>
      </c>
      <c r="AR59" s="48">
        <v>159.226</v>
      </c>
      <c r="AS59" s="48">
        <v>0</v>
      </c>
      <c r="AT59" s="48">
        <v>0</v>
      </c>
      <c r="AU59" s="48">
        <v>0</v>
      </c>
      <c r="AV59" s="48">
        <v>0</v>
      </c>
      <c r="AW59" s="48">
        <v>0</v>
      </c>
      <c r="AX59" s="48">
        <v>0</v>
      </c>
      <c r="AY59" s="48">
        <v>0</v>
      </c>
      <c r="AZ59" s="48">
        <v>29.85</v>
      </c>
      <c r="BR59" s="48">
        <f t="shared" si="179"/>
        <v>201.316</v>
      </c>
      <c r="BS59" s="48">
        <f t="shared" si="180"/>
        <v>201.05799999999999</v>
      </c>
      <c r="BT59" s="48">
        <f t="shared" si="181"/>
        <v>159.238</v>
      </c>
      <c r="BU59" s="48">
        <f t="shared" si="182"/>
        <v>0</v>
      </c>
      <c r="BV59" s="48">
        <f t="shared" si="184"/>
        <v>0</v>
      </c>
      <c r="CE59" s="63" t="s">
        <v>265</v>
      </c>
      <c r="CF59" s="64">
        <f>+CF56+(CF57*CF58)</f>
        <v>6.2308000000000002E-2</v>
      </c>
    </row>
    <row r="60" spans="2:134" ht="15" customHeight="1">
      <c r="B60" s="1" t="s">
        <v>266</v>
      </c>
      <c r="AC60" s="48"/>
      <c r="AD60" s="48"/>
      <c r="AE60" s="48"/>
      <c r="AF60" s="48"/>
      <c r="AG60" s="48"/>
      <c r="AH60" s="48">
        <v>13.193</v>
      </c>
      <c r="AI60" s="48">
        <v>12.925000000000001</v>
      </c>
      <c r="AJ60" s="48">
        <v>12.119</v>
      </c>
      <c r="AK60" s="48">
        <v>11.308999999999999</v>
      </c>
      <c r="AL60" s="48">
        <v>10.962999999999999</v>
      </c>
      <c r="AM60" s="48">
        <v>11.077999999999999</v>
      </c>
      <c r="AN60" s="48">
        <v>10.722</v>
      </c>
      <c r="AO60" s="48">
        <v>10.728999999999999</v>
      </c>
      <c r="AP60" s="48">
        <v>10.676</v>
      </c>
      <c r="AQ60" s="48">
        <v>9.43</v>
      </c>
      <c r="AR60" s="48">
        <v>8.4809999999999999</v>
      </c>
      <c r="AS60" s="48">
        <v>9.3249999999999993</v>
      </c>
      <c r="AT60" s="48">
        <v>11.36</v>
      </c>
      <c r="AU60" s="48">
        <v>10.88</v>
      </c>
      <c r="AV60" s="48">
        <v>10.103</v>
      </c>
      <c r="AW60" s="48">
        <v>9.6809999999999992</v>
      </c>
      <c r="AX60" s="48">
        <v>10.404</v>
      </c>
      <c r="AY60" s="48">
        <v>9.5399999999999991</v>
      </c>
      <c r="AZ60" s="48">
        <v>6.72</v>
      </c>
      <c r="BR60" s="48">
        <f t="shared" si="179"/>
        <v>13.193</v>
      </c>
      <c r="BS60" s="48">
        <f t="shared" si="180"/>
        <v>10.962999999999999</v>
      </c>
      <c r="BT60" s="48">
        <f t="shared" si="181"/>
        <v>10.676</v>
      </c>
      <c r="BU60" s="48">
        <f t="shared" si="182"/>
        <v>11.36</v>
      </c>
      <c r="BV60" s="48">
        <f t="shared" si="184"/>
        <v>10.404</v>
      </c>
      <c r="CE60" s="63"/>
    </row>
    <row r="61" spans="2:134" ht="15" customHeight="1">
      <c r="B61" s="1" t="s">
        <v>267</v>
      </c>
      <c r="AC61" s="48"/>
      <c r="AD61" s="48"/>
      <c r="AE61" s="48"/>
      <c r="AF61" s="48"/>
      <c r="AG61" s="48"/>
      <c r="AH61" s="48">
        <v>0</v>
      </c>
      <c r="AI61" s="48">
        <v>0</v>
      </c>
      <c r="AJ61" s="48">
        <v>0</v>
      </c>
      <c r="AK61" s="48">
        <v>0</v>
      </c>
      <c r="AL61" s="48">
        <v>0</v>
      </c>
      <c r="AM61" s="48">
        <v>0</v>
      </c>
      <c r="AN61" s="48">
        <v>0</v>
      </c>
      <c r="AO61" s="48">
        <v>0</v>
      </c>
      <c r="AP61" s="48">
        <v>43.652999999999999</v>
      </c>
      <c r="AQ61" s="48">
        <v>0</v>
      </c>
      <c r="AR61" s="48">
        <v>0</v>
      </c>
      <c r="AS61" s="48">
        <v>0</v>
      </c>
      <c r="AT61" s="48">
        <v>0</v>
      </c>
      <c r="AU61" s="48">
        <v>0</v>
      </c>
      <c r="AV61" s="48">
        <v>0</v>
      </c>
      <c r="AW61" s="48">
        <v>0</v>
      </c>
      <c r="AX61" s="48">
        <v>0</v>
      </c>
      <c r="AY61" s="48">
        <v>0</v>
      </c>
      <c r="AZ61" s="48">
        <v>4.33</v>
      </c>
      <c r="BR61" s="48">
        <f t="shared" si="179"/>
        <v>0</v>
      </c>
      <c r="BS61" s="48">
        <f t="shared" si="180"/>
        <v>0</v>
      </c>
      <c r="BT61" s="48">
        <f t="shared" si="181"/>
        <v>43.652999999999999</v>
      </c>
      <c r="BU61" s="48">
        <f t="shared" si="182"/>
        <v>0</v>
      </c>
      <c r="BV61" s="48">
        <f t="shared" si="184"/>
        <v>0</v>
      </c>
      <c r="CE61" s="63" t="s">
        <v>268</v>
      </c>
      <c r="CF61" s="61">
        <f>NPV(CF59,BV41:DS41)</f>
        <v>370.74937138848304</v>
      </c>
    </row>
    <row r="62" spans="2:134" s="2" customFormat="1" ht="15" customHeight="1">
      <c r="B62" s="2" t="s">
        <v>269</v>
      </c>
      <c r="AC62" s="50"/>
      <c r="AD62" s="50"/>
      <c r="AE62" s="50"/>
      <c r="AF62" s="50"/>
      <c r="AG62" s="50"/>
      <c r="AH62" s="50">
        <f>SUM(AH52:AH61)</f>
        <v>561.43799999999999</v>
      </c>
      <c r="AI62" s="50">
        <f>SUM(AI52:AI60)</f>
        <v>555.76300000000003</v>
      </c>
      <c r="AJ62" s="50">
        <f t="shared" ref="AJ62:AS62" si="185">SUM(AJ52:AJ61)</f>
        <v>554.1</v>
      </c>
      <c r="AK62" s="50">
        <f t="shared" si="185"/>
        <v>543.178</v>
      </c>
      <c r="AL62" s="50">
        <f t="shared" si="185"/>
        <v>552.74499999999989</v>
      </c>
      <c r="AM62" s="50">
        <f t="shared" si="185"/>
        <v>557.65200000000004</v>
      </c>
      <c r="AN62" s="50">
        <f t="shared" si="185"/>
        <v>558.20100000000002</v>
      </c>
      <c r="AO62" s="50">
        <f t="shared" si="185"/>
        <v>542.84900000000005</v>
      </c>
      <c r="AP62" s="50">
        <f t="shared" si="185"/>
        <v>532.62799999999993</v>
      </c>
      <c r="AQ62" s="50">
        <f t="shared" si="185"/>
        <v>493.94900000000001</v>
      </c>
      <c r="AR62" s="50">
        <f t="shared" si="185"/>
        <v>499.62299999999999</v>
      </c>
      <c r="AS62" s="50">
        <f t="shared" si="185"/>
        <v>324.84199999999993</v>
      </c>
      <c r="AT62" s="50">
        <f>SUM(AT52:AT60)</f>
        <v>317.65200000000004</v>
      </c>
      <c r="AU62" s="50">
        <f>SUM(AU52:AU60)</f>
        <v>293.625</v>
      </c>
      <c r="AV62" s="50">
        <f>SUM(AV52:AV60)</f>
        <v>291.53699999999998</v>
      </c>
      <c r="AW62" s="50">
        <f>SUM(AW52:AW61)</f>
        <v>285.40600000000001</v>
      </c>
      <c r="AX62" s="50">
        <f>SUM(AX52:AX60)</f>
        <v>280.14399999999995</v>
      </c>
      <c r="AY62" s="50">
        <f>SUM(AY52:AY61)</f>
        <v>265.63900000000007</v>
      </c>
      <c r="AZ62" s="50">
        <f>SUM(AZ52:AZ61)</f>
        <v>310.45200000000006</v>
      </c>
      <c r="BA62" s="35"/>
      <c r="BB62" s="35"/>
      <c r="BC62" s="35"/>
      <c r="BD62" s="35"/>
      <c r="BE62" s="35"/>
      <c r="BF62" s="35"/>
      <c r="BR62" s="50">
        <f t="shared" si="179"/>
        <v>561.43799999999999</v>
      </c>
      <c r="BS62" s="50">
        <f t="shared" si="180"/>
        <v>552.74499999999989</v>
      </c>
      <c r="BT62" s="50">
        <f t="shared" si="181"/>
        <v>532.62799999999993</v>
      </c>
      <c r="BU62" s="50">
        <f t="shared" si="182"/>
        <v>317.65200000000004</v>
      </c>
      <c r="BV62" s="50">
        <f t="shared" si="184"/>
        <v>280.14399999999995</v>
      </c>
      <c r="CC62" s="35"/>
      <c r="CD62" s="35"/>
      <c r="CE62" s="63" t="s">
        <v>4</v>
      </c>
      <c r="CF62" s="61">
        <f>Main!C6</f>
        <v>41.19</v>
      </c>
      <c r="CG62" s="65" t="s">
        <v>1357</v>
      </c>
      <c r="CI62" s="35"/>
      <c r="CJ62" s="35"/>
      <c r="CK62" s="35"/>
      <c r="CL62" s="35"/>
      <c r="CM62" s="35"/>
      <c r="CN62" s="35"/>
      <c r="CO62" s="35"/>
      <c r="CP62" s="35"/>
      <c r="CQ62" s="35"/>
      <c r="CR62" s="35"/>
      <c r="CS62" s="35"/>
      <c r="CT62" s="35"/>
      <c r="CU62" s="35"/>
      <c r="CV62" s="35"/>
      <c r="CW62" s="35"/>
      <c r="CX62" s="35"/>
      <c r="CY62" s="35"/>
      <c r="CZ62" s="35"/>
      <c r="DA62" s="35"/>
      <c r="DB62" s="35"/>
      <c r="DC62" s="35"/>
      <c r="DD62" s="35"/>
      <c r="DE62" s="35"/>
      <c r="DF62" s="35"/>
      <c r="DG62" s="35"/>
      <c r="DH62" s="35"/>
      <c r="DI62" s="35"/>
      <c r="DJ62" s="35"/>
      <c r="DK62" s="35"/>
      <c r="DL62" s="35"/>
      <c r="DM62" s="35"/>
      <c r="DN62" s="35"/>
      <c r="DO62" s="35"/>
      <c r="DP62" s="35"/>
      <c r="DQ62" s="35"/>
      <c r="DR62" s="35"/>
      <c r="DS62" s="35"/>
      <c r="DT62" s="35"/>
      <c r="DU62" s="35"/>
      <c r="DV62" s="35"/>
      <c r="DW62" s="35"/>
      <c r="DX62" s="35"/>
      <c r="DY62" s="35"/>
      <c r="DZ62" s="35"/>
      <c r="EA62" s="35"/>
      <c r="EB62" s="35"/>
      <c r="EC62" s="35"/>
      <c r="ED62" s="35"/>
    </row>
    <row r="63" spans="2:134" ht="15" customHeight="1">
      <c r="CE63" s="63" t="s">
        <v>270</v>
      </c>
      <c r="CF63" s="60">
        <f>CF61/CF62</f>
        <v>9.0009558482273135</v>
      </c>
      <c r="CG63" s="66"/>
    </row>
    <row r="64" spans="2:134" ht="15" customHeight="1">
      <c r="B64" s="1" t="s">
        <v>271</v>
      </c>
      <c r="AE64" s="48"/>
      <c r="AF64" s="48"/>
      <c r="AG64" s="48"/>
      <c r="AH64" s="48">
        <v>19.63</v>
      </c>
      <c r="AI64" s="48">
        <v>22.687000000000001</v>
      </c>
      <c r="AJ64" s="48">
        <v>24.190999999999999</v>
      </c>
      <c r="AK64" s="48">
        <v>21.57</v>
      </c>
      <c r="AL64" s="48">
        <v>28.047000000000001</v>
      </c>
      <c r="AM64" s="48">
        <v>29.257999999999999</v>
      </c>
      <c r="AN64" s="48">
        <v>34.688000000000002</v>
      </c>
      <c r="AO64" s="48">
        <v>35.6</v>
      </c>
      <c r="AP64" s="48">
        <v>40.445</v>
      </c>
      <c r="AQ64" s="48">
        <v>24.806999999999999</v>
      </c>
      <c r="AR64" s="48">
        <v>37.65</v>
      </c>
      <c r="AS64" s="48">
        <v>35.152000000000001</v>
      </c>
      <c r="AT64" s="48">
        <v>37.750999999999998</v>
      </c>
      <c r="AU64" s="48">
        <v>31.27</v>
      </c>
      <c r="AV64" s="48">
        <v>34.746000000000002</v>
      </c>
      <c r="AW64" s="48">
        <v>30.265000000000001</v>
      </c>
      <c r="AX64" s="48">
        <v>33.290999999999997</v>
      </c>
      <c r="AY64" s="48">
        <v>31.882000000000001</v>
      </c>
      <c r="AZ64" s="48">
        <v>35.39</v>
      </c>
      <c r="BR64" s="48">
        <f t="shared" ref="BR64:BR74" si="186">SUM(AH64)</f>
        <v>19.63</v>
      </c>
      <c r="BS64" s="48">
        <f t="shared" ref="BS64:BS74" si="187">AL64</f>
        <v>28.047000000000001</v>
      </c>
      <c r="BT64" s="48">
        <f t="shared" ref="BT64:BT74" si="188">AP64</f>
        <v>40.445</v>
      </c>
      <c r="BU64" s="48">
        <f t="shared" ref="BU64:BU74" si="189">AT64</f>
        <v>37.750999999999998</v>
      </c>
      <c r="BV64" s="48">
        <f t="shared" ref="BV64:BV74" si="190">AX64</f>
        <v>33.290999999999997</v>
      </c>
      <c r="CE64" s="63" t="s">
        <v>272</v>
      </c>
      <c r="CF64" s="60">
        <f>Main!C5</f>
        <v>9.99</v>
      </c>
      <c r="CG64" s="67"/>
    </row>
    <row r="65" spans="2:134" ht="15" customHeight="1">
      <c r="B65" s="1" t="s">
        <v>273</v>
      </c>
      <c r="AE65" s="48"/>
      <c r="AF65" s="48"/>
      <c r="AG65" s="48"/>
      <c r="AH65" s="48">
        <v>35.459000000000003</v>
      </c>
      <c r="AI65" s="48">
        <v>26.891999999999999</v>
      </c>
      <c r="AJ65" s="48">
        <v>27.715</v>
      </c>
      <c r="AK65" s="48">
        <v>25.196000000000002</v>
      </c>
      <c r="AL65" s="48">
        <v>34.840000000000003</v>
      </c>
      <c r="AM65" s="48">
        <v>25.558</v>
      </c>
      <c r="AN65" s="48">
        <v>26.533000000000001</v>
      </c>
      <c r="AO65" s="48">
        <v>21.774999999999999</v>
      </c>
      <c r="AP65" s="48">
        <v>26.617000000000001</v>
      </c>
      <c r="AQ65" s="48">
        <v>26.079000000000001</v>
      </c>
      <c r="AR65" s="48">
        <v>29.236999999999998</v>
      </c>
      <c r="AS65" s="48">
        <v>30.963000000000001</v>
      </c>
      <c r="AT65" s="48">
        <v>41.097999999999999</v>
      </c>
      <c r="AU65" s="48">
        <v>34.107999999999997</v>
      </c>
      <c r="AV65" s="48">
        <v>39.918999999999997</v>
      </c>
      <c r="AW65" s="48">
        <v>36.948999999999998</v>
      </c>
      <c r="AX65" s="48">
        <v>35.518000000000001</v>
      </c>
      <c r="AY65" s="48">
        <v>27.657</v>
      </c>
      <c r="AZ65" s="48">
        <v>29.85</v>
      </c>
      <c r="BR65" s="48">
        <f t="shared" si="186"/>
        <v>35.459000000000003</v>
      </c>
      <c r="BS65" s="48">
        <f t="shared" si="187"/>
        <v>34.840000000000003</v>
      </c>
      <c r="BT65" s="48">
        <f t="shared" si="188"/>
        <v>26.617000000000001</v>
      </c>
      <c r="BU65" s="48">
        <f t="shared" si="189"/>
        <v>41.097999999999999</v>
      </c>
      <c r="BV65" s="48">
        <f t="shared" si="190"/>
        <v>35.518000000000001</v>
      </c>
      <c r="CE65" s="63" t="s">
        <v>274</v>
      </c>
      <c r="CF65" s="64">
        <f>CF63/CF64-1</f>
        <v>-9.9003418595864479E-2</v>
      </c>
      <c r="CG65" s="66" t="str">
        <f>IF(CF65&gt;0,"Upside","Downside")</f>
        <v>Downside</v>
      </c>
    </row>
    <row r="66" spans="2:134" ht="15" customHeight="1">
      <c r="B66" s="1" t="s">
        <v>275</v>
      </c>
      <c r="AE66" s="48"/>
      <c r="AF66" s="48"/>
      <c r="AG66" s="48"/>
      <c r="AH66" s="48">
        <v>0</v>
      </c>
      <c r="AI66" s="1">
        <v>0</v>
      </c>
      <c r="AJ66" s="1">
        <v>0</v>
      </c>
      <c r="AK66" s="1">
        <v>0</v>
      </c>
      <c r="AL66" s="48">
        <v>8.7829999999999995</v>
      </c>
      <c r="AM66" s="48">
        <v>8.8919999999999995</v>
      </c>
      <c r="AN66" s="48">
        <v>9.76</v>
      </c>
      <c r="AO66" s="48">
        <v>9.8770000000000007</v>
      </c>
      <c r="AP66" s="48">
        <v>14.760999999999999</v>
      </c>
      <c r="AQ66" s="48">
        <v>4.7290000000000001</v>
      </c>
      <c r="AR66" s="48">
        <v>9.3870000000000005</v>
      </c>
      <c r="AS66" s="48">
        <v>9.5</v>
      </c>
      <c r="AT66" s="48">
        <v>4.7279999999999998</v>
      </c>
      <c r="AU66" s="48">
        <v>4.8</v>
      </c>
      <c r="AV66" s="48">
        <v>4.96</v>
      </c>
      <c r="AW66" s="48">
        <v>5</v>
      </c>
      <c r="AX66" s="48">
        <v>0</v>
      </c>
      <c r="AY66" s="48">
        <v>0</v>
      </c>
      <c r="AZ66" s="48">
        <v>0</v>
      </c>
      <c r="BR66" s="48">
        <f t="shared" si="186"/>
        <v>0</v>
      </c>
      <c r="BS66" s="48">
        <f t="shared" si="187"/>
        <v>8.7829999999999995</v>
      </c>
      <c r="BT66" s="48">
        <f t="shared" si="188"/>
        <v>14.760999999999999</v>
      </c>
      <c r="BU66" s="48">
        <f t="shared" si="189"/>
        <v>4.7279999999999998</v>
      </c>
      <c r="BV66" s="48">
        <f t="shared" si="190"/>
        <v>0</v>
      </c>
      <c r="CE66" s="83" t="str" cm="1">
        <f t="array" ref="CE66">_xlfn.IFS(CF65&gt;=25%,"Strong Buy",CF65&gt;=10.00001%,"Buy",AND(CF65&lt;=10%,CF65&gt;=-4.9999%),"Hold",AND(CF65&lt;=-5%,CF65&gt;=-14.999999%),"Sell",CF65&lt;=-15%,"Strong Sell")</f>
        <v>Sell</v>
      </c>
      <c r="CF66" s="83"/>
    </row>
    <row r="67" spans="2:134" ht="15" customHeight="1">
      <c r="B67" s="1" t="s">
        <v>276</v>
      </c>
      <c r="AE67" s="48"/>
      <c r="AF67" s="48"/>
      <c r="AG67" s="48"/>
      <c r="AH67" s="48">
        <v>2.4950000000000001</v>
      </c>
      <c r="AI67" s="48">
        <v>2.5179999999999998</v>
      </c>
      <c r="AJ67" s="48">
        <v>2.569</v>
      </c>
      <c r="AK67" s="48">
        <v>2.6019999999999999</v>
      </c>
      <c r="AL67" s="48">
        <v>2.6520000000000001</v>
      </c>
      <c r="AM67" s="48">
        <v>2.6819999999999999</v>
      </c>
      <c r="AN67" s="48">
        <v>2.5859999999999999</v>
      </c>
      <c r="AO67" s="48">
        <v>2.38</v>
      </c>
      <c r="AP67" s="48">
        <v>2.0019999999999998</v>
      </c>
      <c r="AQ67" s="48">
        <v>1.837</v>
      </c>
      <c r="AR67" s="48">
        <v>1.7629999999999999</v>
      </c>
      <c r="AS67" s="48">
        <v>10.259</v>
      </c>
      <c r="AT67" s="48">
        <v>7.5780000000000003</v>
      </c>
      <c r="AU67" s="48">
        <v>6.5149999999999997</v>
      </c>
      <c r="AV67" s="48">
        <v>8.9700000000000006</v>
      </c>
      <c r="AW67" s="48">
        <v>5.7569999999999997</v>
      </c>
      <c r="AX67" s="48">
        <v>7.38</v>
      </c>
      <c r="AY67" s="48">
        <v>8.7430000000000003</v>
      </c>
      <c r="AZ67" s="48">
        <v>6.72</v>
      </c>
      <c r="BR67" s="48">
        <f t="shared" si="186"/>
        <v>2.4950000000000001</v>
      </c>
      <c r="BS67" s="48">
        <f t="shared" si="187"/>
        <v>2.6520000000000001</v>
      </c>
      <c r="BT67" s="48">
        <f t="shared" si="188"/>
        <v>2.0019999999999998</v>
      </c>
      <c r="BU67" s="48">
        <f t="shared" si="189"/>
        <v>7.5780000000000003</v>
      </c>
      <c r="BV67" s="48">
        <f t="shared" si="190"/>
        <v>7.38</v>
      </c>
    </row>
    <row r="68" spans="2:134" ht="15" customHeight="1">
      <c r="B68" s="1" t="s">
        <v>277</v>
      </c>
      <c r="AE68" s="48"/>
      <c r="AF68" s="48"/>
      <c r="AG68" s="48"/>
      <c r="AH68" s="48">
        <v>20</v>
      </c>
      <c r="AI68" s="48">
        <v>25</v>
      </c>
      <c r="AJ68" s="48">
        <v>25</v>
      </c>
      <c r="AK68" s="48">
        <v>25</v>
      </c>
      <c r="AL68" s="48">
        <v>25</v>
      </c>
      <c r="AM68" s="48">
        <v>49.798000000000002</v>
      </c>
      <c r="AN68" s="48">
        <v>49.795999999999999</v>
      </c>
      <c r="AO68" s="48">
        <v>49.807000000000002</v>
      </c>
      <c r="AP68" s="48">
        <v>49.817999999999998</v>
      </c>
      <c r="AQ68" s="48">
        <v>0</v>
      </c>
      <c r="AR68" s="48">
        <v>0</v>
      </c>
      <c r="AS68" s="48">
        <v>0</v>
      </c>
      <c r="AT68" s="48">
        <v>0</v>
      </c>
      <c r="AU68" s="48">
        <v>0</v>
      </c>
      <c r="AV68" s="48">
        <v>0</v>
      </c>
      <c r="AW68" s="48">
        <v>0</v>
      </c>
      <c r="AX68" s="48">
        <v>0</v>
      </c>
      <c r="AY68" s="48">
        <v>0</v>
      </c>
      <c r="AZ68" s="48">
        <v>0</v>
      </c>
      <c r="BR68" s="48">
        <f t="shared" si="186"/>
        <v>20</v>
      </c>
      <c r="BS68" s="48">
        <f t="shared" si="187"/>
        <v>25</v>
      </c>
      <c r="BT68" s="48">
        <f t="shared" si="188"/>
        <v>49.817999999999998</v>
      </c>
      <c r="BU68" s="48">
        <f t="shared" si="189"/>
        <v>0</v>
      </c>
      <c r="BV68" s="48">
        <f t="shared" si="190"/>
        <v>0</v>
      </c>
    </row>
    <row r="69" spans="2:134" ht="15" customHeight="1">
      <c r="B69" s="1" t="s">
        <v>278</v>
      </c>
      <c r="AE69" s="48"/>
      <c r="AF69" s="48"/>
      <c r="AG69" s="48"/>
      <c r="AH69" s="48">
        <v>19.954999999999998</v>
      </c>
      <c r="AI69" s="48">
        <v>18.396999999999998</v>
      </c>
      <c r="AJ69" s="48">
        <v>17.994</v>
      </c>
      <c r="AK69" s="48">
        <v>16.960999999999999</v>
      </c>
      <c r="AL69" s="48">
        <v>16.036999999999999</v>
      </c>
      <c r="AM69" s="48">
        <v>15.115</v>
      </c>
      <c r="AN69" s="48">
        <v>14.29</v>
      </c>
      <c r="AO69" s="48">
        <v>13.49</v>
      </c>
      <c r="AP69" s="1">
        <v>12.813000000000001</v>
      </c>
      <c r="AQ69" s="48">
        <v>1.2789999999999999</v>
      </c>
      <c r="AR69" s="48">
        <v>17.757999999999999</v>
      </c>
      <c r="AS69" s="48">
        <v>5.9169999999999998</v>
      </c>
      <c r="AT69" s="48">
        <v>4.8520000000000003</v>
      </c>
      <c r="AU69" s="48">
        <v>4.6260000000000003</v>
      </c>
      <c r="AV69" s="48">
        <v>4.3339999999999996</v>
      </c>
      <c r="AW69" s="48">
        <v>4.2030000000000003</v>
      </c>
      <c r="AX69" s="48">
        <v>4.0730000000000004</v>
      </c>
      <c r="AY69" s="48">
        <v>4.2679999999999998</v>
      </c>
      <c r="AZ69" s="48">
        <v>4.33</v>
      </c>
      <c r="BR69" s="48">
        <f t="shared" si="186"/>
        <v>19.954999999999998</v>
      </c>
      <c r="BS69" s="48">
        <f t="shared" si="187"/>
        <v>16.036999999999999</v>
      </c>
      <c r="BT69" s="48">
        <f t="shared" si="188"/>
        <v>12.813000000000001</v>
      </c>
      <c r="BU69" s="48">
        <f t="shared" si="189"/>
        <v>4.8520000000000003</v>
      </c>
      <c r="BV69" s="48">
        <f t="shared" si="190"/>
        <v>4.0730000000000004</v>
      </c>
    </row>
    <row r="70" spans="2:134" ht="15" customHeight="1">
      <c r="B70" s="1" t="s">
        <v>279</v>
      </c>
      <c r="AE70" s="48"/>
      <c r="AF70" s="48"/>
      <c r="AG70" s="48"/>
      <c r="AH70" s="48">
        <v>15.741</v>
      </c>
      <c r="AI70" s="48">
        <v>15.936</v>
      </c>
      <c r="AJ70" s="48">
        <v>16.54</v>
      </c>
      <c r="AK70" s="48">
        <v>16.741</v>
      </c>
      <c r="AL70" s="48">
        <v>8.1649999999999991</v>
      </c>
      <c r="AM70" s="48">
        <v>8.266</v>
      </c>
      <c r="AN70" s="48">
        <v>9.0719999999999992</v>
      </c>
      <c r="AO70" s="48">
        <v>9.1820000000000004</v>
      </c>
      <c r="AP70" s="48">
        <v>4.5350000000000001</v>
      </c>
      <c r="AQ70" s="48">
        <v>4.4379999999999997</v>
      </c>
      <c r="AR70" s="48">
        <v>0</v>
      </c>
      <c r="AS70" s="48">
        <v>0</v>
      </c>
      <c r="AT70" s="48">
        <v>0</v>
      </c>
      <c r="AU70" s="48">
        <v>0</v>
      </c>
      <c r="AV70" s="48">
        <v>0</v>
      </c>
      <c r="AW70" s="48">
        <v>0</v>
      </c>
      <c r="AX70" s="48">
        <v>0</v>
      </c>
      <c r="AY70" s="48">
        <v>0</v>
      </c>
      <c r="AZ70" s="48">
        <v>0</v>
      </c>
      <c r="BR70" s="48">
        <f t="shared" si="186"/>
        <v>15.741</v>
      </c>
      <c r="BS70" s="48">
        <f t="shared" si="187"/>
        <v>8.1649999999999991</v>
      </c>
      <c r="BT70" s="48">
        <f t="shared" si="188"/>
        <v>4.5350000000000001</v>
      </c>
      <c r="BU70" s="48">
        <f t="shared" si="189"/>
        <v>0</v>
      </c>
      <c r="BV70" s="48">
        <f t="shared" si="190"/>
        <v>0</v>
      </c>
    </row>
    <row r="71" spans="2:134" ht="15" customHeight="1">
      <c r="B71" s="1" t="s">
        <v>280</v>
      </c>
      <c r="AE71" s="48"/>
      <c r="AF71" s="48"/>
      <c r="AG71" s="48"/>
      <c r="AH71" s="48">
        <v>8.7010000000000005</v>
      </c>
      <c r="AI71" s="48">
        <v>8.3829999999999991</v>
      </c>
      <c r="AJ71" s="48">
        <v>7.726</v>
      </c>
      <c r="AK71" s="48">
        <v>5.4160000000000004</v>
      </c>
      <c r="AL71" s="48">
        <v>4.7359999999999998</v>
      </c>
      <c r="AM71" s="48">
        <v>4.0419999999999998</v>
      </c>
      <c r="AN71" s="48">
        <v>3.524</v>
      </c>
      <c r="AO71" s="48">
        <v>3.0830000000000002</v>
      </c>
      <c r="AP71" s="48">
        <v>3.35</v>
      </c>
      <c r="AQ71" s="48">
        <v>2.976</v>
      </c>
      <c r="AR71" s="48">
        <v>2.6019999999999999</v>
      </c>
      <c r="AS71" s="48">
        <v>14.353</v>
      </c>
      <c r="AT71" s="48">
        <v>16.077999999999999</v>
      </c>
      <c r="AU71" s="48">
        <v>15.721</v>
      </c>
      <c r="AV71" s="48">
        <v>11.853</v>
      </c>
      <c r="AW71" s="48">
        <v>17.370999999999999</v>
      </c>
      <c r="AX71" s="48">
        <v>16.904</v>
      </c>
      <c r="AY71" s="48">
        <v>14.237</v>
      </c>
      <c r="AZ71" s="48">
        <v>17.05</v>
      </c>
      <c r="BR71" s="48">
        <f t="shared" si="186"/>
        <v>8.7010000000000005</v>
      </c>
      <c r="BS71" s="48">
        <f t="shared" si="187"/>
        <v>4.7359999999999998</v>
      </c>
      <c r="BT71" s="48">
        <f t="shared" si="188"/>
        <v>3.35</v>
      </c>
      <c r="BU71" s="48">
        <f t="shared" si="189"/>
        <v>16.077999999999999</v>
      </c>
      <c r="BV71" s="48">
        <f t="shared" si="190"/>
        <v>16.904</v>
      </c>
    </row>
    <row r="72" spans="2:134" s="2" customFormat="1" ht="15" customHeight="1">
      <c r="B72" s="2" t="s">
        <v>281</v>
      </c>
      <c r="AE72" s="50"/>
      <c r="AF72" s="50"/>
      <c r="AG72" s="50"/>
      <c r="AH72" s="50">
        <f t="shared" ref="AH72:AW72" si="191">SUM(AH64:AH71)</f>
        <v>121.98099999999999</v>
      </c>
      <c r="AI72" s="50">
        <f t="shared" si="191"/>
        <v>119.813</v>
      </c>
      <c r="AJ72" s="50">
        <f t="shared" si="191"/>
        <v>121.73499999999999</v>
      </c>
      <c r="AK72" s="50">
        <f t="shared" si="191"/>
        <v>113.48599999999999</v>
      </c>
      <c r="AL72" s="50">
        <f t="shared" si="191"/>
        <v>128.26</v>
      </c>
      <c r="AM72" s="50">
        <f t="shared" si="191"/>
        <v>143.61099999999999</v>
      </c>
      <c r="AN72" s="50">
        <f t="shared" si="191"/>
        <v>150.249</v>
      </c>
      <c r="AO72" s="50">
        <f t="shared" si="191"/>
        <v>145.19399999999999</v>
      </c>
      <c r="AP72" s="50">
        <f t="shared" si="191"/>
        <v>154.34099999999995</v>
      </c>
      <c r="AQ72" s="50">
        <f t="shared" si="191"/>
        <v>66.144999999999996</v>
      </c>
      <c r="AR72" s="50">
        <f t="shared" si="191"/>
        <v>98.397000000000006</v>
      </c>
      <c r="AS72" s="50">
        <f t="shared" si="191"/>
        <v>106.14400000000001</v>
      </c>
      <c r="AT72" s="50">
        <f t="shared" si="191"/>
        <v>112.08499999999999</v>
      </c>
      <c r="AU72" s="50">
        <f t="shared" si="191"/>
        <v>97.04</v>
      </c>
      <c r="AV72" s="50">
        <f t="shared" si="191"/>
        <v>104.78199999999998</v>
      </c>
      <c r="AW72" s="50">
        <f t="shared" si="191"/>
        <v>99.545000000000002</v>
      </c>
      <c r="AX72" s="50">
        <f t="shared" ref="AX72" si="192">SUM(AX64:AX71)</f>
        <v>97.165999999999997</v>
      </c>
      <c r="AY72" s="50">
        <f t="shared" ref="AY72:AZ72" si="193">SUM(AY64:AY71)</f>
        <v>86.786999999999992</v>
      </c>
      <c r="AZ72" s="50">
        <f t="shared" si="193"/>
        <v>93.34</v>
      </c>
      <c r="BA72" s="35"/>
      <c r="BB72" s="35"/>
      <c r="BC72" s="35"/>
      <c r="BD72" s="35"/>
      <c r="BE72" s="35"/>
      <c r="BF72" s="35"/>
      <c r="BR72" s="50">
        <f t="shared" si="186"/>
        <v>121.98099999999999</v>
      </c>
      <c r="BS72" s="50">
        <f t="shared" si="187"/>
        <v>128.26</v>
      </c>
      <c r="BT72" s="50">
        <f t="shared" si="188"/>
        <v>154.34099999999995</v>
      </c>
      <c r="BU72" s="50">
        <f t="shared" si="189"/>
        <v>112.08499999999999</v>
      </c>
      <c r="BV72" s="50">
        <f t="shared" si="190"/>
        <v>97.165999999999997</v>
      </c>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row>
    <row r="73" spans="2:134" ht="15" customHeight="1">
      <c r="B73" s="1" t="s">
        <v>282</v>
      </c>
      <c r="AE73" s="48"/>
      <c r="AF73" s="48"/>
      <c r="AG73" s="48"/>
      <c r="AH73" s="48">
        <v>439.45699999999999</v>
      </c>
      <c r="AI73" s="48">
        <v>435.95</v>
      </c>
      <c r="AJ73" s="48">
        <v>432.36799999999999</v>
      </c>
      <c r="AK73" s="48">
        <v>429.69200000000001</v>
      </c>
      <c r="AL73" s="48">
        <v>424.48899999999998</v>
      </c>
      <c r="AM73" s="48">
        <v>414.041</v>
      </c>
      <c r="AN73" s="48">
        <v>407.95800000000003</v>
      </c>
      <c r="AO73" s="48">
        <v>397.65499999999997</v>
      </c>
      <c r="AP73" s="48">
        <v>378.29599999999999</v>
      </c>
      <c r="AQ73" s="48">
        <v>427.80399999999997</v>
      </c>
      <c r="AR73" s="48">
        <v>401.226</v>
      </c>
      <c r="AS73" s="48">
        <v>218.69800000000001</v>
      </c>
      <c r="AT73" s="48">
        <v>205.58600000000001</v>
      </c>
      <c r="AU73" s="48">
        <v>196.583</v>
      </c>
      <c r="AV73" s="48">
        <v>186.768</v>
      </c>
      <c r="AW73" s="48">
        <v>185.87</v>
      </c>
      <c r="AX73" s="48">
        <v>182.97</v>
      </c>
      <c r="AY73" s="48">
        <v>178.85499999999999</v>
      </c>
      <c r="AZ73" s="48">
        <v>176.33</v>
      </c>
      <c r="BR73" s="48">
        <f t="shared" si="186"/>
        <v>439.45699999999999</v>
      </c>
      <c r="BS73" s="48">
        <f t="shared" si="187"/>
        <v>424.48899999999998</v>
      </c>
      <c r="BT73" s="48">
        <f t="shared" si="188"/>
        <v>378.29599999999999</v>
      </c>
      <c r="BU73" s="48">
        <f t="shared" si="189"/>
        <v>205.58600000000001</v>
      </c>
      <c r="BV73" s="48">
        <f t="shared" si="190"/>
        <v>182.97</v>
      </c>
    </row>
    <row r="74" spans="2:134" s="2" customFormat="1" ht="15" customHeight="1">
      <c r="B74" s="2" t="s">
        <v>283</v>
      </c>
      <c r="AE74" s="50"/>
      <c r="AF74" s="50"/>
      <c r="AG74" s="50"/>
      <c r="AH74" s="50">
        <f t="shared" ref="AH74:AV74" si="194">AH72+AH73</f>
        <v>561.43799999999999</v>
      </c>
      <c r="AI74" s="50">
        <f t="shared" si="194"/>
        <v>555.76300000000003</v>
      </c>
      <c r="AJ74" s="50">
        <f t="shared" si="194"/>
        <v>554.10299999999995</v>
      </c>
      <c r="AK74" s="50">
        <f t="shared" si="194"/>
        <v>543.178</v>
      </c>
      <c r="AL74" s="50">
        <f t="shared" si="194"/>
        <v>552.74900000000002</v>
      </c>
      <c r="AM74" s="50">
        <f t="shared" si="194"/>
        <v>557.65200000000004</v>
      </c>
      <c r="AN74" s="50">
        <f t="shared" si="194"/>
        <v>558.20699999999999</v>
      </c>
      <c r="AO74" s="50">
        <f t="shared" si="194"/>
        <v>542.84899999999993</v>
      </c>
      <c r="AP74" s="50">
        <f t="shared" si="194"/>
        <v>532.63699999999994</v>
      </c>
      <c r="AQ74" s="50">
        <f t="shared" si="194"/>
        <v>493.94899999999996</v>
      </c>
      <c r="AR74" s="50">
        <f t="shared" si="194"/>
        <v>499.62299999999999</v>
      </c>
      <c r="AS74" s="50">
        <f t="shared" si="194"/>
        <v>324.84199999999998</v>
      </c>
      <c r="AT74" s="50">
        <f t="shared" si="194"/>
        <v>317.67099999999999</v>
      </c>
      <c r="AU74" s="50">
        <f t="shared" si="194"/>
        <v>293.62299999999999</v>
      </c>
      <c r="AV74" s="50">
        <f t="shared" si="194"/>
        <v>291.54999999999995</v>
      </c>
      <c r="AW74" s="50">
        <f>AW72+AW73</f>
        <v>285.41500000000002</v>
      </c>
      <c r="AX74" s="50">
        <f t="shared" ref="AX74" si="195">AX72+AX73</f>
        <v>280.13599999999997</v>
      </c>
      <c r="AY74" s="50">
        <f>AY72+AY73</f>
        <v>265.642</v>
      </c>
      <c r="AZ74" s="50">
        <f>AZ72+AZ73</f>
        <v>269.67</v>
      </c>
      <c r="BA74" s="35"/>
      <c r="BB74" s="35"/>
      <c r="BC74" s="35"/>
      <c r="BD74" s="35"/>
      <c r="BE74" s="35"/>
      <c r="BF74" s="35"/>
      <c r="BR74" s="50">
        <f t="shared" si="186"/>
        <v>561.43799999999999</v>
      </c>
      <c r="BS74" s="50">
        <f t="shared" si="187"/>
        <v>552.74900000000002</v>
      </c>
      <c r="BT74" s="50">
        <f t="shared" si="188"/>
        <v>532.63699999999994</v>
      </c>
      <c r="BU74" s="50">
        <f t="shared" si="189"/>
        <v>317.67099999999999</v>
      </c>
      <c r="BV74" s="50">
        <f t="shared" si="190"/>
        <v>280.13599999999997</v>
      </c>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row>
    <row r="75" spans="2:134" ht="15" customHeight="1"/>
    <row r="76" spans="2:134" ht="15" customHeight="1">
      <c r="B76" s="1" t="s">
        <v>284</v>
      </c>
      <c r="AH76" s="41">
        <f t="shared" ref="AH76:AV76" si="196">SUM(AH52:AH55)/SUM(AH64:AH67)</f>
        <v>2.446495554320645</v>
      </c>
      <c r="AI76" s="41">
        <f t="shared" si="196"/>
        <v>2.520701767856115</v>
      </c>
      <c r="AJ76" s="41">
        <f t="shared" si="196"/>
        <v>2.4265259293253787</v>
      </c>
      <c r="AK76" s="41">
        <f t="shared" si="196"/>
        <v>2.5864122508507537</v>
      </c>
      <c r="AL76" s="41">
        <f t="shared" si="196"/>
        <v>1.9286214041602754</v>
      </c>
      <c r="AM76" s="41">
        <f t="shared" si="196"/>
        <v>2.2800271125169456</v>
      </c>
      <c r="AN76" s="41">
        <f t="shared" si="196"/>
        <v>2.1589027689045355</v>
      </c>
      <c r="AO76" s="41">
        <f t="shared" si="196"/>
        <v>2.1911477481617649</v>
      </c>
      <c r="AP76" s="41">
        <f t="shared" si="196"/>
        <v>1.8775186400238593</v>
      </c>
      <c r="AQ76" s="41">
        <f t="shared" si="196"/>
        <v>3.0542887976049578</v>
      </c>
      <c r="AR76" s="41">
        <f t="shared" si="196"/>
        <v>2.3766674782474975</v>
      </c>
      <c r="AS76" s="41">
        <f t="shared" si="196"/>
        <v>2.292975755176188</v>
      </c>
      <c r="AT76" s="41">
        <f t="shared" si="196"/>
        <v>1.9776863584005269</v>
      </c>
      <c r="AU76" s="41">
        <f t="shared" si="196"/>
        <v>2.0766953959292249</v>
      </c>
      <c r="AV76" s="41">
        <f t="shared" si="196"/>
        <v>1.8416050567187765</v>
      </c>
      <c r="AW76" s="41">
        <f>SUM(AW52:AW55)/SUM(AW64:AW67)</f>
        <v>2.0113247232945581</v>
      </c>
      <c r="AX76" s="41">
        <f t="shared" ref="AX76" si="197">SUM(AX52:AX55)/SUM(AX64:AX67)</f>
        <v>2.1103965139324576</v>
      </c>
      <c r="AY76" s="41">
        <f>SUM(AY52:AY55)/SUM(AY64:AY67)</f>
        <v>2.1038780352069364</v>
      </c>
      <c r="AZ76" s="41">
        <f>SUM(AZ52:AZ55)/SUM(AZ64:AZ67)</f>
        <v>2.241523068371317</v>
      </c>
      <c r="BQ76" s="48"/>
      <c r="BR76" s="48">
        <f t="shared" ref="BR76:BU76" si="198">SUM(BR52:BR55)/SUM(BR64:BR67)</f>
        <v>2.446495554320645</v>
      </c>
      <c r="BS76" s="48">
        <f t="shared" si="198"/>
        <v>1.9286214041602754</v>
      </c>
      <c r="BT76" s="48">
        <f t="shared" si="198"/>
        <v>1.8775186400238593</v>
      </c>
      <c r="BU76" s="48">
        <f t="shared" si="198"/>
        <v>1.9776863584005269</v>
      </c>
      <c r="BV76" s="48">
        <f t="shared" ref="BV76" si="199">SUM(BV52:BV55)/SUM(BV64:BV67)</f>
        <v>2.1103965139324576</v>
      </c>
    </row>
    <row r="77" spans="2:134" ht="15" customHeight="1">
      <c r="B77" s="1" t="s">
        <v>285</v>
      </c>
      <c r="AH77" s="41">
        <f t="shared" ref="AH77:AV77" si="200">(SUM(AH52:AH55)-AH54)/SUM(AH64:AH67)</f>
        <v>1.6022679911086417</v>
      </c>
      <c r="AI77" s="41">
        <f t="shared" si="200"/>
        <v>1.5742941052267889</v>
      </c>
      <c r="AJ77" s="41">
        <f t="shared" si="200"/>
        <v>1.5420284534189996</v>
      </c>
      <c r="AK77" s="41">
        <f t="shared" si="200"/>
        <v>1.6133325230918814</v>
      </c>
      <c r="AL77" s="41">
        <f t="shared" si="200"/>
        <v>1.2371706897015688</v>
      </c>
      <c r="AM77" s="41">
        <f t="shared" si="200"/>
        <v>1.4122910076818798</v>
      </c>
      <c r="AN77" s="41">
        <f t="shared" si="200"/>
        <v>1.3001345712071986</v>
      </c>
      <c r="AO77" s="41">
        <f t="shared" si="200"/>
        <v>1.2787511488970589</v>
      </c>
      <c r="AP77" s="41">
        <f t="shared" si="200"/>
        <v>1.2175723232925739</v>
      </c>
      <c r="AQ77" s="41">
        <f t="shared" si="200"/>
        <v>2.0104260948269865</v>
      </c>
      <c r="AR77" s="41">
        <f t="shared" si="200"/>
        <v>1.5532888245319525</v>
      </c>
      <c r="AS77" s="41">
        <f t="shared" si="200"/>
        <v>1.6167757412022263</v>
      </c>
      <c r="AT77" s="41">
        <f t="shared" si="200"/>
        <v>1.3127749437770833</v>
      </c>
      <c r="AU77" s="41">
        <f t="shared" si="200"/>
        <v>1.2330721187070532</v>
      </c>
      <c r="AV77" s="41">
        <f t="shared" si="200"/>
        <v>1.0976578813702804</v>
      </c>
      <c r="AW77" s="41">
        <f>(SUM(AW52:AW55)-AW54)/SUM(AW64:AW67)</f>
        <v>1.201985353528876</v>
      </c>
      <c r="AX77" s="41">
        <f t="shared" ref="AX77" si="201">(SUM(AX52:AX55)-AX54)/SUM(AX64:AX67)</f>
        <v>1.2965519956949165</v>
      </c>
      <c r="AY77" s="41">
        <f>(SUM(AY52:AY55)-AY54)/SUM(AY64:AY67)</f>
        <v>1.1921443425793037</v>
      </c>
      <c r="AZ77" s="41">
        <f>(SUM(AZ52:AZ55)-AZ54)/SUM(AZ64:AZ67)</f>
        <v>1.3304613674263475</v>
      </c>
      <c r="BQ77" s="48"/>
      <c r="BR77" s="48">
        <f t="shared" ref="BR77:BU77" si="202">(SUM(BR52:BR55)-BR54)/SUM(BR64:BR67)</f>
        <v>1.6022679911086417</v>
      </c>
      <c r="BS77" s="48">
        <f t="shared" si="202"/>
        <v>1.2371706897015688</v>
      </c>
      <c r="BT77" s="48">
        <f t="shared" si="202"/>
        <v>1.2175723232925739</v>
      </c>
      <c r="BU77" s="48">
        <f t="shared" si="202"/>
        <v>1.3127749437770833</v>
      </c>
      <c r="BV77" s="48">
        <f t="shared" ref="BV77" si="203">(SUM(BV52:BV55)-BV54)/SUM(BV64:BV67)</f>
        <v>1.2965519956949165</v>
      </c>
    </row>
    <row r="78" spans="2:134" ht="15" customHeight="1">
      <c r="B78" s="1" t="s">
        <v>286</v>
      </c>
      <c r="AH78" s="41">
        <f t="shared" ref="AH78:AV78" si="204">AH52/SUM(AH64:AH67)</f>
        <v>0.83636079466518487</v>
      </c>
      <c r="AI78" s="41">
        <f t="shared" si="204"/>
        <v>0.68088373610764541</v>
      </c>
      <c r="AJ78" s="41">
        <f t="shared" si="204"/>
        <v>0.6294814134924277</v>
      </c>
      <c r="AK78" s="41">
        <f t="shared" si="204"/>
        <v>0.48391670717873925</v>
      </c>
      <c r="AL78" s="41">
        <f t="shared" si="204"/>
        <v>0.38783940152310215</v>
      </c>
      <c r="AM78" s="41">
        <f t="shared" si="204"/>
        <v>0.36999548124717579</v>
      </c>
      <c r="AN78" s="41">
        <f t="shared" si="204"/>
        <v>0.40584773064009672</v>
      </c>
      <c r="AO78" s="41">
        <f t="shared" si="204"/>
        <v>0.43243049172794124</v>
      </c>
      <c r="AP78" s="41">
        <f t="shared" si="204"/>
        <v>0.53229943334327467</v>
      </c>
      <c r="AQ78" s="41">
        <f t="shared" si="204"/>
        <v>1.0023323818143841</v>
      </c>
      <c r="AR78" s="41">
        <f t="shared" si="204"/>
        <v>0.7803477837436088</v>
      </c>
      <c r="AS78" s="41">
        <f t="shared" si="204"/>
        <v>0.91355940098283517</v>
      </c>
      <c r="AT78" s="41">
        <f t="shared" si="204"/>
        <v>0.83435905874609195</v>
      </c>
      <c r="AU78" s="41">
        <f t="shared" si="204"/>
        <v>0.7172101756353253</v>
      </c>
      <c r="AV78" s="41">
        <f t="shared" si="204"/>
        <v>0.61051978102601734</v>
      </c>
      <c r="AW78" s="41">
        <f>AW52/SUM(AW64:AW67)</f>
        <v>0.57405958625642861</v>
      </c>
      <c r="AX78" s="41">
        <f t="shared" ref="AX78" si="205">AX52/SUM(AX64:AX67)</f>
        <v>0.73360983869062468</v>
      </c>
      <c r="AY78" s="41">
        <f>AY52/SUM(AY64:AY67)</f>
        <v>0.56767522919656721</v>
      </c>
      <c r="AZ78" s="41">
        <f>AZ52/SUM(AZ64:AZ67)</f>
        <v>0.57865480822679261</v>
      </c>
      <c r="BQ78" s="48"/>
      <c r="BR78" s="48">
        <f t="shared" ref="BR78:BU78" si="206">BR52/SUM(BR64:BR67)</f>
        <v>0.83636079466518487</v>
      </c>
      <c r="BS78" s="48">
        <f t="shared" si="206"/>
        <v>0.38783940152310215</v>
      </c>
      <c r="BT78" s="48">
        <f t="shared" si="206"/>
        <v>0.53229943334327467</v>
      </c>
      <c r="BU78" s="48">
        <f t="shared" si="206"/>
        <v>0.83435905874609195</v>
      </c>
      <c r="BV78" s="48">
        <f t="shared" ref="BV78" si="207">BV52/SUM(BV64:BV67)</f>
        <v>0.73360983869062468</v>
      </c>
    </row>
    <row r="79" spans="2:134" ht="15" customHeight="1">
      <c r="B79" s="1" t="s">
        <v>287</v>
      </c>
      <c r="AH79" s="41">
        <f t="shared" ref="AH79:AV79" si="208">AH26/AH62</f>
        <v>0.13686640377031833</v>
      </c>
      <c r="AI79" s="41">
        <f t="shared" si="208"/>
        <v>0.13849608556165127</v>
      </c>
      <c r="AJ79" s="41">
        <f t="shared" si="208"/>
        <v>0.14127413824219454</v>
      </c>
      <c r="AK79" s="41">
        <f t="shared" si="208"/>
        <v>0.13618003674670182</v>
      </c>
      <c r="AL79" s="41">
        <f t="shared" si="208"/>
        <v>0.15739264941338238</v>
      </c>
      <c r="AM79" s="41">
        <f t="shared" si="208"/>
        <v>0.1462148436659422</v>
      </c>
      <c r="AN79" s="41">
        <f t="shared" si="208"/>
        <v>0.15304343775808354</v>
      </c>
      <c r="AO79" s="41">
        <f t="shared" si="208"/>
        <v>0.14866012463871164</v>
      </c>
      <c r="AP79" s="41">
        <f t="shared" si="208"/>
        <v>0.17101241391740579</v>
      </c>
      <c r="AQ79" s="41">
        <f t="shared" si="208"/>
        <v>0.15928567524177598</v>
      </c>
      <c r="AR79" s="41">
        <f t="shared" si="208"/>
        <v>0.15825932753295985</v>
      </c>
      <c r="AS79" s="41">
        <f t="shared" si="208"/>
        <v>0.23144174706472692</v>
      </c>
      <c r="AT79" s="41">
        <f t="shared" si="208"/>
        <v>0.22346152393184998</v>
      </c>
      <c r="AU79" s="41">
        <f t="shared" si="208"/>
        <v>0.2298544061302682</v>
      </c>
      <c r="AV79" s="41">
        <f t="shared" si="208"/>
        <v>0.24986193862185588</v>
      </c>
      <c r="AW79" s="41">
        <f>AW26/AW62</f>
        <v>0.25227220170564035</v>
      </c>
      <c r="AX79" s="41">
        <f t="shared" ref="AX79" si="209">AX26/AX62</f>
        <v>0.28614926609172436</v>
      </c>
      <c r="AY79" s="41">
        <f>AY26/AY62</f>
        <v>0.28501462511152353</v>
      </c>
      <c r="AZ79" s="41">
        <f>AZ26/AZ62</f>
        <v>0.25585275662582296</v>
      </c>
      <c r="BQ79" s="48"/>
      <c r="BR79" s="48">
        <f t="shared" ref="BR79:BU79" si="210">BR26/BR62</f>
        <v>0.51832971761797386</v>
      </c>
      <c r="BS79" s="48">
        <f t="shared" si="210"/>
        <v>0.57208839519127286</v>
      </c>
      <c r="BT79" s="48">
        <f t="shared" si="210"/>
        <v>0.63600111146991911</v>
      </c>
      <c r="BU79" s="48">
        <f t="shared" si="210"/>
        <v>0.95675141349653059</v>
      </c>
      <c r="BV79" s="48">
        <f t="shared" ref="BV79" si="211">BV26/BV62</f>
        <v>1.0440987492146898</v>
      </c>
    </row>
    <row r="80" spans="2:134">
      <c r="B80" s="1" t="s">
        <v>288</v>
      </c>
      <c r="AH80" s="41">
        <f t="shared" ref="AH80:AX80" si="212">AH54/AVERAGE(AE27:AH27)</f>
        <v>1.4487855759201311</v>
      </c>
      <c r="AI80" s="41">
        <f t="shared" si="212"/>
        <v>1.4437774524158127</v>
      </c>
      <c r="AJ80" s="41">
        <f t="shared" si="212"/>
        <v>1.3598628368223866</v>
      </c>
      <c r="AK80" s="41">
        <f t="shared" si="212"/>
        <v>1.3301306899988925</v>
      </c>
      <c r="AL80" s="41">
        <f t="shared" si="212"/>
        <v>1.3659651664263359</v>
      </c>
      <c r="AM80" s="41">
        <f t="shared" si="212"/>
        <v>1.5072308306134596</v>
      </c>
      <c r="AN80" s="41">
        <f t="shared" si="212"/>
        <v>1.6249959810433856</v>
      </c>
      <c r="AO80" s="41">
        <f t="shared" si="212"/>
        <v>1.584991330597378</v>
      </c>
      <c r="AP80" s="41">
        <f t="shared" si="212"/>
        <v>1.3451181111935127</v>
      </c>
      <c r="AQ80" s="41">
        <f t="shared" si="212"/>
        <v>1.4636866736224243</v>
      </c>
      <c r="AR80" s="41">
        <f t="shared" si="212"/>
        <v>1.5830689916416698</v>
      </c>
      <c r="AS80" s="41">
        <f t="shared" si="212"/>
        <v>1.438519564490357</v>
      </c>
      <c r="AT80" s="41">
        <f t="shared" si="212"/>
        <v>1.6247587390092215</v>
      </c>
      <c r="AU80" s="41">
        <f t="shared" si="212"/>
        <v>1.830727070284923</v>
      </c>
      <c r="AV80" s="41">
        <f t="shared" si="212"/>
        <v>1.9457889213137838</v>
      </c>
      <c r="AW80" s="41">
        <f>AW54/AVERAGE(AT27:AW27)</f>
        <v>1.9519233892108325</v>
      </c>
      <c r="AX80" s="41">
        <f t="shared" si="212"/>
        <v>1.8400771570591292</v>
      </c>
      <c r="AY80" s="41">
        <f>AY54/AVERAGE(AV27:AY27)</f>
        <v>1.8061627998061978</v>
      </c>
      <c r="AZ80" s="41">
        <f>AZ54/AVERAGE(AW27:AZ27)</f>
        <v>1.87873343105269</v>
      </c>
      <c r="BQ80" s="48"/>
      <c r="BR80" s="48">
        <f t="shared" ref="BR80:BV80" si="213">BR54/AVERAGE(BO27:BR27)</f>
        <v>0.40467826521268624</v>
      </c>
      <c r="BS80" s="48">
        <f t="shared" si="213"/>
        <v>0.40054013292881818</v>
      </c>
      <c r="BT80" s="48">
        <f t="shared" si="213"/>
        <v>0.39295842930282204</v>
      </c>
      <c r="BU80" s="48">
        <f t="shared" si="213"/>
        <v>0.40512742530859969</v>
      </c>
      <c r="BV80" s="48">
        <f t="shared" si="213"/>
        <v>0.41406413032409067</v>
      </c>
    </row>
    <row r="81" spans="2:134">
      <c r="B81" s="1" t="s">
        <v>289</v>
      </c>
      <c r="AH81" s="49">
        <f t="shared" ref="AH81:AV81" si="214">AH41/AH74</f>
        <v>-3.4671682358515116E-2</v>
      </c>
      <c r="AI81" s="49">
        <f t="shared" si="214"/>
        <v>-1.2544915728466978E-2</v>
      </c>
      <c r="AJ81" s="49">
        <f t="shared" si="214"/>
        <v>-1.5071205173045461E-2</v>
      </c>
      <c r="AK81" s="49">
        <f t="shared" si="214"/>
        <v>-9.127762906450558E-3</v>
      </c>
      <c r="AL81" s="49">
        <f t="shared" si="214"/>
        <v>-1.1336067546028936E-2</v>
      </c>
      <c r="AM81" s="49">
        <f t="shared" si="214"/>
        <v>-2.3317409423798351E-2</v>
      </c>
      <c r="AN81" s="49">
        <f t="shared" si="214"/>
        <v>-1.5202245761876858E-2</v>
      </c>
      <c r="AO81" s="49">
        <f t="shared" si="214"/>
        <v>-1.749105183946181E-2</v>
      </c>
      <c r="AP81" s="49">
        <f t="shared" si="214"/>
        <v>-4.0286348864235877E-2</v>
      </c>
      <c r="AQ81" s="49">
        <f t="shared" si="214"/>
        <v>9.2910401681145227E-2</v>
      </c>
      <c r="AR81" s="49">
        <f t="shared" si="214"/>
        <v>-5.8145841964841495E-2</v>
      </c>
      <c r="AS81" s="49">
        <f t="shared" si="214"/>
        <v>-0.57793019375573351</v>
      </c>
      <c r="AT81" s="49">
        <f t="shared" si="214"/>
        <v>-4.2355141010668243E-2</v>
      </c>
      <c r="AU81" s="49">
        <f t="shared" si="214"/>
        <v>-4.357151857994776E-2</v>
      </c>
      <c r="AV81" s="49">
        <f t="shared" si="214"/>
        <v>-3.6834162236323104E-2</v>
      </c>
      <c r="AW81" s="49">
        <f>AW41/AW74</f>
        <v>-1.545468878650387E-2</v>
      </c>
      <c r="AX81" s="49">
        <f t="shared" ref="AX81" si="215">AX41/AX74</f>
        <v>-2.1583802153239826E-2</v>
      </c>
      <c r="AY81" s="49">
        <f>AY41/AY74</f>
        <v>-4.1149366440547744E-2</v>
      </c>
      <c r="AZ81" s="49">
        <f>AZ41/AZ74</f>
        <v>-2.3521340898134725E-2</v>
      </c>
      <c r="BQ81" s="49"/>
      <c r="BR81" s="49">
        <f t="shared" ref="BR81:BU81" si="216">BR41/BR74</f>
        <v>-5.6187860458323108E-2</v>
      </c>
      <c r="BS81" s="49">
        <f t="shared" si="216"/>
        <v>-4.802722392984872E-2</v>
      </c>
      <c r="BT81" s="49">
        <f t="shared" si="216"/>
        <v>-9.8457298310106134E-2</v>
      </c>
      <c r="BU81" s="49">
        <f t="shared" si="216"/>
        <v>-0.58031422446493386</v>
      </c>
      <c r="BV81" s="49">
        <f t="shared" ref="BV81" si="217">BV41/BV74</f>
        <v>-0.12133392352286032</v>
      </c>
    </row>
    <row r="82" spans="2:134">
      <c r="B82" s="1" t="s">
        <v>290</v>
      </c>
      <c r="AH82" s="49">
        <f t="shared" ref="AH82:AV82" si="218">AH41/AH73</f>
        <v>-4.4295573855917661E-2</v>
      </c>
      <c r="AI82" s="49">
        <f t="shared" si="218"/>
        <v>-1.5992659708682175E-2</v>
      </c>
      <c r="AJ82" s="49">
        <f t="shared" si="218"/>
        <v>-1.9314565370240185E-2</v>
      </c>
      <c r="AK82" s="49">
        <f t="shared" si="218"/>
        <v>-1.1538497342282381E-2</v>
      </c>
      <c r="AL82" s="49">
        <f t="shared" si="218"/>
        <v>-1.4761277677395525E-2</v>
      </c>
      <c r="AM82" s="49">
        <f t="shared" si="218"/>
        <v>-3.1405102393241242E-2</v>
      </c>
      <c r="AN82" s="49">
        <f t="shared" si="218"/>
        <v>-2.0801160903818519E-2</v>
      </c>
      <c r="AO82" s="49">
        <f t="shared" si="218"/>
        <v>-2.3877481736681302E-2</v>
      </c>
      <c r="AP82" s="49">
        <f t="shared" si="218"/>
        <v>-5.6722777930509449E-2</v>
      </c>
      <c r="AQ82" s="49">
        <f t="shared" si="218"/>
        <v>0.10727576179745865</v>
      </c>
      <c r="AR82" s="49">
        <f t="shared" si="218"/>
        <v>-7.2405576906780719E-2</v>
      </c>
      <c r="AS82" s="49">
        <f t="shared" si="218"/>
        <v>-0.85842577435550382</v>
      </c>
      <c r="AT82" s="49">
        <f t="shared" si="218"/>
        <v>-6.5447063515998119E-2</v>
      </c>
      <c r="AU82" s="49">
        <f t="shared" si="218"/>
        <v>-6.5079889919270745E-2</v>
      </c>
      <c r="AV82" s="49">
        <f t="shared" si="218"/>
        <v>-5.7499143322196515E-2</v>
      </c>
      <c r="AW82" s="49">
        <f>AW41/AW73</f>
        <v>-2.3731640393823653E-2</v>
      </c>
      <c r="AX82" s="49">
        <f t="shared" ref="AX82" si="219">AX41/AX73</f>
        <v>-3.3045854511668533E-2</v>
      </c>
      <c r="AY82" s="49">
        <f>AY41/AY73</f>
        <v>-6.1116546923485414E-2</v>
      </c>
      <c r="AZ82" s="49">
        <f>AZ41/AZ73</f>
        <v>-3.5972324618612779E-2</v>
      </c>
      <c r="BQ82" s="49"/>
      <c r="BR82" s="49">
        <f t="shared" ref="BR82:BU82" si="220">BR41/BR73</f>
        <v>-7.1784042579820115E-2</v>
      </c>
      <c r="BS82" s="49">
        <f t="shared" si="220"/>
        <v>-6.2538723029336343E-2</v>
      </c>
      <c r="BT82" s="49">
        <f t="shared" si="220"/>
        <v>-0.13862689534121428</v>
      </c>
      <c r="BU82" s="49">
        <f t="shared" si="220"/>
        <v>-0.8967001644080822</v>
      </c>
      <c r="BV82" s="49">
        <f t="shared" ref="BV82" si="221">BV41/BV73</f>
        <v>-0.18576815871454333</v>
      </c>
    </row>
    <row r="84" spans="2:134">
      <c r="B84" s="1" t="s">
        <v>242</v>
      </c>
      <c r="C84" s="48">
        <f t="shared" ref="C84:AW84" si="222">C41</f>
        <v>-0.50000000000000999</v>
      </c>
      <c r="D84" s="48">
        <f t="shared" si="222"/>
        <v>-0.20000000000000714</v>
      </c>
      <c r="E84" s="48">
        <f t="shared" si="222"/>
        <v>4.5000000000000071</v>
      </c>
      <c r="F84" s="48">
        <f t="shared" si="222"/>
        <v>-1.5000000000000044</v>
      </c>
      <c r="G84" s="48">
        <f t="shared" si="222"/>
        <v>0.49999999999999567</v>
      </c>
      <c r="H84" s="48">
        <f t="shared" si="222"/>
        <v>1.2999999999999927</v>
      </c>
      <c r="I84" s="48">
        <f t="shared" si="222"/>
        <v>-4.2000000000000091</v>
      </c>
      <c r="J84" s="48">
        <f t="shared" si="222"/>
        <v>-1.0000000000000013</v>
      </c>
      <c r="K84" s="48">
        <f t="shared" si="222"/>
        <v>-0.80000000000000426</v>
      </c>
      <c r="L84" s="48">
        <f t="shared" si="222"/>
        <v>-0.29999999999999855</v>
      </c>
      <c r="M84" s="48">
        <f t="shared" si="222"/>
        <v>0.50000000000000566</v>
      </c>
      <c r="N84" s="48">
        <f t="shared" si="222"/>
        <v>-43.199999999999989</v>
      </c>
      <c r="O84" s="48">
        <f t="shared" si="222"/>
        <v>1.1999999999999926</v>
      </c>
      <c r="P84" s="48">
        <f t="shared" si="222"/>
        <v>13.700000000000003</v>
      </c>
      <c r="Q84" s="48">
        <f t="shared" si="222"/>
        <v>2.7999999999999945</v>
      </c>
      <c r="R84" s="48">
        <f t="shared" si="222"/>
        <v>-12.900000000000009</v>
      </c>
      <c r="S84" s="48">
        <f t="shared" si="222"/>
        <v>-9.999999999999859E-2</v>
      </c>
      <c r="T84" s="48">
        <f t="shared" si="222"/>
        <v>0.30000000000000143</v>
      </c>
      <c r="U84" s="48">
        <f t="shared" si="222"/>
        <v>14.000000000000007</v>
      </c>
      <c r="V84" s="48">
        <f t="shared" si="222"/>
        <v>-20.5</v>
      </c>
      <c r="W84" s="48">
        <f t="shared" si="222"/>
        <v>-5.8000000000000025</v>
      </c>
      <c r="X84" s="48">
        <f t="shared" si="222"/>
        <v>-3.5</v>
      </c>
      <c r="Y84" s="48">
        <f t="shared" si="222"/>
        <v>-4.5999999999999961</v>
      </c>
      <c r="Z84" s="48">
        <f t="shared" si="222"/>
        <v>2.900000000000007</v>
      </c>
      <c r="AA84" s="48">
        <f t="shared" si="222"/>
        <v>-1.2999999999999972</v>
      </c>
      <c r="AB84" s="48">
        <f t="shared" si="222"/>
        <v>-2.8</v>
      </c>
      <c r="AC84" s="48">
        <f t="shared" si="222"/>
        <v>-5.7000000000000028</v>
      </c>
      <c r="AD84" s="48">
        <f t="shared" si="222"/>
        <v>-157.10000000000002</v>
      </c>
      <c r="AE84" s="48">
        <f t="shared" si="222"/>
        <v>-4.268000000000014</v>
      </c>
      <c r="AF84" s="48">
        <f t="shared" si="222"/>
        <v>-4.2679999999999909</v>
      </c>
      <c r="AG84" s="48">
        <f t="shared" si="222"/>
        <v>-3.5439999999999925</v>
      </c>
      <c r="AH84" s="48">
        <f t="shared" si="222"/>
        <v>-19.466000000000008</v>
      </c>
      <c r="AI84" s="48">
        <f t="shared" si="222"/>
        <v>-6.9719999999999933</v>
      </c>
      <c r="AJ84" s="48">
        <f t="shared" si="222"/>
        <v>-8.351000000000008</v>
      </c>
      <c r="AK84" s="48">
        <f t="shared" si="222"/>
        <v>-4.9580000000000011</v>
      </c>
      <c r="AL84" s="48">
        <f t="shared" si="222"/>
        <v>-6.2659999999999485</v>
      </c>
      <c r="AM84" s="48">
        <f t="shared" si="222"/>
        <v>-13.002999999999998</v>
      </c>
      <c r="AN84" s="48">
        <f t="shared" si="222"/>
        <v>-8.4859999999999953</v>
      </c>
      <c r="AO84" s="48">
        <f t="shared" si="222"/>
        <v>-9.4950000000000028</v>
      </c>
      <c r="AP84" s="48">
        <f t="shared" si="222"/>
        <v>-21.458000000000002</v>
      </c>
      <c r="AQ84" s="48">
        <f t="shared" si="222"/>
        <v>45.893000000000001</v>
      </c>
      <c r="AR84" s="48">
        <f t="shared" si="222"/>
        <v>-29.051000000000002</v>
      </c>
      <c r="AS84" s="48">
        <f t="shared" si="222"/>
        <v>-187.73599999999999</v>
      </c>
      <c r="AT84" s="48">
        <f t="shared" si="222"/>
        <v>-13.454999999999991</v>
      </c>
      <c r="AU84" s="48">
        <f t="shared" si="222"/>
        <v>-12.793600000000001</v>
      </c>
      <c r="AV84" s="48">
        <f t="shared" si="222"/>
        <v>-10.738999999999999</v>
      </c>
      <c r="AW84" s="48">
        <f t="shared" si="222"/>
        <v>-4.4110000000000023</v>
      </c>
      <c r="AX84" s="48">
        <f t="shared" ref="AX84:AY84" si="223">AX41</f>
        <v>-6.0463999999999913</v>
      </c>
      <c r="AY84" s="48">
        <f t="shared" si="223"/>
        <v>-10.930999999999983</v>
      </c>
      <c r="AZ84" s="48">
        <f t="shared" ref="AZ84" si="224">AZ41</f>
        <v>-6.342999999999992</v>
      </c>
      <c r="BK84" s="48">
        <f t="shared" ref="BK84:BU84" si="225">BK41</f>
        <v>2.2999999999999856</v>
      </c>
      <c r="BL84" s="48">
        <f t="shared" si="225"/>
        <v>-3.4000000000000221</v>
      </c>
      <c r="BM84" s="48">
        <f t="shared" si="225"/>
        <v>-43.799999999999983</v>
      </c>
      <c r="BN84" s="48">
        <f t="shared" si="225"/>
        <v>4.7999999999999794</v>
      </c>
      <c r="BO84" s="48">
        <f t="shared" si="225"/>
        <v>-6.2999999999999901</v>
      </c>
      <c r="BP84" s="48">
        <f t="shared" si="225"/>
        <v>-10.999999999999991</v>
      </c>
      <c r="BQ84" s="48">
        <f t="shared" si="225"/>
        <v>-166.90000000000003</v>
      </c>
      <c r="BR84" s="48">
        <f t="shared" si="225"/>
        <v>-31.546000000000006</v>
      </c>
      <c r="BS84" s="48">
        <f t="shared" si="225"/>
        <v>-26.546999999999951</v>
      </c>
      <c r="BT84" s="48">
        <f t="shared" si="225"/>
        <v>-52.441999999999993</v>
      </c>
      <c r="BU84" s="48">
        <f t="shared" si="225"/>
        <v>-184.34899999999999</v>
      </c>
      <c r="BV84" s="48">
        <f t="shared" ref="BV84:BV89" si="226">SUM(AU84:AX84)</f>
        <v>-33.989999999999995</v>
      </c>
    </row>
    <row r="85" spans="2:134" s="2" customFormat="1" ht="15">
      <c r="B85" s="2" t="s">
        <v>291</v>
      </c>
      <c r="C85" s="50">
        <v>7.3</v>
      </c>
      <c r="D85" s="50">
        <v>8.5</v>
      </c>
      <c r="E85" s="50">
        <v>-0.6</v>
      </c>
      <c r="F85" s="50">
        <v>9.5</v>
      </c>
      <c r="G85" s="50">
        <v>5.4</v>
      </c>
      <c r="H85" s="50">
        <v>-2.1</v>
      </c>
      <c r="I85" s="50">
        <v>12.2</v>
      </c>
      <c r="J85" s="50">
        <v>10.199999999999999</v>
      </c>
      <c r="K85" s="50">
        <v>4.7</v>
      </c>
      <c r="L85" s="50">
        <v>9.6</v>
      </c>
      <c r="M85" s="50">
        <v>12.4</v>
      </c>
      <c r="N85" s="50">
        <v>18.5</v>
      </c>
      <c r="O85" s="50">
        <v>7.4</v>
      </c>
      <c r="P85" s="50">
        <v>14.9</v>
      </c>
      <c r="Q85" s="50">
        <v>14.4</v>
      </c>
      <c r="R85" s="50">
        <v>19</v>
      </c>
      <c r="S85" s="50">
        <v>3</v>
      </c>
      <c r="T85" s="50">
        <v>10.199999999999999</v>
      </c>
      <c r="U85" s="50">
        <v>4.3</v>
      </c>
      <c r="V85" s="50">
        <v>23.8</v>
      </c>
      <c r="W85" s="50">
        <v>-8.9</v>
      </c>
      <c r="X85" s="50">
        <v>13</v>
      </c>
      <c r="Y85" s="50">
        <v>8.3000000000000007</v>
      </c>
      <c r="Z85" s="50">
        <v>25</v>
      </c>
      <c r="AA85" s="50">
        <v>-6.5</v>
      </c>
      <c r="AB85" s="50">
        <v>5.9</v>
      </c>
      <c r="AC85" s="50">
        <v>-17.8</v>
      </c>
      <c r="AD85" s="50">
        <v>3.9</v>
      </c>
      <c r="AE85" s="50">
        <v>-5.4</v>
      </c>
      <c r="AF85" s="50">
        <v>11.4</v>
      </c>
      <c r="AG85" s="50">
        <v>5.9</v>
      </c>
      <c r="AH85" s="50">
        <v>12.2</v>
      </c>
      <c r="AI85" s="50">
        <v>-8.9</v>
      </c>
      <c r="AJ85" s="50">
        <v>1.9</v>
      </c>
      <c r="AK85" s="50">
        <v>-8.8000000000000007</v>
      </c>
      <c r="AL85" s="50">
        <v>8.6</v>
      </c>
      <c r="AM85" s="50">
        <v>-24.7</v>
      </c>
      <c r="AN85" s="50">
        <v>7.5</v>
      </c>
      <c r="AO85" s="50">
        <v>1.4</v>
      </c>
      <c r="AP85" s="50">
        <v>16</v>
      </c>
      <c r="AQ85" s="50">
        <v>-25.9</v>
      </c>
      <c r="AR85" s="50">
        <v>5.3</v>
      </c>
      <c r="AS85" s="50">
        <v>-12.5</v>
      </c>
      <c r="AT85" s="50">
        <v>5</v>
      </c>
      <c r="AU85" s="50">
        <v>-18.3</v>
      </c>
      <c r="AV85" s="50">
        <v>2.5</v>
      </c>
      <c r="AW85" s="50">
        <v>-13.2</v>
      </c>
      <c r="AX85" s="50">
        <f>-10.128-SUM(AU85:AW85)</f>
        <v>18.872</v>
      </c>
      <c r="AY85" s="50">
        <v>-15.914</v>
      </c>
      <c r="AZ85" s="50">
        <f>-11.25-AY85</f>
        <v>4.6639999999999997</v>
      </c>
      <c r="BA85" s="35"/>
      <c r="BB85" s="35"/>
      <c r="BC85" s="35"/>
      <c r="BD85" s="35"/>
      <c r="BE85" s="35"/>
      <c r="BF85" s="35"/>
      <c r="BK85" s="50">
        <f>SUM(C85:F85)</f>
        <v>24.700000000000003</v>
      </c>
      <c r="BL85" s="50">
        <f>SUM(G85:J85)</f>
        <v>25.7</v>
      </c>
      <c r="BM85" s="50">
        <f>SUM(K85:N85)</f>
        <v>45.2</v>
      </c>
      <c r="BN85" s="50">
        <f>SUM(O85:R85)</f>
        <v>55.7</v>
      </c>
      <c r="BO85" s="50">
        <f>SUM(S85:V85)</f>
        <v>41.3</v>
      </c>
      <c r="BP85" s="50">
        <f>SUM(W85:Z85)</f>
        <v>37.4</v>
      </c>
      <c r="BQ85" s="50">
        <f>SUM(AA85:AD85)</f>
        <v>-14.499999999999998</v>
      </c>
      <c r="BR85" s="50">
        <f>SUM(AE85:AH85)</f>
        <v>24.1</v>
      </c>
      <c r="BS85" s="50">
        <f>SUM(AI85:AL85)</f>
        <v>-7.2000000000000011</v>
      </c>
      <c r="BT85" s="50">
        <v>-0.5</v>
      </c>
      <c r="BU85" s="50">
        <v>-28.2</v>
      </c>
      <c r="BV85" s="50">
        <f t="shared" si="226"/>
        <v>-10.128</v>
      </c>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c r="EA85" s="35"/>
      <c r="EB85" s="35"/>
      <c r="EC85" s="35"/>
      <c r="ED85" s="35"/>
    </row>
    <row r="86" spans="2:134">
      <c r="B86" s="1" t="s">
        <v>292</v>
      </c>
      <c r="C86" s="48">
        <v>-2.9</v>
      </c>
      <c r="D86" s="48">
        <v>-4.3</v>
      </c>
      <c r="E86" s="48">
        <v>-1.8</v>
      </c>
      <c r="F86" s="48">
        <v>-2.2000000000000002</v>
      </c>
      <c r="G86" s="48">
        <v>-5.0999999999999996</v>
      </c>
      <c r="H86" s="48">
        <v>-2.4</v>
      </c>
      <c r="I86" s="48">
        <v>-3.5</v>
      </c>
      <c r="J86" s="48">
        <v>-0.3</v>
      </c>
      <c r="K86" s="48">
        <v>-0.7</v>
      </c>
      <c r="L86" s="48">
        <v>-0.4</v>
      </c>
      <c r="M86" s="48">
        <v>-0.7</v>
      </c>
      <c r="N86" s="48">
        <v>-0.4</v>
      </c>
      <c r="O86" s="48">
        <v>-0.5</v>
      </c>
      <c r="P86" s="48">
        <v>-1.4</v>
      </c>
      <c r="Q86" s="48">
        <v>-0.4</v>
      </c>
      <c r="R86" s="48">
        <v>-0.7</v>
      </c>
      <c r="S86" s="48">
        <v>-0.5</v>
      </c>
      <c r="T86" s="48">
        <v>-0.7</v>
      </c>
      <c r="U86" s="48">
        <v>-0.4</v>
      </c>
      <c r="V86" s="48">
        <v>-0.7</v>
      </c>
      <c r="W86" s="48">
        <v>-0.7</v>
      </c>
      <c r="X86" s="48">
        <v>-0.7</v>
      </c>
      <c r="Y86" s="48">
        <v>-0.9</v>
      </c>
      <c r="Z86" s="48">
        <v>-0.8</v>
      </c>
      <c r="AA86" s="48">
        <v>-1.4</v>
      </c>
      <c r="AB86" s="48">
        <v>-2.6</v>
      </c>
      <c r="AC86" s="48">
        <v>-1.7</v>
      </c>
      <c r="AD86" s="48">
        <v>-1.5</v>
      </c>
      <c r="AE86" s="48">
        <v>-1.8</v>
      </c>
      <c r="AF86" s="48">
        <v>-1.4</v>
      </c>
      <c r="AG86" s="48">
        <v>-1.4</v>
      </c>
      <c r="AH86" s="48">
        <v>-0.6</v>
      </c>
      <c r="AI86" s="48">
        <v>-5.5</v>
      </c>
      <c r="AJ86" s="48">
        <v>-3.8</v>
      </c>
      <c r="AK86" s="48">
        <v>-2.6</v>
      </c>
      <c r="AL86" s="48">
        <v>7.6</v>
      </c>
      <c r="AM86" s="48">
        <v>-3</v>
      </c>
      <c r="AN86" s="48">
        <v>-2.5</v>
      </c>
      <c r="AO86" s="48">
        <v>-2.1</v>
      </c>
      <c r="AP86" s="48">
        <v>3.9</v>
      </c>
      <c r="AQ86" s="48">
        <v>-1.6</v>
      </c>
      <c r="AR86" s="48">
        <v>-1.8</v>
      </c>
      <c r="AS86" s="48">
        <v>-1.8</v>
      </c>
      <c r="AT86" s="48">
        <v>2.7</v>
      </c>
      <c r="AU86" s="48">
        <v>-2.4</v>
      </c>
      <c r="AV86" s="48">
        <v>-2</v>
      </c>
      <c r="AW86" s="48">
        <v>-3.2</v>
      </c>
      <c r="AX86" s="48">
        <f>-4.464-SUM(AU86:AW86)</f>
        <v>3.1360000000000001</v>
      </c>
      <c r="AY86" s="48">
        <v>-0.73099999999999998</v>
      </c>
      <c r="AZ86" s="48">
        <f>-1.15-AY86</f>
        <v>-0.41899999999999993</v>
      </c>
      <c r="BA86" s="51"/>
      <c r="BB86" s="51"/>
      <c r="BC86" s="51"/>
      <c r="BD86" s="51"/>
      <c r="BE86" s="51"/>
      <c r="BF86" s="51"/>
      <c r="BK86" s="48">
        <f>SUM(C86:F86)</f>
        <v>-11.2</v>
      </c>
      <c r="BL86" s="48">
        <f>SUM(G86:J86)</f>
        <v>-11.3</v>
      </c>
      <c r="BM86" s="48">
        <v>-2.2999999999999998</v>
      </c>
      <c r="BN86" s="48">
        <f>SUM(O86:R86)</f>
        <v>-3</v>
      </c>
      <c r="BO86" s="48">
        <f>SUM(S86:V86)</f>
        <v>-2.2999999999999998</v>
      </c>
      <c r="BP86" s="48">
        <f>SUM(W86:Z86)</f>
        <v>-3.0999999999999996</v>
      </c>
      <c r="BQ86" s="48">
        <f>SUM(AA86:AD86)</f>
        <v>-7.2</v>
      </c>
      <c r="BR86" s="48">
        <f>SUM(AE86:AH86)</f>
        <v>-5.1999999999999993</v>
      </c>
      <c r="BS86" s="48">
        <f>SUM(AI86:AL86)</f>
        <v>-4.3000000000000007</v>
      </c>
      <c r="BT86" s="48">
        <f>SUM(AM86:AP86)</f>
        <v>-3.6999999999999997</v>
      </c>
      <c r="BU86" s="48">
        <f>SUM(AQ86:AT86)</f>
        <v>-2.5</v>
      </c>
      <c r="BV86" s="48">
        <f t="shared" si="226"/>
        <v>-4.4640000000000004</v>
      </c>
    </row>
    <row r="87" spans="2:134" s="2" customFormat="1" ht="15">
      <c r="B87" s="2" t="s">
        <v>293</v>
      </c>
      <c r="C87" s="50">
        <f>C85+C86</f>
        <v>4.4000000000000004</v>
      </c>
      <c r="D87" s="50">
        <f t="shared" ref="D87:AW87" si="227">D85+D86</f>
        <v>4.2</v>
      </c>
      <c r="E87" s="50">
        <f t="shared" si="227"/>
        <v>-2.4</v>
      </c>
      <c r="F87" s="50">
        <f t="shared" si="227"/>
        <v>7.3</v>
      </c>
      <c r="G87" s="50">
        <f t="shared" si="227"/>
        <v>0.30000000000000071</v>
      </c>
      <c r="H87" s="50">
        <f t="shared" si="227"/>
        <v>-4.5</v>
      </c>
      <c r="I87" s="50">
        <f t="shared" si="227"/>
        <v>8.6999999999999993</v>
      </c>
      <c r="J87" s="50">
        <f t="shared" si="227"/>
        <v>9.8999999999999986</v>
      </c>
      <c r="K87" s="50">
        <f t="shared" si="227"/>
        <v>4</v>
      </c>
      <c r="L87" s="50">
        <f t="shared" si="227"/>
        <v>9.1999999999999993</v>
      </c>
      <c r="M87" s="50">
        <f t="shared" si="227"/>
        <v>11.700000000000001</v>
      </c>
      <c r="N87" s="50">
        <f t="shared" si="227"/>
        <v>18.100000000000001</v>
      </c>
      <c r="O87" s="50">
        <f t="shared" si="227"/>
        <v>6.9</v>
      </c>
      <c r="P87" s="50">
        <f t="shared" si="227"/>
        <v>13.5</v>
      </c>
      <c r="Q87" s="50">
        <f t="shared" si="227"/>
        <v>14</v>
      </c>
      <c r="R87" s="50">
        <f t="shared" si="227"/>
        <v>18.3</v>
      </c>
      <c r="S87" s="50">
        <f t="shared" si="227"/>
        <v>2.5</v>
      </c>
      <c r="T87" s="50">
        <f t="shared" si="227"/>
        <v>9.5</v>
      </c>
      <c r="U87" s="50">
        <f t="shared" si="227"/>
        <v>3.9</v>
      </c>
      <c r="V87" s="50">
        <f t="shared" si="227"/>
        <v>23.1</v>
      </c>
      <c r="W87" s="50">
        <f t="shared" si="227"/>
        <v>-9.6</v>
      </c>
      <c r="X87" s="50">
        <f t="shared" si="227"/>
        <v>12.3</v>
      </c>
      <c r="Y87" s="50">
        <f t="shared" si="227"/>
        <v>7.4</v>
      </c>
      <c r="Z87" s="50">
        <f t="shared" si="227"/>
        <v>24.2</v>
      </c>
      <c r="AA87" s="50">
        <f t="shared" si="227"/>
        <v>-7.9</v>
      </c>
      <c r="AB87" s="50">
        <f t="shared" si="227"/>
        <v>3.3000000000000003</v>
      </c>
      <c r="AC87" s="50">
        <f t="shared" si="227"/>
        <v>-19.5</v>
      </c>
      <c r="AD87" s="50">
        <f t="shared" si="227"/>
        <v>2.4</v>
      </c>
      <c r="AE87" s="50">
        <f t="shared" si="227"/>
        <v>-7.2</v>
      </c>
      <c r="AF87" s="50">
        <f t="shared" si="227"/>
        <v>10</v>
      </c>
      <c r="AG87" s="50">
        <f t="shared" si="227"/>
        <v>4.5</v>
      </c>
      <c r="AH87" s="50">
        <f t="shared" si="227"/>
        <v>11.6</v>
      </c>
      <c r="AI87" s="50">
        <f t="shared" si="227"/>
        <v>-14.4</v>
      </c>
      <c r="AJ87" s="50">
        <f t="shared" si="227"/>
        <v>-1.9</v>
      </c>
      <c r="AK87" s="50">
        <f t="shared" si="227"/>
        <v>-11.4</v>
      </c>
      <c r="AL87" s="50">
        <f t="shared" si="227"/>
        <v>16.2</v>
      </c>
      <c r="AM87" s="50">
        <f t="shared" si="227"/>
        <v>-27.7</v>
      </c>
      <c r="AN87" s="50">
        <f t="shared" si="227"/>
        <v>5</v>
      </c>
      <c r="AO87" s="50">
        <f t="shared" si="227"/>
        <v>-0.70000000000000018</v>
      </c>
      <c r="AP87" s="50">
        <f t="shared" si="227"/>
        <v>19.899999999999999</v>
      </c>
      <c r="AQ87" s="50">
        <f t="shared" si="227"/>
        <v>-27.5</v>
      </c>
      <c r="AR87" s="50">
        <f t="shared" si="227"/>
        <v>3.5</v>
      </c>
      <c r="AS87" s="50">
        <f t="shared" si="227"/>
        <v>-14.3</v>
      </c>
      <c r="AT87" s="50">
        <f t="shared" si="227"/>
        <v>7.7</v>
      </c>
      <c r="AU87" s="50">
        <f t="shared" si="227"/>
        <v>-20.7</v>
      </c>
      <c r="AV87" s="50">
        <f t="shared" si="227"/>
        <v>0.5</v>
      </c>
      <c r="AW87" s="50">
        <f t="shared" si="227"/>
        <v>-16.399999999999999</v>
      </c>
      <c r="AX87" s="50">
        <f t="shared" ref="AX87:AY87" si="228">AX85+AX86</f>
        <v>22.007999999999999</v>
      </c>
      <c r="AY87" s="50">
        <f t="shared" si="228"/>
        <v>-16.645</v>
      </c>
      <c r="AZ87" s="50">
        <f t="shared" ref="AZ87" si="229">AZ85+AZ86</f>
        <v>4.2450000000000001</v>
      </c>
      <c r="BA87" s="35"/>
      <c r="BB87" s="35"/>
      <c r="BC87" s="35"/>
      <c r="BD87" s="35"/>
      <c r="BE87" s="35"/>
      <c r="BF87" s="35"/>
      <c r="BK87" s="50">
        <f t="shared" ref="BK87:BT87" si="230">BK85+BK86</f>
        <v>13.500000000000004</v>
      </c>
      <c r="BL87" s="50">
        <f t="shared" si="230"/>
        <v>14.399999999999999</v>
      </c>
      <c r="BM87" s="50">
        <f t="shared" si="230"/>
        <v>42.900000000000006</v>
      </c>
      <c r="BN87" s="50">
        <f t="shared" si="230"/>
        <v>52.7</v>
      </c>
      <c r="BO87" s="50">
        <f t="shared" si="230"/>
        <v>39</v>
      </c>
      <c r="BP87" s="50">
        <f t="shared" si="230"/>
        <v>34.299999999999997</v>
      </c>
      <c r="BQ87" s="50">
        <f t="shared" si="230"/>
        <v>-21.7</v>
      </c>
      <c r="BR87" s="50">
        <f t="shared" si="230"/>
        <v>18.900000000000002</v>
      </c>
      <c r="BS87" s="50">
        <f t="shared" si="230"/>
        <v>-11.500000000000002</v>
      </c>
      <c r="BT87" s="50">
        <f t="shared" si="230"/>
        <v>-4.1999999999999993</v>
      </c>
      <c r="BU87" s="50">
        <f>BU85+BU86</f>
        <v>-30.7</v>
      </c>
      <c r="BV87" s="50">
        <f t="shared" si="226"/>
        <v>-14.591999999999995</v>
      </c>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c r="CV87" s="35"/>
      <c r="CW87" s="35"/>
      <c r="CX87" s="35"/>
      <c r="CY87" s="35"/>
      <c r="CZ87" s="35"/>
      <c r="DA87" s="35"/>
      <c r="DB87" s="35"/>
      <c r="DC87" s="35"/>
      <c r="DD87" s="35"/>
      <c r="DE87" s="35"/>
      <c r="DF87" s="35"/>
      <c r="DG87" s="35"/>
      <c r="DH87" s="35"/>
      <c r="DI87" s="35"/>
      <c r="DJ87" s="35"/>
      <c r="DK87" s="35"/>
      <c r="DL87" s="35"/>
      <c r="DM87" s="35"/>
      <c r="DN87" s="35"/>
      <c r="DO87" s="35"/>
      <c r="DP87" s="35"/>
      <c r="DQ87" s="35"/>
      <c r="DR87" s="35"/>
      <c r="DS87" s="35"/>
      <c r="DT87" s="35"/>
      <c r="DU87" s="35"/>
      <c r="DV87" s="35"/>
      <c r="DW87" s="35"/>
      <c r="DX87" s="35"/>
      <c r="DY87" s="35"/>
      <c r="DZ87" s="35"/>
      <c r="EA87" s="35"/>
      <c r="EB87" s="35"/>
      <c r="EC87" s="35"/>
      <c r="ED87" s="35"/>
    </row>
    <row r="88" spans="2:134">
      <c r="B88" s="1" t="s">
        <v>243</v>
      </c>
      <c r="C88" s="48">
        <f t="shared" ref="C88:AW88" si="231">C42</f>
        <v>35</v>
      </c>
      <c r="D88" s="48">
        <f t="shared" si="231"/>
        <v>35</v>
      </c>
      <c r="E88" s="48">
        <f t="shared" si="231"/>
        <v>35</v>
      </c>
      <c r="F88" s="48">
        <f t="shared" si="231"/>
        <v>35</v>
      </c>
      <c r="G88" s="48">
        <f t="shared" si="231"/>
        <v>35</v>
      </c>
      <c r="H88" s="48">
        <f t="shared" si="231"/>
        <v>36</v>
      </c>
      <c r="I88" s="48">
        <f t="shared" si="231"/>
        <v>36</v>
      </c>
      <c r="J88" s="48">
        <f t="shared" si="231"/>
        <v>36</v>
      </c>
      <c r="K88" s="48">
        <f t="shared" si="231"/>
        <v>36</v>
      </c>
      <c r="L88" s="48">
        <f t="shared" si="231"/>
        <v>36</v>
      </c>
      <c r="M88" s="48">
        <f t="shared" si="231"/>
        <v>36</v>
      </c>
      <c r="N88" s="48">
        <f t="shared" si="231"/>
        <v>36</v>
      </c>
      <c r="O88" s="48">
        <f t="shared" si="231"/>
        <v>37</v>
      </c>
      <c r="P88" s="48">
        <f t="shared" si="231"/>
        <v>37</v>
      </c>
      <c r="Q88" s="48">
        <f t="shared" si="231"/>
        <v>37</v>
      </c>
      <c r="R88" s="48">
        <f t="shared" si="231"/>
        <v>37</v>
      </c>
      <c r="S88" s="48">
        <f t="shared" si="231"/>
        <v>37</v>
      </c>
      <c r="T88" s="48">
        <f t="shared" si="231"/>
        <v>37</v>
      </c>
      <c r="U88" s="48">
        <f t="shared" si="231"/>
        <v>37</v>
      </c>
      <c r="V88" s="48">
        <f t="shared" si="231"/>
        <v>37</v>
      </c>
      <c r="W88" s="48">
        <f t="shared" si="231"/>
        <v>37</v>
      </c>
      <c r="X88" s="48">
        <f t="shared" si="231"/>
        <v>37</v>
      </c>
      <c r="Y88" s="48">
        <f t="shared" si="231"/>
        <v>38</v>
      </c>
      <c r="Z88" s="48">
        <f t="shared" si="231"/>
        <v>37</v>
      </c>
      <c r="AA88" s="48">
        <f t="shared" si="231"/>
        <v>38</v>
      </c>
      <c r="AB88" s="48">
        <f t="shared" si="231"/>
        <v>38</v>
      </c>
      <c r="AC88" s="48">
        <f t="shared" si="231"/>
        <v>38</v>
      </c>
      <c r="AD88" s="48">
        <f t="shared" si="231"/>
        <v>38</v>
      </c>
      <c r="AE88" s="48">
        <f t="shared" si="231"/>
        <v>38.156999999999996</v>
      </c>
      <c r="AF88" s="48">
        <f t="shared" si="231"/>
        <v>38.326999999999998</v>
      </c>
      <c r="AG88" s="48">
        <f t="shared" si="231"/>
        <v>38.36</v>
      </c>
      <c r="AH88" s="48">
        <f t="shared" si="231"/>
        <v>38.341999999999999</v>
      </c>
      <c r="AI88" s="48">
        <f t="shared" si="231"/>
        <v>38.734000000000002</v>
      </c>
      <c r="AJ88" s="48">
        <f t="shared" si="231"/>
        <v>39.052999999999997</v>
      </c>
      <c r="AK88" s="48">
        <f t="shared" si="231"/>
        <v>39.091999999999999</v>
      </c>
      <c r="AL88" s="48">
        <f t="shared" si="231"/>
        <v>39.009</v>
      </c>
      <c r="AM88" s="48">
        <f t="shared" si="231"/>
        <v>39.302</v>
      </c>
      <c r="AN88" s="48">
        <f t="shared" si="231"/>
        <v>39.49</v>
      </c>
      <c r="AO88" s="48">
        <f t="shared" si="231"/>
        <v>39.509</v>
      </c>
      <c r="AP88" s="48">
        <f t="shared" si="231"/>
        <v>39.479999999999997</v>
      </c>
      <c r="AQ88" s="48">
        <f t="shared" si="231"/>
        <v>39.841999999999999</v>
      </c>
      <c r="AR88" s="48">
        <f t="shared" si="231"/>
        <v>40.219000000000001</v>
      </c>
      <c r="AS88" s="48">
        <f t="shared" si="231"/>
        <v>40.234000000000002</v>
      </c>
      <c r="AT88" s="48">
        <f t="shared" si="231"/>
        <v>40.180999999999997</v>
      </c>
      <c r="AU88" s="48">
        <f t="shared" si="231"/>
        <v>40.652999999999999</v>
      </c>
      <c r="AV88" s="48">
        <f t="shared" si="231"/>
        <v>40.921999999999997</v>
      </c>
      <c r="AW88" s="48">
        <f t="shared" si="231"/>
        <v>40.853000000000002</v>
      </c>
      <c r="AX88" s="48">
        <f t="shared" ref="AX88:AY88" si="232">AX42</f>
        <v>40.853000000000002</v>
      </c>
      <c r="AY88" s="48">
        <f t="shared" si="232"/>
        <v>41.173999999999999</v>
      </c>
      <c r="AZ88" s="48">
        <f t="shared" ref="AZ88" si="233">AZ42</f>
        <v>41.54</v>
      </c>
      <c r="BK88" s="48">
        <f>AVERAGE(C88:F88)</f>
        <v>35</v>
      </c>
      <c r="BL88" s="48">
        <f>AVERAGE(G88:J88)</f>
        <v>35.75</v>
      </c>
      <c r="BM88" s="48">
        <v>35</v>
      </c>
      <c r="BN88" s="48">
        <f>AVERAGE(O88:R88)</f>
        <v>37</v>
      </c>
      <c r="BO88" s="48">
        <f>AVERAGE(S88:V88)</f>
        <v>37</v>
      </c>
      <c r="BP88" s="48">
        <f>AVERAGE(W88:Z88)</f>
        <v>37.25</v>
      </c>
      <c r="BQ88" s="48">
        <f>AVERAGE(AA88:AD88)</f>
        <v>38</v>
      </c>
      <c r="BR88" s="48">
        <f>AVERAGE(AE88:AH88)</f>
        <v>38.296499999999995</v>
      </c>
      <c r="BS88" s="48">
        <f>AVERAGE(AI88:AL88)</f>
        <v>38.972000000000001</v>
      </c>
      <c r="BT88" s="48">
        <f>AVERAGE(AM88:AP88)</f>
        <v>39.445250000000001</v>
      </c>
      <c r="BU88" s="48">
        <f>AVERAGE(AQ88:AT88)</f>
        <v>40.119</v>
      </c>
      <c r="BV88" s="48">
        <f>AVERAGE(AU88:AX88)</f>
        <v>40.820250000000001</v>
      </c>
    </row>
    <row r="89" spans="2:134">
      <c r="B89" s="1" t="s">
        <v>294</v>
      </c>
      <c r="C89" s="41">
        <f>C87/C88</f>
        <v>0.12571428571428572</v>
      </c>
      <c r="D89" s="1">
        <f>D87/D88</f>
        <v>0.12000000000000001</v>
      </c>
      <c r="E89" s="41">
        <f t="shared" ref="E89:AW89" si="234">E87/E88</f>
        <v>-6.8571428571428575E-2</v>
      </c>
      <c r="F89" s="41">
        <f t="shared" si="234"/>
        <v>0.20857142857142857</v>
      </c>
      <c r="G89" s="41">
        <f t="shared" si="234"/>
        <v>8.5714285714285909E-3</v>
      </c>
      <c r="H89" s="41">
        <f t="shared" si="234"/>
        <v>-0.125</v>
      </c>
      <c r="I89" s="41">
        <f t="shared" si="234"/>
        <v>0.24166666666666664</v>
      </c>
      <c r="J89" s="41">
        <f t="shared" si="234"/>
        <v>0.27499999999999997</v>
      </c>
      <c r="K89" s="41">
        <f t="shared" si="234"/>
        <v>0.1111111111111111</v>
      </c>
      <c r="L89" s="41">
        <f t="shared" si="234"/>
        <v>0.25555555555555554</v>
      </c>
      <c r="M89" s="41">
        <f t="shared" si="234"/>
        <v>0.32500000000000001</v>
      </c>
      <c r="N89" s="41">
        <f t="shared" si="234"/>
        <v>0.50277777777777777</v>
      </c>
      <c r="O89" s="41">
        <f t="shared" si="234"/>
        <v>0.1864864864864865</v>
      </c>
      <c r="P89" s="41">
        <f t="shared" si="234"/>
        <v>0.36486486486486486</v>
      </c>
      <c r="Q89" s="41">
        <f t="shared" si="234"/>
        <v>0.3783783783783784</v>
      </c>
      <c r="R89" s="41">
        <f t="shared" si="234"/>
        <v>0.49459459459459459</v>
      </c>
      <c r="S89" s="41">
        <f t="shared" si="234"/>
        <v>6.7567567567567571E-2</v>
      </c>
      <c r="T89" s="41">
        <f t="shared" si="234"/>
        <v>0.25675675675675674</v>
      </c>
      <c r="U89" s="41">
        <f t="shared" si="234"/>
        <v>0.1054054054054054</v>
      </c>
      <c r="V89" s="41">
        <f t="shared" si="234"/>
        <v>0.62432432432432439</v>
      </c>
      <c r="W89" s="41">
        <f t="shared" si="234"/>
        <v>-0.25945945945945947</v>
      </c>
      <c r="X89" s="41">
        <f t="shared" si="234"/>
        <v>0.33243243243243248</v>
      </c>
      <c r="Y89" s="41">
        <f t="shared" si="234"/>
        <v>0.19473684210526318</v>
      </c>
      <c r="Z89" s="41">
        <f t="shared" si="234"/>
        <v>0.65405405405405403</v>
      </c>
      <c r="AA89" s="41">
        <f t="shared" si="234"/>
        <v>-0.20789473684210527</v>
      </c>
      <c r="AB89" s="41">
        <f t="shared" si="234"/>
        <v>8.6842105263157901E-2</v>
      </c>
      <c r="AC89" s="41">
        <f t="shared" si="234"/>
        <v>-0.51315789473684215</v>
      </c>
      <c r="AD89" s="41">
        <f t="shared" si="234"/>
        <v>6.3157894736842107E-2</v>
      </c>
      <c r="AE89" s="41">
        <f t="shared" si="234"/>
        <v>-0.1886940797232487</v>
      </c>
      <c r="AF89" s="41">
        <f t="shared" si="234"/>
        <v>0.2609126725285047</v>
      </c>
      <c r="AG89" s="41">
        <f t="shared" si="234"/>
        <v>0.1173096976016684</v>
      </c>
      <c r="AH89" s="41">
        <f t="shared" si="234"/>
        <v>0.30254029523759846</v>
      </c>
      <c r="AI89" s="41">
        <f t="shared" si="234"/>
        <v>-0.37176640677441009</v>
      </c>
      <c r="AJ89" s="41">
        <f t="shared" si="234"/>
        <v>-4.865183212557294E-2</v>
      </c>
      <c r="AK89" s="41">
        <f t="shared" si="234"/>
        <v>-0.29161976875063955</v>
      </c>
      <c r="AL89" s="41">
        <f t="shared" si="234"/>
        <v>0.41528877951242021</v>
      </c>
      <c r="AM89" s="41">
        <f t="shared" si="234"/>
        <v>-0.70479873797771109</v>
      </c>
      <c r="AN89" s="41">
        <f t="shared" si="234"/>
        <v>0.12661433274246645</v>
      </c>
      <c r="AO89" s="41">
        <f t="shared" si="234"/>
        <v>-1.7717482092687746E-2</v>
      </c>
      <c r="AP89" s="41">
        <f t="shared" si="234"/>
        <v>0.50405268490374877</v>
      </c>
      <c r="AQ89" s="41">
        <f t="shared" si="234"/>
        <v>-0.69022639425731647</v>
      </c>
      <c r="AR89" s="41">
        <f t="shared" si="234"/>
        <v>8.7023546085183617E-2</v>
      </c>
      <c r="AS89" s="41">
        <f t="shared" si="234"/>
        <v>-0.35542078838793062</v>
      </c>
      <c r="AT89" s="41">
        <f t="shared" si="234"/>
        <v>0.19163286130260573</v>
      </c>
      <c r="AU89" s="41">
        <f t="shared" si="234"/>
        <v>-0.5091875138366172</v>
      </c>
      <c r="AV89" s="41">
        <f t="shared" si="234"/>
        <v>1.2218366648746396E-2</v>
      </c>
      <c r="AW89" s="41">
        <f t="shared" si="234"/>
        <v>-0.40143930678285555</v>
      </c>
      <c r="AX89" s="41">
        <f t="shared" ref="AX89:AY89" si="235">AX87/AX88</f>
        <v>0.53871196729738324</v>
      </c>
      <c r="AY89" s="41">
        <f t="shared" si="235"/>
        <v>-0.40425996988390733</v>
      </c>
      <c r="AZ89" s="41">
        <f t="shared" ref="AZ89" si="236">AZ87/AZ88</f>
        <v>0.10219065960519981</v>
      </c>
      <c r="BK89" s="41">
        <f t="shared" ref="BK89:BT89" si="237">BK87/BK88</f>
        <v>0.38571428571428584</v>
      </c>
      <c r="BL89" s="41">
        <f t="shared" si="237"/>
        <v>0.40279720279720277</v>
      </c>
      <c r="BM89" s="41">
        <f t="shared" si="237"/>
        <v>1.225714285714286</v>
      </c>
      <c r="BN89" s="41">
        <f t="shared" si="237"/>
        <v>1.4243243243243244</v>
      </c>
      <c r="BO89" s="41">
        <f t="shared" si="237"/>
        <v>1.0540540540540539</v>
      </c>
      <c r="BP89" s="41">
        <f t="shared" si="237"/>
        <v>0.92080536912751665</v>
      </c>
      <c r="BQ89" s="41">
        <f t="shared" si="237"/>
        <v>-0.57105263157894737</v>
      </c>
      <c r="BR89" s="41">
        <f t="shared" si="237"/>
        <v>0.49351768438369054</v>
      </c>
      <c r="BS89" s="41">
        <f t="shared" si="237"/>
        <v>-0.29508364979985635</v>
      </c>
      <c r="BT89" s="41">
        <f t="shared" si="237"/>
        <v>-0.1064766987153079</v>
      </c>
      <c r="BU89" s="41">
        <f>BU87/BU88</f>
        <v>-0.7652234602058875</v>
      </c>
      <c r="BV89" s="41">
        <f t="shared" si="226"/>
        <v>-0.3596964866733432</v>
      </c>
    </row>
  </sheetData>
  <mergeCells count="1">
    <mergeCell ref="CE66:CF66"/>
  </mergeCells>
  <conditionalFormatting sqref="CE66">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Sell",CE66)))</formula>
    </cfRule>
    <cfRule type="containsText" dxfId="3" priority="3" operator="containsText" text="Sell">
      <formula>NOT(ISERROR(SEARCH("Sell",CE66)))</formula>
    </cfRule>
    <cfRule type="containsText" dxfId="2" priority="4" operator="containsText" text="Hold">
      <formula>NOT(ISERROR(SEARCH("Hold",CE66)))</formula>
    </cfRule>
    <cfRule type="beginsWith" dxfId="1" priority="5" operator="beginsWith" text="Buy">
      <formula>LEFT(CE66,LEN("Buy"))="Buy"</formula>
    </cfRule>
    <cfRule type="beginsWith" dxfId="0" priority="6" operator="beginsWith" text="Strong">
      <formula>LEFT(CE66,LEN("Strong"))="Strong"</formula>
    </cfRule>
  </conditionalFormatting>
  <pageMargins left="0.7" right="0.7" top="0.75" bottom="0.75" header="0.3" footer="0.3"/>
  <ignoredErrors>
    <ignoredError sqref="AO36:AS36 R39 AL62 AW62 AX72 BV88" formula="1"/>
    <ignoredError sqref="AE47:AW51 AE43:AH43 AE32:AH32 AE33:AH35 AE38:AH38 AE42:AH42 S39:AH39 C27:AH30 C26:AG26 C36:AH37 C31:AH31 C40:AH41 C39:Q39 BK27:BR41 BK43:BR43 BU86 BK85:BT85 BK86:BL86 BN86:BT86 AT62:AV62 AW76:AW78 AH79:AW79 AH76:AV78 AX76:AX79 AX85:AX86 AY47 AY76:AY78 BK26:BR26 BV42 AZ76:AZ82" formulaRange="1"/>
    <ignoredError sqref="AH26 BS42:BU42 BK42:BR42 AP62 AI62 AX62" formula="1" formulaRange="1"/>
    <ignoredError sqref="C43:AD43" evalError="1" formulaRange="1"/>
    <ignoredError sqref="AZ89 AZ23:AZ24" evalError="1"/>
  </ignoredErrors>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618"/>
  <sheetViews>
    <sheetView topLeftCell="H1" zoomScale="57" zoomScaleNormal="85" workbookViewId="0">
      <selection activeCell="AA130" sqref="AA130"/>
    </sheetView>
  </sheetViews>
  <sheetFormatPr defaultColWidth="9.140625" defaultRowHeight="14.25"/>
  <cols>
    <col min="1" max="7" width="0"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295</v>
      </c>
      <c r="AD2" s="2" t="s">
        <v>1358</v>
      </c>
    </row>
    <row r="18" spans="9:30" ht="15">
      <c r="AD18" s="2" t="s">
        <v>1359</v>
      </c>
    </row>
    <row r="19" spans="9:30" ht="15">
      <c r="AD19" s="2" t="s">
        <v>296</v>
      </c>
    </row>
    <row r="31" spans="9:30">
      <c r="I31" s="1" t="s">
        <v>297</v>
      </c>
      <c r="J31" s="1" t="s">
        <v>298</v>
      </c>
    </row>
    <row r="32" spans="9:30">
      <c r="J32" s="1" t="s">
        <v>299</v>
      </c>
    </row>
    <row r="33" spans="8:10">
      <c r="J33" s="1" t="s">
        <v>300</v>
      </c>
    </row>
    <row r="35" spans="8:10" ht="15">
      <c r="H35" s="2" t="s">
        <v>301</v>
      </c>
    </row>
    <row r="66" spans="8:30">
      <c r="I66" s="1" t="s">
        <v>297</v>
      </c>
      <c r="J66" s="1" t="s">
        <v>298</v>
      </c>
    </row>
    <row r="67" spans="8:30">
      <c r="J67" s="1" t="s">
        <v>299</v>
      </c>
    </row>
    <row r="68" spans="8:30">
      <c r="J68" s="1" t="s">
        <v>300</v>
      </c>
    </row>
    <row r="70" spans="8:30" ht="15">
      <c r="H70" s="2" t="s">
        <v>1360</v>
      </c>
      <c r="AD70" s="2" t="s">
        <v>302</v>
      </c>
    </row>
    <row r="102" spans="8:30">
      <c r="I102" s="1" t="s">
        <v>297</v>
      </c>
      <c r="J102" s="1" t="s">
        <v>298</v>
      </c>
    </row>
    <row r="103" spans="8:30">
      <c r="J103" s="1" t="s">
        <v>299</v>
      </c>
    </row>
    <row r="104" spans="8:30">
      <c r="J104" s="1" t="s">
        <v>300</v>
      </c>
    </row>
    <row r="106" spans="8:30" ht="15">
      <c r="H106" s="2" t="s">
        <v>303</v>
      </c>
      <c r="AD106" s="2" t="s">
        <v>304</v>
      </c>
    </row>
    <row r="135" spans="8:10">
      <c r="I135" s="1" t="s">
        <v>297</v>
      </c>
      <c r="J135" s="1" t="s">
        <v>298</v>
      </c>
    </row>
    <row r="136" spans="8:10">
      <c r="J136" s="1" t="s">
        <v>299</v>
      </c>
    </row>
    <row r="137" spans="8:10">
      <c r="J137" s="1" t="s">
        <v>300</v>
      </c>
    </row>
    <row r="139" spans="8:10" ht="15">
      <c r="H139" s="2" t="s">
        <v>305</v>
      </c>
    </row>
    <row r="168" spans="8:30">
      <c r="I168" s="1" t="s">
        <v>297</v>
      </c>
      <c r="J168" s="1" t="s">
        <v>298</v>
      </c>
    </row>
    <row r="169" spans="8:30">
      <c r="J169" s="1" t="s">
        <v>299</v>
      </c>
    </row>
    <row r="170" spans="8:30">
      <c r="J170" s="1" t="s">
        <v>300</v>
      </c>
    </row>
    <row r="172" spans="8:30" ht="15">
      <c r="H172" s="2" t="s">
        <v>1361</v>
      </c>
      <c r="AD172" s="2" t="s">
        <v>306</v>
      </c>
    </row>
    <row r="180" spans="1:7" ht="15" customHeight="1"/>
    <row r="188" spans="1:7">
      <c r="A188" s="1" t="s">
        <v>307</v>
      </c>
    </row>
    <row r="189" spans="1:7">
      <c r="A189" s="24" t="s">
        <v>308</v>
      </c>
      <c r="B189" s="24" t="s">
        <v>309</v>
      </c>
      <c r="C189" s="24" t="s">
        <v>310</v>
      </c>
      <c r="D189" s="24" t="s">
        <v>311</v>
      </c>
      <c r="E189" s="24" t="s">
        <v>312</v>
      </c>
      <c r="F189" s="24" t="s">
        <v>313</v>
      </c>
      <c r="G189" s="24" t="s">
        <v>314</v>
      </c>
    </row>
    <row r="190" spans="1:7">
      <c r="A190" s="54">
        <v>11.14</v>
      </c>
      <c r="B190" s="54">
        <v>11.23</v>
      </c>
      <c r="C190" s="54">
        <v>11.01</v>
      </c>
      <c r="D190" s="54">
        <v>11.19</v>
      </c>
      <c r="E190" s="53">
        <v>476307</v>
      </c>
      <c r="F190" s="53" t="s">
        <v>315</v>
      </c>
      <c r="G190" s="25">
        <f>A190/D190-1</f>
        <v>-4.4682752457549935E-3</v>
      </c>
    </row>
    <row r="191" spans="1:7">
      <c r="A191" s="54">
        <v>11.12</v>
      </c>
      <c r="B191" s="54">
        <v>11.23</v>
      </c>
      <c r="C191" s="54">
        <v>10.850099999999999</v>
      </c>
      <c r="D191" s="54">
        <v>11.06</v>
      </c>
      <c r="E191" s="53">
        <v>640778</v>
      </c>
      <c r="F191" s="53" t="s">
        <v>316</v>
      </c>
      <c r="G191" s="25">
        <f t="shared" ref="G191:G254" si="0">A191/D191-1</f>
        <v>5.4249547920433017E-3</v>
      </c>
    </row>
    <row r="192" spans="1:7">
      <c r="A192" s="54">
        <v>11.06</v>
      </c>
      <c r="B192" s="54">
        <v>12.11</v>
      </c>
      <c r="C192" s="54">
        <v>10.93</v>
      </c>
      <c r="D192" s="54">
        <v>11.04</v>
      </c>
      <c r="E192" s="53">
        <v>765300</v>
      </c>
      <c r="F192" s="53" t="s">
        <v>317</v>
      </c>
      <c r="G192" s="25">
        <f t="shared" si="0"/>
        <v>1.8115942028986698E-3</v>
      </c>
    </row>
    <row r="193" spans="1:11">
      <c r="A193" s="54">
        <v>10.96</v>
      </c>
      <c r="B193" s="54">
        <v>11.25</v>
      </c>
      <c r="C193" s="54">
        <v>10.79</v>
      </c>
      <c r="D193" s="54">
        <v>10.91</v>
      </c>
      <c r="E193" s="53">
        <v>620386</v>
      </c>
      <c r="F193" s="53" t="s">
        <v>318</v>
      </c>
      <c r="G193" s="25">
        <f t="shared" si="0"/>
        <v>4.5829514207149646E-3</v>
      </c>
    </row>
    <row r="194" spans="1:11">
      <c r="A194" s="54">
        <v>10.96</v>
      </c>
      <c r="B194" s="54">
        <v>11.04</v>
      </c>
      <c r="C194" s="54">
        <v>10.64</v>
      </c>
      <c r="D194" s="54">
        <v>10.98</v>
      </c>
      <c r="E194" s="53">
        <v>488846</v>
      </c>
      <c r="F194" s="53" t="s">
        <v>319</v>
      </c>
      <c r="G194" s="25">
        <f t="shared" si="0"/>
        <v>-1.8214936247722413E-3</v>
      </c>
    </row>
    <row r="195" spans="1:11">
      <c r="A195" s="54">
        <v>10.95</v>
      </c>
      <c r="B195" s="54">
        <v>11.12</v>
      </c>
      <c r="C195" s="54">
        <v>10.15</v>
      </c>
      <c r="D195" s="54">
        <v>10.24</v>
      </c>
      <c r="E195" s="53">
        <v>1984783</v>
      </c>
      <c r="F195" s="53" t="s">
        <v>320</v>
      </c>
      <c r="G195" s="25">
        <f t="shared" si="0"/>
        <v>6.93359375E-2</v>
      </c>
    </row>
    <row r="196" spans="1:11">
      <c r="A196" s="54">
        <v>9.6999999999999993</v>
      </c>
      <c r="B196" s="54">
        <v>10.34</v>
      </c>
      <c r="C196" s="54">
        <v>9.36</v>
      </c>
      <c r="D196" s="54">
        <v>10.16</v>
      </c>
      <c r="E196" s="53">
        <v>1137231</v>
      </c>
      <c r="F196" s="53" t="s">
        <v>321</v>
      </c>
      <c r="G196" s="25">
        <f t="shared" si="0"/>
        <v>-4.5275590551181133E-2</v>
      </c>
    </row>
    <row r="197" spans="1:11">
      <c r="A197" s="54">
        <v>10.199999999999999</v>
      </c>
      <c r="B197" s="54">
        <v>10.395</v>
      </c>
      <c r="C197" s="54">
        <v>9.7799999999999994</v>
      </c>
      <c r="D197" s="54">
        <v>9.9600000000000009</v>
      </c>
      <c r="E197" s="53">
        <v>911553</v>
      </c>
      <c r="F197" s="53" t="s">
        <v>322</v>
      </c>
      <c r="G197" s="25">
        <f t="shared" si="0"/>
        <v>2.409638554216853E-2</v>
      </c>
    </row>
    <row r="198" spans="1:11">
      <c r="A198" s="54">
        <v>10</v>
      </c>
      <c r="B198" s="54">
        <v>10.37</v>
      </c>
      <c r="C198" s="54">
        <v>9.8607999999999993</v>
      </c>
      <c r="D198" s="54">
        <v>10.27</v>
      </c>
      <c r="E198" s="53">
        <v>812037</v>
      </c>
      <c r="F198" s="53" t="s">
        <v>323</v>
      </c>
      <c r="G198" s="25">
        <f t="shared" si="0"/>
        <v>-2.6290165530671872E-2</v>
      </c>
    </row>
    <row r="199" spans="1:11">
      <c r="A199" s="54">
        <v>10.26</v>
      </c>
      <c r="B199" s="54">
        <v>10.36</v>
      </c>
      <c r="C199" s="54">
        <v>9.6</v>
      </c>
      <c r="D199" s="54">
        <v>9.8000000000000007</v>
      </c>
      <c r="E199" s="53">
        <v>1087250</v>
      </c>
      <c r="F199" s="53" t="s">
        <v>324</v>
      </c>
      <c r="G199" s="25">
        <f t="shared" si="0"/>
        <v>4.6938775510203978E-2</v>
      </c>
    </row>
    <row r="200" spans="1:11">
      <c r="A200" s="54">
        <v>9.7100000000000009</v>
      </c>
      <c r="B200" s="54">
        <v>9.75</v>
      </c>
      <c r="C200" s="54">
        <v>9.48</v>
      </c>
      <c r="D200" s="54">
        <v>9.5500000000000007</v>
      </c>
      <c r="E200" s="53">
        <v>353938</v>
      </c>
      <c r="F200" s="53" t="s">
        <v>325</v>
      </c>
      <c r="G200" s="25">
        <f t="shared" si="0"/>
        <v>1.6753926701570609E-2</v>
      </c>
    </row>
    <row r="201" spans="1:11">
      <c r="A201" s="54">
        <v>9.4499999999999993</v>
      </c>
      <c r="B201" s="54">
        <v>9.4700000000000006</v>
      </c>
      <c r="C201" s="54">
        <v>9.14</v>
      </c>
      <c r="D201" s="54">
        <v>9.27</v>
      </c>
      <c r="E201" s="53">
        <v>390157</v>
      </c>
      <c r="F201" s="53" t="s">
        <v>326</v>
      </c>
      <c r="G201" s="25">
        <f t="shared" si="0"/>
        <v>1.9417475728155331E-2</v>
      </c>
      <c r="I201" s="1" t="s">
        <v>297</v>
      </c>
      <c r="J201" s="1" t="s">
        <v>298</v>
      </c>
    </row>
    <row r="202" spans="1:11">
      <c r="A202" s="54">
        <v>9.41</v>
      </c>
      <c r="B202" s="54">
        <v>9.51</v>
      </c>
      <c r="C202" s="54">
        <v>9.19</v>
      </c>
      <c r="D202" s="54">
        <v>9.51</v>
      </c>
      <c r="E202" s="53">
        <v>397620</v>
      </c>
      <c r="F202" s="53" t="s">
        <v>327</v>
      </c>
      <c r="G202" s="25">
        <f t="shared" si="0"/>
        <v>-1.051524710830698E-2</v>
      </c>
      <c r="J202" s="1" t="s">
        <v>299</v>
      </c>
    </row>
    <row r="203" spans="1:11">
      <c r="A203" s="54">
        <v>9.57</v>
      </c>
      <c r="B203" s="54">
        <v>9.7899999999999991</v>
      </c>
      <c r="C203" s="54">
        <v>9.41</v>
      </c>
      <c r="D203" s="54">
        <v>9.41</v>
      </c>
      <c r="E203" s="53">
        <v>434441</v>
      </c>
      <c r="F203" s="53" t="s">
        <v>328</v>
      </c>
      <c r="G203" s="25">
        <f t="shared" si="0"/>
        <v>1.7003188097768351E-2</v>
      </c>
      <c r="J203" s="1" t="s">
        <v>300</v>
      </c>
    </row>
    <row r="204" spans="1:11">
      <c r="A204" s="54">
        <v>9.51</v>
      </c>
      <c r="B204" s="54">
        <v>9.6300000000000008</v>
      </c>
      <c r="C204" s="54">
        <v>9.44</v>
      </c>
      <c r="D204" s="54">
        <v>9.5399999999999991</v>
      </c>
      <c r="E204" s="53">
        <v>269885</v>
      </c>
      <c r="F204" s="53" t="s">
        <v>329</v>
      </c>
      <c r="G204" s="25">
        <f t="shared" si="0"/>
        <v>-3.1446540880502027E-3</v>
      </c>
    </row>
    <row r="205" spans="1:11">
      <c r="A205" s="54">
        <v>9.59</v>
      </c>
      <c r="B205" s="54">
        <v>9.6050000000000004</v>
      </c>
      <c r="C205" s="54">
        <v>9.1999999999999993</v>
      </c>
      <c r="D205" s="54">
        <v>9.25</v>
      </c>
      <c r="E205" s="53">
        <v>273972</v>
      </c>
      <c r="F205" s="53" t="s">
        <v>330</v>
      </c>
      <c r="G205" s="25">
        <f t="shared" si="0"/>
        <v>3.6756756756756825E-2</v>
      </c>
      <c r="I205" s="26"/>
      <c r="J205" s="26" t="s">
        <v>331</v>
      </c>
      <c r="K205" s="27">
        <f>MIN(G190:G1193)</f>
        <v>-0.11262798634812299</v>
      </c>
    </row>
    <row r="206" spans="1:11">
      <c r="A206" s="54">
        <v>9.4</v>
      </c>
      <c r="B206" s="54">
        <v>9.44</v>
      </c>
      <c r="C206" s="54">
        <v>9.14</v>
      </c>
      <c r="D206" s="54">
        <v>9.17</v>
      </c>
      <c r="E206" s="53">
        <v>211196</v>
      </c>
      <c r="F206" s="53" t="s">
        <v>332</v>
      </c>
      <c r="G206" s="25">
        <f t="shared" si="0"/>
        <v>2.5081788440567188E-2</v>
      </c>
      <c r="I206" s="26"/>
      <c r="J206" s="26" t="s">
        <v>333</v>
      </c>
      <c r="K206" s="27">
        <f>MAX(G190:G1193)</f>
        <v>0.15994623655913975</v>
      </c>
    </row>
    <row r="207" spans="1:11">
      <c r="A207" s="54">
        <v>9.17</v>
      </c>
      <c r="B207" s="54">
        <v>9.2799999999999994</v>
      </c>
      <c r="C207" s="54">
        <v>9.07</v>
      </c>
      <c r="D207" s="54">
        <v>9.2799999999999994</v>
      </c>
      <c r="E207" s="53">
        <v>218743</v>
      </c>
      <c r="F207" s="53" t="s">
        <v>334</v>
      </c>
      <c r="G207" s="25">
        <f t="shared" si="0"/>
        <v>-1.1853448275861989E-2</v>
      </c>
      <c r="I207" s="26"/>
      <c r="J207" s="26" t="s">
        <v>335</v>
      </c>
      <c r="K207" s="27">
        <f>AVERAGE(G190:G1193)</f>
        <v>-1.3257739039863586E-3</v>
      </c>
    </row>
    <row r="208" spans="1:11">
      <c r="A208" s="54">
        <v>9.2899999999999991</v>
      </c>
      <c r="B208" s="54">
        <v>9.41</v>
      </c>
      <c r="C208" s="54">
        <v>9.24</v>
      </c>
      <c r="D208" s="54">
        <v>9.36</v>
      </c>
      <c r="E208" s="53">
        <v>194217</v>
      </c>
      <c r="F208" s="53" t="s">
        <v>336</v>
      </c>
      <c r="G208" s="25">
        <f t="shared" si="0"/>
        <v>-7.4786324786325631E-3</v>
      </c>
      <c r="I208" s="26"/>
      <c r="J208" s="26" t="s">
        <v>337</v>
      </c>
      <c r="K208" s="27">
        <f>MEDIAN(G190:G1193)</f>
        <v>-1.2636960122308083E-3</v>
      </c>
    </row>
    <row r="209" spans="1:20" ht="15">
      <c r="A209" s="54">
        <v>9.4</v>
      </c>
      <c r="B209" s="54">
        <v>9.7200000000000006</v>
      </c>
      <c r="C209" s="54">
        <v>9.31</v>
      </c>
      <c r="D209" s="54">
        <v>9.67</v>
      </c>
      <c r="E209" s="53">
        <v>259207</v>
      </c>
      <c r="F209" s="53" t="s">
        <v>338</v>
      </c>
      <c r="G209" s="25">
        <f t="shared" si="0"/>
        <v>-2.7921406411582139E-2</v>
      </c>
      <c r="I209" s="26"/>
      <c r="J209" s="26" t="s">
        <v>339</v>
      </c>
      <c r="K209" s="27">
        <f>_xlfn.STDEV.P(G190:G1193)</f>
        <v>2.6891646201858257E-2</v>
      </c>
      <c r="M209" s="2"/>
    </row>
    <row r="210" spans="1:20" ht="15">
      <c r="A210" s="54">
        <v>9.57</v>
      </c>
      <c r="B210" s="54">
        <v>9.66</v>
      </c>
      <c r="C210" s="54">
        <v>9.32</v>
      </c>
      <c r="D210" s="54">
        <v>9.4600000000000009</v>
      </c>
      <c r="E210" s="53">
        <v>365529</v>
      </c>
      <c r="F210" s="53" t="s">
        <v>340</v>
      </c>
      <c r="G210" s="25">
        <f t="shared" si="0"/>
        <v>1.1627906976744207E-2</v>
      </c>
      <c r="I210" s="26"/>
      <c r="J210" s="28" t="s">
        <v>341</v>
      </c>
      <c r="K210" s="27">
        <f>3*K209</f>
        <v>8.0674938605574772E-2</v>
      </c>
      <c r="L210" s="26"/>
      <c r="M210" s="2" t="s">
        <v>342</v>
      </c>
    </row>
    <row r="211" spans="1:20" ht="15">
      <c r="A211" s="54">
        <v>9.11</v>
      </c>
      <c r="B211" s="54">
        <v>9.32</v>
      </c>
      <c r="C211" s="54">
        <v>9.0500000000000007</v>
      </c>
      <c r="D211" s="54">
        <v>9.32</v>
      </c>
      <c r="E211" s="53">
        <v>279516</v>
      </c>
      <c r="F211" s="53" t="s">
        <v>343</v>
      </c>
      <c r="G211" s="25">
        <f t="shared" si="0"/>
        <v>-2.2532188841201783E-2</v>
      </c>
      <c r="I211" s="26"/>
      <c r="J211" s="28" t="s">
        <v>344</v>
      </c>
      <c r="K211" s="26">
        <v>0.62</v>
      </c>
      <c r="L211" s="26"/>
      <c r="M211" s="2" t="s">
        <v>345</v>
      </c>
    </row>
    <row r="212" spans="1:20">
      <c r="A212" s="54">
        <v>9.2799999999999994</v>
      </c>
      <c r="B212" s="54">
        <v>9.68</v>
      </c>
      <c r="C212" s="54">
        <v>8.7899999999999991</v>
      </c>
      <c r="D212" s="54">
        <v>8.83</v>
      </c>
      <c r="E212" s="53">
        <v>725379</v>
      </c>
      <c r="F212" s="53" t="s">
        <v>346</v>
      </c>
      <c r="G212" s="25">
        <f t="shared" si="0"/>
        <v>5.0962627406568428E-2</v>
      </c>
    </row>
    <row r="213" spans="1:20">
      <c r="A213" s="54">
        <v>8.77</v>
      </c>
      <c r="B213" s="54">
        <v>8.98</v>
      </c>
      <c r="C213" s="54">
        <v>8.5500000000000007</v>
      </c>
      <c r="D213" s="54">
        <v>8.98</v>
      </c>
      <c r="E213" s="53">
        <v>405850</v>
      </c>
      <c r="F213" s="53" t="s">
        <v>347</v>
      </c>
      <c r="G213" s="25">
        <f t="shared" si="0"/>
        <v>-2.3385300668151587E-2</v>
      </c>
    </row>
    <row r="214" spans="1:20" ht="15" customHeight="1">
      <c r="A214" s="54">
        <v>8.6300000000000008</v>
      </c>
      <c r="B214" s="54">
        <v>8.9499999999999993</v>
      </c>
      <c r="C214" s="54">
        <v>8.6199999999999992</v>
      </c>
      <c r="D214" s="54">
        <v>8.9499999999999993</v>
      </c>
      <c r="E214" s="53">
        <v>356976</v>
      </c>
      <c r="F214" s="53" t="s">
        <v>348</v>
      </c>
      <c r="G214" s="25">
        <f t="shared" si="0"/>
        <v>-3.5754189944133929E-2</v>
      </c>
      <c r="L214" s="29" t="s">
        <v>349</v>
      </c>
      <c r="M214" s="30">
        <v>1014</v>
      </c>
    </row>
    <row r="215" spans="1:20" ht="15" customHeight="1" thickBot="1">
      <c r="A215" s="54">
        <v>9.02</v>
      </c>
      <c r="B215" s="54">
        <v>9.2899999999999991</v>
      </c>
      <c r="C215" s="54">
        <v>9</v>
      </c>
      <c r="D215" s="54">
        <v>9.2899999999999991</v>
      </c>
      <c r="E215" s="53">
        <v>232247</v>
      </c>
      <c r="F215" s="53" t="s">
        <v>350</v>
      </c>
      <c r="G215" s="25">
        <f t="shared" si="0"/>
        <v>-2.906350914962319E-2</v>
      </c>
      <c r="L215" s="1" t="s">
        <v>351</v>
      </c>
      <c r="O215" s="1" t="s">
        <v>352</v>
      </c>
      <c r="S215" s="1" t="s">
        <v>353</v>
      </c>
    </row>
    <row r="216" spans="1:20" ht="14.25" customHeight="1">
      <c r="A216" s="54">
        <v>9.2899999999999991</v>
      </c>
      <c r="B216" s="54">
        <v>9.61</v>
      </c>
      <c r="C216" s="54">
        <v>9.14</v>
      </c>
      <c r="D216" s="54">
        <v>9.33</v>
      </c>
      <c r="E216" s="53">
        <v>261568</v>
      </c>
      <c r="F216" s="53" t="s">
        <v>354</v>
      </c>
      <c r="G216" s="25">
        <f t="shared" si="0"/>
        <v>-4.2872454448018571E-3</v>
      </c>
      <c r="L216" s="31" t="s">
        <v>355</v>
      </c>
      <c r="M216" s="31" t="s">
        <v>356</v>
      </c>
      <c r="O216" s="32" t="s">
        <v>357</v>
      </c>
      <c r="P216" s="33" t="s">
        <v>358</v>
      </c>
      <c r="S216" s="31" t="s">
        <v>359</v>
      </c>
      <c r="T216" s="33" t="s">
        <v>360</v>
      </c>
    </row>
    <row r="217" spans="1:20">
      <c r="A217" s="54">
        <v>9.19</v>
      </c>
      <c r="B217" s="54">
        <v>9.3000000000000007</v>
      </c>
      <c r="C217" s="54">
        <v>8.9499999999999993</v>
      </c>
      <c r="D217" s="54">
        <v>9.27</v>
      </c>
      <c r="E217" s="53">
        <v>306595</v>
      </c>
      <c r="F217" s="53" t="s">
        <v>361</v>
      </c>
      <c r="G217" s="25">
        <f t="shared" si="0"/>
        <v>-8.6299892125134559E-3</v>
      </c>
      <c r="R217" s="1" t="s">
        <v>362</v>
      </c>
      <c r="S217" s="55">
        <f>K207</f>
        <v>-1.3257739039863586E-3</v>
      </c>
    </row>
    <row r="218" spans="1:20">
      <c r="A218" s="54">
        <v>9.2899999999999991</v>
      </c>
      <c r="B218" s="54">
        <v>9.5</v>
      </c>
      <c r="C218" s="54">
        <v>9.26</v>
      </c>
      <c r="D218" s="54">
        <v>9.48</v>
      </c>
      <c r="E218" s="53">
        <v>382949</v>
      </c>
      <c r="F218" s="53" t="s">
        <v>363</v>
      </c>
      <c r="G218" s="25">
        <f t="shared" si="0"/>
        <v>-2.0042194092827148E-2</v>
      </c>
      <c r="S218" s="55">
        <f>K207</f>
        <v>-1.3257739039863586E-3</v>
      </c>
    </row>
    <row r="219" spans="1:20">
      <c r="A219" s="54">
        <v>9.58</v>
      </c>
      <c r="B219" s="54">
        <v>9.6150000000000002</v>
      </c>
      <c r="C219" s="54">
        <v>9.39</v>
      </c>
      <c r="D219" s="54">
        <v>9.52</v>
      </c>
      <c r="E219" s="53">
        <v>187478</v>
      </c>
      <c r="F219" s="53" t="s">
        <v>364</v>
      </c>
      <c r="G219" s="25">
        <f t="shared" si="0"/>
        <v>6.302521008403339E-3</v>
      </c>
      <c r="R219" s="40" t="s">
        <v>365</v>
      </c>
      <c r="S219" s="55">
        <f>($K$209*-3)+$K$207</f>
        <v>-8.2000712509561133E-2</v>
      </c>
    </row>
    <row r="220" spans="1:20">
      <c r="A220" s="54">
        <v>9.52</v>
      </c>
      <c r="B220" s="54">
        <v>9.6750000000000007</v>
      </c>
      <c r="C220" s="54">
        <v>9.44</v>
      </c>
      <c r="D220" s="54">
        <v>9.59</v>
      </c>
      <c r="E220" s="53">
        <v>194073</v>
      </c>
      <c r="F220" s="53" t="s">
        <v>366</v>
      </c>
      <c r="G220" s="25">
        <f t="shared" si="0"/>
        <v>-7.2992700729926918E-3</v>
      </c>
      <c r="R220" s="41"/>
      <c r="S220" s="55">
        <f>($K$209*-3)+$K$207</f>
        <v>-8.2000712509561133E-2</v>
      </c>
    </row>
    <row r="221" spans="1:20">
      <c r="A221" s="54">
        <v>9.6</v>
      </c>
      <c r="B221" s="54">
        <v>9.73</v>
      </c>
      <c r="C221" s="54">
        <v>9.48</v>
      </c>
      <c r="D221" s="54">
        <v>9.57</v>
      </c>
      <c r="E221" s="53">
        <v>213760</v>
      </c>
      <c r="F221" s="53" t="s">
        <v>367</v>
      </c>
      <c r="G221" s="25">
        <f t="shared" si="0"/>
        <v>3.1347962382444194E-3</v>
      </c>
      <c r="R221" s="40" t="s">
        <v>368</v>
      </c>
      <c r="S221" s="55">
        <f>($K$209*-2)+$K$207</f>
        <v>-5.5109066307702875E-2</v>
      </c>
    </row>
    <row r="222" spans="1:20">
      <c r="A222" s="54">
        <v>9.64</v>
      </c>
      <c r="B222" s="54">
        <v>9.69</v>
      </c>
      <c r="C222" s="54">
        <v>9.4</v>
      </c>
      <c r="D222" s="54">
        <v>9.4499999999999993</v>
      </c>
      <c r="E222" s="53">
        <v>226329</v>
      </c>
      <c r="F222" s="53" t="s">
        <v>369</v>
      </c>
      <c r="G222" s="25">
        <f t="shared" si="0"/>
        <v>2.0105820105820182E-2</v>
      </c>
      <c r="R222" s="41"/>
      <c r="S222" s="55">
        <f>($K$209*-2)+$K$207</f>
        <v>-5.5109066307702875E-2</v>
      </c>
    </row>
    <row r="223" spans="1:20">
      <c r="A223" s="54">
        <v>9.35</v>
      </c>
      <c r="B223" s="54">
        <v>9.76</v>
      </c>
      <c r="C223" s="54">
        <v>9.2899999999999991</v>
      </c>
      <c r="D223" s="54">
        <v>9.5</v>
      </c>
      <c r="E223" s="53">
        <v>334530</v>
      </c>
      <c r="F223" s="53" t="s">
        <v>370</v>
      </c>
      <c r="G223" s="25">
        <f t="shared" si="0"/>
        <v>-1.5789473684210575E-2</v>
      </c>
      <c r="R223" s="42" t="s">
        <v>371</v>
      </c>
      <c r="S223" s="55">
        <f>($K$209*-1)+$K$207</f>
        <v>-2.8217420105844618E-2</v>
      </c>
    </row>
    <row r="224" spans="1:20">
      <c r="A224" s="54">
        <v>9.3000000000000007</v>
      </c>
      <c r="B224" s="54">
        <v>9.44</v>
      </c>
      <c r="C224" s="54">
        <v>9.1750000000000007</v>
      </c>
      <c r="D224" s="54">
        <v>9.33</v>
      </c>
      <c r="E224" s="53">
        <v>313122</v>
      </c>
      <c r="F224" s="53" t="s">
        <v>372</v>
      </c>
      <c r="G224" s="25">
        <f t="shared" si="0"/>
        <v>-3.215434083601254E-3</v>
      </c>
      <c r="S224" s="55">
        <f>($K$209*-1)+$K$207</f>
        <v>-2.8217420105844618E-2</v>
      </c>
    </row>
    <row r="225" spans="1:19">
      <c r="A225" s="54">
        <v>9.25</v>
      </c>
      <c r="B225" s="54">
        <v>9.44</v>
      </c>
      <c r="C225" s="54">
        <v>9.09</v>
      </c>
      <c r="D225" s="54">
        <v>9.44</v>
      </c>
      <c r="E225" s="53">
        <v>268267</v>
      </c>
      <c r="F225" s="53" t="s">
        <v>373</v>
      </c>
      <c r="G225" s="25">
        <f t="shared" si="0"/>
        <v>-2.0127118644067798E-2</v>
      </c>
      <c r="R225" s="1" t="s">
        <v>374</v>
      </c>
      <c r="S225" s="55">
        <f>($K$209*1)+$K$207</f>
        <v>2.5565872297871897E-2</v>
      </c>
    </row>
    <row r="226" spans="1:19">
      <c r="A226" s="54">
        <v>9.52</v>
      </c>
      <c r="B226" s="54">
        <v>9.58</v>
      </c>
      <c r="C226" s="54">
        <v>9.33</v>
      </c>
      <c r="D226" s="54">
        <v>9.33</v>
      </c>
      <c r="E226" s="53">
        <v>467802</v>
      </c>
      <c r="F226" s="53" t="s">
        <v>375</v>
      </c>
      <c r="G226" s="25">
        <f t="shared" si="0"/>
        <v>2.0364415862808016E-2</v>
      </c>
      <c r="S226" s="55">
        <f>($K$209*1)+$K$207</f>
        <v>2.5565872297871897E-2</v>
      </c>
    </row>
    <row r="227" spans="1:19">
      <c r="A227" s="54">
        <v>9.4600000000000009</v>
      </c>
      <c r="B227" s="54">
        <v>9.5500000000000007</v>
      </c>
      <c r="C227" s="54">
        <v>9.26</v>
      </c>
      <c r="D227" s="54">
        <v>9.5</v>
      </c>
      <c r="E227" s="53">
        <v>269761</v>
      </c>
      <c r="F227" s="53" t="s">
        <v>376</v>
      </c>
      <c r="G227" s="25">
        <f t="shared" si="0"/>
        <v>-4.2105263157893313E-3</v>
      </c>
      <c r="R227" s="43" t="s">
        <v>377</v>
      </c>
      <c r="S227" s="55">
        <f>($K$209*2)+$K$207</f>
        <v>5.2457518499730155E-2</v>
      </c>
    </row>
    <row r="228" spans="1:19">
      <c r="A228" s="54">
        <v>9.57</v>
      </c>
      <c r="B228" s="54">
        <v>9.94</v>
      </c>
      <c r="C228" s="54">
        <v>9.4552999999999994</v>
      </c>
      <c r="D228" s="54">
        <v>9.76</v>
      </c>
      <c r="E228" s="53">
        <v>232963</v>
      </c>
      <c r="F228" s="53" t="s">
        <v>378</v>
      </c>
      <c r="G228" s="25">
        <f t="shared" si="0"/>
        <v>-1.9467213114754078E-2</v>
      </c>
      <c r="S228" s="55">
        <f>($K$209*2)+$K$207</f>
        <v>5.2457518499730155E-2</v>
      </c>
    </row>
    <row r="229" spans="1:19">
      <c r="A229" s="54">
        <v>9.7899999999999991</v>
      </c>
      <c r="B229" s="54">
        <v>9.8699999999999992</v>
      </c>
      <c r="C229" s="54">
        <v>9.35</v>
      </c>
      <c r="D229" s="54">
        <v>9.5</v>
      </c>
      <c r="E229" s="53">
        <v>650800</v>
      </c>
      <c r="F229" s="53" t="s">
        <v>379</v>
      </c>
      <c r="G229" s="25">
        <f t="shared" si="0"/>
        <v>3.0526315789473513E-2</v>
      </c>
      <c r="R229" s="43" t="s">
        <v>380</v>
      </c>
      <c r="S229" s="55">
        <f>($K$209*3)+$K$207</f>
        <v>7.9349164701588412E-2</v>
      </c>
    </row>
    <row r="230" spans="1:19">
      <c r="A230" s="54">
        <v>9.2899999999999991</v>
      </c>
      <c r="B230" s="54">
        <v>9.4849999999999994</v>
      </c>
      <c r="C230" s="54">
        <v>9.02</v>
      </c>
      <c r="D230" s="54">
        <v>9.1999999999999993</v>
      </c>
      <c r="E230" s="53">
        <v>308352</v>
      </c>
      <c r="F230" s="53" t="s">
        <v>381</v>
      </c>
      <c r="G230" s="25">
        <f t="shared" si="0"/>
        <v>9.7826086956520619E-3</v>
      </c>
      <c r="R230" s="43"/>
      <c r="S230" s="55">
        <f>($K$209*3)+$K$207</f>
        <v>7.9349164701588412E-2</v>
      </c>
    </row>
    <row r="231" spans="1:19">
      <c r="A231" s="54">
        <v>9.24</v>
      </c>
      <c r="B231" s="54">
        <v>9.57</v>
      </c>
      <c r="C231" s="54">
        <v>9.07</v>
      </c>
      <c r="D231" s="54">
        <v>9.27</v>
      </c>
      <c r="E231" s="53">
        <v>414574</v>
      </c>
      <c r="F231" s="53" t="s">
        <v>382</v>
      </c>
      <c r="G231" s="25">
        <f t="shared" si="0"/>
        <v>-3.2362459546925182E-3</v>
      </c>
    </row>
    <row r="232" spans="1:19">
      <c r="A232" s="54">
        <v>9.5500000000000007</v>
      </c>
      <c r="B232" s="54">
        <v>9.83</v>
      </c>
      <c r="C232" s="54">
        <v>8.74</v>
      </c>
      <c r="D232" s="54">
        <v>8.8699999999999992</v>
      </c>
      <c r="E232" s="53">
        <v>722990</v>
      </c>
      <c r="F232" s="53" t="s">
        <v>383</v>
      </c>
      <c r="G232" s="25">
        <f t="shared" si="0"/>
        <v>7.6662908680947162E-2</v>
      </c>
    </row>
    <row r="233" spans="1:19">
      <c r="A233" s="54">
        <v>9</v>
      </c>
      <c r="B233" s="54">
        <v>9.8650000000000002</v>
      </c>
      <c r="C233" s="54">
        <v>8.91</v>
      </c>
      <c r="D233" s="54">
        <v>9.5399999999999991</v>
      </c>
      <c r="E233" s="53">
        <v>723143</v>
      </c>
      <c r="F233" s="53" t="s">
        <v>384</v>
      </c>
      <c r="G233" s="25">
        <f t="shared" si="0"/>
        <v>-5.6603773584905537E-2</v>
      </c>
    </row>
    <row r="234" spans="1:19">
      <c r="A234" s="54">
        <v>9.31</v>
      </c>
      <c r="B234" s="54">
        <v>9.69</v>
      </c>
      <c r="C234" s="54">
        <v>8.8268000000000004</v>
      </c>
      <c r="D234" s="54">
        <v>9.01</v>
      </c>
      <c r="E234" s="53">
        <v>697686</v>
      </c>
      <c r="F234" s="53" t="s">
        <v>385</v>
      </c>
      <c r="G234" s="25">
        <f t="shared" si="0"/>
        <v>3.3296337402885845E-2</v>
      </c>
    </row>
    <row r="235" spans="1:19">
      <c r="A235" s="54">
        <v>9.11</v>
      </c>
      <c r="B235" s="54">
        <v>9.35</v>
      </c>
      <c r="C235" s="54">
        <v>8.7899999999999991</v>
      </c>
      <c r="D235" s="54">
        <v>9.35</v>
      </c>
      <c r="E235" s="53">
        <v>1081815</v>
      </c>
      <c r="F235" s="53" t="s">
        <v>386</v>
      </c>
      <c r="G235" s="25">
        <f t="shared" si="0"/>
        <v>-2.5668449197860932E-2</v>
      </c>
    </row>
    <row r="236" spans="1:19">
      <c r="A236" s="54">
        <v>9.82</v>
      </c>
      <c r="B236" s="54">
        <v>10.385</v>
      </c>
      <c r="C236" s="54">
        <v>9.66</v>
      </c>
      <c r="D236" s="54">
        <v>10.16</v>
      </c>
      <c r="E236" s="53">
        <v>1168807</v>
      </c>
      <c r="F236" s="53" t="s">
        <v>387</v>
      </c>
      <c r="G236" s="25">
        <f t="shared" si="0"/>
        <v>-3.3464566929133799E-2</v>
      </c>
    </row>
    <row r="237" spans="1:19">
      <c r="A237" s="54">
        <v>10.86</v>
      </c>
      <c r="B237" s="54">
        <v>11.72</v>
      </c>
      <c r="C237" s="54">
        <v>10.210000000000001</v>
      </c>
      <c r="D237" s="54">
        <v>10.91</v>
      </c>
      <c r="E237" s="53">
        <v>2523339</v>
      </c>
      <c r="F237" s="53" t="s">
        <v>388</v>
      </c>
      <c r="G237" s="25">
        <f t="shared" si="0"/>
        <v>-4.5829514207149646E-3</v>
      </c>
    </row>
    <row r="238" spans="1:19">
      <c r="A238" s="54">
        <v>9.66</v>
      </c>
      <c r="B238" s="54">
        <v>9.7149999999999999</v>
      </c>
      <c r="C238" s="54">
        <v>9.1349999999999998</v>
      </c>
      <c r="D238" s="54">
        <v>9.4</v>
      </c>
      <c r="E238" s="53">
        <v>883156</v>
      </c>
      <c r="F238" s="53" t="s">
        <v>389</v>
      </c>
      <c r="G238" s="25">
        <f t="shared" si="0"/>
        <v>2.765957446808498E-2</v>
      </c>
    </row>
    <row r="239" spans="1:19">
      <c r="A239" s="54">
        <v>9.39</v>
      </c>
      <c r="B239" s="54">
        <v>9.5920000000000005</v>
      </c>
      <c r="C239" s="54">
        <v>9.2188999999999997</v>
      </c>
      <c r="D239" s="54">
        <v>9.33</v>
      </c>
      <c r="E239" s="53">
        <v>450397</v>
      </c>
      <c r="F239" s="53" t="s">
        <v>390</v>
      </c>
      <c r="G239" s="25">
        <f t="shared" si="0"/>
        <v>6.4308681672027301E-3</v>
      </c>
    </row>
    <row r="240" spans="1:19">
      <c r="A240" s="54">
        <v>9.5</v>
      </c>
      <c r="B240" s="54">
        <v>9.8849999999999998</v>
      </c>
      <c r="C240" s="54">
        <v>9.3800000000000008</v>
      </c>
      <c r="D240" s="54">
        <v>9.85</v>
      </c>
      <c r="E240" s="53">
        <v>539146</v>
      </c>
      <c r="F240" s="53" t="s">
        <v>391</v>
      </c>
      <c r="G240" s="25">
        <f t="shared" si="0"/>
        <v>-3.5532994923857864E-2</v>
      </c>
    </row>
    <row r="241" spans="1:7">
      <c r="A241" s="54">
        <v>9.83</v>
      </c>
      <c r="B241" s="54">
        <v>9.93</v>
      </c>
      <c r="C241" s="54">
        <v>9.64</v>
      </c>
      <c r="D241" s="54">
        <v>9.91</v>
      </c>
      <c r="E241" s="53">
        <v>403350</v>
      </c>
      <c r="F241" s="53" t="s">
        <v>392</v>
      </c>
      <c r="G241" s="25">
        <f t="shared" si="0"/>
        <v>-8.0726538849646978E-3</v>
      </c>
    </row>
    <row r="242" spans="1:7">
      <c r="A242" s="54">
        <v>9.89</v>
      </c>
      <c r="B242" s="54">
        <v>10.210000000000001</v>
      </c>
      <c r="C242" s="54">
        <v>9.8049999999999997</v>
      </c>
      <c r="D242" s="54">
        <v>10.14</v>
      </c>
      <c r="E242" s="53">
        <v>441463</v>
      </c>
      <c r="F242" s="53" t="s">
        <v>393</v>
      </c>
      <c r="G242" s="25">
        <f t="shared" si="0"/>
        <v>-2.4654832347140054E-2</v>
      </c>
    </row>
    <row r="243" spans="1:7">
      <c r="A243" s="54">
        <v>10.18</v>
      </c>
      <c r="B243" s="54">
        <v>10.29</v>
      </c>
      <c r="C243" s="54">
        <v>9.99</v>
      </c>
      <c r="D243" s="54">
        <v>10.08</v>
      </c>
      <c r="E243" s="53">
        <v>502654</v>
      </c>
      <c r="F243" s="53" t="s">
        <v>394</v>
      </c>
      <c r="G243" s="25">
        <f t="shared" si="0"/>
        <v>9.9206349206348854E-3</v>
      </c>
    </row>
    <row r="244" spans="1:7">
      <c r="A244" s="54">
        <v>10.08</v>
      </c>
      <c r="B244" s="54">
        <v>10.14</v>
      </c>
      <c r="C244" s="54">
        <v>9.84</v>
      </c>
      <c r="D244" s="54">
        <v>10.06</v>
      </c>
      <c r="E244" s="53">
        <v>364984</v>
      </c>
      <c r="F244" s="53" t="s">
        <v>395</v>
      </c>
      <c r="G244" s="25">
        <f t="shared" si="0"/>
        <v>1.9880715705764551E-3</v>
      </c>
    </row>
    <row r="245" spans="1:7">
      <c r="A245" s="54">
        <v>9.92</v>
      </c>
      <c r="B245" s="54">
        <v>9.9899000000000004</v>
      </c>
      <c r="C245" s="54">
        <v>9.7449999999999992</v>
      </c>
      <c r="D245" s="54">
        <v>9.7799999999999994</v>
      </c>
      <c r="E245" s="53">
        <v>636948</v>
      </c>
      <c r="F245" s="53" t="s">
        <v>396</v>
      </c>
      <c r="G245" s="25">
        <f t="shared" si="0"/>
        <v>1.4314928425357865E-2</v>
      </c>
    </row>
    <row r="246" spans="1:7">
      <c r="A246" s="54">
        <v>9.8699999999999992</v>
      </c>
      <c r="B246" s="54">
        <v>9.8800000000000008</v>
      </c>
      <c r="C246" s="54">
        <v>9.34</v>
      </c>
      <c r="D246" s="54">
        <v>9.34</v>
      </c>
      <c r="E246" s="53">
        <v>669139</v>
      </c>
      <c r="F246" s="53" t="s">
        <v>397</v>
      </c>
      <c r="G246" s="25">
        <f t="shared" si="0"/>
        <v>5.674518201284795E-2</v>
      </c>
    </row>
    <row r="247" spans="1:7">
      <c r="A247" s="54">
        <v>9.4</v>
      </c>
      <c r="B247" s="54">
        <v>9.59</v>
      </c>
      <c r="C247" s="54">
        <v>9.36</v>
      </c>
      <c r="D247" s="54">
        <v>9.4</v>
      </c>
      <c r="E247" s="53">
        <v>424876</v>
      </c>
      <c r="F247" s="53" t="s">
        <v>398</v>
      </c>
      <c r="G247" s="25">
        <f t="shared" si="0"/>
        <v>0</v>
      </c>
    </row>
    <row r="248" spans="1:7">
      <c r="A248" s="54">
        <v>9.44</v>
      </c>
      <c r="B248" s="54">
        <v>9.67</v>
      </c>
      <c r="C248" s="54">
        <v>9.35</v>
      </c>
      <c r="D248" s="54">
        <v>9.52</v>
      </c>
      <c r="E248" s="53">
        <v>633583</v>
      </c>
      <c r="F248" s="53" t="s">
        <v>399</v>
      </c>
      <c r="G248" s="25">
        <f t="shared" si="0"/>
        <v>-8.4033613445377853E-3</v>
      </c>
    </row>
    <row r="249" spans="1:7">
      <c r="A249" s="54">
        <v>9.59</v>
      </c>
      <c r="B249" s="54">
        <v>9.84</v>
      </c>
      <c r="C249" s="54">
        <v>9</v>
      </c>
      <c r="D249" s="54">
        <v>9</v>
      </c>
      <c r="E249" s="53">
        <v>442833</v>
      </c>
      <c r="F249" s="53" t="s">
        <v>400</v>
      </c>
      <c r="G249" s="25">
        <f t="shared" si="0"/>
        <v>6.5555555555555589E-2</v>
      </c>
    </row>
    <row r="250" spans="1:7">
      <c r="A250" s="54">
        <v>9.01</v>
      </c>
      <c r="B250" s="54">
        <v>9.2750000000000004</v>
      </c>
      <c r="C250" s="54">
        <v>8.9499999999999993</v>
      </c>
      <c r="D250" s="54">
        <v>9.1999999999999993</v>
      </c>
      <c r="E250" s="53">
        <v>240971</v>
      </c>
      <c r="F250" s="53" t="s">
        <v>401</v>
      </c>
      <c r="G250" s="25">
        <f t="shared" si="0"/>
        <v>-2.0652173913043415E-2</v>
      </c>
    </row>
    <row r="251" spans="1:7">
      <c r="A251" s="54">
        <v>9.1199999999999992</v>
      </c>
      <c r="B251" s="54">
        <v>9.4</v>
      </c>
      <c r="C251" s="54">
        <v>9.1050000000000004</v>
      </c>
      <c r="D251" s="54">
        <v>9.33</v>
      </c>
      <c r="E251" s="53">
        <v>365501</v>
      </c>
      <c r="F251" s="53" t="s">
        <v>402</v>
      </c>
      <c r="G251" s="25">
        <f t="shared" si="0"/>
        <v>-2.2508038585209111E-2</v>
      </c>
    </row>
    <row r="252" spans="1:7">
      <c r="A252" s="54">
        <v>9.4</v>
      </c>
      <c r="B252" s="54">
        <v>9.44</v>
      </c>
      <c r="C252" s="54">
        <v>9.02</v>
      </c>
      <c r="D252" s="54">
        <v>9.17</v>
      </c>
      <c r="E252" s="53">
        <v>532966</v>
      </c>
      <c r="F252" s="53" t="s">
        <v>403</v>
      </c>
      <c r="G252" s="25">
        <f t="shared" si="0"/>
        <v>2.5081788440567188E-2</v>
      </c>
    </row>
    <row r="253" spans="1:7">
      <c r="A253" s="54">
        <v>9.1199999999999992</v>
      </c>
      <c r="B253" s="54">
        <v>9.1449999999999996</v>
      </c>
      <c r="C253" s="54">
        <v>8.27</v>
      </c>
      <c r="D253" s="54">
        <v>8.4</v>
      </c>
      <c r="E253" s="53">
        <v>802947</v>
      </c>
      <c r="F253" s="53" t="s">
        <v>404</v>
      </c>
      <c r="G253" s="25">
        <f t="shared" si="0"/>
        <v>8.5714285714285632E-2</v>
      </c>
    </row>
    <row r="254" spans="1:7">
      <c r="A254" s="54">
        <v>8.3699999999999992</v>
      </c>
      <c r="B254" s="54">
        <v>8.9700000000000006</v>
      </c>
      <c r="C254" s="54">
        <v>8.31</v>
      </c>
      <c r="D254" s="54">
        <v>8.9600000000000009</v>
      </c>
      <c r="E254" s="53">
        <v>769437</v>
      </c>
      <c r="F254" s="53" t="s">
        <v>405</v>
      </c>
      <c r="G254" s="25">
        <f t="shared" si="0"/>
        <v>-6.5848214285714413E-2</v>
      </c>
    </row>
    <row r="255" spans="1:7">
      <c r="A255" s="54">
        <v>9.1</v>
      </c>
      <c r="B255" s="54">
        <v>9.5</v>
      </c>
      <c r="C255" s="54">
        <v>9.09</v>
      </c>
      <c r="D255" s="54">
        <v>9.36</v>
      </c>
      <c r="E255" s="53">
        <v>555702</v>
      </c>
      <c r="F255" s="53" t="s">
        <v>406</v>
      </c>
      <c r="G255" s="25">
        <f t="shared" ref="G255:G318" si="1">A255/D255-1</f>
        <v>-2.777777777777779E-2</v>
      </c>
    </row>
    <row r="256" spans="1:7">
      <c r="A256" s="54">
        <v>9.41</v>
      </c>
      <c r="B256" s="54">
        <v>9.49</v>
      </c>
      <c r="C256" s="54">
        <v>9.02</v>
      </c>
      <c r="D256" s="54">
        <v>9.2100000000000009</v>
      </c>
      <c r="E256" s="53">
        <v>460874</v>
      </c>
      <c r="F256" s="53" t="s">
        <v>407</v>
      </c>
      <c r="G256" s="25">
        <f t="shared" si="1"/>
        <v>2.1715526601520097E-2</v>
      </c>
    </row>
    <row r="257" spans="1:7">
      <c r="A257" s="54">
        <v>9.36</v>
      </c>
      <c r="B257" s="54">
        <v>9.5779999999999994</v>
      </c>
      <c r="C257" s="54">
        <v>9.1999999999999993</v>
      </c>
      <c r="D257" s="54">
        <v>9.48</v>
      </c>
      <c r="E257" s="53">
        <v>309199</v>
      </c>
      <c r="F257" s="53" t="s">
        <v>408</v>
      </c>
      <c r="G257" s="25">
        <f t="shared" si="1"/>
        <v>-1.2658227848101333E-2</v>
      </c>
    </row>
    <row r="258" spans="1:7">
      <c r="A258" s="54">
        <v>9.41</v>
      </c>
      <c r="B258" s="54">
        <v>9.6199999999999992</v>
      </c>
      <c r="C258" s="54">
        <v>9.0786999999999995</v>
      </c>
      <c r="D258" s="54">
        <v>9.19</v>
      </c>
      <c r="E258" s="53">
        <v>347338</v>
      </c>
      <c r="F258" s="53" t="s">
        <v>409</v>
      </c>
      <c r="G258" s="25">
        <f t="shared" si="1"/>
        <v>2.3939064200217741E-2</v>
      </c>
    </row>
    <row r="259" spans="1:7">
      <c r="A259" s="54">
        <v>9.32</v>
      </c>
      <c r="B259" s="54">
        <v>9.69</v>
      </c>
      <c r="C259" s="54">
        <v>9.25</v>
      </c>
      <c r="D259" s="54">
        <v>9.3000000000000007</v>
      </c>
      <c r="E259" s="53">
        <v>554484</v>
      </c>
      <c r="F259" s="53" t="s">
        <v>410</v>
      </c>
      <c r="G259" s="25">
        <f t="shared" si="1"/>
        <v>2.1505376344086446E-3</v>
      </c>
    </row>
    <row r="260" spans="1:7">
      <c r="A260" s="54">
        <v>9.2899999999999991</v>
      </c>
      <c r="B260" s="54">
        <v>9.5749999999999993</v>
      </c>
      <c r="C260" s="54">
        <v>9.23</v>
      </c>
      <c r="D260" s="54">
        <v>9.41</v>
      </c>
      <c r="E260" s="53">
        <v>622788</v>
      </c>
      <c r="F260" s="53" t="s">
        <v>411</v>
      </c>
      <c r="G260" s="25">
        <f t="shared" si="1"/>
        <v>-1.2752391073326375E-2</v>
      </c>
    </row>
    <row r="261" spans="1:7">
      <c r="A261" s="54">
        <v>9.44</v>
      </c>
      <c r="B261" s="54">
        <v>9.77</v>
      </c>
      <c r="C261" s="54">
        <v>9.39</v>
      </c>
      <c r="D261" s="54">
        <v>9.6</v>
      </c>
      <c r="E261" s="53">
        <v>714014</v>
      </c>
      <c r="F261" s="53" t="s">
        <v>412</v>
      </c>
      <c r="G261" s="25">
        <f t="shared" si="1"/>
        <v>-1.6666666666666718E-2</v>
      </c>
    </row>
    <row r="262" spans="1:7">
      <c r="A262" s="54">
        <v>9.61</v>
      </c>
      <c r="B262" s="54">
        <v>10.09</v>
      </c>
      <c r="C262" s="54">
        <v>9.56</v>
      </c>
      <c r="D262" s="54">
        <v>9.92</v>
      </c>
      <c r="E262" s="53">
        <v>1145994</v>
      </c>
      <c r="F262" s="53" t="s">
        <v>413</v>
      </c>
      <c r="G262" s="25">
        <f t="shared" si="1"/>
        <v>-3.125E-2</v>
      </c>
    </row>
    <row r="263" spans="1:7">
      <c r="A263" s="54">
        <v>9.86</v>
      </c>
      <c r="B263" s="54">
        <v>10.119999999999999</v>
      </c>
      <c r="C263" s="54">
        <v>9.65</v>
      </c>
      <c r="D263" s="54">
        <v>10.06</v>
      </c>
      <c r="E263" s="53">
        <v>609139</v>
      </c>
      <c r="F263" s="53" t="s">
        <v>414</v>
      </c>
      <c r="G263" s="25">
        <f t="shared" si="1"/>
        <v>-1.988071570576555E-2</v>
      </c>
    </row>
    <row r="264" spans="1:7">
      <c r="A264" s="54">
        <v>10.08</v>
      </c>
      <c r="B264" s="54">
        <v>10.42</v>
      </c>
      <c r="C264" s="54">
        <v>10.08</v>
      </c>
      <c r="D264" s="54">
        <v>10.29</v>
      </c>
      <c r="E264" s="53">
        <v>398947</v>
      </c>
      <c r="F264" s="53" t="s">
        <v>415</v>
      </c>
      <c r="G264" s="25">
        <f t="shared" si="1"/>
        <v>-2.0408163265306034E-2</v>
      </c>
    </row>
    <row r="265" spans="1:7">
      <c r="A265" s="54">
        <v>10.33</v>
      </c>
      <c r="B265" s="54">
        <v>10.78</v>
      </c>
      <c r="C265" s="54">
        <v>10.18</v>
      </c>
      <c r="D265" s="54">
        <v>10.67</v>
      </c>
      <c r="E265" s="53">
        <v>356560</v>
      </c>
      <c r="F265" s="53" t="s">
        <v>416</v>
      </c>
      <c r="G265" s="25">
        <f t="shared" si="1"/>
        <v>-3.1865042174320513E-2</v>
      </c>
    </row>
    <row r="266" spans="1:7">
      <c r="A266" s="54">
        <v>10.59</v>
      </c>
      <c r="B266" s="54">
        <v>10.917999999999999</v>
      </c>
      <c r="C266" s="54">
        <v>10.55</v>
      </c>
      <c r="D266" s="54">
        <v>10.88</v>
      </c>
      <c r="E266" s="53">
        <v>315307</v>
      </c>
      <c r="F266" s="53" t="s">
        <v>417</v>
      </c>
      <c r="G266" s="25">
        <f t="shared" si="1"/>
        <v>-2.6654411764705954E-2</v>
      </c>
    </row>
    <row r="267" spans="1:7">
      <c r="A267" s="54">
        <v>10.88</v>
      </c>
      <c r="B267" s="54">
        <v>11.07</v>
      </c>
      <c r="C267" s="54">
        <v>10.327999999999999</v>
      </c>
      <c r="D267" s="54">
        <v>10.39</v>
      </c>
      <c r="E267" s="53">
        <v>413268</v>
      </c>
      <c r="F267" s="53" t="s">
        <v>418</v>
      </c>
      <c r="G267" s="25">
        <f t="shared" si="1"/>
        <v>4.7160731472569717E-2</v>
      </c>
    </row>
    <row r="268" spans="1:7">
      <c r="A268" s="54">
        <v>10.43</v>
      </c>
      <c r="B268" s="54">
        <v>10.45</v>
      </c>
      <c r="C268" s="54">
        <v>10.130000000000001</v>
      </c>
      <c r="D268" s="54">
        <v>10.24</v>
      </c>
      <c r="E268" s="53">
        <v>484414</v>
      </c>
      <c r="F268" s="53" t="s">
        <v>419</v>
      </c>
      <c r="G268" s="25">
        <f t="shared" si="1"/>
        <v>1.85546875E-2</v>
      </c>
    </row>
    <row r="269" spans="1:7">
      <c r="A269" s="54">
        <v>10.34</v>
      </c>
      <c r="B269" s="54">
        <v>10.63</v>
      </c>
      <c r="C269" s="54">
        <v>10.285</v>
      </c>
      <c r="D269" s="54">
        <v>10.57</v>
      </c>
      <c r="E269" s="53">
        <v>196192</v>
      </c>
      <c r="F269" s="53" t="s">
        <v>420</v>
      </c>
      <c r="G269" s="25">
        <f t="shared" si="1"/>
        <v>-2.1759697256386046E-2</v>
      </c>
    </row>
    <row r="270" spans="1:7">
      <c r="A270" s="54">
        <v>10.53</v>
      </c>
      <c r="B270" s="54">
        <v>10.6</v>
      </c>
      <c r="C270" s="54">
        <v>10.18</v>
      </c>
      <c r="D270" s="54">
        <v>10.55</v>
      </c>
      <c r="E270" s="53">
        <v>321201</v>
      </c>
      <c r="F270" s="53" t="s">
        <v>421</v>
      </c>
      <c r="G270" s="25">
        <f t="shared" si="1"/>
        <v>-1.8957345971565287E-3</v>
      </c>
    </row>
    <row r="271" spans="1:7">
      <c r="A271" s="54">
        <v>10.455</v>
      </c>
      <c r="B271" s="54">
        <v>10.815</v>
      </c>
      <c r="C271" s="54">
        <v>10.455</v>
      </c>
      <c r="D271" s="54">
        <v>10.64</v>
      </c>
      <c r="E271" s="53">
        <v>320481</v>
      </c>
      <c r="F271" s="53" t="s">
        <v>422</v>
      </c>
      <c r="G271" s="25">
        <f t="shared" si="1"/>
        <v>-1.7387218045112784E-2</v>
      </c>
    </row>
    <row r="272" spans="1:7">
      <c r="A272" s="54">
        <v>10.78</v>
      </c>
      <c r="B272" s="54">
        <v>10.84</v>
      </c>
      <c r="C272" s="54">
        <v>10.61</v>
      </c>
      <c r="D272" s="54">
        <v>10.75</v>
      </c>
      <c r="E272" s="53">
        <v>336992</v>
      </c>
      <c r="F272" s="53" t="s">
        <v>423</v>
      </c>
      <c r="G272" s="25">
        <f t="shared" si="1"/>
        <v>2.7906976744185297E-3</v>
      </c>
    </row>
    <row r="273" spans="1:7">
      <c r="A273" s="54">
        <v>10.85</v>
      </c>
      <c r="B273" s="54">
        <v>11</v>
      </c>
      <c r="C273" s="54">
        <v>10.68</v>
      </c>
      <c r="D273" s="54">
        <v>11</v>
      </c>
      <c r="E273" s="53">
        <v>481880</v>
      </c>
      <c r="F273" s="53" t="s">
        <v>424</v>
      </c>
      <c r="G273" s="25">
        <f t="shared" si="1"/>
        <v>-1.3636363636363669E-2</v>
      </c>
    </row>
    <row r="274" spans="1:7">
      <c r="A274" s="54">
        <v>11.04</v>
      </c>
      <c r="B274" s="54">
        <v>11.16</v>
      </c>
      <c r="C274" s="54">
        <v>11.0007</v>
      </c>
      <c r="D274" s="54">
        <v>11.05</v>
      </c>
      <c r="E274" s="53">
        <v>344301</v>
      </c>
      <c r="F274" s="53" t="s">
        <v>425</v>
      </c>
      <c r="G274" s="25">
        <f t="shared" si="1"/>
        <v>-9.0497737556571867E-4</v>
      </c>
    </row>
    <row r="275" spans="1:7">
      <c r="A275" s="54">
        <v>11.1</v>
      </c>
      <c r="B275" s="54">
        <v>11.205</v>
      </c>
      <c r="C275" s="54">
        <v>10.82</v>
      </c>
      <c r="D275" s="54">
        <v>10.92</v>
      </c>
      <c r="E275" s="53">
        <v>443138</v>
      </c>
      <c r="F275" s="53" t="s">
        <v>426</v>
      </c>
      <c r="G275" s="25">
        <f t="shared" si="1"/>
        <v>1.6483516483516425E-2</v>
      </c>
    </row>
    <row r="276" spans="1:7">
      <c r="A276" s="54">
        <v>10.89</v>
      </c>
      <c r="B276" s="54">
        <v>11.09</v>
      </c>
      <c r="C276" s="54">
        <v>10.77</v>
      </c>
      <c r="D276" s="54">
        <v>10.97</v>
      </c>
      <c r="E276" s="53">
        <v>373557</v>
      </c>
      <c r="F276" s="53" t="s">
        <v>427</v>
      </c>
      <c r="G276" s="25">
        <f t="shared" si="1"/>
        <v>-7.2926162260711358E-3</v>
      </c>
    </row>
    <row r="277" spans="1:7">
      <c r="A277" s="54">
        <v>10.98</v>
      </c>
      <c r="B277" s="54">
        <v>11.38</v>
      </c>
      <c r="C277" s="54">
        <v>10.965</v>
      </c>
      <c r="D277" s="54">
        <v>11.05</v>
      </c>
      <c r="E277" s="53">
        <v>492220</v>
      </c>
      <c r="F277" s="53" t="s">
        <v>428</v>
      </c>
      <c r="G277" s="25">
        <f t="shared" si="1"/>
        <v>-6.3348416289592535E-3</v>
      </c>
    </row>
    <row r="278" spans="1:7">
      <c r="A278" s="54">
        <v>11.04</v>
      </c>
      <c r="B278" s="54">
        <v>11.54</v>
      </c>
      <c r="C278" s="54">
        <v>10.950100000000001</v>
      </c>
      <c r="D278" s="54">
        <v>11.27</v>
      </c>
      <c r="E278" s="53">
        <v>664254</v>
      </c>
      <c r="F278" s="53" t="s">
        <v>429</v>
      </c>
      <c r="G278" s="25">
        <f t="shared" si="1"/>
        <v>-2.0408163265306145E-2</v>
      </c>
    </row>
    <row r="279" spans="1:7">
      <c r="A279" s="54">
        <v>11.41</v>
      </c>
      <c r="B279" s="54">
        <v>12.59</v>
      </c>
      <c r="C279" s="54">
        <v>11.05</v>
      </c>
      <c r="D279" s="54">
        <v>12.4</v>
      </c>
      <c r="E279" s="53">
        <v>1313456</v>
      </c>
      <c r="F279" s="53" t="s">
        <v>430</v>
      </c>
      <c r="G279" s="25">
        <f t="shared" si="1"/>
        <v>-7.9838709677419351E-2</v>
      </c>
    </row>
    <row r="280" spans="1:7">
      <c r="A280" s="54">
        <v>12.46</v>
      </c>
      <c r="B280" s="54">
        <v>13.5</v>
      </c>
      <c r="C280" s="54">
        <v>12.43</v>
      </c>
      <c r="D280" s="54">
        <v>12.65</v>
      </c>
      <c r="E280" s="53">
        <v>1555303</v>
      </c>
      <c r="F280" s="53" t="s">
        <v>431</v>
      </c>
      <c r="G280" s="25">
        <f t="shared" si="1"/>
        <v>-1.5019762845849716E-2</v>
      </c>
    </row>
    <row r="281" spans="1:7">
      <c r="A281" s="54">
        <v>12.46</v>
      </c>
      <c r="B281" s="54">
        <v>12.99</v>
      </c>
      <c r="C281" s="54">
        <v>12.350099999999999</v>
      </c>
      <c r="D281" s="54">
        <v>12.51</v>
      </c>
      <c r="E281" s="53">
        <v>922048</v>
      </c>
      <c r="F281" s="53" t="s">
        <v>432</v>
      </c>
      <c r="G281" s="25">
        <f t="shared" si="1"/>
        <v>-3.9968025579535382E-3</v>
      </c>
    </row>
    <row r="282" spans="1:7">
      <c r="A282" s="54">
        <v>12.51</v>
      </c>
      <c r="B282" s="54">
        <v>12.57</v>
      </c>
      <c r="C282" s="54">
        <v>12.05</v>
      </c>
      <c r="D282" s="54">
        <v>12.22</v>
      </c>
      <c r="E282" s="53">
        <v>943655</v>
      </c>
      <c r="F282" s="53" t="s">
        <v>433</v>
      </c>
      <c r="G282" s="25">
        <f t="shared" si="1"/>
        <v>2.3731587561374834E-2</v>
      </c>
    </row>
    <row r="283" spans="1:7">
      <c r="A283" s="54">
        <v>12.22</v>
      </c>
      <c r="B283" s="54">
        <v>12.94</v>
      </c>
      <c r="C283" s="54">
        <v>11.94</v>
      </c>
      <c r="D283" s="54">
        <v>12.17</v>
      </c>
      <c r="E283" s="53">
        <v>1485285</v>
      </c>
      <c r="F283" s="53" t="s">
        <v>434</v>
      </c>
      <c r="G283" s="25">
        <f t="shared" si="1"/>
        <v>4.1084634346755244E-3</v>
      </c>
    </row>
    <row r="284" spans="1:7">
      <c r="A284" s="54">
        <v>12.19</v>
      </c>
      <c r="B284" s="54">
        <v>12.46</v>
      </c>
      <c r="C284" s="54">
        <v>12.08</v>
      </c>
      <c r="D284" s="54">
        <v>12.36</v>
      </c>
      <c r="E284" s="53">
        <v>371716</v>
      </c>
      <c r="F284" s="53" t="s">
        <v>435</v>
      </c>
      <c r="G284" s="25">
        <f t="shared" si="1"/>
        <v>-1.3754045307443397E-2</v>
      </c>
    </row>
    <row r="285" spans="1:7">
      <c r="A285" s="54">
        <v>12.45</v>
      </c>
      <c r="B285" s="54">
        <v>12.515000000000001</v>
      </c>
      <c r="C285" s="54">
        <v>11.84</v>
      </c>
      <c r="D285" s="54">
        <v>11.96</v>
      </c>
      <c r="E285" s="53">
        <v>542901</v>
      </c>
      <c r="F285" s="53" t="s">
        <v>436</v>
      </c>
      <c r="G285" s="25">
        <f t="shared" si="1"/>
        <v>4.0969899665551646E-2</v>
      </c>
    </row>
    <row r="286" spans="1:7">
      <c r="A286" s="54">
        <v>12.06</v>
      </c>
      <c r="B286" s="54">
        <v>12.18</v>
      </c>
      <c r="C286" s="54">
        <v>11.78</v>
      </c>
      <c r="D286" s="54">
        <v>11.9</v>
      </c>
      <c r="E286" s="53">
        <v>687439</v>
      </c>
      <c r="F286" s="53" t="s">
        <v>437</v>
      </c>
      <c r="G286" s="25">
        <f t="shared" si="1"/>
        <v>1.3445378151260456E-2</v>
      </c>
    </row>
    <row r="287" spans="1:7">
      <c r="A287" s="54">
        <v>11.94</v>
      </c>
      <c r="B287" s="54">
        <v>12.43</v>
      </c>
      <c r="C287" s="54">
        <v>11.84</v>
      </c>
      <c r="D287" s="54">
        <v>12.33</v>
      </c>
      <c r="E287" s="53">
        <v>442922</v>
      </c>
      <c r="F287" s="53" t="s">
        <v>438</v>
      </c>
      <c r="G287" s="25">
        <f t="shared" si="1"/>
        <v>-3.1630170316301776E-2</v>
      </c>
    </row>
    <row r="288" spans="1:7">
      <c r="A288" s="54">
        <v>12.43</v>
      </c>
      <c r="B288" s="54">
        <v>12.76</v>
      </c>
      <c r="C288" s="54">
        <v>12.1104</v>
      </c>
      <c r="D288" s="54">
        <v>12.72</v>
      </c>
      <c r="E288" s="53">
        <v>551616</v>
      </c>
      <c r="F288" s="53" t="s">
        <v>439</v>
      </c>
      <c r="G288" s="25">
        <f t="shared" si="1"/>
        <v>-2.2798742138364858E-2</v>
      </c>
    </row>
    <row r="289" spans="1:7">
      <c r="A289" s="54">
        <v>12.77</v>
      </c>
      <c r="B289" s="54">
        <v>12.96</v>
      </c>
      <c r="C289" s="54">
        <v>12.03</v>
      </c>
      <c r="D289" s="54">
        <v>12.17</v>
      </c>
      <c r="E289" s="53">
        <v>1020626</v>
      </c>
      <c r="F289" s="53" t="s">
        <v>440</v>
      </c>
      <c r="G289" s="25">
        <f t="shared" si="1"/>
        <v>4.9301561216105183E-2</v>
      </c>
    </row>
    <row r="290" spans="1:7">
      <c r="A290" s="54">
        <v>12.17</v>
      </c>
      <c r="B290" s="54">
        <v>12.33</v>
      </c>
      <c r="C290" s="54">
        <v>11.65</v>
      </c>
      <c r="D290" s="54">
        <v>12.2</v>
      </c>
      <c r="E290" s="53">
        <v>702609</v>
      </c>
      <c r="F290" s="53" t="s">
        <v>441</v>
      </c>
      <c r="G290" s="25">
        <f t="shared" si="1"/>
        <v>-2.4590163934425924E-3</v>
      </c>
    </row>
    <row r="291" spans="1:7">
      <c r="A291" s="54">
        <v>11.8</v>
      </c>
      <c r="B291" s="54">
        <v>12.66</v>
      </c>
      <c r="C291" s="54">
        <v>11.78</v>
      </c>
      <c r="D291" s="54">
        <v>12.54</v>
      </c>
      <c r="E291" s="53">
        <v>1149421</v>
      </c>
      <c r="F291" s="53" t="s">
        <v>442</v>
      </c>
      <c r="G291" s="25">
        <f t="shared" si="1"/>
        <v>-5.901116427432207E-2</v>
      </c>
    </row>
    <row r="292" spans="1:7">
      <c r="A292" s="54">
        <v>12.46</v>
      </c>
      <c r="B292" s="54">
        <v>12.58</v>
      </c>
      <c r="C292" s="54">
        <v>11.52</v>
      </c>
      <c r="D292" s="54">
        <v>11.61</v>
      </c>
      <c r="E292" s="53">
        <v>1259744</v>
      </c>
      <c r="F292" s="53" t="s">
        <v>443</v>
      </c>
      <c r="G292" s="25">
        <f t="shared" si="1"/>
        <v>7.3212747631352437E-2</v>
      </c>
    </row>
    <row r="293" spans="1:7">
      <c r="A293" s="54">
        <v>12.3</v>
      </c>
      <c r="B293" s="54">
        <v>12.82</v>
      </c>
      <c r="C293" s="54">
        <v>12</v>
      </c>
      <c r="D293" s="54">
        <v>12.82</v>
      </c>
      <c r="E293" s="53">
        <v>2225749</v>
      </c>
      <c r="F293" s="53" t="s">
        <v>444</v>
      </c>
      <c r="G293" s="25">
        <f t="shared" si="1"/>
        <v>-4.0561622464898583E-2</v>
      </c>
    </row>
    <row r="294" spans="1:7">
      <c r="A294" s="54">
        <v>12.94</v>
      </c>
      <c r="B294" s="54">
        <v>13.129</v>
      </c>
      <c r="C294" s="54">
        <v>11.5</v>
      </c>
      <c r="D294" s="54">
        <v>11.76</v>
      </c>
      <c r="E294" s="53">
        <v>4428200</v>
      </c>
      <c r="F294" s="53" t="s">
        <v>445</v>
      </c>
      <c r="G294" s="25">
        <f t="shared" si="1"/>
        <v>0.10034013605442182</v>
      </c>
    </row>
    <row r="295" spans="1:7">
      <c r="A295" s="54">
        <v>9.4</v>
      </c>
      <c r="B295" s="54">
        <v>9.6340000000000003</v>
      </c>
      <c r="C295" s="54">
        <v>9.1300000000000008</v>
      </c>
      <c r="D295" s="54">
        <v>9.3000000000000007</v>
      </c>
      <c r="E295" s="53">
        <v>908535</v>
      </c>
      <c r="F295" s="53" t="s">
        <v>446</v>
      </c>
      <c r="G295" s="25">
        <f t="shared" si="1"/>
        <v>1.0752688172043001E-2</v>
      </c>
    </row>
    <row r="296" spans="1:7">
      <c r="A296" s="54">
        <v>9.27</v>
      </c>
      <c r="B296" s="54">
        <v>9.3953000000000007</v>
      </c>
      <c r="C296" s="54">
        <v>9.09</v>
      </c>
      <c r="D296" s="54">
        <v>9.1300000000000008</v>
      </c>
      <c r="E296" s="53">
        <v>565148</v>
      </c>
      <c r="F296" s="53" t="s">
        <v>447</v>
      </c>
      <c r="G296" s="25">
        <f t="shared" si="1"/>
        <v>1.5334063526834418E-2</v>
      </c>
    </row>
    <row r="297" spans="1:7">
      <c r="A297" s="54">
        <v>9.08</v>
      </c>
      <c r="B297" s="54">
        <v>9.1199999999999992</v>
      </c>
      <c r="C297" s="54">
        <v>8.91</v>
      </c>
      <c r="D297" s="54">
        <v>9.02</v>
      </c>
      <c r="E297" s="53">
        <v>313300</v>
      </c>
      <c r="F297" s="53" t="s">
        <v>448</v>
      </c>
      <c r="G297" s="25">
        <f t="shared" si="1"/>
        <v>6.6518847006651338E-3</v>
      </c>
    </row>
    <row r="298" spans="1:7">
      <c r="A298" s="54">
        <v>8.98</v>
      </c>
      <c r="B298" s="54">
        <v>9.2100000000000009</v>
      </c>
      <c r="C298" s="54">
        <v>8.76</v>
      </c>
      <c r="D298" s="54">
        <v>9.2100000000000009</v>
      </c>
      <c r="E298" s="53">
        <v>440218</v>
      </c>
      <c r="F298" s="53" t="s">
        <v>449</v>
      </c>
      <c r="G298" s="25">
        <f t="shared" si="1"/>
        <v>-2.4972855591748111E-2</v>
      </c>
    </row>
    <row r="299" spans="1:7">
      <c r="A299" s="54">
        <v>9.16</v>
      </c>
      <c r="B299" s="54">
        <v>9.33</v>
      </c>
      <c r="C299" s="54">
        <v>9.0401000000000007</v>
      </c>
      <c r="D299" s="54">
        <v>9.1</v>
      </c>
      <c r="E299" s="53">
        <v>416288</v>
      </c>
      <c r="F299" s="53" t="s">
        <v>450</v>
      </c>
      <c r="G299" s="25">
        <f t="shared" si="1"/>
        <v>6.59340659340657E-3</v>
      </c>
    </row>
    <row r="300" spans="1:7">
      <c r="A300" s="54">
        <v>9.0500000000000007</v>
      </c>
      <c r="B300" s="54">
        <v>9.4003999999999994</v>
      </c>
      <c r="C300" s="54">
        <v>8.75</v>
      </c>
      <c r="D300" s="54">
        <v>8.98</v>
      </c>
      <c r="E300" s="53">
        <v>373694</v>
      </c>
      <c r="F300" s="53" t="s">
        <v>451</v>
      </c>
      <c r="G300" s="25">
        <f t="shared" si="1"/>
        <v>7.7951002227172328E-3</v>
      </c>
    </row>
    <row r="301" spans="1:7">
      <c r="A301" s="54">
        <v>8.91</v>
      </c>
      <c r="B301" s="54">
        <v>9.06</v>
      </c>
      <c r="C301" s="54">
        <v>8.7100000000000009</v>
      </c>
      <c r="D301" s="54">
        <v>8.9700000000000006</v>
      </c>
      <c r="E301" s="53">
        <v>218279</v>
      </c>
      <c r="F301" s="53" t="s">
        <v>452</v>
      </c>
      <c r="G301" s="25">
        <f t="shared" si="1"/>
        <v>-6.6889632107024477E-3</v>
      </c>
    </row>
    <row r="302" spans="1:7">
      <c r="A302" s="54">
        <v>9.01</v>
      </c>
      <c r="B302" s="54">
        <v>9.06</v>
      </c>
      <c r="C302" s="54">
        <v>8.6349999999999998</v>
      </c>
      <c r="D302" s="54">
        <v>8.67</v>
      </c>
      <c r="E302" s="53">
        <v>359036</v>
      </c>
      <c r="F302" s="53" t="s">
        <v>453</v>
      </c>
      <c r="G302" s="25">
        <f t="shared" si="1"/>
        <v>3.9215686274509887E-2</v>
      </c>
    </row>
    <row r="303" spans="1:7">
      <c r="A303" s="54">
        <v>8.69</v>
      </c>
      <c r="B303" s="54">
        <v>8.85</v>
      </c>
      <c r="C303" s="54">
        <v>8.59</v>
      </c>
      <c r="D303" s="54">
        <v>8.65</v>
      </c>
      <c r="E303" s="53">
        <v>126173</v>
      </c>
      <c r="F303" s="53" t="s">
        <v>454</v>
      </c>
      <c r="G303" s="25">
        <f t="shared" si="1"/>
        <v>4.6242774566473965E-3</v>
      </c>
    </row>
    <row r="304" spans="1:7">
      <c r="A304" s="54">
        <v>8.86</v>
      </c>
      <c r="B304" s="54">
        <v>8.89</v>
      </c>
      <c r="C304" s="54">
        <v>8.6</v>
      </c>
      <c r="D304" s="54">
        <v>8.89</v>
      </c>
      <c r="E304" s="53">
        <v>293226</v>
      </c>
      <c r="F304" s="53" t="s">
        <v>455</v>
      </c>
      <c r="G304" s="25">
        <f t="shared" si="1"/>
        <v>-3.3745781777279049E-3</v>
      </c>
    </row>
    <row r="305" spans="1:7">
      <c r="A305" s="54">
        <v>8.89</v>
      </c>
      <c r="B305" s="54">
        <v>8.9550000000000001</v>
      </c>
      <c r="C305" s="54">
        <v>8.52</v>
      </c>
      <c r="D305" s="54">
        <v>8.52</v>
      </c>
      <c r="E305" s="53">
        <v>568028</v>
      </c>
      <c r="F305" s="53" t="s">
        <v>456</v>
      </c>
      <c r="G305" s="25">
        <f t="shared" si="1"/>
        <v>4.3427230046948484E-2</v>
      </c>
    </row>
    <row r="306" spans="1:7">
      <c r="A306" s="54">
        <v>8.58</v>
      </c>
      <c r="B306" s="54">
        <v>9.18</v>
      </c>
      <c r="C306" s="54">
        <v>8.4450000000000003</v>
      </c>
      <c r="D306" s="54">
        <v>9.18</v>
      </c>
      <c r="E306" s="53">
        <v>445357</v>
      </c>
      <c r="F306" s="53" t="s">
        <v>457</v>
      </c>
      <c r="G306" s="25">
        <f t="shared" si="1"/>
        <v>-6.5359477124182996E-2</v>
      </c>
    </row>
    <row r="307" spans="1:7">
      <c r="A307" s="54">
        <v>8.93</v>
      </c>
      <c r="B307" s="54">
        <v>9.39</v>
      </c>
      <c r="C307" s="54">
        <v>8.85</v>
      </c>
      <c r="D307" s="54">
        <v>9.32</v>
      </c>
      <c r="E307" s="53">
        <v>621708</v>
      </c>
      <c r="F307" s="53" t="s">
        <v>458</v>
      </c>
      <c r="G307" s="25">
        <f t="shared" si="1"/>
        <v>-4.1845493562231773E-2</v>
      </c>
    </row>
    <row r="308" spans="1:7">
      <c r="A308" s="54">
        <v>9.26</v>
      </c>
      <c r="B308" s="54">
        <v>9.58</v>
      </c>
      <c r="C308" s="54">
        <v>9.0399999999999991</v>
      </c>
      <c r="D308" s="54">
        <v>9.2799999999999994</v>
      </c>
      <c r="E308" s="53">
        <v>643661</v>
      </c>
      <c r="F308" s="53" t="s">
        <v>459</v>
      </c>
      <c r="G308" s="25">
        <f t="shared" si="1"/>
        <v>-2.1551724137930384E-3</v>
      </c>
    </row>
    <row r="309" spans="1:7">
      <c r="A309" s="54">
        <v>9.33</v>
      </c>
      <c r="B309" s="54">
        <v>9.5</v>
      </c>
      <c r="C309" s="54">
        <v>9.06</v>
      </c>
      <c r="D309" s="54">
        <v>9.08</v>
      </c>
      <c r="E309" s="53">
        <v>669816</v>
      </c>
      <c r="F309" s="53" t="s">
        <v>460</v>
      </c>
      <c r="G309" s="25">
        <f t="shared" si="1"/>
        <v>2.7533039647577029E-2</v>
      </c>
    </row>
    <row r="310" spans="1:7">
      <c r="A310" s="54">
        <v>9</v>
      </c>
      <c r="B310" s="54">
        <v>9.17</v>
      </c>
      <c r="C310" s="54">
        <v>8.92</v>
      </c>
      <c r="D310" s="54">
        <v>9.17</v>
      </c>
      <c r="E310" s="53">
        <v>475285</v>
      </c>
      <c r="F310" s="53" t="s">
        <v>461</v>
      </c>
      <c r="G310" s="25">
        <f t="shared" si="1"/>
        <v>-1.8538713195201728E-2</v>
      </c>
    </row>
    <row r="311" spans="1:7">
      <c r="A311" s="54">
        <v>9.18</v>
      </c>
      <c r="B311" s="54">
        <v>9.2899999999999991</v>
      </c>
      <c r="C311" s="54">
        <v>8.8800000000000008</v>
      </c>
      <c r="D311" s="54">
        <v>9.06</v>
      </c>
      <c r="E311" s="53">
        <v>498133</v>
      </c>
      <c r="F311" s="53" t="s">
        <v>462</v>
      </c>
      <c r="G311" s="25">
        <f t="shared" si="1"/>
        <v>1.3245033112582627E-2</v>
      </c>
    </row>
    <row r="312" spans="1:7">
      <c r="A312" s="54">
        <v>9.11</v>
      </c>
      <c r="B312" s="54">
        <v>9.24</v>
      </c>
      <c r="C312" s="54">
        <v>8.8013999999999992</v>
      </c>
      <c r="D312" s="54">
        <v>8.89</v>
      </c>
      <c r="E312" s="53">
        <v>628237</v>
      </c>
      <c r="F312" s="53" t="s">
        <v>463</v>
      </c>
      <c r="G312" s="25">
        <f t="shared" si="1"/>
        <v>2.4746906636670341E-2</v>
      </c>
    </row>
    <row r="313" spans="1:7">
      <c r="A313" s="54">
        <v>8.89</v>
      </c>
      <c r="B313" s="54">
        <v>9.0399999999999991</v>
      </c>
      <c r="C313" s="54">
        <v>8.3763000000000005</v>
      </c>
      <c r="D313" s="54">
        <v>8.69</v>
      </c>
      <c r="E313" s="53">
        <v>908280</v>
      </c>
      <c r="F313" s="53" t="s">
        <v>464</v>
      </c>
      <c r="G313" s="25">
        <f t="shared" si="1"/>
        <v>2.3014959723820505E-2</v>
      </c>
    </row>
    <row r="314" spans="1:7">
      <c r="A314" s="54">
        <v>8.6300000000000008</v>
      </c>
      <c r="B314" s="54">
        <v>9.42</v>
      </c>
      <c r="C314" s="54">
        <v>7.44</v>
      </c>
      <c r="D314" s="54">
        <v>7.44</v>
      </c>
      <c r="E314" s="53">
        <v>4027363</v>
      </c>
      <c r="F314" s="53" t="s">
        <v>465</v>
      </c>
      <c r="G314" s="25">
        <f t="shared" si="1"/>
        <v>0.15994623655913975</v>
      </c>
    </row>
    <row r="315" spans="1:7">
      <c r="A315" s="54">
        <v>7</v>
      </c>
      <c r="B315" s="54">
        <v>7.1449999999999996</v>
      </c>
      <c r="C315" s="54">
        <v>6.92</v>
      </c>
      <c r="D315" s="54">
        <v>7.12</v>
      </c>
      <c r="E315" s="53">
        <v>152493</v>
      </c>
      <c r="F315" s="53" t="s">
        <v>466</v>
      </c>
      <c r="G315" s="25">
        <f t="shared" si="1"/>
        <v>-1.6853932584269704E-2</v>
      </c>
    </row>
    <row r="316" spans="1:7">
      <c r="A316" s="54">
        <v>7.1</v>
      </c>
      <c r="B316" s="54">
        <v>7.11</v>
      </c>
      <c r="C316" s="54">
        <v>6.94</v>
      </c>
      <c r="D316" s="54">
        <v>7.11</v>
      </c>
      <c r="E316" s="53">
        <v>311585</v>
      </c>
      <c r="F316" s="53" t="s">
        <v>467</v>
      </c>
      <c r="G316" s="25">
        <f t="shared" si="1"/>
        <v>-1.4064697609001975E-3</v>
      </c>
    </row>
    <row r="317" spans="1:7">
      <c r="A317" s="54">
        <v>7.14</v>
      </c>
      <c r="B317" s="54">
        <v>7.2</v>
      </c>
      <c r="C317" s="54">
        <v>7.03</v>
      </c>
      <c r="D317" s="54">
        <v>7.12</v>
      </c>
      <c r="E317" s="53">
        <v>292716</v>
      </c>
      <c r="F317" s="53" t="s">
        <v>468</v>
      </c>
      <c r="G317" s="25">
        <f t="shared" si="1"/>
        <v>2.8089887640447841E-3</v>
      </c>
    </row>
    <row r="318" spans="1:7">
      <c r="A318" s="54">
        <v>7.1</v>
      </c>
      <c r="B318" s="54">
        <v>7.13</v>
      </c>
      <c r="C318" s="54">
        <v>6.97</v>
      </c>
      <c r="D318" s="54">
        <v>7.13</v>
      </c>
      <c r="E318" s="53">
        <v>270081</v>
      </c>
      <c r="F318" s="53" t="s">
        <v>469</v>
      </c>
      <c r="G318" s="25">
        <f t="shared" si="1"/>
        <v>-4.2075736325386526E-3</v>
      </c>
    </row>
    <row r="319" spans="1:7">
      <c r="A319" s="54">
        <v>7.14</v>
      </c>
      <c r="B319" s="54">
        <v>7.19</v>
      </c>
      <c r="C319" s="54">
        <v>6.91</v>
      </c>
      <c r="D319" s="54">
        <v>6.96</v>
      </c>
      <c r="E319" s="53">
        <v>293236</v>
      </c>
      <c r="F319" s="53" t="s">
        <v>470</v>
      </c>
      <c r="G319" s="25">
        <f t="shared" ref="G319:G382" si="2">A319/D319-1</f>
        <v>2.5862068965517127E-2</v>
      </c>
    </row>
    <row r="320" spans="1:7">
      <c r="A320" s="54">
        <v>6.93</v>
      </c>
      <c r="B320" s="54">
        <v>7.08</v>
      </c>
      <c r="C320" s="54">
        <v>6.91</v>
      </c>
      <c r="D320" s="54">
        <v>7.04</v>
      </c>
      <c r="E320" s="53">
        <v>178787</v>
      </c>
      <c r="F320" s="53" t="s">
        <v>471</v>
      </c>
      <c r="G320" s="25">
        <f t="shared" si="2"/>
        <v>-1.5625E-2</v>
      </c>
    </row>
    <row r="321" spans="1:7">
      <c r="A321" s="54">
        <v>7.02</v>
      </c>
      <c r="B321" s="54">
        <v>7.12</v>
      </c>
      <c r="C321" s="54">
        <v>6.98</v>
      </c>
      <c r="D321" s="54">
        <v>7.05</v>
      </c>
      <c r="E321" s="53">
        <v>210552</v>
      </c>
      <c r="F321" s="53" t="s">
        <v>472</v>
      </c>
      <c r="G321" s="25">
        <f t="shared" si="2"/>
        <v>-4.2553191489361764E-3</v>
      </c>
    </row>
    <row r="322" spans="1:7">
      <c r="A322" s="54">
        <v>6.99</v>
      </c>
      <c r="B322" s="54">
        <v>7.0250000000000004</v>
      </c>
      <c r="C322" s="54">
        <v>6.88</v>
      </c>
      <c r="D322" s="54">
        <v>6.99</v>
      </c>
      <c r="E322" s="53">
        <v>250906</v>
      </c>
      <c r="F322" s="53" t="s">
        <v>473</v>
      </c>
      <c r="G322" s="25">
        <f t="shared" si="2"/>
        <v>0</v>
      </c>
    </row>
    <row r="323" spans="1:7">
      <c r="A323" s="54">
        <v>6.99</v>
      </c>
      <c r="B323" s="54">
        <v>7.0449999999999999</v>
      </c>
      <c r="C323" s="54">
        <v>6.83</v>
      </c>
      <c r="D323" s="54">
        <v>6.9</v>
      </c>
      <c r="E323" s="53">
        <v>481033</v>
      </c>
      <c r="F323" s="53" t="s">
        <v>474</v>
      </c>
      <c r="G323" s="25">
        <f t="shared" si="2"/>
        <v>1.304347826086949E-2</v>
      </c>
    </row>
    <row r="324" spans="1:7">
      <c r="A324" s="54">
        <v>6.83</v>
      </c>
      <c r="B324" s="54">
        <v>7.04</v>
      </c>
      <c r="C324" s="54">
        <v>6.79</v>
      </c>
      <c r="D324" s="54">
        <v>7</v>
      </c>
      <c r="E324" s="53">
        <v>389724</v>
      </c>
      <c r="F324" s="53" t="s">
        <v>475</v>
      </c>
      <c r="G324" s="25">
        <f t="shared" si="2"/>
        <v>-2.4285714285714244E-2</v>
      </c>
    </row>
    <row r="325" spans="1:7">
      <c r="A325" s="54">
        <v>6.95</v>
      </c>
      <c r="B325" s="54">
        <v>6.96</v>
      </c>
      <c r="C325" s="54">
        <v>6.71</v>
      </c>
      <c r="D325" s="54">
        <v>6.81</v>
      </c>
      <c r="E325" s="53">
        <v>327974</v>
      </c>
      <c r="F325" s="53" t="s">
        <v>476</v>
      </c>
      <c r="G325" s="25">
        <f t="shared" si="2"/>
        <v>2.0558002936857722E-2</v>
      </c>
    </row>
    <row r="326" spans="1:7">
      <c r="A326" s="54">
        <v>6.74</v>
      </c>
      <c r="B326" s="54">
        <v>6.875</v>
      </c>
      <c r="C326" s="54">
        <v>6.69</v>
      </c>
      <c r="D326" s="54">
        <v>6.74</v>
      </c>
      <c r="E326" s="53">
        <v>500992</v>
      </c>
      <c r="F326" s="53" t="s">
        <v>477</v>
      </c>
      <c r="G326" s="25">
        <f t="shared" si="2"/>
        <v>0</v>
      </c>
    </row>
    <row r="327" spans="1:7">
      <c r="A327" s="54">
        <v>6.72</v>
      </c>
      <c r="B327" s="54">
        <v>6.9798999999999998</v>
      </c>
      <c r="C327" s="54">
        <v>6.63</v>
      </c>
      <c r="D327" s="54">
        <v>6.88</v>
      </c>
      <c r="E327" s="53">
        <v>405164</v>
      </c>
      <c r="F327" s="53" t="s">
        <v>478</v>
      </c>
      <c r="G327" s="25">
        <f t="shared" si="2"/>
        <v>-2.3255813953488413E-2</v>
      </c>
    </row>
    <row r="328" spans="1:7">
      <c r="A328" s="54">
        <v>6.88</v>
      </c>
      <c r="B328" s="54">
        <v>6.92</v>
      </c>
      <c r="C328" s="54">
        <v>6.7</v>
      </c>
      <c r="D328" s="54">
        <v>6.74</v>
      </c>
      <c r="E328" s="53">
        <v>335290</v>
      </c>
      <c r="F328" s="53" t="s">
        <v>479</v>
      </c>
      <c r="G328" s="25">
        <f t="shared" si="2"/>
        <v>2.0771513353115667E-2</v>
      </c>
    </row>
    <row r="329" spans="1:7">
      <c r="A329" s="54">
        <v>6.81</v>
      </c>
      <c r="B329" s="54">
        <v>6.91</v>
      </c>
      <c r="C329" s="54">
        <v>6.72</v>
      </c>
      <c r="D329" s="54">
        <v>6.88</v>
      </c>
      <c r="E329" s="53">
        <v>477410</v>
      </c>
      <c r="F329" s="53" t="s">
        <v>480</v>
      </c>
      <c r="G329" s="25">
        <f t="shared" si="2"/>
        <v>-1.0174418604651181E-2</v>
      </c>
    </row>
    <row r="330" spans="1:7">
      <c r="A330" s="54">
        <v>6.85</v>
      </c>
      <c r="B330" s="54">
        <v>7.1</v>
      </c>
      <c r="C330" s="54">
        <v>6.82</v>
      </c>
      <c r="D330" s="54">
        <v>6.99</v>
      </c>
      <c r="E330" s="53">
        <v>520533</v>
      </c>
      <c r="F330" s="53" t="s">
        <v>481</v>
      </c>
      <c r="G330" s="25">
        <f t="shared" si="2"/>
        <v>-2.002861230329045E-2</v>
      </c>
    </row>
    <row r="331" spans="1:7">
      <c r="A331" s="54">
        <v>6.99</v>
      </c>
      <c r="B331" s="54">
        <v>7.33</v>
      </c>
      <c r="C331" s="54">
        <v>6.98</v>
      </c>
      <c r="D331" s="54">
        <v>7.22</v>
      </c>
      <c r="E331" s="53">
        <v>332358</v>
      </c>
      <c r="F331" s="53" t="s">
        <v>482</v>
      </c>
      <c r="G331" s="25">
        <f t="shared" si="2"/>
        <v>-3.1855955678670278E-2</v>
      </c>
    </row>
    <row r="332" spans="1:7">
      <c r="A332" s="54">
        <v>7.14</v>
      </c>
      <c r="B332" s="54">
        <v>7.51</v>
      </c>
      <c r="C332" s="54">
        <v>7.1150000000000002</v>
      </c>
      <c r="D332" s="54">
        <v>7.43</v>
      </c>
      <c r="E332" s="53">
        <v>418779</v>
      </c>
      <c r="F332" s="53" t="s">
        <v>483</v>
      </c>
      <c r="G332" s="25">
        <f t="shared" si="2"/>
        <v>-3.9030955585464322E-2</v>
      </c>
    </row>
    <row r="333" spans="1:7">
      <c r="A333" s="54">
        <v>7.44</v>
      </c>
      <c r="B333" s="54">
        <v>7.4858000000000002</v>
      </c>
      <c r="C333" s="54">
        <v>7.18</v>
      </c>
      <c r="D333" s="54">
        <v>7.28</v>
      </c>
      <c r="E333" s="53">
        <v>435778</v>
      </c>
      <c r="F333" s="53" t="s">
        <v>484</v>
      </c>
      <c r="G333" s="25">
        <f t="shared" si="2"/>
        <v>2.19780219780219E-2</v>
      </c>
    </row>
    <row r="334" spans="1:7">
      <c r="A334" s="54">
        <v>7.2</v>
      </c>
      <c r="B334" s="54">
        <v>7.3</v>
      </c>
      <c r="C334" s="54">
        <v>7.04</v>
      </c>
      <c r="D334" s="54">
        <v>7.18</v>
      </c>
      <c r="E334" s="53">
        <v>335331</v>
      </c>
      <c r="F334" s="53" t="s">
        <v>485</v>
      </c>
      <c r="G334" s="25">
        <f t="shared" si="2"/>
        <v>2.7855153203342198E-3</v>
      </c>
    </row>
    <row r="335" spans="1:7">
      <c r="A335" s="54">
        <v>7.15</v>
      </c>
      <c r="B335" s="54">
        <v>7.44</v>
      </c>
      <c r="C335" s="54">
        <v>7.1050000000000004</v>
      </c>
      <c r="D335" s="54">
        <v>7.42</v>
      </c>
      <c r="E335" s="53">
        <v>394354</v>
      </c>
      <c r="F335" s="53" t="s">
        <v>486</v>
      </c>
      <c r="G335" s="25">
        <f t="shared" si="2"/>
        <v>-3.638814016172498E-2</v>
      </c>
    </row>
    <row r="336" spans="1:7">
      <c r="A336" s="54">
        <v>7.41</v>
      </c>
      <c r="B336" s="54">
        <v>7.46</v>
      </c>
      <c r="C336" s="54">
        <v>7.13</v>
      </c>
      <c r="D336" s="54">
        <v>7.18</v>
      </c>
      <c r="E336" s="53">
        <v>510583</v>
      </c>
      <c r="F336" s="53" t="s">
        <v>487</v>
      </c>
      <c r="G336" s="25">
        <f t="shared" si="2"/>
        <v>3.2033426183843972E-2</v>
      </c>
    </row>
    <row r="337" spans="1:7">
      <c r="A337" s="54">
        <v>6.99</v>
      </c>
      <c r="B337" s="54">
        <v>7.0449999999999999</v>
      </c>
      <c r="C337" s="54">
        <v>6.7</v>
      </c>
      <c r="D337" s="54">
        <v>6.7350000000000003</v>
      </c>
      <c r="E337" s="53">
        <v>415276</v>
      </c>
      <c r="F337" s="53" t="s">
        <v>488</v>
      </c>
      <c r="G337" s="25">
        <f t="shared" si="2"/>
        <v>3.786191536748329E-2</v>
      </c>
    </row>
    <row r="338" spans="1:7">
      <c r="A338" s="54">
        <v>6.74</v>
      </c>
      <c r="B338" s="54">
        <v>6.86</v>
      </c>
      <c r="C338" s="54">
        <v>6.61</v>
      </c>
      <c r="D338" s="54">
        <v>6.61</v>
      </c>
      <c r="E338" s="53">
        <v>525745</v>
      </c>
      <c r="F338" s="53" t="s">
        <v>489</v>
      </c>
      <c r="G338" s="25">
        <f t="shared" si="2"/>
        <v>1.9667170953101332E-2</v>
      </c>
    </row>
    <row r="339" spans="1:7">
      <c r="A339" s="54">
        <v>6.68</v>
      </c>
      <c r="B339" s="54">
        <v>6.8</v>
      </c>
      <c r="C339" s="54">
        <v>6.62</v>
      </c>
      <c r="D339" s="54">
        <v>6.75</v>
      </c>
      <c r="E339" s="53">
        <v>285290</v>
      </c>
      <c r="F339" s="53" t="s">
        <v>490</v>
      </c>
      <c r="G339" s="25">
        <f t="shared" si="2"/>
        <v>-1.0370370370370363E-2</v>
      </c>
    </row>
    <row r="340" spans="1:7">
      <c r="A340" s="54">
        <v>6.69</v>
      </c>
      <c r="B340" s="54">
        <v>6.94</v>
      </c>
      <c r="C340" s="54">
        <v>6.5650000000000004</v>
      </c>
      <c r="D340" s="54">
        <v>6.94</v>
      </c>
      <c r="E340" s="53">
        <v>479468</v>
      </c>
      <c r="F340" s="53" t="s">
        <v>491</v>
      </c>
      <c r="G340" s="25">
        <f t="shared" si="2"/>
        <v>-3.6023054755043193E-2</v>
      </c>
    </row>
    <row r="341" spans="1:7">
      <c r="A341" s="54">
        <v>6.93</v>
      </c>
      <c r="B341" s="54">
        <v>7.01</v>
      </c>
      <c r="C341" s="54">
        <v>6.87</v>
      </c>
      <c r="D341" s="54">
        <v>6.97</v>
      </c>
      <c r="E341" s="53">
        <v>375677</v>
      </c>
      <c r="F341" s="53" t="s">
        <v>492</v>
      </c>
      <c r="G341" s="25">
        <f t="shared" si="2"/>
        <v>-5.7388809182209455E-3</v>
      </c>
    </row>
    <row r="342" spans="1:7">
      <c r="A342" s="54">
        <v>6.94</v>
      </c>
      <c r="B342" s="54">
        <v>7.1</v>
      </c>
      <c r="C342" s="54">
        <v>6.72</v>
      </c>
      <c r="D342" s="54">
        <v>6.73</v>
      </c>
      <c r="E342" s="53">
        <v>519362</v>
      </c>
      <c r="F342" s="53" t="s">
        <v>493</v>
      </c>
      <c r="G342" s="25">
        <f t="shared" si="2"/>
        <v>3.1203566121842385E-2</v>
      </c>
    </row>
    <row r="343" spans="1:7">
      <c r="A343" s="54">
        <v>6.75</v>
      </c>
      <c r="B343" s="54">
        <v>6.92</v>
      </c>
      <c r="C343" s="54">
        <v>6.7149999999999999</v>
      </c>
      <c r="D343" s="54">
        <v>6.72</v>
      </c>
      <c r="E343" s="53">
        <v>339629</v>
      </c>
      <c r="F343" s="53" t="s">
        <v>494</v>
      </c>
      <c r="G343" s="25">
        <f t="shared" si="2"/>
        <v>4.4642857142858094E-3</v>
      </c>
    </row>
    <row r="344" spans="1:7">
      <c r="A344" s="54">
        <v>6.73</v>
      </c>
      <c r="B344" s="54">
        <v>7.125</v>
      </c>
      <c r="C344" s="54">
        <v>6.71</v>
      </c>
      <c r="D344" s="54">
        <v>7.1</v>
      </c>
      <c r="E344" s="53">
        <v>621207</v>
      </c>
      <c r="F344" s="53" t="s">
        <v>495</v>
      </c>
      <c r="G344" s="25">
        <f t="shared" si="2"/>
        <v>-5.2112676056337959E-2</v>
      </c>
    </row>
    <row r="345" spans="1:7">
      <c r="A345" s="54">
        <v>7.09</v>
      </c>
      <c r="B345" s="54">
        <v>7.31</v>
      </c>
      <c r="C345" s="54">
        <v>7.08</v>
      </c>
      <c r="D345" s="54">
        <v>7.14</v>
      </c>
      <c r="E345" s="53">
        <v>504246</v>
      </c>
      <c r="F345" s="53" t="s">
        <v>496</v>
      </c>
      <c r="G345" s="25">
        <f t="shared" si="2"/>
        <v>-7.0028011204481544E-3</v>
      </c>
    </row>
    <row r="346" spans="1:7">
      <c r="A346" s="54">
        <v>7.14</v>
      </c>
      <c r="B346" s="54">
        <v>7.3497000000000003</v>
      </c>
      <c r="C346" s="54">
        <v>7.02</v>
      </c>
      <c r="D346" s="54">
        <v>7.31</v>
      </c>
      <c r="E346" s="53">
        <v>574689</v>
      </c>
      <c r="F346" s="53" t="s">
        <v>497</v>
      </c>
      <c r="G346" s="25">
        <f t="shared" si="2"/>
        <v>-2.3255813953488413E-2</v>
      </c>
    </row>
    <row r="347" spans="1:7">
      <c r="A347" s="54">
        <v>7.27</v>
      </c>
      <c r="B347" s="54">
        <v>7.34</v>
      </c>
      <c r="C347" s="54">
        <v>6.47</v>
      </c>
      <c r="D347" s="54">
        <v>6.5</v>
      </c>
      <c r="E347" s="53">
        <v>1685884</v>
      </c>
      <c r="F347" s="53" t="s">
        <v>498</v>
      </c>
      <c r="G347" s="25">
        <f t="shared" si="2"/>
        <v>0.1184615384615384</v>
      </c>
    </row>
    <row r="348" spans="1:7">
      <c r="A348" s="54">
        <v>6.54</v>
      </c>
      <c r="B348" s="54">
        <v>6.73</v>
      </c>
      <c r="C348" s="54">
        <v>6.47</v>
      </c>
      <c r="D348" s="54">
        <v>6.64</v>
      </c>
      <c r="E348" s="53">
        <v>501915</v>
      </c>
      <c r="F348" s="53" t="s">
        <v>499</v>
      </c>
      <c r="G348" s="25">
        <f t="shared" si="2"/>
        <v>-1.5060240963855387E-2</v>
      </c>
    </row>
    <row r="349" spans="1:7">
      <c r="A349" s="54">
        <v>6.39</v>
      </c>
      <c r="B349" s="54">
        <v>6.4</v>
      </c>
      <c r="C349" s="54">
        <v>6.29</v>
      </c>
      <c r="D349" s="54">
        <v>6.34</v>
      </c>
      <c r="E349" s="53">
        <v>367808</v>
      </c>
      <c r="F349" s="53" t="s">
        <v>500</v>
      </c>
      <c r="G349" s="25">
        <f t="shared" si="2"/>
        <v>7.8864353312302349E-3</v>
      </c>
    </row>
    <row r="350" spans="1:7">
      <c r="A350" s="54">
        <v>6.34</v>
      </c>
      <c r="B350" s="54">
        <v>6.36</v>
      </c>
      <c r="C350" s="54">
        <v>6.11</v>
      </c>
      <c r="D350" s="54">
        <v>6.2</v>
      </c>
      <c r="E350" s="53">
        <v>481001</v>
      </c>
      <c r="F350" s="53" t="s">
        <v>501</v>
      </c>
      <c r="G350" s="25">
        <f t="shared" si="2"/>
        <v>2.2580645161290214E-2</v>
      </c>
    </row>
    <row r="351" spans="1:7">
      <c r="A351" s="54">
        <v>6.22</v>
      </c>
      <c r="B351" s="54">
        <v>6.45</v>
      </c>
      <c r="C351" s="54">
        <v>6.19</v>
      </c>
      <c r="D351" s="54">
        <v>6.37</v>
      </c>
      <c r="E351" s="53">
        <v>539329</v>
      </c>
      <c r="F351" s="53" t="s">
        <v>502</v>
      </c>
      <c r="G351" s="25">
        <f t="shared" si="2"/>
        <v>-2.3547880690737877E-2</v>
      </c>
    </row>
    <row r="352" spans="1:7">
      <c r="A352" s="54">
        <v>6.33</v>
      </c>
      <c r="B352" s="54">
        <v>6.53</v>
      </c>
      <c r="C352" s="54">
        <v>6.31</v>
      </c>
      <c r="D352" s="54">
        <v>6.41</v>
      </c>
      <c r="E352" s="53">
        <v>545573</v>
      </c>
      <c r="F352" s="53" t="s">
        <v>503</v>
      </c>
      <c r="G352" s="25">
        <f t="shared" si="2"/>
        <v>-1.2480499219968855E-2</v>
      </c>
    </row>
    <row r="353" spans="1:7">
      <c r="A353" s="54">
        <v>6.45</v>
      </c>
      <c r="B353" s="54">
        <v>6.65</v>
      </c>
      <c r="C353" s="54">
        <v>6.34</v>
      </c>
      <c r="D353" s="54">
        <v>6.4</v>
      </c>
      <c r="E353" s="53">
        <v>552723</v>
      </c>
      <c r="F353" s="53" t="s">
        <v>504</v>
      </c>
      <c r="G353" s="25">
        <f t="shared" si="2"/>
        <v>7.8125E-3</v>
      </c>
    </row>
    <row r="354" spans="1:7">
      <c r="A354" s="54">
        <v>6.4</v>
      </c>
      <c r="B354" s="54">
        <v>6.47</v>
      </c>
      <c r="C354" s="54">
        <v>6.15</v>
      </c>
      <c r="D354" s="54">
        <v>6.15</v>
      </c>
      <c r="E354" s="53">
        <v>668529</v>
      </c>
      <c r="F354" s="53" t="s">
        <v>505</v>
      </c>
      <c r="G354" s="25">
        <f t="shared" si="2"/>
        <v>4.0650406504064929E-2</v>
      </c>
    </row>
    <row r="355" spans="1:7">
      <c r="A355" s="54">
        <v>6.14</v>
      </c>
      <c r="B355" s="54">
        <v>6.19</v>
      </c>
      <c r="C355" s="54">
        <v>5.99</v>
      </c>
      <c r="D355" s="54">
        <v>6.02</v>
      </c>
      <c r="E355" s="53">
        <v>608825</v>
      </c>
      <c r="F355" s="53" t="s">
        <v>506</v>
      </c>
      <c r="G355" s="25">
        <f t="shared" si="2"/>
        <v>1.9933554817275656E-2</v>
      </c>
    </row>
    <row r="356" spans="1:7">
      <c r="A356" s="54">
        <v>6.08</v>
      </c>
      <c r="B356" s="54">
        <v>6.3849999999999998</v>
      </c>
      <c r="C356" s="54">
        <v>6.0149999999999997</v>
      </c>
      <c r="D356" s="54">
        <v>6.12</v>
      </c>
      <c r="E356" s="53">
        <v>1104402</v>
      </c>
      <c r="F356" s="53" t="s">
        <v>507</v>
      </c>
      <c r="G356" s="25">
        <f t="shared" si="2"/>
        <v>-6.5359477124182774E-3</v>
      </c>
    </row>
    <row r="357" spans="1:7">
      <c r="A357" s="54">
        <v>5.88</v>
      </c>
      <c r="B357" s="54">
        <v>6.1550000000000002</v>
      </c>
      <c r="C357" s="54">
        <v>5.84</v>
      </c>
      <c r="D357" s="54">
        <v>6.11</v>
      </c>
      <c r="E357" s="53">
        <v>963772</v>
      </c>
      <c r="F357" s="53" t="s">
        <v>508</v>
      </c>
      <c r="G357" s="25">
        <f t="shared" si="2"/>
        <v>-3.7643207855973859E-2</v>
      </c>
    </row>
    <row r="358" spans="1:7">
      <c r="A358" s="54">
        <v>6.1</v>
      </c>
      <c r="B358" s="54">
        <v>6.19</v>
      </c>
      <c r="C358" s="54">
        <v>5.83</v>
      </c>
      <c r="D358" s="54">
        <v>6.08</v>
      </c>
      <c r="E358" s="53">
        <v>978540</v>
      </c>
      <c r="F358" s="53" t="s">
        <v>509</v>
      </c>
      <c r="G358" s="25">
        <f t="shared" si="2"/>
        <v>3.2894736842103978E-3</v>
      </c>
    </row>
    <row r="359" spans="1:7">
      <c r="A359" s="54">
        <v>6.1</v>
      </c>
      <c r="B359" s="54">
        <v>6.42</v>
      </c>
      <c r="C359" s="54">
        <v>5.87</v>
      </c>
      <c r="D359" s="54">
        <v>6.42</v>
      </c>
      <c r="E359" s="53">
        <v>1310782</v>
      </c>
      <c r="F359" s="53" t="s">
        <v>510</v>
      </c>
      <c r="G359" s="25">
        <f t="shared" si="2"/>
        <v>-4.9844236760124616E-2</v>
      </c>
    </row>
    <row r="360" spans="1:7">
      <c r="A360" s="54">
        <v>6.37</v>
      </c>
      <c r="B360" s="54">
        <v>7.04</v>
      </c>
      <c r="C360" s="54">
        <v>6.1849999999999996</v>
      </c>
      <c r="D360" s="54">
        <v>6.9</v>
      </c>
      <c r="E360" s="53">
        <v>2238572</v>
      </c>
      <c r="F360" s="53" t="s">
        <v>511</v>
      </c>
      <c r="G360" s="25">
        <f t="shared" si="2"/>
        <v>-7.6811594202898625E-2</v>
      </c>
    </row>
    <row r="361" spans="1:7">
      <c r="A361" s="54">
        <v>7.65</v>
      </c>
      <c r="B361" s="54">
        <v>7.66</v>
      </c>
      <c r="C361" s="54">
        <v>7.41</v>
      </c>
      <c r="D361" s="54">
        <v>7.59</v>
      </c>
      <c r="E361" s="53">
        <v>786204</v>
      </c>
      <c r="F361" s="53" t="s">
        <v>512</v>
      </c>
      <c r="G361" s="25">
        <f t="shared" si="2"/>
        <v>7.905138339921125E-3</v>
      </c>
    </row>
    <row r="362" spans="1:7">
      <c r="A362" s="54">
        <v>7.63</v>
      </c>
      <c r="B362" s="54">
        <v>7.8959999999999999</v>
      </c>
      <c r="C362" s="54">
        <v>7.52</v>
      </c>
      <c r="D362" s="54">
        <v>7.8</v>
      </c>
      <c r="E362" s="53">
        <v>384248</v>
      </c>
      <c r="F362" s="53" t="s">
        <v>513</v>
      </c>
      <c r="G362" s="25">
        <f t="shared" si="2"/>
        <v>-2.1794871794871828E-2</v>
      </c>
    </row>
    <row r="363" spans="1:7">
      <c r="A363" s="54">
        <v>7.78</v>
      </c>
      <c r="B363" s="54">
        <v>7.97</v>
      </c>
      <c r="C363" s="54">
        <v>7.58</v>
      </c>
      <c r="D363" s="54">
        <v>7.73</v>
      </c>
      <c r="E363" s="53">
        <v>578003</v>
      </c>
      <c r="F363" s="53" t="s">
        <v>514</v>
      </c>
      <c r="G363" s="25">
        <f t="shared" si="2"/>
        <v>6.4683053040104355E-3</v>
      </c>
    </row>
    <row r="364" spans="1:7">
      <c r="A364" s="54">
        <v>7.66</v>
      </c>
      <c r="B364" s="54">
        <v>7.7750000000000004</v>
      </c>
      <c r="C364" s="54">
        <v>7.55</v>
      </c>
      <c r="D364" s="54">
        <v>7.61</v>
      </c>
      <c r="E364" s="53">
        <v>386879</v>
      </c>
      <c r="F364" s="53" t="s">
        <v>515</v>
      </c>
      <c r="G364" s="25">
        <f t="shared" si="2"/>
        <v>6.5703022339027584E-3</v>
      </c>
    </row>
    <row r="365" spans="1:7">
      <c r="A365" s="54">
        <v>7.51</v>
      </c>
      <c r="B365" s="54">
        <v>7.53</v>
      </c>
      <c r="C365" s="54">
        <v>7.3250000000000002</v>
      </c>
      <c r="D365" s="54">
        <v>7.52</v>
      </c>
      <c r="E365" s="53">
        <v>307447</v>
      </c>
      <c r="F365" s="53" t="s">
        <v>516</v>
      </c>
      <c r="G365" s="25">
        <f t="shared" si="2"/>
        <v>-1.3297872340425343E-3</v>
      </c>
    </row>
    <row r="366" spans="1:7">
      <c r="A366" s="54">
        <v>7.4</v>
      </c>
      <c r="B366" s="54">
        <v>7.58</v>
      </c>
      <c r="C366" s="54">
        <v>7.2698999999999998</v>
      </c>
      <c r="D366" s="54">
        <v>7.58</v>
      </c>
      <c r="E366" s="53">
        <v>232270</v>
      </c>
      <c r="F366" s="53" t="s">
        <v>517</v>
      </c>
      <c r="G366" s="25">
        <f t="shared" si="2"/>
        <v>-2.3746701846965701E-2</v>
      </c>
    </row>
    <row r="367" spans="1:7">
      <c r="A367" s="54">
        <v>7.58</v>
      </c>
      <c r="B367" s="54">
        <v>7.5949999999999998</v>
      </c>
      <c r="C367" s="54">
        <v>7.4450000000000003</v>
      </c>
      <c r="D367" s="54">
        <v>7.52</v>
      </c>
      <c r="E367" s="53">
        <v>233169</v>
      </c>
      <c r="F367" s="53" t="s">
        <v>518</v>
      </c>
      <c r="G367" s="25">
        <f t="shared" si="2"/>
        <v>7.9787234042554278E-3</v>
      </c>
    </row>
    <row r="368" spans="1:7">
      <c r="A368" s="54">
        <v>7.5</v>
      </c>
      <c r="B368" s="54">
        <v>7.62</v>
      </c>
      <c r="C368" s="54">
        <v>7.4550000000000001</v>
      </c>
      <c r="D368" s="54">
        <v>7.6</v>
      </c>
      <c r="E368" s="53">
        <v>230499</v>
      </c>
      <c r="F368" s="53" t="s">
        <v>519</v>
      </c>
      <c r="G368" s="25">
        <f t="shared" si="2"/>
        <v>-1.3157894736842035E-2</v>
      </c>
    </row>
    <row r="369" spans="1:7">
      <c r="A369" s="54">
        <v>7.54</v>
      </c>
      <c r="B369" s="54">
        <v>7.65</v>
      </c>
      <c r="C369" s="54">
        <v>7.49</v>
      </c>
      <c r="D369" s="54">
        <v>7.65</v>
      </c>
      <c r="E369" s="53">
        <v>422359</v>
      </c>
      <c r="F369" s="53" t="s">
        <v>520</v>
      </c>
      <c r="G369" s="25">
        <f t="shared" si="2"/>
        <v>-1.4379084967320321E-2</v>
      </c>
    </row>
    <row r="370" spans="1:7">
      <c r="A370" s="54">
        <v>7.7</v>
      </c>
      <c r="B370" s="54">
        <v>7.8</v>
      </c>
      <c r="C370" s="54">
        <v>7.62</v>
      </c>
      <c r="D370" s="54">
        <v>7.75</v>
      </c>
      <c r="E370" s="53">
        <v>228902</v>
      </c>
      <c r="F370" s="53" t="s">
        <v>521</v>
      </c>
      <c r="G370" s="25">
        <f t="shared" si="2"/>
        <v>-6.4516129032258229E-3</v>
      </c>
    </row>
    <row r="371" spans="1:7">
      <c r="A371" s="54">
        <v>7.6</v>
      </c>
      <c r="B371" s="54">
        <v>7.75</v>
      </c>
      <c r="C371" s="54">
        <v>7.48</v>
      </c>
      <c r="D371" s="54">
        <v>7.63</v>
      </c>
      <c r="E371" s="53">
        <v>266218</v>
      </c>
      <c r="F371" s="53" t="s">
        <v>522</v>
      </c>
      <c r="G371" s="25">
        <f t="shared" si="2"/>
        <v>-3.9318479685452878E-3</v>
      </c>
    </row>
    <row r="372" spans="1:7">
      <c r="A372" s="54">
        <v>7.64</v>
      </c>
      <c r="B372" s="54">
        <v>7.86</v>
      </c>
      <c r="C372" s="54">
        <v>7.58</v>
      </c>
      <c r="D372" s="54">
        <v>7.58</v>
      </c>
      <c r="E372" s="53">
        <v>339180</v>
      </c>
      <c r="F372" s="53" t="s">
        <v>523</v>
      </c>
      <c r="G372" s="25">
        <f t="shared" si="2"/>
        <v>7.9155672823219003E-3</v>
      </c>
    </row>
    <row r="373" spans="1:7">
      <c r="A373" s="54">
        <v>7.51</v>
      </c>
      <c r="B373" s="54">
        <v>7.69</v>
      </c>
      <c r="C373" s="54">
        <v>7.4</v>
      </c>
      <c r="D373" s="54">
        <v>7.51</v>
      </c>
      <c r="E373" s="53">
        <v>317026</v>
      </c>
      <c r="F373" s="53" t="s">
        <v>524</v>
      </c>
      <c r="G373" s="25">
        <f t="shared" si="2"/>
        <v>0</v>
      </c>
    </row>
    <row r="374" spans="1:7">
      <c r="A374" s="54">
        <v>7.64</v>
      </c>
      <c r="B374" s="54">
        <v>7.71</v>
      </c>
      <c r="C374" s="54">
        <v>7.53</v>
      </c>
      <c r="D374" s="54">
        <v>7.6</v>
      </c>
      <c r="E374" s="53">
        <v>322240</v>
      </c>
      <c r="F374" s="53" t="s">
        <v>525</v>
      </c>
      <c r="G374" s="25">
        <f t="shared" si="2"/>
        <v>5.2631578947368585E-3</v>
      </c>
    </row>
    <row r="375" spans="1:7">
      <c r="A375" s="54">
        <v>7.51</v>
      </c>
      <c r="B375" s="54">
        <v>7.625</v>
      </c>
      <c r="C375" s="54">
        <v>7.39</v>
      </c>
      <c r="D375" s="54">
        <v>7.47</v>
      </c>
      <c r="E375" s="53">
        <v>306625</v>
      </c>
      <c r="F375" s="53" t="s">
        <v>526</v>
      </c>
      <c r="G375" s="25">
        <f t="shared" si="2"/>
        <v>5.3547523427042165E-3</v>
      </c>
    </row>
    <row r="376" spans="1:7">
      <c r="A376" s="54">
        <v>7.42</v>
      </c>
      <c r="B376" s="54">
        <v>7.46</v>
      </c>
      <c r="C376" s="54">
        <v>7.18</v>
      </c>
      <c r="D376" s="54">
        <v>7.34</v>
      </c>
      <c r="E376" s="53">
        <v>444795</v>
      </c>
      <c r="F376" s="53" t="s">
        <v>527</v>
      </c>
      <c r="G376" s="25">
        <f t="shared" si="2"/>
        <v>1.0899182561307841E-2</v>
      </c>
    </row>
    <row r="377" spans="1:7">
      <c r="A377" s="54">
        <v>7.39</v>
      </c>
      <c r="B377" s="54">
        <v>7.51</v>
      </c>
      <c r="C377" s="54">
        <v>7.19</v>
      </c>
      <c r="D377" s="54">
        <v>7.27</v>
      </c>
      <c r="E377" s="53">
        <v>309491</v>
      </c>
      <c r="F377" s="53" t="s">
        <v>528</v>
      </c>
      <c r="G377" s="25">
        <f t="shared" si="2"/>
        <v>1.6506189821182904E-2</v>
      </c>
    </row>
    <row r="378" spans="1:7">
      <c r="A378" s="54">
        <v>7.25</v>
      </c>
      <c r="B378" s="54">
        <v>7.3949999999999996</v>
      </c>
      <c r="C378" s="54">
        <v>7.12</v>
      </c>
      <c r="D378" s="54">
        <v>7.16</v>
      </c>
      <c r="E378" s="53">
        <v>279324</v>
      </c>
      <c r="F378" s="53" t="s">
        <v>529</v>
      </c>
      <c r="G378" s="25">
        <f t="shared" si="2"/>
        <v>1.2569832402234526E-2</v>
      </c>
    </row>
    <row r="379" spans="1:7">
      <c r="A379" s="54">
        <v>7.17</v>
      </c>
      <c r="B379" s="54">
        <v>7.37</v>
      </c>
      <c r="C379" s="54">
        <v>7.0949999999999998</v>
      </c>
      <c r="D379" s="54">
        <v>7.37</v>
      </c>
      <c r="E379" s="53">
        <v>248675</v>
      </c>
      <c r="F379" s="53" t="s">
        <v>530</v>
      </c>
      <c r="G379" s="25">
        <f t="shared" si="2"/>
        <v>-2.7137042062415184E-2</v>
      </c>
    </row>
    <row r="380" spans="1:7">
      <c r="A380" s="54">
        <v>7.36</v>
      </c>
      <c r="B380" s="54">
        <v>7.4550000000000001</v>
      </c>
      <c r="C380" s="54">
        <v>7.28</v>
      </c>
      <c r="D380" s="54">
        <v>7.35</v>
      </c>
      <c r="E380" s="53">
        <v>294248</v>
      </c>
      <c r="F380" s="53" t="s">
        <v>531</v>
      </c>
      <c r="G380" s="25">
        <f t="shared" si="2"/>
        <v>1.3605442176871652E-3</v>
      </c>
    </row>
    <row r="381" spans="1:7">
      <c r="A381" s="54">
        <v>7.33</v>
      </c>
      <c r="B381" s="54">
        <v>7.3650000000000002</v>
      </c>
      <c r="C381" s="54">
        <v>7.19</v>
      </c>
      <c r="D381" s="54">
        <v>7.32</v>
      </c>
      <c r="E381" s="53">
        <v>218599</v>
      </c>
      <c r="F381" s="53" t="s">
        <v>532</v>
      </c>
      <c r="G381" s="25">
        <f t="shared" si="2"/>
        <v>1.366120218579292E-3</v>
      </c>
    </row>
    <row r="382" spans="1:7">
      <c r="A382" s="54">
        <v>7.32</v>
      </c>
      <c r="B382" s="54">
        <v>7.5</v>
      </c>
      <c r="C382" s="54">
        <v>7.31</v>
      </c>
      <c r="D382" s="54">
        <v>7.46</v>
      </c>
      <c r="E382" s="53">
        <v>306439</v>
      </c>
      <c r="F382" s="53" t="s">
        <v>533</v>
      </c>
      <c r="G382" s="25">
        <f t="shared" si="2"/>
        <v>-1.8766756032171594E-2</v>
      </c>
    </row>
    <row r="383" spans="1:7">
      <c r="A383" s="54">
        <v>7.46</v>
      </c>
      <c r="B383" s="54">
        <v>7.5250000000000004</v>
      </c>
      <c r="C383" s="54">
        <v>7.3650000000000002</v>
      </c>
      <c r="D383" s="54">
        <v>7.5</v>
      </c>
      <c r="E383" s="53">
        <v>252937</v>
      </c>
      <c r="F383" s="53" t="s">
        <v>534</v>
      </c>
      <c r="G383" s="25">
        <f t="shared" ref="G383:G446" si="3">A383/D383-1</f>
        <v>-5.3333333333333011E-3</v>
      </c>
    </row>
    <row r="384" spans="1:7">
      <c r="A384" s="54">
        <v>7.46</v>
      </c>
      <c r="B384" s="54">
        <v>7.48</v>
      </c>
      <c r="C384" s="54">
        <v>7.28</v>
      </c>
      <c r="D384" s="54">
        <v>7.39</v>
      </c>
      <c r="E384" s="53">
        <v>177466</v>
      </c>
      <c r="F384" s="53" t="s">
        <v>535</v>
      </c>
      <c r="G384" s="25">
        <f t="shared" si="3"/>
        <v>9.4722598105547728E-3</v>
      </c>
    </row>
    <row r="385" spans="1:7">
      <c r="A385" s="54">
        <v>7.37</v>
      </c>
      <c r="B385" s="54">
        <v>7.42</v>
      </c>
      <c r="C385" s="54">
        <v>7.2350000000000003</v>
      </c>
      <c r="D385" s="54">
        <v>7.39</v>
      </c>
      <c r="E385" s="53">
        <v>209274</v>
      </c>
      <c r="F385" s="53" t="s">
        <v>536</v>
      </c>
      <c r="G385" s="25">
        <f t="shared" si="3"/>
        <v>-2.7063599458727605E-3</v>
      </c>
    </row>
    <row r="386" spans="1:7">
      <c r="A386" s="54">
        <v>7.42</v>
      </c>
      <c r="B386" s="54">
        <v>7.5750000000000002</v>
      </c>
      <c r="C386" s="54">
        <v>7.37</v>
      </c>
      <c r="D386" s="54">
        <v>7.56</v>
      </c>
      <c r="E386" s="53">
        <v>242219</v>
      </c>
      <c r="F386" s="53" t="s">
        <v>537</v>
      </c>
      <c r="G386" s="25">
        <f t="shared" si="3"/>
        <v>-1.851851851851849E-2</v>
      </c>
    </row>
    <row r="387" spans="1:7">
      <c r="A387" s="54">
        <v>7.55</v>
      </c>
      <c r="B387" s="54">
        <v>7.71</v>
      </c>
      <c r="C387" s="54">
        <v>7.43</v>
      </c>
      <c r="D387" s="54">
        <v>7.71</v>
      </c>
      <c r="E387" s="53">
        <v>365153</v>
      </c>
      <c r="F387" s="53" t="s">
        <v>538</v>
      </c>
      <c r="G387" s="25">
        <f t="shared" si="3"/>
        <v>-2.0752269779507171E-2</v>
      </c>
    </row>
    <row r="388" spans="1:7">
      <c r="A388" s="54">
        <v>7.68</v>
      </c>
      <c r="B388" s="54">
        <v>7.8650000000000002</v>
      </c>
      <c r="C388" s="54">
        <v>7.53</v>
      </c>
      <c r="D388" s="54">
        <v>7.59</v>
      </c>
      <c r="E388" s="53">
        <v>427213</v>
      </c>
      <c r="F388" s="53" t="s">
        <v>539</v>
      </c>
      <c r="G388" s="25">
        <f t="shared" si="3"/>
        <v>1.1857707509881354E-2</v>
      </c>
    </row>
    <row r="389" spans="1:7">
      <c r="A389" s="54">
        <v>7.51</v>
      </c>
      <c r="B389" s="54">
        <v>7.6790000000000003</v>
      </c>
      <c r="C389" s="54">
        <v>7.48</v>
      </c>
      <c r="D389" s="54">
        <v>7.63</v>
      </c>
      <c r="E389" s="53">
        <v>275265</v>
      </c>
      <c r="F389" s="53" t="s">
        <v>540</v>
      </c>
      <c r="G389" s="25">
        <f t="shared" si="3"/>
        <v>-1.5727391874180929E-2</v>
      </c>
    </row>
    <row r="390" spans="1:7">
      <c r="A390" s="54">
        <v>7.63</v>
      </c>
      <c r="B390" s="54">
        <v>7.63</v>
      </c>
      <c r="C390" s="54">
        <v>7.4649999999999999</v>
      </c>
      <c r="D390" s="54">
        <v>7.6</v>
      </c>
      <c r="E390" s="53">
        <v>291716</v>
      </c>
      <c r="F390" s="53" t="s">
        <v>541</v>
      </c>
      <c r="G390" s="25">
        <f t="shared" si="3"/>
        <v>3.9473684210526994E-3</v>
      </c>
    </row>
    <row r="391" spans="1:7">
      <c r="A391" s="54">
        <v>7.57</v>
      </c>
      <c r="B391" s="54">
        <v>7.77</v>
      </c>
      <c r="C391" s="54">
        <v>7.52</v>
      </c>
      <c r="D391" s="54">
        <v>7.6</v>
      </c>
      <c r="E391" s="53">
        <v>457106</v>
      </c>
      <c r="F391" s="53" t="s">
        <v>542</v>
      </c>
      <c r="G391" s="25">
        <f t="shared" si="3"/>
        <v>-3.9473684210525883E-3</v>
      </c>
    </row>
    <row r="392" spans="1:7">
      <c r="A392" s="54">
        <v>7.6</v>
      </c>
      <c r="B392" s="54">
        <v>7.61</v>
      </c>
      <c r="C392" s="54">
        <v>7.44</v>
      </c>
      <c r="D392" s="54">
        <v>7.6</v>
      </c>
      <c r="E392" s="53">
        <v>440714</v>
      </c>
      <c r="F392" s="53" t="s">
        <v>543</v>
      </c>
      <c r="G392" s="25">
        <f t="shared" si="3"/>
        <v>0</v>
      </c>
    </row>
    <row r="393" spans="1:7">
      <c r="A393" s="54">
        <v>7.61</v>
      </c>
      <c r="B393" s="54">
        <v>7.65</v>
      </c>
      <c r="C393" s="54">
        <v>7.4200999999999997</v>
      </c>
      <c r="D393" s="54">
        <v>7.44</v>
      </c>
      <c r="E393" s="53">
        <v>390887</v>
      </c>
      <c r="F393" s="53" t="s">
        <v>544</v>
      </c>
      <c r="G393" s="25">
        <f t="shared" si="3"/>
        <v>2.2849462365591489E-2</v>
      </c>
    </row>
    <row r="394" spans="1:7">
      <c r="A394" s="54">
        <v>7.46</v>
      </c>
      <c r="B394" s="54">
        <v>7.51</v>
      </c>
      <c r="C394" s="54">
        <v>7.23</v>
      </c>
      <c r="D394" s="54">
        <v>7.36</v>
      </c>
      <c r="E394" s="53">
        <v>345222</v>
      </c>
      <c r="F394" s="53" t="s">
        <v>545</v>
      </c>
      <c r="G394" s="25">
        <f t="shared" si="3"/>
        <v>1.3586956521739024E-2</v>
      </c>
    </row>
    <row r="395" spans="1:7">
      <c r="A395" s="54">
        <v>7.17</v>
      </c>
      <c r="B395" s="54">
        <v>7.53</v>
      </c>
      <c r="C395" s="54">
        <v>7.13</v>
      </c>
      <c r="D395" s="54">
        <v>7.53</v>
      </c>
      <c r="E395" s="53">
        <v>432938</v>
      </c>
      <c r="F395" s="53" t="s">
        <v>546</v>
      </c>
      <c r="G395" s="25">
        <f t="shared" si="3"/>
        <v>-4.7808764940239112E-2</v>
      </c>
    </row>
    <row r="396" spans="1:7">
      <c r="A396" s="54">
        <v>7.53</v>
      </c>
      <c r="B396" s="54">
        <v>7.57</v>
      </c>
      <c r="C396" s="54">
        <v>7.31</v>
      </c>
      <c r="D396" s="54">
        <v>7.47</v>
      </c>
      <c r="E396" s="53">
        <v>273221</v>
      </c>
      <c r="F396" s="53" t="s">
        <v>547</v>
      </c>
      <c r="G396" s="25">
        <f t="shared" si="3"/>
        <v>8.0321285140563248E-3</v>
      </c>
    </row>
    <row r="397" spans="1:7">
      <c r="A397" s="54">
        <v>7.44</v>
      </c>
      <c r="B397" s="54">
        <v>7.5052000000000003</v>
      </c>
      <c r="C397" s="54">
        <v>7.32</v>
      </c>
      <c r="D397" s="54">
        <v>7.43</v>
      </c>
      <c r="E397" s="53">
        <v>253911</v>
      </c>
      <c r="F397" s="53" t="s">
        <v>548</v>
      </c>
      <c r="G397" s="25">
        <f t="shared" si="3"/>
        <v>1.3458950201885589E-3</v>
      </c>
    </row>
    <row r="398" spans="1:7">
      <c r="A398" s="54">
        <v>7.44</v>
      </c>
      <c r="B398" s="54">
        <v>7.61</v>
      </c>
      <c r="C398" s="54">
        <v>7.3</v>
      </c>
      <c r="D398" s="54">
        <v>7.56</v>
      </c>
      <c r="E398" s="53">
        <v>305152</v>
      </c>
      <c r="F398" s="53" t="s">
        <v>549</v>
      </c>
      <c r="G398" s="25">
        <f t="shared" si="3"/>
        <v>-1.5873015873015817E-2</v>
      </c>
    </row>
    <row r="399" spans="1:7">
      <c r="A399" s="54">
        <v>7.59</v>
      </c>
      <c r="B399" s="54">
        <v>7.6</v>
      </c>
      <c r="C399" s="54">
        <v>7.31</v>
      </c>
      <c r="D399" s="54">
        <v>7.4</v>
      </c>
      <c r="E399" s="53">
        <v>263603</v>
      </c>
      <c r="F399" s="53" t="s">
        <v>550</v>
      </c>
      <c r="G399" s="25">
        <f t="shared" si="3"/>
        <v>2.5675675675675524E-2</v>
      </c>
    </row>
    <row r="400" spans="1:7">
      <c r="A400" s="54">
        <v>7.22</v>
      </c>
      <c r="B400" s="54">
        <v>7.76</v>
      </c>
      <c r="C400" s="54">
        <v>7.2</v>
      </c>
      <c r="D400" s="54">
        <v>7.72</v>
      </c>
      <c r="E400" s="53">
        <v>632415</v>
      </c>
      <c r="F400" s="53" t="s">
        <v>551</v>
      </c>
      <c r="G400" s="25">
        <f t="shared" si="3"/>
        <v>-6.476683937823835E-2</v>
      </c>
    </row>
    <row r="401" spans="1:7">
      <c r="A401" s="54">
        <v>7.71</v>
      </c>
      <c r="B401" s="54">
        <v>7.7698999999999998</v>
      </c>
      <c r="C401" s="54">
        <v>7.51</v>
      </c>
      <c r="D401" s="54">
        <v>7.59</v>
      </c>
      <c r="E401" s="53">
        <v>381345</v>
      </c>
      <c r="F401" s="53" t="s">
        <v>552</v>
      </c>
      <c r="G401" s="25">
        <f t="shared" si="3"/>
        <v>1.5810276679841806E-2</v>
      </c>
    </row>
    <row r="402" spans="1:7">
      <c r="A402" s="54">
        <v>7.48</v>
      </c>
      <c r="B402" s="54">
        <v>7.79</v>
      </c>
      <c r="C402" s="54">
        <v>7.28</v>
      </c>
      <c r="D402" s="54">
        <v>7.47</v>
      </c>
      <c r="E402" s="53">
        <v>1078802</v>
      </c>
      <c r="F402" s="53" t="s">
        <v>553</v>
      </c>
      <c r="G402" s="25">
        <f t="shared" si="3"/>
        <v>1.3386880856760541E-3</v>
      </c>
    </row>
    <row r="403" spans="1:7">
      <c r="A403" s="54">
        <v>7.77</v>
      </c>
      <c r="B403" s="54">
        <v>7.8250000000000002</v>
      </c>
      <c r="C403" s="54">
        <v>7.51</v>
      </c>
      <c r="D403" s="54">
        <v>7.62</v>
      </c>
      <c r="E403" s="53">
        <v>733890</v>
      </c>
      <c r="F403" s="53" t="s">
        <v>554</v>
      </c>
      <c r="G403" s="25">
        <f t="shared" si="3"/>
        <v>1.9685039370078705E-2</v>
      </c>
    </row>
    <row r="404" spans="1:7">
      <c r="A404" s="54">
        <v>7.79</v>
      </c>
      <c r="B404" s="54">
        <v>7.98</v>
      </c>
      <c r="C404" s="54">
        <v>7.6</v>
      </c>
      <c r="D404" s="54">
        <v>7.9</v>
      </c>
      <c r="E404" s="53">
        <v>473176</v>
      </c>
      <c r="F404" s="53" t="s">
        <v>555</v>
      </c>
      <c r="G404" s="25">
        <f t="shared" si="3"/>
        <v>-1.3924050632911467E-2</v>
      </c>
    </row>
    <row r="405" spans="1:7">
      <c r="A405" s="54">
        <v>7.84</v>
      </c>
      <c r="B405" s="54">
        <v>8.1</v>
      </c>
      <c r="C405" s="54">
        <v>7.72</v>
      </c>
      <c r="D405" s="54">
        <v>7.83</v>
      </c>
      <c r="E405" s="53">
        <v>640970</v>
      </c>
      <c r="F405" s="53" t="s">
        <v>556</v>
      </c>
      <c r="G405" s="25">
        <f t="shared" si="3"/>
        <v>1.2771392081736277E-3</v>
      </c>
    </row>
    <row r="406" spans="1:7">
      <c r="A406" s="54">
        <v>7.83</v>
      </c>
      <c r="B406" s="54">
        <v>7.9850000000000003</v>
      </c>
      <c r="C406" s="54">
        <v>7.7</v>
      </c>
      <c r="D406" s="54">
        <v>7.7</v>
      </c>
      <c r="E406" s="53">
        <v>503835</v>
      </c>
      <c r="F406" s="53" t="s">
        <v>557</v>
      </c>
      <c r="G406" s="25">
        <f t="shared" si="3"/>
        <v>1.6883116883116944E-2</v>
      </c>
    </row>
    <row r="407" spans="1:7">
      <c r="A407" s="54">
        <v>7.66</v>
      </c>
      <c r="B407" s="54">
        <v>7.9282000000000004</v>
      </c>
      <c r="C407" s="54">
        <v>7.63</v>
      </c>
      <c r="D407" s="54">
        <v>7.7350000000000003</v>
      </c>
      <c r="E407" s="53">
        <v>704074</v>
      </c>
      <c r="F407" s="53" t="s">
        <v>558</v>
      </c>
      <c r="G407" s="25">
        <f t="shared" si="3"/>
        <v>-9.6961861667744786E-3</v>
      </c>
    </row>
    <row r="408" spans="1:7">
      <c r="A408" s="54">
        <v>7.65</v>
      </c>
      <c r="B408" s="54">
        <v>7.73</v>
      </c>
      <c r="C408" s="54">
        <v>7.47</v>
      </c>
      <c r="D408" s="54">
        <v>7.51</v>
      </c>
      <c r="E408" s="53">
        <v>614695</v>
      </c>
      <c r="F408" s="53" t="s">
        <v>559</v>
      </c>
      <c r="G408" s="25">
        <f t="shared" si="3"/>
        <v>1.8641810918775148E-2</v>
      </c>
    </row>
    <row r="409" spans="1:7">
      <c r="A409" s="54">
        <v>7.51</v>
      </c>
      <c r="B409" s="54">
        <v>7.53</v>
      </c>
      <c r="C409" s="54">
        <v>7.26</v>
      </c>
      <c r="D409" s="54">
        <v>7.29</v>
      </c>
      <c r="E409" s="53">
        <v>772140</v>
      </c>
      <c r="F409" s="53" t="s">
        <v>560</v>
      </c>
      <c r="G409" s="25">
        <f t="shared" si="3"/>
        <v>3.0178326474622708E-2</v>
      </c>
    </row>
    <row r="410" spans="1:7">
      <c r="A410" s="54">
        <v>7.33</v>
      </c>
      <c r="B410" s="54">
        <v>7.68</v>
      </c>
      <c r="C410" s="54">
        <v>7.32</v>
      </c>
      <c r="D410" s="54">
        <v>7.34</v>
      </c>
      <c r="E410" s="53">
        <v>481904</v>
      </c>
      <c r="F410" s="53" t="s">
        <v>561</v>
      </c>
      <c r="G410" s="25">
        <f t="shared" si="3"/>
        <v>-1.3623978201634523E-3</v>
      </c>
    </row>
    <row r="411" spans="1:7">
      <c r="A411" s="54">
        <v>7.48</v>
      </c>
      <c r="B411" s="54">
        <v>7.5049999999999999</v>
      </c>
      <c r="C411" s="54">
        <v>7.02</v>
      </c>
      <c r="D411" s="54">
        <v>7.07</v>
      </c>
      <c r="E411" s="53">
        <v>684261</v>
      </c>
      <c r="F411" s="53" t="s">
        <v>562</v>
      </c>
      <c r="G411" s="25">
        <f t="shared" si="3"/>
        <v>5.7991513437058106E-2</v>
      </c>
    </row>
    <row r="412" spans="1:7">
      <c r="A412" s="54">
        <v>7.13</v>
      </c>
      <c r="B412" s="54">
        <v>7.2350000000000003</v>
      </c>
      <c r="C412" s="54">
        <v>6.875</v>
      </c>
      <c r="D412" s="54">
        <v>7.15</v>
      </c>
      <c r="E412" s="53">
        <v>686705</v>
      </c>
      <c r="F412" s="53" t="s">
        <v>563</v>
      </c>
      <c r="G412" s="25">
        <f t="shared" si="3"/>
        <v>-2.7972027972028579E-3</v>
      </c>
    </row>
    <row r="413" spans="1:7">
      <c r="A413" s="54">
        <v>7.18</v>
      </c>
      <c r="B413" s="54">
        <v>7.19</v>
      </c>
      <c r="C413" s="54">
        <v>6.8558000000000003</v>
      </c>
      <c r="D413" s="54">
        <v>6.92</v>
      </c>
      <c r="E413" s="53">
        <v>564501</v>
      </c>
      <c r="F413" s="53" t="s">
        <v>564</v>
      </c>
      <c r="G413" s="25">
        <f t="shared" si="3"/>
        <v>3.7572254335260125E-2</v>
      </c>
    </row>
    <row r="414" spans="1:7">
      <c r="A414" s="54">
        <v>6.95</v>
      </c>
      <c r="B414" s="54">
        <v>7.34</v>
      </c>
      <c r="C414" s="54">
        <v>6.7450000000000001</v>
      </c>
      <c r="D414" s="54">
        <v>7.3</v>
      </c>
      <c r="E414" s="53">
        <v>1046648</v>
      </c>
      <c r="F414" s="53" t="s">
        <v>565</v>
      </c>
      <c r="G414" s="25">
        <f t="shared" si="3"/>
        <v>-4.7945205479452024E-2</v>
      </c>
    </row>
    <row r="415" spans="1:7">
      <c r="A415" s="54">
        <v>7.4</v>
      </c>
      <c r="B415" s="54">
        <v>8</v>
      </c>
      <c r="C415" s="54">
        <v>7.2903000000000002</v>
      </c>
      <c r="D415" s="54">
        <v>7.59</v>
      </c>
      <c r="E415" s="53">
        <v>1386724</v>
      </c>
      <c r="F415" s="53" t="s">
        <v>566</v>
      </c>
      <c r="G415" s="25">
        <f t="shared" si="3"/>
        <v>-2.5032938076416267E-2</v>
      </c>
    </row>
    <row r="416" spans="1:7">
      <c r="A416" s="54">
        <v>7.51</v>
      </c>
      <c r="B416" s="54">
        <v>7.6</v>
      </c>
      <c r="C416" s="54">
        <v>6.5804999999999998</v>
      </c>
      <c r="D416" s="54">
        <v>6.95</v>
      </c>
      <c r="E416" s="53">
        <v>3487950</v>
      </c>
      <c r="F416" s="53" t="s">
        <v>567</v>
      </c>
      <c r="G416" s="25">
        <f t="shared" si="3"/>
        <v>8.0575539568345178E-2</v>
      </c>
    </row>
    <row r="417" spans="1:7">
      <c r="A417" s="54">
        <v>5.93</v>
      </c>
      <c r="B417" s="54">
        <v>6.1384999999999996</v>
      </c>
      <c r="C417" s="54">
        <v>5.82</v>
      </c>
      <c r="D417" s="54">
        <v>6.01</v>
      </c>
      <c r="E417" s="53">
        <v>681057</v>
      </c>
      <c r="F417" s="53" t="s">
        <v>568</v>
      </c>
      <c r="G417" s="25">
        <f t="shared" si="3"/>
        <v>-1.3311148086522451E-2</v>
      </c>
    </row>
    <row r="418" spans="1:7">
      <c r="A418" s="54">
        <v>6</v>
      </c>
      <c r="B418" s="54">
        <v>6.34</v>
      </c>
      <c r="C418" s="54">
        <v>5.98</v>
      </c>
      <c r="D418" s="54">
        <v>6.3</v>
      </c>
      <c r="E418" s="53">
        <v>498987</v>
      </c>
      <c r="F418" s="53" t="s">
        <v>569</v>
      </c>
      <c r="G418" s="25">
        <f t="shared" si="3"/>
        <v>-4.7619047619047561E-2</v>
      </c>
    </row>
    <row r="419" spans="1:7">
      <c r="A419" s="54">
        <v>6.13</v>
      </c>
      <c r="B419" s="54">
        <v>6.17</v>
      </c>
      <c r="C419" s="54">
        <v>5.67</v>
      </c>
      <c r="D419" s="54">
        <v>5.67</v>
      </c>
      <c r="E419" s="53">
        <v>658550</v>
      </c>
      <c r="F419" s="53" t="s">
        <v>570</v>
      </c>
      <c r="G419" s="25">
        <f t="shared" si="3"/>
        <v>8.1128747795414347E-2</v>
      </c>
    </row>
    <row r="420" spans="1:7">
      <c r="A420" s="54">
        <v>5.6</v>
      </c>
      <c r="B420" s="54">
        <v>5.6580000000000004</v>
      </c>
      <c r="C420" s="54">
        <v>5.5049999999999999</v>
      </c>
      <c r="D420" s="54">
        <v>5.62</v>
      </c>
      <c r="E420" s="53">
        <v>520392</v>
      </c>
      <c r="F420" s="53" t="s">
        <v>571</v>
      </c>
      <c r="G420" s="25">
        <f t="shared" si="3"/>
        <v>-3.558718861210064E-3</v>
      </c>
    </row>
    <row r="421" spans="1:7">
      <c r="A421" s="54">
        <v>5.62</v>
      </c>
      <c r="B421" s="54">
        <v>5.63</v>
      </c>
      <c r="C421" s="54">
        <v>5.47</v>
      </c>
      <c r="D421" s="54">
        <v>5.49</v>
      </c>
      <c r="E421" s="53">
        <v>501438</v>
      </c>
      <c r="F421" s="53" t="s">
        <v>572</v>
      </c>
      <c r="G421" s="25">
        <f t="shared" si="3"/>
        <v>2.3679417122040025E-2</v>
      </c>
    </row>
    <row r="422" spans="1:7">
      <c r="A422" s="54">
        <v>5.51</v>
      </c>
      <c r="B422" s="54">
        <v>5.6550000000000002</v>
      </c>
      <c r="C422" s="54">
        <v>5.4950000000000001</v>
      </c>
      <c r="D422" s="54">
        <v>5.62</v>
      </c>
      <c r="E422" s="53">
        <v>375256</v>
      </c>
      <c r="F422" s="53" t="s">
        <v>573</v>
      </c>
      <c r="G422" s="25">
        <f t="shared" si="3"/>
        <v>-1.9572953736654908E-2</v>
      </c>
    </row>
    <row r="423" spans="1:7">
      <c r="A423" s="54">
        <v>5.56</v>
      </c>
      <c r="B423" s="54">
        <v>5.68</v>
      </c>
      <c r="C423" s="54">
        <v>5.5</v>
      </c>
      <c r="D423" s="54">
        <v>5.64</v>
      </c>
      <c r="E423" s="53">
        <v>488056</v>
      </c>
      <c r="F423" s="53" t="s">
        <v>574</v>
      </c>
      <c r="G423" s="25">
        <f t="shared" si="3"/>
        <v>-1.4184397163120588E-2</v>
      </c>
    </row>
    <row r="424" spans="1:7">
      <c r="A424" s="54">
        <v>5.68</v>
      </c>
      <c r="B424" s="54">
        <v>5.7050000000000001</v>
      </c>
      <c r="C424" s="54">
        <v>5.6</v>
      </c>
      <c r="D424" s="54">
        <v>5.68</v>
      </c>
      <c r="E424" s="53">
        <v>248652</v>
      </c>
      <c r="F424" s="53" t="s">
        <v>575</v>
      </c>
      <c r="G424" s="25">
        <f t="shared" si="3"/>
        <v>0</v>
      </c>
    </row>
    <row r="425" spans="1:7">
      <c r="A425" s="54">
        <v>5.66</v>
      </c>
      <c r="B425" s="54">
        <v>5.74</v>
      </c>
      <c r="C425" s="54">
        <v>5.6097000000000001</v>
      </c>
      <c r="D425" s="54">
        <v>5.71</v>
      </c>
      <c r="E425" s="53">
        <v>446160</v>
      </c>
      <c r="F425" s="53" t="s">
        <v>576</v>
      </c>
      <c r="G425" s="25">
        <f t="shared" si="3"/>
        <v>-8.7565674255691839E-3</v>
      </c>
    </row>
    <row r="426" spans="1:7">
      <c r="A426" s="54">
        <v>5.72</v>
      </c>
      <c r="B426" s="54">
        <v>6.125</v>
      </c>
      <c r="C426" s="54">
        <v>5.7149999999999999</v>
      </c>
      <c r="D426" s="54">
        <v>6.05</v>
      </c>
      <c r="E426" s="53">
        <v>491740</v>
      </c>
      <c r="F426" s="53" t="s">
        <v>577</v>
      </c>
      <c r="G426" s="25">
        <f t="shared" si="3"/>
        <v>-5.4545454545454564E-2</v>
      </c>
    </row>
    <row r="427" spans="1:7">
      <c r="A427" s="54">
        <v>6.05</v>
      </c>
      <c r="B427" s="54">
        <v>6.11</v>
      </c>
      <c r="C427" s="54">
        <v>5.93</v>
      </c>
      <c r="D427" s="54">
        <v>5.93</v>
      </c>
      <c r="E427" s="53">
        <v>756697</v>
      </c>
      <c r="F427" s="53" t="s">
        <v>578</v>
      </c>
      <c r="G427" s="25">
        <f t="shared" si="3"/>
        <v>2.0236087689713411E-2</v>
      </c>
    </row>
    <row r="428" spans="1:7">
      <c r="A428" s="54">
        <v>5.93</v>
      </c>
      <c r="B428" s="54">
        <v>5.93</v>
      </c>
      <c r="C428" s="54">
        <v>5.7149999999999999</v>
      </c>
      <c r="D428" s="54">
        <v>5.75</v>
      </c>
      <c r="E428" s="53">
        <v>339425</v>
      </c>
      <c r="F428" s="53" t="s">
        <v>579</v>
      </c>
      <c r="G428" s="25">
        <f t="shared" si="3"/>
        <v>3.130434782608682E-2</v>
      </c>
    </row>
    <row r="429" spans="1:7">
      <c r="A429" s="54">
        <v>5.76</v>
      </c>
      <c r="B429" s="54">
        <v>5.8049999999999997</v>
      </c>
      <c r="C429" s="54">
        <v>5.65</v>
      </c>
      <c r="D429" s="54">
        <v>5.69</v>
      </c>
      <c r="E429" s="53">
        <v>306348</v>
      </c>
      <c r="F429" s="53" t="s">
        <v>580</v>
      </c>
      <c r="G429" s="25">
        <f t="shared" si="3"/>
        <v>1.2302284710017375E-2</v>
      </c>
    </row>
    <row r="430" spans="1:7">
      <c r="A430" s="54">
        <v>5.68</v>
      </c>
      <c r="B430" s="54">
        <v>5.73</v>
      </c>
      <c r="C430" s="54">
        <v>5.56</v>
      </c>
      <c r="D430" s="54">
        <v>5.63</v>
      </c>
      <c r="E430" s="53">
        <v>509364</v>
      </c>
      <c r="F430" s="53" t="s">
        <v>581</v>
      </c>
      <c r="G430" s="25">
        <f t="shared" si="3"/>
        <v>8.8809946714032417E-3</v>
      </c>
    </row>
    <row r="431" spans="1:7">
      <c r="A431" s="54">
        <v>5.66</v>
      </c>
      <c r="B431" s="54">
        <v>5.94</v>
      </c>
      <c r="C431" s="54">
        <v>5.65</v>
      </c>
      <c r="D431" s="54">
        <v>5.87</v>
      </c>
      <c r="E431" s="53">
        <v>391069</v>
      </c>
      <c r="F431" s="53" t="s">
        <v>582</v>
      </c>
      <c r="G431" s="25">
        <f t="shared" si="3"/>
        <v>-3.5775127768313486E-2</v>
      </c>
    </row>
    <row r="432" spans="1:7">
      <c r="A432" s="54">
        <v>5.88</v>
      </c>
      <c r="B432" s="54">
        <v>5.98</v>
      </c>
      <c r="C432" s="54">
        <v>5.8449999999999998</v>
      </c>
      <c r="D432" s="54">
        <v>5.97</v>
      </c>
      <c r="E432" s="53">
        <v>795078</v>
      </c>
      <c r="F432" s="53" t="s">
        <v>583</v>
      </c>
      <c r="G432" s="25">
        <f t="shared" si="3"/>
        <v>-1.5075376884422065E-2</v>
      </c>
    </row>
    <row r="433" spans="1:7">
      <c r="A433" s="54">
        <v>5.92</v>
      </c>
      <c r="B433" s="54">
        <v>5.94</v>
      </c>
      <c r="C433" s="54">
        <v>5.5949999999999998</v>
      </c>
      <c r="D433" s="54">
        <v>5.61</v>
      </c>
      <c r="E433" s="53">
        <v>484438</v>
      </c>
      <c r="F433" s="53" t="s">
        <v>584</v>
      </c>
      <c r="G433" s="25">
        <f t="shared" si="3"/>
        <v>5.525846702317283E-2</v>
      </c>
    </row>
    <row r="434" spans="1:7">
      <c r="A434" s="54">
        <v>5.65</v>
      </c>
      <c r="B434" s="54">
        <v>5.92</v>
      </c>
      <c r="C434" s="54">
        <v>5.64</v>
      </c>
      <c r="D434" s="54">
        <v>5.88</v>
      </c>
      <c r="E434" s="53">
        <v>436107</v>
      </c>
      <c r="F434" s="53" t="s">
        <v>585</v>
      </c>
      <c r="G434" s="25">
        <f t="shared" si="3"/>
        <v>-3.9115646258503278E-2</v>
      </c>
    </row>
    <row r="435" spans="1:7">
      <c r="A435" s="54">
        <v>5.89</v>
      </c>
      <c r="B435" s="54">
        <v>6.11</v>
      </c>
      <c r="C435" s="54">
        <v>5.85</v>
      </c>
      <c r="D435" s="54">
        <v>6.11</v>
      </c>
      <c r="E435" s="53">
        <v>419400</v>
      </c>
      <c r="F435" s="53" t="s">
        <v>586</v>
      </c>
      <c r="G435" s="25">
        <f t="shared" si="3"/>
        <v>-3.6006546644844595E-2</v>
      </c>
    </row>
    <row r="436" spans="1:7">
      <c r="A436" s="54">
        <v>6.15</v>
      </c>
      <c r="B436" s="54">
        <v>6.24</v>
      </c>
      <c r="C436" s="54">
        <v>6.05</v>
      </c>
      <c r="D436" s="54">
        <v>6.18</v>
      </c>
      <c r="E436" s="53">
        <v>363234</v>
      </c>
      <c r="F436" s="53" t="s">
        <v>587</v>
      </c>
      <c r="G436" s="25">
        <f t="shared" si="3"/>
        <v>-4.8543689320387218E-3</v>
      </c>
    </row>
    <row r="437" spans="1:7">
      <c r="A437" s="54">
        <v>6.22</v>
      </c>
      <c r="B437" s="54">
        <v>6.2573999999999996</v>
      </c>
      <c r="C437" s="54">
        <v>6.12</v>
      </c>
      <c r="D437" s="54">
        <v>6.15</v>
      </c>
      <c r="E437" s="53">
        <v>279340</v>
      </c>
      <c r="F437" s="53" t="s">
        <v>588</v>
      </c>
      <c r="G437" s="25">
        <f t="shared" si="3"/>
        <v>1.1382113821138073E-2</v>
      </c>
    </row>
    <row r="438" spans="1:7">
      <c r="A438" s="54">
        <v>6.14</v>
      </c>
      <c r="B438" s="54">
        <v>6.62</v>
      </c>
      <c r="C438" s="54">
        <v>6.0449999999999999</v>
      </c>
      <c r="D438" s="54">
        <v>6.53</v>
      </c>
      <c r="E438" s="53">
        <v>589955</v>
      </c>
      <c r="F438" s="53" t="s">
        <v>589</v>
      </c>
      <c r="G438" s="25">
        <f t="shared" si="3"/>
        <v>-5.9724349157733614E-2</v>
      </c>
    </row>
    <row r="439" spans="1:7">
      <c r="A439" s="54">
        <v>6.4</v>
      </c>
      <c r="B439" s="54">
        <v>6.5</v>
      </c>
      <c r="C439" s="54">
        <v>6.25</v>
      </c>
      <c r="D439" s="54">
        <v>6.45</v>
      </c>
      <c r="E439" s="53">
        <v>480479</v>
      </c>
      <c r="F439" s="53" t="s">
        <v>590</v>
      </c>
      <c r="G439" s="25">
        <f t="shared" si="3"/>
        <v>-7.7519379844961378E-3</v>
      </c>
    </row>
    <row r="440" spans="1:7">
      <c r="A440" s="54">
        <v>6.46</v>
      </c>
      <c r="B440" s="54">
        <v>6.58</v>
      </c>
      <c r="C440" s="54">
        <v>6.18</v>
      </c>
      <c r="D440" s="54">
        <v>6.26</v>
      </c>
      <c r="E440" s="53">
        <v>543986</v>
      </c>
      <c r="F440" s="53" t="s">
        <v>591</v>
      </c>
      <c r="G440" s="25">
        <f t="shared" si="3"/>
        <v>3.1948881789137351E-2</v>
      </c>
    </row>
    <row r="441" spans="1:7">
      <c r="A441" s="54">
        <v>6.25</v>
      </c>
      <c r="B441" s="54">
        <v>6.53</v>
      </c>
      <c r="C441" s="54">
        <v>6.23</v>
      </c>
      <c r="D441" s="54">
        <v>6.44</v>
      </c>
      <c r="E441" s="53">
        <v>386529</v>
      </c>
      <c r="F441" s="53" t="s">
        <v>592</v>
      </c>
      <c r="G441" s="25">
        <f t="shared" si="3"/>
        <v>-2.9503105590062195E-2</v>
      </c>
    </row>
    <row r="442" spans="1:7">
      <c r="A442" s="54">
        <v>6.52</v>
      </c>
      <c r="B442" s="54">
        <v>6.5250000000000004</v>
      </c>
      <c r="C442" s="54">
        <v>6.38</v>
      </c>
      <c r="D442" s="54">
        <v>6.5</v>
      </c>
      <c r="E442" s="53">
        <v>289521</v>
      </c>
      <c r="F442" s="53" t="s">
        <v>593</v>
      </c>
      <c r="G442" s="25">
        <f t="shared" si="3"/>
        <v>3.0769230769229772E-3</v>
      </c>
    </row>
    <row r="443" spans="1:7">
      <c r="A443" s="54">
        <v>6.5</v>
      </c>
      <c r="B443" s="54">
        <v>6.57</v>
      </c>
      <c r="C443" s="54">
        <v>6.3503999999999996</v>
      </c>
      <c r="D443" s="54">
        <v>6.45</v>
      </c>
      <c r="E443" s="53">
        <v>464292</v>
      </c>
      <c r="F443" s="53" t="s">
        <v>594</v>
      </c>
      <c r="G443" s="25">
        <f t="shared" si="3"/>
        <v>7.7519379844961378E-3</v>
      </c>
    </row>
    <row r="444" spans="1:7">
      <c r="A444" s="54">
        <v>6.4</v>
      </c>
      <c r="B444" s="54">
        <v>6.46</v>
      </c>
      <c r="C444" s="54">
        <v>6.3</v>
      </c>
      <c r="D444" s="54">
        <v>6.36</v>
      </c>
      <c r="E444" s="53">
        <v>301763</v>
      </c>
      <c r="F444" s="53" t="s">
        <v>595</v>
      </c>
      <c r="G444" s="25">
        <f t="shared" si="3"/>
        <v>6.2893081761006275E-3</v>
      </c>
    </row>
    <row r="445" spans="1:7">
      <c r="A445" s="54">
        <v>6.4</v>
      </c>
      <c r="B445" s="54">
        <v>6.5</v>
      </c>
      <c r="C445" s="54">
        <v>6.27</v>
      </c>
      <c r="D445" s="54">
        <v>6.31</v>
      </c>
      <c r="E445" s="53">
        <v>385185</v>
      </c>
      <c r="F445" s="53" t="s">
        <v>596</v>
      </c>
      <c r="G445" s="25">
        <f t="shared" si="3"/>
        <v>1.4263074484944571E-2</v>
      </c>
    </row>
    <row r="446" spans="1:7">
      <c r="A446" s="54">
        <v>6.31</v>
      </c>
      <c r="B446" s="54">
        <v>6.43</v>
      </c>
      <c r="C446" s="54">
        <v>6.26</v>
      </c>
      <c r="D446" s="54">
        <v>6.31</v>
      </c>
      <c r="E446" s="53">
        <v>316397</v>
      </c>
      <c r="F446" s="53" t="s">
        <v>597</v>
      </c>
      <c r="G446" s="25">
        <f t="shared" si="3"/>
        <v>0</v>
      </c>
    </row>
    <row r="447" spans="1:7">
      <c r="A447" s="54">
        <v>6.27</v>
      </c>
      <c r="B447" s="54">
        <v>6.28</v>
      </c>
      <c r="C447" s="54">
        <v>6.0650000000000004</v>
      </c>
      <c r="D447" s="54">
        <v>6.15</v>
      </c>
      <c r="E447" s="53">
        <v>355123</v>
      </c>
      <c r="F447" s="53" t="s">
        <v>598</v>
      </c>
      <c r="G447" s="25">
        <f t="shared" ref="G447:G510" si="4">A447/D447-1</f>
        <v>1.9512195121951015E-2</v>
      </c>
    </row>
    <row r="448" spans="1:7">
      <c r="A448" s="54">
        <v>6.13</v>
      </c>
      <c r="B448" s="54">
        <v>6.2949999999999999</v>
      </c>
      <c r="C448" s="54">
        <v>6.11</v>
      </c>
      <c r="D448" s="54">
        <v>6.17</v>
      </c>
      <c r="E448" s="53">
        <v>273504</v>
      </c>
      <c r="F448" s="53" t="s">
        <v>599</v>
      </c>
      <c r="G448" s="25">
        <f t="shared" si="4"/>
        <v>-6.4829821717989899E-3</v>
      </c>
    </row>
    <row r="449" spans="1:7">
      <c r="A449" s="54">
        <v>6.24</v>
      </c>
      <c r="B449" s="54">
        <v>6.33</v>
      </c>
      <c r="C449" s="54">
        <v>6.03</v>
      </c>
      <c r="D449" s="54">
        <v>6.33</v>
      </c>
      <c r="E449" s="53">
        <v>329253</v>
      </c>
      <c r="F449" s="53" t="s">
        <v>600</v>
      </c>
      <c r="G449" s="25">
        <f t="shared" si="4"/>
        <v>-1.4218009478672911E-2</v>
      </c>
    </row>
    <row r="450" spans="1:7">
      <c r="A450" s="54">
        <v>6.17</v>
      </c>
      <c r="B450" s="54">
        <v>6.27</v>
      </c>
      <c r="C450" s="54">
        <v>6.06</v>
      </c>
      <c r="D450" s="54">
        <v>6.27</v>
      </c>
      <c r="E450" s="53">
        <v>214155</v>
      </c>
      <c r="F450" s="53" t="s">
        <v>601</v>
      </c>
      <c r="G450" s="25">
        <f t="shared" si="4"/>
        <v>-1.5948963317384268E-2</v>
      </c>
    </row>
    <row r="451" spans="1:7">
      <c r="A451" s="54">
        <v>6.12</v>
      </c>
      <c r="B451" s="54">
        <v>6.3684000000000003</v>
      </c>
      <c r="C451" s="54">
        <v>6.04</v>
      </c>
      <c r="D451" s="54">
        <v>6.32</v>
      </c>
      <c r="E451" s="53">
        <v>469774</v>
      </c>
      <c r="F451" s="53" t="s">
        <v>602</v>
      </c>
      <c r="G451" s="25">
        <f t="shared" si="4"/>
        <v>-3.1645569620253222E-2</v>
      </c>
    </row>
    <row r="452" spans="1:7">
      <c r="A452" s="54">
        <v>6.32</v>
      </c>
      <c r="B452" s="54">
        <v>6.41</v>
      </c>
      <c r="C452" s="54">
        <v>5.75</v>
      </c>
      <c r="D452" s="54">
        <v>5.89</v>
      </c>
      <c r="E452" s="53">
        <v>697602</v>
      </c>
      <c r="F452" s="53" t="s">
        <v>603</v>
      </c>
      <c r="G452" s="25">
        <f t="shared" si="4"/>
        <v>7.3005093378607944E-2</v>
      </c>
    </row>
    <row r="453" spans="1:7">
      <c r="A453" s="54">
        <v>5.86</v>
      </c>
      <c r="B453" s="54">
        <v>5.9349999999999996</v>
      </c>
      <c r="C453" s="54">
        <v>5.7207999999999997</v>
      </c>
      <c r="D453" s="54">
        <v>5.77</v>
      </c>
      <c r="E453" s="53">
        <v>539316</v>
      </c>
      <c r="F453" s="53" t="s">
        <v>604</v>
      </c>
      <c r="G453" s="25">
        <f t="shared" si="4"/>
        <v>1.5597920277296451E-2</v>
      </c>
    </row>
    <row r="454" spans="1:7">
      <c r="A454" s="54">
        <v>5.81</v>
      </c>
      <c r="B454" s="54">
        <v>6.14</v>
      </c>
      <c r="C454" s="54">
        <v>5.8</v>
      </c>
      <c r="D454" s="54">
        <v>6.14</v>
      </c>
      <c r="E454" s="53">
        <v>349113</v>
      </c>
      <c r="F454" s="53" t="s">
        <v>605</v>
      </c>
      <c r="G454" s="25">
        <f t="shared" si="4"/>
        <v>-5.3745928338762239E-2</v>
      </c>
    </row>
    <row r="455" spans="1:7">
      <c r="A455" s="54">
        <v>6.04</v>
      </c>
      <c r="B455" s="54">
        <v>6.5819000000000001</v>
      </c>
      <c r="C455" s="54">
        <v>6.04</v>
      </c>
      <c r="D455" s="54">
        <v>6.45</v>
      </c>
      <c r="E455" s="53">
        <v>310295</v>
      </c>
      <c r="F455" s="53" t="s">
        <v>606</v>
      </c>
      <c r="G455" s="25">
        <f t="shared" si="4"/>
        <v>-6.3565891472868286E-2</v>
      </c>
    </row>
    <row r="456" spans="1:7">
      <c r="A456" s="54">
        <v>6.42</v>
      </c>
      <c r="B456" s="54">
        <v>6.42</v>
      </c>
      <c r="C456" s="54">
        <v>6.28</v>
      </c>
      <c r="D456" s="54">
        <v>6.36</v>
      </c>
      <c r="E456" s="53">
        <v>279202</v>
      </c>
      <c r="F456" s="53" t="s">
        <v>607</v>
      </c>
      <c r="G456" s="25">
        <f t="shared" si="4"/>
        <v>9.4339622641508303E-3</v>
      </c>
    </row>
    <row r="457" spans="1:7">
      <c r="A457" s="54">
        <v>6.36</v>
      </c>
      <c r="B457" s="54">
        <v>6.41</v>
      </c>
      <c r="C457" s="54">
        <v>6.17</v>
      </c>
      <c r="D457" s="54">
        <v>6.19</v>
      </c>
      <c r="E457" s="53">
        <v>323100</v>
      </c>
      <c r="F457" s="53" t="s">
        <v>608</v>
      </c>
      <c r="G457" s="25">
        <f t="shared" si="4"/>
        <v>2.7463651050080751E-2</v>
      </c>
    </row>
    <row r="458" spans="1:7">
      <c r="A458" s="54">
        <v>6.17</v>
      </c>
      <c r="B458" s="54">
        <v>6.27</v>
      </c>
      <c r="C458" s="54">
        <v>6.1150000000000002</v>
      </c>
      <c r="D458" s="54">
        <v>6.19</v>
      </c>
      <c r="E458" s="53">
        <v>373107</v>
      </c>
      <c r="F458" s="53" t="s">
        <v>609</v>
      </c>
      <c r="G458" s="25">
        <f t="shared" si="4"/>
        <v>-3.231017770597866E-3</v>
      </c>
    </row>
    <row r="459" spans="1:7">
      <c r="A459" s="54">
        <v>6.12</v>
      </c>
      <c r="B459" s="54">
        <v>6.24</v>
      </c>
      <c r="C459" s="54">
        <v>6.03</v>
      </c>
      <c r="D459" s="54">
        <v>6.09</v>
      </c>
      <c r="E459" s="53">
        <v>395701</v>
      </c>
      <c r="F459" s="53" t="s">
        <v>610</v>
      </c>
      <c r="G459" s="25">
        <f t="shared" si="4"/>
        <v>4.9261083743843415E-3</v>
      </c>
    </row>
    <row r="460" spans="1:7">
      <c r="A460" s="54">
        <v>6.05</v>
      </c>
      <c r="B460" s="54">
        <v>6.25</v>
      </c>
      <c r="C460" s="54">
        <v>5.93</v>
      </c>
      <c r="D460" s="54">
        <v>6.14</v>
      </c>
      <c r="E460" s="53">
        <v>424071</v>
      </c>
      <c r="F460" s="53" t="s">
        <v>611</v>
      </c>
      <c r="G460" s="25">
        <f t="shared" si="4"/>
        <v>-1.4657980456026065E-2</v>
      </c>
    </row>
    <row r="461" spans="1:7">
      <c r="A461" s="54">
        <v>6.12</v>
      </c>
      <c r="B461" s="54">
        <v>6.12</v>
      </c>
      <c r="C461" s="54">
        <v>5.84</v>
      </c>
      <c r="D461" s="54">
        <v>5.98</v>
      </c>
      <c r="E461" s="53">
        <v>394945</v>
      </c>
      <c r="F461" s="53" t="s">
        <v>612</v>
      </c>
      <c r="G461" s="25">
        <f t="shared" si="4"/>
        <v>2.3411371237458178E-2</v>
      </c>
    </row>
    <row r="462" spans="1:7">
      <c r="A462" s="54">
        <v>5.89</v>
      </c>
      <c r="B462" s="54">
        <v>6.1050000000000004</v>
      </c>
      <c r="C462" s="54">
        <v>5.835</v>
      </c>
      <c r="D462" s="54">
        <v>6.07</v>
      </c>
      <c r="E462" s="53">
        <v>437388</v>
      </c>
      <c r="F462" s="53" t="s">
        <v>613</v>
      </c>
      <c r="G462" s="25">
        <f t="shared" si="4"/>
        <v>-2.9654036243822124E-2</v>
      </c>
    </row>
    <row r="463" spans="1:7">
      <c r="A463" s="54">
        <v>6.14</v>
      </c>
      <c r="B463" s="54">
        <v>6.26</v>
      </c>
      <c r="C463" s="54">
        <v>6.12</v>
      </c>
      <c r="D463" s="54">
        <v>6.24</v>
      </c>
      <c r="E463" s="53">
        <v>278878</v>
      </c>
      <c r="F463" s="53" t="s">
        <v>614</v>
      </c>
      <c r="G463" s="25">
        <f t="shared" si="4"/>
        <v>-1.602564102564108E-2</v>
      </c>
    </row>
    <row r="464" spans="1:7">
      <c r="A464" s="54">
        <v>6.2</v>
      </c>
      <c r="B464" s="54">
        <v>6.4</v>
      </c>
      <c r="C464" s="54">
        <v>6.16</v>
      </c>
      <c r="D464" s="54">
        <v>6.31</v>
      </c>
      <c r="E464" s="53">
        <v>471994</v>
      </c>
      <c r="F464" s="53" t="s">
        <v>615</v>
      </c>
      <c r="G464" s="25">
        <f t="shared" si="4"/>
        <v>-1.7432646592709933E-2</v>
      </c>
    </row>
    <row r="465" spans="1:7">
      <c r="A465" s="54">
        <v>6.27</v>
      </c>
      <c r="B465" s="54">
        <v>6.27</v>
      </c>
      <c r="C465" s="54">
        <v>6.07</v>
      </c>
      <c r="D465" s="54">
        <v>6.12</v>
      </c>
      <c r="E465" s="53">
        <v>307474</v>
      </c>
      <c r="F465" s="53" t="s">
        <v>616</v>
      </c>
      <c r="G465" s="25">
        <f t="shared" si="4"/>
        <v>2.450980392156854E-2</v>
      </c>
    </row>
    <row r="466" spans="1:7">
      <c r="A466" s="54">
        <v>6.08</v>
      </c>
      <c r="B466" s="54">
        <v>6.2925000000000004</v>
      </c>
      <c r="C466" s="54">
        <v>6.06</v>
      </c>
      <c r="D466" s="54">
        <v>6.19</v>
      </c>
      <c r="E466" s="53">
        <v>772445</v>
      </c>
      <c r="F466" s="53" t="s">
        <v>617</v>
      </c>
      <c r="G466" s="25">
        <f t="shared" si="4"/>
        <v>-1.7770597738287597E-2</v>
      </c>
    </row>
    <row r="467" spans="1:7">
      <c r="A467" s="54">
        <v>5.79</v>
      </c>
      <c r="B467" s="54">
        <v>5.9749999999999996</v>
      </c>
      <c r="C467" s="54">
        <v>5.71</v>
      </c>
      <c r="D467" s="54">
        <v>5.83</v>
      </c>
      <c r="E467" s="53">
        <v>357073</v>
      </c>
      <c r="F467" s="53" t="s">
        <v>618</v>
      </c>
      <c r="G467" s="25">
        <f t="shared" si="4"/>
        <v>-6.8610634648370583E-3</v>
      </c>
    </row>
    <row r="468" spans="1:7">
      <c r="A468" s="54">
        <v>5.79</v>
      </c>
      <c r="B468" s="54">
        <v>5.8550000000000004</v>
      </c>
      <c r="C468" s="54">
        <v>5.66</v>
      </c>
      <c r="D468" s="54">
        <v>5.75</v>
      </c>
      <c r="E468" s="53">
        <v>381024</v>
      </c>
      <c r="F468" s="53" t="s">
        <v>619</v>
      </c>
      <c r="G468" s="25">
        <f t="shared" si="4"/>
        <v>6.9565217391305278E-3</v>
      </c>
    </row>
    <row r="469" spans="1:7">
      <c r="A469" s="54">
        <v>5.82</v>
      </c>
      <c r="B469" s="54">
        <v>5.9649999999999999</v>
      </c>
      <c r="C469" s="54">
        <v>5.81</v>
      </c>
      <c r="D469" s="54">
        <v>5.81</v>
      </c>
      <c r="E469" s="53">
        <v>288313</v>
      </c>
      <c r="F469" s="53" t="s">
        <v>620</v>
      </c>
      <c r="G469" s="25">
        <f t="shared" si="4"/>
        <v>1.7211703958692759E-3</v>
      </c>
    </row>
    <row r="470" spans="1:7">
      <c r="A470" s="54">
        <v>5.81</v>
      </c>
      <c r="B470" s="54">
        <v>6.44</v>
      </c>
      <c r="C470" s="54">
        <v>5.76</v>
      </c>
      <c r="D470" s="54">
        <v>5.78</v>
      </c>
      <c r="E470" s="53">
        <v>313347</v>
      </c>
      <c r="F470" s="53" t="s">
        <v>621</v>
      </c>
      <c r="G470" s="25">
        <f t="shared" si="4"/>
        <v>5.1903114186850896E-3</v>
      </c>
    </row>
    <row r="471" spans="1:7">
      <c r="A471" s="54">
        <v>5.78</v>
      </c>
      <c r="B471" s="54">
        <v>5.8449999999999998</v>
      </c>
      <c r="C471" s="54">
        <v>5.7149999999999999</v>
      </c>
      <c r="D471" s="54">
        <v>5.8</v>
      </c>
      <c r="E471" s="53">
        <v>373060</v>
      </c>
      <c r="F471" s="53" t="s">
        <v>622</v>
      </c>
      <c r="G471" s="25">
        <f t="shared" si="4"/>
        <v>-3.4482758620688614E-3</v>
      </c>
    </row>
    <row r="472" spans="1:7">
      <c r="A472" s="54">
        <v>5.87</v>
      </c>
      <c r="B472" s="54">
        <v>6.03</v>
      </c>
      <c r="C472" s="54">
        <v>5.83</v>
      </c>
      <c r="D472" s="54">
        <v>5.99</v>
      </c>
      <c r="E472" s="53">
        <v>586457</v>
      </c>
      <c r="F472" s="53" t="s">
        <v>623</v>
      </c>
      <c r="G472" s="25">
        <f t="shared" si="4"/>
        <v>-2.0033388981636091E-2</v>
      </c>
    </row>
    <row r="473" spans="1:7">
      <c r="A473" s="54">
        <v>6.03</v>
      </c>
      <c r="B473" s="54">
        <v>6.3</v>
      </c>
      <c r="C473" s="54">
        <v>6</v>
      </c>
      <c r="D473" s="54">
        <v>6.29</v>
      </c>
      <c r="E473" s="53">
        <v>379009</v>
      </c>
      <c r="F473" s="53" t="s">
        <v>624</v>
      </c>
      <c r="G473" s="25">
        <f t="shared" si="4"/>
        <v>-4.1335453100158959E-2</v>
      </c>
    </row>
    <row r="474" spans="1:7">
      <c r="A474" s="54">
        <v>6.26</v>
      </c>
      <c r="B474" s="54">
        <v>6.37</v>
      </c>
      <c r="C474" s="54">
        <v>6.19</v>
      </c>
      <c r="D474" s="54">
        <v>6.3</v>
      </c>
      <c r="E474" s="53">
        <v>336227</v>
      </c>
      <c r="F474" s="53" t="s">
        <v>625</v>
      </c>
      <c r="G474" s="25">
        <f t="shared" si="4"/>
        <v>-6.3492063492063266E-3</v>
      </c>
    </row>
    <row r="475" spans="1:7">
      <c r="A475" s="54">
        <v>6.26</v>
      </c>
      <c r="B475" s="54">
        <v>6.27</v>
      </c>
      <c r="C475" s="54">
        <v>5.9850000000000003</v>
      </c>
      <c r="D475" s="54">
        <v>5.9850000000000003</v>
      </c>
      <c r="E475" s="53">
        <v>479291</v>
      </c>
      <c r="F475" s="53" t="s">
        <v>626</v>
      </c>
      <c r="G475" s="25">
        <f t="shared" si="4"/>
        <v>4.5948203842940627E-2</v>
      </c>
    </row>
    <row r="476" spans="1:7">
      <c r="A476" s="54">
        <v>6.12</v>
      </c>
      <c r="B476" s="54">
        <v>6.38</v>
      </c>
      <c r="C476" s="54">
        <v>6.11</v>
      </c>
      <c r="D476" s="54">
        <v>6.35</v>
      </c>
      <c r="E476" s="53">
        <v>806891</v>
      </c>
      <c r="F476" s="53" t="s">
        <v>627</v>
      </c>
      <c r="G476" s="25">
        <f t="shared" si="4"/>
        <v>-3.622047244094484E-2</v>
      </c>
    </row>
    <row r="477" spans="1:7">
      <c r="A477" s="54">
        <v>6.33</v>
      </c>
      <c r="B477" s="54">
        <v>6.55</v>
      </c>
      <c r="C477" s="54">
        <v>6.3000999999999996</v>
      </c>
      <c r="D477" s="54">
        <v>6.52</v>
      </c>
      <c r="E477" s="53">
        <v>490691</v>
      </c>
      <c r="F477" s="53" t="s">
        <v>628</v>
      </c>
      <c r="G477" s="25">
        <f t="shared" si="4"/>
        <v>-2.914110429447847E-2</v>
      </c>
    </row>
    <row r="478" spans="1:7">
      <c r="A478" s="54">
        <v>6.51</v>
      </c>
      <c r="B478" s="54">
        <v>6.5549999999999997</v>
      </c>
      <c r="C478" s="54">
        <v>6.23</v>
      </c>
      <c r="D478" s="54">
        <v>6.28</v>
      </c>
      <c r="E478" s="53">
        <v>514506</v>
      </c>
      <c r="F478" s="53" t="s">
        <v>629</v>
      </c>
      <c r="G478" s="25">
        <f t="shared" si="4"/>
        <v>3.6624203821655987E-2</v>
      </c>
    </row>
    <row r="479" spans="1:7">
      <c r="A479" s="54">
        <v>6.31</v>
      </c>
      <c r="B479" s="54">
        <v>6.42</v>
      </c>
      <c r="C479" s="54">
        <v>6.25</v>
      </c>
      <c r="D479" s="54">
        <v>6.41</v>
      </c>
      <c r="E479" s="53">
        <v>596541</v>
      </c>
      <c r="F479" s="53" t="s">
        <v>630</v>
      </c>
      <c r="G479" s="25">
        <f t="shared" si="4"/>
        <v>-1.5600624024961096E-2</v>
      </c>
    </row>
    <row r="480" spans="1:7">
      <c r="A480" s="54">
        <v>6.37</v>
      </c>
      <c r="B480" s="54">
        <v>6.9</v>
      </c>
      <c r="C480" s="54">
        <v>6.32</v>
      </c>
      <c r="D480" s="54">
        <v>6.76</v>
      </c>
      <c r="E480" s="53">
        <v>608810</v>
      </c>
      <c r="F480" s="53" t="s">
        <v>631</v>
      </c>
      <c r="G480" s="25">
        <f t="shared" si="4"/>
        <v>-5.7692307692307598E-2</v>
      </c>
    </row>
    <row r="481" spans="1:7">
      <c r="A481" s="54">
        <v>6.8</v>
      </c>
      <c r="B481" s="54">
        <v>7.0255999999999998</v>
      </c>
      <c r="C481" s="54">
        <v>6.7850000000000001</v>
      </c>
      <c r="D481" s="54">
        <v>6.84</v>
      </c>
      <c r="E481" s="53">
        <v>761896</v>
      </c>
      <c r="F481" s="53" t="s">
        <v>632</v>
      </c>
      <c r="G481" s="25">
        <f t="shared" si="4"/>
        <v>-5.8479532163743242E-3</v>
      </c>
    </row>
    <row r="482" spans="1:7">
      <c r="A482" s="54">
        <v>6.85</v>
      </c>
      <c r="B482" s="54">
        <v>7.0549999999999997</v>
      </c>
      <c r="C482" s="54">
        <v>6.77</v>
      </c>
      <c r="D482" s="54">
        <v>6.78</v>
      </c>
      <c r="E482" s="53">
        <v>634262</v>
      </c>
      <c r="F482" s="53" t="s">
        <v>633</v>
      </c>
      <c r="G482" s="25">
        <f t="shared" si="4"/>
        <v>1.0324483775811188E-2</v>
      </c>
    </row>
    <row r="483" spans="1:7">
      <c r="A483" s="54">
        <v>6.97</v>
      </c>
      <c r="B483" s="54">
        <v>7.165</v>
      </c>
      <c r="C483" s="54">
        <v>6.8411999999999997</v>
      </c>
      <c r="D483" s="54">
        <v>7.01</v>
      </c>
      <c r="E483" s="53">
        <v>1297003</v>
      </c>
      <c r="F483" s="53" t="s">
        <v>634</v>
      </c>
      <c r="G483" s="25">
        <f t="shared" si="4"/>
        <v>-5.7061340941512162E-3</v>
      </c>
    </row>
    <row r="484" spans="1:7">
      <c r="A484" s="54">
        <v>6.61</v>
      </c>
      <c r="B484" s="54">
        <v>7.19</v>
      </c>
      <c r="C484" s="54">
        <v>6.6</v>
      </c>
      <c r="D484" s="54">
        <v>7.14</v>
      </c>
      <c r="E484" s="53">
        <v>1217347</v>
      </c>
      <c r="F484" s="53" t="s">
        <v>635</v>
      </c>
      <c r="G484" s="25">
        <f t="shared" si="4"/>
        <v>-7.4229691876750659E-2</v>
      </c>
    </row>
    <row r="485" spans="1:7">
      <c r="A485" s="54">
        <v>7.03</v>
      </c>
      <c r="B485" s="54">
        <v>7.52</v>
      </c>
      <c r="C485" s="54">
        <v>6.79</v>
      </c>
      <c r="D485" s="54">
        <v>6.98</v>
      </c>
      <c r="E485" s="53">
        <v>2155711</v>
      </c>
      <c r="F485" s="53" t="s">
        <v>636</v>
      </c>
      <c r="G485" s="25">
        <f t="shared" si="4"/>
        <v>7.1633237822348317E-3</v>
      </c>
    </row>
    <row r="486" spans="1:7">
      <c r="A486" s="54">
        <v>6.4</v>
      </c>
      <c r="B486" s="54">
        <v>7.2</v>
      </c>
      <c r="C486" s="54">
        <v>6.35</v>
      </c>
      <c r="D486" s="54">
        <v>6.4</v>
      </c>
      <c r="E486" s="53">
        <v>1387816</v>
      </c>
      <c r="F486" s="53" t="s">
        <v>637</v>
      </c>
      <c r="G486" s="25">
        <f t="shared" si="4"/>
        <v>0</v>
      </c>
    </row>
    <row r="487" spans="1:7">
      <c r="A487" s="54">
        <v>6.08</v>
      </c>
      <c r="B487" s="54">
        <v>6.3650000000000002</v>
      </c>
      <c r="C487" s="54">
        <v>6.07</v>
      </c>
      <c r="D487" s="54">
        <v>6.15</v>
      </c>
      <c r="E487" s="53">
        <v>862912</v>
      </c>
      <c r="F487" s="53" t="s">
        <v>638</v>
      </c>
      <c r="G487" s="25">
        <f t="shared" si="4"/>
        <v>-1.1382113821138296E-2</v>
      </c>
    </row>
    <row r="488" spans="1:7">
      <c r="A488" s="54">
        <v>6.19</v>
      </c>
      <c r="B488" s="54">
        <v>6.3</v>
      </c>
      <c r="C488" s="54">
        <v>5.93</v>
      </c>
      <c r="D488" s="54">
        <v>5.98</v>
      </c>
      <c r="E488" s="53">
        <v>914161</v>
      </c>
      <c r="F488" s="53" t="s">
        <v>639</v>
      </c>
      <c r="G488" s="25">
        <f t="shared" si="4"/>
        <v>3.5117056856187379E-2</v>
      </c>
    </row>
    <row r="489" spans="1:7">
      <c r="A489" s="54">
        <v>5.83</v>
      </c>
      <c r="B489" s="54">
        <v>6.05</v>
      </c>
      <c r="C489" s="54">
        <v>5.76</v>
      </c>
      <c r="D489" s="54">
        <v>5.92</v>
      </c>
      <c r="E489" s="53">
        <v>551652</v>
      </c>
      <c r="F489" s="53" t="s">
        <v>640</v>
      </c>
      <c r="G489" s="25">
        <f t="shared" si="4"/>
        <v>-1.5202702702702631E-2</v>
      </c>
    </row>
    <row r="490" spans="1:7">
      <c r="A490" s="54">
        <v>5.87</v>
      </c>
      <c r="B490" s="54">
        <v>5.9</v>
      </c>
      <c r="C490" s="54">
        <v>5.73</v>
      </c>
      <c r="D490" s="54">
        <v>5.73</v>
      </c>
      <c r="E490" s="53">
        <v>428809</v>
      </c>
      <c r="F490" s="53" t="s">
        <v>641</v>
      </c>
      <c r="G490" s="25">
        <f t="shared" si="4"/>
        <v>2.4432809773123898E-2</v>
      </c>
    </row>
    <row r="491" spans="1:7">
      <c r="A491" s="54">
        <v>5.7</v>
      </c>
      <c r="B491" s="54">
        <v>5.71</v>
      </c>
      <c r="C491" s="54">
        <v>5.45</v>
      </c>
      <c r="D491" s="54">
        <v>5.47</v>
      </c>
      <c r="E491" s="53">
        <v>505397</v>
      </c>
      <c r="F491" s="53" t="s">
        <v>642</v>
      </c>
      <c r="G491" s="25">
        <f t="shared" si="4"/>
        <v>4.2047531992687404E-2</v>
      </c>
    </row>
    <row r="492" spans="1:7">
      <c r="A492" s="54">
        <v>5.4</v>
      </c>
      <c r="B492" s="54">
        <v>5.4749999999999996</v>
      </c>
      <c r="C492" s="54">
        <v>5.3</v>
      </c>
      <c r="D492" s="54">
        <v>5.32</v>
      </c>
      <c r="E492" s="53">
        <v>381691</v>
      </c>
      <c r="F492" s="53" t="s">
        <v>643</v>
      </c>
      <c r="G492" s="25">
        <f t="shared" si="4"/>
        <v>1.5037593984962516E-2</v>
      </c>
    </row>
    <row r="493" spans="1:7">
      <c r="A493" s="54">
        <v>5.27</v>
      </c>
      <c r="B493" s="54">
        <v>5.4950000000000001</v>
      </c>
      <c r="C493" s="54">
        <v>5.26</v>
      </c>
      <c r="D493" s="54">
        <v>5.4</v>
      </c>
      <c r="E493" s="53">
        <v>334226</v>
      </c>
      <c r="F493" s="53" t="s">
        <v>644</v>
      </c>
      <c r="G493" s="25">
        <f t="shared" si="4"/>
        <v>-2.4074074074074248E-2</v>
      </c>
    </row>
    <row r="494" spans="1:7">
      <c r="A494" s="54">
        <v>5.36</v>
      </c>
      <c r="B494" s="54">
        <v>5.55</v>
      </c>
      <c r="C494" s="54">
        <v>5.35</v>
      </c>
      <c r="D494" s="54">
        <v>5.53</v>
      </c>
      <c r="E494" s="53">
        <v>269057</v>
      </c>
      <c r="F494" s="53" t="s">
        <v>645</v>
      </c>
      <c r="G494" s="25">
        <f t="shared" si="4"/>
        <v>-3.0741410488245968E-2</v>
      </c>
    </row>
    <row r="495" spans="1:7">
      <c r="A495" s="54">
        <v>5.52</v>
      </c>
      <c r="B495" s="54">
        <v>5.7249999999999996</v>
      </c>
      <c r="C495" s="54">
        <v>5.51</v>
      </c>
      <c r="D495" s="54">
        <v>5.59</v>
      </c>
      <c r="E495" s="53">
        <v>337245</v>
      </c>
      <c r="F495" s="53" t="s">
        <v>646</v>
      </c>
      <c r="G495" s="25">
        <f t="shared" si="4"/>
        <v>-1.2522361359570744E-2</v>
      </c>
    </row>
    <row r="496" spans="1:7">
      <c r="A496" s="54">
        <v>5.59</v>
      </c>
      <c r="B496" s="54">
        <v>5.66</v>
      </c>
      <c r="C496" s="54">
        <v>5.5</v>
      </c>
      <c r="D496" s="54">
        <v>5.55</v>
      </c>
      <c r="E496" s="53">
        <v>289971</v>
      </c>
      <c r="F496" s="53" t="s">
        <v>647</v>
      </c>
      <c r="G496" s="25">
        <f t="shared" si="4"/>
        <v>7.2072072072071336E-3</v>
      </c>
    </row>
    <row r="497" spans="1:7">
      <c r="A497" s="54">
        <v>5.55</v>
      </c>
      <c r="B497" s="54">
        <v>5.6050000000000004</v>
      </c>
      <c r="C497" s="54">
        <v>5.31</v>
      </c>
      <c r="D497" s="54">
        <v>5.35</v>
      </c>
      <c r="E497" s="53">
        <v>276494</v>
      </c>
      <c r="F497" s="53" t="s">
        <v>648</v>
      </c>
      <c r="G497" s="25">
        <f t="shared" si="4"/>
        <v>3.7383177570093462E-2</v>
      </c>
    </row>
    <row r="498" spans="1:7">
      <c r="A498" s="54">
        <v>5.39</v>
      </c>
      <c r="B498" s="54">
        <v>5.5350000000000001</v>
      </c>
      <c r="C498" s="54">
        <v>5.27</v>
      </c>
      <c r="D498" s="54">
        <v>5.37</v>
      </c>
      <c r="E498" s="53">
        <v>532799</v>
      </c>
      <c r="F498" s="53" t="s">
        <v>649</v>
      </c>
      <c r="G498" s="25">
        <f t="shared" si="4"/>
        <v>3.7243947858471849E-3</v>
      </c>
    </row>
    <row r="499" spans="1:7">
      <c r="A499" s="54">
        <v>5.37</v>
      </c>
      <c r="B499" s="54">
        <v>5.47</v>
      </c>
      <c r="C499" s="54">
        <v>5.36</v>
      </c>
      <c r="D499" s="54">
        <v>5.39</v>
      </c>
      <c r="E499" s="53">
        <v>684511</v>
      </c>
      <c r="F499" s="53" t="s">
        <v>650</v>
      </c>
      <c r="G499" s="25">
        <f t="shared" si="4"/>
        <v>-3.7105751391465214E-3</v>
      </c>
    </row>
    <row r="500" spans="1:7">
      <c r="A500" s="54">
        <v>5.41</v>
      </c>
      <c r="B500" s="54">
        <v>5.63</v>
      </c>
      <c r="C500" s="54">
        <v>5.37</v>
      </c>
      <c r="D500" s="54">
        <v>5.6</v>
      </c>
      <c r="E500" s="53">
        <v>423515</v>
      </c>
      <c r="F500" s="53" t="s">
        <v>651</v>
      </c>
      <c r="G500" s="25">
        <f t="shared" si="4"/>
        <v>-3.3928571428571308E-2</v>
      </c>
    </row>
    <row r="501" spans="1:7">
      <c r="A501" s="54">
        <v>5.56</v>
      </c>
      <c r="B501" s="54">
        <v>5.6150000000000002</v>
      </c>
      <c r="C501" s="54">
        <v>5.4500999999999999</v>
      </c>
      <c r="D501" s="54">
        <v>5.49</v>
      </c>
      <c r="E501" s="53">
        <v>300370</v>
      </c>
      <c r="F501" s="53" t="s">
        <v>652</v>
      </c>
      <c r="G501" s="25">
        <f t="shared" si="4"/>
        <v>1.2750455373406133E-2</v>
      </c>
    </row>
    <row r="502" spans="1:7">
      <c r="A502" s="54">
        <v>5.49</v>
      </c>
      <c r="B502" s="54">
        <v>5.53</v>
      </c>
      <c r="C502" s="54">
        <v>5.3449999999999998</v>
      </c>
      <c r="D502" s="54">
        <v>5.5</v>
      </c>
      <c r="E502" s="53">
        <v>385671</v>
      </c>
      <c r="F502" s="53" t="s">
        <v>653</v>
      </c>
      <c r="G502" s="25">
        <f t="shared" si="4"/>
        <v>-1.8181818181818299E-3</v>
      </c>
    </row>
    <row r="503" spans="1:7">
      <c r="A503" s="54">
        <v>5.47</v>
      </c>
      <c r="B503" s="54">
        <v>5.69</v>
      </c>
      <c r="C503" s="54">
        <v>5.43</v>
      </c>
      <c r="D503" s="54">
        <v>5.65</v>
      </c>
      <c r="E503" s="53">
        <v>340883</v>
      </c>
      <c r="F503" s="53" t="s">
        <v>654</v>
      </c>
      <c r="G503" s="25">
        <f t="shared" si="4"/>
        <v>-3.1858407079646156E-2</v>
      </c>
    </row>
    <row r="504" spans="1:7">
      <c r="A504" s="54">
        <v>5.67</v>
      </c>
      <c r="B504" s="54">
        <v>5.88</v>
      </c>
      <c r="C504" s="54">
        <v>5.6550000000000002</v>
      </c>
      <c r="D504" s="54">
        <v>5.81</v>
      </c>
      <c r="E504" s="53">
        <v>333159</v>
      </c>
      <c r="F504" s="53" t="s">
        <v>655</v>
      </c>
      <c r="G504" s="25">
        <f t="shared" si="4"/>
        <v>-2.4096385542168641E-2</v>
      </c>
    </row>
    <row r="505" spans="1:7">
      <c r="A505" s="54">
        <v>5.75</v>
      </c>
      <c r="B505" s="54">
        <v>5.7949999999999999</v>
      </c>
      <c r="C505" s="54">
        <v>5.585</v>
      </c>
      <c r="D505" s="54">
        <v>5.61</v>
      </c>
      <c r="E505" s="53">
        <v>332692</v>
      </c>
      <c r="F505" s="53" t="s">
        <v>656</v>
      </c>
      <c r="G505" s="25">
        <f t="shared" si="4"/>
        <v>2.4955436720142554E-2</v>
      </c>
    </row>
    <row r="506" spans="1:7">
      <c r="A506" s="54">
        <v>5.57</v>
      </c>
      <c r="B506" s="54">
        <v>5.9</v>
      </c>
      <c r="C506" s="54">
        <v>5.51</v>
      </c>
      <c r="D506" s="54">
        <v>5.65</v>
      </c>
      <c r="E506" s="53">
        <v>489460</v>
      </c>
      <c r="F506" s="53" t="s">
        <v>657</v>
      </c>
      <c r="G506" s="25">
        <f t="shared" si="4"/>
        <v>-1.415929203539823E-2</v>
      </c>
    </row>
    <row r="507" spans="1:7">
      <c r="A507" s="54">
        <v>5.62</v>
      </c>
      <c r="B507" s="54">
        <v>5.75</v>
      </c>
      <c r="C507" s="54">
        <v>5.55</v>
      </c>
      <c r="D507" s="54">
        <v>5.55</v>
      </c>
      <c r="E507" s="53">
        <v>361508</v>
      </c>
      <c r="F507" s="53" t="s">
        <v>658</v>
      </c>
      <c r="G507" s="25">
        <f t="shared" si="4"/>
        <v>1.2612612612612706E-2</v>
      </c>
    </row>
    <row r="508" spans="1:7">
      <c r="A508" s="54">
        <v>5.54</v>
      </c>
      <c r="B508" s="54">
        <v>5.69</v>
      </c>
      <c r="C508" s="54">
        <v>5.38</v>
      </c>
      <c r="D508" s="54">
        <v>5.53</v>
      </c>
      <c r="E508" s="53">
        <v>772158</v>
      </c>
      <c r="F508" s="53" t="s">
        <v>659</v>
      </c>
      <c r="G508" s="25">
        <f t="shared" si="4"/>
        <v>1.8083182640145079E-3</v>
      </c>
    </row>
    <row r="509" spans="1:7">
      <c r="A509" s="54">
        <v>5.5</v>
      </c>
      <c r="B509" s="54">
        <v>5.56</v>
      </c>
      <c r="C509" s="54">
        <v>5.2649999999999997</v>
      </c>
      <c r="D509" s="54">
        <v>5.51</v>
      </c>
      <c r="E509" s="53">
        <v>663627</v>
      </c>
      <c r="F509" s="53" t="s">
        <v>660</v>
      </c>
      <c r="G509" s="25">
        <f t="shared" si="4"/>
        <v>-1.8148820326678861E-3</v>
      </c>
    </row>
    <row r="510" spans="1:7">
      <c r="A510" s="54">
        <v>5.49</v>
      </c>
      <c r="B510" s="54">
        <v>5.8605999999999998</v>
      </c>
      <c r="C510" s="54">
        <v>5.49</v>
      </c>
      <c r="D510" s="54">
        <v>5.82</v>
      </c>
      <c r="E510" s="53">
        <v>548689</v>
      </c>
      <c r="F510" s="53" t="s">
        <v>661</v>
      </c>
      <c r="G510" s="25">
        <f t="shared" si="4"/>
        <v>-5.6701030927835072E-2</v>
      </c>
    </row>
    <row r="511" spans="1:7">
      <c r="A511" s="54">
        <v>5.73</v>
      </c>
      <c r="B511" s="54">
        <v>5.97</v>
      </c>
      <c r="C511" s="54">
        <v>5.73</v>
      </c>
      <c r="D511" s="54">
        <v>5.97</v>
      </c>
      <c r="E511" s="53">
        <v>274812</v>
      </c>
      <c r="F511" s="53" t="s">
        <v>662</v>
      </c>
      <c r="G511" s="25">
        <f t="shared" ref="G511:G574" si="5">A511/D511-1</f>
        <v>-4.0201005025125469E-2</v>
      </c>
    </row>
    <row r="512" spans="1:7">
      <c r="A512" s="54">
        <v>5.99</v>
      </c>
      <c r="B512" s="54">
        <v>6</v>
      </c>
      <c r="C512" s="54">
        <v>5.8150000000000004</v>
      </c>
      <c r="D512" s="54">
        <v>5.84</v>
      </c>
      <c r="E512" s="53">
        <v>380908</v>
      </c>
      <c r="F512" s="53" t="s">
        <v>663</v>
      </c>
      <c r="G512" s="25">
        <f t="shared" si="5"/>
        <v>2.5684931506849473E-2</v>
      </c>
    </row>
    <row r="513" spans="1:7">
      <c r="A513" s="54">
        <v>5.84</v>
      </c>
      <c r="B513" s="54">
        <v>5.91</v>
      </c>
      <c r="C513" s="54">
        <v>5.72</v>
      </c>
      <c r="D513" s="54">
        <v>5.75</v>
      </c>
      <c r="E513" s="53">
        <v>305340</v>
      </c>
      <c r="F513" s="53" t="s">
        <v>664</v>
      </c>
      <c r="G513" s="25">
        <f t="shared" si="5"/>
        <v>1.5652173913043521E-2</v>
      </c>
    </row>
    <row r="514" spans="1:7">
      <c r="A514" s="54">
        <v>5.79</v>
      </c>
      <c r="B514" s="54">
        <v>5.97</v>
      </c>
      <c r="C514" s="54">
        <v>5.78</v>
      </c>
      <c r="D514" s="54">
        <v>5.97</v>
      </c>
      <c r="E514" s="53">
        <v>331206</v>
      </c>
      <c r="F514" s="53" t="s">
        <v>665</v>
      </c>
      <c r="G514" s="25">
        <f t="shared" si="5"/>
        <v>-3.015075376884413E-2</v>
      </c>
    </row>
    <row r="515" spans="1:7">
      <c r="A515" s="54">
        <v>5.99</v>
      </c>
      <c r="B515" s="54">
        <v>6.12</v>
      </c>
      <c r="C515" s="54">
        <v>5.7649999999999997</v>
      </c>
      <c r="D515" s="54">
        <v>5.99</v>
      </c>
      <c r="E515" s="53">
        <v>868004</v>
      </c>
      <c r="F515" s="53" t="s">
        <v>666</v>
      </c>
      <c r="G515" s="25">
        <f t="shared" si="5"/>
        <v>0</v>
      </c>
    </row>
    <row r="516" spans="1:7">
      <c r="A516" s="54">
        <v>5.89</v>
      </c>
      <c r="B516" s="54">
        <v>6.13</v>
      </c>
      <c r="C516" s="54">
        <v>5.8</v>
      </c>
      <c r="D516" s="54">
        <v>6.13</v>
      </c>
      <c r="E516" s="53">
        <v>613606</v>
      </c>
      <c r="F516" s="53" t="s">
        <v>667</v>
      </c>
      <c r="G516" s="25">
        <f t="shared" si="5"/>
        <v>-3.9151712887438905E-2</v>
      </c>
    </row>
    <row r="517" spans="1:7">
      <c r="A517" s="54">
        <v>6.07</v>
      </c>
      <c r="B517" s="54">
        <v>6.1950000000000003</v>
      </c>
      <c r="C517" s="54">
        <v>6.0350000000000001</v>
      </c>
      <c r="D517" s="54">
        <v>6.12</v>
      </c>
      <c r="E517" s="53">
        <v>486100</v>
      </c>
      <c r="F517" s="53" t="s">
        <v>668</v>
      </c>
      <c r="G517" s="25">
        <f t="shared" si="5"/>
        <v>-8.1699346405228468E-3</v>
      </c>
    </row>
    <row r="518" spans="1:7">
      <c r="A518" s="54">
        <v>6.19</v>
      </c>
      <c r="B518" s="54">
        <v>6.3250000000000002</v>
      </c>
      <c r="C518" s="54">
        <v>6</v>
      </c>
      <c r="D518" s="54">
        <v>6.1</v>
      </c>
      <c r="E518" s="53">
        <v>409983</v>
      </c>
      <c r="F518" s="53" t="s">
        <v>669</v>
      </c>
      <c r="G518" s="25">
        <f t="shared" si="5"/>
        <v>1.4754098360655776E-2</v>
      </c>
    </row>
    <row r="519" spans="1:7">
      <c r="A519" s="54">
        <v>6.17</v>
      </c>
      <c r="B519" s="54">
        <v>6.3250000000000002</v>
      </c>
      <c r="C519" s="54">
        <v>6.15</v>
      </c>
      <c r="D519" s="54">
        <v>6.15</v>
      </c>
      <c r="E519" s="53">
        <v>417557</v>
      </c>
      <c r="F519" s="53" t="s">
        <v>670</v>
      </c>
      <c r="G519" s="25">
        <f t="shared" si="5"/>
        <v>3.2520325203251321E-3</v>
      </c>
    </row>
    <row r="520" spans="1:7">
      <c r="A520" s="54">
        <v>6.09</v>
      </c>
      <c r="B520" s="54">
        <v>6.1</v>
      </c>
      <c r="C520" s="54">
        <v>5.95</v>
      </c>
      <c r="D520" s="54">
        <v>6.03</v>
      </c>
      <c r="E520" s="53">
        <v>394205</v>
      </c>
      <c r="F520" s="53" t="s">
        <v>671</v>
      </c>
      <c r="G520" s="25">
        <f t="shared" si="5"/>
        <v>9.9502487562188602E-3</v>
      </c>
    </row>
    <row r="521" spans="1:7">
      <c r="A521" s="54">
        <v>5.98</v>
      </c>
      <c r="B521" s="54">
        <v>6.06</v>
      </c>
      <c r="C521" s="54">
        <v>5.92</v>
      </c>
      <c r="D521" s="54">
        <v>6.01</v>
      </c>
      <c r="E521" s="53">
        <v>567708</v>
      </c>
      <c r="F521" s="53" t="s">
        <v>672</v>
      </c>
      <c r="G521" s="25">
        <f t="shared" si="5"/>
        <v>-4.991680532445808E-3</v>
      </c>
    </row>
    <row r="522" spans="1:7">
      <c r="A522" s="54">
        <v>6.22</v>
      </c>
      <c r="B522" s="54">
        <v>6.29</v>
      </c>
      <c r="C522" s="54">
        <v>6.11</v>
      </c>
      <c r="D522" s="54">
        <v>6.11</v>
      </c>
      <c r="E522" s="53">
        <v>313355</v>
      </c>
      <c r="F522" s="53" t="s">
        <v>673</v>
      </c>
      <c r="G522" s="25">
        <f t="shared" si="5"/>
        <v>1.8003273322422242E-2</v>
      </c>
    </row>
    <row r="523" spans="1:7">
      <c r="A523" s="54">
        <v>6.09</v>
      </c>
      <c r="B523" s="54">
        <v>6.18</v>
      </c>
      <c r="C523" s="54">
        <v>6.05</v>
      </c>
      <c r="D523" s="54">
        <v>6.15</v>
      </c>
      <c r="E523" s="53">
        <v>225744</v>
      </c>
      <c r="F523" s="53" t="s">
        <v>674</v>
      </c>
      <c r="G523" s="25">
        <f t="shared" si="5"/>
        <v>-9.7560975609757294E-3</v>
      </c>
    </row>
    <row r="524" spans="1:7">
      <c r="A524" s="54">
        <v>6.15</v>
      </c>
      <c r="B524" s="54">
        <v>6.21</v>
      </c>
      <c r="C524" s="54">
        <v>6.01</v>
      </c>
      <c r="D524" s="54">
        <v>6.07</v>
      </c>
      <c r="E524" s="53">
        <v>285008</v>
      </c>
      <c r="F524" s="53" t="s">
        <v>675</v>
      </c>
      <c r="G524" s="25">
        <f t="shared" si="5"/>
        <v>1.3179571663920919E-2</v>
      </c>
    </row>
    <row r="525" spans="1:7">
      <c r="A525" s="54">
        <v>6.08</v>
      </c>
      <c r="B525" s="54">
        <v>6.11</v>
      </c>
      <c r="C525" s="54">
        <v>5.9</v>
      </c>
      <c r="D525" s="54">
        <v>5.95</v>
      </c>
      <c r="E525" s="53">
        <v>214132</v>
      </c>
      <c r="F525" s="53" t="s">
        <v>676</v>
      </c>
      <c r="G525" s="25">
        <f t="shared" si="5"/>
        <v>2.1848739495798242E-2</v>
      </c>
    </row>
    <row r="526" spans="1:7">
      <c r="A526" s="54">
        <v>5.94</v>
      </c>
      <c r="B526" s="54">
        <v>5.9749999999999996</v>
      </c>
      <c r="C526" s="54">
        <v>5.84</v>
      </c>
      <c r="D526" s="54">
        <v>5.85</v>
      </c>
      <c r="E526" s="53">
        <v>292759</v>
      </c>
      <c r="F526" s="53" t="s">
        <v>677</v>
      </c>
      <c r="G526" s="25">
        <f t="shared" si="5"/>
        <v>1.5384615384615552E-2</v>
      </c>
    </row>
    <row r="527" spans="1:7">
      <c r="A527" s="54">
        <v>5.86</v>
      </c>
      <c r="B527" s="54">
        <v>5.92</v>
      </c>
      <c r="C527" s="54">
        <v>5.7649999999999997</v>
      </c>
      <c r="D527" s="54">
        <v>5.87</v>
      </c>
      <c r="E527" s="53">
        <v>390326</v>
      </c>
      <c r="F527" s="53" t="s">
        <v>678</v>
      </c>
      <c r="G527" s="25">
        <f t="shared" si="5"/>
        <v>-1.7035775127768327E-3</v>
      </c>
    </row>
    <row r="528" spans="1:7">
      <c r="A528" s="54">
        <v>5.93</v>
      </c>
      <c r="B528" s="54">
        <v>6.02</v>
      </c>
      <c r="C528" s="54">
        <v>5.87</v>
      </c>
      <c r="D528" s="54">
        <v>5.92</v>
      </c>
      <c r="E528" s="53">
        <v>309532</v>
      </c>
      <c r="F528" s="53" t="s">
        <v>679</v>
      </c>
      <c r="G528" s="25">
        <f t="shared" si="5"/>
        <v>1.6891891891892552E-3</v>
      </c>
    </row>
    <row r="529" spans="1:7">
      <c r="A529" s="54">
        <v>6.01</v>
      </c>
      <c r="B529" s="54">
        <v>6.04</v>
      </c>
      <c r="C529" s="54">
        <v>5.83</v>
      </c>
      <c r="D529" s="54">
        <v>5.94</v>
      </c>
      <c r="E529" s="53">
        <v>279130</v>
      </c>
      <c r="F529" s="53" t="s">
        <v>680</v>
      </c>
      <c r="G529" s="25">
        <f t="shared" si="5"/>
        <v>1.1784511784511675E-2</v>
      </c>
    </row>
    <row r="530" spans="1:7">
      <c r="A530" s="54">
        <v>5.9</v>
      </c>
      <c r="B530" s="54">
        <v>6.11</v>
      </c>
      <c r="C530" s="54">
        <v>5.88</v>
      </c>
      <c r="D530" s="54">
        <v>6.01</v>
      </c>
      <c r="E530" s="53">
        <v>571920</v>
      </c>
      <c r="F530" s="53" t="s">
        <v>681</v>
      </c>
      <c r="G530" s="25">
        <f t="shared" si="5"/>
        <v>-1.8302828618968259E-2</v>
      </c>
    </row>
    <row r="531" spans="1:7">
      <c r="A531" s="54">
        <v>5.97</v>
      </c>
      <c r="B531" s="54">
        <v>6.13</v>
      </c>
      <c r="C531" s="54">
        <v>5.96</v>
      </c>
      <c r="D531" s="54">
        <v>6.13</v>
      </c>
      <c r="E531" s="53">
        <v>302421</v>
      </c>
      <c r="F531" s="53" t="s">
        <v>682</v>
      </c>
      <c r="G531" s="25">
        <f t="shared" si="5"/>
        <v>-2.610114192495927E-2</v>
      </c>
    </row>
    <row r="532" spans="1:7">
      <c r="A532" s="54">
        <v>6.17</v>
      </c>
      <c r="B532" s="54">
        <v>6.17</v>
      </c>
      <c r="C532" s="54">
        <v>5.97</v>
      </c>
      <c r="D532" s="54">
        <v>6</v>
      </c>
      <c r="E532" s="53">
        <v>362413</v>
      </c>
      <c r="F532" s="53" t="s">
        <v>683</v>
      </c>
      <c r="G532" s="25">
        <f t="shared" si="5"/>
        <v>2.8333333333333321E-2</v>
      </c>
    </row>
    <row r="533" spans="1:7">
      <c r="A533" s="54">
        <v>6.02</v>
      </c>
      <c r="B533" s="54">
        <v>6.28</v>
      </c>
      <c r="C533" s="54">
        <v>5.98</v>
      </c>
      <c r="D533" s="54">
        <v>6.28</v>
      </c>
      <c r="E533" s="53">
        <v>390929</v>
      </c>
      <c r="F533" s="53" t="s">
        <v>684</v>
      </c>
      <c r="G533" s="25">
        <f t="shared" si="5"/>
        <v>-4.140127388535042E-2</v>
      </c>
    </row>
    <row r="534" spans="1:7">
      <c r="A534" s="54">
        <v>6.08</v>
      </c>
      <c r="B534" s="54">
        <v>6.12</v>
      </c>
      <c r="C534" s="54">
        <v>5.93</v>
      </c>
      <c r="D534" s="54">
        <v>6.08</v>
      </c>
      <c r="E534" s="53">
        <v>404644</v>
      </c>
      <c r="F534" s="53" t="s">
        <v>685</v>
      </c>
      <c r="G534" s="25">
        <f t="shared" si="5"/>
        <v>0</v>
      </c>
    </row>
    <row r="535" spans="1:7">
      <c r="A535" s="54">
        <v>6</v>
      </c>
      <c r="B535" s="54">
        <v>6.13</v>
      </c>
      <c r="C535" s="54">
        <v>5.88</v>
      </c>
      <c r="D535" s="54">
        <v>6.04</v>
      </c>
      <c r="E535" s="53">
        <v>468173</v>
      </c>
      <c r="F535" s="53" t="s">
        <v>686</v>
      </c>
      <c r="G535" s="25">
        <f t="shared" si="5"/>
        <v>-6.6225165562914245E-3</v>
      </c>
    </row>
    <row r="536" spans="1:7">
      <c r="A536" s="54">
        <v>5.99</v>
      </c>
      <c r="B536" s="54">
        <v>6.15</v>
      </c>
      <c r="C536" s="54">
        <v>5.9649999999999999</v>
      </c>
      <c r="D536" s="54">
        <v>6.13</v>
      </c>
      <c r="E536" s="53">
        <v>649844</v>
      </c>
      <c r="F536" s="53" t="s">
        <v>687</v>
      </c>
      <c r="G536" s="25">
        <f t="shared" si="5"/>
        <v>-2.2838499184339223E-2</v>
      </c>
    </row>
    <row r="537" spans="1:7">
      <c r="A537" s="54">
        <v>6.03</v>
      </c>
      <c r="B537" s="54">
        <v>6.07</v>
      </c>
      <c r="C537" s="54">
        <v>5.9</v>
      </c>
      <c r="D537" s="54">
        <v>5.9</v>
      </c>
      <c r="E537" s="53">
        <v>439370</v>
      </c>
      <c r="F537" s="53" t="s">
        <v>688</v>
      </c>
      <c r="G537" s="25">
        <f t="shared" si="5"/>
        <v>2.2033898305084731E-2</v>
      </c>
    </row>
    <row r="538" spans="1:7">
      <c r="A538" s="54">
        <v>5.85</v>
      </c>
      <c r="B538" s="54">
        <v>5.94</v>
      </c>
      <c r="C538" s="54">
        <v>5.67</v>
      </c>
      <c r="D538" s="54">
        <v>5.84</v>
      </c>
      <c r="E538" s="53">
        <v>583367</v>
      </c>
      <c r="F538" s="53" t="s">
        <v>689</v>
      </c>
      <c r="G538" s="25">
        <f t="shared" si="5"/>
        <v>1.712328767123239E-3</v>
      </c>
    </row>
    <row r="539" spans="1:7">
      <c r="A539" s="54">
        <v>5.84</v>
      </c>
      <c r="B539" s="54">
        <v>6.08</v>
      </c>
      <c r="C539" s="54">
        <v>5.83</v>
      </c>
      <c r="D539" s="54">
        <v>5.91</v>
      </c>
      <c r="E539" s="53">
        <v>426710</v>
      </c>
      <c r="F539" s="53" t="s">
        <v>690</v>
      </c>
      <c r="G539" s="25">
        <f t="shared" si="5"/>
        <v>-1.1844331641285955E-2</v>
      </c>
    </row>
    <row r="540" spans="1:7">
      <c r="A540" s="54">
        <v>5.89</v>
      </c>
      <c r="B540" s="54">
        <v>5.92</v>
      </c>
      <c r="C540" s="54">
        <v>5.7350000000000003</v>
      </c>
      <c r="D540" s="54">
        <v>5.86</v>
      </c>
      <c r="E540" s="53">
        <v>756253</v>
      </c>
      <c r="F540" s="53" t="s">
        <v>691</v>
      </c>
      <c r="G540" s="25">
        <f t="shared" si="5"/>
        <v>5.1194539249146409E-3</v>
      </c>
    </row>
    <row r="541" spans="1:7">
      <c r="A541" s="54">
        <v>5.94</v>
      </c>
      <c r="B541" s="54">
        <v>6.0023</v>
      </c>
      <c r="C541" s="54">
        <v>5.79</v>
      </c>
      <c r="D541" s="54">
        <v>5.92</v>
      </c>
      <c r="E541" s="53">
        <v>1360074</v>
      </c>
      <c r="F541" s="53" t="s">
        <v>692</v>
      </c>
      <c r="G541" s="25">
        <f t="shared" si="5"/>
        <v>3.3783783783785104E-3</v>
      </c>
    </row>
    <row r="542" spans="1:7">
      <c r="A542" s="54">
        <v>6</v>
      </c>
      <c r="B542" s="54">
        <v>6.2</v>
      </c>
      <c r="C542" s="54">
        <v>6</v>
      </c>
      <c r="D542" s="54">
        <v>6.14</v>
      </c>
      <c r="E542" s="53">
        <v>496875</v>
      </c>
      <c r="F542" s="53" t="s">
        <v>693</v>
      </c>
      <c r="G542" s="25">
        <f t="shared" si="5"/>
        <v>-2.280130293159599E-2</v>
      </c>
    </row>
    <row r="543" spans="1:7">
      <c r="A543" s="54">
        <v>6.06</v>
      </c>
      <c r="B543" s="54">
        <v>6.19</v>
      </c>
      <c r="C543" s="54">
        <v>6.02</v>
      </c>
      <c r="D543" s="54">
        <v>6.19</v>
      </c>
      <c r="E543" s="53">
        <v>641905</v>
      </c>
      <c r="F543" s="53" t="s">
        <v>694</v>
      </c>
      <c r="G543" s="25">
        <f t="shared" si="5"/>
        <v>-2.1001615508885463E-2</v>
      </c>
    </row>
    <row r="544" spans="1:7">
      <c r="A544" s="54">
        <v>6.19</v>
      </c>
      <c r="B544" s="54">
        <v>6.375</v>
      </c>
      <c r="C544" s="54">
        <v>6</v>
      </c>
      <c r="D544" s="54">
        <v>6.26</v>
      </c>
      <c r="E544" s="53">
        <v>614839</v>
      </c>
      <c r="F544" s="53" t="s">
        <v>695</v>
      </c>
      <c r="G544" s="25">
        <f t="shared" si="5"/>
        <v>-1.1182108626197951E-2</v>
      </c>
    </row>
    <row r="545" spans="1:7">
      <c r="A545" s="54">
        <v>6.26</v>
      </c>
      <c r="B545" s="54">
        <v>6.56</v>
      </c>
      <c r="C545" s="54">
        <v>6.26</v>
      </c>
      <c r="D545" s="54">
        <v>6.27</v>
      </c>
      <c r="E545" s="53">
        <v>724374</v>
      </c>
      <c r="F545" s="53" t="s">
        <v>696</v>
      </c>
      <c r="G545" s="25">
        <f t="shared" si="5"/>
        <v>-1.5948963317383713E-3</v>
      </c>
    </row>
    <row r="546" spans="1:7">
      <c r="A546" s="54">
        <v>6.38</v>
      </c>
      <c r="B546" s="54">
        <v>6.5</v>
      </c>
      <c r="C546" s="54">
        <v>5.96</v>
      </c>
      <c r="D546" s="54">
        <v>6.13</v>
      </c>
      <c r="E546" s="53">
        <v>1033164</v>
      </c>
      <c r="F546" s="53" t="s">
        <v>697</v>
      </c>
      <c r="G546" s="25">
        <f t="shared" si="5"/>
        <v>4.0783034257748874E-2</v>
      </c>
    </row>
    <row r="547" spans="1:7">
      <c r="A547" s="54">
        <v>6.21</v>
      </c>
      <c r="B547" s="54">
        <v>6.3650000000000002</v>
      </c>
      <c r="C547" s="54">
        <v>5.72</v>
      </c>
      <c r="D547" s="54">
        <v>6.24</v>
      </c>
      <c r="E547" s="53">
        <v>2437003</v>
      </c>
      <c r="F547" s="53" t="s">
        <v>698</v>
      </c>
      <c r="G547" s="25">
        <f t="shared" si="5"/>
        <v>-4.8076923076924016E-3</v>
      </c>
    </row>
    <row r="548" spans="1:7">
      <c r="A548" s="54">
        <v>7.75</v>
      </c>
      <c r="B548" s="54">
        <v>7.81</v>
      </c>
      <c r="C548" s="54">
        <v>7.625</v>
      </c>
      <c r="D548" s="54">
        <v>7.74</v>
      </c>
      <c r="E548" s="53">
        <v>731458</v>
      </c>
      <c r="F548" s="53" t="s">
        <v>699</v>
      </c>
      <c r="G548" s="25">
        <f t="shared" si="5"/>
        <v>1.2919896640826156E-3</v>
      </c>
    </row>
    <row r="549" spans="1:7">
      <c r="A549" s="54">
        <v>7.73</v>
      </c>
      <c r="B549" s="54">
        <v>8.0350000000000001</v>
      </c>
      <c r="C549" s="54">
        <v>7.66</v>
      </c>
      <c r="D549" s="54">
        <v>7.9</v>
      </c>
      <c r="E549" s="53">
        <v>641409</v>
      </c>
      <c r="F549" s="53" t="s">
        <v>700</v>
      </c>
      <c r="G549" s="25">
        <f t="shared" si="5"/>
        <v>-2.1518987341772156E-2</v>
      </c>
    </row>
    <row r="550" spans="1:7">
      <c r="A550" s="54">
        <v>8.0299999999999994</v>
      </c>
      <c r="B550" s="54">
        <v>8.25</v>
      </c>
      <c r="C550" s="54">
        <v>7.8400999999999996</v>
      </c>
      <c r="D550" s="54">
        <v>7.85</v>
      </c>
      <c r="E550" s="53">
        <v>644013</v>
      </c>
      <c r="F550" s="53" t="s">
        <v>701</v>
      </c>
      <c r="G550" s="25">
        <f t="shared" si="5"/>
        <v>2.2929936305732479E-2</v>
      </c>
    </row>
    <row r="551" spans="1:7">
      <c r="A551" s="54">
        <v>7.84</v>
      </c>
      <c r="B551" s="54">
        <v>7.992</v>
      </c>
      <c r="C551" s="54">
        <v>7.81</v>
      </c>
      <c r="D551" s="54">
        <v>7.99</v>
      </c>
      <c r="E551" s="53">
        <v>321671</v>
      </c>
      <c r="F551" s="53" t="s">
        <v>702</v>
      </c>
      <c r="G551" s="25">
        <f t="shared" si="5"/>
        <v>-1.8773466833541974E-2</v>
      </c>
    </row>
    <row r="552" spans="1:7">
      <c r="A552" s="54">
        <v>7.99</v>
      </c>
      <c r="B552" s="54">
        <v>8.0500000000000007</v>
      </c>
      <c r="C552" s="54">
        <v>7.84</v>
      </c>
      <c r="D552" s="54">
        <v>7.98</v>
      </c>
      <c r="E552" s="53">
        <v>492165</v>
      </c>
      <c r="F552" s="53" t="s">
        <v>703</v>
      </c>
      <c r="G552" s="25">
        <f t="shared" si="5"/>
        <v>1.2531328320801727E-3</v>
      </c>
    </row>
    <row r="553" spans="1:7">
      <c r="A553" s="54">
        <v>8.0399999999999991</v>
      </c>
      <c r="B553" s="54">
        <v>8.1</v>
      </c>
      <c r="C553" s="54">
        <v>7.97</v>
      </c>
      <c r="D553" s="54">
        <v>8.02</v>
      </c>
      <c r="E553" s="53">
        <v>256956</v>
      </c>
      <c r="F553" s="53" t="s">
        <v>704</v>
      </c>
      <c r="G553" s="25">
        <f t="shared" si="5"/>
        <v>2.4937655860348684E-3</v>
      </c>
    </row>
    <row r="554" spans="1:7">
      <c r="A554" s="54">
        <v>7.97</v>
      </c>
      <c r="B554" s="54">
        <v>8.08</v>
      </c>
      <c r="C554" s="54">
        <v>7.87</v>
      </c>
      <c r="D554" s="54">
        <v>8</v>
      </c>
      <c r="E554" s="53">
        <v>438220</v>
      </c>
      <c r="F554" s="53" t="s">
        <v>705</v>
      </c>
      <c r="G554" s="25">
        <f t="shared" si="5"/>
        <v>-3.7500000000000311E-3</v>
      </c>
    </row>
    <row r="555" spans="1:7">
      <c r="A555" s="54">
        <v>7.96</v>
      </c>
      <c r="B555" s="54">
        <v>8.01</v>
      </c>
      <c r="C555" s="54">
        <v>7.88</v>
      </c>
      <c r="D555" s="54">
        <v>7.88</v>
      </c>
      <c r="E555" s="53">
        <v>363166</v>
      </c>
      <c r="F555" s="53" t="s">
        <v>706</v>
      </c>
      <c r="G555" s="25">
        <f t="shared" si="5"/>
        <v>1.0152284263959421E-2</v>
      </c>
    </row>
    <row r="556" spans="1:7">
      <c r="A556" s="54">
        <v>7.77</v>
      </c>
      <c r="B556" s="54">
        <v>7.84</v>
      </c>
      <c r="C556" s="54">
        <v>7.61</v>
      </c>
      <c r="D556" s="54">
        <v>7.61</v>
      </c>
      <c r="E556" s="53">
        <v>656733</v>
      </c>
      <c r="F556" s="53" t="s">
        <v>707</v>
      </c>
      <c r="G556" s="25">
        <f t="shared" si="5"/>
        <v>2.1024967148488782E-2</v>
      </c>
    </row>
    <row r="557" spans="1:7">
      <c r="A557" s="54">
        <v>7.53</v>
      </c>
      <c r="B557" s="54">
        <v>7.7149999999999999</v>
      </c>
      <c r="C557" s="54">
        <v>7.47</v>
      </c>
      <c r="D557" s="54">
        <v>7.63</v>
      </c>
      <c r="E557" s="53">
        <v>542142</v>
      </c>
      <c r="F557" s="53" t="s">
        <v>708</v>
      </c>
      <c r="G557" s="25">
        <f t="shared" si="5"/>
        <v>-1.3106159895150626E-2</v>
      </c>
    </row>
    <row r="558" spans="1:7">
      <c r="A558" s="54">
        <v>7.63</v>
      </c>
      <c r="B558" s="54">
        <v>7.7</v>
      </c>
      <c r="C558" s="54">
        <v>7.53</v>
      </c>
      <c r="D558" s="54">
        <v>7.57</v>
      </c>
      <c r="E558" s="53">
        <v>406808</v>
      </c>
      <c r="F558" s="53" t="s">
        <v>709</v>
      </c>
      <c r="G558" s="25">
        <f t="shared" si="5"/>
        <v>7.9260237780713894E-3</v>
      </c>
    </row>
    <row r="559" spans="1:7">
      <c r="A559" s="54">
        <v>7.49</v>
      </c>
      <c r="B559" s="54">
        <v>7.54</v>
      </c>
      <c r="C559" s="54">
        <v>7.41</v>
      </c>
      <c r="D559" s="54">
        <v>7.5</v>
      </c>
      <c r="E559" s="53">
        <v>311597</v>
      </c>
      <c r="F559" s="53" t="s">
        <v>710</v>
      </c>
      <c r="G559" s="25">
        <f t="shared" si="5"/>
        <v>-1.3333333333332975E-3</v>
      </c>
    </row>
    <row r="560" spans="1:7">
      <c r="A560" s="54">
        <v>7.48</v>
      </c>
      <c r="B560" s="54">
        <v>7.69</v>
      </c>
      <c r="C560" s="54">
        <v>7.43</v>
      </c>
      <c r="D560" s="54">
        <v>7.58</v>
      </c>
      <c r="E560" s="53">
        <v>1351022</v>
      </c>
      <c r="F560" s="53" t="s">
        <v>711</v>
      </c>
      <c r="G560" s="25">
        <f t="shared" si="5"/>
        <v>-1.319261213720313E-2</v>
      </c>
    </row>
    <row r="561" spans="1:7">
      <c r="A561" s="54">
        <v>7.51</v>
      </c>
      <c r="B561" s="54">
        <v>7.67</v>
      </c>
      <c r="C561" s="54">
        <v>7.41</v>
      </c>
      <c r="D561" s="54">
        <v>7.55</v>
      </c>
      <c r="E561" s="53">
        <v>725174</v>
      </c>
      <c r="F561" s="53" t="s">
        <v>712</v>
      </c>
      <c r="G561" s="25">
        <f t="shared" si="5"/>
        <v>-5.2980132450330952E-3</v>
      </c>
    </row>
    <row r="562" spans="1:7">
      <c r="A562" s="54">
        <v>7.34</v>
      </c>
      <c r="B562" s="54">
        <v>7.36</v>
      </c>
      <c r="C562" s="54">
        <v>6.9349999999999996</v>
      </c>
      <c r="D562" s="54">
        <v>7.03</v>
      </c>
      <c r="E562" s="53">
        <v>442350</v>
      </c>
      <c r="F562" s="53" t="s">
        <v>713</v>
      </c>
      <c r="G562" s="25">
        <f t="shared" si="5"/>
        <v>4.409672830725464E-2</v>
      </c>
    </row>
    <row r="563" spans="1:7">
      <c r="A563" s="54">
        <v>7.03</v>
      </c>
      <c r="B563" s="54">
        <v>7.06</v>
      </c>
      <c r="C563" s="54">
        <v>6.73</v>
      </c>
      <c r="D563" s="54">
        <v>6.88</v>
      </c>
      <c r="E563" s="53">
        <v>277580</v>
      </c>
      <c r="F563" s="53" t="s">
        <v>714</v>
      </c>
      <c r="G563" s="25">
        <f t="shared" si="5"/>
        <v>2.1802325581395499E-2</v>
      </c>
    </row>
    <row r="564" spans="1:7">
      <c r="A564" s="54">
        <v>6.91</v>
      </c>
      <c r="B564" s="54">
        <v>6.97</v>
      </c>
      <c r="C564" s="54">
        <v>6.87</v>
      </c>
      <c r="D564" s="54">
        <v>6.96</v>
      </c>
      <c r="E564" s="53">
        <v>424426</v>
      </c>
      <c r="F564" s="53" t="s">
        <v>715</v>
      </c>
      <c r="G564" s="25">
        <f t="shared" si="5"/>
        <v>-7.1839080459770166E-3</v>
      </c>
    </row>
    <row r="565" spans="1:7">
      <c r="A565" s="54">
        <v>6.96</v>
      </c>
      <c r="B565" s="54">
        <v>7.13</v>
      </c>
      <c r="C565" s="54">
        <v>6.8106999999999998</v>
      </c>
      <c r="D565" s="54">
        <v>7.01</v>
      </c>
      <c r="E565" s="53">
        <v>301067</v>
      </c>
      <c r="F565" s="53" t="s">
        <v>716</v>
      </c>
      <c r="G565" s="25">
        <f t="shared" si="5"/>
        <v>-7.132667617688937E-3</v>
      </c>
    </row>
    <row r="566" spans="1:7">
      <c r="A566" s="54">
        <v>7.03</v>
      </c>
      <c r="B566" s="54">
        <v>7.07</v>
      </c>
      <c r="C566" s="54">
        <v>6.75</v>
      </c>
      <c r="D566" s="54">
        <v>6.83</v>
      </c>
      <c r="E566" s="53">
        <v>328480</v>
      </c>
      <c r="F566" s="53" t="s">
        <v>717</v>
      </c>
      <c r="G566" s="25">
        <f t="shared" si="5"/>
        <v>2.9282576866764387E-2</v>
      </c>
    </row>
    <row r="567" spans="1:7">
      <c r="A567" s="54">
        <v>6.77</v>
      </c>
      <c r="B567" s="54">
        <v>6.88</v>
      </c>
      <c r="C567" s="54">
        <v>6.61</v>
      </c>
      <c r="D567" s="54">
        <v>6.69</v>
      </c>
      <c r="E567" s="53">
        <v>436695</v>
      </c>
      <c r="F567" s="53" t="s">
        <v>718</v>
      </c>
      <c r="G567" s="25">
        <f t="shared" si="5"/>
        <v>1.195814648729443E-2</v>
      </c>
    </row>
    <row r="568" spans="1:7">
      <c r="A568" s="54">
        <v>6.63</v>
      </c>
      <c r="B568" s="54">
        <v>6.77</v>
      </c>
      <c r="C568" s="54">
        <v>6.53</v>
      </c>
      <c r="D568" s="54">
        <v>6.77</v>
      </c>
      <c r="E568" s="53">
        <v>358711</v>
      </c>
      <c r="F568" s="53" t="s">
        <v>719</v>
      </c>
      <c r="G568" s="25">
        <f t="shared" si="5"/>
        <v>-2.0679468242245203E-2</v>
      </c>
    </row>
    <row r="569" spans="1:7">
      <c r="A569" s="54">
        <v>6.77</v>
      </c>
      <c r="B569" s="54">
        <v>6.8886000000000003</v>
      </c>
      <c r="C569" s="54">
        <v>6.59</v>
      </c>
      <c r="D569" s="54">
        <v>6.83</v>
      </c>
      <c r="E569" s="53">
        <v>668431</v>
      </c>
      <c r="F569" s="53" t="s">
        <v>720</v>
      </c>
      <c r="G569" s="25">
        <f t="shared" si="5"/>
        <v>-8.7847730600293383E-3</v>
      </c>
    </row>
    <row r="570" spans="1:7">
      <c r="A570" s="54">
        <v>6.86</v>
      </c>
      <c r="B570" s="54">
        <v>6.87</v>
      </c>
      <c r="C570" s="54">
        <v>6.48</v>
      </c>
      <c r="D570" s="54">
        <v>6.56</v>
      </c>
      <c r="E570" s="53">
        <v>554944</v>
      </c>
      <c r="F570" s="53" t="s">
        <v>721</v>
      </c>
      <c r="G570" s="25">
        <f t="shared" si="5"/>
        <v>4.5731707317073322E-2</v>
      </c>
    </row>
    <row r="571" spans="1:7">
      <c r="A571" s="54">
        <v>6.53</v>
      </c>
      <c r="B571" s="54">
        <v>6.67</v>
      </c>
      <c r="C571" s="54">
        <v>6.4850000000000003</v>
      </c>
      <c r="D571" s="54">
        <v>6.67</v>
      </c>
      <c r="E571" s="53">
        <v>1626634</v>
      </c>
      <c r="F571" s="53" t="s">
        <v>722</v>
      </c>
      <c r="G571" s="25">
        <f t="shared" si="5"/>
        <v>-2.0989505247376306E-2</v>
      </c>
    </row>
    <row r="572" spans="1:7">
      <c r="A572" s="54">
        <v>6.66</v>
      </c>
      <c r="B572" s="54">
        <v>6.93</v>
      </c>
      <c r="C572" s="54">
        <v>6.56</v>
      </c>
      <c r="D572" s="54">
        <v>6.79</v>
      </c>
      <c r="E572" s="53">
        <v>339690</v>
      </c>
      <c r="F572" s="53" t="s">
        <v>723</v>
      </c>
      <c r="G572" s="25">
        <f t="shared" si="5"/>
        <v>-1.9145802650957222E-2</v>
      </c>
    </row>
    <row r="573" spans="1:7">
      <c r="A573" s="54">
        <v>6.74</v>
      </c>
      <c r="B573" s="54">
        <v>6.79</v>
      </c>
      <c r="C573" s="54">
        <v>6.68</v>
      </c>
      <c r="D573" s="54">
        <v>6.73</v>
      </c>
      <c r="E573" s="53">
        <v>433162</v>
      </c>
      <c r="F573" s="53" t="s">
        <v>724</v>
      </c>
      <c r="G573" s="25">
        <f t="shared" si="5"/>
        <v>1.4858841010401136E-3</v>
      </c>
    </row>
    <row r="574" spans="1:7">
      <c r="A574" s="54">
        <v>6.75</v>
      </c>
      <c r="B574" s="54">
        <v>6.97</v>
      </c>
      <c r="C574" s="54">
        <v>6.75</v>
      </c>
      <c r="D574" s="54">
        <v>6.97</v>
      </c>
      <c r="E574" s="53">
        <v>236879</v>
      </c>
      <c r="F574" s="53" t="s">
        <v>725</v>
      </c>
      <c r="G574" s="25">
        <f t="shared" si="5"/>
        <v>-3.1563845050215145E-2</v>
      </c>
    </row>
    <row r="575" spans="1:7">
      <c r="A575" s="54">
        <v>6.98</v>
      </c>
      <c r="B575" s="54">
        <v>7.01</v>
      </c>
      <c r="C575" s="54">
        <v>6.8150000000000004</v>
      </c>
      <c r="D575" s="54">
        <v>6.87</v>
      </c>
      <c r="E575" s="53">
        <v>120598</v>
      </c>
      <c r="F575" s="53" t="s">
        <v>726</v>
      </c>
      <c r="G575" s="25">
        <f t="shared" ref="G575:G638" si="6">A575/D575-1</f>
        <v>1.6011644832605532E-2</v>
      </c>
    </row>
    <row r="576" spans="1:7">
      <c r="A576" s="54">
        <v>6.85</v>
      </c>
      <c r="B576" s="54">
        <v>6.86</v>
      </c>
      <c r="C576" s="54">
        <v>6.74</v>
      </c>
      <c r="D576" s="54">
        <v>6.76</v>
      </c>
      <c r="E576" s="53">
        <v>230759</v>
      </c>
      <c r="F576" s="53" t="s">
        <v>727</v>
      </c>
      <c r="G576" s="25">
        <f t="shared" si="6"/>
        <v>1.3313609467455523E-2</v>
      </c>
    </row>
    <row r="577" spans="1:7">
      <c r="A577" s="54">
        <v>6.76</v>
      </c>
      <c r="B577" s="54">
        <v>6.8449999999999998</v>
      </c>
      <c r="C577" s="54">
        <v>6.69</v>
      </c>
      <c r="D577" s="54">
        <v>6.82</v>
      </c>
      <c r="E577" s="53">
        <v>188505</v>
      </c>
      <c r="F577" s="53" t="s">
        <v>728</v>
      </c>
      <c r="G577" s="25">
        <f t="shared" si="6"/>
        <v>-8.7976539589443847E-3</v>
      </c>
    </row>
    <row r="578" spans="1:7">
      <c r="A578" s="54">
        <v>6.87</v>
      </c>
      <c r="B578" s="54">
        <v>6.93</v>
      </c>
      <c r="C578" s="54">
        <v>6.57</v>
      </c>
      <c r="D578" s="54">
        <v>6.84</v>
      </c>
      <c r="E578" s="53">
        <v>254064</v>
      </c>
      <c r="F578" s="53" t="s">
        <v>729</v>
      </c>
      <c r="G578" s="25">
        <f t="shared" si="6"/>
        <v>4.3859649122808264E-3</v>
      </c>
    </row>
    <row r="579" spans="1:7">
      <c r="A579" s="54">
        <v>6.82</v>
      </c>
      <c r="B579" s="54">
        <v>7.03</v>
      </c>
      <c r="C579" s="54">
        <v>6.64</v>
      </c>
      <c r="D579" s="54">
        <v>6.94</v>
      </c>
      <c r="E579" s="53">
        <v>475072</v>
      </c>
      <c r="F579" s="53" t="s">
        <v>730</v>
      </c>
      <c r="G579" s="25">
        <f t="shared" si="6"/>
        <v>-1.729106628242072E-2</v>
      </c>
    </row>
    <row r="580" spans="1:7">
      <c r="A580" s="54">
        <v>6.86</v>
      </c>
      <c r="B580" s="54">
        <v>6.9794999999999998</v>
      </c>
      <c r="C580" s="54">
        <v>6.7</v>
      </c>
      <c r="D580" s="54">
        <v>6.94</v>
      </c>
      <c r="E580" s="53">
        <v>264724</v>
      </c>
      <c r="F580" s="53" t="s">
        <v>731</v>
      </c>
      <c r="G580" s="25">
        <f t="shared" si="6"/>
        <v>-1.1527377521613813E-2</v>
      </c>
    </row>
    <row r="581" spans="1:7">
      <c r="A581" s="54">
        <v>6.94</v>
      </c>
      <c r="B581" s="54">
        <v>7.3</v>
      </c>
      <c r="C581" s="54">
        <v>6.91</v>
      </c>
      <c r="D581" s="54">
        <v>6.93</v>
      </c>
      <c r="E581" s="53">
        <v>668501</v>
      </c>
      <c r="F581" s="53" t="s">
        <v>732</v>
      </c>
      <c r="G581" s="25">
        <f t="shared" si="6"/>
        <v>1.4430014430015792E-3</v>
      </c>
    </row>
    <row r="582" spans="1:7">
      <c r="A582" s="54">
        <v>6.94</v>
      </c>
      <c r="B582" s="54">
        <v>6.94</v>
      </c>
      <c r="C582" s="54">
        <v>6.53</v>
      </c>
      <c r="D582" s="54">
        <v>6.53</v>
      </c>
      <c r="E582" s="53">
        <v>592807</v>
      </c>
      <c r="F582" s="53" t="s">
        <v>733</v>
      </c>
      <c r="G582" s="25">
        <f t="shared" si="6"/>
        <v>6.2787136294027546E-2</v>
      </c>
    </row>
    <row r="583" spans="1:7">
      <c r="A583" s="54">
        <v>6.4</v>
      </c>
      <c r="B583" s="54">
        <v>6.52</v>
      </c>
      <c r="C583" s="54">
        <v>6.11</v>
      </c>
      <c r="D583" s="54">
        <v>6.16</v>
      </c>
      <c r="E583" s="53">
        <v>622581</v>
      </c>
      <c r="F583" s="53" t="s">
        <v>734</v>
      </c>
      <c r="G583" s="25">
        <f t="shared" si="6"/>
        <v>3.8961038961039085E-2</v>
      </c>
    </row>
    <row r="584" spans="1:7">
      <c r="A584" s="54">
        <v>6.21</v>
      </c>
      <c r="B584" s="54">
        <v>6.3</v>
      </c>
      <c r="C584" s="54">
        <v>6.1</v>
      </c>
      <c r="D584" s="54">
        <v>6.3</v>
      </c>
      <c r="E584" s="53">
        <v>408786</v>
      </c>
      <c r="F584" s="53" t="s">
        <v>735</v>
      </c>
      <c r="G584" s="25">
        <f t="shared" si="6"/>
        <v>-1.4285714285714235E-2</v>
      </c>
    </row>
    <row r="585" spans="1:7">
      <c r="A585" s="54">
        <v>6.17</v>
      </c>
      <c r="B585" s="54">
        <v>6.48</v>
      </c>
      <c r="C585" s="54">
        <v>6.01</v>
      </c>
      <c r="D585" s="54">
        <v>6.48</v>
      </c>
      <c r="E585" s="53">
        <v>520096</v>
      </c>
      <c r="F585" s="53" t="s">
        <v>736</v>
      </c>
      <c r="G585" s="25">
        <f t="shared" si="6"/>
        <v>-4.7839506172839608E-2</v>
      </c>
    </row>
    <row r="586" spans="1:7">
      <c r="A586" s="54">
        <v>6.34</v>
      </c>
      <c r="B586" s="54">
        <v>6.6349999999999998</v>
      </c>
      <c r="C586" s="54">
        <v>6.32</v>
      </c>
      <c r="D586" s="54">
        <v>6.59</v>
      </c>
      <c r="E586" s="53">
        <v>497362</v>
      </c>
      <c r="F586" s="53" t="s">
        <v>737</v>
      </c>
      <c r="G586" s="25">
        <f t="shared" si="6"/>
        <v>-3.793626707132014E-2</v>
      </c>
    </row>
    <row r="587" spans="1:7">
      <c r="A587" s="54">
        <v>6.6</v>
      </c>
      <c r="B587" s="54">
        <v>6.72</v>
      </c>
      <c r="C587" s="54">
        <v>6.55</v>
      </c>
      <c r="D587" s="54">
        <v>6.67</v>
      </c>
      <c r="E587" s="53">
        <v>297351</v>
      </c>
      <c r="F587" s="53" t="s">
        <v>738</v>
      </c>
      <c r="G587" s="25">
        <f t="shared" si="6"/>
        <v>-1.0494752623688153E-2</v>
      </c>
    </row>
    <row r="588" spans="1:7">
      <c r="A588" s="54">
        <v>6.72</v>
      </c>
      <c r="B588" s="54">
        <v>6.83</v>
      </c>
      <c r="C588" s="54">
        <v>6.63</v>
      </c>
      <c r="D588" s="54">
        <v>6.65</v>
      </c>
      <c r="E588" s="53">
        <v>334606</v>
      </c>
      <c r="F588" s="53" t="s">
        <v>739</v>
      </c>
      <c r="G588" s="25">
        <f t="shared" si="6"/>
        <v>1.0526315789473495E-2</v>
      </c>
    </row>
    <row r="589" spans="1:7">
      <c r="A589" s="54">
        <v>6.81</v>
      </c>
      <c r="B589" s="54">
        <v>6.93</v>
      </c>
      <c r="C589" s="54">
        <v>6.53</v>
      </c>
      <c r="D589" s="54">
        <v>6.53</v>
      </c>
      <c r="E589" s="53">
        <v>657863</v>
      </c>
      <c r="F589" s="53" t="s">
        <v>740</v>
      </c>
      <c r="G589" s="25">
        <f t="shared" si="6"/>
        <v>4.2879019908116378E-2</v>
      </c>
    </row>
    <row r="590" spans="1:7">
      <c r="A590" s="54">
        <v>6.49</v>
      </c>
      <c r="B590" s="54">
        <v>6.59</v>
      </c>
      <c r="C590" s="54">
        <v>6.21</v>
      </c>
      <c r="D590" s="54">
        <v>6.27</v>
      </c>
      <c r="E590" s="53">
        <v>933128</v>
      </c>
      <c r="F590" s="53" t="s">
        <v>741</v>
      </c>
      <c r="G590" s="25">
        <f t="shared" si="6"/>
        <v>3.5087719298245723E-2</v>
      </c>
    </row>
    <row r="591" spans="1:7">
      <c r="A591" s="54">
        <v>6.25</v>
      </c>
      <c r="B591" s="54">
        <v>6.3</v>
      </c>
      <c r="C591" s="54">
        <v>6.06</v>
      </c>
      <c r="D591" s="54">
        <v>6.19</v>
      </c>
      <c r="E591" s="53">
        <v>476724</v>
      </c>
      <c r="F591" s="53" t="s">
        <v>742</v>
      </c>
      <c r="G591" s="25">
        <f t="shared" si="6"/>
        <v>9.6930533117931539E-3</v>
      </c>
    </row>
    <row r="592" spans="1:7">
      <c r="A592" s="54">
        <v>6.2</v>
      </c>
      <c r="B592" s="54">
        <v>6.43</v>
      </c>
      <c r="C592" s="54">
        <v>6.165</v>
      </c>
      <c r="D592" s="54">
        <v>6.32</v>
      </c>
      <c r="E592" s="53">
        <v>353423</v>
      </c>
      <c r="F592" s="53" t="s">
        <v>743</v>
      </c>
      <c r="G592" s="25">
        <f t="shared" si="6"/>
        <v>-1.8987341772151889E-2</v>
      </c>
    </row>
    <row r="593" spans="1:7">
      <c r="A593" s="54">
        <v>6.34</v>
      </c>
      <c r="B593" s="54">
        <v>6.43</v>
      </c>
      <c r="C593" s="54">
        <v>6.2949999999999999</v>
      </c>
      <c r="D593" s="54">
        <v>6.38</v>
      </c>
      <c r="E593" s="53">
        <v>418405</v>
      </c>
      <c r="F593" s="53" t="s">
        <v>744</v>
      </c>
      <c r="G593" s="25">
        <f t="shared" si="6"/>
        <v>-6.2695924764890609E-3</v>
      </c>
    </row>
    <row r="594" spans="1:7">
      <c r="A594" s="54">
        <v>6.36</v>
      </c>
      <c r="B594" s="54">
        <v>6.39</v>
      </c>
      <c r="C594" s="54">
        <v>6.17</v>
      </c>
      <c r="D594" s="54">
        <v>6.22</v>
      </c>
      <c r="E594" s="53">
        <v>857112</v>
      </c>
      <c r="F594" s="53" t="s">
        <v>745</v>
      </c>
      <c r="G594" s="25">
        <f t="shared" si="6"/>
        <v>2.2508038585209E-2</v>
      </c>
    </row>
    <row r="595" spans="1:7">
      <c r="A595" s="54">
        <v>6.2</v>
      </c>
      <c r="B595" s="54">
        <v>6.43</v>
      </c>
      <c r="C595" s="54">
        <v>6.13</v>
      </c>
      <c r="D595" s="54">
        <v>6.42</v>
      </c>
      <c r="E595" s="53">
        <v>729084</v>
      </c>
      <c r="F595" s="53" t="s">
        <v>746</v>
      </c>
      <c r="G595" s="25">
        <f t="shared" si="6"/>
        <v>-3.4267912772585674E-2</v>
      </c>
    </row>
    <row r="596" spans="1:7">
      <c r="A596" s="54">
        <v>6.46</v>
      </c>
      <c r="B596" s="54">
        <v>6.56</v>
      </c>
      <c r="C596" s="54">
        <v>6.39</v>
      </c>
      <c r="D596" s="54">
        <v>6.56</v>
      </c>
      <c r="E596" s="53">
        <v>744985</v>
      </c>
      <c r="F596" s="53" t="s">
        <v>747</v>
      </c>
      <c r="G596" s="25">
        <f t="shared" si="6"/>
        <v>-1.5243902439024293E-2</v>
      </c>
    </row>
    <row r="597" spans="1:7">
      <c r="A597" s="54">
        <v>6.62</v>
      </c>
      <c r="B597" s="54">
        <v>6.8049999999999997</v>
      </c>
      <c r="C597" s="54">
        <v>6.61</v>
      </c>
      <c r="D597" s="54">
        <v>6.65</v>
      </c>
      <c r="E597" s="53">
        <v>722352</v>
      </c>
      <c r="F597" s="53" t="s">
        <v>748</v>
      </c>
      <c r="G597" s="25">
        <f t="shared" si="6"/>
        <v>-4.5112781954887993E-3</v>
      </c>
    </row>
    <row r="598" spans="1:7">
      <c r="A598" s="54">
        <v>6.63</v>
      </c>
      <c r="B598" s="54">
        <v>6.8</v>
      </c>
      <c r="C598" s="54">
        <v>6.6</v>
      </c>
      <c r="D598" s="54">
        <v>6.77</v>
      </c>
      <c r="E598" s="53">
        <v>866909</v>
      </c>
      <c r="F598" s="53" t="s">
        <v>749</v>
      </c>
      <c r="G598" s="25">
        <f t="shared" si="6"/>
        <v>-2.0679468242245203E-2</v>
      </c>
    </row>
    <row r="599" spans="1:7">
      <c r="A599" s="54">
        <v>6.75</v>
      </c>
      <c r="B599" s="54">
        <v>6.95</v>
      </c>
      <c r="C599" s="54">
        <v>6.67</v>
      </c>
      <c r="D599" s="54">
        <v>6.72</v>
      </c>
      <c r="E599" s="53">
        <v>740827</v>
      </c>
      <c r="F599" s="53" t="s">
        <v>750</v>
      </c>
      <c r="G599" s="25">
        <f t="shared" si="6"/>
        <v>4.4642857142858094E-3</v>
      </c>
    </row>
    <row r="600" spans="1:7">
      <c r="A600" s="54">
        <v>6.75</v>
      </c>
      <c r="B600" s="54">
        <v>6.99</v>
      </c>
      <c r="C600" s="54">
        <v>6.72</v>
      </c>
      <c r="D600" s="54">
        <v>6.94</v>
      </c>
      <c r="E600" s="53">
        <v>377441</v>
      </c>
      <c r="F600" s="53" t="s">
        <v>751</v>
      </c>
      <c r="G600" s="25">
        <f t="shared" si="6"/>
        <v>-2.7377521613832889E-2</v>
      </c>
    </row>
    <row r="601" spans="1:7">
      <c r="A601" s="54">
        <v>6.94</v>
      </c>
      <c r="B601" s="54">
        <v>7.03</v>
      </c>
      <c r="C601" s="54">
        <v>6.75</v>
      </c>
      <c r="D601" s="54">
        <v>6.79</v>
      </c>
      <c r="E601" s="53">
        <v>403776</v>
      </c>
      <c r="F601" s="53" t="s">
        <v>752</v>
      </c>
      <c r="G601" s="25">
        <f t="shared" si="6"/>
        <v>2.2091310751104709E-2</v>
      </c>
    </row>
    <row r="602" spans="1:7">
      <c r="A602" s="54">
        <v>6.82</v>
      </c>
      <c r="B602" s="54">
        <v>6.9</v>
      </c>
      <c r="C602" s="54">
        <v>6.51</v>
      </c>
      <c r="D602" s="54">
        <v>6.59</v>
      </c>
      <c r="E602" s="53">
        <v>501689</v>
      </c>
      <c r="F602" s="53" t="s">
        <v>753</v>
      </c>
      <c r="G602" s="25">
        <f t="shared" si="6"/>
        <v>3.4901365705614529E-2</v>
      </c>
    </row>
    <row r="603" spans="1:7">
      <c r="A603" s="54">
        <v>6.62</v>
      </c>
      <c r="B603" s="54">
        <v>6.83</v>
      </c>
      <c r="C603" s="54">
        <v>6.48</v>
      </c>
      <c r="D603" s="54">
        <v>6.59</v>
      </c>
      <c r="E603" s="53">
        <v>1271165</v>
      </c>
      <c r="F603" s="53" t="s">
        <v>754</v>
      </c>
      <c r="G603" s="25">
        <f t="shared" si="6"/>
        <v>4.5523520485584168E-3</v>
      </c>
    </row>
    <row r="604" spans="1:7">
      <c r="A604" s="54">
        <v>6.57</v>
      </c>
      <c r="B604" s="54">
        <v>6.62</v>
      </c>
      <c r="C604" s="54">
        <v>6.36</v>
      </c>
      <c r="D604" s="54">
        <v>6.4</v>
      </c>
      <c r="E604" s="53">
        <v>975230</v>
      </c>
      <c r="F604" s="53" t="s">
        <v>755</v>
      </c>
      <c r="G604" s="25">
        <f t="shared" si="6"/>
        <v>2.6562500000000044E-2</v>
      </c>
    </row>
    <row r="605" spans="1:7">
      <c r="A605" s="54">
        <v>6.41</v>
      </c>
      <c r="B605" s="54">
        <v>7.09</v>
      </c>
      <c r="C605" s="54">
        <v>6.32</v>
      </c>
      <c r="D605" s="54">
        <v>6.99</v>
      </c>
      <c r="E605" s="53">
        <v>803250</v>
      </c>
      <c r="F605" s="53" t="s">
        <v>756</v>
      </c>
      <c r="G605" s="25">
        <f t="shared" si="6"/>
        <v>-8.2975679542203196E-2</v>
      </c>
    </row>
    <row r="606" spans="1:7">
      <c r="A606" s="54">
        <v>6.99</v>
      </c>
      <c r="B606" s="54">
        <v>7.41</v>
      </c>
      <c r="C606" s="54">
        <v>6.84</v>
      </c>
      <c r="D606" s="54">
        <v>7.34</v>
      </c>
      <c r="E606" s="53">
        <v>517907</v>
      </c>
      <c r="F606" s="53" t="s">
        <v>757</v>
      </c>
      <c r="G606" s="25">
        <f t="shared" si="6"/>
        <v>-4.7683923705722053E-2</v>
      </c>
    </row>
    <row r="607" spans="1:7">
      <c r="A607" s="54">
        <v>7.3849999999999998</v>
      </c>
      <c r="B607" s="54">
        <v>7.45</v>
      </c>
      <c r="C607" s="54">
        <v>7.05</v>
      </c>
      <c r="D607" s="54">
        <v>7.14</v>
      </c>
      <c r="E607" s="53">
        <v>589768</v>
      </c>
      <c r="F607" s="53" t="s">
        <v>758</v>
      </c>
      <c r="G607" s="25">
        <f t="shared" si="6"/>
        <v>3.4313725490196179E-2</v>
      </c>
    </row>
    <row r="608" spans="1:7">
      <c r="A608" s="54">
        <v>7.05</v>
      </c>
      <c r="B608" s="54">
        <v>7.06</v>
      </c>
      <c r="C608" s="54">
        <v>6.87</v>
      </c>
      <c r="D608" s="54">
        <v>7</v>
      </c>
      <c r="E608" s="53">
        <v>555408</v>
      </c>
      <c r="F608" s="53" t="s">
        <v>759</v>
      </c>
      <c r="G608" s="25">
        <f t="shared" si="6"/>
        <v>7.1428571428571175E-3</v>
      </c>
    </row>
    <row r="609" spans="1:7">
      <c r="A609" s="54">
        <v>7.07</v>
      </c>
      <c r="B609" s="54">
        <v>7.17</v>
      </c>
      <c r="C609" s="54">
        <v>6.73</v>
      </c>
      <c r="D609" s="54">
        <v>7.11</v>
      </c>
      <c r="E609" s="53">
        <v>629357</v>
      </c>
      <c r="F609" s="53" t="s">
        <v>760</v>
      </c>
      <c r="G609" s="25">
        <f t="shared" si="6"/>
        <v>-5.6258790436005679E-3</v>
      </c>
    </row>
    <row r="610" spans="1:7">
      <c r="A610" s="54">
        <v>7.15</v>
      </c>
      <c r="B610" s="54">
        <v>7.68</v>
      </c>
      <c r="C610" s="54">
        <v>6.93</v>
      </c>
      <c r="D610" s="54">
        <v>7.64</v>
      </c>
      <c r="E610" s="53">
        <v>1076832</v>
      </c>
      <c r="F610" s="53" t="s">
        <v>761</v>
      </c>
      <c r="G610" s="25">
        <f t="shared" si="6"/>
        <v>-6.4136125654450149E-2</v>
      </c>
    </row>
    <row r="611" spans="1:7">
      <c r="A611" s="54">
        <v>7.4</v>
      </c>
      <c r="B611" s="54">
        <v>8.16</v>
      </c>
      <c r="C611" s="54">
        <v>7.17</v>
      </c>
      <c r="D611" s="54">
        <v>8.01</v>
      </c>
      <c r="E611" s="53">
        <v>1101611</v>
      </c>
      <c r="F611" s="53" t="s">
        <v>762</v>
      </c>
      <c r="G611" s="25">
        <f t="shared" si="6"/>
        <v>-7.6154806491885108E-2</v>
      </c>
    </row>
    <row r="612" spans="1:7">
      <c r="A612" s="54">
        <v>7.6</v>
      </c>
      <c r="B612" s="54">
        <v>7.64</v>
      </c>
      <c r="C612" s="54">
        <v>7.3650000000000002</v>
      </c>
      <c r="D612" s="54">
        <v>7.38</v>
      </c>
      <c r="E612" s="53">
        <v>459183</v>
      </c>
      <c r="F612" s="53" t="s">
        <v>763</v>
      </c>
      <c r="G612" s="25">
        <f t="shared" si="6"/>
        <v>2.9810298102981081E-2</v>
      </c>
    </row>
    <row r="613" spans="1:7">
      <c r="A613" s="54">
        <v>7.44</v>
      </c>
      <c r="B613" s="54">
        <v>7.4550000000000001</v>
      </c>
      <c r="C613" s="54">
        <v>7.25</v>
      </c>
      <c r="D613" s="54">
        <v>7.31</v>
      </c>
      <c r="E613" s="53">
        <v>469595</v>
      </c>
      <c r="F613" s="53" t="s">
        <v>764</v>
      </c>
      <c r="G613" s="25">
        <f t="shared" si="6"/>
        <v>1.7783857729138264E-2</v>
      </c>
    </row>
    <row r="614" spans="1:7">
      <c r="A614" s="54">
        <v>7.31</v>
      </c>
      <c r="B614" s="54">
        <v>7.3650000000000002</v>
      </c>
      <c r="C614" s="54">
        <v>7.2249999999999996</v>
      </c>
      <c r="D614" s="54">
        <v>7.34</v>
      </c>
      <c r="E614" s="53">
        <v>427562</v>
      </c>
      <c r="F614" s="53" t="s">
        <v>765</v>
      </c>
      <c r="G614" s="25">
        <f t="shared" si="6"/>
        <v>-4.0871934604904681E-3</v>
      </c>
    </row>
    <row r="615" spans="1:7">
      <c r="A615" s="54">
        <v>7.32</v>
      </c>
      <c r="B615" s="54">
        <v>7.45</v>
      </c>
      <c r="C615" s="54">
        <v>7.1550000000000002</v>
      </c>
      <c r="D615" s="54">
        <v>7.23</v>
      </c>
      <c r="E615" s="53">
        <v>408773</v>
      </c>
      <c r="F615" s="53" t="s">
        <v>766</v>
      </c>
      <c r="G615" s="25">
        <f t="shared" si="6"/>
        <v>1.2448132780082943E-2</v>
      </c>
    </row>
    <row r="616" spans="1:7">
      <c r="A616" s="54">
        <v>7.24</v>
      </c>
      <c r="B616" s="54">
        <v>7.39</v>
      </c>
      <c r="C616" s="54">
        <v>7.165</v>
      </c>
      <c r="D616" s="54">
        <v>7.3</v>
      </c>
      <c r="E616" s="53">
        <v>353221</v>
      </c>
      <c r="F616" s="53" t="s">
        <v>767</v>
      </c>
      <c r="G616" s="25">
        <f t="shared" si="6"/>
        <v>-8.2191780821917471E-3</v>
      </c>
    </row>
    <row r="617" spans="1:7">
      <c r="A617" s="54">
        <v>7.29</v>
      </c>
      <c r="B617" s="54">
        <v>7.55</v>
      </c>
      <c r="C617" s="54">
        <v>7.26</v>
      </c>
      <c r="D617" s="54">
        <v>7.34</v>
      </c>
      <c r="E617" s="53">
        <v>541483</v>
      </c>
      <c r="F617" s="53" t="s">
        <v>768</v>
      </c>
      <c r="G617" s="25">
        <f t="shared" si="6"/>
        <v>-6.8119891008173727E-3</v>
      </c>
    </row>
    <row r="618" spans="1:7">
      <c r="A618" s="54">
        <v>7.37</v>
      </c>
      <c r="B618" s="54">
        <v>7.48</v>
      </c>
      <c r="C618" s="54">
        <v>7.08</v>
      </c>
      <c r="D618" s="54">
        <v>7.35</v>
      </c>
      <c r="E618" s="53">
        <v>686710</v>
      </c>
      <c r="F618" s="53" t="s">
        <v>769</v>
      </c>
      <c r="G618" s="25">
        <f t="shared" si="6"/>
        <v>2.7210884353741083E-3</v>
      </c>
    </row>
    <row r="619" spans="1:7">
      <c r="A619" s="54">
        <v>7.02</v>
      </c>
      <c r="B619" s="54">
        <v>7.23</v>
      </c>
      <c r="C619" s="54">
        <v>6.97</v>
      </c>
      <c r="D619" s="54">
        <v>7.15</v>
      </c>
      <c r="E619" s="53">
        <v>418844</v>
      </c>
      <c r="F619" s="53" t="s">
        <v>770</v>
      </c>
      <c r="G619" s="25">
        <f t="shared" si="6"/>
        <v>-1.8181818181818299E-2</v>
      </c>
    </row>
    <row r="620" spans="1:7">
      <c r="A620" s="54">
        <v>7.11</v>
      </c>
      <c r="B620" s="54">
        <v>7.22</v>
      </c>
      <c r="C620" s="54">
        <v>7.06</v>
      </c>
      <c r="D620" s="54">
        <v>7.08</v>
      </c>
      <c r="E620" s="53">
        <v>555257</v>
      </c>
      <c r="F620" s="53" t="s">
        <v>771</v>
      </c>
      <c r="G620" s="25">
        <f t="shared" si="6"/>
        <v>4.237288135593209E-3</v>
      </c>
    </row>
    <row r="621" spans="1:7">
      <c r="A621" s="54">
        <v>7.11</v>
      </c>
      <c r="B621" s="54">
        <v>7.57</v>
      </c>
      <c r="C621" s="54">
        <v>7.09</v>
      </c>
      <c r="D621" s="54">
        <v>7.47</v>
      </c>
      <c r="E621" s="53">
        <v>679165</v>
      </c>
      <c r="F621" s="53" t="s">
        <v>772</v>
      </c>
      <c r="G621" s="25">
        <f t="shared" si="6"/>
        <v>-4.8192771084337283E-2</v>
      </c>
    </row>
    <row r="622" spans="1:7">
      <c r="A622" s="54">
        <v>7.46</v>
      </c>
      <c r="B622" s="54">
        <v>7.51</v>
      </c>
      <c r="C622" s="54">
        <v>7.05</v>
      </c>
      <c r="D622" s="54">
        <v>7.25</v>
      </c>
      <c r="E622" s="53">
        <v>1353781</v>
      </c>
      <c r="F622" s="53" t="s">
        <v>773</v>
      </c>
      <c r="G622" s="25">
        <f t="shared" si="6"/>
        <v>2.8965517241379413E-2</v>
      </c>
    </row>
    <row r="623" spans="1:7">
      <c r="A623" s="54">
        <v>7.14</v>
      </c>
      <c r="B623" s="54">
        <v>7.3049999999999997</v>
      </c>
      <c r="C623" s="54">
        <v>7.07</v>
      </c>
      <c r="D623" s="54">
        <v>7.3</v>
      </c>
      <c r="E623" s="53">
        <v>1076647</v>
      </c>
      <c r="F623" s="53" t="s">
        <v>774</v>
      </c>
      <c r="G623" s="25">
        <f t="shared" si="6"/>
        <v>-2.1917808219178103E-2</v>
      </c>
    </row>
    <row r="624" spans="1:7">
      <c r="A624" s="54">
        <v>7.3</v>
      </c>
      <c r="B624" s="54">
        <v>7.54</v>
      </c>
      <c r="C624" s="54">
        <v>7.07</v>
      </c>
      <c r="D624" s="54">
        <v>7.46</v>
      </c>
      <c r="E624" s="53">
        <v>9137656</v>
      </c>
      <c r="F624" s="53" t="s">
        <v>775</v>
      </c>
      <c r="G624" s="25">
        <f t="shared" si="6"/>
        <v>-2.1447721179624679E-2</v>
      </c>
    </row>
    <row r="625" spans="1:7">
      <c r="A625" s="54">
        <v>7.47</v>
      </c>
      <c r="B625" s="54">
        <v>7.63</v>
      </c>
      <c r="C625" s="54">
        <v>7.38</v>
      </c>
      <c r="D625" s="54">
        <v>7.44</v>
      </c>
      <c r="E625" s="53">
        <v>1243999</v>
      </c>
      <c r="F625" s="53" t="s">
        <v>776</v>
      </c>
      <c r="G625" s="25">
        <f t="shared" si="6"/>
        <v>4.0322580645160144E-3</v>
      </c>
    </row>
    <row r="626" spans="1:7">
      <c r="A626" s="54">
        <v>7.44</v>
      </c>
      <c r="B626" s="54">
        <v>7.54</v>
      </c>
      <c r="C626" s="54">
        <v>7.0350000000000001</v>
      </c>
      <c r="D626" s="54">
        <v>7.1</v>
      </c>
      <c r="E626" s="53">
        <v>793350</v>
      </c>
      <c r="F626" s="53" t="s">
        <v>777</v>
      </c>
      <c r="G626" s="25">
        <f t="shared" si="6"/>
        <v>4.788732394366213E-2</v>
      </c>
    </row>
    <row r="627" spans="1:7">
      <c r="A627" s="54">
        <v>7.14</v>
      </c>
      <c r="B627" s="54">
        <v>7.22</v>
      </c>
      <c r="C627" s="54">
        <v>7.01</v>
      </c>
      <c r="D627" s="54">
        <v>7.22</v>
      </c>
      <c r="E627" s="53">
        <v>746571</v>
      </c>
      <c r="F627" s="53" t="s">
        <v>778</v>
      </c>
      <c r="G627" s="25">
        <f t="shared" si="6"/>
        <v>-1.1080332409972304E-2</v>
      </c>
    </row>
    <row r="628" spans="1:7">
      <c r="A628" s="54">
        <v>7.22</v>
      </c>
      <c r="B628" s="54">
        <v>7.31</v>
      </c>
      <c r="C628" s="54">
        <v>7.01</v>
      </c>
      <c r="D628" s="54">
        <v>7.15</v>
      </c>
      <c r="E628" s="53">
        <v>795914</v>
      </c>
      <c r="F628" s="53" t="s">
        <v>779</v>
      </c>
      <c r="G628" s="25">
        <f t="shared" si="6"/>
        <v>9.7902097902096141E-3</v>
      </c>
    </row>
    <row r="629" spans="1:7">
      <c r="A629" s="54">
        <v>7.11</v>
      </c>
      <c r="B629" s="54">
        <v>7.15</v>
      </c>
      <c r="C629" s="54">
        <v>6.81</v>
      </c>
      <c r="D629" s="54">
        <v>7</v>
      </c>
      <c r="E629" s="53">
        <v>883795</v>
      </c>
      <c r="F629" s="53" t="s">
        <v>780</v>
      </c>
      <c r="G629" s="25">
        <f t="shared" si="6"/>
        <v>1.5714285714285792E-2</v>
      </c>
    </row>
    <row r="630" spans="1:7">
      <c r="A630" s="54">
        <v>7.02</v>
      </c>
      <c r="B630" s="54">
        <v>7.1</v>
      </c>
      <c r="C630" s="54">
        <v>6.87</v>
      </c>
      <c r="D630" s="54">
        <v>7.02</v>
      </c>
      <c r="E630" s="53">
        <v>874878</v>
      </c>
      <c r="F630" s="53" t="s">
        <v>781</v>
      </c>
      <c r="G630" s="25">
        <f t="shared" si="6"/>
        <v>0</v>
      </c>
    </row>
    <row r="631" spans="1:7">
      <c r="A631" s="54">
        <v>7.07</v>
      </c>
      <c r="B631" s="54">
        <v>7.25</v>
      </c>
      <c r="C631" s="54">
        <v>6.88</v>
      </c>
      <c r="D631" s="54">
        <v>7.25</v>
      </c>
      <c r="E631" s="53">
        <v>863479</v>
      </c>
      <c r="F631" s="53" t="s">
        <v>782</v>
      </c>
      <c r="G631" s="25">
        <f t="shared" si="6"/>
        <v>-2.4827586206896513E-2</v>
      </c>
    </row>
    <row r="632" spans="1:7">
      <c r="A632" s="54">
        <v>7.2350000000000003</v>
      </c>
      <c r="B632" s="54">
        <v>7.5</v>
      </c>
      <c r="C632" s="54">
        <v>6.7149999999999999</v>
      </c>
      <c r="D632" s="54">
        <v>7.5</v>
      </c>
      <c r="E632" s="53">
        <v>1712260</v>
      </c>
      <c r="F632" s="53" t="s">
        <v>783</v>
      </c>
      <c r="G632" s="25">
        <f t="shared" si="6"/>
        <v>-3.5333333333333328E-2</v>
      </c>
    </row>
    <row r="633" spans="1:7">
      <c r="A633" s="54">
        <v>7.73</v>
      </c>
      <c r="B633" s="54">
        <v>8.1300000000000008</v>
      </c>
      <c r="C633" s="54">
        <v>7.69</v>
      </c>
      <c r="D633" s="54">
        <v>8.0299999999999994</v>
      </c>
      <c r="E633" s="53">
        <v>386501</v>
      </c>
      <c r="F633" s="53" t="s">
        <v>784</v>
      </c>
      <c r="G633" s="25">
        <f t="shared" si="6"/>
        <v>-3.735990037359882E-2</v>
      </c>
    </row>
    <row r="634" spans="1:7">
      <c r="A634" s="54">
        <v>8.0299999999999994</v>
      </c>
      <c r="B634" s="54">
        <v>8.4542000000000002</v>
      </c>
      <c r="C634" s="54">
        <v>8.01</v>
      </c>
      <c r="D634" s="54">
        <v>8.4</v>
      </c>
      <c r="E634" s="53">
        <v>455231</v>
      </c>
      <c r="F634" s="53" t="s">
        <v>785</v>
      </c>
      <c r="G634" s="25">
        <f t="shared" si="6"/>
        <v>-4.4047619047619113E-2</v>
      </c>
    </row>
    <row r="635" spans="1:7">
      <c r="A635" s="54">
        <v>8.41</v>
      </c>
      <c r="B635" s="54">
        <v>8.44</v>
      </c>
      <c r="C635" s="54">
        <v>8.15</v>
      </c>
      <c r="D635" s="54">
        <v>8.16</v>
      </c>
      <c r="E635" s="53">
        <v>396752</v>
      </c>
      <c r="F635" s="53" t="s">
        <v>786</v>
      </c>
      <c r="G635" s="25">
        <f t="shared" si="6"/>
        <v>3.0637254901960675E-2</v>
      </c>
    </row>
    <row r="636" spans="1:7">
      <c r="A636" s="54">
        <v>8.15</v>
      </c>
      <c r="B636" s="54">
        <v>8.16</v>
      </c>
      <c r="C636" s="54">
        <v>7.83</v>
      </c>
      <c r="D636" s="54">
        <v>8</v>
      </c>
      <c r="E636" s="53">
        <v>450854</v>
      </c>
      <c r="F636" s="53" t="s">
        <v>787</v>
      </c>
      <c r="G636" s="25">
        <f t="shared" si="6"/>
        <v>1.8750000000000044E-2</v>
      </c>
    </row>
    <row r="637" spans="1:7">
      <c r="A637" s="54">
        <v>8</v>
      </c>
      <c r="B637" s="54">
        <v>8.4700000000000006</v>
      </c>
      <c r="C637" s="54">
        <v>7.92</v>
      </c>
      <c r="D637" s="54">
        <v>8.35</v>
      </c>
      <c r="E637" s="53">
        <v>477177</v>
      </c>
      <c r="F637" s="53" t="s">
        <v>788</v>
      </c>
      <c r="G637" s="25">
        <f t="shared" si="6"/>
        <v>-4.1916167664670656E-2</v>
      </c>
    </row>
    <row r="638" spans="1:7">
      <c r="A638" s="54">
        <v>8.34</v>
      </c>
      <c r="B638" s="54">
        <v>8.57</v>
      </c>
      <c r="C638" s="54">
        <v>8.32</v>
      </c>
      <c r="D638" s="54">
        <v>8.43</v>
      </c>
      <c r="E638" s="53">
        <v>224718</v>
      </c>
      <c r="F638" s="53" t="s">
        <v>789</v>
      </c>
      <c r="G638" s="25">
        <f t="shared" si="6"/>
        <v>-1.0676156583629859E-2</v>
      </c>
    </row>
    <row r="639" spans="1:7">
      <c r="A639" s="54">
        <v>8.43</v>
      </c>
      <c r="B639" s="54">
        <v>8.73</v>
      </c>
      <c r="C639" s="54">
        <v>8.39</v>
      </c>
      <c r="D639" s="54">
        <v>8.7200000000000006</v>
      </c>
      <c r="E639" s="53">
        <v>248664</v>
      </c>
      <c r="F639" s="53" t="s">
        <v>790</v>
      </c>
      <c r="G639" s="25">
        <f t="shared" ref="G639:G702" si="7">A639/D639-1</f>
        <v>-3.325688073394506E-2</v>
      </c>
    </row>
    <row r="640" spans="1:7">
      <c r="A640" s="54">
        <v>8.76</v>
      </c>
      <c r="B640" s="54">
        <v>8.9600000000000009</v>
      </c>
      <c r="C640" s="54">
        <v>8.4600000000000009</v>
      </c>
      <c r="D640" s="54">
        <v>8.6999999999999993</v>
      </c>
      <c r="E640" s="53">
        <v>244467</v>
      </c>
      <c r="F640" s="53" t="s">
        <v>791</v>
      </c>
      <c r="G640" s="25">
        <f t="shared" si="7"/>
        <v>6.8965517241379448E-3</v>
      </c>
    </row>
    <row r="641" spans="1:7">
      <c r="A641" s="54">
        <v>8.8800000000000008</v>
      </c>
      <c r="B641" s="54">
        <v>8.89</v>
      </c>
      <c r="C641" s="54">
        <v>8.4949999999999992</v>
      </c>
      <c r="D641" s="54">
        <v>8.52</v>
      </c>
      <c r="E641" s="53">
        <v>457979</v>
      </c>
      <c r="F641" s="53" t="s">
        <v>792</v>
      </c>
      <c r="G641" s="25">
        <f t="shared" si="7"/>
        <v>4.2253521126760729E-2</v>
      </c>
    </row>
    <row r="642" spans="1:7">
      <c r="A642" s="54">
        <v>8.52</v>
      </c>
      <c r="B642" s="54">
        <v>8.64</v>
      </c>
      <c r="C642" s="54">
        <v>8.42</v>
      </c>
      <c r="D642" s="54">
        <v>8.59</v>
      </c>
      <c r="E642" s="53">
        <v>421013</v>
      </c>
      <c r="F642" s="53" t="s">
        <v>793</v>
      </c>
      <c r="G642" s="25">
        <f t="shared" si="7"/>
        <v>-8.1490104772992122E-3</v>
      </c>
    </row>
    <row r="643" spans="1:7">
      <c r="A643" s="54">
        <v>8.61</v>
      </c>
      <c r="B643" s="54">
        <v>8.73</v>
      </c>
      <c r="C643" s="54">
        <v>8.4049999999999994</v>
      </c>
      <c r="D643" s="54">
        <v>8.49</v>
      </c>
      <c r="E643" s="53">
        <v>384826</v>
      </c>
      <c r="F643" s="53" t="s">
        <v>794</v>
      </c>
      <c r="G643" s="25">
        <f t="shared" si="7"/>
        <v>1.4134275618374437E-2</v>
      </c>
    </row>
    <row r="644" spans="1:7">
      <c r="A644" s="54">
        <v>8.58</v>
      </c>
      <c r="B644" s="54">
        <v>8.81</v>
      </c>
      <c r="C644" s="54">
        <v>8.4761000000000006</v>
      </c>
      <c r="D644" s="54">
        <v>8.57</v>
      </c>
      <c r="E644" s="53">
        <v>458902</v>
      </c>
      <c r="F644" s="53" t="s">
        <v>795</v>
      </c>
      <c r="G644" s="25">
        <f t="shared" si="7"/>
        <v>1.166861143523823E-3</v>
      </c>
    </row>
    <row r="645" spans="1:7">
      <c r="A645" s="54">
        <v>8.58</v>
      </c>
      <c r="B645" s="54">
        <v>9.43</v>
      </c>
      <c r="C645" s="54">
        <v>8.4499999999999993</v>
      </c>
      <c r="D645" s="54">
        <v>9.2100000000000009</v>
      </c>
      <c r="E645" s="53">
        <v>1171958</v>
      </c>
      <c r="F645" s="53" t="s">
        <v>796</v>
      </c>
      <c r="G645" s="25">
        <f t="shared" si="7"/>
        <v>-6.8403908794788304E-2</v>
      </c>
    </row>
    <row r="646" spans="1:7">
      <c r="A646" s="54">
        <v>8.69</v>
      </c>
      <c r="B646" s="54">
        <v>8.7200000000000006</v>
      </c>
      <c r="C646" s="54">
        <v>8.3800000000000008</v>
      </c>
      <c r="D646" s="54">
        <v>8.44</v>
      </c>
      <c r="E646" s="53">
        <v>320210</v>
      </c>
      <c r="F646" s="53" t="s">
        <v>797</v>
      </c>
      <c r="G646" s="25">
        <f t="shared" si="7"/>
        <v>2.9620853080568832E-2</v>
      </c>
    </row>
    <row r="647" spans="1:7">
      <c r="A647" s="54">
        <v>8.43</v>
      </c>
      <c r="B647" s="54">
        <v>8.5</v>
      </c>
      <c r="C647" s="54">
        <v>8.18</v>
      </c>
      <c r="D647" s="54">
        <v>8.34</v>
      </c>
      <c r="E647" s="53">
        <v>322829</v>
      </c>
      <c r="F647" s="53" t="s">
        <v>798</v>
      </c>
      <c r="G647" s="25">
        <f t="shared" si="7"/>
        <v>1.0791366906474753E-2</v>
      </c>
    </row>
    <row r="648" spans="1:7">
      <c r="A648" s="54">
        <v>8.34</v>
      </c>
      <c r="B648" s="54">
        <v>8.3598999999999997</v>
      </c>
      <c r="C648" s="54">
        <v>8.1199999999999992</v>
      </c>
      <c r="D648" s="54">
        <v>8.1199999999999992</v>
      </c>
      <c r="E648" s="53">
        <v>323871</v>
      </c>
      <c r="F648" s="53" t="s">
        <v>799</v>
      </c>
      <c r="G648" s="25">
        <f t="shared" si="7"/>
        <v>2.7093596059113434E-2</v>
      </c>
    </row>
    <row r="649" spans="1:7">
      <c r="A649" s="54">
        <v>8.11</v>
      </c>
      <c r="B649" s="54">
        <v>8.3899000000000008</v>
      </c>
      <c r="C649" s="54">
        <v>8.1</v>
      </c>
      <c r="D649" s="54">
        <v>8.2200000000000006</v>
      </c>
      <c r="E649" s="53">
        <v>852464</v>
      </c>
      <c r="F649" s="53" t="s">
        <v>800</v>
      </c>
      <c r="G649" s="25">
        <f t="shared" si="7"/>
        <v>-1.3381995133820102E-2</v>
      </c>
    </row>
    <row r="650" spans="1:7">
      <c r="A650" s="54">
        <v>8.2200000000000006</v>
      </c>
      <c r="B650" s="54">
        <v>8.33</v>
      </c>
      <c r="C650" s="54">
        <v>8.06</v>
      </c>
      <c r="D650" s="54">
        <v>8.2200000000000006</v>
      </c>
      <c r="E650" s="53">
        <v>309158</v>
      </c>
      <c r="F650" s="53" t="s">
        <v>801</v>
      </c>
      <c r="G650" s="25">
        <f t="shared" si="7"/>
        <v>0</v>
      </c>
    </row>
    <row r="651" spans="1:7">
      <c r="A651" s="54">
        <v>8.24</v>
      </c>
      <c r="B651" s="54">
        <v>8.36</v>
      </c>
      <c r="C651" s="54">
        <v>8.08</v>
      </c>
      <c r="D651" s="54">
        <v>8.36</v>
      </c>
      <c r="E651" s="53">
        <v>337154</v>
      </c>
      <c r="F651" s="53" t="s">
        <v>802</v>
      </c>
      <c r="G651" s="25">
        <f t="shared" si="7"/>
        <v>-1.4354066985645786E-2</v>
      </c>
    </row>
    <row r="652" spans="1:7">
      <c r="A652" s="54">
        <v>8.4600000000000009</v>
      </c>
      <c r="B652" s="54">
        <v>8.5299999999999994</v>
      </c>
      <c r="C652" s="54">
        <v>8.35</v>
      </c>
      <c r="D652" s="54">
        <v>8.4600000000000009</v>
      </c>
      <c r="E652" s="53">
        <v>255846</v>
      </c>
      <c r="F652" s="53" t="s">
        <v>803</v>
      </c>
      <c r="G652" s="25">
        <f t="shared" si="7"/>
        <v>0</v>
      </c>
    </row>
    <row r="653" spans="1:7">
      <c r="A653" s="54">
        <v>8.41</v>
      </c>
      <c r="B653" s="54">
        <v>8.5150000000000006</v>
      </c>
      <c r="C653" s="54">
        <v>8.34</v>
      </c>
      <c r="D653" s="54">
        <v>8.34</v>
      </c>
      <c r="E653" s="53">
        <v>228516</v>
      </c>
      <c r="F653" s="53" t="s">
        <v>804</v>
      </c>
      <c r="G653" s="25">
        <f t="shared" si="7"/>
        <v>8.3932853717025857E-3</v>
      </c>
    </row>
    <row r="654" spans="1:7">
      <c r="A654" s="54">
        <v>8.34</v>
      </c>
      <c r="B654" s="54">
        <v>8.48</v>
      </c>
      <c r="C654" s="54">
        <v>8.2449999999999992</v>
      </c>
      <c r="D654" s="54">
        <v>8.35</v>
      </c>
      <c r="E654" s="53">
        <v>264724</v>
      </c>
      <c r="F654" s="53" t="s">
        <v>805</v>
      </c>
      <c r="G654" s="25">
        <f t="shared" si="7"/>
        <v>-1.1976047904190823E-3</v>
      </c>
    </row>
    <row r="655" spans="1:7">
      <c r="A655" s="54">
        <v>8.39</v>
      </c>
      <c r="B655" s="54">
        <v>8.6300000000000008</v>
      </c>
      <c r="C655" s="54">
        <v>8.3800000000000008</v>
      </c>
      <c r="D655" s="54">
        <v>8.51</v>
      </c>
      <c r="E655" s="53">
        <v>256867</v>
      </c>
      <c r="F655" s="53" t="s">
        <v>806</v>
      </c>
      <c r="G655" s="25">
        <f t="shared" si="7"/>
        <v>-1.4101057579318343E-2</v>
      </c>
    </row>
    <row r="656" spans="1:7">
      <c r="A656" s="54">
        <v>8.6</v>
      </c>
      <c r="B656" s="54">
        <v>8.73</v>
      </c>
      <c r="C656" s="54">
        <v>8.5399999999999991</v>
      </c>
      <c r="D656" s="54">
        <v>8.69</v>
      </c>
      <c r="E656" s="53">
        <v>248736</v>
      </c>
      <c r="F656" s="53" t="s">
        <v>807</v>
      </c>
      <c r="G656" s="25">
        <f t="shared" si="7"/>
        <v>-1.0356731875719172E-2</v>
      </c>
    </row>
    <row r="657" spans="1:7">
      <c r="A657" s="54">
        <v>8.69</v>
      </c>
      <c r="B657" s="54">
        <v>8.82</v>
      </c>
      <c r="C657" s="54">
        <v>8.59</v>
      </c>
      <c r="D657" s="54">
        <v>8.68</v>
      </c>
      <c r="E657" s="53">
        <v>358693</v>
      </c>
      <c r="F657" s="53" t="s">
        <v>808</v>
      </c>
      <c r="G657" s="25">
        <f t="shared" si="7"/>
        <v>1.1520737327188613E-3</v>
      </c>
    </row>
    <row r="658" spans="1:7">
      <c r="A658" s="54">
        <v>8.64</v>
      </c>
      <c r="B658" s="54">
        <v>8.93</v>
      </c>
      <c r="C658" s="54">
        <v>8.64</v>
      </c>
      <c r="D658" s="54">
        <v>8.8000000000000007</v>
      </c>
      <c r="E658" s="53">
        <v>506399</v>
      </c>
      <c r="F658" s="53" t="s">
        <v>809</v>
      </c>
      <c r="G658" s="25">
        <f t="shared" si="7"/>
        <v>-1.8181818181818188E-2</v>
      </c>
    </row>
    <row r="659" spans="1:7">
      <c r="A659" s="54">
        <v>8.76</v>
      </c>
      <c r="B659" s="54">
        <v>9.125</v>
      </c>
      <c r="C659" s="54">
        <v>8.69</v>
      </c>
      <c r="D659" s="54">
        <v>9.09</v>
      </c>
      <c r="E659" s="53">
        <v>316777</v>
      </c>
      <c r="F659" s="53" t="s">
        <v>810</v>
      </c>
      <c r="G659" s="25">
        <f t="shared" si="7"/>
        <v>-3.6303630363036299E-2</v>
      </c>
    </row>
    <row r="660" spans="1:7">
      <c r="A660" s="54">
        <v>9</v>
      </c>
      <c r="B660" s="54">
        <v>9.2200000000000006</v>
      </c>
      <c r="C660" s="54">
        <v>8.69</v>
      </c>
      <c r="D660" s="54">
        <v>8.7100000000000009</v>
      </c>
      <c r="E660" s="53">
        <v>767386</v>
      </c>
      <c r="F660" s="53" t="s">
        <v>811</v>
      </c>
      <c r="G660" s="25">
        <f t="shared" si="7"/>
        <v>3.3295063145809323E-2</v>
      </c>
    </row>
    <row r="661" spans="1:7">
      <c r="A661" s="54">
        <v>8.6999999999999993</v>
      </c>
      <c r="B661" s="54">
        <v>9.0299999999999994</v>
      </c>
      <c r="C661" s="54">
        <v>8.69</v>
      </c>
      <c r="D661" s="54">
        <v>8.69</v>
      </c>
      <c r="E661" s="53">
        <v>499935</v>
      </c>
      <c r="F661" s="53" t="s">
        <v>812</v>
      </c>
      <c r="G661" s="25">
        <f t="shared" si="7"/>
        <v>1.1507479861909697E-3</v>
      </c>
    </row>
    <row r="662" spans="1:7">
      <c r="A662" s="54">
        <v>8.77</v>
      </c>
      <c r="B662" s="54">
        <v>8.83</v>
      </c>
      <c r="C662" s="54">
        <v>8.61</v>
      </c>
      <c r="D662" s="54">
        <v>8.66</v>
      </c>
      <c r="E662" s="53">
        <v>503891</v>
      </c>
      <c r="F662" s="53" t="s">
        <v>813</v>
      </c>
      <c r="G662" s="25">
        <f t="shared" si="7"/>
        <v>1.270207852193983E-2</v>
      </c>
    </row>
    <row r="663" spans="1:7">
      <c r="A663" s="54">
        <v>8.65</v>
      </c>
      <c r="B663" s="54">
        <v>8.94</v>
      </c>
      <c r="C663" s="54">
        <v>8.6300000000000008</v>
      </c>
      <c r="D663" s="54">
        <v>8.8000000000000007</v>
      </c>
      <c r="E663" s="53">
        <v>553222</v>
      </c>
      <c r="F663" s="53" t="s">
        <v>814</v>
      </c>
      <c r="G663" s="25">
        <f t="shared" si="7"/>
        <v>-1.7045454545454586E-2</v>
      </c>
    </row>
    <row r="664" spans="1:7">
      <c r="A664" s="54">
        <v>8.74</v>
      </c>
      <c r="B664" s="54">
        <v>9</v>
      </c>
      <c r="C664" s="54">
        <v>8.66</v>
      </c>
      <c r="D664" s="54">
        <v>8.9499999999999993</v>
      </c>
      <c r="E664" s="53">
        <v>1060417</v>
      </c>
      <c r="F664" s="53" t="s">
        <v>815</v>
      </c>
      <c r="G664" s="25">
        <f t="shared" si="7"/>
        <v>-2.3463687150837909E-2</v>
      </c>
    </row>
    <row r="665" spans="1:7">
      <c r="A665" s="54">
        <v>8.92</v>
      </c>
      <c r="B665" s="54">
        <v>9.77</v>
      </c>
      <c r="C665" s="54">
        <v>8.81</v>
      </c>
      <c r="D665" s="54">
        <v>9.69</v>
      </c>
      <c r="E665" s="53">
        <v>609351</v>
      </c>
      <c r="F665" s="53" t="s">
        <v>816</v>
      </c>
      <c r="G665" s="25">
        <f t="shared" si="7"/>
        <v>-7.9463364293085648E-2</v>
      </c>
    </row>
    <row r="666" spans="1:7">
      <c r="A666" s="54">
        <v>9.74</v>
      </c>
      <c r="B666" s="54">
        <v>9.77</v>
      </c>
      <c r="C666" s="54">
        <v>9.5150000000000006</v>
      </c>
      <c r="D666" s="54">
        <v>9.5399999999999991</v>
      </c>
      <c r="E666" s="53">
        <v>275654</v>
      </c>
      <c r="F666" s="53" t="s">
        <v>817</v>
      </c>
      <c r="G666" s="25">
        <f t="shared" si="7"/>
        <v>2.096436058700224E-2</v>
      </c>
    </row>
    <row r="667" spans="1:7">
      <c r="A667" s="54">
        <v>9.56</v>
      </c>
      <c r="B667" s="54">
        <v>9.66</v>
      </c>
      <c r="C667" s="54">
        <v>9.36</v>
      </c>
      <c r="D667" s="54">
        <v>9.59</v>
      </c>
      <c r="E667" s="53">
        <v>370358</v>
      </c>
      <c r="F667" s="53" t="s">
        <v>818</v>
      </c>
      <c r="G667" s="25">
        <f t="shared" si="7"/>
        <v>-3.1282586027110426E-3</v>
      </c>
    </row>
    <row r="668" spans="1:7">
      <c r="A668" s="54">
        <v>9.6300000000000008</v>
      </c>
      <c r="B668" s="54">
        <v>9.93</v>
      </c>
      <c r="C668" s="54">
        <v>9.4700000000000006</v>
      </c>
      <c r="D668" s="54">
        <v>9.68</v>
      </c>
      <c r="E668" s="53">
        <v>232050</v>
      </c>
      <c r="F668" s="53" t="s">
        <v>819</v>
      </c>
      <c r="G668" s="25">
        <f t="shared" si="7"/>
        <v>-5.1652892561981911E-3</v>
      </c>
    </row>
    <row r="669" spans="1:7">
      <c r="A669" s="54">
        <v>9.69</v>
      </c>
      <c r="B669" s="54">
        <v>10.17</v>
      </c>
      <c r="C669" s="54">
        <v>9.39</v>
      </c>
      <c r="D669" s="54">
        <v>10.050000000000001</v>
      </c>
      <c r="E669" s="53">
        <v>586567</v>
      </c>
      <c r="F669" s="53" t="s">
        <v>820</v>
      </c>
      <c r="G669" s="25">
        <f t="shared" si="7"/>
        <v>-3.5820895522388208E-2</v>
      </c>
    </row>
    <row r="670" spans="1:7">
      <c r="A670" s="54">
        <v>9.77</v>
      </c>
      <c r="B670" s="54">
        <v>10.154999999999999</v>
      </c>
      <c r="C670" s="54">
        <v>9.25</v>
      </c>
      <c r="D670" s="54">
        <v>9.57</v>
      </c>
      <c r="E670" s="53">
        <v>835090</v>
      </c>
      <c r="F670" s="53" t="s">
        <v>821</v>
      </c>
      <c r="G670" s="25">
        <f t="shared" si="7"/>
        <v>2.0898641588296796E-2</v>
      </c>
    </row>
    <row r="671" spans="1:7">
      <c r="A671" s="54">
        <v>9.94</v>
      </c>
      <c r="B671" s="54">
        <v>9.9649999999999999</v>
      </c>
      <c r="C671" s="54">
        <v>9.5350000000000001</v>
      </c>
      <c r="D671" s="54">
        <v>9.66</v>
      </c>
      <c r="E671" s="53">
        <v>530758</v>
      </c>
      <c r="F671" s="53" t="s">
        <v>822</v>
      </c>
      <c r="G671" s="25">
        <f t="shared" si="7"/>
        <v>2.8985507246376718E-2</v>
      </c>
    </row>
    <row r="672" spans="1:7">
      <c r="A672" s="54">
        <v>9.6199999999999992</v>
      </c>
      <c r="B672" s="54">
        <v>9.74</v>
      </c>
      <c r="C672" s="54">
        <v>9.44</v>
      </c>
      <c r="D672" s="54">
        <v>9.44</v>
      </c>
      <c r="E672" s="53">
        <v>288024</v>
      </c>
      <c r="F672" s="53" t="s">
        <v>823</v>
      </c>
      <c r="G672" s="25">
        <f t="shared" si="7"/>
        <v>1.9067796610169552E-2</v>
      </c>
    </row>
    <row r="673" spans="1:7">
      <c r="A673" s="54">
        <v>9.39</v>
      </c>
      <c r="B673" s="54">
        <v>9.43</v>
      </c>
      <c r="C673" s="54">
        <v>9.17</v>
      </c>
      <c r="D673" s="54">
        <v>9.3000000000000007</v>
      </c>
      <c r="E673" s="53">
        <v>448600</v>
      </c>
      <c r="F673" s="53" t="s">
        <v>824</v>
      </c>
      <c r="G673" s="25">
        <f t="shared" si="7"/>
        <v>9.6774193548387899E-3</v>
      </c>
    </row>
    <row r="674" spans="1:7">
      <c r="A674" s="54">
        <v>9.33</v>
      </c>
      <c r="B674" s="54">
        <v>9.61</v>
      </c>
      <c r="C674" s="54">
        <v>9.19</v>
      </c>
      <c r="D674" s="54">
        <v>9.6</v>
      </c>
      <c r="E674" s="53">
        <v>208735</v>
      </c>
      <c r="F674" s="53" t="s">
        <v>825</v>
      </c>
      <c r="G674" s="25">
        <f t="shared" si="7"/>
        <v>-2.8124999999999956E-2</v>
      </c>
    </row>
    <row r="675" spans="1:7">
      <c r="A675" s="54">
        <v>9.6999999999999993</v>
      </c>
      <c r="B675" s="54">
        <v>10.41</v>
      </c>
      <c r="C675" s="54">
        <v>9.68</v>
      </c>
      <c r="D675" s="54">
        <v>10.41</v>
      </c>
      <c r="E675" s="53">
        <v>215128</v>
      </c>
      <c r="F675" s="53" t="s">
        <v>826</v>
      </c>
      <c r="G675" s="25">
        <f t="shared" si="7"/>
        <v>-6.8203650336215227E-2</v>
      </c>
    </row>
    <row r="676" spans="1:7">
      <c r="A676" s="54">
        <v>10.32</v>
      </c>
      <c r="B676" s="54">
        <v>10.49</v>
      </c>
      <c r="C676" s="54">
        <v>10.14</v>
      </c>
      <c r="D676" s="54">
        <v>10.39</v>
      </c>
      <c r="E676" s="53">
        <v>72042</v>
      </c>
      <c r="F676" s="53" t="s">
        <v>827</v>
      </c>
      <c r="G676" s="25">
        <f t="shared" si="7"/>
        <v>-6.7372473532242294E-3</v>
      </c>
    </row>
    <row r="677" spans="1:7">
      <c r="A677" s="54">
        <v>10.43</v>
      </c>
      <c r="B677" s="54">
        <v>10.87</v>
      </c>
      <c r="C677" s="54">
        <v>10.425000000000001</v>
      </c>
      <c r="D677" s="54">
        <v>10.72</v>
      </c>
      <c r="E677" s="53">
        <v>256288</v>
      </c>
      <c r="F677" s="53" t="s">
        <v>828</v>
      </c>
      <c r="G677" s="25">
        <f t="shared" si="7"/>
        <v>-2.7052238805970186E-2</v>
      </c>
    </row>
    <row r="678" spans="1:7">
      <c r="A678" s="54">
        <v>10.63</v>
      </c>
      <c r="B678" s="54">
        <v>10.73</v>
      </c>
      <c r="C678" s="54">
        <v>10.46</v>
      </c>
      <c r="D678" s="54">
        <v>10.47</v>
      </c>
      <c r="E678" s="53">
        <v>219619</v>
      </c>
      <c r="F678" s="53" t="s">
        <v>829</v>
      </c>
      <c r="G678" s="25">
        <f t="shared" si="7"/>
        <v>1.5281757402101359E-2</v>
      </c>
    </row>
    <row r="679" spans="1:7">
      <c r="A679" s="54">
        <v>10.46</v>
      </c>
      <c r="B679" s="54">
        <v>10.62</v>
      </c>
      <c r="C679" s="54">
        <v>10.33</v>
      </c>
      <c r="D679" s="54">
        <v>10.47</v>
      </c>
      <c r="E679" s="53">
        <v>232749</v>
      </c>
      <c r="F679" s="53" t="s">
        <v>830</v>
      </c>
      <c r="G679" s="25">
        <f t="shared" si="7"/>
        <v>-9.5510983763125168E-4</v>
      </c>
    </row>
    <row r="680" spans="1:7">
      <c r="A680" s="54">
        <v>10.49</v>
      </c>
      <c r="B680" s="54">
        <v>10.97</v>
      </c>
      <c r="C680" s="54">
        <v>10.45</v>
      </c>
      <c r="D680" s="54">
        <v>10.76</v>
      </c>
      <c r="E680" s="53">
        <v>279936</v>
      </c>
      <c r="F680" s="53" t="s">
        <v>831</v>
      </c>
      <c r="G680" s="25">
        <f t="shared" si="7"/>
        <v>-2.5092936802973975E-2</v>
      </c>
    </row>
    <row r="681" spans="1:7">
      <c r="A681" s="54">
        <v>10.74</v>
      </c>
      <c r="B681" s="54">
        <v>11.2011</v>
      </c>
      <c r="C681" s="54">
        <v>10.69</v>
      </c>
      <c r="D681" s="54">
        <v>10.8</v>
      </c>
      <c r="E681" s="53">
        <v>165825</v>
      </c>
      <c r="F681" s="53" t="s">
        <v>832</v>
      </c>
      <c r="G681" s="25">
        <f t="shared" si="7"/>
        <v>-5.5555555555556468E-3</v>
      </c>
    </row>
    <row r="682" spans="1:7">
      <c r="A682" s="54">
        <v>10.86</v>
      </c>
      <c r="B682" s="54">
        <v>11.164999999999999</v>
      </c>
      <c r="C682" s="54">
        <v>10.76</v>
      </c>
      <c r="D682" s="54">
        <v>11.07</v>
      </c>
      <c r="E682" s="53">
        <v>378305</v>
      </c>
      <c r="F682" s="53" t="s">
        <v>833</v>
      </c>
      <c r="G682" s="25">
        <f t="shared" si="7"/>
        <v>-1.8970189701897122E-2</v>
      </c>
    </row>
    <row r="683" spans="1:7">
      <c r="A683" s="54">
        <v>11.15</v>
      </c>
      <c r="B683" s="54">
        <v>11.17</v>
      </c>
      <c r="C683" s="54">
        <v>10.93</v>
      </c>
      <c r="D683" s="54">
        <v>11.03</v>
      </c>
      <c r="E683" s="53">
        <v>185278</v>
      </c>
      <c r="F683" s="53" t="s">
        <v>834</v>
      </c>
      <c r="G683" s="25">
        <f t="shared" si="7"/>
        <v>1.0879419764279419E-2</v>
      </c>
    </row>
    <row r="684" spans="1:7">
      <c r="A684" s="54">
        <v>11.06</v>
      </c>
      <c r="B684" s="54">
        <v>11.28</v>
      </c>
      <c r="C684" s="54">
        <v>10.15</v>
      </c>
      <c r="D684" s="54">
        <v>11.12</v>
      </c>
      <c r="E684" s="53">
        <v>151689</v>
      </c>
      <c r="F684" s="53" t="s">
        <v>835</v>
      </c>
      <c r="G684" s="25">
        <f t="shared" si="7"/>
        <v>-5.3956834532372655E-3</v>
      </c>
    </row>
    <row r="685" spans="1:7">
      <c r="A685" s="54">
        <v>11.16</v>
      </c>
      <c r="B685" s="54">
        <v>11.38</v>
      </c>
      <c r="C685" s="54">
        <v>10.8909</v>
      </c>
      <c r="D685" s="54">
        <v>11.05</v>
      </c>
      <c r="E685" s="53">
        <v>185807</v>
      </c>
      <c r="F685" s="53" t="s">
        <v>836</v>
      </c>
      <c r="G685" s="25">
        <f t="shared" si="7"/>
        <v>9.9547511312216841E-3</v>
      </c>
    </row>
    <row r="686" spans="1:7">
      <c r="A686" s="54">
        <v>11.08</v>
      </c>
      <c r="B686" s="54">
        <v>11.12</v>
      </c>
      <c r="C686" s="54">
        <v>10.71</v>
      </c>
      <c r="D686" s="54">
        <v>11.02</v>
      </c>
      <c r="E686" s="53">
        <v>1240934</v>
      </c>
      <c r="F686" s="53" t="s">
        <v>837</v>
      </c>
      <c r="G686" s="25">
        <f t="shared" si="7"/>
        <v>5.4446460980037692E-3</v>
      </c>
    </row>
    <row r="687" spans="1:7">
      <c r="A687" s="54">
        <v>10.85</v>
      </c>
      <c r="B687" s="54">
        <v>10.98</v>
      </c>
      <c r="C687" s="54">
        <v>10.73</v>
      </c>
      <c r="D687" s="54">
        <v>10.9</v>
      </c>
      <c r="E687" s="53">
        <v>312798</v>
      </c>
      <c r="F687" s="53" t="s">
        <v>838</v>
      </c>
      <c r="G687" s="25">
        <f t="shared" si="7"/>
        <v>-4.5871559633028358E-3</v>
      </c>
    </row>
    <row r="688" spans="1:7">
      <c r="A688" s="54">
        <v>10.87</v>
      </c>
      <c r="B688" s="54">
        <v>11.1</v>
      </c>
      <c r="C688" s="54">
        <v>10.83</v>
      </c>
      <c r="D688" s="54">
        <v>10.98</v>
      </c>
      <c r="E688" s="53">
        <v>269508</v>
      </c>
      <c r="F688" s="53" t="s">
        <v>839</v>
      </c>
      <c r="G688" s="25">
        <f t="shared" si="7"/>
        <v>-1.0018214936247882E-2</v>
      </c>
    </row>
    <row r="689" spans="1:7">
      <c r="A689" s="54">
        <v>10.9</v>
      </c>
      <c r="B689" s="54">
        <v>11.19</v>
      </c>
      <c r="C689" s="54">
        <v>10.74</v>
      </c>
      <c r="D689" s="54">
        <v>10.74</v>
      </c>
      <c r="E689" s="53">
        <v>517278</v>
      </c>
      <c r="F689" s="53" t="s">
        <v>840</v>
      </c>
      <c r="G689" s="25">
        <f t="shared" si="7"/>
        <v>1.4897579143389184E-2</v>
      </c>
    </row>
    <row r="690" spans="1:7">
      <c r="A690" s="54">
        <v>10.76</v>
      </c>
      <c r="B690" s="54">
        <v>10.87</v>
      </c>
      <c r="C690" s="54">
        <v>10.414999999999999</v>
      </c>
      <c r="D690" s="54">
        <v>10.78</v>
      </c>
      <c r="E690" s="53">
        <v>422989</v>
      </c>
      <c r="F690" s="53" t="s">
        <v>841</v>
      </c>
      <c r="G690" s="25">
        <f t="shared" si="7"/>
        <v>-1.8552875695732052E-3</v>
      </c>
    </row>
    <row r="691" spans="1:7">
      <c r="A691" s="54">
        <v>10.79</v>
      </c>
      <c r="B691" s="54">
        <v>11.135</v>
      </c>
      <c r="C691" s="54">
        <v>10.029999999999999</v>
      </c>
      <c r="D691" s="54">
        <v>10.199999999999999</v>
      </c>
      <c r="E691" s="53">
        <v>1372095</v>
      </c>
      <c r="F691" s="53" t="s">
        <v>842</v>
      </c>
      <c r="G691" s="25">
        <f t="shared" si="7"/>
        <v>5.7843137254901977E-2</v>
      </c>
    </row>
    <row r="692" spans="1:7">
      <c r="A692" s="54">
        <v>9.99</v>
      </c>
      <c r="B692" s="54">
        <v>10.039999999999999</v>
      </c>
      <c r="C692" s="54">
        <v>9.81</v>
      </c>
      <c r="D692" s="54">
        <v>9.98</v>
      </c>
      <c r="E692" s="53">
        <v>413932</v>
      </c>
      <c r="F692" s="53" t="s">
        <v>843</v>
      </c>
      <c r="G692" s="25">
        <f t="shared" si="7"/>
        <v>1.0020040080160886E-3</v>
      </c>
    </row>
    <row r="693" spans="1:7">
      <c r="A693" s="54">
        <v>9.99</v>
      </c>
      <c r="B693" s="54">
        <v>10.35</v>
      </c>
      <c r="C693" s="54">
        <v>9.9600000000000009</v>
      </c>
      <c r="D693" s="54">
        <v>10.23</v>
      </c>
      <c r="E693" s="53">
        <v>312727</v>
      </c>
      <c r="F693" s="53" t="s">
        <v>844</v>
      </c>
      <c r="G693" s="25">
        <f t="shared" si="7"/>
        <v>-2.346041055718473E-2</v>
      </c>
    </row>
    <row r="694" spans="1:7">
      <c r="A694" s="54">
        <v>10.16</v>
      </c>
      <c r="B694" s="54">
        <v>10.244999999999999</v>
      </c>
      <c r="C694" s="54">
        <v>9.8949999999999996</v>
      </c>
      <c r="D694" s="54">
        <v>9.99</v>
      </c>
      <c r="E694" s="53">
        <v>440734</v>
      </c>
      <c r="F694" s="53" t="s">
        <v>845</v>
      </c>
      <c r="G694" s="25">
        <f t="shared" si="7"/>
        <v>1.7017017017016967E-2</v>
      </c>
    </row>
    <row r="695" spans="1:7">
      <c r="A695" s="54">
        <v>10</v>
      </c>
      <c r="B695" s="54">
        <v>10.119999999999999</v>
      </c>
      <c r="C695" s="54">
        <v>9.6300000000000008</v>
      </c>
      <c r="D695" s="54">
        <v>9.91</v>
      </c>
      <c r="E695" s="53">
        <v>300468</v>
      </c>
      <c r="F695" s="53" t="s">
        <v>846</v>
      </c>
      <c r="G695" s="25">
        <f t="shared" si="7"/>
        <v>9.0817356205852295E-3</v>
      </c>
    </row>
    <row r="696" spans="1:7">
      <c r="A696" s="54">
        <v>9.98</v>
      </c>
      <c r="B696" s="54">
        <v>10.32</v>
      </c>
      <c r="C696" s="54">
        <v>9.75</v>
      </c>
      <c r="D696" s="54">
        <v>9.76</v>
      </c>
      <c r="E696" s="53">
        <v>432640</v>
      </c>
      <c r="F696" s="53" t="s">
        <v>847</v>
      </c>
      <c r="G696" s="25">
        <f t="shared" si="7"/>
        <v>2.2540983606557541E-2</v>
      </c>
    </row>
    <row r="697" spans="1:7">
      <c r="A697" s="54">
        <v>9.64</v>
      </c>
      <c r="B697" s="54">
        <v>9.7349999999999994</v>
      </c>
      <c r="C697" s="54">
        <v>9.2899999999999991</v>
      </c>
      <c r="D697" s="54">
        <v>9.4600000000000009</v>
      </c>
      <c r="E697" s="53">
        <v>322421</v>
      </c>
      <c r="F697" s="53" t="s">
        <v>848</v>
      </c>
      <c r="G697" s="25">
        <f t="shared" si="7"/>
        <v>1.9027484143763207E-2</v>
      </c>
    </row>
    <row r="698" spans="1:7">
      <c r="A698" s="54">
        <v>9.4600000000000009</v>
      </c>
      <c r="B698" s="54">
        <v>9.5399999999999991</v>
      </c>
      <c r="C698" s="54">
        <v>9.2799999999999994</v>
      </c>
      <c r="D698" s="54">
        <v>9.41</v>
      </c>
      <c r="E698" s="53">
        <v>379638</v>
      </c>
      <c r="F698" s="53" t="s">
        <v>849</v>
      </c>
      <c r="G698" s="25">
        <f t="shared" si="7"/>
        <v>5.3134962805527763E-3</v>
      </c>
    </row>
    <row r="699" spans="1:7">
      <c r="A699" s="54">
        <v>9.41</v>
      </c>
      <c r="B699" s="54">
        <v>9.64</v>
      </c>
      <c r="C699" s="54">
        <v>9.27</v>
      </c>
      <c r="D699" s="54">
        <v>9.32</v>
      </c>
      <c r="E699" s="53">
        <v>184790</v>
      </c>
      <c r="F699" s="53" t="s">
        <v>850</v>
      </c>
      <c r="G699" s="25">
        <f t="shared" si="7"/>
        <v>9.65665236051505E-3</v>
      </c>
    </row>
    <row r="700" spans="1:7">
      <c r="A700" s="54">
        <v>9.2899999999999991</v>
      </c>
      <c r="B700" s="54">
        <v>9.6199999999999992</v>
      </c>
      <c r="C700" s="54">
        <v>9.24</v>
      </c>
      <c r="D700" s="54">
        <v>9.3800000000000008</v>
      </c>
      <c r="E700" s="53">
        <v>269558</v>
      </c>
      <c r="F700" s="53" t="s">
        <v>851</v>
      </c>
      <c r="G700" s="25">
        <f t="shared" si="7"/>
        <v>-9.5948827292112737E-3</v>
      </c>
    </row>
    <row r="701" spans="1:7">
      <c r="A701" s="54">
        <v>9.3699999999999992</v>
      </c>
      <c r="B701" s="54">
        <v>9.6</v>
      </c>
      <c r="C701" s="54">
        <v>9.1</v>
      </c>
      <c r="D701" s="54">
        <v>9.6</v>
      </c>
      <c r="E701" s="53">
        <v>337972</v>
      </c>
      <c r="F701" s="53" t="s">
        <v>852</v>
      </c>
      <c r="G701" s="25">
        <f t="shared" si="7"/>
        <v>-2.3958333333333415E-2</v>
      </c>
    </row>
    <row r="702" spans="1:7">
      <c r="A702" s="54">
        <v>9.67</v>
      </c>
      <c r="B702" s="54">
        <v>9.8699999999999992</v>
      </c>
      <c r="C702" s="54">
        <v>9.6199999999999992</v>
      </c>
      <c r="D702" s="54">
        <v>9.76</v>
      </c>
      <c r="E702" s="53">
        <v>280849</v>
      </c>
      <c r="F702" s="53" t="s">
        <v>853</v>
      </c>
      <c r="G702" s="25">
        <f t="shared" si="7"/>
        <v>-9.2213114754098324E-3</v>
      </c>
    </row>
    <row r="703" spans="1:7">
      <c r="A703" s="54">
        <v>9.73</v>
      </c>
      <c r="B703" s="54">
        <v>9.89</v>
      </c>
      <c r="C703" s="54">
        <v>9.65</v>
      </c>
      <c r="D703" s="54">
        <v>9.67</v>
      </c>
      <c r="E703" s="53">
        <v>304139</v>
      </c>
      <c r="F703" s="53" t="s">
        <v>854</v>
      </c>
      <c r="G703" s="25">
        <f t="shared" ref="G703:G766" si="8">A703/D703-1</f>
        <v>6.2047569803516112E-3</v>
      </c>
    </row>
    <row r="704" spans="1:7">
      <c r="A704" s="54">
        <v>9.64</v>
      </c>
      <c r="B704" s="54">
        <v>9.74</v>
      </c>
      <c r="C704" s="54">
        <v>9.4250000000000007</v>
      </c>
      <c r="D704" s="54">
        <v>9.6300000000000008</v>
      </c>
      <c r="E704" s="53">
        <v>232918</v>
      </c>
      <c r="F704" s="53" t="s">
        <v>855</v>
      </c>
      <c r="G704" s="25">
        <f t="shared" si="8"/>
        <v>1.0384215991692258E-3</v>
      </c>
    </row>
    <row r="705" spans="1:7">
      <c r="A705" s="54">
        <v>9.6300000000000008</v>
      </c>
      <c r="B705" s="54">
        <v>9.83</v>
      </c>
      <c r="C705" s="54">
        <v>9.57</v>
      </c>
      <c r="D705" s="54">
        <v>9.6999999999999993</v>
      </c>
      <c r="E705" s="53">
        <v>326501</v>
      </c>
      <c r="F705" s="53" t="s">
        <v>856</v>
      </c>
      <c r="G705" s="25">
        <f t="shared" si="8"/>
        <v>-7.2164948453606881E-3</v>
      </c>
    </row>
    <row r="706" spans="1:7">
      <c r="A706" s="54">
        <v>9.61</v>
      </c>
      <c r="B706" s="54">
        <v>9.68</v>
      </c>
      <c r="C706" s="54">
        <v>9.43</v>
      </c>
      <c r="D706" s="54">
        <v>9.5</v>
      </c>
      <c r="E706" s="53">
        <v>188376</v>
      </c>
      <c r="F706" s="53" t="s">
        <v>857</v>
      </c>
      <c r="G706" s="25">
        <f t="shared" si="8"/>
        <v>1.1578947368420911E-2</v>
      </c>
    </row>
    <row r="707" spans="1:7">
      <c r="A707" s="54">
        <v>9.5500000000000007</v>
      </c>
      <c r="B707" s="54">
        <v>9.6999999999999993</v>
      </c>
      <c r="C707" s="54">
        <v>9.375</v>
      </c>
      <c r="D707" s="54">
        <v>9.44</v>
      </c>
      <c r="E707" s="53">
        <v>244294</v>
      </c>
      <c r="F707" s="53" t="s">
        <v>858</v>
      </c>
      <c r="G707" s="25">
        <f t="shared" si="8"/>
        <v>1.1652542372881491E-2</v>
      </c>
    </row>
    <row r="708" spans="1:7">
      <c r="A708" s="54">
        <v>9.43</v>
      </c>
      <c r="B708" s="54">
        <v>9.4600000000000009</v>
      </c>
      <c r="C708" s="54">
        <v>9.19</v>
      </c>
      <c r="D708" s="54">
        <v>9.31</v>
      </c>
      <c r="E708" s="53">
        <v>190801</v>
      </c>
      <c r="F708" s="53" t="s">
        <v>859</v>
      </c>
      <c r="G708" s="25">
        <f t="shared" si="8"/>
        <v>1.2889366272824887E-2</v>
      </c>
    </row>
    <row r="709" spans="1:7">
      <c r="A709" s="54">
        <v>9.36</v>
      </c>
      <c r="B709" s="54">
        <v>9.5</v>
      </c>
      <c r="C709" s="54">
        <v>9.2102000000000004</v>
      </c>
      <c r="D709" s="54">
        <v>9.34</v>
      </c>
      <c r="E709" s="53">
        <v>246169</v>
      </c>
      <c r="F709" s="53" t="s">
        <v>860</v>
      </c>
      <c r="G709" s="25">
        <f t="shared" si="8"/>
        <v>2.1413276231263545E-3</v>
      </c>
    </row>
    <row r="710" spans="1:7">
      <c r="A710" s="54">
        <v>9.31</v>
      </c>
      <c r="B710" s="54">
        <v>9.36</v>
      </c>
      <c r="C710" s="54">
        <v>9.08</v>
      </c>
      <c r="D710" s="54">
        <v>9.27</v>
      </c>
      <c r="E710" s="53">
        <v>213114</v>
      </c>
      <c r="F710" s="53" t="s">
        <v>861</v>
      </c>
      <c r="G710" s="25">
        <f t="shared" si="8"/>
        <v>4.3149946062568389E-3</v>
      </c>
    </row>
    <row r="711" spans="1:7">
      <c r="A711" s="54">
        <v>9.27</v>
      </c>
      <c r="B711" s="54">
        <v>9.43</v>
      </c>
      <c r="C711" s="54">
        <v>9.1079000000000008</v>
      </c>
      <c r="D711" s="54">
        <v>9.1199999999999992</v>
      </c>
      <c r="E711" s="53">
        <v>296101</v>
      </c>
      <c r="F711" s="53" t="s">
        <v>862</v>
      </c>
      <c r="G711" s="25">
        <f t="shared" si="8"/>
        <v>1.6447368421052655E-2</v>
      </c>
    </row>
    <row r="712" spans="1:7">
      <c r="A712" s="54">
        <v>9.14</v>
      </c>
      <c r="B712" s="54">
        <v>9.1999999999999993</v>
      </c>
      <c r="C712" s="54">
        <v>8.8949999999999996</v>
      </c>
      <c r="D712" s="54">
        <v>9.09</v>
      </c>
      <c r="E712" s="53">
        <v>220184</v>
      </c>
      <c r="F712" s="53" t="s">
        <v>863</v>
      </c>
      <c r="G712" s="25">
        <f t="shared" si="8"/>
        <v>5.5005500550056041E-3</v>
      </c>
    </row>
    <row r="713" spans="1:7">
      <c r="A713" s="54">
        <v>9</v>
      </c>
      <c r="B713" s="54">
        <v>9.25</v>
      </c>
      <c r="C713" s="54">
        <v>8.8800000000000008</v>
      </c>
      <c r="D713" s="54">
        <v>8.93</v>
      </c>
      <c r="E713" s="53">
        <v>296371</v>
      </c>
      <c r="F713" s="53" t="s">
        <v>864</v>
      </c>
      <c r="G713" s="25">
        <f t="shared" si="8"/>
        <v>7.838745800671898E-3</v>
      </c>
    </row>
    <row r="714" spans="1:7">
      <c r="A714" s="54">
        <v>8.9600000000000009</v>
      </c>
      <c r="B714" s="54">
        <v>8.99</v>
      </c>
      <c r="C714" s="54">
        <v>8.68</v>
      </c>
      <c r="D714" s="54">
        <v>8.73</v>
      </c>
      <c r="E714" s="53">
        <v>185223</v>
      </c>
      <c r="F714" s="53" t="s">
        <v>865</v>
      </c>
      <c r="G714" s="25">
        <f t="shared" si="8"/>
        <v>2.6345933562428536E-2</v>
      </c>
    </row>
    <row r="715" spans="1:7">
      <c r="A715" s="54">
        <v>8.7200000000000006</v>
      </c>
      <c r="B715" s="54">
        <v>8.7899999999999991</v>
      </c>
      <c r="C715" s="54">
        <v>8.52</v>
      </c>
      <c r="D715" s="54">
        <v>8.5399999999999991</v>
      </c>
      <c r="E715" s="53">
        <v>214685</v>
      </c>
      <c r="F715" s="53" t="s">
        <v>866</v>
      </c>
      <c r="G715" s="25">
        <f t="shared" si="8"/>
        <v>2.1077283372365585E-2</v>
      </c>
    </row>
    <row r="716" spans="1:7">
      <c r="A716" s="54">
        <v>8.48</v>
      </c>
      <c r="B716" s="54">
        <v>8.6349999999999998</v>
      </c>
      <c r="C716" s="54">
        <v>8.39</v>
      </c>
      <c r="D716" s="54">
        <v>8.58</v>
      </c>
      <c r="E716" s="53">
        <v>197136</v>
      </c>
      <c r="F716" s="53" t="s">
        <v>867</v>
      </c>
      <c r="G716" s="25">
        <f t="shared" si="8"/>
        <v>-1.1655011655011593E-2</v>
      </c>
    </row>
    <row r="717" spans="1:7">
      <c r="A717" s="54">
        <v>8.67</v>
      </c>
      <c r="B717" s="54">
        <v>8.9</v>
      </c>
      <c r="C717" s="54">
        <v>8.5399999999999991</v>
      </c>
      <c r="D717" s="54">
        <v>8.56</v>
      </c>
      <c r="E717" s="53">
        <v>273658</v>
      </c>
      <c r="F717" s="53" t="s">
        <v>868</v>
      </c>
      <c r="G717" s="25">
        <f t="shared" si="8"/>
        <v>1.2850467289719614E-2</v>
      </c>
    </row>
    <row r="718" spans="1:7">
      <c r="A718" s="54">
        <v>8.51</v>
      </c>
      <c r="B718" s="54">
        <v>8.68</v>
      </c>
      <c r="C718" s="54">
        <v>8.4</v>
      </c>
      <c r="D718" s="54">
        <v>8.57</v>
      </c>
      <c r="E718" s="53">
        <v>263938</v>
      </c>
      <c r="F718" s="53" t="s">
        <v>869</v>
      </c>
      <c r="G718" s="25">
        <f t="shared" si="8"/>
        <v>-7.001166861143604E-3</v>
      </c>
    </row>
    <row r="719" spans="1:7">
      <c r="A719" s="54">
        <v>8.6</v>
      </c>
      <c r="B719" s="54">
        <v>8.6300000000000008</v>
      </c>
      <c r="C719" s="54">
        <v>8.27</v>
      </c>
      <c r="D719" s="54">
        <v>8.33</v>
      </c>
      <c r="E719" s="53">
        <v>216049</v>
      </c>
      <c r="F719" s="53" t="s">
        <v>870</v>
      </c>
      <c r="G719" s="25">
        <f t="shared" si="8"/>
        <v>3.2412965186074283E-2</v>
      </c>
    </row>
    <row r="720" spans="1:7">
      <c r="A720" s="54">
        <v>8.32</v>
      </c>
      <c r="B720" s="54">
        <v>8.49</v>
      </c>
      <c r="C720" s="54">
        <v>8.26</v>
      </c>
      <c r="D720" s="54">
        <v>8.31</v>
      </c>
      <c r="E720" s="53">
        <v>191106</v>
      </c>
      <c r="F720" s="53" t="s">
        <v>871</v>
      </c>
      <c r="G720" s="25">
        <f t="shared" si="8"/>
        <v>1.2033694344162349E-3</v>
      </c>
    </row>
    <row r="721" spans="1:7">
      <c r="A721" s="54">
        <v>8.2899999999999991</v>
      </c>
      <c r="B721" s="54">
        <v>8.49</v>
      </c>
      <c r="C721" s="54">
        <v>8.25</v>
      </c>
      <c r="D721" s="54">
        <v>8.2899999999999991</v>
      </c>
      <c r="E721" s="53">
        <v>307198</v>
      </c>
      <c r="F721" s="53" t="s">
        <v>872</v>
      </c>
      <c r="G721" s="25">
        <f t="shared" si="8"/>
        <v>0</v>
      </c>
    </row>
    <row r="722" spans="1:7">
      <c r="A722" s="54">
        <v>8.2899999999999991</v>
      </c>
      <c r="B722" s="54">
        <v>8.57</v>
      </c>
      <c r="C722" s="54">
        <v>8.18</v>
      </c>
      <c r="D722" s="54">
        <v>8.57</v>
      </c>
      <c r="E722" s="53">
        <v>268033</v>
      </c>
      <c r="F722" s="53" t="s">
        <v>873</v>
      </c>
      <c r="G722" s="25">
        <f t="shared" si="8"/>
        <v>-3.267211201866993E-2</v>
      </c>
    </row>
    <row r="723" spans="1:7">
      <c r="A723" s="54">
        <v>8.56</v>
      </c>
      <c r="B723" s="54">
        <v>8.86</v>
      </c>
      <c r="C723" s="54">
        <v>8.5</v>
      </c>
      <c r="D723" s="54">
        <v>8.86</v>
      </c>
      <c r="E723" s="53">
        <v>220751</v>
      </c>
      <c r="F723" s="53" t="s">
        <v>874</v>
      </c>
      <c r="G723" s="25">
        <f t="shared" si="8"/>
        <v>-3.3860045146726692E-2</v>
      </c>
    </row>
    <row r="724" spans="1:7">
      <c r="A724" s="54">
        <v>8.77</v>
      </c>
      <c r="B724" s="54">
        <v>8.9499999999999993</v>
      </c>
      <c r="C724" s="54">
        <v>8.74</v>
      </c>
      <c r="D724" s="54">
        <v>8.89</v>
      </c>
      <c r="E724" s="53">
        <v>190655</v>
      </c>
      <c r="F724" s="53" t="s">
        <v>875</v>
      </c>
      <c r="G724" s="25">
        <f t="shared" si="8"/>
        <v>-1.3498312710911287E-2</v>
      </c>
    </row>
    <row r="725" spans="1:7">
      <c r="A725" s="54">
        <v>8.9</v>
      </c>
      <c r="B725" s="54">
        <v>8.9700000000000006</v>
      </c>
      <c r="C725" s="54">
        <v>8.7302999999999997</v>
      </c>
      <c r="D725" s="54">
        <v>8.84</v>
      </c>
      <c r="E725" s="53">
        <v>193574</v>
      </c>
      <c r="F725" s="53" t="s">
        <v>876</v>
      </c>
      <c r="G725" s="25">
        <f t="shared" si="8"/>
        <v>6.7873303167420573E-3</v>
      </c>
    </row>
    <row r="726" spans="1:7">
      <c r="A726" s="54">
        <v>8.85</v>
      </c>
      <c r="B726" s="54">
        <v>9.1973000000000003</v>
      </c>
      <c r="C726" s="54">
        <v>8.7100000000000009</v>
      </c>
      <c r="D726" s="54">
        <v>8.94</v>
      </c>
      <c r="E726" s="53">
        <v>238195</v>
      </c>
      <c r="F726" s="53" t="s">
        <v>877</v>
      </c>
      <c r="G726" s="25">
        <f t="shared" si="8"/>
        <v>-1.0067114093959662E-2</v>
      </c>
    </row>
    <row r="727" spans="1:7">
      <c r="A727" s="54">
        <v>8.94</v>
      </c>
      <c r="B727" s="54">
        <v>9.09</v>
      </c>
      <c r="C727" s="54">
        <v>8.6999999999999993</v>
      </c>
      <c r="D727" s="54">
        <v>8.86</v>
      </c>
      <c r="E727" s="53">
        <v>339343</v>
      </c>
      <c r="F727" s="53" t="s">
        <v>878</v>
      </c>
      <c r="G727" s="25">
        <f t="shared" si="8"/>
        <v>9.0293453724605843E-3</v>
      </c>
    </row>
    <row r="728" spans="1:7">
      <c r="A728" s="54">
        <v>8.7799999999999994</v>
      </c>
      <c r="B728" s="54">
        <v>9.2100000000000009</v>
      </c>
      <c r="C728" s="54">
        <v>8.73</v>
      </c>
      <c r="D728" s="54">
        <v>9.1199999999999992</v>
      </c>
      <c r="E728" s="53">
        <v>268613</v>
      </c>
      <c r="F728" s="53" t="s">
        <v>879</v>
      </c>
      <c r="G728" s="25">
        <f t="shared" si="8"/>
        <v>-3.7280701754385914E-2</v>
      </c>
    </row>
    <row r="729" spans="1:7">
      <c r="A729" s="54">
        <v>9.08</v>
      </c>
      <c r="B729" s="54">
        <v>9.14</v>
      </c>
      <c r="C729" s="54">
        <v>8.8800000000000008</v>
      </c>
      <c r="D729" s="54">
        <v>8.9</v>
      </c>
      <c r="E729" s="53">
        <v>373502</v>
      </c>
      <c r="F729" s="53" t="s">
        <v>880</v>
      </c>
      <c r="G729" s="25">
        <f t="shared" si="8"/>
        <v>2.0224719101123556E-2</v>
      </c>
    </row>
    <row r="730" spans="1:7">
      <c r="A730" s="54">
        <v>9.09</v>
      </c>
      <c r="B730" s="54">
        <v>9.4700000000000006</v>
      </c>
      <c r="C730" s="54">
        <v>8.98</v>
      </c>
      <c r="D730" s="54">
        <v>9.4</v>
      </c>
      <c r="E730" s="53">
        <v>249166</v>
      </c>
      <c r="F730" s="53" t="s">
        <v>881</v>
      </c>
      <c r="G730" s="25">
        <f t="shared" si="8"/>
        <v>-3.2978723404255339E-2</v>
      </c>
    </row>
    <row r="731" spans="1:7">
      <c r="A731" s="54">
        <v>9.43</v>
      </c>
      <c r="B731" s="54">
        <v>9.5150000000000006</v>
      </c>
      <c r="C731" s="54">
        <v>9.2200000000000006</v>
      </c>
      <c r="D731" s="54">
        <v>9.26</v>
      </c>
      <c r="E731" s="53">
        <v>226777</v>
      </c>
      <c r="F731" s="53" t="s">
        <v>882</v>
      </c>
      <c r="G731" s="25">
        <f t="shared" si="8"/>
        <v>1.8358531317494542E-2</v>
      </c>
    </row>
    <row r="732" spans="1:7">
      <c r="A732" s="54">
        <v>9.2200000000000006</v>
      </c>
      <c r="B732" s="54">
        <v>9.65</v>
      </c>
      <c r="C732" s="54">
        <v>9.2100000000000009</v>
      </c>
      <c r="D732" s="54">
        <v>9.5500000000000007</v>
      </c>
      <c r="E732" s="53">
        <v>213233</v>
      </c>
      <c r="F732" s="53" t="s">
        <v>883</v>
      </c>
      <c r="G732" s="25">
        <f t="shared" si="8"/>
        <v>-3.4554973821989576E-2</v>
      </c>
    </row>
    <row r="733" spans="1:7">
      <c r="A733" s="54">
        <v>9.56</v>
      </c>
      <c r="B733" s="54">
        <v>9.6300000000000008</v>
      </c>
      <c r="C733" s="54">
        <v>9.2100000000000009</v>
      </c>
      <c r="D733" s="54">
        <v>9.36</v>
      </c>
      <c r="E733" s="53">
        <v>197559</v>
      </c>
      <c r="F733" s="53" t="s">
        <v>884</v>
      </c>
      <c r="G733" s="25">
        <f t="shared" si="8"/>
        <v>2.1367521367521514E-2</v>
      </c>
    </row>
    <row r="734" spans="1:7">
      <c r="A734" s="54">
        <v>9.3699999999999992</v>
      </c>
      <c r="B734" s="54">
        <v>9.56</v>
      </c>
      <c r="C734" s="54">
        <v>9.33</v>
      </c>
      <c r="D734" s="54">
        <v>9.4700000000000006</v>
      </c>
      <c r="E734" s="53">
        <v>238876</v>
      </c>
      <c r="F734" s="53" t="s">
        <v>885</v>
      </c>
      <c r="G734" s="25">
        <f t="shared" si="8"/>
        <v>-1.0559662090813271E-2</v>
      </c>
    </row>
    <row r="735" spans="1:7">
      <c r="A735" s="54">
        <v>9.52</v>
      </c>
      <c r="B735" s="54">
        <v>9.7899999999999991</v>
      </c>
      <c r="C735" s="54">
        <v>9.33</v>
      </c>
      <c r="D735" s="54">
        <v>9.7200000000000006</v>
      </c>
      <c r="E735" s="53">
        <v>262171</v>
      </c>
      <c r="F735" s="53" t="s">
        <v>886</v>
      </c>
      <c r="G735" s="25">
        <f t="shared" si="8"/>
        <v>-2.0576131687242927E-2</v>
      </c>
    </row>
    <row r="736" spans="1:7">
      <c r="A736" s="54">
        <v>9.5299999999999994</v>
      </c>
      <c r="B736" s="54">
        <v>10.01</v>
      </c>
      <c r="C736" s="54">
        <v>9.26</v>
      </c>
      <c r="D736" s="54">
        <v>9.5</v>
      </c>
      <c r="E736" s="53">
        <v>342683</v>
      </c>
      <c r="F736" s="53" t="s">
        <v>887</v>
      </c>
      <c r="G736" s="25">
        <f t="shared" si="8"/>
        <v>3.1578947368420263E-3</v>
      </c>
    </row>
    <row r="737" spans="1:7">
      <c r="A737" s="54">
        <v>9.56</v>
      </c>
      <c r="B737" s="54">
        <v>9.86</v>
      </c>
      <c r="C737" s="54">
        <v>9.48</v>
      </c>
      <c r="D737" s="54">
        <v>9.85</v>
      </c>
      <c r="E737" s="53">
        <v>361301</v>
      </c>
      <c r="F737" s="53" t="s">
        <v>888</v>
      </c>
      <c r="G737" s="25">
        <f t="shared" si="8"/>
        <v>-2.9441624365482144E-2</v>
      </c>
    </row>
    <row r="738" spans="1:7">
      <c r="A738" s="54">
        <v>9.8800000000000008</v>
      </c>
      <c r="B738" s="54">
        <v>10.64</v>
      </c>
      <c r="C738" s="54">
        <v>9.7200000000000006</v>
      </c>
      <c r="D738" s="54">
        <v>10.41</v>
      </c>
      <c r="E738" s="53">
        <v>926251</v>
      </c>
      <c r="F738" s="53" t="s">
        <v>889</v>
      </c>
      <c r="G738" s="25">
        <f t="shared" si="8"/>
        <v>-5.0912584053794396E-2</v>
      </c>
    </row>
    <row r="739" spans="1:7">
      <c r="A739" s="54">
        <v>10.34</v>
      </c>
      <c r="B739" s="54">
        <v>10.84</v>
      </c>
      <c r="C739" s="54">
        <v>9.0100999999999996</v>
      </c>
      <c r="D739" s="54">
        <v>9.09</v>
      </c>
      <c r="E739" s="53">
        <v>1355040</v>
      </c>
      <c r="F739" s="53" t="s">
        <v>890</v>
      </c>
      <c r="G739" s="25">
        <f t="shared" si="8"/>
        <v>0.13751375137513744</v>
      </c>
    </row>
    <row r="740" spans="1:7">
      <c r="A740" s="54">
        <v>9.1</v>
      </c>
      <c r="B740" s="54">
        <v>10.255000000000001</v>
      </c>
      <c r="C740" s="54">
        <v>8.6</v>
      </c>
      <c r="D740" s="54">
        <v>10.255000000000001</v>
      </c>
      <c r="E740" s="53">
        <v>1876924</v>
      </c>
      <c r="F740" s="53" t="s">
        <v>891</v>
      </c>
      <c r="G740" s="25">
        <f t="shared" si="8"/>
        <v>-0.11262798634812299</v>
      </c>
    </row>
    <row r="741" spans="1:7">
      <c r="A741" s="54">
        <v>12.47</v>
      </c>
      <c r="B741" s="54">
        <v>12.62</v>
      </c>
      <c r="C741" s="54">
        <v>12.4</v>
      </c>
      <c r="D741" s="54">
        <v>12.46</v>
      </c>
      <c r="E741" s="53">
        <v>266557</v>
      </c>
      <c r="F741" s="53" t="s">
        <v>892</v>
      </c>
      <c r="G741" s="25">
        <f t="shared" si="8"/>
        <v>8.0256821829860492E-4</v>
      </c>
    </row>
    <row r="742" spans="1:7">
      <c r="A742" s="54">
        <v>12.4</v>
      </c>
      <c r="B742" s="54">
        <v>12.6</v>
      </c>
      <c r="C742" s="54">
        <v>12.33</v>
      </c>
      <c r="D742" s="54">
        <v>12.39</v>
      </c>
      <c r="E742" s="53">
        <v>151061</v>
      </c>
      <c r="F742" s="53" t="s">
        <v>893</v>
      </c>
      <c r="G742" s="25">
        <f t="shared" si="8"/>
        <v>8.0710250201776468E-4</v>
      </c>
    </row>
    <row r="743" spans="1:7">
      <c r="A743" s="54">
        <v>12.42</v>
      </c>
      <c r="B743" s="54">
        <v>12.55</v>
      </c>
      <c r="C743" s="54">
        <v>12.09</v>
      </c>
      <c r="D743" s="54">
        <v>12.09</v>
      </c>
      <c r="E743" s="53">
        <v>228605</v>
      </c>
      <c r="F743" s="53" t="s">
        <v>894</v>
      </c>
      <c r="G743" s="25">
        <f t="shared" si="8"/>
        <v>2.7295285359801413E-2</v>
      </c>
    </row>
    <row r="744" spans="1:7">
      <c r="A744" s="54">
        <v>12.05</v>
      </c>
      <c r="B744" s="54">
        <v>12.24</v>
      </c>
      <c r="C744" s="54">
        <v>11.96</v>
      </c>
      <c r="D744" s="54">
        <v>12.03</v>
      </c>
      <c r="E744" s="53">
        <v>180167</v>
      </c>
      <c r="F744" s="53" t="s">
        <v>895</v>
      </c>
      <c r="G744" s="25">
        <f t="shared" si="8"/>
        <v>1.6625103906899863E-3</v>
      </c>
    </row>
    <row r="745" spans="1:7">
      <c r="A745" s="54">
        <v>12.07</v>
      </c>
      <c r="B745" s="54">
        <v>12.39</v>
      </c>
      <c r="C745" s="54">
        <v>12.06</v>
      </c>
      <c r="D745" s="54">
        <v>12.3</v>
      </c>
      <c r="E745" s="53">
        <v>182333</v>
      </c>
      <c r="F745" s="53" t="s">
        <v>896</v>
      </c>
      <c r="G745" s="25">
        <f t="shared" si="8"/>
        <v>-1.8699186991869898E-2</v>
      </c>
    </row>
    <row r="746" spans="1:7">
      <c r="A746" s="54">
        <v>12.29</v>
      </c>
      <c r="B746" s="54">
        <v>12.56</v>
      </c>
      <c r="C746" s="54">
        <v>12.18</v>
      </c>
      <c r="D746" s="54">
        <v>12.45</v>
      </c>
      <c r="E746" s="53">
        <v>157124</v>
      </c>
      <c r="F746" s="53" t="s">
        <v>897</v>
      </c>
      <c r="G746" s="25">
        <f t="shared" si="8"/>
        <v>-1.2851405622489986E-2</v>
      </c>
    </row>
    <row r="747" spans="1:7">
      <c r="A747" s="54">
        <v>12.45</v>
      </c>
      <c r="B747" s="54">
        <v>12.54</v>
      </c>
      <c r="C747" s="54">
        <v>12.25</v>
      </c>
      <c r="D747" s="54">
        <v>12.35</v>
      </c>
      <c r="E747" s="53">
        <v>191930</v>
      </c>
      <c r="F747" s="53" t="s">
        <v>898</v>
      </c>
      <c r="G747" s="25">
        <f t="shared" si="8"/>
        <v>8.0971659919029104E-3</v>
      </c>
    </row>
    <row r="748" spans="1:7">
      <c r="A748" s="54">
        <v>12.25</v>
      </c>
      <c r="B748" s="54">
        <v>12.5</v>
      </c>
      <c r="C748" s="54">
        <v>12.25</v>
      </c>
      <c r="D748" s="54">
        <v>12.38</v>
      </c>
      <c r="E748" s="53">
        <v>168196</v>
      </c>
      <c r="F748" s="53" t="s">
        <v>899</v>
      </c>
      <c r="G748" s="25">
        <f t="shared" si="8"/>
        <v>-1.0500807754442731E-2</v>
      </c>
    </row>
    <row r="749" spans="1:7">
      <c r="A749" s="54">
        <v>12.32</v>
      </c>
      <c r="B749" s="54">
        <v>12.63</v>
      </c>
      <c r="C749" s="54">
        <v>12.21</v>
      </c>
      <c r="D749" s="54">
        <v>12.52</v>
      </c>
      <c r="E749" s="53">
        <v>610033</v>
      </c>
      <c r="F749" s="53" t="s">
        <v>900</v>
      </c>
      <c r="G749" s="25">
        <f t="shared" si="8"/>
        <v>-1.5974440894568676E-2</v>
      </c>
    </row>
    <row r="750" spans="1:7">
      <c r="A750" s="54">
        <v>12.59</v>
      </c>
      <c r="B750" s="54">
        <v>12.7</v>
      </c>
      <c r="C750" s="54">
        <v>12.145</v>
      </c>
      <c r="D750" s="54">
        <v>12.16</v>
      </c>
      <c r="E750" s="53">
        <v>163602</v>
      </c>
      <c r="F750" s="53" t="s">
        <v>901</v>
      </c>
      <c r="G750" s="25">
        <f t="shared" si="8"/>
        <v>3.5361842105263053E-2</v>
      </c>
    </row>
    <row r="751" spans="1:7">
      <c r="A751" s="54">
        <v>12.23</v>
      </c>
      <c r="B751" s="54">
        <v>12.41</v>
      </c>
      <c r="C751" s="54">
        <v>11.85</v>
      </c>
      <c r="D751" s="54">
        <v>12.11</v>
      </c>
      <c r="E751" s="53">
        <v>726182</v>
      </c>
      <c r="F751" s="53" t="s">
        <v>902</v>
      </c>
      <c r="G751" s="25">
        <f t="shared" si="8"/>
        <v>9.9091659785301989E-3</v>
      </c>
    </row>
    <row r="752" spans="1:7">
      <c r="A752" s="54">
        <v>12.33</v>
      </c>
      <c r="B752" s="54">
        <v>12.34</v>
      </c>
      <c r="C752" s="54">
        <v>11.84</v>
      </c>
      <c r="D752" s="54">
        <v>11.93</v>
      </c>
      <c r="E752" s="53">
        <v>379227</v>
      </c>
      <c r="F752" s="53" t="s">
        <v>903</v>
      </c>
      <c r="G752" s="25">
        <f t="shared" si="8"/>
        <v>3.3528918692372178E-2</v>
      </c>
    </row>
    <row r="753" spans="1:7">
      <c r="A753" s="54">
        <v>11.69</v>
      </c>
      <c r="B753" s="54">
        <v>12.24</v>
      </c>
      <c r="C753" s="54">
        <v>11.61</v>
      </c>
      <c r="D753" s="54">
        <v>11.67</v>
      </c>
      <c r="E753" s="53">
        <v>401186</v>
      </c>
      <c r="F753" s="53" t="s">
        <v>904</v>
      </c>
      <c r="G753" s="25">
        <f t="shared" si="8"/>
        <v>1.7137960582689349E-3</v>
      </c>
    </row>
    <row r="754" spans="1:7">
      <c r="A754" s="54">
        <v>11.79</v>
      </c>
      <c r="B754" s="54">
        <v>11.8</v>
      </c>
      <c r="C754" s="54">
        <v>11.33</v>
      </c>
      <c r="D754" s="54">
        <v>11.36</v>
      </c>
      <c r="E754" s="53">
        <v>336758</v>
      </c>
      <c r="F754" s="53" t="s">
        <v>905</v>
      </c>
      <c r="G754" s="25">
        <f t="shared" si="8"/>
        <v>3.785211267605626E-2</v>
      </c>
    </row>
    <row r="755" spans="1:7">
      <c r="A755" s="54">
        <v>11.4</v>
      </c>
      <c r="B755" s="54">
        <v>11.58</v>
      </c>
      <c r="C755" s="54">
        <v>11.36</v>
      </c>
      <c r="D755" s="54">
        <v>11.47</v>
      </c>
      <c r="E755" s="53">
        <v>888492</v>
      </c>
      <c r="F755" s="53" t="s">
        <v>906</v>
      </c>
      <c r="G755" s="25">
        <f t="shared" si="8"/>
        <v>-6.1028770706190727E-3</v>
      </c>
    </row>
    <row r="756" spans="1:7">
      <c r="A756" s="54">
        <v>11.45</v>
      </c>
      <c r="B756" s="54">
        <v>11.75</v>
      </c>
      <c r="C756" s="54">
        <v>11.35</v>
      </c>
      <c r="D756" s="54">
        <v>11.51</v>
      </c>
      <c r="E756" s="53">
        <v>479633</v>
      </c>
      <c r="F756" s="53" t="s">
        <v>907</v>
      </c>
      <c r="G756" s="25">
        <f t="shared" si="8"/>
        <v>-5.2128583840139742E-3</v>
      </c>
    </row>
    <row r="757" spans="1:7">
      <c r="A757" s="54">
        <v>11.49</v>
      </c>
      <c r="B757" s="54">
        <v>11.6624</v>
      </c>
      <c r="C757" s="54">
        <v>11.36</v>
      </c>
      <c r="D757" s="54">
        <v>11.6</v>
      </c>
      <c r="E757" s="53">
        <v>355099</v>
      </c>
      <c r="F757" s="53" t="s">
        <v>908</v>
      </c>
      <c r="G757" s="25">
        <f t="shared" si="8"/>
        <v>-9.4827586206895909E-3</v>
      </c>
    </row>
    <row r="758" spans="1:7">
      <c r="A758" s="54">
        <v>11.61</v>
      </c>
      <c r="B758" s="54">
        <v>12.52</v>
      </c>
      <c r="C758" s="54">
        <v>11.45</v>
      </c>
      <c r="D758" s="54">
        <v>12.47</v>
      </c>
      <c r="E758" s="53">
        <v>479867</v>
      </c>
      <c r="F758" s="53" t="s">
        <v>909</v>
      </c>
      <c r="G758" s="25">
        <f t="shared" si="8"/>
        <v>-6.8965517241379448E-2</v>
      </c>
    </row>
    <row r="759" spans="1:7">
      <c r="A759" s="54">
        <v>12.51</v>
      </c>
      <c r="B759" s="54">
        <v>12.675000000000001</v>
      </c>
      <c r="C759" s="54">
        <v>12.49</v>
      </c>
      <c r="D759" s="54">
        <v>12.67</v>
      </c>
      <c r="E759" s="53">
        <v>304270</v>
      </c>
      <c r="F759" s="53" t="s">
        <v>910</v>
      </c>
      <c r="G759" s="25">
        <f t="shared" si="8"/>
        <v>-1.2628255722178405E-2</v>
      </c>
    </row>
    <row r="760" spans="1:7">
      <c r="A760" s="54">
        <v>12.65</v>
      </c>
      <c r="B760" s="54">
        <v>12.68</v>
      </c>
      <c r="C760" s="54">
        <v>12.29</v>
      </c>
      <c r="D760" s="54">
        <v>12.41</v>
      </c>
      <c r="E760" s="53">
        <v>298757</v>
      </c>
      <c r="F760" s="53" t="s">
        <v>911</v>
      </c>
      <c r="G760" s="25">
        <f t="shared" si="8"/>
        <v>1.9339242546333679E-2</v>
      </c>
    </row>
    <row r="761" spans="1:7">
      <c r="A761" s="54">
        <v>12.52</v>
      </c>
      <c r="B761" s="54">
        <v>12.6625</v>
      </c>
      <c r="C761" s="54">
        <v>12.33</v>
      </c>
      <c r="D761" s="54">
        <v>12.4</v>
      </c>
      <c r="E761" s="53">
        <v>374955</v>
      </c>
      <c r="F761" s="53" t="s">
        <v>912</v>
      </c>
      <c r="G761" s="25">
        <f t="shared" si="8"/>
        <v>9.6774193548385679E-3</v>
      </c>
    </row>
    <row r="762" spans="1:7">
      <c r="A762" s="54">
        <v>12.38</v>
      </c>
      <c r="B762" s="54">
        <v>12.66</v>
      </c>
      <c r="C762" s="54">
        <v>12.38</v>
      </c>
      <c r="D762" s="54">
        <v>12.55</v>
      </c>
      <c r="E762" s="53">
        <v>352495</v>
      </c>
      <c r="F762" s="53" t="s">
        <v>913</v>
      </c>
      <c r="G762" s="25">
        <f t="shared" si="8"/>
        <v>-1.3545816733067761E-2</v>
      </c>
    </row>
    <row r="763" spans="1:7">
      <c r="A763" s="54">
        <v>12.47</v>
      </c>
      <c r="B763" s="54">
        <v>12.74</v>
      </c>
      <c r="C763" s="54">
        <v>12.47</v>
      </c>
      <c r="D763" s="54">
        <v>12.67</v>
      </c>
      <c r="E763" s="53">
        <v>264807</v>
      </c>
      <c r="F763" s="53" t="s">
        <v>914</v>
      </c>
      <c r="G763" s="25">
        <f t="shared" si="8"/>
        <v>-1.5785319652722896E-2</v>
      </c>
    </row>
    <row r="764" spans="1:7">
      <c r="A764" s="54">
        <v>12.56</v>
      </c>
      <c r="B764" s="54">
        <v>12.65</v>
      </c>
      <c r="C764" s="54">
        <v>12.33</v>
      </c>
      <c r="D764" s="54">
        <v>12.57</v>
      </c>
      <c r="E764" s="53">
        <v>200795</v>
      </c>
      <c r="F764" s="53" t="s">
        <v>915</v>
      </c>
      <c r="G764" s="25">
        <f t="shared" si="8"/>
        <v>-7.9554494828959488E-4</v>
      </c>
    </row>
    <row r="765" spans="1:7">
      <c r="A765" s="54">
        <v>12.67</v>
      </c>
      <c r="B765" s="54">
        <v>13.05</v>
      </c>
      <c r="C765" s="54">
        <v>12.62</v>
      </c>
      <c r="D765" s="54">
        <v>12.82</v>
      </c>
      <c r="E765" s="53">
        <v>155792</v>
      </c>
      <c r="F765" s="53" t="s">
        <v>916</v>
      </c>
      <c r="G765" s="25">
        <f t="shared" si="8"/>
        <v>-1.1700468018720822E-2</v>
      </c>
    </row>
    <row r="766" spans="1:7">
      <c r="A766" s="54">
        <v>12.8</v>
      </c>
      <c r="B766" s="54">
        <v>13.29</v>
      </c>
      <c r="C766" s="54">
        <v>12.72</v>
      </c>
      <c r="D766" s="54">
        <v>12.76</v>
      </c>
      <c r="E766" s="53">
        <v>197573</v>
      </c>
      <c r="F766" s="53" t="s">
        <v>917</v>
      </c>
      <c r="G766" s="25">
        <f t="shared" si="8"/>
        <v>3.1347962382446415E-3</v>
      </c>
    </row>
    <row r="767" spans="1:7">
      <c r="A767" s="54">
        <v>12.83</v>
      </c>
      <c r="B767" s="54">
        <v>13.27</v>
      </c>
      <c r="C767" s="54">
        <v>12.73</v>
      </c>
      <c r="D767" s="54">
        <v>13.19</v>
      </c>
      <c r="E767" s="53">
        <v>256080</v>
      </c>
      <c r="F767" s="53" t="s">
        <v>918</v>
      </c>
      <c r="G767" s="25">
        <f t="shared" ref="G767:G830" si="9">A767/D767-1</f>
        <v>-2.7293404094010598E-2</v>
      </c>
    </row>
    <row r="768" spans="1:7">
      <c r="A768" s="54">
        <v>13.26</v>
      </c>
      <c r="B768" s="54">
        <v>13.3</v>
      </c>
      <c r="C768" s="54">
        <v>12.98</v>
      </c>
      <c r="D768" s="54">
        <v>13.15</v>
      </c>
      <c r="E768" s="53">
        <v>144215</v>
      </c>
      <c r="F768" s="53" t="s">
        <v>919</v>
      </c>
      <c r="G768" s="25">
        <f t="shared" si="9"/>
        <v>8.365019011406849E-3</v>
      </c>
    </row>
    <row r="769" spans="1:7">
      <c r="A769" s="54">
        <v>13.06</v>
      </c>
      <c r="B769" s="54">
        <v>13.21</v>
      </c>
      <c r="C769" s="54">
        <v>12.64</v>
      </c>
      <c r="D769" s="54">
        <v>12.93</v>
      </c>
      <c r="E769" s="53">
        <v>163116</v>
      </c>
      <c r="F769" s="53" t="s">
        <v>920</v>
      </c>
      <c r="G769" s="25">
        <f t="shared" si="9"/>
        <v>1.0054137664346596E-2</v>
      </c>
    </row>
    <row r="770" spans="1:7">
      <c r="A770" s="54">
        <v>13.08</v>
      </c>
      <c r="B770" s="54">
        <v>13.16</v>
      </c>
      <c r="C770" s="54">
        <v>12.89</v>
      </c>
      <c r="D770" s="54">
        <v>13.02</v>
      </c>
      <c r="E770" s="53">
        <v>172811</v>
      </c>
      <c r="F770" s="53" t="s">
        <v>921</v>
      </c>
      <c r="G770" s="25">
        <f t="shared" si="9"/>
        <v>4.6082949308756671E-3</v>
      </c>
    </row>
    <row r="771" spans="1:7">
      <c r="A771" s="54">
        <v>13.06</v>
      </c>
      <c r="B771" s="54">
        <v>13.21</v>
      </c>
      <c r="C771" s="54">
        <v>12.82</v>
      </c>
      <c r="D771" s="54">
        <v>13.02</v>
      </c>
      <c r="E771" s="53">
        <v>175491</v>
      </c>
      <c r="F771" s="53" t="s">
        <v>922</v>
      </c>
      <c r="G771" s="25">
        <f t="shared" si="9"/>
        <v>3.0721966205837781E-3</v>
      </c>
    </row>
    <row r="772" spans="1:7">
      <c r="A772" s="54">
        <v>13.01</v>
      </c>
      <c r="B772" s="54">
        <v>13.08</v>
      </c>
      <c r="C772" s="54">
        <v>12.84</v>
      </c>
      <c r="D772" s="54">
        <v>13.01</v>
      </c>
      <c r="E772" s="53">
        <v>207996</v>
      </c>
      <c r="F772" s="53" t="s">
        <v>923</v>
      </c>
      <c r="G772" s="25">
        <f t="shared" si="9"/>
        <v>0</v>
      </c>
    </row>
    <row r="773" spans="1:7">
      <c r="A773" s="54">
        <v>12.96</v>
      </c>
      <c r="B773" s="54">
        <v>13.06</v>
      </c>
      <c r="C773" s="54">
        <v>12.76</v>
      </c>
      <c r="D773" s="54">
        <v>12.91</v>
      </c>
      <c r="E773" s="53">
        <v>136337</v>
      </c>
      <c r="F773" s="53" t="s">
        <v>924</v>
      </c>
      <c r="G773" s="25">
        <f t="shared" si="9"/>
        <v>3.8729666924866013E-3</v>
      </c>
    </row>
    <row r="774" spans="1:7">
      <c r="A774" s="54">
        <v>12.91</v>
      </c>
      <c r="B774" s="54">
        <v>13.12</v>
      </c>
      <c r="C774" s="54">
        <v>12.84</v>
      </c>
      <c r="D774" s="54">
        <v>13.05</v>
      </c>
      <c r="E774" s="53">
        <v>259200</v>
      </c>
      <c r="F774" s="53" t="s">
        <v>925</v>
      </c>
      <c r="G774" s="25">
        <f t="shared" si="9"/>
        <v>-1.072796934865905E-2</v>
      </c>
    </row>
    <row r="775" spans="1:7">
      <c r="A775" s="54">
        <v>12.95</v>
      </c>
      <c r="B775" s="54">
        <v>13.21</v>
      </c>
      <c r="C775" s="54">
        <v>12.89</v>
      </c>
      <c r="D775" s="54">
        <v>13.1</v>
      </c>
      <c r="E775" s="53">
        <v>150858</v>
      </c>
      <c r="F775" s="53" t="s">
        <v>926</v>
      </c>
      <c r="G775" s="25">
        <f t="shared" si="9"/>
        <v>-1.1450381679389388E-2</v>
      </c>
    </row>
    <row r="776" spans="1:7">
      <c r="A776" s="54">
        <v>13.17</v>
      </c>
      <c r="B776" s="54">
        <v>13.2</v>
      </c>
      <c r="C776" s="54">
        <v>12.775</v>
      </c>
      <c r="D776" s="54">
        <v>13</v>
      </c>
      <c r="E776" s="53">
        <v>267409</v>
      </c>
      <c r="F776" s="53" t="s">
        <v>927</v>
      </c>
      <c r="G776" s="25">
        <f t="shared" si="9"/>
        <v>1.3076923076922986E-2</v>
      </c>
    </row>
    <row r="777" spans="1:7">
      <c r="A777" s="54">
        <v>13</v>
      </c>
      <c r="B777" s="54">
        <v>13.56</v>
      </c>
      <c r="C777" s="54">
        <v>12.92</v>
      </c>
      <c r="D777" s="54">
        <v>13.42</v>
      </c>
      <c r="E777" s="53">
        <v>249714</v>
      </c>
      <c r="F777" s="53" t="s">
        <v>928</v>
      </c>
      <c r="G777" s="25">
        <f t="shared" si="9"/>
        <v>-3.1296572280178792E-2</v>
      </c>
    </row>
    <row r="778" spans="1:7">
      <c r="A778" s="54">
        <v>13.43</v>
      </c>
      <c r="B778" s="54">
        <v>13.52</v>
      </c>
      <c r="C778" s="54">
        <v>13.3</v>
      </c>
      <c r="D778" s="54">
        <v>13.39</v>
      </c>
      <c r="E778" s="53">
        <v>243008</v>
      </c>
      <c r="F778" s="53" t="s">
        <v>929</v>
      </c>
      <c r="G778" s="25">
        <f t="shared" si="9"/>
        <v>2.9873039581775895E-3</v>
      </c>
    </row>
    <row r="779" spans="1:7">
      <c r="A779" s="54">
        <v>13.45</v>
      </c>
      <c r="B779" s="54">
        <v>13.56</v>
      </c>
      <c r="C779" s="54">
        <v>12.975</v>
      </c>
      <c r="D779" s="54">
        <v>13.3</v>
      </c>
      <c r="E779" s="53">
        <v>306618</v>
      </c>
      <c r="F779" s="53" t="s">
        <v>930</v>
      </c>
      <c r="G779" s="25">
        <f t="shared" si="9"/>
        <v>1.1278195488721776E-2</v>
      </c>
    </row>
    <row r="780" spans="1:7">
      <c r="A780" s="54">
        <v>13.36</v>
      </c>
      <c r="B780" s="54">
        <v>13.44</v>
      </c>
      <c r="C780" s="54">
        <v>12.83</v>
      </c>
      <c r="D780" s="54">
        <v>13.01</v>
      </c>
      <c r="E780" s="53">
        <v>283031</v>
      </c>
      <c r="F780" s="53" t="s">
        <v>931</v>
      </c>
      <c r="G780" s="25">
        <f t="shared" si="9"/>
        <v>2.6902382782475032E-2</v>
      </c>
    </row>
    <row r="781" spans="1:7">
      <c r="A781" s="54">
        <v>13.02</v>
      </c>
      <c r="B781" s="54">
        <v>13.154999999999999</v>
      </c>
      <c r="C781" s="54">
        <v>12.86</v>
      </c>
      <c r="D781" s="54">
        <v>12.98</v>
      </c>
      <c r="E781" s="53">
        <v>239810</v>
      </c>
      <c r="F781" s="53" t="s">
        <v>932</v>
      </c>
      <c r="G781" s="25">
        <f t="shared" si="9"/>
        <v>3.0816640986131016E-3</v>
      </c>
    </row>
    <row r="782" spans="1:7">
      <c r="A782" s="54">
        <v>12.96</v>
      </c>
      <c r="B782" s="54">
        <v>13.03</v>
      </c>
      <c r="C782" s="54">
        <v>12.7</v>
      </c>
      <c r="D782" s="54">
        <v>12.93</v>
      </c>
      <c r="E782" s="53">
        <v>412127</v>
      </c>
      <c r="F782" s="53" t="s">
        <v>933</v>
      </c>
      <c r="G782" s="25">
        <f t="shared" si="9"/>
        <v>2.3201856148493682E-3</v>
      </c>
    </row>
    <row r="783" spans="1:7">
      <c r="A783" s="54">
        <v>12.99</v>
      </c>
      <c r="B783" s="54">
        <v>13.13</v>
      </c>
      <c r="C783" s="54">
        <v>12.654999999999999</v>
      </c>
      <c r="D783" s="54">
        <v>12.91</v>
      </c>
      <c r="E783" s="53">
        <v>231620</v>
      </c>
      <c r="F783" s="53" t="s">
        <v>934</v>
      </c>
      <c r="G783" s="25">
        <f t="shared" si="9"/>
        <v>6.1967467079782068E-3</v>
      </c>
    </row>
    <row r="784" spans="1:7">
      <c r="A784" s="54">
        <v>13</v>
      </c>
      <c r="B784" s="54">
        <v>13.28</v>
      </c>
      <c r="C784" s="54">
        <v>12.795</v>
      </c>
      <c r="D784" s="54">
        <v>12.88</v>
      </c>
      <c r="E784" s="53">
        <v>360008</v>
      </c>
      <c r="F784" s="53" t="s">
        <v>935</v>
      </c>
      <c r="G784" s="25">
        <f t="shared" si="9"/>
        <v>9.3167701863352548E-3</v>
      </c>
    </row>
    <row r="785" spans="1:7">
      <c r="A785" s="54">
        <v>12.86</v>
      </c>
      <c r="B785" s="54">
        <v>13.58</v>
      </c>
      <c r="C785" s="54">
        <v>12.8</v>
      </c>
      <c r="D785" s="54">
        <v>13.53</v>
      </c>
      <c r="E785" s="53">
        <v>422982</v>
      </c>
      <c r="F785" s="53" t="s">
        <v>936</v>
      </c>
      <c r="G785" s="25">
        <f t="shared" si="9"/>
        <v>-4.9519586104951996E-2</v>
      </c>
    </row>
    <row r="786" spans="1:7">
      <c r="A786" s="54">
        <v>13.59</v>
      </c>
      <c r="B786" s="54">
        <v>13.69</v>
      </c>
      <c r="C786" s="54">
        <v>13.33</v>
      </c>
      <c r="D786" s="54">
        <v>13.54</v>
      </c>
      <c r="E786" s="53">
        <v>289348</v>
      </c>
      <c r="F786" s="53" t="s">
        <v>937</v>
      </c>
      <c r="G786" s="25">
        <f t="shared" si="9"/>
        <v>3.6927621861153614E-3</v>
      </c>
    </row>
    <row r="787" spans="1:7">
      <c r="A787" s="54">
        <v>13.57</v>
      </c>
      <c r="B787" s="54">
        <v>13.59</v>
      </c>
      <c r="C787" s="54">
        <v>13.07</v>
      </c>
      <c r="D787" s="54">
        <v>13.31</v>
      </c>
      <c r="E787" s="53">
        <v>327673</v>
      </c>
      <c r="F787" s="53" t="s">
        <v>938</v>
      </c>
      <c r="G787" s="25">
        <f t="shared" si="9"/>
        <v>1.9534184823440937E-2</v>
      </c>
    </row>
    <row r="788" spans="1:7">
      <c r="A788" s="54">
        <v>13.32</v>
      </c>
      <c r="B788" s="54">
        <v>13.64</v>
      </c>
      <c r="C788" s="54">
        <v>13.21</v>
      </c>
      <c r="D788" s="54">
        <v>13.64</v>
      </c>
      <c r="E788" s="53">
        <v>237808</v>
      </c>
      <c r="F788" s="53" t="s">
        <v>939</v>
      </c>
      <c r="G788" s="25">
        <f t="shared" si="9"/>
        <v>-2.346041055718473E-2</v>
      </c>
    </row>
    <row r="789" spans="1:7">
      <c r="A789" s="54">
        <v>13.51</v>
      </c>
      <c r="B789" s="54">
        <v>13.53</v>
      </c>
      <c r="C789" s="54">
        <v>13.29</v>
      </c>
      <c r="D789" s="54">
        <v>13.46</v>
      </c>
      <c r="E789" s="53">
        <v>180791</v>
      </c>
      <c r="F789" s="53" t="s">
        <v>940</v>
      </c>
      <c r="G789" s="25">
        <f t="shared" si="9"/>
        <v>3.714710252600284E-3</v>
      </c>
    </row>
    <row r="790" spans="1:7">
      <c r="A790" s="54">
        <v>13.56</v>
      </c>
      <c r="B790" s="54">
        <v>14.08</v>
      </c>
      <c r="C790" s="54">
        <v>13.5</v>
      </c>
      <c r="D790" s="54">
        <v>13.84</v>
      </c>
      <c r="E790" s="53">
        <v>256969</v>
      </c>
      <c r="F790" s="53" t="s">
        <v>941</v>
      </c>
      <c r="G790" s="25">
        <f t="shared" si="9"/>
        <v>-2.0231213872832332E-2</v>
      </c>
    </row>
    <row r="791" spans="1:7">
      <c r="A791" s="54">
        <v>13.83</v>
      </c>
      <c r="B791" s="54">
        <v>13.88</v>
      </c>
      <c r="C791" s="54">
        <v>13.57</v>
      </c>
      <c r="D791" s="54">
        <v>13.69</v>
      </c>
      <c r="E791" s="53">
        <v>279045</v>
      </c>
      <c r="F791" s="53" t="s">
        <v>942</v>
      </c>
      <c r="G791" s="25">
        <f t="shared" si="9"/>
        <v>1.0226442658875179E-2</v>
      </c>
    </row>
    <row r="792" spans="1:7">
      <c r="A792" s="54">
        <v>13.78</v>
      </c>
      <c r="B792" s="54">
        <v>13.8</v>
      </c>
      <c r="C792" s="54">
        <v>13.51</v>
      </c>
      <c r="D792" s="54">
        <v>13.6</v>
      </c>
      <c r="E792" s="53">
        <v>319522</v>
      </c>
      <c r="F792" s="53" t="s">
        <v>943</v>
      </c>
      <c r="G792" s="25">
        <f t="shared" si="9"/>
        <v>1.3235294117647012E-2</v>
      </c>
    </row>
    <row r="793" spans="1:7">
      <c r="A793" s="54">
        <v>13.75</v>
      </c>
      <c r="B793" s="54">
        <v>13.79</v>
      </c>
      <c r="C793" s="54">
        <v>13.195</v>
      </c>
      <c r="D793" s="54">
        <v>13.34</v>
      </c>
      <c r="E793" s="53">
        <v>463800</v>
      </c>
      <c r="F793" s="53" t="s">
        <v>944</v>
      </c>
      <c r="G793" s="25">
        <f t="shared" si="9"/>
        <v>3.073463268365817E-2</v>
      </c>
    </row>
    <row r="794" spans="1:7">
      <c r="A794" s="54">
        <v>13.33</v>
      </c>
      <c r="B794" s="54">
        <v>13.49</v>
      </c>
      <c r="C794" s="54">
        <v>13.12</v>
      </c>
      <c r="D794" s="54">
        <v>13.47</v>
      </c>
      <c r="E794" s="53">
        <v>346095</v>
      </c>
      <c r="F794" s="53" t="s">
        <v>945</v>
      </c>
      <c r="G794" s="25">
        <f t="shared" si="9"/>
        <v>-1.0393466963622866E-2</v>
      </c>
    </row>
    <row r="795" spans="1:7">
      <c r="A795" s="54">
        <v>13.47</v>
      </c>
      <c r="B795" s="54">
        <v>14.8599</v>
      </c>
      <c r="C795" s="54">
        <v>13.45</v>
      </c>
      <c r="D795" s="54">
        <v>14.57</v>
      </c>
      <c r="E795" s="53">
        <v>537488</v>
      </c>
      <c r="F795" s="53" t="s">
        <v>946</v>
      </c>
      <c r="G795" s="25">
        <f t="shared" si="9"/>
        <v>-7.549759780370624E-2</v>
      </c>
    </row>
    <row r="796" spans="1:7">
      <c r="A796" s="54">
        <v>14.57</v>
      </c>
      <c r="B796" s="54">
        <v>15.11</v>
      </c>
      <c r="C796" s="54">
        <v>14.28</v>
      </c>
      <c r="D796" s="54">
        <v>15.11</v>
      </c>
      <c r="E796" s="53">
        <v>526945</v>
      </c>
      <c r="F796" s="53" t="s">
        <v>947</v>
      </c>
      <c r="G796" s="25">
        <f t="shared" si="9"/>
        <v>-3.573792190602243E-2</v>
      </c>
    </row>
    <row r="797" spans="1:7">
      <c r="A797" s="54">
        <v>15.17</v>
      </c>
      <c r="B797" s="54">
        <v>15.955</v>
      </c>
      <c r="C797" s="54">
        <v>15.08</v>
      </c>
      <c r="D797" s="54">
        <v>15.49</v>
      </c>
      <c r="E797" s="53">
        <v>491902</v>
      </c>
      <c r="F797" s="53" t="s">
        <v>948</v>
      </c>
      <c r="G797" s="25">
        <f t="shared" si="9"/>
        <v>-2.0658489347966436E-2</v>
      </c>
    </row>
    <row r="798" spans="1:7">
      <c r="A798" s="54">
        <v>15.48</v>
      </c>
      <c r="B798" s="54">
        <v>15.75</v>
      </c>
      <c r="C798" s="54">
        <v>14.3</v>
      </c>
      <c r="D798" s="54">
        <v>14.7</v>
      </c>
      <c r="E798" s="53">
        <v>1165331</v>
      </c>
      <c r="F798" s="53" t="s">
        <v>949</v>
      </c>
      <c r="G798" s="25">
        <f t="shared" si="9"/>
        <v>5.3061224489795888E-2</v>
      </c>
    </row>
    <row r="799" spans="1:7">
      <c r="A799" s="54">
        <v>13.61</v>
      </c>
      <c r="B799" s="54">
        <v>13.98</v>
      </c>
      <c r="C799" s="54">
        <v>13.43</v>
      </c>
      <c r="D799" s="54">
        <v>13.43</v>
      </c>
      <c r="E799" s="53">
        <v>542386</v>
      </c>
      <c r="F799" s="53" t="s">
        <v>950</v>
      </c>
      <c r="G799" s="25">
        <f t="shared" si="9"/>
        <v>1.3402829486224954E-2</v>
      </c>
    </row>
    <row r="800" spans="1:7">
      <c r="A800" s="54">
        <v>13.37</v>
      </c>
      <c r="B800" s="54">
        <v>14.19</v>
      </c>
      <c r="C800" s="54">
        <v>13.31</v>
      </c>
      <c r="D800" s="54">
        <v>13.95</v>
      </c>
      <c r="E800" s="53">
        <v>772694</v>
      </c>
      <c r="F800" s="53" t="s">
        <v>951</v>
      </c>
      <c r="G800" s="25">
        <f t="shared" si="9"/>
        <v>-4.1577060931899612E-2</v>
      </c>
    </row>
    <row r="801" spans="1:7">
      <c r="A801" s="54">
        <v>13.77</v>
      </c>
      <c r="B801" s="54">
        <v>13.81</v>
      </c>
      <c r="C801" s="54">
        <v>13.4</v>
      </c>
      <c r="D801" s="54">
        <v>13.56</v>
      </c>
      <c r="E801" s="53">
        <v>236521</v>
      </c>
      <c r="F801" s="53" t="s">
        <v>952</v>
      </c>
      <c r="G801" s="25">
        <f t="shared" si="9"/>
        <v>1.5486725663716783E-2</v>
      </c>
    </row>
    <row r="802" spans="1:7">
      <c r="A802" s="54">
        <v>13.66</v>
      </c>
      <c r="B802" s="54">
        <v>13.73</v>
      </c>
      <c r="C802" s="54">
        <v>13.18</v>
      </c>
      <c r="D802" s="54">
        <v>13.52</v>
      </c>
      <c r="E802" s="53">
        <v>274982</v>
      </c>
      <c r="F802" s="53" t="s">
        <v>953</v>
      </c>
      <c r="G802" s="25">
        <f t="shared" si="9"/>
        <v>1.0355029585798814E-2</v>
      </c>
    </row>
    <row r="803" spans="1:7">
      <c r="A803" s="54">
        <v>13.26</v>
      </c>
      <c r="B803" s="54">
        <v>13.58</v>
      </c>
      <c r="C803" s="54">
        <v>13.16</v>
      </c>
      <c r="D803" s="54">
        <v>13.28</v>
      </c>
      <c r="E803" s="53">
        <v>206551</v>
      </c>
      <c r="F803" s="53" t="s">
        <v>954</v>
      </c>
      <c r="G803" s="25">
        <f t="shared" si="9"/>
        <v>-1.5060240963855609E-3</v>
      </c>
    </row>
    <row r="804" spans="1:7">
      <c r="A804" s="54">
        <v>13.24</v>
      </c>
      <c r="B804" s="54">
        <v>13.32</v>
      </c>
      <c r="C804" s="54">
        <v>12.95</v>
      </c>
      <c r="D804" s="54">
        <v>13.27</v>
      </c>
      <c r="E804" s="53">
        <v>212497</v>
      </c>
      <c r="F804" s="53" t="s">
        <v>955</v>
      </c>
      <c r="G804" s="25">
        <f t="shared" si="9"/>
        <v>-2.2607385079125297E-3</v>
      </c>
    </row>
    <row r="805" spans="1:7">
      <c r="A805" s="54">
        <v>13.28</v>
      </c>
      <c r="B805" s="54">
        <v>13.6</v>
      </c>
      <c r="C805" s="54">
        <v>13.23</v>
      </c>
      <c r="D805" s="54">
        <v>13.57</v>
      </c>
      <c r="E805" s="53">
        <v>186286</v>
      </c>
      <c r="F805" s="53" t="s">
        <v>956</v>
      </c>
      <c r="G805" s="25">
        <f t="shared" si="9"/>
        <v>-2.1370670596905006E-2</v>
      </c>
    </row>
    <row r="806" spans="1:7">
      <c r="A806" s="54">
        <v>13.64</v>
      </c>
      <c r="B806" s="54">
        <v>13.65</v>
      </c>
      <c r="C806" s="54">
        <v>13.03</v>
      </c>
      <c r="D806" s="54">
        <v>13.41</v>
      </c>
      <c r="E806" s="53">
        <v>267022</v>
      </c>
      <c r="F806" s="53" t="s">
        <v>957</v>
      </c>
      <c r="G806" s="25">
        <f t="shared" si="9"/>
        <v>1.7151379567486913E-2</v>
      </c>
    </row>
    <row r="807" spans="1:7">
      <c r="A807" s="54">
        <v>13.41</v>
      </c>
      <c r="B807" s="54">
        <v>13.54</v>
      </c>
      <c r="C807" s="54">
        <v>12.92</v>
      </c>
      <c r="D807" s="54">
        <v>13.04</v>
      </c>
      <c r="E807" s="53">
        <v>344620</v>
      </c>
      <c r="F807" s="53" t="s">
        <v>958</v>
      </c>
      <c r="G807" s="25">
        <f t="shared" si="9"/>
        <v>2.8374233128834359E-2</v>
      </c>
    </row>
    <row r="808" spans="1:7">
      <c r="A808" s="54">
        <v>12.95</v>
      </c>
      <c r="B808" s="54">
        <v>13</v>
      </c>
      <c r="C808" s="54">
        <v>12.57</v>
      </c>
      <c r="D808" s="54">
        <v>12.7</v>
      </c>
      <c r="E808" s="53">
        <v>395683</v>
      </c>
      <c r="F808" s="53" t="s">
        <v>959</v>
      </c>
      <c r="G808" s="25">
        <f t="shared" si="9"/>
        <v>1.9685039370078705E-2</v>
      </c>
    </row>
    <row r="809" spans="1:7">
      <c r="A809" s="54">
        <v>12.74</v>
      </c>
      <c r="B809" s="54">
        <v>12.74</v>
      </c>
      <c r="C809" s="54">
        <v>12.01</v>
      </c>
      <c r="D809" s="54">
        <v>12.42</v>
      </c>
      <c r="E809" s="53">
        <v>341449</v>
      </c>
      <c r="F809" s="53" t="s">
        <v>960</v>
      </c>
      <c r="G809" s="25">
        <f t="shared" si="9"/>
        <v>2.5764895330112836E-2</v>
      </c>
    </row>
    <row r="810" spans="1:7">
      <c r="A810" s="54">
        <v>12.28</v>
      </c>
      <c r="B810" s="54">
        <v>12.43</v>
      </c>
      <c r="C810" s="54">
        <v>12.03</v>
      </c>
      <c r="D810" s="54">
        <v>12.13</v>
      </c>
      <c r="E810" s="53">
        <v>2459009</v>
      </c>
      <c r="F810" s="53" t="s">
        <v>961</v>
      </c>
      <c r="G810" s="25">
        <f t="shared" si="9"/>
        <v>1.2366034624896827E-2</v>
      </c>
    </row>
    <row r="811" spans="1:7">
      <c r="A811" s="54">
        <v>12.12</v>
      </c>
      <c r="B811" s="54">
        <v>12.6</v>
      </c>
      <c r="C811" s="54">
        <v>12.09</v>
      </c>
      <c r="D811" s="54">
        <v>12.44</v>
      </c>
      <c r="E811" s="53">
        <v>719427</v>
      </c>
      <c r="F811" s="53" t="s">
        <v>962</v>
      </c>
      <c r="G811" s="25">
        <f t="shared" si="9"/>
        <v>-2.5723472668810365E-2</v>
      </c>
    </row>
    <row r="812" spans="1:7">
      <c r="A812" s="54">
        <v>12.57</v>
      </c>
      <c r="B812" s="54">
        <v>12.935</v>
      </c>
      <c r="C812" s="54">
        <v>12.46</v>
      </c>
      <c r="D812" s="54">
        <v>12.71</v>
      </c>
      <c r="E812" s="53">
        <v>297164</v>
      </c>
      <c r="F812" s="53" t="s">
        <v>963</v>
      </c>
      <c r="G812" s="25">
        <f t="shared" si="9"/>
        <v>-1.1014948859166096E-2</v>
      </c>
    </row>
    <row r="813" spans="1:7">
      <c r="A813" s="54">
        <v>12.71</v>
      </c>
      <c r="B813" s="54">
        <v>13.16</v>
      </c>
      <c r="C813" s="54">
        <v>12.62</v>
      </c>
      <c r="D813" s="54">
        <v>12.81</v>
      </c>
      <c r="E813" s="53">
        <v>422474</v>
      </c>
      <c r="F813" s="53" t="s">
        <v>964</v>
      </c>
      <c r="G813" s="25">
        <f t="shared" si="9"/>
        <v>-7.8064012490242085E-3</v>
      </c>
    </row>
    <row r="814" spans="1:7">
      <c r="A814" s="54">
        <v>12.53</v>
      </c>
      <c r="B814" s="54">
        <v>12.68</v>
      </c>
      <c r="C814" s="54">
        <v>12.27</v>
      </c>
      <c r="D814" s="54">
        <v>12.27</v>
      </c>
      <c r="E814" s="53">
        <v>379783</v>
      </c>
      <c r="F814" s="53" t="s">
        <v>965</v>
      </c>
      <c r="G814" s="25">
        <f t="shared" si="9"/>
        <v>2.1189894050529734E-2</v>
      </c>
    </row>
    <row r="815" spans="1:7">
      <c r="A815" s="54">
        <v>12.25</v>
      </c>
      <c r="B815" s="54">
        <v>12.5</v>
      </c>
      <c r="C815" s="54">
        <v>12.25</v>
      </c>
      <c r="D815" s="54">
        <v>12.29</v>
      </c>
      <c r="E815" s="53">
        <v>305727</v>
      </c>
      <c r="F815" s="53" t="s">
        <v>966</v>
      </c>
      <c r="G815" s="25">
        <f t="shared" si="9"/>
        <v>-3.2546786004881145E-3</v>
      </c>
    </row>
    <row r="816" spans="1:7">
      <c r="A816" s="54">
        <v>12.37</v>
      </c>
      <c r="B816" s="54">
        <v>12.47</v>
      </c>
      <c r="C816" s="54">
        <v>12.19</v>
      </c>
      <c r="D816" s="54">
        <v>12.19</v>
      </c>
      <c r="E816" s="53">
        <v>400672</v>
      </c>
      <c r="F816" s="53" t="s">
        <v>967</v>
      </c>
      <c r="G816" s="25">
        <f t="shared" si="9"/>
        <v>1.4766201804758072E-2</v>
      </c>
    </row>
    <row r="817" spans="1:7">
      <c r="A817" s="54">
        <v>12.13</v>
      </c>
      <c r="B817" s="54">
        <v>12.4</v>
      </c>
      <c r="C817" s="54">
        <v>12.01</v>
      </c>
      <c r="D817" s="54">
        <v>12.14</v>
      </c>
      <c r="E817" s="53">
        <v>601300</v>
      </c>
      <c r="F817" s="53" t="s">
        <v>968</v>
      </c>
      <c r="G817" s="25">
        <f t="shared" si="9"/>
        <v>-8.2372322899504358E-4</v>
      </c>
    </row>
    <row r="818" spans="1:7">
      <c r="A818" s="54">
        <v>12.16</v>
      </c>
      <c r="B818" s="54">
        <v>12.26</v>
      </c>
      <c r="C818" s="54">
        <v>11.71</v>
      </c>
      <c r="D818" s="54">
        <v>12.1</v>
      </c>
      <c r="E818" s="53">
        <v>603018</v>
      </c>
      <c r="F818" s="53" t="s">
        <v>969</v>
      </c>
      <c r="G818" s="25">
        <f t="shared" si="9"/>
        <v>4.9586776859504855E-3</v>
      </c>
    </row>
    <row r="819" spans="1:7">
      <c r="A819" s="54">
        <v>12.06</v>
      </c>
      <c r="B819" s="54">
        <v>12.25</v>
      </c>
      <c r="C819" s="54">
        <v>11.93</v>
      </c>
      <c r="D819" s="54">
        <v>12.11</v>
      </c>
      <c r="E819" s="53">
        <v>693840</v>
      </c>
      <c r="F819" s="53" t="s">
        <v>970</v>
      </c>
      <c r="G819" s="25">
        <f t="shared" si="9"/>
        <v>-4.1288191577207867E-3</v>
      </c>
    </row>
    <row r="820" spans="1:7">
      <c r="A820" s="54">
        <v>12.2</v>
      </c>
      <c r="B820" s="54">
        <v>13.095000000000001</v>
      </c>
      <c r="C820" s="54">
        <v>12</v>
      </c>
      <c r="D820" s="54">
        <v>12.56</v>
      </c>
      <c r="E820" s="53">
        <v>2826799</v>
      </c>
      <c r="F820" s="53" t="s">
        <v>971</v>
      </c>
      <c r="G820" s="25">
        <f t="shared" si="9"/>
        <v>-2.866242038216571E-2</v>
      </c>
    </row>
    <row r="821" spans="1:7">
      <c r="A821" s="54">
        <v>12.73</v>
      </c>
      <c r="B821" s="54">
        <v>13.68</v>
      </c>
      <c r="C821" s="54">
        <v>12.605</v>
      </c>
      <c r="D821" s="54">
        <v>13.04</v>
      </c>
      <c r="E821" s="53">
        <v>752882</v>
      </c>
      <c r="F821" s="53" t="s">
        <v>972</v>
      </c>
      <c r="G821" s="25">
        <f t="shared" si="9"/>
        <v>-2.3773006134969243E-2</v>
      </c>
    </row>
    <row r="822" spans="1:7">
      <c r="A822" s="54">
        <v>12.95</v>
      </c>
      <c r="B822" s="54">
        <v>13.06</v>
      </c>
      <c r="C822" s="54">
        <v>12.19</v>
      </c>
      <c r="D822" s="54">
        <v>12.58</v>
      </c>
      <c r="E822" s="53">
        <v>1035308</v>
      </c>
      <c r="F822" s="53" t="s">
        <v>973</v>
      </c>
      <c r="G822" s="25">
        <f t="shared" si="9"/>
        <v>2.9411764705882248E-2</v>
      </c>
    </row>
    <row r="823" spans="1:7">
      <c r="A823" s="54">
        <v>12.51</v>
      </c>
      <c r="B823" s="54">
        <v>12.824999999999999</v>
      </c>
      <c r="C823" s="54">
        <v>12.45</v>
      </c>
      <c r="D823" s="54">
        <v>12.57</v>
      </c>
      <c r="E823" s="53">
        <v>466085</v>
      </c>
      <c r="F823" s="53" t="s">
        <v>974</v>
      </c>
      <c r="G823" s="25">
        <f t="shared" si="9"/>
        <v>-4.7732696897374582E-3</v>
      </c>
    </row>
    <row r="824" spans="1:7">
      <c r="A824" s="54">
        <v>12.52</v>
      </c>
      <c r="B824" s="54">
        <v>13.67</v>
      </c>
      <c r="C824" s="54">
        <v>12.5</v>
      </c>
      <c r="D824" s="54">
        <v>13.46</v>
      </c>
      <c r="E824" s="53">
        <v>1528657</v>
      </c>
      <c r="F824" s="53" t="s">
        <v>975</v>
      </c>
      <c r="G824" s="25">
        <f t="shared" si="9"/>
        <v>-6.9836552748885672E-2</v>
      </c>
    </row>
    <row r="825" spans="1:7">
      <c r="A825" s="54">
        <v>13.69</v>
      </c>
      <c r="B825" s="54">
        <v>13.795</v>
      </c>
      <c r="C825" s="54">
        <v>13.5</v>
      </c>
      <c r="D825" s="54">
        <v>13.51</v>
      </c>
      <c r="E825" s="53">
        <v>88077</v>
      </c>
      <c r="F825" s="53" t="s">
        <v>976</v>
      </c>
      <c r="G825" s="25">
        <f t="shared" si="9"/>
        <v>1.3323464100666094E-2</v>
      </c>
    </row>
    <row r="826" spans="1:7">
      <c r="A826" s="54">
        <v>13.61</v>
      </c>
      <c r="B826" s="54">
        <v>14.64</v>
      </c>
      <c r="C826" s="54">
        <v>13.04</v>
      </c>
      <c r="D826" s="54">
        <v>14.64</v>
      </c>
      <c r="E826" s="53">
        <v>274719</v>
      </c>
      <c r="F826" s="53" t="s">
        <v>977</v>
      </c>
      <c r="G826" s="25">
        <f t="shared" si="9"/>
        <v>-7.0355191256830651E-2</v>
      </c>
    </row>
    <row r="827" spans="1:7">
      <c r="A827" s="54">
        <v>14.64</v>
      </c>
      <c r="B827" s="54">
        <v>14.73</v>
      </c>
      <c r="C827" s="54">
        <v>13.8</v>
      </c>
      <c r="D827" s="54">
        <v>14.3</v>
      </c>
      <c r="E827" s="53">
        <v>217741</v>
      </c>
      <c r="F827" s="53" t="s">
        <v>978</v>
      </c>
      <c r="G827" s="25">
        <f t="shared" si="9"/>
        <v>2.3776223776223793E-2</v>
      </c>
    </row>
    <row r="828" spans="1:7">
      <c r="A828" s="54">
        <v>14.36</v>
      </c>
      <c r="B828" s="54">
        <v>14.6</v>
      </c>
      <c r="C828" s="54">
        <v>13.89</v>
      </c>
      <c r="D828" s="54">
        <v>14.15</v>
      </c>
      <c r="E828" s="53">
        <v>219869</v>
      </c>
      <c r="F828" s="53" t="s">
        <v>979</v>
      </c>
      <c r="G828" s="25">
        <f t="shared" si="9"/>
        <v>1.4840989399293125E-2</v>
      </c>
    </row>
    <row r="829" spans="1:7">
      <c r="A829" s="54">
        <v>14.1</v>
      </c>
      <c r="B829" s="54">
        <v>14.41</v>
      </c>
      <c r="C829" s="54">
        <v>13.755000000000001</v>
      </c>
      <c r="D829" s="54">
        <v>14.13</v>
      </c>
      <c r="E829" s="53">
        <v>224013</v>
      </c>
      <c r="F829" s="53" t="s">
        <v>980</v>
      </c>
      <c r="G829" s="25">
        <f t="shared" si="9"/>
        <v>-2.1231422505308961E-3</v>
      </c>
    </row>
    <row r="830" spans="1:7">
      <c r="A830" s="54">
        <v>13.81</v>
      </c>
      <c r="B830" s="54">
        <v>14.03</v>
      </c>
      <c r="C830" s="54">
        <v>13.7</v>
      </c>
      <c r="D830" s="54">
        <v>13.91</v>
      </c>
      <c r="E830" s="53">
        <v>193453</v>
      </c>
      <c r="F830" s="53" t="s">
        <v>981</v>
      </c>
      <c r="G830" s="25">
        <f t="shared" si="9"/>
        <v>-7.1890726096333069E-3</v>
      </c>
    </row>
    <row r="831" spans="1:7">
      <c r="A831" s="54">
        <v>13.96</v>
      </c>
      <c r="B831" s="54">
        <v>14.13</v>
      </c>
      <c r="C831" s="54">
        <v>13.48</v>
      </c>
      <c r="D831" s="54">
        <v>13.86</v>
      </c>
      <c r="E831" s="53">
        <v>292577</v>
      </c>
      <c r="F831" s="53" t="s">
        <v>982</v>
      </c>
      <c r="G831" s="25">
        <f t="shared" ref="G831:G894" si="10">A831/D831-1</f>
        <v>7.2150072150072297E-3</v>
      </c>
    </row>
    <row r="832" spans="1:7">
      <c r="A832" s="54">
        <v>13.82</v>
      </c>
      <c r="B832" s="54">
        <v>14.04</v>
      </c>
      <c r="C832" s="54">
        <v>13.23</v>
      </c>
      <c r="D832" s="54">
        <v>13.8</v>
      </c>
      <c r="E832" s="53">
        <v>652867</v>
      </c>
      <c r="F832" s="53" t="s">
        <v>983</v>
      </c>
      <c r="G832" s="25">
        <f t="shared" si="10"/>
        <v>1.4492753623187582E-3</v>
      </c>
    </row>
    <row r="833" spans="1:7">
      <c r="A833" s="54">
        <v>13.55</v>
      </c>
      <c r="B833" s="54">
        <v>13.92</v>
      </c>
      <c r="C833" s="54">
        <v>13.13</v>
      </c>
      <c r="D833" s="54">
        <v>13.69</v>
      </c>
      <c r="E833" s="53">
        <v>800815</v>
      </c>
      <c r="F833" s="53" t="s">
        <v>984</v>
      </c>
      <c r="G833" s="25">
        <f t="shared" si="10"/>
        <v>-1.0226442658874957E-2</v>
      </c>
    </row>
    <row r="834" spans="1:7">
      <c r="A834" s="54">
        <v>13.73</v>
      </c>
      <c r="B834" s="54">
        <v>14.59</v>
      </c>
      <c r="C834" s="54">
        <v>13.67</v>
      </c>
      <c r="D834" s="54">
        <v>14.36</v>
      </c>
      <c r="E834" s="53">
        <v>2128543</v>
      </c>
      <c r="F834" s="53" t="s">
        <v>985</v>
      </c>
      <c r="G834" s="25">
        <f t="shared" si="10"/>
        <v>-4.3871866295264517E-2</v>
      </c>
    </row>
    <row r="835" spans="1:7">
      <c r="A835" s="54">
        <v>14.4</v>
      </c>
      <c r="B835" s="54">
        <v>14.97</v>
      </c>
      <c r="C835" s="54">
        <v>14.3</v>
      </c>
      <c r="D835" s="54">
        <v>14.65</v>
      </c>
      <c r="E835" s="53">
        <v>473903</v>
      </c>
      <c r="F835" s="53" t="s">
        <v>986</v>
      </c>
      <c r="G835" s="25">
        <f t="shared" si="10"/>
        <v>-1.7064846416382284E-2</v>
      </c>
    </row>
    <row r="836" spans="1:7">
      <c r="A836" s="54">
        <v>14.06</v>
      </c>
      <c r="B836" s="54">
        <v>14.34</v>
      </c>
      <c r="C836" s="54">
        <v>13.97</v>
      </c>
      <c r="D836" s="54">
        <v>14.34</v>
      </c>
      <c r="E836" s="53">
        <v>195442</v>
      </c>
      <c r="F836" s="53" t="s">
        <v>987</v>
      </c>
      <c r="G836" s="25">
        <f t="shared" si="10"/>
        <v>-1.9525801952580135E-2</v>
      </c>
    </row>
    <row r="837" spans="1:7">
      <c r="A837" s="54">
        <v>14.32</v>
      </c>
      <c r="B837" s="54">
        <v>14.635</v>
      </c>
      <c r="C837" s="54">
        <v>14.06</v>
      </c>
      <c r="D837" s="54">
        <v>14.5</v>
      </c>
      <c r="E837" s="53">
        <v>235816</v>
      </c>
      <c r="F837" s="53" t="s">
        <v>988</v>
      </c>
      <c r="G837" s="25">
        <f t="shared" si="10"/>
        <v>-1.2413793103448256E-2</v>
      </c>
    </row>
    <row r="838" spans="1:7">
      <c r="A838" s="54">
        <v>14.5</v>
      </c>
      <c r="B838" s="54">
        <v>14.545</v>
      </c>
      <c r="C838" s="54">
        <v>13.96</v>
      </c>
      <c r="D838" s="54">
        <v>14.18</v>
      </c>
      <c r="E838" s="53">
        <v>270871</v>
      </c>
      <c r="F838" s="53" t="s">
        <v>989</v>
      </c>
      <c r="G838" s="25">
        <f t="shared" si="10"/>
        <v>2.2566995768688258E-2</v>
      </c>
    </row>
    <row r="839" spans="1:7">
      <c r="A839" s="54">
        <v>14.05</v>
      </c>
      <c r="B839" s="54">
        <v>14.08</v>
      </c>
      <c r="C839" s="54">
        <v>13.43</v>
      </c>
      <c r="D839" s="54">
        <v>13.76</v>
      </c>
      <c r="E839" s="53">
        <v>298679</v>
      </c>
      <c r="F839" s="53" t="s">
        <v>990</v>
      </c>
      <c r="G839" s="25">
        <f t="shared" si="10"/>
        <v>2.107558139534893E-2</v>
      </c>
    </row>
    <row r="840" spans="1:7">
      <c r="A840" s="54">
        <v>13.53</v>
      </c>
      <c r="B840" s="54">
        <v>14.3</v>
      </c>
      <c r="C840" s="54">
        <v>13.494999999999999</v>
      </c>
      <c r="D840" s="54">
        <v>13.78</v>
      </c>
      <c r="E840" s="53">
        <v>413765</v>
      </c>
      <c r="F840" s="53" t="s">
        <v>991</v>
      </c>
      <c r="G840" s="25">
        <f t="shared" si="10"/>
        <v>-1.8142235123367212E-2</v>
      </c>
    </row>
    <row r="841" spans="1:7">
      <c r="A841" s="54">
        <v>13.92</v>
      </c>
      <c r="B841" s="54">
        <v>14.97</v>
      </c>
      <c r="C841" s="54">
        <v>13.85</v>
      </c>
      <c r="D841" s="54">
        <v>13.85</v>
      </c>
      <c r="E841" s="53">
        <v>667813</v>
      </c>
      <c r="F841" s="53" t="s">
        <v>992</v>
      </c>
      <c r="G841" s="25">
        <f t="shared" si="10"/>
        <v>5.0541516245488083E-3</v>
      </c>
    </row>
    <row r="842" spans="1:7">
      <c r="A842" s="54">
        <v>14.08</v>
      </c>
      <c r="B842" s="54">
        <v>14.324999999999999</v>
      </c>
      <c r="C842" s="54">
        <v>13.88</v>
      </c>
      <c r="D842" s="54">
        <v>14.18</v>
      </c>
      <c r="E842" s="53">
        <v>204422</v>
      </c>
      <c r="F842" s="53" t="s">
        <v>993</v>
      </c>
      <c r="G842" s="25">
        <f t="shared" si="10"/>
        <v>-7.0521861777150807E-3</v>
      </c>
    </row>
    <row r="843" spans="1:7">
      <c r="A843" s="54">
        <v>14.09</v>
      </c>
      <c r="B843" s="54">
        <v>14.18</v>
      </c>
      <c r="C843" s="54">
        <v>13.31</v>
      </c>
      <c r="D843" s="54">
        <v>13.41</v>
      </c>
      <c r="E843" s="53">
        <v>443615</v>
      </c>
      <c r="F843" s="53" t="s">
        <v>994</v>
      </c>
      <c r="G843" s="25">
        <f t="shared" si="10"/>
        <v>5.0708426547352747E-2</v>
      </c>
    </row>
    <row r="844" spans="1:7">
      <c r="A844" s="54">
        <v>13.49</v>
      </c>
      <c r="B844" s="54">
        <v>13.664999999999999</v>
      </c>
      <c r="C844" s="54">
        <v>13.015000000000001</v>
      </c>
      <c r="D844" s="54">
        <v>13.28</v>
      </c>
      <c r="E844" s="53">
        <v>345716</v>
      </c>
      <c r="F844" s="53" t="s">
        <v>995</v>
      </c>
      <c r="G844" s="25">
        <f t="shared" si="10"/>
        <v>1.5813253012048278E-2</v>
      </c>
    </row>
    <row r="845" spans="1:7">
      <c r="A845" s="54">
        <v>13.33</v>
      </c>
      <c r="B845" s="54">
        <v>13.83</v>
      </c>
      <c r="C845" s="54">
        <v>13.255000000000001</v>
      </c>
      <c r="D845" s="54">
        <v>13.55</v>
      </c>
      <c r="E845" s="53">
        <v>379079</v>
      </c>
      <c r="F845" s="53" t="s">
        <v>996</v>
      </c>
      <c r="G845" s="25">
        <f t="shared" si="10"/>
        <v>-1.6236162361623618E-2</v>
      </c>
    </row>
    <row r="846" spans="1:7">
      <c r="A846" s="54">
        <v>13.39</v>
      </c>
      <c r="B846" s="54">
        <v>13.88</v>
      </c>
      <c r="C846" s="54">
        <v>13.03</v>
      </c>
      <c r="D846" s="54">
        <v>13.28</v>
      </c>
      <c r="E846" s="53">
        <v>1957216</v>
      </c>
      <c r="F846" s="53" t="s">
        <v>997</v>
      </c>
      <c r="G846" s="25">
        <f t="shared" si="10"/>
        <v>8.2831325301204739E-3</v>
      </c>
    </row>
    <row r="847" spans="1:7">
      <c r="A847" s="54">
        <v>13.16</v>
      </c>
      <c r="B847" s="54">
        <v>13.49</v>
      </c>
      <c r="C847" s="54">
        <v>13.04</v>
      </c>
      <c r="D847" s="54">
        <v>13.07</v>
      </c>
      <c r="E847" s="53">
        <v>268555</v>
      </c>
      <c r="F847" s="53" t="s">
        <v>998</v>
      </c>
      <c r="G847" s="25">
        <f t="shared" si="10"/>
        <v>6.8859984697779986E-3</v>
      </c>
    </row>
    <row r="848" spans="1:7">
      <c r="A848" s="54">
        <v>13.07</v>
      </c>
      <c r="B848" s="54">
        <v>13.39</v>
      </c>
      <c r="C848" s="54">
        <v>12.87</v>
      </c>
      <c r="D848" s="54">
        <v>13.34</v>
      </c>
      <c r="E848" s="53">
        <v>309075</v>
      </c>
      <c r="F848" s="53" t="s">
        <v>999</v>
      </c>
      <c r="G848" s="25">
        <f t="shared" si="10"/>
        <v>-2.0239880059970017E-2</v>
      </c>
    </row>
    <row r="849" spans="1:7">
      <c r="A849" s="54">
        <v>13.31</v>
      </c>
      <c r="B849" s="54">
        <v>13.635</v>
      </c>
      <c r="C849" s="54">
        <v>12.99</v>
      </c>
      <c r="D849" s="54">
        <v>13.62</v>
      </c>
      <c r="E849" s="53">
        <v>379939</v>
      </c>
      <c r="F849" s="53" t="s">
        <v>1000</v>
      </c>
      <c r="G849" s="25">
        <f t="shared" si="10"/>
        <v>-2.2760646108663685E-2</v>
      </c>
    </row>
    <row r="850" spans="1:7">
      <c r="A850" s="54">
        <v>13.57</v>
      </c>
      <c r="B850" s="54">
        <v>13.9</v>
      </c>
      <c r="C850" s="54">
        <v>13.38</v>
      </c>
      <c r="D850" s="54">
        <v>13.66</v>
      </c>
      <c r="E850" s="53">
        <v>208521</v>
      </c>
      <c r="F850" s="53" t="s">
        <v>1001</v>
      </c>
      <c r="G850" s="25">
        <f t="shared" si="10"/>
        <v>-6.5885797950219205E-3</v>
      </c>
    </row>
    <row r="851" spans="1:7">
      <c r="A851" s="54">
        <v>13.81</v>
      </c>
      <c r="B851" s="54">
        <v>14.3</v>
      </c>
      <c r="C851" s="54">
        <v>13.72</v>
      </c>
      <c r="D851" s="54">
        <v>14.3</v>
      </c>
      <c r="E851" s="53">
        <v>267231</v>
      </c>
      <c r="F851" s="53" t="s">
        <v>1002</v>
      </c>
      <c r="G851" s="25">
        <f t="shared" si="10"/>
        <v>-3.4265734265734316E-2</v>
      </c>
    </row>
    <row r="852" spans="1:7">
      <c r="A852" s="54">
        <v>14.56</v>
      </c>
      <c r="B852" s="54">
        <v>15.57</v>
      </c>
      <c r="C852" s="54">
        <v>14.41</v>
      </c>
      <c r="D852" s="54">
        <v>15.4</v>
      </c>
      <c r="E852" s="53">
        <v>484378</v>
      </c>
      <c r="F852" s="53" t="s">
        <v>1003</v>
      </c>
      <c r="G852" s="25">
        <f t="shared" si="10"/>
        <v>-5.4545454545454564E-2</v>
      </c>
    </row>
    <row r="853" spans="1:7">
      <c r="A853" s="54">
        <v>14.86</v>
      </c>
      <c r="B853" s="54">
        <v>15.27</v>
      </c>
      <c r="C853" s="54">
        <v>14.465</v>
      </c>
      <c r="D853" s="54">
        <v>14.63</v>
      </c>
      <c r="E853" s="53">
        <v>370953</v>
      </c>
      <c r="F853" s="53" t="s">
        <v>1004</v>
      </c>
      <c r="G853" s="25">
        <f t="shared" si="10"/>
        <v>1.5721120984278691E-2</v>
      </c>
    </row>
    <row r="854" spans="1:7">
      <c r="A854" s="54">
        <v>14.38</v>
      </c>
      <c r="B854" s="54">
        <v>15.06</v>
      </c>
      <c r="C854" s="54">
        <v>14.32</v>
      </c>
      <c r="D854" s="54">
        <v>14.88</v>
      </c>
      <c r="E854" s="53">
        <v>297722</v>
      </c>
      <c r="F854" s="53" t="s">
        <v>1005</v>
      </c>
      <c r="G854" s="25">
        <f t="shared" si="10"/>
        <v>-3.3602150537634379E-2</v>
      </c>
    </row>
    <row r="855" spans="1:7">
      <c r="A855" s="54">
        <v>14.79</v>
      </c>
      <c r="B855" s="54">
        <v>15.27</v>
      </c>
      <c r="C855" s="54">
        <v>13.87</v>
      </c>
      <c r="D855" s="54">
        <v>14.02</v>
      </c>
      <c r="E855" s="53">
        <v>529529</v>
      </c>
      <c r="F855" s="53" t="s">
        <v>1006</v>
      </c>
      <c r="G855" s="25">
        <f t="shared" si="10"/>
        <v>5.4921540656205359E-2</v>
      </c>
    </row>
    <row r="856" spans="1:7">
      <c r="A856" s="54">
        <v>14.05</v>
      </c>
      <c r="B856" s="54">
        <v>14.145</v>
      </c>
      <c r="C856" s="54">
        <v>13.38</v>
      </c>
      <c r="D856" s="54">
        <v>13.67</v>
      </c>
      <c r="E856" s="53">
        <v>616799</v>
      </c>
      <c r="F856" s="53" t="s">
        <v>1007</v>
      </c>
      <c r="G856" s="25">
        <f t="shared" si="10"/>
        <v>2.7798098024871987E-2</v>
      </c>
    </row>
    <row r="857" spans="1:7">
      <c r="A857" s="54">
        <v>13.37</v>
      </c>
      <c r="B857" s="54">
        <v>14.25</v>
      </c>
      <c r="C857" s="54">
        <v>13.08</v>
      </c>
      <c r="D857" s="54">
        <v>14.24</v>
      </c>
      <c r="E857" s="53">
        <v>692385</v>
      </c>
      <c r="F857" s="53" t="s">
        <v>1008</v>
      </c>
      <c r="G857" s="25">
        <f t="shared" si="10"/>
        <v>-6.1095505617977608E-2</v>
      </c>
    </row>
    <row r="858" spans="1:7">
      <c r="A858" s="54">
        <v>14.38</v>
      </c>
      <c r="B858" s="54">
        <v>15.87</v>
      </c>
      <c r="C858" s="54">
        <v>14</v>
      </c>
      <c r="D858" s="54">
        <v>15.87</v>
      </c>
      <c r="E858" s="53">
        <v>1032143</v>
      </c>
      <c r="F858" s="53" t="s">
        <v>1009</v>
      </c>
      <c r="G858" s="25">
        <f t="shared" si="10"/>
        <v>-9.3887838689350911E-2</v>
      </c>
    </row>
    <row r="859" spans="1:7">
      <c r="A859" s="54">
        <v>15.9</v>
      </c>
      <c r="B859" s="54">
        <v>17.239999999999998</v>
      </c>
      <c r="C859" s="54">
        <v>14.53</v>
      </c>
      <c r="D859" s="54">
        <v>17.16</v>
      </c>
      <c r="E859" s="53">
        <v>1653116</v>
      </c>
      <c r="F859" s="53" t="s">
        <v>1010</v>
      </c>
      <c r="G859" s="25">
        <f t="shared" si="10"/>
        <v>-7.3426573426573438E-2</v>
      </c>
    </row>
    <row r="860" spans="1:7">
      <c r="A860" s="54">
        <v>17.34</v>
      </c>
      <c r="B860" s="54">
        <v>19.54</v>
      </c>
      <c r="C860" s="54">
        <v>17.14</v>
      </c>
      <c r="D860" s="54">
        <v>19.100000000000001</v>
      </c>
      <c r="E860" s="53">
        <v>1110297</v>
      </c>
      <c r="F860" s="53" t="s">
        <v>1011</v>
      </c>
      <c r="G860" s="25">
        <f t="shared" si="10"/>
        <v>-9.2146596858638796E-2</v>
      </c>
    </row>
    <row r="861" spans="1:7">
      <c r="A861" s="54">
        <v>21.55</v>
      </c>
      <c r="B861" s="54">
        <v>21.8</v>
      </c>
      <c r="C861" s="54">
        <v>21.03</v>
      </c>
      <c r="D861" s="54">
        <v>21.11</v>
      </c>
      <c r="E861" s="53">
        <v>574379</v>
      </c>
      <c r="F861" s="53" t="s">
        <v>1012</v>
      </c>
      <c r="G861" s="25">
        <f t="shared" si="10"/>
        <v>2.0843202273803874E-2</v>
      </c>
    </row>
    <row r="862" spans="1:7">
      <c r="A862" s="54">
        <v>21.45</v>
      </c>
      <c r="B862" s="54">
        <v>21.88</v>
      </c>
      <c r="C862" s="54">
        <v>20.71</v>
      </c>
      <c r="D862" s="54">
        <v>20.71</v>
      </c>
      <c r="E862" s="53">
        <v>564852</v>
      </c>
      <c r="F862" s="53" t="s">
        <v>1013</v>
      </c>
      <c r="G862" s="25">
        <f t="shared" si="10"/>
        <v>3.573153066151602E-2</v>
      </c>
    </row>
    <row r="863" spans="1:7">
      <c r="A863" s="54">
        <v>20.41</v>
      </c>
      <c r="B863" s="54">
        <v>20.9</v>
      </c>
      <c r="C863" s="54">
        <v>20.32</v>
      </c>
      <c r="D863" s="54">
        <v>20.73</v>
      </c>
      <c r="E863" s="53">
        <v>411303</v>
      </c>
      <c r="F863" s="53" t="s">
        <v>1014</v>
      </c>
      <c r="G863" s="25">
        <f t="shared" si="10"/>
        <v>-1.5436565364206456E-2</v>
      </c>
    </row>
    <row r="864" spans="1:7">
      <c r="A864" s="54">
        <v>20.46</v>
      </c>
      <c r="B864" s="54">
        <v>21.48</v>
      </c>
      <c r="C864" s="54">
        <v>20.440000000000001</v>
      </c>
      <c r="D864" s="54">
        <v>20.68</v>
      </c>
      <c r="E864" s="53">
        <v>230142</v>
      </c>
      <c r="F864" s="53" t="s">
        <v>1015</v>
      </c>
      <c r="G864" s="25">
        <f t="shared" si="10"/>
        <v>-1.0638297872340385E-2</v>
      </c>
    </row>
    <row r="865" spans="1:7">
      <c r="A865" s="54">
        <v>20.57</v>
      </c>
      <c r="B865" s="54">
        <v>20.61</v>
      </c>
      <c r="C865" s="54">
        <v>19.829999999999998</v>
      </c>
      <c r="D865" s="54">
        <v>20.14</v>
      </c>
      <c r="E865" s="53">
        <v>130290</v>
      </c>
      <c r="F865" s="53" t="s">
        <v>1016</v>
      </c>
      <c r="G865" s="25">
        <f t="shared" si="10"/>
        <v>2.1350546176762686E-2</v>
      </c>
    </row>
    <row r="866" spans="1:7">
      <c r="A866" s="54">
        <v>20.399999999999999</v>
      </c>
      <c r="B866" s="54">
        <v>20.535</v>
      </c>
      <c r="C866" s="54">
        <v>19.739999999999998</v>
      </c>
      <c r="D866" s="54">
        <v>19.899999999999999</v>
      </c>
      <c r="E866" s="53">
        <v>227549</v>
      </c>
      <c r="F866" s="53" t="s">
        <v>1017</v>
      </c>
      <c r="G866" s="25">
        <f t="shared" si="10"/>
        <v>2.5125628140703515E-2</v>
      </c>
    </row>
    <row r="867" spans="1:7">
      <c r="A867" s="54">
        <v>19.86</v>
      </c>
      <c r="B867" s="54">
        <v>20.440000000000001</v>
      </c>
      <c r="C867" s="54">
        <v>19.739999999999998</v>
      </c>
      <c r="D867" s="54">
        <v>20.03</v>
      </c>
      <c r="E867" s="53">
        <v>131220</v>
      </c>
      <c r="F867" s="53" t="s">
        <v>1018</v>
      </c>
      <c r="G867" s="25">
        <f t="shared" si="10"/>
        <v>-8.4872690963555542E-3</v>
      </c>
    </row>
    <row r="868" spans="1:7">
      <c r="A868" s="54">
        <v>20.04</v>
      </c>
      <c r="B868" s="54">
        <v>20.434999999999999</v>
      </c>
      <c r="C868" s="54">
        <v>19.77</v>
      </c>
      <c r="D868" s="54">
        <v>19.84</v>
      </c>
      <c r="E868" s="53">
        <v>147199</v>
      </c>
      <c r="F868" s="53" t="s">
        <v>1019</v>
      </c>
      <c r="G868" s="25">
        <f t="shared" si="10"/>
        <v>1.0080645161290258E-2</v>
      </c>
    </row>
    <row r="869" spans="1:7">
      <c r="A869" s="54">
        <v>19.88</v>
      </c>
      <c r="B869" s="54">
        <v>20.28</v>
      </c>
      <c r="C869" s="54">
        <v>19.7</v>
      </c>
      <c r="D869" s="54">
        <v>20.23</v>
      </c>
      <c r="E869" s="53">
        <v>132351</v>
      </c>
      <c r="F869" s="53" t="s">
        <v>1020</v>
      </c>
      <c r="G869" s="25">
        <f t="shared" si="10"/>
        <v>-1.730103806228378E-2</v>
      </c>
    </row>
    <row r="870" spans="1:7">
      <c r="A870" s="54">
        <v>20.45</v>
      </c>
      <c r="B870" s="54">
        <v>20.71</v>
      </c>
      <c r="C870" s="54">
        <v>20</v>
      </c>
      <c r="D870" s="54">
        <v>20.71</v>
      </c>
      <c r="E870" s="53">
        <v>155594</v>
      </c>
      <c r="F870" s="53" t="s">
        <v>1021</v>
      </c>
      <c r="G870" s="25">
        <f t="shared" si="10"/>
        <v>-1.2554321583776007E-2</v>
      </c>
    </row>
    <row r="871" spans="1:7">
      <c r="A871" s="54">
        <v>20.79</v>
      </c>
      <c r="B871" s="54">
        <v>21.52</v>
      </c>
      <c r="C871" s="54">
        <v>20.61</v>
      </c>
      <c r="D871" s="54">
        <v>21.32</v>
      </c>
      <c r="E871" s="53">
        <v>107246</v>
      </c>
      <c r="F871" s="53" t="s">
        <v>1022</v>
      </c>
      <c r="G871" s="25">
        <f t="shared" si="10"/>
        <v>-2.4859287054409096E-2</v>
      </c>
    </row>
    <row r="872" spans="1:7">
      <c r="A872" s="54">
        <v>21.16</v>
      </c>
      <c r="B872" s="54">
        <v>21.52</v>
      </c>
      <c r="C872" s="54">
        <v>20.864999999999998</v>
      </c>
      <c r="D872" s="54">
        <v>21.52</v>
      </c>
      <c r="E872" s="53">
        <v>103720</v>
      </c>
      <c r="F872" s="53" t="s">
        <v>1023</v>
      </c>
      <c r="G872" s="25">
        <f t="shared" si="10"/>
        <v>-1.6728624535315983E-2</v>
      </c>
    </row>
    <row r="873" spans="1:7">
      <c r="A873" s="54">
        <v>21.6</v>
      </c>
      <c r="B873" s="54">
        <v>21.82</v>
      </c>
      <c r="C873" s="54">
        <v>21.13</v>
      </c>
      <c r="D873" s="54">
        <v>21.76</v>
      </c>
      <c r="E873" s="53">
        <v>142176</v>
      </c>
      <c r="F873" s="53" t="s">
        <v>1024</v>
      </c>
      <c r="G873" s="25">
        <f t="shared" si="10"/>
        <v>-7.3529411764705621E-3</v>
      </c>
    </row>
    <row r="874" spans="1:7">
      <c r="A874" s="54">
        <v>21.87</v>
      </c>
      <c r="B874" s="54">
        <v>22</v>
      </c>
      <c r="C874" s="54">
        <v>21.114999999999998</v>
      </c>
      <c r="D874" s="54">
        <v>21.93</v>
      </c>
      <c r="E874" s="53">
        <v>283094</v>
      </c>
      <c r="F874" s="53" t="s">
        <v>1025</v>
      </c>
      <c r="G874" s="25">
        <f t="shared" si="10"/>
        <v>-2.7359781121750748E-3</v>
      </c>
    </row>
    <row r="875" spans="1:7">
      <c r="A875" s="54">
        <v>22.04</v>
      </c>
      <c r="B875" s="54">
        <v>22.24</v>
      </c>
      <c r="C875" s="54">
        <v>21.69</v>
      </c>
      <c r="D875" s="54">
        <v>22.05</v>
      </c>
      <c r="E875" s="53">
        <v>154936</v>
      </c>
      <c r="F875" s="53" t="s">
        <v>1026</v>
      </c>
      <c r="G875" s="25">
        <f t="shared" si="10"/>
        <v>-4.5351473922905505E-4</v>
      </c>
    </row>
    <row r="876" spans="1:7">
      <c r="A876" s="54">
        <v>21.86</v>
      </c>
      <c r="B876" s="54">
        <v>22.16</v>
      </c>
      <c r="C876" s="54">
        <v>21.633500000000002</v>
      </c>
      <c r="D876" s="54">
        <v>21.66</v>
      </c>
      <c r="E876" s="53">
        <v>106400</v>
      </c>
      <c r="F876" s="53" t="s">
        <v>1027</v>
      </c>
      <c r="G876" s="25">
        <f t="shared" si="10"/>
        <v>9.2336103416434945E-3</v>
      </c>
    </row>
    <row r="877" spans="1:7">
      <c r="A877" s="54">
        <v>21.89</v>
      </c>
      <c r="B877" s="54">
        <v>22.54</v>
      </c>
      <c r="C877" s="54">
        <v>21.83</v>
      </c>
      <c r="D877" s="54">
        <v>22.3</v>
      </c>
      <c r="E877" s="53">
        <v>126851</v>
      </c>
      <c r="F877" s="53" t="s">
        <v>1028</v>
      </c>
      <c r="G877" s="25">
        <f t="shared" si="10"/>
        <v>-1.8385650224215233E-2</v>
      </c>
    </row>
    <row r="878" spans="1:7">
      <c r="A878" s="54">
        <v>22.81</v>
      </c>
      <c r="B878" s="54">
        <v>22.88</v>
      </c>
      <c r="C878" s="54">
        <v>22.15</v>
      </c>
      <c r="D878" s="54">
        <v>22.42</v>
      </c>
      <c r="E878" s="53">
        <v>108689</v>
      </c>
      <c r="F878" s="53" t="s">
        <v>1029</v>
      </c>
      <c r="G878" s="25">
        <f t="shared" si="10"/>
        <v>1.7395182872435244E-2</v>
      </c>
    </row>
    <row r="879" spans="1:7">
      <c r="A879" s="54">
        <v>22.62</v>
      </c>
      <c r="B879" s="54">
        <v>22.68</v>
      </c>
      <c r="C879" s="54">
        <v>22.26</v>
      </c>
      <c r="D879" s="54">
        <v>22.36</v>
      </c>
      <c r="E879" s="53">
        <v>112515</v>
      </c>
      <c r="F879" s="53" t="s">
        <v>1030</v>
      </c>
      <c r="G879" s="25">
        <f t="shared" si="10"/>
        <v>1.1627906976744207E-2</v>
      </c>
    </row>
    <row r="880" spans="1:7">
      <c r="A880" s="54">
        <v>22.22</v>
      </c>
      <c r="B880" s="54">
        <v>22.61</v>
      </c>
      <c r="C880" s="54">
        <v>21.44</v>
      </c>
      <c r="D880" s="54">
        <v>21.7</v>
      </c>
      <c r="E880" s="53">
        <v>133389</v>
      </c>
      <c r="F880" s="53" t="s">
        <v>1031</v>
      </c>
      <c r="G880" s="25">
        <f t="shared" si="10"/>
        <v>2.3963133640553025E-2</v>
      </c>
    </row>
    <row r="881" spans="1:7">
      <c r="A881" s="54">
        <v>21.82</v>
      </c>
      <c r="B881" s="54">
        <v>21.88</v>
      </c>
      <c r="C881" s="54">
        <v>20.59</v>
      </c>
      <c r="D881" s="54">
        <v>21.07</v>
      </c>
      <c r="E881" s="53">
        <v>144415</v>
      </c>
      <c r="F881" s="53" t="s">
        <v>1032</v>
      </c>
      <c r="G881" s="25">
        <f t="shared" si="10"/>
        <v>3.5595633602278021E-2</v>
      </c>
    </row>
    <row r="882" spans="1:7">
      <c r="A882" s="54">
        <v>21.08</v>
      </c>
      <c r="B882" s="54">
        <v>21.202999999999999</v>
      </c>
      <c r="C882" s="54">
        <v>20.61</v>
      </c>
      <c r="D882" s="54">
        <v>20.87</v>
      </c>
      <c r="E882" s="53">
        <v>124687</v>
      </c>
      <c r="F882" s="53" t="s">
        <v>1033</v>
      </c>
      <c r="G882" s="25">
        <f t="shared" si="10"/>
        <v>1.0062290368950455E-2</v>
      </c>
    </row>
    <row r="883" spans="1:7">
      <c r="A883" s="54">
        <v>20.85</v>
      </c>
      <c r="B883" s="54">
        <v>21.66</v>
      </c>
      <c r="C883" s="54">
        <v>20.69</v>
      </c>
      <c r="D883" s="54">
        <v>21.58</v>
      </c>
      <c r="E883" s="53">
        <v>131522</v>
      </c>
      <c r="F883" s="53" t="s">
        <v>1034</v>
      </c>
      <c r="G883" s="25">
        <f t="shared" si="10"/>
        <v>-3.3827618164967377E-2</v>
      </c>
    </row>
    <row r="884" spans="1:7">
      <c r="A884" s="54">
        <v>21.54</v>
      </c>
      <c r="B884" s="54">
        <v>22.28</v>
      </c>
      <c r="C884" s="54">
        <v>21.34</v>
      </c>
      <c r="D884" s="54">
        <v>22.03</v>
      </c>
      <c r="E884" s="53">
        <v>151190</v>
      </c>
      <c r="F884" s="53" t="s">
        <v>1035</v>
      </c>
      <c r="G884" s="25">
        <f t="shared" si="10"/>
        <v>-2.2242396731729563E-2</v>
      </c>
    </row>
    <row r="885" spans="1:7">
      <c r="A885" s="54">
        <v>22.14</v>
      </c>
      <c r="B885" s="54">
        <v>22.37</v>
      </c>
      <c r="C885" s="54">
        <v>21.475000000000001</v>
      </c>
      <c r="D885" s="54">
        <v>21.97</v>
      </c>
      <c r="E885" s="53">
        <v>127701</v>
      </c>
      <c r="F885" s="53" t="s">
        <v>1036</v>
      </c>
      <c r="G885" s="25">
        <f t="shared" si="10"/>
        <v>7.7378243058716656E-3</v>
      </c>
    </row>
    <row r="886" spans="1:7">
      <c r="A886" s="54">
        <v>21.8</v>
      </c>
      <c r="B886" s="54">
        <v>22.195</v>
      </c>
      <c r="C886" s="54">
        <v>21.68</v>
      </c>
      <c r="D886" s="54">
        <v>22.03</v>
      </c>
      <c r="E886" s="53">
        <v>93828</v>
      </c>
      <c r="F886" s="53" t="s">
        <v>1037</v>
      </c>
      <c r="G886" s="25">
        <f t="shared" si="10"/>
        <v>-1.0440308669995457E-2</v>
      </c>
    </row>
    <row r="887" spans="1:7">
      <c r="A887" s="54">
        <v>22.08</v>
      </c>
      <c r="B887" s="54">
        <v>22.54</v>
      </c>
      <c r="C887" s="54">
        <v>22.06</v>
      </c>
      <c r="D887" s="54">
        <v>22.5</v>
      </c>
      <c r="E887" s="53">
        <v>59937</v>
      </c>
      <c r="F887" s="53" t="s">
        <v>1038</v>
      </c>
      <c r="G887" s="25">
        <f t="shared" si="10"/>
        <v>-1.866666666666672E-2</v>
      </c>
    </row>
    <row r="888" spans="1:7">
      <c r="A888" s="54">
        <v>22.64</v>
      </c>
      <c r="B888" s="54">
        <v>23.32</v>
      </c>
      <c r="C888" s="54">
        <v>22.495000000000001</v>
      </c>
      <c r="D888" s="54">
        <v>23.27</v>
      </c>
      <c r="E888" s="53">
        <v>103868</v>
      </c>
      <c r="F888" s="53" t="s">
        <v>1039</v>
      </c>
      <c r="G888" s="25">
        <f t="shared" si="10"/>
        <v>-2.7073485174043843E-2</v>
      </c>
    </row>
    <row r="889" spans="1:7">
      <c r="A889" s="54">
        <v>23.29</v>
      </c>
      <c r="B889" s="54">
        <v>23.29</v>
      </c>
      <c r="C889" s="54">
        <v>22.56</v>
      </c>
      <c r="D889" s="54">
        <v>22.69</v>
      </c>
      <c r="E889" s="53">
        <v>74250</v>
      </c>
      <c r="F889" s="53" t="s">
        <v>1040</v>
      </c>
      <c r="G889" s="25">
        <f t="shared" si="10"/>
        <v>2.6443367122080064E-2</v>
      </c>
    </row>
    <row r="890" spans="1:7">
      <c r="A890" s="54">
        <v>22.67</v>
      </c>
      <c r="B890" s="54">
        <v>22.98</v>
      </c>
      <c r="C890" s="54">
        <v>22.49</v>
      </c>
      <c r="D890" s="54">
        <v>22.76</v>
      </c>
      <c r="E890" s="53">
        <v>62518</v>
      </c>
      <c r="F890" s="53" t="s">
        <v>1041</v>
      </c>
      <c r="G890" s="25">
        <f t="shared" si="10"/>
        <v>-3.9543057996485054E-3</v>
      </c>
    </row>
    <row r="891" spans="1:7">
      <c r="A891" s="54">
        <v>22.61</v>
      </c>
      <c r="B891" s="54">
        <v>22.86</v>
      </c>
      <c r="C891" s="54">
        <v>22.364999999999998</v>
      </c>
      <c r="D891" s="54">
        <v>22.78</v>
      </c>
      <c r="E891" s="53">
        <v>185164</v>
      </c>
      <c r="F891" s="53" t="s">
        <v>1042</v>
      </c>
      <c r="G891" s="25">
        <f t="shared" si="10"/>
        <v>-7.4626865671642006E-3</v>
      </c>
    </row>
    <row r="892" spans="1:7">
      <c r="A892" s="54">
        <v>22.8</v>
      </c>
      <c r="B892" s="54">
        <v>23.574999999999999</v>
      </c>
      <c r="C892" s="54">
        <v>22.74</v>
      </c>
      <c r="D892" s="54">
        <v>23.16</v>
      </c>
      <c r="E892" s="53">
        <v>120006</v>
      </c>
      <c r="F892" s="53" t="s">
        <v>1043</v>
      </c>
      <c r="G892" s="25">
        <f t="shared" si="10"/>
        <v>-1.5544041450777146E-2</v>
      </c>
    </row>
    <row r="893" spans="1:7">
      <c r="A893" s="54">
        <v>23.36</v>
      </c>
      <c r="B893" s="54">
        <v>23.54</v>
      </c>
      <c r="C893" s="54">
        <v>23.2</v>
      </c>
      <c r="D893" s="54">
        <v>23.54</v>
      </c>
      <c r="E893" s="53">
        <v>108964</v>
      </c>
      <c r="F893" s="53" t="s">
        <v>1044</v>
      </c>
      <c r="G893" s="25">
        <f t="shared" si="10"/>
        <v>-7.6465590484281476E-3</v>
      </c>
    </row>
    <row r="894" spans="1:7">
      <c r="A894" s="54">
        <v>23.62</v>
      </c>
      <c r="B894" s="54">
        <v>24.29</v>
      </c>
      <c r="C894" s="54">
        <v>23.32</v>
      </c>
      <c r="D894" s="54">
        <v>24.09</v>
      </c>
      <c r="E894" s="53">
        <v>154506</v>
      </c>
      <c r="F894" s="53" t="s">
        <v>1045</v>
      </c>
      <c r="G894" s="25">
        <f t="shared" si="10"/>
        <v>-1.9510170195101706E-2</v>
      </c>
    </row>
    <row r="895" spans="1:7">
      <c r="A895" s="54">
        <v>23.9</v>
      </c>
      <c r="B895" s="54">
        <v>24.08</v>
      </c>
      <c r="C895" s="54">
        <v>23.62</v>
      </c>
      <c r="D895" s="54">
        <v>23.62</v>
      </c>
      <c r="E895" s="53">
        <v>257849</v>
      </c>
      <c r="F895" s="53" t="s">
        <v>1046</v>
      </c>
      <c r="G895" s="25">
        <f t="shared" ref="G895:G958" si="11">A895/D895-1</f>
        <v>1.1854360711261558E-2</v>
      </c>
    </row>
    <row r="896" spans="1:7">
      <c r="A896" s="54">
        <v>23.88</v>
      </c>
      <c r="B896" s="54">
        <v>24.38</v>
      </c>
      <c r="C896" s="54">
        <v>23.7</v>
      </c>
      <c r="D896" s="54">
        <v>24.38</v>
      </c>
      <c r="E896" s="53">
        <v>94164</v>
      </c>
      <c r="F896" s="53" t="s">
        <v>1047</v>
      </c>
      <c r="G896" s="25">
        <f t="shared" si="11"/>
        <v>-2.0508613617719496E-2</v>
      </c>
    </row>
    <row r="897" spans="1:7">
      <c r="A897" s="54">
        <v>24.28</v>
      </c>
      <c r="B897" s="54">
        <v>24.57</v>
      </c>
      <c r="C897" s="54">
        <v>23.930099999999999</v>
      </c>
      <c r="D897" s="54">
        <v>24.06</v>
      </c>
      <c r="E897" s="53">
        <v>209378</v>
      </c>
      <c r="F897" s="53" t="s">
        <v>1048</v>
      </c>
      <c r="G897" s="25">
        <f t="shared" si="11"/>
        <v>9.1438071487948136E-3</v>
      </c>
    </row>
    <row r="898" spans="1:7">
      <c r="A898" s="54">
        <v>24.23</v>
      </c>
      <c r="B898" s="54">
        <v>24.48</v>
      </c>
      <c r="C898" s="54">
        <v>24.08</v>
      </c>
      <c r="D898" s="54">
        <v>24.48</v>
      </c>
      <c r="E898" s="53">
        <v>321532</v>
      </c>
      <c r="F898" s="53" t="s">
        <v>1049</v>
      </c>
      <c r="G898" s="25">
        <f t="shared" si="11"/>
        <v>-1.0212418300653558E-2</v>
      </c>
    </row>
    <row r="899" spans="1:7">
      <c r="A899" s="54">
        <v>24.3</v>
      </c>
      <c r="B899" s="54">
        <v>24.74</v>
      </c>
      <c r="C899" s="54">
        <v>24.155000000000001</v>
      </c>
      <c r="D899" s="54">
        <v>24.16</v>
      </c>
      <c r="E899" s="53">
        <v>127841</v>
      </c>
      <c r="F899" s="53" t="s">
        <v>1050</v>
      </c>
      <c r="G899" s="25">
        <f t="shared" si="11"/>
        <v>5.7947019867550242E-3</v>
      </c>
    </row>
    <row r="900" spans="1:7">
      <c r="A900" s="54">
        <v>24.14</v>
      </c>
      <c r="B900" s="54">
        <v>24.24</v>
      </c>
      <c r="C900" s="54">
        <v>23.78</v>
      </c>
      <c r="D900" s="54">
        <v>23.87</v>
      </c>
      <c r="E900" s="53">
        <v>125422</v>
      </c>
      <c r="F900" s="53" t="s">
        <v>1051</v>
      </c>
      <c r="G900" s="25">
        <f t="shared" si="11"/>
        <v>1.1311269375785526E-2</v>
      </c>
    </row>
    <row r="901" spans="1:7">
      <c r="A901" s="54">
        <v>23.45</v>
      </c>
      <c r="B901" s="54">
        <v>23.92</v>
      </c>
      <c r="C901" s="54">
        <v>23.27</v>
      </c>
      <c r="D901" s="54">
        <v>23.62</v>
      </c>
      <c r="E901" s="53">
        <v>108467</v>
      </c>
      <c r="F901" s="53" t="s">
        <v>1052</v>
      </c>
      <c r="G901" s="25">
        <f t="shared" si="11"/>
        <v>-7.1972904318374775E-3</v>
      </c>
    </row>
    <row r="902" spans="1:7">
      <c r="A902" s="54">
        <v>23.7</v>
      </c>
      <c r="B902" s="54">
        <v>24.03</v>
      </c>
      <c r="C902" s="54">
        <v>23.54</v>
      </c>
      <c r="D902" s="54">
        <v>23.93</v>
      </c>
      <c r="E902" s="53">
        <v>134612</v>
      </c>
      <c r="F902" s="53" t="s">
        <v>1053</v>
      </c>
      <c r="G902" s="25">
        <f t="shared" si="11"/>
        <v>-9.6113664855829173E-3</v>
      </c>
    </row>
    <row r="903" spans="1:7">
      <c r="A903" s="54">
        <v>23.78</v>
      </c>
      <c r="B903" s="54">
        <v>23.79</v>
      </c>
      <c r="C903" s="54">
        <v>22.98</v>
      </c>
      <c r="D903" s="54">
        <v>23.14</v>
      </c>
      <c r="E903" s="53">
        <v>83622</v>
      </c>
      <c r="F903" s="53" t="s">
        <v>1054</v>
      </c>
      <c r="G903" s="25">
        <f t="shared" si="11"/>
        <v>2.7657735522904181E-2</v>
      </c>
    </row>
    <row r="904" spans="1:7">
      <c r="A904" s="54">
        <v>23.32</v>
      </c>
      <c r="B904" s="54">
        <v>23.63</v>
      </c>
      <c r="C904" s="54">
        <v>23.07</v>
      </c>
      <c r="D904" s="54">
        <v>23.47</v>
      </c>
      <c r="E904" s="53">
        <v>109412</v>
      </c>
      <c r="F904" s="53" t="s">
        <v>1055</v>
      </c>
      <c r="G904" s="25">
        <f t="shared" si="11"/>
        <v>-6.3911376224967675E-3</v>
      </c>
    </row>
    <row r="905" spans="1:7">
      <c r="A905" s="54">
        <v>23.56</v>
      </c>
      <c r="B905" s="54">
        <v>23.82</v>
      </c>
      <c r="C905" s="54">
        <v>23.07</v>
      </c>
      <c r="D905" s="54">
        <v>23.5</v>
      </c>
      <c r="E905" s="53">
        <v>329318</v>
      </c>
      <c r="F905" s="53" t="s">
        <v>1056</v>
      </c>
      <c r="G905" s="25">
        <f t="shared" si="11"/>
        <v>2.553191489361728E-3</v>
      </c>
    </row>
    <row r="906" spans="1:7">
      <c r="A906" s="54">
        <v>23.26</v>
      </c>
      <c r="B906" s="54">
        <v>23.52</v>
      </c>
      <c r="C906" s="54">
        <v>22.99</v>
      </c>
      <c r="D906" s="54">
        <v>23.3</v>
      </c>
      <c r="E906" s="53">
        <v>537257</v>
      </c>
      <c r="F906" s="53" t="s">
        <v>1057</v>
      </c>
      <c r="G906" s="25">
        <f t="shared" si="11"/>
        <v>-1.7167381974249052E-3</v>
      </c>
    </row>
    <row r="907" spans="1:7">
      <c r="A907" s="54">
        <v>23.3</v>
      </c>
      <c r="B907" s="54">
        <v>23.54</v>
      </c>
      <c r="C907" s="54">
        <v>22.56</v>
      </c>
      <c r="D907" s="54">
        <v>22.58</v>
      </c>
      <c r="E907" s="53">
        <v>166179</v>
      </c>
      <c r="F907" s="53" t="s">
        <v>1058</v>
      </c>
      <c r="G907" s="25">
        <f t="shared" si="11"/>
        <v>3.1886625332152363E-2</v>
      </c>
    </row>
    <row r="908" spans="1:7">
      <c r="A908" s="54">
        <v>22.69</v>
      </c>
      <c r="B908" s="54">
        <v>23.04</v>
      </c>
      <c r="C908" s="54">
        <v>22.390999999999998</v>
      </c>
      <c r="D908" s="54">
        <v>22.75</v>
      </c>
      <c r="E908" s="53">
        <v>114451</v>
      </c>
      <c r="F908" s="53" t="s">
        <v>1059</v>
      </c>
      <c r="G908" s="25">
        <f t="shared" si="11"/>
        <v>-2.6373626373625836E-3</v>
      </c>
    </row>
    <row r="909" spans="1:7">
      <c r="A909" s="54">
        <v>22.95</v>
      </c>
      <c r="B909" s="54">
        <v>22.98</v>
      </c>
      <c r="C909" s="54">
        <v>22.155000000000001</v>
      </c>
      <c r="D909" s="54">
        <v>22.45</v>
      </c>
      <c r="E909" s="53">
        <v>110436</v>
      </c>
      <c r="F909" s="53" t="s">
        <v>1060</v>
      </c>
      <c r="G909" s="25">
        <f t="shared" si="11"/>
        <v>2.2271714922049046E-2</v>
      </c>
    </row>
    <row r="910" spans="1:7">
      <c r="A910" s="54">
        <v>22.61</v>
      </c>
      <c r="B910" s="54">
        <v>22.785</v>
      </c>
      <c r="C910" s="54">
        <v>21.25</v>
      </c>
      <c r="D910" s="54">
        <v>22.37</v>
      </c>
      <c r="E910" s="53">
        <v>135977</v>
      </c>
      <c r="F910" s="53" t="s">
        <v>1061</v>
      </c>
      <c r="G910" s="25">
        <f t="shared" si="11"/>
        <v>1.072865444792126E-2</v>
      </c>
    </row>
    <row r="911" spans="1:7">
      <c r="A911" s="54">
        <v>22.3</v>
      </c>
      <c r="B911" s="54">
        <v>22.614999999999998</v>
      </c>
      <c r="C911" s="54">
        <v>22.06</v>
      </c>
      <c r="D911" s="54">
        <v>22.41</v>
      </c>
      <c r="E911" s="53">
        <v>104880</v>
      </c>
      <c r="F911" s="53" t="s">
        <v>1062</v>
      </c>
      <c r="G911" s="25">
        <f t="shared" si="11"/>
        <v>-4.9085229808121245E-3</v>
      </c>
    </row>
    <row r="912" spans="1:7">
      <c r="A912" s="54">
        <v>22.38</v>
      </c>
      <c r="B912" s="54">
        <v>22.54</v>
      </c>
      <c r="C912" s="54">
        <v>21.52</v>
      </c>
      <c r="D912" s="54">
        <v>21.74</v>
      </c>
      <c r="E912" s="53">
        <v>239571</v>
      </c>
      <c r="F912" s="53" t="s">
        <v>1063</v>
      </c>
      <c r="G912" s="25">
        <f t="shared" si="11"/>
        <v>2.9438822447102053E-2</v>
      </c>
    </row>
    <row r="913" spans="1:7">
      <c r="A913" s="54">
        <v>21.61</v>
      </c>
      <c r="B913" s="54">
        <v>22.24</v>
      </c>
      <c r="C913" s="54">
        <v>21.38</v>
      </c>
      <c r="D913" s="54">
        <v>21.89</v>
      </c>
      <c r="E913" s="53">
        <v>118645</v>
      </c>
      <c r="F913" s="53" t="s">
        <v>1064</v>
      </c>
      <c r="G913" s="25">
        <f t="shared" si="11"/>
        <v>-1.2791228871630977E-2</v>
      </c>
    </row>
    <row r="914" spans="1:7">
      <c r="A914" s="54">
        <v>22.1</v>
      </c>
      <c r="B914" s="54">
        <v>22.12</v>
      </c>
      <c r="C914" s="54">
        <v>21.48</v>
      </c>
      <c r="D914" s="54">
        <v>21.63</v>
      </c>
      <c r="E914" s="53">
        <v>128446</v>
      </c>
      <c r="F914" s="53" t="s">
        <v>1065</v>
      </c>
      <c r="G914" s="25">
        <f t="shared" si="11"/>
        <v>2.1729079981507304E-2</v>
      </c>
    </row>
    <row r="915" spans="1:7">
      <c r="A915" s="54">
        <v>21.53</v>
      </c>
      <c r="B915" s="54">
        <v>21.6</v>
      </c>
      <c r="C915" s="54">
        <v>20.9</v>
      </c>
      <c r="D915" s="54">
        <v>20.9</v>
      </c>
      <c r="E915" s="53">
        <v>176749</v>
      </c>
      <c r="F915" s="53" t="s">
        <v>1066</v>
      </c>
      <c r="G915" s="25">
        <f t="shared" si="11"/>
        <v>3.0143540669856694E-2</v>
      </c>
    </row>
    <row r="916" spans="1:7">
      <c r="A916" s="54">
        <v>21.12</v>
      </c>
      <c r="B916" s="54">
        <v>21.37</v>
      </c>
      <c r="C916" s="54">
        <v>20.71</v>
      </c>
      <c r="D916" s="54">
        <v>20.71</v>
      </c>
      <c r="E916" s="53">
        <v>196234</v>
      </c>
      <c r="F916" s="53" t="s">
        <v>1067</v>
      </c>
      <c r="G916" s="25">
        <f t="shared" si="11"/>
        <v>1.9797199420569678E-2</v>
      </c>
    </row>
    <row r="917" spans="1:7">
      <c r="A917" s="54">
        <v>20.79</v>
      </c>
      <c r="B917" s="54">
        <v>21.72</v>
      </c>
      <c r="C917" s="54">
        <v>20.734999999999999</v>
      </c>
      <c r="D917" s="54">
        <v>21.28</v>
      </c>
      <c r="E917" s="53">
        <v>117854</v>
      </c>
      <c r="F917" s="53" t="s">
        <v>1068</v>
      </c>
      <c r="G917" s="25">
        <f t="shared" si="11"/>
        <v>-2.3026315789473784E-2</v>
      </c>
    </row>
    <row r="918" spans="1:7">
      <c r="A918" s="54">
        <v>21.32</v>
      </c>
      <c r="B918" s="54">
        <v>21.52</v>
      </c>
      <c r="C918" s="54">
        <v>20.88</v>
      </c>
      <c r="D918" s="54">
        <v>21.21</v>
      </c>
      <c r="E918" s="53">
        <v>222262</v>
      </c>
      <c r="F918" s="53" t="s">
        <v>1069</v>
      </c>
      <c r="G918" s="25">
        <f t="shared" si="11"/>
        <v>5.1862329090051063E-3</v>
      </c>
    </row>
    <row r="919" spans="1:7">
      <c r="A919" s="54">
        <v>20.72</v>
      </c>
      <c r="B919" s="54">
        <v>20.75</v>
      </c>
      <c r="C919" s="54">
        <v>20.12</v>
      </c>
      <c r="D919" s="54">
        <v>20.75</v>
      </c>
      <c r="E919" s="53">
        <v>243501</v>
      </c>
      <c r="F919" s="53" t="s">
        <v>1070</v>
      </c>
      <c r="G919" s="25">
        <f t="shared" si="11"/>
        <v>-1.4457831325301873E-3</v>
      </c>
    </row>
    <row r="920" spans="1:7">
      <c r="A920" s="54">
        <v>20.92</v>
      </c>
      <c r="B920" s="54">
        <v>21.35</v>
      </c>
      <c r="C920" s="54">
        <v>19.524999999999999</v>
      </c>
      <c r="D920" s="54">
        <v>19.73</v>
      </c>
      <c r="E920" s="53">
        <v>419973</v>
      </c>
      <c r="F920" s="53" t="s">
        <v>1071</v>
      </c>
      <c r="G920" s="25">
        <f t="shared" si="11"/>
        <v>6.0314242270653962E-2</v>
      </c>
    </row>
    <row r="921" spans="1:7">
      <c r="A921" s="54">
        <v>20.02</v>
      </c>
      <c r="B921" s="54">
        <v>20.54</v>
      </c>
      <c r="C921" s="54">
        <v>19.559999999999999</v>
      </c>
      <c r="D921" s="54">
        <v>19.84</v>
      </c>
      <c r="E921" s="53">
        <v>747930</v>
      </c>
      <c r="F921" s="53" t="s">
        <v>1072</v>
      </c>
      <c r="G921" s="25">
        <f t="shared" si="11"/>
        <v>9.0725806451612545E-3</v>
      </c>
    </row>
    <row r="922" spans="1:7">
      <c r="A922" s="54">
        <v>20.04</v>
      </c>
      <c r="B922" s="54">
        <v>20.440000000000001</v>
      </c>
      <c r="C922" s="54">
        <v>19.8</v>
      </c>
      <c r="D922" s="54">
        <v>20.37</v>
      </c>
      <c r="E922" s="53">
        <v>237314</v>
      </c>
      <c r="F922" s="53" t="s">
        <v>1073</v>
      </c>
      <c r="G922" s="25">
        <f t="shared" si="11"/>
        <v>-1.6200294550810068E-2</v>
      </c>
    </row>
    <row r="923" spans="1:7">
      <c r="A923" s="54">
        <v>20.420000000000002</v>
      </c>
      <c r="B923" s="54">
        <v>20.89</v>
      </c>
      <c r="C923" s="54">
        <v>20.335000000000001</v>
      </c>
      <c r="D923" s="54">
        <v>20.58</v>
      </c>
      <c r="E923" s="53">
        <v>128600</v>
      </c>
      <c r="F923" s="53" t="s">
        <v>1074</v>
      </c>
      <c r="G923" s="25">
        <f t="shared" si="11"/>
        <v>-7.774538386783103E-3</v>
      </c>
    </row>
    <row r="924" spans="1:7">
      <c r="A924" s="54">
        <v>20.54</v>
      </c>
      <c r="B924" s="54">
        <v>20.6</v>
      </c>
      <c r="C924" s="54">
        <v>19.649999999999999</v>
      </c>
      <c r="D924" s="54">
        <v>20.03</v>
      </c>
      <c r="E924" s="53">
        <v>308784</v>
      </c>
      <c r="F924" s="53" t="s">
        <v>1075</v>
      </c>
      <c r="G924" s="25">
        <f t="shared" si="11"/>
        <v>2.5461807289066218E-2</v>
      </c>
    </row>
    <row r="925" spans="1:7">
      <c r="A925" s="54">
        <v>19.8</v>
      </c>
      <c r="B925" s="54">
        <v>20.2</v>
      </c>
      <c r="C925" s="54">
        <v>19.36</v>
      </c>
      <c r="D925" s="54">
        <v>19.7</v>
      </c>
      <c r="E925" s="53">
        <v>236861</v>
      </c>
      <c r="F925" s="53" t="s">
        <v>1076</v>
      </c>
      <c r="G925" s="25">
        <f t="shared" si="11"/>
        <v>5.0761421319798217E-3</v>
      </c>
    </row>
    <row r="926" spans="1:7">
      <c r="A926" s="54">
        <v>19.690000000000001</v>
      </c>
      <c r="B926" s="54">
        <v>20.23</v>
      </c>
      <c r="C926" s="54">
        <v>18.84</v>
      </c>
      <c r="D926" s="54">
        <v>19.22</v>
      </c>
      <c r="E926" s="53">
        <v>219150</v>
      </c>
      <c r="F926" s="53" t="s">
        <v>1077</v>
      </c>
      <c r="G926" s="25">
        <f t="shared" si="11"/>
        <v>2.4453694068678589E-2</v>
      </c>
    </row>
    <row r="927" spans="1:7">
      <c r="A927" s="54">
        <v>19.54</v>
      </c>
      <c r="B927" s="54">
        <v>19.600000000000001</v>
      </c>
      <c r="C927" s="54">
        <v>19.04</v>
      </c>
      <c r="D927" s="54">
        <v>19.239999999999998</v>
      </c>
      <c r="E927" s="53">
        <v>118156</v>
      </c>
      <c r="F927" s="53" t="s">
        <v>1078</v>
      </c>
      <c r="G927" s="25">
        <f t="shared" si="11"/>
        <v>1.5592515592515621E-2</v>
      </c>
    </row>
    <row r="928" spans="1:7">
      <c r="A928" s="54">
        <v>19.350000000000001</v>
      </c>
      <c r="B928" s="54">
        <v>19.64</v>
      </c>
      <c r="C928" s="54">
        <v>18.75</v>
      </c>
      <c r="D928" s="54">
        <v>19.23</v>
      </c>
      <c r="E928" s="53">
        <v>212144</v>
      </c>
      <c r="F928" s="53" t="s">
        <v>1079</v>
      </c>
      <c r="G928" s="25">
        <f t="shared" si="11"/>
        <v>6.2402496099844829E-3</v>
      </c>
    </row>
    <row r="929" spans="1:7">
      <c r="A929" s="54">
        <v>19.350000000000001</v>
      </c>
      <c r="B929" s="54">
        <v>19.38</v>
      </c>
      <c r="C929" s="54">
        <v>18.135100000000001</v>
      </c>
      <c r="D929" s="54">
        <v>19.18</v>
      </c>
      <c r="E929" s="53">
        <v>115131</v>
      </c>
      <c r="F929" s="53" t="s">
        <v>1080</v>
      </c>
      <c r="G929" s="25">
        <f t="shared" si="11"/>
        <v>8.8633993743483241E-3</v>
      </c>
    </row>
    <row r="930" spans="1:7">
      <c r="A930" s="54">
        <v>19.239999999999998</v>
      </c>
      <c r="B930" s="54">
        <v>19.940000000000001</v>
      </c>
      <c r="C930" s="54">
        <v>19.18</v>
      </c>
      <c r="D930" s="54">
        <v>19.940000000000001</v>
      </c>
      <c r="E930" s="53">
        <v>101542</v>
      </c>
      <c r="F930" s="53" t="s">
        <v>1081</v>
      </c>
      <c r="G930" s="25">
        <f t="shared" si="11"/>
        <v>-3.5105315947843718E-2</v>
      </c>
    </row>
    <row r="931" spans="1:7">
      <c r="A931" s="54">
        <v>19.739999999999998</v>
      </c>
      <c r="B931" s="54">
        <v>19.850000000000001</v>
      </c>
      <c r="C931" s="54">
        <v>19.059999999999999</v>
      </c>
      <c r="D931" s="54">
        <v>19.399999999999999</v>
      </c>
      <c r="E931" s="53">
        <v>262026</v>
      </c>
      <c r="F931" s="53" t="s">
        <v>1082</v>
      </c>
      <c r="G931" s="25">
        <f t="shared" si="11"/>
        <v>1.7525773195876226E-2</v>
      </c>
    </row>
    <row r="932" spans="1:7">
      <c r="A932" s="54">
        <v>19.239999999999998</v>
      </c>
      <c r="B932" s="54">
        <v>20.67</v>
      </c>
      <c r="C932" s="54">
        <v>19.09</v>
      </c>
      <c r="D932" s="54">
        <v>19.96</v>
      </c>
      <c r="E932" s="53">
        <v>537131</v>
      </c>
      <c r="F932" s="53" t="s">
        <v>1083</v>
      </c>
      <c r="G932" s="25">
        <f t="shared" si="11"/>
        <v>-3.6072144288577301E-2</v>
      </c>
    </row>
    <row r="933" spans="1:7">
      <c r="A933" s="54">
        <v>20.149999999999999</v>
      </c>
      <c r="B933" s="54">
        <v>20.190000000000001</v>
      </c>
      <c r="C933" s="54">
        <v>19.260000000000002</v>
      </c>
      <c r="D933" s="54">
        <v>19.260000000000002</v>
      </c>
      <c r="E933" s="53">
        <v>546731</v>
      </c>
      <c r="F933" s="53" t="s">
        <v>1084</v>
      </c>
      <c r="G933" s="25">
        <f t="shared" si="11"/>
        <v>4.6209761163032104E-2</v>
      </c>
    </row>
    <row r="934" spans="1:7">
      <c r="A934" s="54">
        <v>19.11</v>
      </c>
      <c r="B934" s="54">
        <v>19.7</v>
      </c>
      <c r="C934" s="54">
        <v>18.86</v>
      </c>
      <c r="D934" s="54">
        <v>18.86</v>
      </c>
      <c r="E934" s="53">
        <v>643869</v>
      </c>
      <c r="F934" s="53" t="s">
        <v>1085</v>
      </c>
      <c r="G934" s="25">
        <f t="shared" si="11"/>
        <v>1.3255567338282148E-2</v>
      </c>
    </row>
    <row r="935" spans="1:7">
      <c r="A935" s="54">
        <v>19.02</v>
      </c>
      <c r="B935" s="54">
        <v>19.21</v>
      </c>
      <c r="C935" s="54">
        <v>18.66</v>
      </c>
      <c r="D935" s="54">
        <v>18.98</v>
      </c>
      <c r="E935" s="53">
        <v>141544</v>
      </c>
      <c r="F935" s="53" t="s">
        <v>1086</v>
      </c>
      <c r="G935" s="25">
        <f t="shared" si="11"/>
        <v>2.1074815595363283E-3</v>
      </c>
    </row>
    <row r="936" spans="1:7">
      <c r="A936" s="54">
        <v>18.7</v>
      </c>
      <c r="B936" s="54">
        <v>18.88</v>
      </c>
      <c r="C936" s="54">
        <v>18.21</v>
      </c>
      <c r="D936" s="54">
        <v>18.48</v>
      </c>
      <c r="E936" s="53">
        <v>443196</v>
      </c>
      <c r="F936" s="53" t="s">
        <v>1087</v>
      </c>
      <c r="G936" s="25">
        <f t="shared" si="11"/>
        <v>1.1904761904761862E-2</v>
      </c>
    </row>
    <row r="937" spans="1:7">
      <c r="A937" s="54">
        <v>18.21</v>
      </c>
      <c r="B937" s="54">
        <v>18.350000000000001</v>
      </c>
      <c r="C937" s="54">
        <v>17.73</v>
      </c>
      <c r="D937" s="54">
        <v>17.93</v>
      </c>
      <c r="E937" s="53">
        <v>240796</v>
      </c>
      <c r="F937" s="53" t="s">
        <v>1088</v>
      </c>
      <c r="G937" s="25">
        <f t="shared" si="11"/>
        <v>1.5616285554935994E-2</v>
      </c>
    </row>
    <row r="938" spans="1:7">
      <c r="A938" s="54">
        <v>18.350000000000001</v>
      </c>
      <c r="B938" s="54">
        <v>18.600000000000001</v>
      </c>
      <c r="C938" s="54">
        <v>18.02</v>
      </c>
      <c r="D938" s="54">
        <v>18.02</v>
      </c>
      <c r="E938" s="53">
        <v>233953</v>
      </c>
      <c r="F938" s="53" t="s">
        <v>1089</v>
      </c>
      <c r="G938" s="25">
        <f t="shared" si="11"/>
        <v>1.8312985571587337E-2</v>
      </c>
    </row>
    <row r="939" spans="1:7">
      <c r="A939" s="54">
        <v>17.829999999999998</v>
      </c>
      <c r="B939" s="54">
        <v>18.440000000000001</v>
      </c>
      <c r="C939" s="54">
        <v>17.670000000000002</v>
      </c>
      <c r="D939" s="54">
        <v>18.28</v>
      </c>
      <c r="E939" s="53">
        <v>185279</v>
      </c>
      <c r="F939" s="53" t="s">
        <v>1090</v>
      </c>
      <c r="G939" s="25">
        <f t="shared" si="11"/>
        <v>-2.4617067833698214E-2</v>
      </c>
    </row>
    <row r="940" spans="1:7">
      <c r="A940" s="54">
        <v>18.22</v>
      </c>
      <c r="B940" s="54">
        <v>18.47</v>
      </c>
      <c r="C940" s="54">
        <v>17.821400000000001</v>
      </c>
      <c r="D940" s="54">
        <v>18.170000000000002</v>
      </c>
      <c r="E940" s="53">
        <v>129742</v>
      </c>
      <c r="F940" s="53" t="s">
        <v>1091</v>
      </c>
      <c r="G940" s="25">
        <f t="shared" si="11"/>
        <v>2.7517886626304833E-3</v>
      </c>
    </row>
    <row r="941" spans="1:7">
      <c r="A941" s="54">
        <v>18.95</v>
      </c>
      <c r="B941" s="54">
        <v>19.27</v>
      </c>
      <c r="C941" s="54">
        <v>18.760000000000002</v>
      </c>
      <c r="D941" s="54">
        <v>18.760000000000002</v>
      </c>
      <c r="E941" s="53">
        <v>123571</v>
      </c>
      <c r="F941" s="53" t="s">
        <v>1092</v>
      </c>
      <c r="G941" s="25">
        <f t="shared" si="11"/>
        <v>1.0127931769722709E-2</v>
      </c>
    </row>
    <row r="942" spans="1:7">
      <c r="A942" s="54">
        <v>19.010000000000002</v>
      </c>
      <c r="B942" s="54">
        <v>19.25</v>
      </c>
      <c r="C942" s="54">
        <v>18.77</v>
      </c>
      <c r="D942" s="54">
        <v>19.05</v>
      </c>
      <c r="E942" s="53">
        <v>567645</v>
      </c>
      <c r="F942" s="53" t="s">
        <v>1093</v>
      </c>
      <c r="G942" s="25">
        <f t="shared" si="11"/>
        <v>-2.0997375328083434E-3</v>
      </c>
    </row>
    <row r="943" spans="1:7">
      <c r="A943" s="54">
        <v>19.260000000000002</v>
      </c>
      <c r="B943" s="54">
        <v>20.73</v>
      </c>
      <c r="C943" s="54">
        <v>18.850000000000001</v>
      </c>
      <c r="D943" s="54">
        <v>20.54</v>
      </c>
      <c r="E943" s="53">
        <v>508468</v>
      </c>
      <c r="F943" s="53" t="s">
        <v>1094</v>
      </c>
      <c r="G943" s="25">
        <f t="shared" si="11"/>
        <v>-6.2317429406036906E-2</v>
      </c>
    </row>
    <row r="944" spans="1:7">
      <c r="A944" s="54">
        <v>20.73</v>
      </c>
      <c r="B944" s="54">
        <v>20.857600000000001</v>
      </c>
      <c r="C944" s="54">
        <v>20.1373</v>
      </c>
      <c r="D944" s="54">
        <v>20.37</v>
      </c>
      <c r="E944" s="53">
        <v>90885</v>
      </c>
      <c r="F944" s="53" t="s">
        <v>1095</v>
      </c>
      <c r="G944" s="25">
        <f t="shared" si="11"/>
        <v>1.767304860088359E-2</v>
      </c>
    </row>
    <row r="945" spans="1:7">
      <c r="A945" s="54">
        <v>20.54</v>
      </c>
      <c r="B945" s="54">
        <v>20.67</v>
      </c>
      <c r="C945" s="54">
        <v>20.305</v>
      </c>
      <c r="D945" s="54">
        <v>20.56</v>
      </c>
      <c r="E945" s="53">
        <v>116246</v>
      </c>
      <c r="F945" s="53" t="s">
        <v>1096</v>
      </c>
      <c r="G945" s="25">
        <f t="shared" si="11"/>
        <v>-9.7276264591439343E-4</v>
      </c>
    </row>
    <row r="946" spans="1:7">
      <c r="A946" s="54">
        <v>20.21</v>
      </c>
      <c r="B946" s="54">
        <v>20.54</v>
      </c>
      <c r="C946" s="54">
        <v>19.97</v>
      </c>
      <c r="D946" s="54">
        <v>20.32</v>
      </c>
      <c r="E946" s="53">
        <v>101377</v>
      </c>
      <c r="F946" s="53" t="s">
        <v>1097</v>
      </c>
      <c r="G946" s="25">
        <f t="shared" si="11"/>
        <v>-5.4133858267716439E-3</v>
      </c>
    </row>
    <row r="947" spans="1:7">
      <c r="A947" s="54">
        <v>20.47</v>
      </c>
      <c r="B947" s="54">
        <v>20.67</v>
      </c>
      <c r="C947" s="54">
        <v>19.59</v>
      </c>
      <c r="D947" s="54">
        <v>19.670000000000002</v>
      </c>
      <c r="E947" s="53">
        <v>133626</v>
      </c>
      <c r="F947" s="53" t="s">
        <v>1098</v>
      </c>
      <c r="G947" s="25">
        <f t="shared" si="11"/>
        <v>4.0671072699542288E-2</v>
      </c>
    </row>
    <row r="948" spans="1:7">
      <c r="A948" s="54">
        <v>19.670000000000002</v>
      </c>
      <c r="B948" s="54">
        <v>20.085000000000001</v>
      </c>
      <c r="C948" s="54">
        <v>19.100000000000001</v>
      </c>
      <c r="D948" s="54">
        <v>19.77</v>
      </c>
      <c r="E948" s="53">
        <v>172624</v>
      </c>
      <c r="F948" s="53" t="s">
        <v>1099</v>
      </c>
      <c r="G948" s="25">
        <f t="shared" si="11"/>
        <v>-5.0581689428426113E-3</v>
      </c>
    </row>
    <row r="949" spans="1:7">
      <c r="A949" s="54">
        <v>19.63</v>
      </c>
      <c r="B949" s="54">
        <v>19.86</v>
      </c>
      <c r="C949" s="54">
        <v>19.36</v>
      </c>
      <c r="D949" s="54">
        <v>19.63</v>
      </c>
      <c r="E949" s="53">
        <v>324549</v>
      </c>
      <c r="F949" s="53" t="s">
        <v>1100</v>
      </c>
      <c r="G949" s="25">
        <f t="shared" si="11"/>
        <v>0</v>
      </c>
    </row>
    <row r="950" spans="1:7">
      <c r="A950" s="54">
        <v>19.89</v>
      </c>
      <c r="B950" s="54">
        <v>20.11</v>
      </c>
      <c r="C950" s="54">
        <v>19.079999999999998</v>
      </c>
      <c r="D950" s="54">
        <v>19.25</v>
      </c>
      <c r="E950" s="53">
        <v>146881</v>
      </c>
      <c r="F950" s="53" t="s">
        <v>1101</v>
      </c>
      <c r="G950" s="25">
        <f t="shared" si="11"/>
        <v>3.3246753246753302E-2</v>
      </c>
    </row>
    <row r="951" spans="1:7">
      <c r="A951" s="54">
        <v>19.100000000000001</v>
      </c>
      <c r="B951" s="54">
        <v>19.37</v>
      </c>
      <c r="C951" s="54">
        <v>19.010000000000002</v>
      </c>
      <c r="D951" s="54">
        <v>19.239999999999998</v>
      </c>
      <c r="E951" s="53">
        <v>144196</v>
      </c>
      <c r="F951" s="53" t="s">
        <v>1102</v>
      </c>
      <c r="G951" s="25">
        <f t="shared" si="11"/>
        <v>-7.2765072765070826E-3</v>
      </c>
    </row>
    <row r="952" spans="1:7">
      <c r="A952" s="54">
        <v>19.170000000000002</v>
      </c>
      <c r="B952" s="54">
        <v>19.27</v>
      </c>
      <c r="C952" s="54">
        <v>18.645</v>
      </c>
      <c r="D952" s="54">
        <v>18.68</v>
      </c>
      <c r="E952" s="53">
        <v>201785</v>
      </c>
      <c r="F952" s="53" t="s">
        <v>1103</v>
      </c>
      <c r="G952" s="25">
        <f t="shared" si="11"/>
        <v>2.6231263383297732E-2</v>
      </c>
    </row>
    <row r="953" spans="1:7">
      <c r="A953" s="54">
        <v>18.850000000000001</v>
      </c>
      <c r="B953" s="54">
        <v>19.079999999999998</v>
      </c>
      <c r="C953" s="54">
        <v>18.54</v>
      </c>
      <c r="D953" s="54">
        <v>19.02</v>
      </c>
      <c r="E953" s="53">
        <v>160872</v>
      </c>
      <c r="F953" s="53" t="s">
        <v>1104</v>
      </c>
      <c r="G953" s="25">
        <f t="shared" si="11"/>
        <v>-8.9379600420609329E-3</v>
      </c>
    </row>
    <row r="954" spans="1:7">
      <c r="A954" s="54">
        <v>19.149999999999999</v>
      </c>
      <c r="B954" s="54">
        <v>19.600000000000001</v>
      </c>
      <c r="C954" s="54">
        <v>18.95</v>
      </c>
      <c r="D954" s="54">
        <v>19.559999999999999</v>
      </c>
      <c r="E954" s="53">
        <v>437093</v>
      </c>
      <c r="F954" s="53" t="s">
        <v>1105</v>
      </c>
      <c r="G954" s="25">
        <f t="shared" si="11"/>
        <v>-2.0961145194274056E-2</v>
      </c>
    </row>
    <row r="955" spans="1:7">
      <c r="A955" s="54">
        <v>19.25</v>
      </c>
      <c r="B955" s="54">
        <v>19.61</v>
      </c>
      <c r="C955" s="54">
        <v>19.079999999999998</v>
      </c>
      <c r="D955" s="54">
        <v>19.57</v>
      </c>
      <c r="E955" s="53">
        <v>300543</v>
      </c>
      <c r="F955" s="53" t="s">
        <v>1106</v>
      </c>
      <c r="G955" s="25">
        <f t="shared" si="11"/>
        <v>-1.635155850792025E-2</v>
      </c>
    </row>
    <row r="956" spans="1:7">
      <c r="A956" s="54">
        <v>19.23</v>
      </c>
      <c r="B956" s="54">
        <v>19.579999999999998</v>
      </c>
      <c r="C956" s="54">
        <v>18.98</v>
      </c>
      <c r="D956" s="54">
        <v>19.34</v>
      </c>
      <c r="E956" s="53">
        <v>195333</v>
      </c>
      <c r="F956" s="53" t="s">
        <v>1107</v>
      </c>
      <c r="G956" s="25">
        <f t="shared" si="11"/>
        <v>-5.6876938986556436E-3</v>
      </c>
    </row>
    <row r="957" spans="1:7">
      <c r="A957" s="54">
        <v>19.46</v>
      </c>
      <c r="B957" s="54">
        <v>20.38</v>
      </c>
      <c r="C957" s="54">
        <v>19.329999999999998</v>
      </c>
      <c r="D957" s="54">
        <v>19.73</v>
      </c>
      <c r="E957" s="53">
        <v>233111</v>
      </c>
      <c r="F957" s="53" t="s">
        <v>1108</v>
      </c>
      <c r="G957" s="25">
        <f t="shared" si="11"/>
        <v>-1.3684744044602071E-2</v>
      </c>
    </row>
    <row r="958" spans="1:7">
      <c r="A958" s="54">
        <v>20.28</v>
      </c>
      <c r="B958" s="54">
        <v>20.29</v>
      </c>
      <c r="C958" s="54">
        <v>18.440000000000001</v>
      </c>
      <c r="D958" s="54">
        <v>19.170000000000002</v>
      </c>
      <c r="E958" s="53">
        <v>197345</v>
      </c>
      <c r="F958" s="53" t="s">
        <v>1109</v>
      </c>
      <c r="G958" s="25">
        <f t="shared" si="11"/>
        <v>5.790297339593109E-2</v>
      </c>
    </row>
    <row r="959" spans="1:7">
      <c r="A959" s="54">
        <v>18.78</v>
      </c>
      <c r="B959" s="54">
        <v>19.010000000000002</v>
      </c>
      <c r="C959" s="54">
        <v>18.66</v>
      </c>
      <c r="D959" s="54">
        <v>18.809999999999999</v>
      </c>
      <c r="E959" s="53">
        <v>104841</v>
      </c>
      <c r="F959" s="53" t="s">
        <v>1110</v>
      </c>
      <c r="G959" s="25">
        <f t="shared" ref="G959:G1022" si="12">A959/D959-1</f>
        <v>-1.5948963317382603E-3</v>
      </c>
    </row>
    <row r="960" spans="1:7">
      <c r="A960" s="54">
        <v>18.690000000000001</v>
      </c>
      <c r="B960" s="54">
        <v>18.875</v>
      </c>
      <c r="C960" s="54">
        <v>18.079999999999998</v>
      </c>
      <c r="D960" s="54">
        <v>18.079999999999998</v>
      </c>
      <c r="E960" s="53">
        <v>158128</v>
      </c>
      <c r="F960" s="53" t="s">
        <v>1111</v>
      </c>
      <c r="G960" s="25">
        <f t="shared" si="12"/>
        <v>3.3738938053097467E-2</v>
      </c>
    </row>
    <row r="961" spans="1:7">
      <c r="A961" s="54">
        <v>17.98</v>
      </c>
      <c r="B961" s="54">
        <v>18.440000000000001</v>
      </c>
      <c r="C961" s="54">
        <v>17.59</v>
      </c>
      <c r="D961" s="54">
        <v>18.03</v>
      </c>
      <c r="E961" s="53">
        <v>182062</v>
      </c>
      <c r="F961" s="53" t="s">
        <v>1112</v>
      </c>
      <c r="G961" s="25">
        <f t="shared" si="12"/>
        <v>-2.7731558513588439E-3</v>
      </c>
    </row>
    <row r="962" spans="1:7">
      <c r="A962" s="54">
        <v>18.100000000000001</v>
      </c>
      <c r="B962" s="54">
        <v>18.97</v>
      </c>
      <c r="C962" s="54">
        <v>18.03</v>
      </c>
      <c r="D962" s="54">
        <v>18.23</v>
      </c>
      <c r="E962" s="53">
        <v>165042</v>
      </c>
      <c r="F962" s="53" t="s">
        <v>1113</v>
      </c>
      <c r="G962" s="25">
        <f t="shared" si="12"/>
        <v>-7.1311025781678472E-3</v>
      </c>
    </row>
    <row r="963" spans="1:7">
      <c r="A963" s="54">
        <v>18.350000000000001</v>
      </c>
      <c r="B963" s="54">
        <v>18.57</v>
      </c>
      <c r="C963" s="54">
        <v>17.559999999999999</v>
      </c>
      <c r="D963" s="54">
        <v>18.239999999999998</v>
      </c>
      <c r="E963" s="53">
        <v>213882</v>
      </c>
      <c r="F963" s="53" t="s">
        <v>1114</v>
      </c>
      <c r="G963" s="25">
        <f t="shared" si="12"/>
        <v>6.0307017543861363E-3</v>
      </c>
    </row>
    <row r="964" spans="1:7">
      <c r="A964" s="54">
        <v>18.07</v>
      </c>
      <c r="B964" s="54">
        <v>19.63</v>
      </c>
      <c r="C964" s="54">
        <v>17.97</v>
      </c>
      <c r="D964" s="54">
        <v>19.41</v>
      </c>
      <c r="E964" s="53">
        <v>369979</v>
      </c>
      <c r="F964" s="53" t="s">
        <v>1115</v>
      </c>
      <c r="G964" s="25">
        <f t="shared" si="12"/>
        <v>-6.9036579082946914E-2</v>
      </c>
    </row>
    <row r="965" spans="1:7">
      <c r="A965" s="54">
        <v>19.670000000000002</v>
      </c>
      <c r="B965" s="54">
        <v>20.190000000000001</v>
      </c>
      <c r="C965" s="54">
        <v>19.302499999999998</v>
      </c>
      <c r="D965" s="54">
        <v>20.190000000000001</v>
      </c>
      <c r="E965" s="53">
        <v>279463</v>
      </c>
      <c r="F965" s="53" t="s">
        <v>1116</v>
      </c>
      <c r="G965" s="25">
        <f t="shared" si="12"/>
        <v>-2.5755324418028747E-2</v>
      </c>
    </row>
    <row r="966" spans="1:7">
      <c r="A966" s="54">
        <v>20.29</v>
      </c>
      <c r="B966" s="54">
        <v>21.1</v>
      </c>
      <c r="C966" s="54">
        <v>19.95</v>
      </c>
      <c r="D966" s="54">
        <v>21.01</v>
      </c>
      <c r="E966" s="53">
        <v>195326</v>
      </c>
      <c r="F966" s="53" t="s">
        <v>1117</v>
      </c>
      <c r="G966" s="25">
        <f t="shared" si="12"/>
        <v>-3.4269395525940105E-2</v>
      </c>
    </row>
    <row r="967" spans="1:7">
      <c r="A967" s="54">
        <v>21.24</v>
      </c>
      <c r="B967" s="54">
        <v>21.44</v>
      </c>
      <c r="C967" s="54">
        <v>20.445</v>
      </c>
      <c r="D967" s="54">
        <v>21.18</v>
      </c>
      <c r="E967" s="53">
        <v>156614</v>
      </c>
      <c r="F967" s="53" t="s">
        <v>1118</v>
      </c>
      <c r="G967" s="25">
        <f t="shared" si="12"/>
        <v>2.8328611898016387E-3</v>
      </c>
    </row>
    <row r="968" spans="1:7">
      <c r="A968" s="54">
        <v>21.12</v>
      </c>
      <c r="B968" s="54">
        <v>21.52</v>
      </c>
      <c r="C968" s="54">
        <v>20.76</v>
      </c>
      <c r="D968" s="54">
        <v>21.1</v>
      </c>
      <c r="E968" s="53">
        <v>158961</v>
      </c>
      <c r="F968" s="53" t="s">
        <v>1119</v>
      </c>
      <c r="G968" s="25">
        <f t="shared" si="12"/>
        <v>9.4786729857809782E-4</v>
      </c>
    </row>
    <row r="969" spans="1:7">
      <c r="A969" s="54">
        <v>21.12</v>
      </c>
      <c r="B969" s="54">
        <v>21.93</v>
      </c>
      <c r="C969" s="54">
        <v>20.75</v>
      </c>
      <c r="D969" s="54">
        <v>20.91</v>
      </c>
      <c r="E969" s="53">
        <v>218505</v>
      </c>
      <c r="F969" s="53" t="s">
        <v>1120</v>
      </c>
      <c r="G969" s="25">
        <f t="shared" si="12"/>
        <v>1.0043041606886627E-2</v>
      </c>
    </row>
    <row r="970" spans="1:7">
      <c r="A970" s="54">
        <v>21.05</v>
      </c>
      <c r="B970" s="54">
        <v>23.17</v>
      </c>
      <c r="C970" s="54">
        <v>20.96</v>
      </c>
      <c r="D970" s="54">
        <v>22.49</v>
      </c>
      <c r="E970" s="53">
        <v>325019</v>
      </c>
      <c r="F970" s="53" t="s">
        <v>1121</v>
      </c>
      <c r="G970" s="25">
        <f t="shared" si="12"/>
        <v>-6.4028457092040858E-2</v>
      </c>
    </row>
    <row r="971" spans="1:7">
      <c r="A971" s="54">
        <v>22.47</v>
      </c>
      <c r="B971" s="54">
        <v>22.83</v>
      </c>
      <c r="C971" s="54">
        <v>21.502500000000001</v>
      </c>
      <c r="D971" s="54">
        <v>22.83</v>
      </c>
      <c r="E971" s="53">
        <v>189237</v>
      </c>
      <c r="F971" s="53" t="s">
        <v>1122</v>
      </c>
      <c r="G971" s="25">
        <f t="shared" si="12"/>
        <v>-1.5768725361366642E-2</v>
      </c>
    </row>
    <row r="972" spans="1:7">
      <c r="A972" s="54">
        <v>22.53</v>
      </c>
      <c r="B972" s="54">
        <v>23.41</v>
      </c>
      <c r="C972" s="54">
        <v>22.35</v>
      </c>
      <c r="D972" s="54">
        <v>23.01</v>
      </c>
      <c r="E972" s="53">
        <v>213418</v>
      </c>
      <c r="F972" s="53" t="s">
        <v>1123</v>
      </c>
      <c r="G972" s="25">
        <f t="shared" si="12"/>
        <v>-2.0860495436766602E-2</v>
      </c>
    </row>
    <row r="973" spans="1:7">
      <c r="A973" s="54">
        <v>23.08</v>
      </c>
      <c r="B973" s="54">
        <v>23.6</v>
      </c>
      <c r="C973" s="54">
        <v>22.98</v>
      </c>
      <c r="D973" s="54">
        <v>23.22</v>
      </c>
      <c r="E973" s="53">
        <v>246143</v>
      </c>
      <c r="F973" s="53" t="s">
        <v>1124</v>
      </c>
      <c r="G973" s="25">
        <f t="shared" si="12"/>
        <v>-6.0292850990525393E-3</v>
      </c>
    </row>
    <row r="974" spans="1:7">
      <c r="A974" s="54">
        <v>23.56</v>
      </c>
      <c r="B974" s="54">
        <v>23.71</v>
      </c>
      <c r="C974" s="54">
        <v>23.07</v>
      </c>
      <c r="D974" s="54">
        <v>23.07</v>
      </c>
      <c r="E974" s="53">
        <v>219006</v>
      </c>
      <c r="F974" s="53" t="s">
        <v>1125</v>
      </c>
      <c r="G974" s="25">
        <f t="shared" si="12"/>
        <v>2.1239705244906704E-2</v>
      </c>
    </row>
    <row r="975" spans="1:7">
      <c r="A975" s="54">
        <v>23.17</v>
      </c>
      <c r="B975" s="54">
        <v>24.09</v>
      </c>
      <c r="C975" s="54">
        <v>23.03</v>
      </c>
      <c r="D975" s="54">
        <v>23.87</v>
      </c>
      <c r="E975" s="53">
        <v>222356</v>
      </c>
      <c r="F975" s="53" t="s">
        <v>1126</v>
      </c>
      <c r="G975" s="25">
        <f t="shared" si="12"/>
        <v>-2.9325513196480912E-2</v>
      </c>
    </row>
    <row r="976" spans="1:7">
      <c r="A976" s="54">
        <v>24.04</v>
      </c>
      <c r="B976" s="54">
        <v>24.84</v>
      </c>
      <c r="C976" s="54">
        <v>23.8</v>
      </c>
      <c r="D976" s="54">
        <v>24.63</v>
      </c>
      <c r="E976" s="53">
        <v>257065</v>
      </c>
      <c r="F976" s="53" t="s">
        <v>1127</v>
      </c>
      <c r="G976" s="25">
        <f t="shared" si="12"/>
        <v>-2.3954526999593995E-2</v>
      </c>
    </row>
    <row r="977" spans="1:7">
      <c r="A977" s="54">
        <v>24.49</v>
      </c>
      <c r="B977" s="54">
        <v>24.87</v>
      </c>
      <c r="C977" s="54">
        <v>23.607199999999999</v>
      </c>
      <c r="D977" s="54">
        <v>23.61</v>
      </c>
      <c r="E977" s="53">
        <v>240809</v>
      </c>
      <c r="F977" s="53" t="s">
        <v>1128</v>
      </c>
      <c r="G977" s="25">
        <f t="shared" si="12"/>
        <v>3.727234222786957E-2</v>
      </c>
    </row>
    <row r="978" spans="1:7">
      <c r="A978" s="54">
        <v>24.02</v>
      </c>
      <c r="B978" s="54">
        <v>24.25</v>
      </c>
      <c r="C978" s="54">
        <v>22.85</v>
      </c>
      <c r="D978" s="54">
        <v>22.85</v>
      </c>
      <c r="E978" s="53">
        <v>282135</v>
      </c>
      <c r="F978" s="53" t="s">
        <v>1129</v>
      </c>
      <c r="G978" s="25">
        <f t="shared" si="12"/>
        <v>5.1203501094091886E-2</v>
      </c>
    </row>
    <row r="979" spans="1:7">
      <c r="A979" s="54">
        <v>22.82</v>
      </c>
      <c r="B979" s="54">
        <v>23.03</v>
      </c>
      <c r="C979" s="54">
        <v>22.52</v>
      </c>
      <c r="D979" s="54">
        <v>22.87</v>
      </c>
      <c r="E979" s="53">
        <v>195697</v>
      </c>
      <c r="F979" s="53" t="s">
        <v>1130</v>
      </c>
      <c r="G979" s="25">
        <f t="shared" si="12"/>
        <v>-2.1862702229995534E-3</v>
      </c>
    </row>
    <row r="980" spans="1:7">
      <c r="A980" s="54">
        <v>22.92</v>
      </c>
      <c r="B980" s="54">
        <v>23.17</v>
      </c>
      <c r="C980" s="54">
        <v>22.41</v>
      </c>
      <c r="D980" s="54">
        <v>23.16</v>
      </c>
      <c r="E980" s="53">
        <v>234979</v>
      </c>
      <c r="F980" s="53" t="s">
        <v>1131</v>
      </c>
      <c r="G980" s="25">
        <f t="shared" si="12"/>
        <v>-1.0362694300518061E-2</v>
      </c>
    </row>
    <row r="981" spans="1:7">
      <c r="A981" s="54">
        <v>23.13</v>
      </c>
      <c r="B981" s="54">
        <v>23.43</v>
      </c>
      <c r="C981" s="54">
        <v>22.835000000000001</v>
      </c>
      <c r="D981" s="54">
        <v>23</v>
      </c>
      <c r="E981" s="53">
        <v>159274</v>
      </c>
      <c r="F981" s="53" t="s">
        <v>1132</v>
      </c>
      <c r="G981" s="25">
        <f t="shared" si="12"/>
        <v>5.6521739130435122E-3</v>
      </c>
    </row>
    <row r="982" spans="1:7">
      <c r="A982" s="54">
        <v>23.09</v>
      </c>
      <c r="B982" s="54">
        <v>23.35</v>
      </c>
      <c r="C982" s="54">
        <v>22.5</v>
      </c>
      <c r="D982" s="54">
        <v>22.5</v>
      </c>
      <c r="E982" s="53">
        <v>245482</v>
      </c>
      <c r="F982" s="53" t="s">
        <v>1133</v>
      </c>
      <c r="G982" s="25">
        <f t="shared" si="12"/>
        <v>2.6222222222222147E-2</v>
      </c>
    </row>
    <row r="983" spans="1:7">
      <c r="A983" s="54">
        <v>22.51</v>
      </c>
      <c r="B983" s="54">
        <v>23.68</v>
      </c>
      <c r="C983" s="54">
        <v>22.49</v>
      </c>
      <c r="D983" s="54">
        <v>23.29</v>
      </c>
      <c r="E983" s="53">
        <v>296309</v>
      </c>
      <c r="F983" s="53" t="s">
        <v>1134</v>
      </c>
      <c r="G983" s="25">
        <f t="shared" si="12"/>
        <v>-3.3490768570201723E-2</v>
      </c>
    </row>
    <row r="984" spans="1:7">
      <c r="A984" s="54">
        <v>23.66</v>
      </c>
      <c r="B984" s="54">
        <v>24.38</v>
      </c>
      <c r="C984" s="54">
        <v>23.5</v>
      </c>
      <c r="D984" s="54">
        <v>23.625</v>
      </c>
      <c r="E984" s="53">
        <v>395948</v>
      </c>
      <c r="F984" s="53" t="s">
        <v>1135</v>
      </c>
      <c r="G984" s="25">
        <f t="shared" si="12"/>
        <v>1.481481481481417E-3</v>
      </c>
    </row>
    <row r="985" spans="1:7">
      <c r="A985" s="54">
        <v>23.49</v>
      </c>
      <c r="B985" s="54">
        <v>24.25</v>
      </c>
      <c r="C985" s="54">
        <v>21.57</v>
      </c>
      <c r="D985" s="54">
        <v>22.44</v>
      </c>
      <c r="E985" s="53">
        <v>726276</v>
      </c>
      <c r="F985" s="53" t="s">
        <v>1136</v>
      </c>
      <c r="G985" s="25">
        <f t="shared" si="12"/>
        <v>4.6791443850267234E-2</v>
      </c>
    </row>
    <row r="986" spans="1:7">
      <c r="A986" s="54">
        <v>21.54</v>
      </c>
      <c r="B986" s="54">
        <v>21.73</v>
      </c>
      <c r="C986" s="54">
        <v>20.45</v>
      </c>
      <c r="D986" s="54">
        <v>21.03</v>
      </c>
      <c r="E986" s="53">
        <v>440505</v>
      </c>
      <c r="F986" s="53" t="s">
        <v>1137</v>
      </c>
      <c r="G986" s="25">
        <f t="shared" si="12"/>
        <v>2.4251069900142586E-2</v>
      </c>
    </row>
    <row r="987" spans="1:7">
      <c r="A987" s="54">
        <v>21.31</v>
      </c>
      <c r="B987" s="54">
        <v>21.79</v>
      </c>
      <c r="C987" s="54">
        <v>21.234999999999999</v>
      </c>
      <c r="D987" s="54">
        <v>21.54</v>
      </c>
      <c r="E987" s="53">
        <v>194167</v>
      </c>
      <c r="F987" s="53" t="s">
        <v>1138</v>
      </c>
      <c r="G987" s="25">
        <f t="shared" si="12"/>
        <v>-1.0677808727947991E-2</v>
      </c>
    </row>
    <row r="988" spans="1:7">
      <c r="A988" s="54">
        <v>21.56</v>
      </c>
      <c r="B988" s="54">
        <v>22.71</v>
      </c>
      <c r="C988" s="54">
        <v>21.44</v>
      </c>
      <c r="D988" s="54">
        <v>22.39</v>
      </c>
      <c r="E988" s="53">
        <v>458415</v>
      </c>
      <c r="F988" s="53" t="s">
        <v>1139</v>
      </c>
      <c r="G988" s="25">
        <f t="shared" si="12"/>
        <v>-3.7070120589548949E-2</v>
      </c>
    </row>
    <row r="989" spans="1:7">
      <c r="A989" s="54">
        <v>22.52</v>
      </c>
      <c r="B989" s="54">
        <v>22.52</v>
      </c>
      <c r="C989" s="54">
        <v>21.64</v>
      </c>
      <c r="D989" s="54">
        <v>21.74</v>
      </c>
      <c r="E989" s="53">
        <v>234290</v>
      </c>
      <c r="F989" s="53" t="s">
        <v>1140</v>
      </c>
      <c r="G989" s="25">
        <f t="shared" si="12"/>
        <v>3.5878564857405815E-2</v>
      </c>
    </row>
    <row r="990" spans="1:7">
      <c r="A990" s="54">
        <v>21.54</v>
      </c>
      <c r="B990" s="54">
        <v>22.25</v>
      </c>
      <c r="C990" s="54">
        <v>21.48</v>
      </c>
      <c r="D990" s="54">
        <v>22.06</v>
      </c>
      <c r="E990" s="53">
        <v>239660</v>
      </c>
      <c r="F990" s="53" t="s">
        <v>1141</v>
      </c>
      <c r="G990" s="25">
        <f t="shared" si="12"/>
        <v>-2.3572076155938371E-2</v>
      </c>
    </row>
    <row r="991" spans="1:7">
      <c r="A991" s="54">
        <v>21.85</v>
      </c>
      <c r="B991" s="54">
        <v>22.239899999999999</v>
      </c>
      <c r="C991" s="54">
        <v>21.0913</v>
      </c>
      <c r="D991" s="54">
        <v>21.61</v>
      </c>
      <c r="E991" s="53">
        <v>230844</v>
      </c>
      <c r="F991" s="53" t="s">
        <v>1142</v>
      </c>
      <c r="G991" s="25">
        <f t="shared" si="12"/>
        <v>1.1105969458583997E-2</v>
      </c>
    </row>
    <row r="992" spans="1:7">
      <c r="A992" s="54">
        <v>21.72</v>
      </c>
      <c r="B992" s="54">
        <v>22.31</v>
      </c>
      <c r="C992" s="54">
        <v>21.64</v>
      </c>
      <c r="D992" s="54">
        <v>21.66</v>
      </c>
      <c r="E992" s="53">
        <v>274685</v>
      </c>
      <c r="F992" s="53" t="s">
        <v>1143</v>
      </c>
      <c r="G992" s="25">
        <f t="shared" si="12"/>
        <v>2.7700831024930483E-3</v>
      </c>
    </row>
    <row r="993" spans="1:7">
      <c r="A993" s="54">
        <v>21.43</v>
      </c>
      <c r="B993" s="54">
        <v>22.17</v>
      </c>
      <c r="C993" s="54">
        <v>21.16</v>
      </c>
      <c r="D993" s="54">
        <v>22.1</v>
      </c>
      <c r="E993" s="53">
        <v>242376</v>
      </c>
      <c r="F993" s="53" t="s">
        <v>1144</v>
      </c>
      <c r="G993" s="25">
        <f t="shared" si="12"/>
        <v>-3.0316742081448078E-2</v>
      </c>
    </row>
    <row r="994" spans="1:7">
      <c r="A994" s="54">
        <v>21.85</v>
      </c>
      <c r="B994" s="54">
        <v>22.2</v>
      </c>
      <c r="C994" s="54">
        <v>21.79</v>
      </c>
      <c r="D994" s="54">
        <v>22.18</v>
      </c>
      <c r="E994" s="53">
        <v>97912</v>
      </c>
      <c r="F994" s="53" t="s">
        <v>1145</v>
      </c>
      <c r="G994" s="25">
        <f t="shared" si="12"/>
        <v>-1.487826871054998E-2</v>
      </c>
    </row>
    <row r="995" spans="1:7">
      <c r="A995" s="54">
        <v>21.97</v>
      </c>
      <c r="B995" s="54">
        <v>22.06</v>
      </c>
      <c r="C995" s="54">
        <v>21.22</v>
      </c>
      <c r="D995" s="54">
        <v>21.73</v>
      </c>
      <c r="E995" s="53">
        <v>310311</v>
      </c>
      <c r="F995" s="53" t="s">
        <v>1146</v>
      </c>
      <c r="G995" s="25">
        <f t="shared" si="12"/>
        <v>1.1044638748274105E-2</v>
      </c>
    </row>
    <row r="996" spans="1:7">
      <c r="A996" s="54">
        <v>21.75</v>
      </c>
      <c r="B996" s="54">
        <v>22.725000000000001</v>
      </c>
      <c r="C996" s="54">
        <v>21.66</v>
      </c>
      <c r="D996" s="54">
        <v>22.42</v>
      </c>
      <c r="E996" s="53">
        <v>286420</v>
      </c>
      <c r="F996" s="53" t="s">
        <v>1147</v>
      </c>
      <c r="G996" s="25">
        <f t="shared" si="12"/>
        <v>-2.9884032114183889E-2</v>
      </c>
    </row>
    <row r="997" spans="1:7">
      <c r="A997" s="54">
        <v>22.71</v>
      </c>
      <c r="B997" s="54">
        <v>23.343900000000001</v>
      </c>
      <c r="C997" s="54">
        <v>22.64</v>
      </c>
      <c r="D997" s="54">
        <v>23.25</v>
      </c>
      <c r="E997" s="53">
        <v>157044</v>
      </c>
      <c r="F997" s="53" t="s">
        <v>1148</v>
      </c>
      <c r="G997" s="25">
        <f t="shared" si="12"/>
        <v>-2.3225806451612874E-2</v>
      </c>
    </row>
    <row r="998" spans="1:7">
      <c r="A998" s="54">
        <v>23.05</v>
      </c>
      <c r="B998" s="54">
        <v>24.105</v>
      </c>
      <c r="C998" s="54">
        <v>22.85</v>
      </c>
      <c r="D998" s="54">
        <v>23.9</v>
      </c>
      <c r="E998" s="53">
        <v>267478</v>
      </c>
      <c r="F998" s="53" t="s">
        <v>1149</v>
      </c>
      <c r="G998" s="25">
        <f t="shared" si="12"/>
        <v>-3.556485355648531E-2</v>
      </c>
    </row>
    <row r="999" spans="1:7">
      <c r="A999" s="54">
        <v>23.9</v>
      </c>
      <c r="B999" s="54">
        <v>24.75</v>
      </c>
      <c r="C999" s="54">
        <v>23.84</v>
      </c>
      <c r="D999" s="54">
        <v>24.36</v>
      </c>
      <c r="E999" s="53">
        <v>346953</v>
      </c>
      <c r="F999" s="53" t="s">
        <v>1150</v>
      </c>
      <c r="G999" s="25">
        <f t="shared" si="12"/>
        <v>-1.8883415435139606E-2</v>
      </c>
    </row>
    <row r="1000" spans="1:7">
      <c r="A1000" s="54">
        <v>24.35</v>
      </c>
      <c r="B1000" s="54">
        <v>24.49</v>
      </c>
      <c r="C1000" s="54">
        <v>22.684999999999999</v>
      </c>
      <c r="D1000" s="54">
        <v>23.13</v>
      </c>
      <c r="E1000" s="53">
        <v>287987</v>
      </c>
      <c r="F1000" s="53" t="s">
        <v>1151</v>
      </c>
      <c r="G1000" s="25">
        <f t="shared" si="12"/>
        <v>5.2745352356247333E-2</v>
      </c>
    </row>
    <row r="1001" spans="1:7">
      <c r="A1001" s="54">
        <v>22.94</v>
      </c>
      <c r="B1001" s="54">
        <v>23.47</v>
      </c>
      <c r="C1001" s="54">
        <v>22.44</v>
      </c>
      <c r="D1001" s="54">
        <v>22.9</v>
      </c>
      <c r="E1001" s="53">
        <v>385596</v>
      </c>
      <c r="F1001" s="53" t="s">
        <v>1152</v>
      </c>
      <c r="G1001" s="25">
        <f t="shared" si="12"/>
        <v>1.7467248908298316E-3</v>
      </c>
    </row>
    <row r="1002" spans="1:7">
      <c r="A1002" s="54">
        <v>22.66</v>
      </c>
      <c r="B1002" s="54">
        <v>23.02</v>
      </c>
      <c r="C1002" s="54">
        <v>22.36</v>
      </c>
      <c r="D1002" s="54">
        <v>23.02</v>
      </c>
      <c r="E1002" s="53">
        <v>152612</v>
      </c>
      <c r="F1002" s="53" t="s">
        <v>1153</v>
      </c>
      <c r="G1002" s="25">
        <f t="shared" si="12"/>
        <v>-1.56385751520417E-2</v>
      </c>
    </row>
    <row r="1003" spans="1:7">
      <c r="A1003" s="54">
        <v>22.83</v>
      </c>
      <c r="B1003" s="54">
        <v>23.23</v>
      </c>
      <c r="C1003" s="54">
        <v>22.62</v>
      </c>
      <c r="D1003" s="54">
        <v>22.8</v>
      </c>
      <c r="E1003" s="53">
        <v>186134</v>
      </c>
      <c r="F1003" s="53" t="s">
        <v>1154</v>
      </c>
      <c r="G1003" s="25">
        <f t="shared" si="12"/>
        <v>1.3157894736841591E-3</v>
      </c>
    </row>
    <row r="1004" spans="1:7">
      <c r="A1004" s="54">
        <v>22.75</v>
      </c>
      <c r="B1004" s="54">
        <v>23.92</v>
      </c>
      <c r="C1004" s="54">
        <v>22.7</v>
      </c>
      <c r="D1004" s="54">
        <v>23.66</v>
      </c>
      <c r="E1004" s="53">
        <v>174593</v>
      </c>
      <c r="F1004" s="53" t="s">
        <v>1155</v>
      </c>
      <c r="G1004" s="25">
        <f t="shared" si="12"/>
        <v>-3.8461538461538436E-2</v>
      </c>
    </row>
    <row r="1005" spans="1:7">
      <c r="A1005" s="54">
        <v>23.49</v>
      </c>
      <c r="B1005" s="54">
        <v>23.74</v>
      </c>
      <c r="C1005" s="54">
        <v>21.660900000000002</v>
      </c>
      <c r="D1005" s="54">
        <v>23.23</v>
      </c>
      <c r="E1005" s="53">
        <v>158812</v>
      </c>
      <c r="F1005" s="53" t="s">
        <v>1156</v>
      </c>
      <c r="G1005" s="25">
        <f t="shared" si="12"/>
        <v>1.1192423590185019E-2</v>
      </c>
    </row>
    <row r="1006" spans="1:7">
      <c r="A1006" s="54">
        <v>23.7</v>
      </c>
      <c r="B1006" s="54">
        <v>24.2</v>
      </c>
      <c r="C1006" s="54">
        <v>23.64</v>
      </c>
      <c r="D1006" s="54">
        <v>23.77</v>
      </c>
      <c r="E1006" s="53">
        <v>144898</v>
      </c>
      <c r="F1006" s="53" t="s">
        <v>1157</v>
      </c>
      <c r="G1006" s="25">
        <f t="shared" si="12"/>
        <v>-2.9448885149347959E-3</v>
      </c>
    </row>
    <row r="1007" spans="1:7">
      <c r="A1007" s="54">
        <v>23.34</v>
      </c>
      <c r="B1007" s="54">
        <v>24.34</v>
      </c>
      <c r="C1007" s="54">
        <v>22.56</v>
      </c>
      <c r="D1007" s="54">
        <v>24.19</v>
      </c>
      <c r="E1007" s="53">
        <v>210706</v>
      </c>
      <c r="F1007" s="53" t="s">
        <v>1158</v>
      </c>
      <c r="G1007" s="25">
        <f t="shared" si="12"/>
        <v>-3.5138486978090189E-2</v>
      </c>
    </row>
    <row r="1008" spans="1:7">
      <c r="A1008" s="54">
        <v>24.19</v>
      </c>
      <c r="B1008" s="54">
        <v>24.31</v>
      </c>
      <c r="C1008" s="54">
        <v>23.58</v>
      </c>
      <c r="D1008" s="54">
        <v>24.17</v>
      </c>
      <c r="E1008" s="53">
        <v>229942</v>
      </c>
      <c r="F1008" s="53" t="s">
        <v>1159</v>
      </c>
      <c r="G1008" s="25">
        <f t="shared" si="12"/>
        <v>8.2747207281741453E-4</v>
      </c>
    </row>
    <row r="1009" spans="1:7">
      <c r="A1009" s="54">
        <v>24.07</v>
      </c>
      <c r="B1009" s="54">
        <v>24.454999999999998</v>
      </c>
      <c r="C1009" s="54">
        <v>23.81</v>
      </c>
      <c r="D1009" s="54">
        <v>24.2</v>
      </c>
      <c r="E1009" s="53">
        <v>128318</v>
      </c>
      <c r="F1009" s="53" t="s">
        <v>1160</v>
      </c>
      <c r="G1009" s="25">
        <f t="shared" si="12"/>
        <v>-5.3719008264462298E-3</v>
      </c>
    </row>
    <row r="1010" spans="1:7">
      <c r="A1010" s="54">
        <v>24.32</v>
      </c>
      <c r="B1010" s="54">
        <v>24.78</v>
      </c>
      <c r="C1010" s="54">
        <v>24.05</v>
      </c>
      <c r="D1010" s="54">
        <v>24.69</v>
      </c>
      <c r="E1010" s="53">
        <v>201773</v>
      </c>
      <c r="F1010" s="53" t="s">
        <v>1161</v>
      </c>
      <c r="G1010" s="25">
        <f t="shared" si="12"/>
        <v>-1.4985824220332122E-2</v>
      </c>
    </row>
    <row r="1011" spans="1:7">
      <c r="A1011" s="54">
        <v>24.5</v>
      </c>
      <c r="B1011" s="54">
        <v>24.67</v>
      </c>
      <c r="C1011" s="54">
        <v>23.92</v>
      </c>
      <c r="D1011" s="54">
        <v>24.15</v>
      </c>
      <c r="E1011" s="53">
        <v>243582</v>
      </c>
      <c r="F1011" s="53" t="s">
        <v>1162</v>
      </c>
      <c r="G1011" s="25">
        <f t="shared" si="12"/>
        <v>1.449275362318847E-2</v>
      </c>
    </row>
    <row r="1012" spans="1:7">
      <c r="A1012" s="54">
        <v>23.98</v>
      </c>
      <c r="B1012" s="54">
        <v>24.01</v>
      </c>
      <c r="C1012" s="54">
        <v>22.864999999999998</v>
      </c>
      <c r="D1012" s="54">
        <v>23.4</v>
      </c>
      <c r="E1012" s="53">
        <v>271019</v>
      </c>
      <c r="F1012" s="53" t="s">
        <v>1163</v>
      </c>
      <c r="G1012" s="25">
        <f t="shared" si="12"/>
        <v>2.478632478632492E-2</v>
      </c>
    </row>
    <row r="1013" spans="1:7">
      <c r="A1013" s="54">
        <v>23.53</v>
      </c>
      <c r="B1013" s="54">
        <v>23.71</v>
      </c>
      <c r="C1013" s="54">
        <v>22.79</v>
      </c>
      <c r="D1013" s="54">
        <v>23.09</v>
      </c>
      <c r="E1013" s="53">
        <v>211536</v>
      </c>
      <c r="F1013" s="53" t="s">
        <v>1164</v>
      </c>
      <c r="G1013" s="25">
        <f t="shared" si="12"/>
        <v>1.9055868341273374E-2</v>
      </c>
    </row>
    <row r="1014" spans="1:7">
      <c r="A1014" s="54">
        <v>23.21</v>
      </c>
      <c r="B1014" s="54">
        <v>23.31</v>
      </c>
      <c r="C1014" s="54">
        <v>21.96</v>
      </c>
      <c r="D1014" s="54">
        <v>22.22</v>
      </c>
      <c r="E1014" s="53">
        <v>192131</v>
      </c>
      <c r="F1014" s="53" t="s">
        <v>1165</v>
      </c>
      <c r="G1014" s="25">
        <f t="shared" si="12"/>
        <v>4.4554455445544594E-2</v>
      </c>
    </row>
    <row r="1015" spans="1:7">
      <c r="A1015" s="54">
        <v>22.11</v>
      </c>
      <c r="B1015" s="54">
        <v>22.18</v>
      </c>
      <c r="C1015" s="54">
        <v>20.52</v>
      </c>
      <c r="D1015" s="54">
        <v>20.59</v>
      </c>
      <c r="E1015" s="53">
        <v>221650</v>
      </c>
      <c r="F1015" s="53" t="s">
        <v>1166</v>
      </c>
      <c r="G1015" s="25">
        <f t="shared" si="12"/>
        <v>7.382224380767366E-2</v>
      </c>
    </row>
    <row r="1016" spans="1:7">
      <c r="A1016" s="54">
        <v>21.09</v>
      </c>
      <c r="B1016" s="54">
        <v>21.3</v>
      </c>
      <c r="C1016" s="54">
        <v>20.74</v>
      </c>
      <c r="D1016" s="54">
        <v>20.99</v>
      </c>
      <c r="E1016" s="53">
        <v>181572</v>
      </c>
      <c r="F1016" s="53" t="s">
        <v>1167</v>
      </c>
      <c r="G1016" s="25">
        <f t="shared" si="12"/>
        <v>4.7641734159125093E-3</v>
      </c>
    </row>
    <row r="1017" spans="1:7">
      <c r="A1017" s="54">
        <v>20.92</v>
      </c>
      <c r="B1017" s="54">
        <v>21.2</v>
      </c>
      <c r="C1017" s="54">
        <v>20.57</v>
      </c>
      <c r="D1017" s="54">
        <v>20.92</v>
      </c>
      <c r="E1017" s="53">
        <v>205593</v>
      </c>
      <c r="F1017" s="53" t="s">
        <v>1168</v>
      </c>
      <c r="G1017" s="25">
        <f t="shared" si="12"/>
        <v>0</v>
      </c>
    </row>
    <row r="1018" spans="1:7">
      <c r="A1018" s="54">
        <v>21.16</v>
      </c>
      <c r="B1018" s="54">
        <v>22.06</v>
      </c>
      <c r="C1018" s="54">
        <v>21.13</v>
      </c>
      <c r="D1018" s="54">
        <v>21.96</v>
      </c>
      <c r="E1018" s="53">
        <v>171566</v>
      </c>
      <c r="F1018" s="53" t="s">
        <v>1169</v>
      </c>
      <c r="G1018" s="25">
        <f t="shared" si="12"/>
        <v>-3.6429872495446269E-2</v>
      </c>
    </row>
    <row r="1019" spans="1:7">
      <c r="A1019" s="54">
        <v>22.09</v>
      </c>
      <c r="B1019" s="54">
        <v>22.37</v>
      </c>
      <c r="C1019" s="54">
        <v>21.73</v>
      </c>
      <c r="D1019" s="54">
        <v>22.09</v>
      </c>
      <c r="E1019" s="53">
        <v>279213</v>
      </c>
      <c r="F1019" s="53" t="s">
        <v>1170</v>
      </c>
      <c r="G1019" s="25">
        <f t="shared" si="12"/>
        <v>0</v>
      </c>
    </row>
    <row r="1020" spans="1:7">
      <c r="A1020" s="54">
        <v>22.5</v>
      </c>
      <c r="B1020" s="54">
        <v>22.71</v>
      </c>
      <c r="C1020" s="54">
        <v>22.2</v>
      </c>
      <c r="D1020" s="54">
        <v>22.66</v>
      </c>
      <c r="E1020" s="53">
        <v>164759</v>
      </c>
      <c r="F1020" s="53" t="s">
        <v>1171</v>
      </c>
      <c r="G1020" s="25">
        <f t="shared" si="12"/>
        <v>-7.0609002647837871E-3</v>
      </c>
    </row>
    <row r="1021" spans="1:7">
      <c r="A1021" s="54">
        <v>22.69</v>
      </c>
      <c r="B1021" s="54">
        <v>22.76</v>
      </c>
      <c r="C1021" s="54">
        <v>22.34</v>
      </c>
      <c r="D1021" s="54">
        <v>22.34</v>
      </c>
      <c r="E1021" s="53">
        <v>188345</v>
      </c>
      <c r="F1021" s="53" t="s">
        <v>1172</v>
      </c>
      <c r="G1021" s="25">
        <f t="shared" si="12"/>
        <v>1.5666965085049389E-2</v>
      </c>
    </row>
    <row r="1022" spans="1:7">
      <c r="A1022" s="54">
        <v>21.9</v>
      </c>
      <c r="B1022" s="54">
        <v>22.135000000000002</v>
      </c>
      <c r="C1022" s="54">
        <v>21.495000000000001</v>
      </c>
      <c r="D1022" s="54">
        <v>21.69</v>
      </c>
      <c r="E1022" s="53">
        <v>220865</v>
      </c>
      <c r="F1022" s="53" t="s">
        <v>1173</v>
      </c>
      <c r="G1022" s="25">
        <f t="shared" si="12"/>
        <v>9.6818810511756226E-3</v>
      </c>
    </row>
    <row r="1023" spans="1:7">
      <c r="A1023" s="54">
        <v>21.57</v>
      </c>
      <c r="B1023" s="54">
        <v>22.14</v>
      </c>
      <c r="C1023" s="54">
        <v>21.31</v>
      </c>
      <c r="D1023" s="54">
        <v>21.73</v>
      </c>
      <c r="E1023" s="53">
        <v>109210</v>
      </c>
      <c r="F1023" s="53" t="s">
        <v>1174</v>
      </c>
      <c r="G1023" s="25">
        <f t="shared" ref="G1023:G1086" si="13">A1023/D1023-1</f>
        <v>-7.3630924988494773E-3</v>
      </c>
    </row>
    <row r="1024" spans="1:7">
      <c r="A1024" s="54">
        <v>21.94</v>
      </c>
      <c r="B1024" s="54">
        <v>22.83</v>
      </c>
      <c r="C1024" s="54">
        <v>21.131</v>
      </c>
      <c r="D1024" s="54">
        <v>21.89</v>
      </c>
      <c r="E1024" s="53">
        <v>298828</v>
      </c>
      <c r="F1024" s="53" t="s">
        <v>1175</v>
      </c>
      <c r="G1024" s="25">
        <f t="shared" si="13"/>
        <v>2.2841480127913094E-3</v>
      </c>
    </row>
    <row r="1025" spans="1:7">
      <c r="A1025" s="54">
        <v>22.38</v>
      </c>
      <c r="B1025" s="54">
        <v>22.39</v>
      </c>
      <c r="C1025" s="54">
        <v>21.51</v>
      </c>
      <c r="D1025" s="54">
        <v>21.68</v>
      </c>
      <c r="E1025" s="53">
        <v>306068</v>
      </c>
      <c r="F1025" s="53" t="s">
        <v>1176</v>
      </c>
      <c r="G1025" s="25">
        <f t="shared" si="13"/>
        <v>3.2287822878228845E-2</v>
      </c>
    </row>
    <row r="1026" spans="1:7">
      <c r="A1026" s="54">
        <v>21.56</v>
      </c>
      <c r="B1026" s="54">
        <v>21.64</v>
      </c>
      <c r="C1026" s="54">
        <v>20.37</v>
      </c>
      <c r="D1026" s="54">
        <v>20.67</v>
      </c>
      <c r="E1026" s="53">
        <v>198530</v>
      </c>
      <c r="F1026" s="53" t="s">
        <v>1177</v>
      </c>
      <c r="G1026" s="25">
        <f t="shared" si="13"/>
        <v>4.3057571359458091E-2</v>
      </c>
    </row>
    <row r="1027" spans="1:7">
      <c r="A1027" s="54">
        <v>20.67</v>
      </c>
      <c r="B1027" s="54">
        <v>20.851600000000001</v>
      </c>
      <c r="C1027" s="54">
        <v>20.36</v>
      </c>
      <c r="D1027" s="54">
        <v>20.5</v>
      </c>
      <c r="E1027" s="53">
        <v>191861</v>
      </c>
      <c r="F1027" s="53" t="s">
        <v>1178</v>
      </c>
      <c r="G1027" s="25">
        <f t="shared" si="13"/>
        <v>8.2926829268292757E-3</v>
      </c>
    </row>
    <row r="1028" spans="1:7">
      <c r="A1028" s="54">
        <v>20.58</v>
      </c>
      <c r="B1028" s="54">
        <v>20.82</v>
      </c>
      <c r="C1028" s="54">
        <v>20.190000000000001</v>
      </c>
      <c r="D1028" s="54">
        <v>20.440000000000001</v>
      </c>
      <c r="E1028" s="53">
        <v>187926</v>
      </c>
      <c r="F1028" s="53" t="s">
        <v>1179</v>
      </c>
      <c r="G1028" s="25">
        <f t="shared" si="13"/>
        <v>6.849315068492956E-3</v>
      </c>
    </row>
    <row r="1029" spans="1:7">
      <c r="A1029" s="54">
        <v>20.48</v>
      </c>
      <c r="B1029" s="54">
        <v>21.04</v>
      </c>
      <c r="C1029" s="54">
        <v>20.38</v>
      </c>
      <c r="D1029" s="54">
        <v>20.64</v>
      </c>
      <c r="E1029" s="53">
        <v>171385</v>
      </c>
      <c r="F1029" s="53" t="s">
        <v>1180</v>
      </c>
      <c r="G1029" s="25">
        <f t="shared" si="13"/>
        <v>-7.7519379844961378E-3</v>
      </c>
    </row>
    <row r="1030" spans="1:7">
      <c r="A1030" s="54">
        <v>20.91</v>
      </c>
      <c r="B1030" s="54">
        <v>21.71</v>
      </c>
      <c r="C1030" s="54">
        <v>20.350000000000001</v>
      </c>
      <c r="D1030" s="54">
        <v>21.28</v>
      </c>
      <c r="E1030" s="53">
        <v>286228</v>
      </c>
      <c r="F1030" s="53" t="s">
        <v>1181</v>
      </c>
      <c r="G1030" s="25">
        <f t="shared" si="13"/>
        <v>-1.7387218045112784E-2</v>
      </c>
    </row>
    <row r="1031" spans="1:7">
      <c r="A1031" s="54">
        <v>21.31</v>
      </c>
      <c r="B1031" s="54">
        <v>21.77</v>
      </c>
      <c r="C1031" s="54">
        <v>20.984999999999999</v>
      </c>
      <c r="D1031" s="54">
        <v>21.72</v>
      </c>
      <c r="E1031" s="53">
        <v>296248</v>
      </c>
      <c r="F1031" s="53" t="s">
        <v>1182</v>
      </c>
      <c r="G1031" s="25">
        <f t="shared" si="13"/>
        <v>-1.8876611418047862E-2</v>
      </c>
    </row>
    <row r="1032" spans="1:7">
      <c r="A1032" s="54">
        <v>21.63</v>
      </c>
      <c r="B1032" s="54">
        <v>21.67</v>
      </c>
      <c r="C1032" s="54">
        <v>20.72</v>
      </c>
      <c r="D1032" s="54">
        <v>20.81</v>
      </c>
      <c r="E1032" s="53">
        <v>390343</v>
      </c>
      <c r="F1032" s="53" t="s">
        <v>1183</v>
      </c>
      <c r="G1032" s="25">
        <f t="shared" si="13"/>
        <v>3.940413262854392E-2</v>
      </c>
    </row>
    <row r="1033" spans="1:7">
      <c r="A1033" s="54">
        <v>21.01</v>
      </c>
      <c r="B1033" s="54">
        <v>21.03</v>
      </c>
      <c r="C1033" s="54">
        <v>20.059999999999999</v>
      </c>
      <c r="D1033" s="54">
        <v>20.41</v>
      </c>
      <c r="E1033" s="53">
        <v>435424</v>
      </c>
      <c r="F1033" s="53" t="s">
        <v>1184</v>
      </c>
      <c r="G1033" s="25">
        <f t="shared" si="13"/>
        <v>2.9397354238118734E-2</v>
      </c>
    </row>
    <row r="1034" spans="1:7">
      <c r="A1034" s="54">
        <v>20.46</v>
      </c>
      <c r="B1034" s="54">
        <v>21.7</v>
      </c>
      <c r="C1034" s="54">
        <v>20.03</v>
      </c>
      <c r="D1034" s="54">
        <v>21.6</v>
      </c>
      <c r="E1034" s="53">
        <v>437089</v>
      </c>
      <c r="F1034" s="53" t="s">
        <v>1185</v>
      </c>
      <c r="G1034" s="25">
        <f t="shared" si="13"/>
        <v>-5.2777777777777812E-2</v>
      </c>
    </row>
    <row r="1035" spans="1:7">
      <c r="A1035" s="54">
        <v>21.28</v>
      </c>
      <c r="B1035" s="54">
        <v>22.69</v>
      </c>
      <c r="C1035" s="54">
        <v>20.71</v>
      </c>
      <c r="D1035" s="54">
        <v>22.17</v>
      </c>
      <c r="E1035" s="53">
        <v>477700</v>
      </c>
      <c r="F1035" s="53" t="s">
        <v>1186</v>
      </c>
      <c r="G1035" s="25">
        <f t="shared" si="13"/>
        <v>-4.0144339197113244E-2</v>
      </c>
    </row>
    <row r="1036" spans="1:7">
      <c r="A1036" s="54">
        <v>22</v>
      </c>
      <c r="B1036" s="54">
        <v>22.48</v>
      </c>
      <c r="C1036" s="54">
        <v>21.53</v>
      </c>
      <c r="D1036" s="54">
        <v>22.48</v>
      </c>
      <c r="E1036" s="53">
        <v>503418</v>
      </c>
      <c r="F1036" s="53" t="s">
        <v>1187</v>
      </c>
      <c r="G1036" s="25">
        <f t="shared" si="13"/>
        <v>-2.1352313167259829E-2</v>
      </c>
    </row>
    <row r="1037" spans="1:7">
      <c r="A1037" s="54">
        <v>22.82</v>
      </c>
      <c r="B1037" s="54">
        <v>23.14</v>
      </c>
      <c r="C1037" s="54">
        <v>21.33</v>
      </c>
      <c r="D1037" s="54">
        <v>21.71</v>
      </c>
      <c r="E1037" s="53">
        <v>570663</v>
      </c>
      <c r="F1037" s="53" t="s">
        <v>1188</v>
      </c>
      <c r="G1037" s="25">
        <f t="shared" si="13"/>
        <v>5.1128512206356502E-2</v>
      </c>
    </row>
    <row r="1038" spans="1:7">
      <c r="A1038" s="54">
        <v>22.12</v>
      </c>
      <c r="B1038" s="54">
        <v>22.85</v>
      </c>
      <c r="C1038" s="54">
        <v>21.87</v>
      </c>
      <c r="D1038" s="54">
        <v>21.94</v>
      </c>
      <c r="E1038" s="53">
        <v>470809</v>
      </c>
      <c r="F1038" s="53" t="s">
        <v>1189</v>
      </c>
      <c r="G1038" s="25">
        <f t="shared" si="13"/>
        <v>8.2041932543299723E-3</v>
      </c>
    </row>
    <row r="1039" spans="1:7">
      <c r="A1039" s="54">
        <v>22.19</v>
      </c>
      <c r="B1039" s="54">
        <v>23.16</v>
      </c>
      <c r="C1039" s="54">
        <v>21.98</v>
      </c>
      <c r="D1039" s="54">
        <v>22.22</v>
      </c>
      <c r="E1039" s="53">
        <v>356077</v>
      </c>
      <c r="F1039" s="53" t="s">
        <v>1190</v>
      </c>
      <c r="G1039" s="25">
        <f t="shared" si="13"/>
        <v>-1.3501350135012302E-3</v>
      </c>
    </row>
    <row r="1040" spans="1:7">
      <c r="A1040" s="54">
        <v>22.05</v>
      </c>
      <c r="B1040" s="54">
        <v>23</v>
      </c>
      <c r="C1040" s="54">
        <v>21.89</v>
      </c>
      <c r="D1040" s="54">
        <v>22.46</v>
      </c>
      <c r="E1040" s="53">
        <v>443635</v>
      </c>
      <c r="F1040" s="53" t="s">
        <v>1191</v>
      </c>
      <c r="G1040" s="25">
        <f t="shared" si="13"/>
        <v>-1.825467497773825E-2</v>
      </c>
    </row>
    <row r="1041" spans="1:7">
      <c r="A1041" s="54">
        <v>22.51</v>
      </c>
      <c r="B1041" s="54">
        <v>22.96</v>
      </c>
      <c r="C1041" s="54">
        <v>21.91</v>
      </c>
      <c r="D1041" s="54">
        <v>22.24</v>
      </c>
      <c r="E1041" s="53">
        <v>421733</v>
      </c>
      <c r="F1041" s="53" t="s">
        <v>1192</v>
      </c>
      <c r="G1041" s="25">
        <f t="shared" si="13"/>
        <v>1.2140287769784264E-2</v>
      </c>
    </row>
    <row r="1042" spans="1:7">
      <c r="A1042" s="54">
        <v>22.63</v>
      </c>
      <c r="B1042" s="54">
        <v>22.71</v>
      </c>
      <c r="C1042" s="54">
        <v>21.589500000000001</v>
      </c>
      <c r="D1042" s="54">
        <v>21.96</v>
      </c>
      <c r="E1042" s="53">
        <v>313421</v>
      </c>
      <c r="F1042" s="53" t="s">
        <v>1193</v>
      </c>
      <c r="G1042" s="25">
        <f t="shared" si="13"/>
        <v>3.0510018214936263E-2</v>
      </c>
    </row>
    <row r="1043" spans="1:7">
      <c r="A1043" s="54">
        <v>22.46</v>
      </c>
      <c r="B1043" s="54">
        <v>24.09</v>
      </c>
      <c r="C1043" s="54">
        <v>22.44</v>
      </c>
      <c r="D1043" s="54">
        <v>23.67</v>
      </c>
      <c r="E1043" s="53">
        <v>590168</v>
      </c>
      <c r="F1043" s="53" t="s">
        <v>1194</v>
      </c>
      <c r="G1043" s="25">
        <f t="shared" si="13"/>
        <v>-5.1119560625264127E-2</v>
      </c>
    </row>
    <row r="1044" spans="1:7">
      <c r="A1044" s="54">
        <v>22.08</v>
      </c>
      <c r="B1044" s="54">
        <v>23.745000000000001</v>
      </c>
      <c r="C1044" s="54">
        <v>21.97</v>
      </c>
      <c r="D1044" s="54">
        <v>23.16</v>
      </c>
      <c r="E1044" s="53">
        <v>584033</v>
      </c>
      <c r="F1044" s="53" t="s">
        <v>1195</v>
      </c>
      <c r="G1044" s="25">
        <f t="shared" si="13"/>
        <v>-4.6632124352331661E-2</v>
      </c>
    </row>
    <row r="1045" spans="1:7">
      <c r="A1045" s="54">
        <v>23.45</v>
      </c>
      <c r="B1045" s="54">
        <v>23.71</v>
      </c>
      <c r="C1045" s="54">
        <v>22.35</v>
      </c>
      <c r="D1045" s="54">
        <v>22.74</v>
      </c>
      <c r="E1045" s="53">
        <v>488747</v>
      </c>
      <c r="F1045" s="53" t="s">
        <v>1196</v>
      </c>
      <c r="G1045" s="25">
        <f t="shared" si="13"/>
        <v>3.1222515391380767E-2</v>
      </c>
    </row>
    <row r="1046" spans="1:7">
      <c r="A1046" s="54">
        <v>22.67</v>
      </c>
      <c r="B1046" s="54">
        <v>23.26</v>
      </c>
      <c r="C1046" s="54">
        <v>22.324999999999999</v>
      </c>
      <c r="D1046" s="54">
        <v>23.02</v>
      </c>
      <c r="E1046" s="53">
        <v>502558</v>
      </c>
      <c r="F1046" s="53" t="s">
        <v>1197</v>
      </c>
      <c r="G1046" s="25">
        <f t="shared" si="13"/>
        <v>-1.5204170286707064E-2</v>
      </c>
    </row>
    <row r="1047" spans="1:7">
      <c r="A1047" s="54">
        <v>23.43</v>
      </c>
      <c r="B1047" s="54">
        <v>23.88</v>
      </c>
      <c r="C1047" s="54">
        <v>22.41</v>
      </c>
      <c r="D1047" s="54">
        <v>23.83</v>
      </c>
      <c r="E1047" s="53">
        <v>886035</v>
      </c>
      <c r="F1047" s="53" t="s">
        <v>1198</v>
      </c>
      <c r="G1047" s="25">
        <f t="shared" si="13"/>
        <v>-1.6785564414603438E-2</v>
      </c>
    </row>
    <row r="1048" spans="1:7">
      <c r="A1048" s="54">
        <v>24.46</v>
      </c>
      <c r="B1048" s="54">
        <v>26.36</v>
      </c>
      <c r="C1048" s="54">
        <v>23.54</v>
      </c>
      <c r="D1048" s="54">
        <v>24.19</v>
      </c>
      <c r="E1048" s="53">
        <v>1128671</v>
      </c>
      <c r="F1048" s="53" t="s">
        <v>1199</v>
      </c>
      <c r="G1048" s="25">
        <f t="shared" si="13"/>
        <v>1.1161637040099093E-2</v>
      </c>
    </row>
    <row r="1049" spans="1:7">
      <c r="A1049" s="54">
        <v>27.74</v>
      </c>
      <c r="B1049" s="54">
        <v>30</v>
      </c>
      <c r="C1049" s="54">
        <v>27.53</v>
      </c>
      <c r="D1049" s="54">
        <v>28.98</v>
      </c>
      <c r="E1049" s="53">
        <v>479262</v>
      </c>
      <c r="F1049" s="53" t="s">
        <v>1200</v>
      </c>
      <c r="G1049" s="25">
        <f t="shared" si="13"/>
        <v>-4.2788129744651515E-2</v>
      </c>
    </row>
    <row r="1050" spans="1:7">
      <c r="A1050" s="54">
        <v>29.09</v>
      </c>
      <c r="B1050" s="54">
        <v>29.97</v>
      </c>
      <c r="C1050" s="54">
        <v>28.89</v>
      </c>
      <c r="D1050" s="54">
        <v>29.54</v>
      </c>
      <c r="E1050" s="53">
        <v>461935</v>
      </c>
      <c r="F1050" s="53" t="s">
        <v>1201</v>
      </c>
      <c r="G1050" s="25">
        <f t="shared" si="13"/>
        <v>-1.5233581584292444E-2</v>
      </c>
    </row>
    <row r="1051" spans="1:7">
      <c r="A1051" s="54">
        <v>29.16</v>
      </c>
      <c r="B1051" s="54">
        <v>29.18</v>
      </c>
      <c r="C1051" s="54">
        <v>27.41</v>
      </c>
      <c r="D1051" s="54">
        <v>29.08</v>
      </c>
      <c r="E1051" s="53">
        <v>317581</v>
      </c>
      <c r="F1051" s="53" t="s">
        <v>1202</v>
      </c>
      <c r="G1051" s="25">
        <f t="shared" si="13"/>
        <v>2.7510316368639653E-3</v>
      </c>
    </row>
    <row r="1052" spans="1:7">
      <c r="A1052" s="54">
        <v>27.58</v>
      </c>
      <c r="B1052" s="54">
        <v>28.51</v>
      </c>
      <c r="C1052" s="54">
        <v>27.484999999999999</v>
      </c>
      <c r="D1052" s="54">
        <v>28.29</v>
      </c>
      <c r="E1052" s="53">
        <v>250966</v>
      </c>
      <c r="F1052" s="53" t="s">
        <v>1203</v>
      </c>
      <c r="G1052" s="25">
        <f t="shared" si="13"/>
        <v>-2.5097207493814055E-2</v>
      </c>
    </row>
    <row r="1053" spans="1:7">
      <c r="A1053" s="54">
        <v>28.2</v>
      </c>
      <c r="B1053" s="54">
        <v>28.58</v>
      </c>
      <c r="C1053" s="54">
        <v>27.88</v>
      </c>
      <c r="D1053" s="54">
        <v>28.33</v>
      </c>
      <c r="E1053" s="53">
        <v>179392</v>
      </c>
      <c r="F1053" s="53" t="s">
        <v>1204</v>
      </c>
      <c r="G1053" s="25">
        <f t="shared" si="13"/>
        <v>-4.5887751500176543E-3</v>
      </c>
    </row>
    <row r="1054" spans="1:7">
      <c r="A1054" s="54">
        <v>28.25</v>
      </c>
      <c r="B1054" s="54">
        <v>28.7</v>
      </c>
      <c r="C1054" s="54">
        <v>27.885000000000002</v>
      </c>
      <c r="D1054" s="54">
        <v>28.4</v>
      </c>
      <c r="E1054" s="53">
        <v>139265</v>
      </c>
      <c r="F1054" s="53" t="s">
        <v>1205</v>
      </c>
      <c r="G1054" s="25">
        <f t="shared" si="13"/>
        <v>-5.2816901408450079E-3</v>
      </c>
    </row>
    <row r="1055" spans="1:7">
      <c r="A1055" s="54">
        <v>28.37</v>
      </c>
      <c r="B1055" s="54">
        <v>29.16</v>
      </c>
      <c r="C1055" s="54">
        <v>27.9</v>
      </c>
      <c r="D1055" s="54">
        <v>28.68</v>
      </c>
      <c r="E1055" s="53">
        <v>151018</v>
      </c>
      <c r="F1055" s="53" t="s">
        <v>1206</v>
      </c>
      <c r="G1055" s="25">
        <f t="shared" si="13"/>
        <v>-1.0808926080892567E-2</v>
      </c>
    </row>
    <row r="1056" spans="1:7">
      <c r="A1056" s="54">
        <v>28.95</v>
      </c>
      <c r="B1056" s="54">
        <v>29.05</v>
      </c>
      <c r="C1056" s="54">
        <v>27.932500000000001</v>
      </c>
      <c r="D1056" s="54">
        <v>28.15</v>
      </c>
      <c r="E1056" s="53">
        <v>224232</v>
      </c>
      <c r="F1056" s="53" t="s">
        <v>1207</v>
      </c>
      <c r="G1056" s="25">
        <f t="shared" si="13"/>
        <v>2.8419182948490329E-2</v>
      </c>
    </row>
    <row r="1057" spans="1:7">
      <c r="A1057" s="54">
        <v>28.21</v>
      </c>
      <c r="B1057" s="54">
        <v>28.35</v>
      </c>
      <c r="C1057" s="54">
        <v>27.55</v>
      </c>
      <c r="D1057" s="54">
        <v>27.72</v>
      </c>
      <c r="E1057" s="53">
        <v>148919</v>
      </c>
      <c r="F1057" s="53" t="s">
        <v>1208</v>
      </c>
      <c r="G1057" s="25">
        <f t="shared" si="13"/>
        <v>1.7676767676767735E-2</v>
      </c>
    </row>
    <row r="1058" spans="1:7">
      <c r="A1058" s="54">
        <v>27.64</v>
      </c>
      <c r="B1058" s="54">
        <v>27.72</v>
      </c>
      <c r="C1058" s="54">
        <v>26.3935</v>
      </c>
      <c r="D1058" s="54">
        <v>26.67</v>
      </c>
      <c r="E1058" s="53">
        <v>183930</v>
      </c>
      <c r="F1058" s="53" t="s">
        <v>1209</v>
      </c>
      <c r="G1058" s="25">
        <f t="shared" si="13"/>
        <v>3.6370453693288285E-2</v>
      </c>
    </row>
    <row r="1059" spans="1:7">
      <c r="A1059" s="54">
        <v>26.65</v>
      </c>
      <c r="B1059" s="54">
        <v>26.66</v>
      </c>
      <c r="C1059" s="54">
        <v>25.67</v>
      </c>
      <c r="D1059" s="54">
        <v>25.87</v>
      </c>
      <c r="E1059" s="53">
        <v>121799</v>
      </c>
      <c r="F1059" s="53" t="s">
        <v>1210</v>
      </c>
      <c r="G1059" s="25">
        <f t="shared" si="13"/>
        <v>3.015075376884413E-2</v>
      </c>
    </row>
    <row r="1060" spans="1:7">
      <c r="A1060" s="54">
        <v>25.43</v>
      </c>
      <c r="B1060" s="54">
        <v>25.61</v>
      </c>
      <c r="C1060" s="54">
        <v>24.93</v>
      </c>
      <c r="D1060" s="54">
        <v>25.5</v>
      </c>
      <c r="E1060" s="53">
        <v>172513</v>
      </c>
      <c r="F1060" s="53" t="s">
        <v>1211</v>
      </c>
      <c r="G1060" s="25">
        <f t="shared" si="13"/>
        <v>-2.7450980392157431E-3</v>
      </c>
    </row>
    <row r="1061" spans="1:7">
      <c r="A1061" s="54">
        <v>25.85</v>
      </c>
      <c r="B1061" s="54">
        <v>26.04</v>
      </c>
      <c r="C1061" s="54">
        <v>24.66</v>
      </c>
      <c r="D1061" s="54">
        <v>24.95</v>
      </c>
      <c r="E1061" s="53">
        <v>1315821</v>
      </c>
      <c r="F1061" s="53" t="s">
        <v>1212</v>
      </c>
      <c r="G1061" s="25">
        <f t="shared" si="13"/>
        <v>3.607214428857719E-2</v>
      </c>
    </row>
    <row r="1062" spans="1:7">
      <c r="A1062" s="54">
        <v>24.91</v>
      </c>
      <c r="B1062" s="54">
        <v>25.61</v>
      </c>
      <c r="C1062" s="54">
        <v>24.53</v>
      </c>
      <c r="D1062" s="54">
        <v>25.13</v>
      </c>
      <c r="E1062" s="53">
        <v>294382</v>
      </c>
      <c r="F1062" s="53" t="s">
        <v>1213</v>
      </c>
      <c r="G1062" s="25">
        <f t="shared" si="13"/>
        <v>-8.7544767210504526E-3</v>
      </c>
    </row>
    <row r="1063" spans="1:7">
      <c r="A1063" s="54">
        <v>24.98</v>
      </c>
      <c r="B1063" s="54">
        <v>25.055</v>
      </c>
      <c r="C1063" s="54">
        <v>24.09</v>
      </c>
      <c r="D1063" s="54">
        <v>24.27</v>
      </c>
      <c r="E1063" s="53">
        <v>203089</v>
      </c>
      <c r="F1063" s="53" t="s">
        <v>1214</v>
      </c>
      <c r="G1063" s="25">
        <f t="shared" si="13"/>
        <v>2.9254223320972494E-2</v>
      </c>
    </row>
    <row r="1064" spans="1:7">
      <c r="A1064" s="54">
        <v>24.35</v>
      </c>
      <c r="B1064" s="54">
        <v>25.535</v>
      </c>
      <c r="C1064" s="54">
        <v>24.24</v>
      </c>
      <c r="D1064" s="54">
        <v>24.97</v>
      </c>
      <c r="E1064" s="53">
        <v>167111</v>
      </c>
      <c r="F1064" s="53" t="s">
        <v>1215</v>
      </c>
      <c r="G1064" s="25">
        <f t="shared" si="13"/>
        <v>-2.4829795754905737E-2</v>
      </c>
    </row>
    <row r="1065" spans="1:7">
      <c r="A1065" s="54">
        <v>25.1</v>
      </c>
      <c r="B1065" s="54">
        <v>25.67</v>
      </c>
      <c r="C1065" s="54">
        <v>24.64</v>
      </c>
      <c r="D1065" s="54">
        <v>25.24</v>
      </c>
      <c r="E1065" s="53">
        <v>208177</v>
      </c>
      <c r="F1065" s="53" t="s">
        <v>1216</v>
      </c>
      <c r="G1065" s="25">
        <f t="shared" si="13"/>
        <v>-5.5467511885893828E-3</v>
      </c>
    </row>
    <row r="1066" spans="1:7">
      <c r="A1066" s="54">
        <v>25.37</v>
      </c>
      <c r="B1066" s="54">
        <v>26.22</v>
      </c>
      <c r="C1066" s="54">
        <v>25.15</v>
      </c>
      <c r="D1066" s="54">
        <v>26.22</v>
      </c>
      <c r="E1066" s="53">
        <v>160951</v>
      </c>
      <c r="F1066" s="53" t="s">
        <v>1217</v>
      </c>
      <c r="G1066" s="25">
        <f t="shared" si="13"/>
        <v>-3.2418001525552964E-2</v>
      </c>
    </row>
    <row r="1067" spans="1:7">
      <c r="A1067" s="54">
        <v>25.67</v>
      </c>
      <c r="B1067" s="54">
        <v>26.23</v>
      </c>
      <c r="C1067" s="54">
        <v>25.39</v>
      </c>
      <c r="D1067" s="54">
        <v>26.18</v>
      </c>
      <c r="E1067" s="53">
        <v>217853</v>
      </c>
      <c r="F1067" s="53" t="s">
        <v>1218</v>
      </c>
      <c r="G1067" s="25">
        <f t="shared" si="13"/>
        <v>-1.9480519480519431E-2</v>
      </c>
    </row>
    <row r="1068" spans="1:7">
      <c r="A1068" s="54">
        <v>26.48</v>
      </c>
      <c r="B1068" s="54">
        <v>26.79</v>
      </c>
      <c r="C1068" s="54">
        <v>25.98</v>
      </c>
      <c r="D1068" s="54">
        <v>26.54</v>
      </c>
      <c r="E1068" s="53">
        <v>104711</v>
      </c>
      <c r="F1068" s="53" t="s">
        <v>1219</v>
      </c>
      <c r="G1068" s="25">
        <f t="shared" si="13"/>
        <v>-2.2607385079125297E-3</v>
      </c>
    </row>
    <row r="1069" spans="1:7">
      <c r="A1069" s="54">
        <v>26.49</v>
      </c>
      <c r="B1069" s="54">
        <v>27.01</v>
      </c>
      <c r="C1069" s="54">
        <v>25.7</v>
      </c>
      <c r="D1069" s="54">
        <v>26.33</v>
      </c>
      <c r="E1069" s="53">
        <v>147752</v>
      </c>
      <c r="F1069" s="53" t="s">
        <v>1220</v>
      </c>
      <c r="G1069" s="25">
        <f t="shared" si="13"/>
        <v>6.0767185719712291E-3</v>
      </c>
    </row>
    <row r="1070" spans="1:7">
      <c r="A1070" s="54">
        <v>25.87</v>
      </c>
      <c r="B1070" s="54">
        <v>26.5</v>
      </c>
      <c r="C1070" s="54">
        <v>25.245000000000001</v>
      </c>
      <c r="D1070" s="54">
        <v>25.94</v>
      </c>
      <c r="E1070" s="53">
        <v>279926</v>
      </c>
      <c r="F1070" s="53" t="s">
        <v>1221</v>
      </c>
      <c r="G1070" s="25">
        <f t="shared" si="13"/>
        <v>-2.6985350809560771E-3</v>
      </c>
    </row>
    <row r="1071" spans="1:7">
      <c r="A1071" s="54">
        <v>25.64</v>
      </c>
      <c r="B1071" s="54">
        <v>27.31</v>
      </c>
      <c r="C1071" s="54">
        <v>25.41</v>
      </c>
      <c r="D1071" s="54">
        <v>26.55</v>
      </c>
      <c r="E1071" s="53">
        <v>208768</v>
      </c>
      <c r="F1071" s="53" t="s">
        <v>1222</v>
      </c>
      <c r="G1071" s="25">
        <f t="shared" si="13"/>
        <v>-3.4274952919020718E-2</v>
      </c>
    </row>
    <row r="1072" spans="1:7">
      <c r="A1072" s="54">
        <v>26.55</v>
      </c>
      <c r="B1072" s="54">
        <v>26.73</v>
      </c>
      <c r="C1072" s="54">
        <v>25.37</v>
      </c>
      <c r="D1072" s="54">
        <v>25.58</v>
      </c>
      <c r="E1072" s="53">
        <v>116240</v>
      </c>
      <c r="F1072" s="53" t="s">
        <v>1223</v>
      </c>
      <c r="G1072" s="25">
        <f t="shared" si="13"/>
        <v>3.792025019546541E-2</v>
      </c>
    </row>
    <row r="1073" spans="1:7">
      <c r="A1073" s="54">
        <v>25.49</v>
      </c>
      <c r="B1073" s="54">
        <v>28.12</v>
      </c>
      <c r="C1073" s="54">
        <v>25.49</v>
      </c>
      <c r="D1073" s="54">
        <v>26.43</v>
      </c>
      <c r="E1073" s="53">
        <v>196487</v>
      </c>
      <c r="F1073" s="53" t="s">
        <v>1224</v>
      </c>
      <c r="G1073" s="25">
        <f t="shared" si="13"/>
        <v>-3.5565645100264942E-2</v>
      </c>
    </row>
    <row r="1074" spans="1:7">
      <c r="A1074" s="54">
        <v>25.75</v>
      </c>
      <c r="B1074" s="54">
        <v>26.76</v>
      </c>
      <c r="C1074" s="54">
        <v>25.59</v>
      </c>
      <c r="D1074" s="54">
        <v>26.34</v>
      </c>
      <c r="E1074" s="53">
        <v>386956</v>
      </c>
      <c r="F1074" s="53" t="s">
        <v>1225</v>
      </c>
      <c r="G1074" s="25">
        <f t="shared" si="13"/>
        <v>-2.2399392558845821E-2</v>
      </c>
    </row>
    <row r="1075" spans="1:7">
      <c r="A1075" s="54">
        <v>26.67</v>
      </c>
      <c r="B1075" s="54">
        <v>28.364999999999998</v>
      </c>
      <c r="C1075" s="54">
        <v>26.57</v>
      </c>
      <c r="D1075" s="54">
        <v>26.94</v>
      </c>
      <c r="E1075" s="53">
        <v>187875</v>
      </c>
      <c r="F1075" s="53" t="s">
        <v>1226</v>
      </c>
      <c r="G1075" s="25">
        <f t="shared" si="13"/>
        <v>-1.0022271714921982E-2</v>
      </c>
    </row>
    <row r="1076" spans="1:7">
      <c r="A1076" s="54">
        <v>27.22</v>
      </c>
      <c r="B1076" s="54">
        <v>28.76</v>
      </c>
      <c r="C1076" s="54">
        <v>27.17</v>
      </c>
      <c r="D1076" s="54">
        <v>28.18</v>
      </c>
      <c r="E1076" s="53">
        <v>118414</v>
      </c>
      <c r="F1076" s="53" t="s">
        <v>1227</v>
      </c>
      <c r="G1076" s="25">
        <f t="shared" si="13"/>
        <v>-3.4066713981547259E-2</v>
      </c>
    </row>
    <row r="1077" spans="1:7">
      <c r="A1077" s="54">
        <v>28.85</v>
      </c>
      <c r="B1077" s="54">
        <v>29.01</v>
      </c>
      <c r="C1077" s="54">
        <v>27.475000000000001</v>
      </c>
      <c r="D1077" s="54">
        <v>27.98</v>
      </c>
      <c r="E1077" s="53">
        <v>154627</v>
      </c>
      <c r="F1077" s="53" t="s">
        <v>1228</v>
      </c>
      <c r="G1077" s="25">
        <f t="shared" si="13"/>
        <v>3.1093638313080874E-2</v>
      </c>
    </row>
    <row r="1078" spans="1:7">
      <c r="A1078" s="54">
        <v>28.16</v>
      </c>
      <c r="B1078" s="54">
        <v>28.6</v>
      </c>
      <c r="C1078" s="54">
        <v>27.7</v>
      </c>
      <c r="D1078" s="54">
        <v>28.37</v>
      </c>
      <c r="E1078" s="53">
        <v>152759</v>
      </c>
      <c r="F1078" s="53" t="s">
        <v>1229</v>
      </c>
      <c r="G1078" s="25">
        <f t="shared" si="13"/>
        <v>-7.402185407120232E-3</v>
      </c>
    </row>
    <row r="1079" spans="1:7">
      <c r="A1079" s="54">
        <v>28.4</v>
      </c>
      <c r="B1079" s="54">
        <v>29.1</v>
      </c>
      <c r="C1079" s="54">
        <v>28.2</v>
      </c>
      <c r="D1079" s="54">
        <v>28.86</v>
      </c>
      <c r="E1079" s="53">
        <v>142634</v>
      </c>
      <c r="F1079" s="53" t="s">
        <v>1230</v>
      </c>
      <c r="G1079" s="25">
        <f t="shared" si="13"/>
        <v>-1.5939015939015921E-2</v>
      </c>
    </row>
    <row r="1080" spans="1:7">
      <c r="A1080" s="54">
        <v>28.52</v>
      </c>
      <c r="B1080" s="54">
        <v>28.91</v>
      </c>
      <c r="C1080" s="54">
        <v>28.257000000000001</v>
      </c>
      <c r="D1080" s="54">
        <v>28.66</v>
      </c>
      <c r="E1080" s="53">
        <v>83520</v>
      </c>
      <c r="F1080" s="53" t="s">
        <v>1231</v>
      </c>
      <c r="G1080" s="25">
        <f t="shared" si="13"/>
        <v>-4.8848569434752909E-3</v>
      </c>
    </row>
    <row r="1081" spans="1:7">
      <c r="A1081" s="54">
        <v>28.85</v>
      </c>
      <c r="B1081" s="54">
        <v>29.51</v>
      </c>
      <c r="C1081" s="54">
        <v>28.61</v>
      </c>
      <c r="D1081" s="54">
        <v>29.51</v>
      </c>
      <c r="E1081" s="53">
        <v>143296</v>
      </c>
      <c r="F1081" s="53" t="s">
        <v>1232</v>
      </c>
      <c r="G1081" s="25">
        <f t="shared" si="13"/>
        <v>-2.2365299898339575E-2</v>
      </c>
    </row>
    <row r="1082" spans="1:7">
      <c r="A1082" s="54">
        <v>29.51</v>
      </c>
      <c r="B1082" s="54">
        <v>29.75</v>
      </c>
      <c r="C1082" s="54">
        <v>28.71</v>
      </c>
      <c r="D1082" s="54">
        <v>29.51</v>
      </c>
      <c r="E1082" s="53">
        <v>245507</v>
      </c>
      <c r="F1082" s="53" t="s">
        <v>1233</v>
      </c>
      <c r="G1082" s="25">
        <f t="shared" si="13"/>
        <v>0</v>
      </c>
    </row>
    <row r="1083" spans="1:7">
      <c r="A1083" s="54">
        <v>29.54</v>
      </c>
      <c r="B1083" s="54">
        <v>29.55</v>
      </c>
      <c r="C1083" s="54">
        <v>28.69</v>
      </c>
      <c r="D1083" s="54">
        <v>28.98</v>
      </c>
      <c r="E1083" s="53">
        <v>146946</v>
      </c>
      <c r="F1083" s="53" t="s">
        <v>1234</v>
      </c>
      <c r="G1083" s="25">
        <f t="shared" si="13"/>
        <v>1.9323671497584405E-2</v>
      </c>
    </row>
    <row r="1084" spans="1:7">
      <c r="A1084" s="54">
        <v>29.07</v>
      </c>
      <c r="B1084" s="54">
        <v>29.83</v>
      </c>
      <c r="C1084" s="54">
        <v>28.91</v>
      </c>
      <c r="D1084" s="54">
        <v>29.83</v>
      </c>
      <c r="E1084" s="53">
        <v>263365</v>
      </c>
      <c r="F1084" s="53" t="s">
        <v>1235</v>
      </c>
      <c r="G1084" s="25">
        <f t="shared" si="13"/>
        <v>-2.547770700636931E-2</v>
      </c>
    </row>
    <row r="1085" spans="1:7">
      <c r="A1085" s="54">
        <v>29.74</v>
      </c>
      <c r="B1085" s="54">
        <v>29.96</v>
      </c>
      <c r="C1085" s="54">
        <v>29.13</v>
      </c>
      <c r="D1085" s="54">
        <v>29.83</v>
      </c>
      <c r="E1085" s="53">
        <v>110946</v>
      </c>
      <c r="F1085" s="53" t="s">
        <v>1236</v>
      </c>
      <c r="G1085" s="25">
        <f t="shared" si="13"/>
        <v>-3.0170968823332034E-3</v>
      </c>
    </row>
    <row r="1086" spans="1:7">
      <c r="A1086" s="54">
        <v>29.56</v>
      </c>
      <c r="B1086" s="54">
        <v>30.004999999999999</v>
      </c>
      <c r="C1086" s="54">
        <v>29.37</v>
      </c>
      <c r="D1086" s="54">
        <v>29.74</v>
      </c>
      <c r="E1086" s="53">
        <v>132202</v>
      </c>
      <c r="F1086" s="53" t="s">
        <v>1237</v>
      </c>
      <c r="G1086" s="25">
        <f t="shared" si="13"/>
        <v>-6.0524546065904294E-3</v>
      </c>
    </row>
    <row r="1087" spans="1:7">
      <c r="A1087" s="54">
        <v>29.56</v>
      </c>
      <c r="B1087" s="54">
        <v>30.26</v>
      </c>
      <c r="C1087" s="54">
        <v>29.36</v>
      </c>
      <c r="D1087" s="54">
        <v>29.54</v>
      </c>
      <c r="E1087" s="53">
        <v>161835</v>
      </c>
      <c r="F1087" s="53" t="s">
        <v>1238</v>
      </c>
      <c r="G1087" s="25">
        <f t="shared" ref="G1087:G1150" si="14">A1087/D1087-1</f>
        <v>6.7704807041302217E-4</v>
      </c>
    </row>
    <row r="1088" spans="1:7">
      <c r="A1088" s="54">
        <v>29.77</v>
      </c>
      <c r="B1088" s="54">
        <v>30.44</v>
      </c>
      <c r="C1088" s="54">
        <v>29.71</v>
      </c>
      <c r="D1088" s="54">
        <v>30.44</v>
      </c>
      <c r="E1088" s="53">
        <v>126185</v>
      </c>
      <c r="F1088" s="53" t="s">
        <v>1239</v>
      </c>
      <c r="G1088" s="25">
        <f t="shared" si="14"/>
        <v>-2.2010512483574329E-2</v>
      </c>
    </row>
    <row r="1089" spans="1:7">
      <c r="A1089" s="54">
        <v>30.53</v>
      </c>
      <c r="B1089" s="54">
        <v>31.41</v>
      </c>
      <c r="C1089" s="54">
        <v>30.18</v>
      </c>
      <c r="D1089" s="54">
        <v>31.19</v>
      </c>
      <c r="E1089" s="53">
        <v>157065</v>
      </c>
      <c r="F1089" s="53" t="s">
        <v>1240</v>
      </c>
      <c r="G1089" s="25">
        <f t="shared" si="14"/>
        <v>-2.1160628406540538E-2</v>
      </c>
    </row>
    <row r="1090" spans="1:7">
      <c r="A1090" s="54">
        <v>30.97</v>
      </c>
      <c r="B1090" s="54">
        <v>32</v>
      </c>
      <c r="C1090" s="54">
        <v>30.51</v>
      </c>
      <c r="D1090" s="54">
        <v>30.58</v>
      </c>
      <c r="E1090" s="53">
        <v>307374</v>
      </c>
      <c r="F1090" s="53" t="s">
        <v>1241</v>
      </c>
      <c r="G1090" s="25">
        <f t="shared" si="14"/>
        <v>1.2753433616742971E-2</v>
      </c>
    </row>
    <row r="1091" spans="1:7">
      <c r="A1091" s="54">
        <v>30.48</v>
      </c>
      <c r="B1091" s="54">
        <v>31.49</v>
      </c>
      <c r="C1091" s="54">
        <v>30.36</v>
      </c>
      <c r="D1091" s="54">
        <v>31.2</v>
      </c>
      <c r="E1091" s="53">
        <v>296376</v>
      </c>
      <c r="F1091" s="53" t="s">
        <v>1242</v>
      </c>
      <c r="G1091" s="25">
        <f t="shared" si="14"/>
        <v>-2.3076923076922995E-2</v>
      </c>
    </row>
    <row r="1092" spans="1:7">
      <c r="A1092" s="54">
        <v>30.89</v>
      </c>
      <c r="B1092" s="54">
        <v>30.97</v>
      </c>
      <c r="C1092" s="54">
        <v>29.46</v>
      </c>
      <c r="D1092" s="54">
        <v>29.55</v>
      </c>
      <c r="E1092" s="53">
        <v>204694</v>
      </c>
      <c r="F1092" s="53" t="s">
        <v>1243</v>
      </c>
      <c r="G1092" s="25">
        <f t="shared" si="14"/>
        <v>4.5346869712352023E-2</v>
      </c>
    </row>
    <row r="1093" spans="1:7">
      <c r="A1093" s="54">
        <v>29.57</v>
      </c>
      <c r="B1093" s="54">
        <v>29.63</v>
      </c>
      <c r="C1093" s="54">
        <v>29.085000000000001</v>
      </c>
      <c r="D1093" s="54">
        <v>29.5</v>
      </c>
      <c r="E1093" s="53">
        <v>100049</v>
      </c>
      <c r="F1093" s="53" t="s">
        <v>1244</v>
      </c>
      <c r="G1093" s="25">
        <f t="shared" si="14"/>
        <v>2.372881355932277E-3</v>
      </c>
    </row>
    <row r="1094" spans="1:7">
      <c r="A1094" s="54">
        <v>29.37</v>
      </c>
      <c r="B1094" s="54">
        <v>29.54</v>
      </c>
      <c r="C1094" s="54">
        <v>28.32</v>
      </c>
      <c r="D1094" s="54">
        <v>28.69</v>
      </c>
      <c r="E1094" s="53">
        <v>191132</v>
      </c>
      <c r="F1094" s="53" t="s">
        <v>1245</v>
      </c>
      <c r="G1094" s="25">
        <f t="shared" si="14"/>
        <v>2.370163820146387E-2</v>
      </c>
    </row>
    <row r="1095" spans="1:7">
      <c r="A1095" s="54">
        <v>28.6</v>
      </c>
      <c r="B1095" s="54">
        <v>29.07</v>
      </c>
      <c r="C1095" s="54">
        <v>28.3</v>
      </c>
      <c r="D1095" s="54">
        <v>28.3</v>
      </c>
      <c r="E1095" s="53">
        <v>236853</v>
      </c>
      <c r="F1095" s="53" t="s">
        <v>1246</v>
      </c>
      <c r="G1095" s="25">
        <f t="shared" si="14"/>
        <v>1.0600706713780994E-2</v>
      </c>
    </row>
    <row r="1096" spans="1:7">
      <c r="A1096" s="54">
        <v>28.45</v>
      </c>
      <c r="B1096" s="54">
        <v>28.61</v>
      </c>
      <c r="C1096" s="54">
        <v>28.2516</v>
      </c>
      <c r="D1096" s="54">
        <v>28.5</v>
      </c>
      <c r="E1096" s="53">
        <v>134130</v>
      </c>
      <c r="F1096" s="53" t="s">
        <v>1247</v>
      </c>
      <c r="G1096" s="25">
        <f t="shared" si="14"/>
        <v>-1.7543859649122862E-3</v>
      </c>
    </row>
    <row r="1097" spans="1:7">
      <c r="A1097" s="54">
        <v>28.31</v>
      </c>
      <c r="B1097" s="54">
        <v>28.66</v>
      </c>
      <c r="C1097" s="54">
        <v>28.26</v>
      </c>
      <c r="D1097" s="54">
        <v>28.5</v>
      </c>
      <c r="E1097" s="53">
        <v>133153</v>
      </c>
      <c r="F1097" s="53" t="s">
        <v>1248</v>
      </c>
      <c r="G1097" s="25">
        <f t="shared" si="14"/>
        <v>-6.6666666666667096E-3</v>
      </c>
    </row>
    <row r="1098" spans="1:7">
      <c r="A1098" s="54">
        <v>28.49</v>
      </c>
      <c r="B1098" s="54">
        <v>28.805</v>
      </c>
      <c r="C1098" s="54">
        <v>28.1</v>
      </c>
      <c r="D1098" s="54">
        <v>28.51</v>
      </c>
      <c r="E1098" s="53">
        <v>276497</v>
      </c>
      <c r="F1098" s="53" t="s">
        <v>1249</v>
      </c>
      <c r="G1098" s="25">
        <f t="shared" si="14"/>
        <v>-7.0150824272197099E-4</v>
      </c>
    </row>
    <row r="1099" spans="1:7">
      <c r="A1099" s="54">
        <v>28.51</v>
      </c>
      <c r="B1099" s="54">
        <v>28.65</v>
      </c>
      <c r="C1099" s="54">
        <v>28.28</v>
      </c>
      <c r="D1099" s="54">
        <v>28.65</v>
      </c>
      <c r="E1099" s="53">
        <v>113641</v>
      </c>
      <c r="F1099" s="53" t="s">
        <v>1250</v>
      </c>
      <c r="G1099" s="25">
        <f t="shared" si="14"/>
        <v>-4.8865619546246686E-3</v>
      </c>
    </row>
    <row r="1100" spans="1:7">
      <c r="A1100" s="54">
        <v>28.54</v>
      </c>
      <c r="B1100" s="54">
        <v>28.87</v>
      </c>
      <c r="C1100" s="54">
        <v>28.195</v>
      </c>
      <c r="D1100" s="54">
        <v>28.65</v>
      </c>
      <c r="E1100" s="53">
        <v>112419</v>
      </c>
      <c r="F1100" s="53" t="s">
        <v>1251</v>
      </c>
      <c r="G1100" s="25">
        <f t="shared" si="14"/>
        <v>-3.8394415357766443E-3</v>
      </c>
    </row>
    <row r="1101" spans="1:7">
      <c r="A1101" s="54">
        <v>28.76</v>
      </c>
      <c r="B1101" s="54">
        <v>29.11</v>
      </c>
      <c r="C1101" s="54">
        <v>28.24</v>
      </c>
      <c r="D1101" s="54">
        <v>28.3</v>
      </c>
      <c r="E1101" s="53">
        <v>192026</v>
      </c>
      <c r="F1101" s="53" t="s">
        <v>1252</v>
      </c>
      <c r="G1101" s="25">
        <f t="shared" si="14"/>
        <v>1.6254416961130724E-2</v>
      </c>
    </row>
    <row r="1102" spans="1:7">
      <c r="A1102" s="54">
        <v>28.36</v>
      </c>
      <c r="B1102" s="54">
        <v>28.59</v>
      </c>
      <c r="C1102" s="54">
        <v>27.8</v>
      </c>
      <c r="D1102" s="54">
        <v>28.135000000000002</v>
      </c>
      <c r="E1102" s="53">
        <v>180722</v>
      </c>
      <c r="F1102" s="53" t="s">
        <v>1253</v>
      </c>
      <c r="G1102" s="25">
        <f t="shared" si="14"/>
        <v>7.9971565665539757E-3</v>
      </c>
    </row>
    <row r="1103" spans="1:7">
      <c r="A1103" s="54">
        <v>27.79</v>
      </c>
      <c r="B1103" s="54">
        <v>28.6</v>
      </c>
      <c r="C1103" s="54">
        <v>27.14</v>
      </c>
      <c r="D1103" s="54">
        <v>27.37</v>
      </c>
      <c r="E1103" s="53">
        <v>245183</v>
      </c>
      <c r="F1103" s="53" t="s">
        <v>1254</v>
      </c>
      <c r="G1103" s="25">
        <f t="shared" si="14"/>
        <v>1.5345268542199531E-2</v>
      </c>
    </row>
    <row r="1104" spans="1:7">
      <c r="A1104" s="54">
        <v>27.23</v>
      </c>
      <c r="B1104" s="54">
        <v>28</v>
      </c>
      <c r="C1104" s="54">
        <v>27.06</v>
      </c>
      <c r="D1104" s="54">
        <v>27.46</v>
      </c>
      <c r="E1104" s="53">
        <v>199177</v>
      </c>
      <c r="F1104" s="53" t="s">
        <v>1255</v>
      </c>
      <c r="G1104" s="25">
        <f t="shared" si="14"/>
        <v>-8.3758193736344078E-3</v>
      </c>
    </row>
    <row r="1105" spans="1:7">
      <c r="A1105" s="54">
        <v>27.37</v>
      </c>
      <c r="B1105" s="54">
        <v>28.53</v>
      </c>
      <c r="C1105" s="54">
        <v>27.14</v>
      </c>
      <c r="D1105" s="54">
        <v>27.19</v>
      </c>
      <c r="E1105" s="53">
        <v>419610</v>
      </c>
      <c r="F1105" s="53" t="s">
        <v>1256</v>
      </c>
      <c r="G1105" s="25">
        <f t="shared" si="14"/>
        <v>6.6200809120999793E-3</v>
      </c>
    </row>
    <row r="1106" spans="1:7">
      <c r="A1106" s="54">
        <v>25.76</v>
      </c>
      <c r="B1106" s="54">
        <v>26.35</v>
      </c>
      <c r="C1106" s="54">
        <v>25.47</v>
      </c>
      <c r="D1106" s="54">
        <v>26.29</v>
      </c>
      <c r="E1106" s="53">
        <v>142267</v>
      </c>
      <c r="F1106" s="53" t="s">
        <v>1257</v>
      </c>
      <c r="G1106" s="25">
        <f t="shared" si="14"/>
        <v>-2.0159756561430098E-2</v>
      </c>
    </row>
    <row r="1107" spans="1:7">
      <c r="A1107" s="54">
        <v>25.93</v>
      </c>
      <c r="B1107" s="54">
        <v>26.27</v>
      </c>
      <c r="C1107" s="54">
        <v>25.42</v>
      </c>
      <c r="D1107" s="54">
        <v>26.13</v>
      </c>
      <c r="E1107" s="53">
        <v>116758</v>
      </c>
      <c r="F1107" s="53" t="s">
        <v>1258</v>
      </c>
      <c r="G1107" s="25">
        <f t="shared" si="14"/>
        <v>-7.6540375047837728E-3</v>
      </c>
    </row>
    <row r="1108" spans="1:7">
      <c r="A1108" s="54">
        <v>25.92</v>
      </c>
      <c r="B1108" s="54">
        <v>26.07</v>
      </c>
      <c r="C1108" s="54">
        <v>25.4</v>
      </c>
      <c r="D1108" s="54">
        <v>25.82</v>
      </c>
      <c r="E1108" s="53">
        <v>159916</v>
      </c>
      <c r="F1108" s="53" t="s">
        <v>1259</v>
      </c>
      <c r="G1108" s="25">
        <f t="shared" si="14"/>
        <v>3.8729666924866013E-3</v>
      </c>
    </row>
    <row r="1109" spans="1:7">
      <c r="A1109" s="54">
        <v>25.62</v>
      </c>
      <c r="B1109" s="54">
        <v>26.25</v>
      </c>
      <c r="C1109" s="54">
        <v>25.55</v>
      </c>
      <c r="D1109" s="54">
        <v>26.01</v>
      </c>
      <c r="E1109" s="53">
        <v>172746</v>
      </c>
      <c r="F1109" s="53" t="s">
        <v>1260</v>
      </c>
      <c r="G1109" s="25">
        <f t="shared" si="14"/>
        <v>-1.4994232987312617E-2</v>
      </c>
    </row>
    <row r="1110" spans="1:7">
      <c r="A1110" s="54">
        <v>25.94</v>
      </c>
      <c r="B1110" s="54">
        <v>27.29</v>
      </c>
      <c r="C1110" s="54">
        <v>25.85</v>
      </c>
      <c r="D1110" s="54">
        <v>26.8</v>
      </c>
      <c r="E1110" s="53">
        <v>155685</v>
      </c>
      <c r="F1110" s="53" t="s">
        <v>1261</v>
      </c>
      <c r="G1110" s="25">
        <f t="shared" si="14"/>
        <v>-3.2089552238805941E-2</v>
      </c>
    </row>
    <row r="1111" spans="1:7">
      <c r="A1111" s="54">
        <v>26.63</v>
      </c>
      <c r="B1111" s="54">
        <v>27.45</v>
      </c>
      <c r="C1111" s="54">
        <v>26.495000000000001</v>
      </c>
      <c r="D1111" s="54">
        <v>26.83</v>
      </c>
      <c r="E1111" s="53">
        <v>172895</v>
      </c>
      <c r="F1111" s="53" t="s">
        <v>1262</v>
      </c>
      <c r="G1111" s="25">
        <f t="shared" si="14"/>
        <v>-7.4543421543048494E-3</v>
      </c>
    </row>
    <row r="1112" spans="1:7">
      <c r="A1112" s="54">
        <v>26.74</v>
      </c>
      <c r="B1112" s="54">
        <v>27.58</v>
      </c>
      <c r="C1112" s="54">
        <v>26.36</v>
      </c>
      <c r="D1112" s="54">
        <v>27.17</v>
      </c>
      <c r="E1112" s="53">
        <v>324047</v>
      </c>
      <c r="F1112" s="53" t="s">
        <v>1263</v>
      </c>
      <c r="G1112" s="25">
        <f t="shared" si="14"/>
        <v>-1.582627898417388E-2</v>
      </c>
    </row>
    <row r="1113" spans="1:7">
      <c r="A1113" s="54">
        <v>27.51</v>
      </c>
      <c r="B1113" s="54">
        <v>27.57</v>
      </c>
      <c r="C1113" s="54">
        <v>26.3</v>
      </c>
      <c r="D1113" s="54">
        <v>26.3</v>
      </c>
      <c r="E1113" s="53">
        <v>326653</v>
      </c>
      <c r="F1113" s="53" t="s">
        <v>1264</v>
      </c>
      <c r="G1113" s="25">
        <f t="shared" si="14"/>
        <v>4.6007604562737781E-2</v>
      </c>
    </row>
    <row r="1114" spans="1:7">
      <c r="A1114" s="54">
        <v>26.2</v>
      </c>
      <c r="B1114" s="54">
        <v>26.86</v>
      </c>
      <c r="C1114" s="54">
        <v>25.94</v>
      </c>
      <c r="D1114" s="54">
        <v>26.16</v>
      </c>
      <c r="E1114" s="53">
        <v>395554</v>
      </c>
      <c r="F1114" s="53" t="s">
        <v>1265</v>
      </c>
      <c r="G1114" s="25">
        <f t="shared" si="14"/>
        <v>1.5290519877675379E-3</v>
      </c>
    </row>
    <row r="1115" spans="1:7">
      <c r="A1115" s="54">
        <v>26.3</v>
      </c>
      <c r="B1115" s="54">
        <v>26.54</v>
      </c>
      <c r="C1115" s="54">
        <v>25.111999999999998</v>
      </c>
      <c r="D1115" s="54">
        <v>25.7</v>
      </c>
      <c r="E1115" s="53">
        <v>322345</v>
      </c>
      <c r="F1115" s="53" t="s">
        <v>1266</v>
      </c>
      <c r="G1115" s="25">
        <f t="shared" si="14"/>
        <v>2.3346303501945664E-2</v>
      </c>
    </row>
    <row r="1116" spans="1:7">
      <c r="A1116" s="54">
        <v>25.94</v>
      </c>
      <c r="B1116" s="54">
        <v>27.64</v>
      </c>
      <c r="C1116" s="54">
        <v>24.08</v>
      </c>
      <c r="D1116" s="54">
        <v>24.45</v>
      </c>
      <c r="E1116" s="53">
        <v>1036288</v>
      </c>
      <c r="F1116" s="53" t="s">
        <v>1267</v>
      </c>
      <c r="G1116" s="25">
        <f t="shared" si="14"/>
        <v>6.0940695296523684E-2</v>
      </c>
    </row>
    <row r="1117" spans="1:7">
      <c r="A1117" s="54">
        <v>23.36</v>
      </c>
      <c r="B1117" s="54">
        <v>23.8</v>
      </c>
      <c r="C1117" s="54">
        <v>23.26</v>
      </c>
      <c r="D1117" s="54">
        <v>23.51</v>
      </c>
      <c r="E1117" s="53">
        <v>250030</v>
      </c>
      <c r="F1117" s="53" t="s">
        <v>1268</v>
      </c>
      <c r="G1117" s="25">
        <f t="shared" si="14"/>
        <v>-6.3802637175670585E-3</v>
      </c>
    </row>
    <row r="1118" spans="1:7">
      <c r="A1118" s="54">
        <v>23.42</v>
      </c>
      <c r="B1118" s="54">
        <v>24.37</v>
      </c>
      <c r="C1118" s="54">
        <v>23.37</v>
      </c>
      <c r="D1118" s="54">
        <v>24.2</v>
      </c>
      <c r="E1118" s="53">
        <v>166820</v>
      </c>
      <c r="F1118" s="53" t="s">
        <v>1269</v>
      </c>
      <c r="G1118" s="25">
        <f t="shared" si="14"/>
        <v>-3.2231404958677601E-2</v>
      </c>
    </row>
    <row r="1119" spans="1:7">
      <c r="A1119" s="54">
        <v>24.23</v>
      </c>
      <c r="B1119" s="54">
        <v>24.566600000000001</v>
      </c>
      <c r="C1119" s="54">
        <v>24.014800000000001</v>
      </c>
      <c r="D1119" s="54">
        <v>24.12</v>
      </c>
      <c r="E1119" s="53">
        <v>147953</v>
      </c>
      <c r="F1119" s="53" t="s">
        <v>1270</v>
      </c>
      <c r="G1119" s="25">
        <f t="shared" si="14"/>
        <v>4.560530679933672E-3</v>
      </c>
    </row>
    <row r="1120" spans="1:7">
      <c r="A1120" s="54">
        <v>24.19</v>
      </c>
      <c r="B1120" s="54">
        <v>24.38</v>
      </c>
      <c r="C1120" s="54">
        <v>24.09</v>
      </c>
      <c r="D1120" s="54">
        <v>24.12</v>
      </c>
      <c r="E1120" s="53">
        <v>189655</v>
      </c>
      <c r="F1120" s="53" t="s">
        <v>1271</v>
      </c>
      <c r="G1120" s="25">
        <f t="shared" si="14"/>
        <v>2.9021558872304176E-3</v>
      </c>
    </row>
    <row r="1121" spans="1:7">
      <c r="A1121" s="54">
        <v>24.31</v>
      </c>
      <c r="B1121" s="54">
        <v>24.59</v>
      </c>
      <c r="C1121" s="54">
        <v>24.16</v>
      </c>
      <c r="D1121" s="54">
        <v>24.32</v>
      </c>
      <c r="E1121" s="53">
        <v>186124</v>
      </c>
      <c r="F1121" s="53" t="s">
        <v>1272</v>
      </c>
      <c r="G1121" s="25">
        <f t="shared" si="14"/>
        <v>-4.1118421052632748E-4</v>
      </c>
    </row>
    <row r="1122" spans="1:7">
      <c r="A1122" s="54">
        <v>24.22</v>
      </c>
      <c r="B1122" s="54">
        <v>24.675000000000001</v>
      </c>
      <c r="C1122" s="54">
        <v>23.83</v>
      </c>
      <c r="D1122" s="54">
        <v>24.04</v>
      </c>
      <c r="E1122" s="53">
        <v>264050</v>
      </c>
      <c r="F1122" s="53" t="s">
        <v>1273</v>
      </c>
      <c r="G1122" s="25">
        <f t="shared" si="14"/>
        <v>7.4875207986688785E-3</v>
      </c>
    </row>
    <row r="1123" spans="1:7">
      <c r="A1123" s="54">
        <v>23.96</v>
      </c>
      <c r="B1123" s="54">
        <v>24.76</v>
      </c>
      <c r="C1123" s="54">
        <v>23.67</v>
      </c>
      <c r="D1123" s="54">
        <v>24.32</v>
      </c>
      <c r="E1123" s="53">
        <v>318302</v>
      </c>
      <c r="F1123" s="53" t="s">
        <v>1274</v>
      </c>
      <c r="G1123" s="25">
        <f t="shared" si="14"/>
        <v>-1.4802631578947345E-2</v>
      </c>
    </row>
    <row r="1124" spans="1:7">
      <c r="A1124" s="54">
        <v>24.08</v>
      </c>
      <c r="B1124" s="54">
        <v>24.88</v>
      </c>
      <c r="C1124" s="54">
        <v>23.63</v>
      </c>
      <c r="D1124" s="54">
        <v>24.83</v>
      </c>
      <c r="E1124" s="53">
        <v>466015</v>
      </c>
      <c r="F1124" s="53" t="s">
        <v>1275</v>
      </c>
      <c r="G1124" s="25">
        <f t="shared" si="14"/>
        <v>-3.0205396697543296E-2</v>
      </c>
    </row>
    <row r="1125" spans="1:7">
      <c r="A1125" s="54">
        <v>25.31</v>
      </c>
      <c r="B1125" s="54">
        <v>27.105</v>
      </c>
      <c r="C1125" s="54">
        <v>25.04</v>
      </c>
      <c r="D1125" s="54">
        <v>26.99</v>
      </c>
      <c r="E1125" s="53">
        <v>796355</v>
      </c>
      <c r="F1125" s="53" t="s">
        <v>1276</v>
      </c>
      <c r="G1125" s="25">
        <f t="shared" si="14"/>
        <v>-6.2245276028158547E-2</v>
      </c>
    </row>
    <row r="1126" spans="1:7">
      <c r="A1126" s="54">
        <v>26.97</v>
      </c>
      <c r="B1126" s="54">
        <v>27.58</v>
      </c>
      <c r="C1126" s="54">
        <v>26.97</v>
      </c>
      <c r="D1126" s="54">
        <v>27.17</v>
      </c>
      <c r="E1126" s="53">
        <v>177733</v>
      </c>
      <c r="F1126" s="53" t="s">
        <v>1277</v>
      </c>
      <c r="G1126" s="25">
        <f t="shared" si="14"/>
        <v>-7.3610599926390297E-3</v>
      </c>
    </row>
    <row r="1127" spans="1:7">
      <c r="A1127" s="54">
        <v>27.18</v>
      </c>
      <c r="B1127" s="54">
        <v>27.484999999999999</v>
      </c>
      <c r="C1127" s="54">
        <v>26.98</v>
      </c>
      <c r="D1127" s="54">
        <v>27.19</v>
      </c>
      <c r="E1127" s="53">
        <v>170685</v>
      </c>
      <c r="F1127" s="53" t="s">
        <v>1278</v>
      </c>
      <c r="G1127" s="25">
        <f t="shared" si="14"/>
        <v>-3.6778227289446797E-4</v>
      </c>
    </row>
    <row r="1128" spans="1:7">
      <c r="A1128" s="54">
        <v>27.29</v>
      </c>
      <c r="B1128" s="54">
        <v>27.57</v>
      </c>
      <c r="C1128" s="54">
        <v>26.766500000000001</v>
      </c>
      <c r="D1128" s="54">
        <v>27.21</v>
      </c>
      <c r="E1128" s="53">
        <v>458602</v>
      </c>
      <c r="F1128" s="53" t="s">
        <v>1279</v>
      </c>
      <c r="G1128" s="25">
        <f t="shared" si="14"/>
        <v>2.9400955531053707E-3</v>
      </c>
    </row>
    <row r="1129" spans="1:7">
      <c r="A1129" s="54">
        <v>27.1</v>
      </c>
      <c r="B1129" s="54">
        <v>27.67</v>
      </c>
      <c r="C1129" s="54">
        <v>26.66</v>
      </c>
      <c r="D1129" s="54">
        <v>27.36</v>
      </c>
      <c r="E1129" s="53">
        <v>290943</v>
      </c>
      <c r="F1129" s="53" t="s">
        <v>1280</v>
      </c>
      <c r="G1129" s="25">
        <f t="shared" si="14"/>
        <v>-9.5029239766081242E-3</v>
      </c>
    </row>
    <row r="1130" spans="1:7">
      <c r="A1130" s="54">
        <v>27.1</v>
      </c>
      <c r="B1130" s="54">
        <v>27.7</v>
      </c>
      <c r="C1130" s="54">
        <v>26.96</v>
      </c>
      <c r="D1130" s="54">
        <v>27.7</v>
      </c>
      <c r="E1130" s="53">
        <v>131538</v>
      </c>
      <c r="F1130" s="53" t="s">
        <v>1281</v>
      </c>
      <c r="G1130" s="25">
        <f t="shared" si="14"/>
        <v>-2.166064981949456E-2</v>
      </c>
    </row>
    <row r="1131" spans="1:7">
      <c r="A1131" s="54">
        <v>27.46</v>
      </c>
      <c r="B1131" s="54">
        <v>27.965</v>
      </c>
      <c r="C1131" s="54">
        <v>27.11</v>
      </c>
      <c r="D1131" s="54">
        <v>27.53</v>
      </c>
      <c r="E1131" s="53">
        <v>183550</v>
      </c>
      <c r="F1131" s="53" t="s">
        <v>1282</v>
      </c>
      <c r="G1131" s="25">
        <f t="shared" si="14"/>
        <v>-2.5426807119506289E-3</v>
      </c>
    </row>
    <row r="1132" spans="1:7">
      <c r="A1132" s="54">
        <v>27.53</v>
      </c>
      <c r="B1132" s="54">
        <v>28.01</v>
      </c>
      <c r="C1132" s="54">
        <v>27.4145</v>
      </c>
      <c r="D1132" s="54">
        <v>27.92</v>
      </c>
      <c r="E1132" s="53">
        <v>310149</v>
      </c>
      <c r="F1132" s="53" t="s">
        <v>1283</v>
      </c>
      <c r="G1132" s="25">
        <f t="shared" si="14"/>
        <v>-1.3968481375358222E-2</v>
      </c>
    </row>
    <row r="1133" spans="1:7">
      <c r="A1133" s="54">
        <v>27.94</v>
      </c>
      <c r="B1133" s="54">
        <v>28.38</v>
      </c>
      <c r="C1133" s="54">
        <v>27.347999999999999</v>
      </c>
      <c r="D1133" s="54">
        <v>28.38</v>
      </c>
      <c r="E1133" s="53">
        <v>139449</v>
      </c>
      <c r="F1133" s="53" t="s">
        <v>1284</v>
      </c>
      <c r="G1133" s="25">
        <f t="shared" si="14"/>
        <v>-1.5503875968992165E-2</v>
      </c>
    </row>
    <row r="1134" spans="1:7">
      <c r="A1134" s="54">
        <v>28.41</v>
      </c>
      <c r="B1134" s="54">
        <v>28.84</v>
      </c>
      <c r="C1134" s="54">
        <v>28.16</v>
      </c>
      <c r="D1134" s="54">
        <v>28.5</v>
      </c>
      <c r="E1134" s="53">
        <v>260254</v>
      </c>
      <c r="F1134" s="53" t="s">
        <v>1285</v>
      </c>
      <c r="G1134" s="25">
        <f t="shared" si="14"/>
        <v>-3.1578947368421373E-3</v>
      </c>
    </row>
    <row r="1135" spans="1:7">
      <c r="A1135" s="54">
        <v>28.5</v>
      </c>
      <c r="B1135" s="54">
        <v>29.38</v>
      </c>
      <c r="C1135" s="54">
        <v>28.38</v>
      </c>
      <c r="D1135" s="54">
        <v>29.38</v>
      </c>
      <c r="E1135" s="53">
        <v>204703</v>
      </c>
      <c r="F1135" s="53" t="s">
        <v>1286</v>
      </c>
      <c r="G1135" s="25">
        <f t="shared" si="14"/>
        <v>-2.995234853641926E-2</v>
      </c>
    </row>
    <row r="1136" spans="1:7">
      <c r="A1136" s="54">
        <v>29.2</v>
      </c>
      <c r="B1136" s="54">
        <v>29.23</v>
      </c>
      <c r="C1136" s="54">
        <v>28.17</v>
      </c>
      <c r="D1136" s="54">
        <v>28.38</v>
      </c>
      <c r="E1136" s="53">
        <v>267817</v>
      </c>
      <c r="F1136" s="53" t="s">
        <v>1287</v>
      </c>
      <c r="G1136" s="25">
        <f t="shared" si="14"/>
        <v>2.8893587033121948E-2</v>
      </c>
    </row>
    <row r="1137" spans="1:7">
      <c r="A1137" s="54">
        <v>28.3</v>
      </c>
      <c r="B1137" s="54">
        <v>28.58</v>
      </c>
      <c r="C1137" s="54">
        <v>28.045000000000002</v>
      </c>
      <c r="D1137" s="54">
        <v>28.54</v>
      </c>
      <c r="E1137" s="53">
        <v>145876</v>
      </c>
      <c r="F1137" s="53" t="s">
        <v>1288</v>
      </c>
      <c r="G1137" s="25">
        <f t="shared" si="14"/>
        <v>-8.4092501751926729E-3</v>
      </c>
    </row>
    <row r="1138" spans="1:7">
      <c r="A1138" s="54">
        <v>28.49</v>
      </c>
      <c r="B1138" s="54">
        <v>28.55</v>
      </c>
      <c r="C1138" s="54">
        <v>28.18</v>
      </c>
      <c r="D1138" s="54">
        <v>28.3</v>
      </c>
      <c r="E1138" s="53">
        <v>111301</v>
      </c>
      <c r="F1138" s="53" t="s">
        <v>1289</v>
      </c>
      <c r="G1138" s="25">
        <f t="shared" si="14"/>
        <v>6.7137809187278741E-3</v>
      </c>
    </row>
    <row r="1139" spans="1:7">
      <c r="A1139" s="54">
        <v>28.22</v>
      </c>
      <c r="B1139" s="54">
        <v>28.23</v>
      </c>
      <c r="C1139" s="54">
        <v>27.73</v>
      </c>
      <c r="D1139" s="54">
        <v>27.76</v>
      </c>
      <c r="E1139" s="53">
        <v>136893</v>
      </c>
      <c r="F1139" s="53" t="s">
        <v>1290</v>
      </c>
      <c r="G1139" s="25">
        <f t="shared" si="14"/>
        <v>1.6570605187319787E-2</v>
      </c>
    </row>
    <row r="1140" spans="1:7">
      <c r="A1140" s="54">
        <v>27.58</v>
      </c>
      <c r="B1140" s="54">
        <v>27.74</v>
      </c>
      <c r="C1140" s="54">
        <v>27.3</v>
      </c>
      <c r="D1140" s="54">
        <v>27.71</v>
      </c>
      <c r="E1140" s="53">
        <v>160935</v>
      </c>
      <c r="F1140" s="53" t="s">
        <v>1291</v>
      </c>
      <c r="G1140" s="25">
        <f t="shared" si="14"/>
        <v>-4.6914471309997818E-3</v>
      </c>
    </row>
    <row r="1141" spans="1:7">
      <c r="A1141" s="54">
        <v>27.67</v>
      </c>
      <c r="B1141" s="54">
        <v>28.0044</v>
      </c>
      <c r="C1141" s="54">
        <v>27.64</v>
      </c>
      <c r="D1141" s="54">
        <v>27.91</v>
      </c>
      <c r="E1141" s="53">
        <v>181489</v>
      </c>
      <c r="F1141" s="53" t="s">
        <v>1292</v>
      </c>
      <c r="G1141" s="25">
        <f t="shared" si="14"/>
        <v>-8.5990684342529544E-3</v>
      </c>
    </row>
    <row r="1142" spans="1:7">
      <c r="A1142" s="54">
        <v>27.91</v>
      </c>
      <c r="B1142" s="54">
        <v>28.04</v>
      </c>
      <c r="C1142" s="54">
        <v>27.56</v>
      </c>
      <c r="D1142" s="54">
        <v>27.56</v>
      </c>
      <c r="E1142" s="53">
        <v>112236</v>
      </c>
      <c r="F1142" s="53" t="s">
        <v>1293</v>
      </c>
      <c r="G1142" s="25">
        <f t="shared" si="14"/>
        <v>1.2699564586357015E-2</v>
      </c>
    </row>
    <row r="1143" spans="1:7">
      <c r="A1143" s="54">
        <v>27.82</v>
      </c>
      <c r="B1143" s="54">
        <v>28.27</v>
      </c>
      <c r="C1143" s="54">
        <v>27.53</v>
      </c>
      <c r="D1143" s="54">
        <v>28.05</v>
      </c>
      <c r="E1143" s="53">
        <v>95675</v>
      </c>
      <c r="F1143" s="53" t="s">
        <v>1294</v>
      </c>
      <c r="G1143" s="25">
        <f t="shared" si="14"/>
        <v>-8.1996434937611218E-3</v>
      </c>
    </row>
    <row r="1144" spans="1:7">
      <c r="A1144" s="54">
        <v>27.96</v>
      </c>
      <c r="B1144" s="54">
        <v>28</v>
      </c>
      <c r="C1144" s="54">
        <v>27.25</v>
      </c>
      <c r="D1144" s="54">
        <v>27.25</v>
      </c>
      <c r="E1144" s="53">
        <v>152316</v>
      </c>
      <c r="F1144" s="53" t="s">
        <v>1295</v>
      </c>
      <c r="G1144" s="25">
        <f t="shared" si="14"/>
        <v>2.6055045871559601E-2</v>
      </c>
    </row>
    <row r="1145" spans="1:7">
      <c r="A1145" s="54">
        <v>27.36</v>
      </c>
      <c r="B1145" s="54">
        <v>27.51</v>
      </c>
      <c r="C1145" s="54">
        <v>26.66</v>
      </c>
      <c r="D1145" s="54">
        <v>26.66</v>
      </c>
      <c r="E1145" s="53">
        <v>220875</v>
      </c>
      <c r="F1145" s="53" t="s">
        <v>1296</v>
      </c>
      <c r="G1145" s="25">
        <f t="shared" si="14"/>
        <v>2.6256564141035277E-2</v>
      </c>
    </row>
    <row r="1146" spans="1:7">
      <c r="A1146" s="54">
        <v>26.95</v>
      </c>
      <c r="B1146" s="54">
        <v>27.74</v>
      </c>
      <c r="C1146" s="54">
        <v>26.94</v>
      </c>
      <c r="D1146" s="54">
        <v>27.35</v>
      </c>
      <c r="E1146" s="53">
        <v>133197</v>
      </c>
      <c r="F1146" s="53" t="s">
        <v>1297</v>
      </c>
      <c r="G1146" s="25">
        <f t="shared" si="14"/>
        <v>-1.4625228519195677E-2</v>
      </c>
    </row>
    <row r="1147" spans="1:7">
      <c r="A1147" s="54">
        <v>27.3</v>
      </c>
      <c r="B1147" s="54">
        <v>27.35</v>
      </c>
      <c r="C1147" s="54">
        <v>26.75</v>
      </c>
      <c r="D1147" s="54">
        <v>26.82</v>
      </c>
      <c r="E1147" s="53">
        <v>217142</v>
      </c>
      <c r="F1147" s="53" t="s">
        <v>1298</v>
      </c>
      <c r="G1147" s="25">
        <f t="shared" si="14"/>
        <v>1.7897091722595126E-2</v>
      </c>
    </row>
    <row r="1148" spans="1:7">
      <c r="A1148" s="54">
        <v>27.03</v>
      </c>
      <c r="B1148" s="54">
        <v>27.14</v>
      </c>
      <c r="C1148" s="54">
        <v>26.785</v>
      </c>
      <c r="D1148" s="54">
        <v>27.14</v>
      </c>
      <c r="E1148" s="53">
        <v>215295</v>
      </c>
      <c r="F1148" s="53" t="s">
        <v>1299</v>
      </c>
      <c r="G1148" s="25">
        <f t="shared" si="14"/>
        <v>-4.0530582166543594E-3</v>
      </c>
    </row>
    <row r="1149" spans="1:7">
      <c r="A1149" s="54">
        <v>27.14</v>
      </c>
      <c r="B1149" s="54">
        <v>27.66</v>
      </c>
      <c r="C1149" s="54">
        <v>26.91</v>
      </c>
      <c r="D1149" s="54">
        <v>27.39</v>
      </c>
      <c r="E1149" s="53">
        <v>172764</v>
      </c>
      <c r="F1149" s="53" t="s">
        <v>1300</v>
      </c>
      <c r="G1149" s="25">
        <f t="shared" si="14"/>
        <v>-9.1274187659730055E-3</v>
      </c>
    </row>
    <row r="1150" spans="1:7">
      <c r="A1150" s="54">
        <v>27.29</v>
      </c>
      <c r="B1150" s="54">
        <v>27.31</v>
      </c>
      <c r="C1150" s="54">
        <v>26.83</v>
      </c>
      <c r="D1150" s="54">
        <v>26.95</v>
      </c>
      <c r="E1150" s="53">
        <v>147108</v>
      </c>
      <c r="F1150" s="53" t="s">
        <v>1301</v>
      </c>
      <c r="G1150" s="25">
        <f t="shared" si="14"/>
        <v>1.2615955473098239E-2</v>
      </c>
    </row>
    <row r="1151" spans="1:7">
      <c r="A1151" s="54">
        <v>27.04</v>
      </c>
      <c r="B1151" s="54">
        <v>27.478000000000002</v>
      </c>
      <c r="C1151" s="54">
        <v>26.54</v>
      </c>
      <c r="D1151" s="54">
        <v>27.02</v>
      </c>
      <c r="E1151" s="53">
        <v>528520</v>
      </c>
      <c r="F1151" s="53" t="s">
        <v>1302</v>
      </c>
      <c r="G1151" s="25">
        <f t="shared" ref="G1151:G1193" si="15">A1151/D1151-1</f>
        <v>7.4019245003698053E-4</v>
      </c>
    </row>
    <row r="1152" spans="1:7">
      <c r="A1152" s="54">
        <v>26.97</v>
      </c>
      <c r="B1152" s="54">
        <v>27.29</v>
      </c>
      <c r="C1152" s="54">
        <v>26.674299999999999</v>
      </c>
      <c r="D1152" s="54">
        <v>27.15</v>
      </c>
      <c r="E1152" s="53">
        <v>166102</v>
      </c>
      <c r="F1152" s="53" t="s">
        <v>1303</v>
      </c>
      <c r="G1152" s="25">
        <f t="shared" si="15"/>
        <v>-6.6298342541436517E-3</v>
      </c>
    </row>
    <row r="1153" spans="1:7">
      <c r="A1153" s="54">
        <v>27.06</v>
      </c>
      <c r="B1153" s="54">
        <v>27.45</v>
      </c>
      <c r="C1153" s="54">
        <v>26.75</v>
      </c>
      <c r="D1153" s="54">
        <v>27.04</v>
      </c>
      <c r="E1153" s="53">
        <v>151099</v>
      </c>
      <c r="F1153" s="53" t="s">
        <v>1304</v>
      </c>
      <c r="G1153" s="25">
        <f t="shared" si="15"/>
        <v>7.3964497041423272E-4</v>
      </c>
    </row>
    <row r="1154" spans="1:7">
      <c r="A1154" s="54">
        <v>27.18</v>
      </c>
      <c r="B1154" s="54">
        <v>27.86</v>
      </c>
      <c r="C1154" s="54">
        <v>27.114999999999998</v>
      </c>
      <c r="D1154" s="54">
        <v>27.86</v>
      </c>
      <c r="E1154" s="53">
        <v>88776</v>
      </c>
      <c r="F1154" s="53" t="s">
        <v>1305</v>
      </c>
      <c r="G1154" s="25">
        <f t="shared" si="15"/>
        <v>-2.4407753050969094E-2</v>
      </c>
    </row>
    <row r="1155" spans="1:7">
      <c r="A1155" s="54">
        <v>27.55</v>
      </c>
      <c r="B1155" s="54">
        <v>27.57</v>
      </c>
      <c r="C1155" s="54">
        <v>26.44</v>
      </c>
      <c r="D1155" s="54">
        <v>26.92</v>
      </c>
      <c r="E1155" s="53">
        <v>200220</v>
      </c>
      <c r="F1155" s="53" t="s">
        <v>1306</v>
      </c>
      <c r="G1155" s="25">
        <f t="shared" si="15"/>
        <v>2.3402674591381789E-2</v>
      </c>
    </row>
    <row r="1156" spans="1:7">
      <c r="A1156" s="54">
        <v>26.92</v>
      </c>
      <c r="B1156" s="54">
        <v>27.479900000000001</v>
      </c>
      <c r="C1156" s="54">
        <v>26.68</v>
      </c>
      <c r="D1156" s="54">
        <v>27.08</v>
      </c>
      <c r="E1156" s="53">
        <v>331388</v>
      </c>
      <c r="F1156" s="53" t="s">
        <v>1307</v>
      </c>
      <c r="G1156" s="25">
        <f t="shared" si="15"/>
        <v>-5.9084194977842008E-3</v>
      </c>
    </row>
    <row r="1157" spans="1:7">
      <c r="A1157" s="54">
        <v>27.25</v>
      </c>
      <c r="B1157" s="54">
        <v>27.31</v>
      </c>
      <c r="C1157" s="54">
        <v>26.714200000000002</v>
      </c>
      <c r="D1157" s="54">
        <v>27.19</v>
      </c>
      <c r="E1157" s="53">
        <v>440333</v>
      </c>
      <c r="F1157" s="53" t="s">
        <v>1308</v>
      </c>
      <c r="G1157" s="25">
        <f t="shared" si="15"/>
        <v>2.2066936373665857E-3</v>
      </c>
    </row>
    <row r="1158" spans="1:7">
      <c r="A1158" s="54">
        <v>26.97</v>
      </c>
      <c r="B1158" s="54">
        <v>27.2</v>
      </c>
      <c r="C1158" s="54">
        <v>26.664999999999999</v>
      </c>
      <c r="D1158" s="54">
        <v>26.87</v>
      </c>
      <c r="E1158" s="53">
        <v>277983</v>
      </c>
      <c r="F1158" s="53" t="s">
        <v>1309</v>
      </c>
      <c r="G1158" s="25">
        <f t="shared" si="15"/>
        <v>3.7216226274654485E-3</v>
      </c>
    </row>
    <row r="1159" spans="1:7">
      <c r="A1159" s="54">
        <v>26.63</v>
      </c>
      <c r="B1159" s="54">
        <v>26.83</v>
      </c>
      <c r="C1159" s="54">
        <v>26.3</v>
      </c>
      <c r="D1159" s="54">
        <v>26.53</v>
      </c>
      <c r="E1159" s="53">
        <v>211655</v>
      </c>
      <c r="F1159" s="53" t="s">
        <v>1310</v>
      </c>
      <c r="G1159" s="25">
        <f t="shared" si="15"/>
        <v>3.7693177534865452E-3</v>
      </c>
    </row>
    <row r="1160" spans="1:7">
      <c r="A1160" s="54">
        <v>26.5</v>
      </c>
      <c r="B1160" s="54">
        <v>26.69</v>
      </c>
      <c r="C1160" s="54">
        <v>26.23</v>
      </c>
      <c r="D1160" s="54">
        <v>26.5</v>
      </c>
      <c r="E1160" s="53">
        <v>94933</v>
      </c>
      <c r="F1160" s="53" t="s">
        <v>1311</v>
      </c>
      <c r="G1160" s="25">
        <f t="shared" si="15"/>
        <v>0</v>
      </c>
    </row>
    <row r="1161" spans="1:7">
      <c r="A1161" s="54">
        <v>26.43</v>
      </c>
      <c r="B1161" s="54">
        <v>26.95</v>
      </c>
      <c r="C1161" s="54">
        <v>26.09</v>
      </c>
      <c r="D1161" s="54">
        <v>26.58</v>
      </c>
      <c r="E1161" s="53">
        <v>188677</v>
      </c>
      <c r="F1161" s="53" t="s">
        <v>1312</v>
      </c>
      <c r="G1161" s="25">
        <f t="shared" si="15"/>
        <v>-5.6433408577877264E-3</v>
      </c>
    </row>
    <row r="1162" spans="1:7">
      <c r="A1162" s="54">
        <v>26.57</v>
      </c>
      <c r="B1162" s="54">
        <v>26.64</v>
      </c>
      <c r="C1162" s="54">
        <v>25.511099999999999</v>
      </c>
      <c r="D1162" s="54">
        <v>26.02</v>
      </c>
      <c r="E1162" s="53">
        <v>209928</v>
      </c>
      <c r="F1162" s="53" t="s">
        <v>1313</v>
      </c>
      <c r="G1162" s="25">
        <f t="shared" si="15"/>
        <v>2.1137586471944747E-2</v>
      </c>
    </row>
    <row r="1163" spans="1:7">
      <c r="A1163" s="54">
        <v>26.1</v>
      </c>
      <c r="B1163" s="54">
        <v>26.4</v>
      </c>
      <c r="C1163" s="54">
        <v>25.88</v>
      </c>
      <c r="D1163" s="54">
        <v>26.21</v>
      </c>
      <c r="E1163" s="53">
        <v>125944</v>
      </c>
      <c r="F1163" s="53" t="s">
        <v>1314</v>
      </c>
      <c r="G1163" s="25">
        <f t="shared" si="15"/>
        <v>-4.1968714231209736E-3</v>
      </c>
    </row>
    <row r="1164" spans="1:7">
      <c r="A1164" s="54">
        <v>26.16</v>
      </c>
      <c r="B1164" s="54">
        <v>26.23</v>
      </c>
      <c r="C1164" s="54">
        <v>25.66</v>
      </c>
      <c r="D1164" s="54">
        <v>26.15</v>
      </c>
      <c r="E1164" s="53">
        <v>104063</v>
      </c>
      <c r="F1164" s="53" t="s">
        <v>1315</v>
      </c>
      <c r="G1164" s="25">
        <f t="shared" si="15"/>
        <v>3.8240917782039752E-4</v>
      </c>
    </row>
    <row r="1165" spans="1:7">
      <c r="A1165" s="54">
        <v>26.01</v>
      </c>
      <c r="B1165" s="54">
        <v>27.38</v>
      </c>
      <c r="C1165" s="54">
        <v>25.65</v>
      </c>
      <c r="D1165" s="54">
        <v>27.38</v>
      </c>
      <c r="E1165" s="53">
        <v>114168</v>
      </c>
      <c r="F1165" s="53" t="s">
        <v>1316</v>
      </c>
      <c r="G1165" s="25">
        <f t="shared" si="15"/>
        <v>-5.0036523009495903E-2</v>
      </c>
    </row>
    <row r="1166" spans="1:7">
      <c r="A1166" s="54">
        <v>26.49</v>
      </c>
      <c r="B1166" s="54">
        <v>26.594999999999999</v>
      </c>
      <c r="C1166" s="54">
        <v>25.81</v>
      </c>
      <c r="D1166" s="54">
        <v>25.81</v>
      </c>
      <c r="E1166" s="53">
        <v>158988</v>
      </c>
      <c r="F1166" s="53" t="s">
        <v>1317</v>
      </c>
      <c r="G1166" s="25">
        <f t="shared" si="15"/>
        <v>2.6346377373111185E-2</v>
      </c>
    </row>
    <row r="1167" spans="1:7">
      <c r="A1167" s="54">
        <v>25.81</v>
      </c>
      <c r="B1167" s="54">
        <v>26.26</v>
      </c>
      <c r="C1167" s="54">
        <v>24.64</v>
      </c>
      <c r="D1167" s="54">
        <v>24.79</v>
      </c>
      <c r="E1167" s="53">
        <v>209405</v>
      </c>
      <c r="F1167" s="53" t="s">
        <v>1318</v>
      </c>
      <c r="G1167" s="25">
        <f t="shared" si="15"/>
        <v>4.1145623235175455E-2</v>
      </c>
    </row>
    <row r="1168" spans="1:7">
      <c r="A1168" s="54">
        <v>24.76</v>
      </c>
      <c r="B1168" s="54">
        <v>25.96</v>
      </c>
      <c r="C1168" s="54">
        <v>24.52</v>
      </c>
      <c r="D1168" s="54">
        <v>25.6</v>
      </c>
      <c r="E1168" s="53">
        <v>288718</v>
      </c>
      <c r="F1168" s="53" t="s">
        <v>1319</v>
      </c>
      <c r="G1168" s="25">
        <f t="shared" si="15"/>
        <v>-3.2812500000000022E-2</v>
      </c>
    </row>
    <row r="1169" spans="1:7">
      <c r="A1169" s="54">
        <v>25.98</v>
      </c>
      <c r="B1169" s="54">
        <v>26.16</v>
      </c>
      <c r="C1169" s="54">
        <v>25.155000000000001</v>
      </c>
      <c r="D1169" s="54">
        <v>26.06</v>
      </c>
      <c r="E1169" s="53">
        <v>309303</v>
      </c>
      <c r="F1169" s="53" t="s">
        <v>1320</v>
      </c>
      <c r="G1169" s="25">
        <f t="shared" si="15"/>
        <v>-3.0698388334611248E-3</v>
      </c>
    </row>
    <row r="1170" spans="1:7">
      <c r="A1170" s="54">
        <v>26.06</v>
      </c>
      <c r="B1170" s="54">
        <v>27.12</v>
      </c>
      <c r="C1170" s="54">
        <v>24.29</v>
      </c>
      <c r="D1170" s="54">
        <v>26.36</v>
      </c>
      <c r="E1170" s="53">
        <v>581959</v>
      </c>
      <c r="F1170" s="53" t="s">
        <v>1321</v>
      </c>
      <c r="G1170" s="25">
        <f t="shared" si="15"/>
        <v>-1.1380880121396042E-2</v>
      </c>
    </row>
    <row r="1171" spans="1:7">
      <c r="A1171" s="54">
        <v>26.43</v>
      </c>
      <c r="B1171" s="54">
        <v>28.21</v>
      </c>
      <c r="C1171" s="54">
        <v>26.265000000000001</v>
      </c>
      <c r="D1171" s="54">
        <v>27.41</v>
      </c>
      <c r="E1171" s="53">
        <v>376517</v>
      </c>
      <c r="F1171" s="53" t="s">
        <v>1322</v>
      </c>
      <c r="G1171" s="25">
        <f t="shared" si="15"/>
        <v>-3.5753374680773442E-2</v>
      </c>
    </row>
    <row r="1172" spans="1:7">
      <c r="A1172" s="54">
        <v>27.44</v>
      </c>
      <c r="B1172" s="54">
        <v>30.25</v>
      </c>
      <c r="C1172" s="54">
        <v>27.105</v>
      </c>
      <c r="D1172" s="54">
        <v>28.14</v>
      </c>
      <c r="E1172" s="53">
        <v>618391</v>
      </c>
      <c r="F1172" s="53" t="s">
        <v>1323</v>
      </c>
      <c r="G1172" s="25">
        <f t="shared" si="15"/>
        <v>-2.4875621890547261E-2</v>
      </c>
    </row>
    <row r="1173" spans="1:7">
      <c r="A1173" s="54">
        <v>28.41</v>
      </c>
      <c r="B1173" s="54">
        <v>28.824999999999999</v>
      </c>
      <c r="C1173" s="54">
        <v>28.017800000000001</v>
      </c>
      <c r="D1173" s="54">
        <v>28.16</v>
      </c>
      <c r="E1173" s="53">
        <v>588894</v>
      </c>
      <c r="F1173" s="53" t="s">
        <v>1324</v>
      </c>
      <c r="G1173" s="25">
        <f t="shared" si="15"/>
        <v>8.8778409090908283E-3</v>
      </c>
    </row>
    <row r="1174" spans="1:7">
      <c r="A1174" s="54">
        <v>28.11</v>
      </c>
      <c r="B1174" s="54">
        <v>28.75</v>
      </c>
      <c r="C1174" s="54">
        <v>27.64</v>
      </c>
      <c r="D1174" s="54">
        <v>27.9</v>
      </c>
      <c r="E1174" s="53">
        <v>309069</v>
      </c>
      <c r="F1174" s="53" t="s">
        <v>1325</v>
      </c>
      <c r="G1174" s="25">
        <f t="shared" si="15"/>
        <v>7.5268817204301453E-3</v>
      </c>
    </row>
    <row r="1175" spans="1:7">
      <c r="A1175" s="54">
        <v>27.32</v>
      </c>
      <c r="B1175" s="54">
        <v>27.6</v>
      </c>
      <c r="C1175" s="54">
        <v>26.44</v>
      </c>
      <c r="D1175" s="54">
        <v>26.79</v>
      </c>
      <c r="E1175" s="53">
        <v>303939</v>
      </c>
      <c r="F1175" s="53" t="s">
        <v>1326</v>
      </c>
      <c r="G1175" s="25">
        <f t="shared" si="15"/>
        <v>1.9783501306457785E-2</v>
      </c>
    </row>
    <row r="1176" spans="1:7">
      <c r="A1176" s="54">
        <v>27.24</v>
      </c>
      <c r="B1176" s="54">
        <v>27.5</v>
      </c>
      <c r="C1176" s="54">
        <v>26.8</v>
      </c>
      <c r="D1176" s="54">
        <v>27.13</v>
      </c>
      <c r="E1176" s="53">
        <v>186823</v>
      </c>
      <c r="F1176" s="53" t="s">
        <v>1327</v>
      </c>
      <c r="G1176" s="25">
        <f t="shared" si="15"/>
        <v>4.0545521562844744E-3</v>
      </c>
    </row>
    <row r="1177" spans="1:7">
      <c r="A1177" s="54">
        <v>27.12</v>
      </c>
      <c r="B1177" s="54">
        <v>27.22</v>
      </c>
      <c r="C1177" s="54">
        <v>26.25</v>
      </c>
      <c r="D1177" s="54">
        <v>26.78</v>
      </c>
      <c r="E1177" s="53">
        <v>178565</v>
      </c>
      <c r="F1177" s="53" t="s">
        <v>1328</v>
      </c>
      <c r="G1177" s="25">
        <f t="shared" si="15"/>
        <v>1.2696041822255477E-2</v>
      </c>
    </row>
    <row r="1178" spans="1:7">
      <c r="A1178" s="54">
        <v>26.77</v>
      </c>
      <c r="B1178" s="54">
        <v>27.58</v>
      </c>
      <c r="C1178" s="54">
        <v>26.7</v>
      </c>
      <c r="D1178" s="54">
        <v>27.58</v>
      </c>
      <c r="E1178" s="53">
        <v>139467</v>
      </c>
      <c r="F1178" s="53" t="s">
        <v>1329</v>
      </c>
      <c r="G1178" s="25">
        <f t="shared" si="15"/>
        <v>-2.9369108049311032E-2</v>
      </c>
    </row>
    <row r="1179" spans="1:7">
      <c r="A1179" s="54">
        <v>27.39</v>
      </c>
      <c r="B1179" s="54">
        <v>27.58</v>
      </c>
      <c r="C1179" s="54">
        <v>26.79</v>
      </c>
      <c r="D1179" s="54">
        <v>26.98</v>
      </c>
      <c r="E1179" s="53">
        <v>143472</v>
      </c>
      <c r="F1179" s="53" t="s">
        <v>1330</v>
      </c>
      <c r="G1179" s="25">
        <f t="shared" si="15"/>
        <v>1.519644180874713E-2</v>
      </c>
    </row>
    <row r="1180" spans="1:7">
      <c r="A1180" s="54">
        <v>27.13</v>
      </c>
      <c r="B1180" s="54">
        <v>27.38</v>
      </c>
      <c r="C1180" s="54">
        <v>26.6677</v>
      </c>
      <c r="D1180" s="54">
        <v>27.01</v>
      </c>
      <c r="E1180" s="53">
        <v>227540</v>
      </c>
      <c r="F1180" s="53" t="s">
        <v>1331</v>
      </c>
      <c r="G1180" s="25">
        <f t="shared" si="15"/>
        <v>4.4427989633468723E-3</v>
      </c>
    </row>
    <row r="1181" spans="1:7">
      <c r="A1181" s="54">
        <v>27.04</v>
      </c>
      <c r="B1181" s="54">
        <v>27.824999999999999</v>
      </c>
      <c r="C1181" s="54">
        <v>27.024999999999999</v>
      </c>
      <c r="D1181" s="54">
        <v>27.55</v>
      </c>
      <c r="E1181" s="53">
        <v>226341</v>
      </c>
      <c r="F1181" s="53" t="s">
        <v>1332</v>
      </c>
      <c r="G1181" s="25">
        <f t="shared" si="15"/>
        <v>-1.8511796733212349E-2</v>
      </c>
    </row>
    <row r="1182" spans="1:7">
      <c r="A1182" s="54">
        <v>27.44</v>
      </c>
      <c r="B1182" s="54">
        <v>28</v>
      </c>
      <c r="C1182" s="54">
        <v>27.29</v>
      </c>
      <c r="D1182" s="54">
        <v>27.98</v>
      </c>
      <c r="E1182" s="53">
        <v>189399</v>
      </c>
      <c r="F1182" s="53" t="s">
        <v>1333</v>
      </c>
      <c r="G1182" s="25">
        <f t="shared" si="15"/>
        <v>-1.9299499642601803E-2</v>
      </c>
    </row>
    <row r="1183" spans="1:7">
      <c r="A1183" s="54">
        <v>27.9</v>
      </c>
      <c r="B1183" s="54">
        <v>28.3</v>
      </c>
      <c r="C1183" s="54">
        <v>27.59</v>
      </c>
      <c r="D1183" s="54">
        <v>28.25</v>
      </c>
      <c r="E1183" s="53">
        <v>639933</v>
      </c>
      <c r="F1183" s="53" t="s">
        <v>1334</v>
      </c>
      <c r="G1183" s="25">
        <f t="shared" si="15"/>
        <v>-1.2389380530973493E-2</v>
      </c>
    </row>
    <row r="1184" spans="1:7">
      <c r="A1184" s="54">
        <v>28.07</v>
      </c>
      <c r="B1184" s="54">
        <v>28.25</v>
      </c>
      <c r="C1184" s="54">
        <v>27.55</v>
      </c>
      <c r="D1184" s="54">
        <v>27.74</v>
      </c>
      <c r="E1184" s="53">
        <v>221836</v>
      </c>
      <c r="F1184" s="53" t="s">
        <v>1335</v>
      </c>
      <c r="G1184" s="25">
        <f t="shared" si="15"/>
        <v>1.1896178803172397E-2</v>
      </c>
    </row>
    <row r="1185" spans="1:7">
      <c r="A1185" s="54">
        <v>27.48</v>
      </c>
      <c r="B1185" s="54">
        <v>27.5</v>
      </c>
      <c r="C1185" s="54">
        <v>26.64</v>
      </c>
      <c r="D1185" s="54">
        <v>26.73</v>
      </c>
      <c r="E1185" s="53">
        <v>213616</v>
      </c>
      <c r="F1185" s="53" t="s">
        <v>1336</v>
      </c>
      <c r="G1185" s="25">
        <f t="shared" si="15"/>
        <v>2.8058361391694708E-2</v>
      </c>
    </row>
    <row r="1186" spans="1:7">
      <c r="A1186" s="54">
        <v>26.78</v>
      </c>
      <c r="B1186" s="54">
        <v>26.85</v>
      </c>
      <c r="C1186" s="54">
        <v>25.52</v>
      </c>
      <c r="D1186" s="54">
        <v>25.74</v>
      </c>
      <c r="E1186" s="53">
        <v>206958</v>
      </c>
      <c r="F1186" s="53" t="s">
        <v>1337</v>
      </c>
      <c r="G1186" s="25">
        <f t="shared" si="15"/>
        <v>4.0404040404040442E-2</v>
      </c>
    </row>
    <row r="1187" spans="1:7">
      <c r="A1187" s="54">
        <v>25.85</v>
      </c>
      <c r="B1187" s="54">
        <v>26</v>
      </c>
      <c r="C1187" s="54">
        <v>25.234999999999999</v>
      </c>
      <c r="D1187" s="54">
        <v>25.55</v>
      </c>
      <c r="E1187" s="53">
        <v>210351</v>
      </c>
      <c r="F1187" s="53" t="s">
        <v>1338</v>
      </c>
      <c r="G1187" s="25">
        <f t="shared" si="15"/>
        <v>1.1741682974559797E-2</v>
      </c>
    </row>
    <row r="1188" spans="1:7">
      <c r="A1188" s="54">
        <v>25.47</v>
      </c>
      <c r="B1188" s="54">
        <v>25.68</v>
      </c>
      <c r="C1188" s="54">
        <v>24.01</v>
      </c>
      <c r="D1188" s="54">
        <v>25.35</v>
      </c>
      <c r="E1188" s="53">
        <v>704570</v>
      </c>
      <c r="F1188" s="53" t="s">
        <v>1339</v>
      </c>
      <c r="G1188" s="25">
        <f t="shared" si="15"/>
        <v>4.7337278106507341E-3</v>
      </c>
    </row>
    <row r="1189" spans="1:7">
      <c r="A1189" s="54">
        <v>25.74</v>
      </c>
      <c r="B1189" s="54">
        <v>25.75</v>
      </c>
      <c r="C1189" s="54">
        <v>25.13</v>
      </c>
      <c r="D1189" s="54">
        <v>25.36</v>
      </c>
      <c r="E1189" s="53">
        <v>189977</v>
      </c>
      <c r="F1189" s="53" t="s">
        <v>1340</v>
      </c>
      <c r="G1189" s="25">
        <f t="shared" si="15"/>
        <v>1.4984227129337446E-2</v>
      </c>
    </row>
    <row r="1190" spans="1:7">
      <c r="A1190" s="54">
        <v>25.33</v>
      </c>
      <c r="B1190" s="54">
        <v>25.49</v>
      </c>
      <c r="C1190" s="54">
        <v>24.86</v>
      </c>
      <c r="D1190" s="54">
        <v>25.49</v>
      </c>
      <c r="E1190" s="53">
        <v>208281</v>
      </c>
      <c r="F1190" s="53" t="s">
        <v>1341</v>
      </c>
      <c r="G1190" s="25">
        <f t="shared" si="15"/>
        <v>-6.2769713613182176E-3</v>
      </c>
    </row>
    <row r="1191" spans="1:7">
      <c r="A1191" s="54">
        <v>25.49</v>
      </c>
      <c r="B1191" s="54">
        <v>25.51</v>
      </c>
      <c r="C1191" s="54">
        <v>25.04</v>
      </c>
      <c r="D1191" s="54">
        <v>25.21</v>
      </c>
      <c r="E1191" s="53">
        <v>278693</v>
      </c>
      <c r="F1191" s="53" t="s">
        <v>1342</v>
      </c>
      <c r="G1191" s="25">
        <f t="shared" si="15"/>
        <v>1.1106703689012232E-2</v>
      </c>
    </row>
    <row r="1192" spans="1:7">
      <c r="A1192" s="54">
        <v>25.29</v>
      </c>
      <c r="B1192" s="54">
        <v>25.54</v>
      </c>
      <c r="C1192" s="54">
        <v>24.63</v>
      </c>
      <c r="D1192" s="54">
        <v>25.2</v>
      </c>
      <c r="E1192" s="53">
        <v>245013</v>
      </c>
      <c r="F1192" s="53" t="s">
        <v>1343</v>
      </c>
      <c r="G1192" s="25">
        <f t="shared" si="15"/>
        <v>3.5714285714285587E-3</v>
      </c>
    </row>
    <row r="1193" spans="1:7">
      <c r="A1193" s="54">
        <v>25.23</v>
      </c>
      <c r="B1193" s="54">
        <v>25.49</v>
      </c>
      <c r="C1193" s="54">
        <v>25</v>
      </c>
      <c r="D1193" s="54">
        <v>25.35</v>
      </c>
      <c r="E1193" s="53">
        <v>124039</v>
      </c>
      <c r="F1193" s="53" t="s">
        <v>1344</v>
      </c>
      <c r="G1193" s="25">
        <f t="shared" si="15"/>
        <v>-4.7337278106509562E-3</v>
      </c>
    </row>
    <row r="1194" spans="1:7">
      <c r="G1194" s="25"/>
    </row>
    <row r="1195" spans="1:7">
      <c r="G1195" s="25"/>
    </row>
    <row r="1196" spans="1:7">
      <c r="G1196" s="25"/>
    </row>
    <row r="1197" spans="1:7">
      <c r="G1197" s="25"/>
    </row>
    <row r="1198" spans="1:7">
      <c r="G1198" s="25"/>
    </row>
    <row r="1199" spans="1:7">
      <c r="G1199" s="25"/>
    </row>
    <row r="1200" spans="1:7">
      <c r="G1200" s="25"/>
    </row>
    <row r="1201" spans="7:7">
      <c r="G1201" s="25"/>
    </row>
    <row r="1202" spans="7:7">
      <c r="G1202" s="25"/>
    </row>
    <row r="1203" spans="7:7">
      <c r="G1203" s="25"/>
    </row>
    <row r="1204" spans="7:7">
      <c r="G1204" s="25"/>
    </row>
    <row r="1205" spans="7:7">
      <c r="G1205" s="25"/>
    </row>
    <row r="1206" spans="7:7">
      <c r="G1206" s="25"/>
    </row>
    <row r="1207" spans="7:7">
      <c r="G1207" s="25"/>
    </row>
    <row r="1208" spans="7:7">
      <c r="G1208" s="25"/>
    </row>
    <row r="1209" spans="7:7">
      <c r="G1209" s="25"/>
    </row>
    <row r="1210" spans="7:7">
      <c r="G1210" s="25"/>
    </row>
    <row r="1211" spans="7:7">
      <c r="G1211" s="25"/>
    </row>
    <row r="1212" spans="7:7">
      <c r="G1212" s="25"/>
    </row>
    <row r="1213" spans="7:7">
      <c r="G1213" s="25"/>
    </row>
    <row r="1214" spans="7:7">
      <c r="G1214" s="25"/>
    </row>
    <row r="1215" spans="7:7">
      <c r="G1215" s="25"/>
    </row>
    <row r="1216" spans="7:7">
      <c r="G1216" s="25"/>
    </row>
    <row r="1217" spans="7:7">
      <c r="G1217" s="25"/>
    </row>
    <row r="1218" spans="7:7">
      <c r="G1218" s="25"/>
    </row>
    <row r="1219" spans="7:7">
      <c r="G1219" s="25"/>
    </row>
    <row r="1220" spans="7:7">
      <c r="G1220" s="25"/>
    </row>
    <row r="1221" spans="7:7">
      <c r="G1221" s="25"/>
    </row>
    <row r="1222" spans="7:7">
      <c r="G1222" s="25"/>
    </row>
    <row r="1223" spans="7:7">
      <c r="G1223" s="25"/>
    </row>
    <row r="1224" spans="7:7">
      <c r="G1224" s="25"/>
    </row>
    <row r="1225" spans="7:7">
      <c r="G1225" s="25"/>
    </row>
    <row r="1226" spans="7:7">
      <c r="G1226" s="25"/>
    </row>
    <row r="1227" spans="7:7">
      <c r="G1227" s="25"/>
    </row>
    <row r="1228" spans="7:7">
      <c r="G1228" s="25"/>
    </row>
    <row r="1229" spans="7:7">
      <c r="G1229" s="25"/>
    </row>
    <row r="1230" spans="7:7">
      <c r="G1230" s="25"/>
    </row>
    <row r="1231" spans="7:7">
      <c r="G1231" s="25"/>
    </row>
    <row r="1232" spans="7:7">
      <c r="G1232" s="25"/>
    </row>
    <row r="1233" spans="7:7">
      <c r="G1233" s="25"/>
    </row>
    <row r="1234" spans="7:7">
      <c r="G1234" s="25"/>
    </row>
    <row r="1235" spans="7:7">
      <c r="G1235" s="25"/>
    </row>
    <row r="1236" spans="7:7">
      <c r="G1236" s="25"/>
    </row>
    <row r="1237" spans="7:7">
      <c r="G1237" s="25"/>
    </row>
    <row r="1238" spans="7:7">
      <c r="G1238" s="25"/>
    </row>
    <row r="1239" spans="7:7">
      <c r="G1239" s="25"/>
    </row>
    <row r="1240" spans="7:7">
      <c r="G1240" s="25"/>
    </row>
    <row r="1241" spans="7:7">
      <c r="G1241" s="25"/>
    </row>
    <row r="1242" spans="7:7">
      <c r="G1242" s="25"/>
    </row>
    <row r="1243" spans="7:7">
      <c r="G1243" s="25"/>
    </row>
    <row r="1244" spans="7:7">
      <c r="G1244" s="25"/>
    </row>
    <row r="1245" spans="7:7">
      <c r="G1245" s="25"/>
    </row>
    <row r="1246" spans="7:7">
      <c r="G1246" s="25"/>
    </row>
    <row r="1247" spans="7:7">
      <c r="G1247" s="25"/>
    </row>
    <row r="1248" spans="7:7">
      <c r="G1248" s="25"/>
    </row>
    <row r="1249" spans="7:7">
      <c r="G1249" s="25"/>
    </row>
    <row r="1250" spans="7:7">
      <c r="G1250" s="25"/>
    </row>
    <row r="1251" spans="7:7">
      <c r="G1251" s="25"/>
    </row>
    <row r="1252" spans="7:7">
      <c r="G1252" s="25"/>
    </row>
    <row r="1253" spans="7:7">
      <c r="G1253" s="25"/>
    </row>
    <row r="1254" spans="7:7">
      <c r="G1254" s="25"/>
    </row>
    <row r="1255" spans="7:7">
      <c r="G1255" s="25"/>
    </row>
    <row r="1256" spans="7:7">
      <c r="G1256" s="25"/>
    </row>
    <row r="1257" spans="7:7">
      <c r="G1257" s="25"/>
    </row>
    <row r="1258" spans="7:7">
      <c r="G1258" s="25"/>
    </row>
    <row r="1259" spans="7:7">
      <c r="G1259" s="25"/>
    </row>
    <row r="1260" spans="7:7">
      <c r="G1260" s="25"/>
    </row>
    <row r="1261" spans="7:7">
      <c r="G1261" s="25"/>
    </row>
    <row r="1262" spans="7:7">
      <c r="G1262" s="25"/>
    </row>
    <row r="1263" spans="7:7">
      <c r="G1263" s="25"/>
    </row>
    <row r="1264" spans="7:7">
      <c r="G1264" s="25"/>
    </row>
    <row r="1265" spans="7:7">
      <c r="G1265" s="25"/>
    </row>
    <row r="1266" spans="7:7">
      <c r="G1266" s="25"/>
    </row>
    <row r="1267" spans="7:7">
      <c r="G1267" s="25"/>
    </row>
    <row r="1268" spans="7:7">
      <c r="G1268" s="25"/>
    </row>
    <row r="1269" spans="7:7">
      <c r="G1269" s="25"/>
    </row>
    <row r="1270" spans="7:7">
      <c r="G1270" s="25"/>
    </row>
    <row r="1271" spans="7:7">
      <c r="G1271" s="25"/>
    </row>
    <row r="1272" spans="7:7">
      <c r="G1272" s="25"/>
    </row>
    <row r="1273" spans="7:7">
      <c r="G1273" s="25"/>
    </row>
    <row r="1274" spans="7:7">
      <c r="G1274" s="25"/>
    </row>
    <row r="1275" spans="7:7">
      <c r="G1275" s="25"/>
    </row>
    <row r="1276" spans="7:7">
      <c r="G1276" s="25"/>
    </row>
    <row r="1277" spans="7:7">
      <c r="G1277" s="25"/>
    </row>
    <row r="1278" spans="7:7">
      <c r="G1278" s="25"/>
    </row>
    <row r="1279" spans="7:7">
      <c r="G1279" s="25"/>
    </row>
    <row r="1280" spans="7:7">
      <c r="G1280" s="25"/>
    </row>
    <row r="1281" spans="7:7">
      <c r="G1281" s="25"/>
    </row>
    <row r="1282" spans="7:7">
      <c r="G1282" s="25"/>
    </row>
    <row r="1283" spans="7:7">
      <c r="G1283" s="25"/>
    </row>
    <row r="1284" spans="7:7">
      <c r="G1284" s="25"/>
    </row>
    <row r="1285" spans="7:7">
      <c r="G1285" s="25"/>
    </row>
    <row r="1286" spans="7:7">
      <c r="G1286" s="25"/>
    </row>
    <row r="1287" spans="7:7">
      <c r="G1287" s="25"/>
    </row>
    <row r="1288" spans="7:7">
      <c r="G1288" s="25"/>
    </row>
    <row r="1289" spans="7:7">
      <c r="G1289" s="25"/>
    </row>
    <row r="1290" spans="7:7">
      <c r="G1290" s="25"/>
    </row>
    <row r="1291" spans="7:7">
      <c r="G1291" s="25"/>
    </row>
    <row r="1292" spans="7:7">
      <c r="G1292" s="25"/>
    </row>
    <row r="1293" spans="7:7">
      <c r="G1293" s="25"/>
    </row>
    <row r="1294" spans="7:7">
      <c r="G1294" s="25"/>
    </row>
    <row r="1295" spans="7:7">
      <c r="G1295" s="25"/>
    </row>
    <row r="1296" spans="7:7">
      <c r="G1296" s="25"/>
    </row>
    <row r="1297" spans="7:7">
      <c r="G1297" s="25"/>
    </row>
    <row r="1298" spans="7:7">
      <c r="G1298" s="25"/>
    </row>
    <row r="1299" spans="7:7">
      <c r="G1299" s="25"/>
    </row>
    <row r="1300" spans="7:7">
      <c r="G1300" s="25"/>
    </row>
    <row r="1301" spans="7:7">
      <c r="G1301" s="25"/>
    </row>
    <row r="1302" spans="7:7">
      <c r="G1302" s="25"/>
    </row>
    <row r="1303" spans="7:7">
      <c r="G1303" s="25"/>
    </row>
    <row r="1304" spans="7:7">
      <c r="G1304" s="25"/>
    </row>
    <row r="1305" spans="7:7">
      <c r="G1305" s="25"/>
    </row>
    <row r="1306" spans="7:7">
      <c r="G1306" s="25"/>
    </row>
    <row r="1307" spans="7:7">
      <c r="G1307" s="25"/>
    </row>
    <row r="1308" spans="7:7">
      <c r="G1308" s="25"/>
    </row>
    <row r="1309" spans="7:7">
      <c r="G1309" s="25"/>
    </row>
    <row r="1310" spans="7:7">
      <c r="G1310" s="25"/>
    </row>
    <row r="1311" spans="7:7">
      <c r="G1311" s="25"/>
    </row>
    <row r="1312" spans="7:7">
      <c r="G1312" s="25"/>
    </row>
    <row r="1313" spans="7:7">
      <c r="G1313" s="25"/>
    </row>
    <row r="1314" spans="7:7">
      <c r="G1314" s="25"/>
    </row>
    <row r="1315" spans="7:7">
      <c r="G1315" s="25"/>
    </row>
    <row r="1316" spans="7:7">
      <c r="G1316" s="25"/>
    </row>
    <row r="1317" spans="7:7">
      <c r="G1317" s="25"/>
    </row>
    <row r="1318" spans="7:7">
      <c r="G1318" s="25"/>
    </row>
    <row r="1319" spans="7:7">
      <c r="G1319" s="25"/>
    </row>
    <row r="1320" spans="7:7">
      <c r="G1320" s="25"/>
    </row>
    <row r="1321" spans="7:7">
      <c r="G1321" s="25"/>
    </row>
    <row r="1322" spans="7:7">
      <c r="G1322" s="25"/>
    </row>
    <row r="1323" spans="7:7">
      <c r="G1323" s="25"/>
    </row>
    <row r="1324" spans="7:7">
      <c r="G1324" s="25"/>
    </row>
    <row r="1325" spans="7:7">
      <c r="G1325" s="25"/>
    </row>
    <row r="1326" spans="7:7">
      <c r="G1326" s="25"/>
    </row>
    <row r="1327" spans="7:7">
      <c r="G1327" s="25"/>
    </row>
    <row r="1328" spans="7:7">
      <c r="G1328" s="25"/>
    </row>
    <row r="1329" spans="7:7">
      <c r="G1329" s="25"/>
    </row>
    <row r="1330" spans="7:7">
      <c r="G1330" s="25"/>
    </row>
    <row r="1331" spans="7:7">
      <c r="G1331" s="25"/>
    </row>
    <row r="1332" spans="7:7">
      <c r="G1332" s="25"/>
    </row>
    <row r="1333" spans="7:7">
      <c r="G1333" s="25"/>
    </row>
    <row r="1334" spans="7:7">
      <c r="G1334" s="25"/>
    </row>
    <row r="1335" spans="7:7">
      <c r="G1335" s="25"/>
    </row>
    <row r="1336" spans="7:7">
      <c r="G1336" s="25"/>
    </row>
    <row r="1337" spans="7:7">
      <c r="G1337" s="25"/>
    </row>
    <row r="1338" spans="7:7">
      <c r="G1338" s="25"/>
    </row>
    <row r="1339" spans="7:7">
      <c r="G1339" s="25"/>
    </row>
    <row r="1340" spans="7:7">
      <c r="G1340" s="25"/>
    </row>
    <row r="1341" spans="7:7">
      <c r="G1341" s="25"/>
    </row>
    <row r="1342" spans="7:7">
      <c r="G1342" s="25"/>
    </row>
    <row r="1343" spans="7:7">
      <c r="G1343" s="25"/>
    </row>
    <row r="1344" spans="7:7">
      <c r="G1344" s="25"/>
    </row>
    <row r="1345" spans="7:7">
      <c r="G1345" s="25"/>
    </row>
    <row r="1346" spans="7:7">
      <c r="G1346" s="25"/>
    </row>
    <row r="1347" spans="7:7">
      <c r="G1347" s="25"/>
    </row>
    <row r="1348" spans="7:7">
      <c r="G1348" s="25"/>
    </row>
    <row r="1349" spans="7:7">
      <c r="G1349" s="25"/>
    </row>
    <row r="1350" spans="7:7">
      <c r="G1350" s="25"/>
    </row>
    <row r="1351" spans="7:7">
      <c r="G1351" s="25"/>
    </row>
    <row r="1352" spans="7:7">
      <c r="G1352" s="25"/>
    </row>
    <row r="1353" spans="7:7">
      <c r="G1353" s="25"/>
    </row>
    <row r="1354" spans="7:7">
      <c r="G1354" s="25"/>
    </row>
    <row r="1355" spans="7:7">
      <c r="G1355" s="25"/>
    </row>
    <row r="1356" spans="7:7">
      <c r="G1356" s="25"/>
    </row>
    <row r="1357" spans="7:7">
      <c r="G1357" s="25"/>
    </row>
    <row r="1358" spans="7:7">
      <c r="G1358" s="25"/>
    </row>
    <row r="1359" spans="7:7">
      <c r="G1359" s="25"/>
    </row>
    <row r="1360" spans="7:7">
      <c r="G1360" s="25"/>
    </row>
    <row r="1361" spans="7:7">
      <c r="G1361" s="25"/>
    </row>
    <row r="1362" spans="7:7">
      <c r="G1362" s="25"/>
    </row>
    <row r="1363" spans="7:7">
      <c r="G1363" s="25"/>
    </row>
    <row r="1364" spans="7:7">
      <c r="G1364" s="25"/>
    </row>
    <row r="1365" spans="7:7">
      <c r="G1365" s="25"/>
    </row>
    <row r="1366" spans="7:7">
      <c r="G1366" s="25"/>
    </row>
    <row r="1367" spans="7:7">
      <c r="G1367" s="25"/>
    </row>
    <row r="1368" spans="7:7">
      <c r="G1368" s="25"/>
    </row>
    <row r="1369" spans="7:7">
      <c r="G1369" s="25"/>
    </row>
    <row r="1370" spans="7:7">
      <c r="G1370" s="25"/>
    </row>
    <row r="1371" spans="7:7">
      <c r="G1371" s="25"/>
    </row>
    <row r="1372" spans="7:7">
      <c r="G1372" s="25"/>
    </row>
    <row r="1373" spans="7:7">
      <c r="G1373" s="25"/>
    </row>
    <row r="1374" spans="7:7">
      <c r="G1374" s="25"/>
    </row>
    <row r="1375" spans="7:7">
      <c r="G1375" s="25"/>
    </row>
    <row r="1376" spans="7:7">
      <c r="G1376" s="25"/>
    </row>
    <row r="1377" spans="7:7">
      <c r="G1377" s="25"/>
    </row>
    <row r="1378" spans="7:7">
      <c r="G1378" s="25"/>
    </row>
    <row r="1379" spans="7:7">
      <c r="G1379" s="25"/>
    </row>
    <row r="1380" spans="7:7">
      <c r="G1380" s="25"/>
    </row>
    <row r="1381" spans="7:7">
      <c r="G1381" s="25"/>
    </row>
    <row r="1382" spans="7:7">
      <c r="G1382" s="25"/>
    </row>
    <row r="1383" spans="7:7">
      <c r="G1383" s="25"/>
    </row>
    <row r="1384" spans="7:7">
      <c r="G1384" s="25"/>
    </row>
    <row r="1385" spans="7:7">
      <c r="G1385" s="25"/>
    </row>
    <row r="1386" spans="7:7">
      <c r="G1386" s="25"/>
    </row>
    <row r="1387" spans="7:7">
      <c r="G1387" s="25"/>
    </row>
    <row r="1388" spans="7:7">
      <c r="G1388" s="25"/>
    </row>
    <row r="1389" spans="7:7">
      <c r="G1389" s="25"/>
    </row>
    <row r="1390" spans="7:7">
      <c r="G1390" s="25"/>
    </row>
    <row r="1391" spans="7:7">
      <c r="G1391" s="25"/>
    </row>
    <row r="1392" spans="7:7">
      <c r="G1392" s="25"/>
    </row>
    <row r="1393" spans="7:7">
      <c r="G1393" s="25"/>
    </row>
    <row r="1394" spans="7:7">
      <c r="G1394" s="25"/>
    </row>
    <row r="1395" spans="7:7">
      <c r="G1395" s="25"/>
    </row>
    <row r="1396" spans="7:7">
      <c r="G1396" s="25"/>
    </row>
    <row r="1397" spans="7:7">
      <c r="G1397" s="25"/>
    </row>
    <row r="1398" spans="7:7">
      <c r="G1398" s="25"/>
    </row>
    <row r="1399" spans="7:7">
      <c r="G1399" s="25"/>
    </row>
    <row r="1400" spans="7:7">
      <c r="G1400" s="25"/>
    </row>
    <row r="1401" spans="7:7">
      <c r="G1401" s="25"/>
    </row>
    <row r="1402" spans="7:7">
      <c r="G1402" s="25"/>
    </row>
    <row r="1403" spans="7:7">
      <c r="G1403" s="25"/>
    </row>
    <row r="1404" spans="7:7">
      <c r="G1404" s="25"/>
    </row>
    <row r="1405" spans="7:7">
      <c r="G1405" s="25"/>
    </row>
    <row r="1406" spans="7:7">
      <c r="G1406" s="25"/>
    </row>
    <row r="1407" spans="7:7">
      <c r="G1407" s="25"/>
    </row>
    <row r="1408" spans="7:7">
      <c r="G1408" s="25"/>
    </row>
    <row r="1409" spans="7:7">
      <c r="G1409" s="25"/>
    </row>
    <row r="1410" spans="7:7">
      <c r="G1410" s="25"/>
    </row>
    <row r="1411" spans="7:7">
      <c r="G1411" s="25"/>
    </row>
    <row r="1412" spans="7:7">
      <c r="G1412" s="25"/>
    </row>
    <row r="1413" spans="7:7">
      <c r="G1413" s="25"/>
    </row>
    <row r="1414" spans="7:7">
      <c r="G1414" s="25"/>
    </row>
    <row r="1415" spans="7:7">
      <c r="G1415" s="25"/>
    </row>
    <row r="1416" spans="7:7">
      <c r="G1416" s="25"/>
    </row>
    <row r="1417" spans="7:7">
      <c r="G1417" s="25"/>
    </row>
    <row r="1418" spans="7:7">
      <c r="G1418" s="25"/>
    </row>
    <row r="1419" spans="7:7">
      <c r="G1419" s="25"/>
    </row>
    <row r="1420" spans="7:7">
      <c r="G1420" s="25"/>
    </row>
    <row r="1421" spans="7:7">
      <c r="G1421" s="25"/>
    </row>
    <row r="1422" spans="7:7">
      <c r="G1422" s="25"/>
    </row>
    <row r="1423" spans="7:7">
      <c r="G1423" s="25"/>
    </row>
    <row r="1424" spans="7:7">
      <c r="G1424" s="25"/>
    </row>
    <row r="1425" spans="7:7">
      <c r="G1425" s="25"/>
    </row>
    <row r="1426" spans="7:7">
      <c r="G1426" s="25"/>
    </row>
    <row r="1427" spans="7:7">
      <c r="G1427" s="25"/>
    </row>
    <row r="1428" spans="7:7">
      <c r="G1428" s="25"/>
    </row>
    <row r="1429" spans="7:7">
      <c r="G1429" s="25"/>
    </row>
    <row r="1430" spans="7:7">
      <c r="G1430" s="25"/>
    </row>
    <row r="1431" spans="7:7">
      <c r="G1431" s="25"/>
    </row>
    <row r="1432" spans="7:7">
      <c r="G1432" s="25"/>
    </row>
    <row r="1433" spans="7:7">
      <c r="G1433" s="25"/>
    </row>
    <row r="1434" spans="7:7">
      <c r="G1434" s="25"/>
    </row>
    <row r="1435" spans="7:7">
      <c r="G1435" s="25"/>
    </row>
    <row r="1436" spans="7:7">
      <c r="G1436" s="25"/>
    </row>
    <row r="1437" spans="7:7">
      <c r="G1437" s="25"/>
    </row>
    <row r="1438" spans="7:7">
      <c r="G1438" s="25"/>
    </row>
    <row r="1439" spans="7:7">
      <c r="G1439" s="25"/>
    </row>
    <row r="1440" spans="7:7">
      <c r="G1440" s="25"/>
    </row>
    <row r="1441" spans="7:7">
      <c r="G1441" s="25"/>
    </row>
    <row r="1442" spans="7:7">
      <c r="G1442" s="25"/>
    </row>
    <row r="1443" spans="7:7">
      <c r="G1443" s="25"/>
    </row>
    <row r="1444" spans="7:7">
      <c r="G1444" s="25"/>
    </row>
    <row r="1445" spans="7:7">
      <c r="G1445" s="25"/>
    </row>
    <row r="1446" spans="7:7">
      <c r="G1446" s="25"/>
    </row>
    <row r="1447" spans="7:7">
      <c r="G1447" s="25"/>
    </row>
    <row r="1448" spans="7:7">
      <c r="G1448" s="25"/>
    </row>
    <row r="1449" spans="7:7">
      <c r="G1449" s="25"/>
    </row>
    <row r="1450" spans="7:7">
      <c r="G1450" s="25"/>
    </row>
    <row r="1451" spans="7:7">
      <c r="G1451" s="25"/>
    </row>
    <row r="1452" spans="7:7">
      <c r="G1452" s="25"/>
    </row>
    <row r="1453" spans="7:7">
      <c r="G1453" s="25"/>
    </row>
    <row r="1454" spans="7:7">
      <c r="G1454" s="25"/>
    </row>
    <row r="1455" spans="7:7">
      <c r="G1455" s="25"/>
    </row>
    <row r="1456" spans="7: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row r="1559" spans="7:7">
      <c r="G1559" s="25"/>
    </row>
    <row r="1560" spans="7:7">
      <c r="G1560" s="25"/>
    </row>
    <row r="1561" spans="7:7">
      <c r="G1561" s="25"/>
    </row>
    <row r="1562" spans="7:7">
      <c r="G1562" s="25"/>
    </row>
    <row r="1563" spans="7:7">
      <c r="G1563" s="25"/>
    </row>
    <row r="1564" spans="7:7">
      <c r="G1564" s="25"/>
    </row>
    <row r="1565" spans="7:7">
      <c r="G1565" s="25"/>
    </row>
    <row r="1566" spans="7:7">
      <c r="G1566" s="25"/>
    </row>
    <row r="1567" spans="7:7">
      <c r="G1567" s="25"/>
    </row>
    <row r="1568" spans="7:7">
      <c r="G1568" s="25"/>
    </row>
    <row r="1569" spans="7:7">
      <c r="G1569" s="25"/>
    </row>
    <row r="1570" spans="7:7">
      <c r="G1570" s="25"/>
    </row>
    <row r="1571" spans="7:7">
      <c r="G1571" s="25"/>
    </row>
    <row r="1572" spans="7:7">
      <c r="G1572" s="25"/>
    </row>
    <row r="1573" spans="7:7">
      <c r="G1573" s="25"/>
    </row>
    <row r="1574" spans="7:7">
      <c r="G1574" s="25"/>
    </row>
    <row r="1575" spans="7:7">
      <c r="G1575" s="25"/>
    </row>
    <row r="1576" spans="7:7">
      <c r="G1576" s="25"/>
    </row>
    <row r="1577" spans="7:7">
      <c r="G1577" s="25"/>
    </row>
    <row r="1578" spans="7:7">
      <c r="G1578" s="25"/>
    </row>
    <row r="1579" spans="7:7">
      <c r="G1579" s="25"/>
    </row>
    <row r="1580" spans="7:7">
      <c r="G1580" s="25"/>
    </row>
    <row r="1581" spans="7:7">
      <c r="G1581" s="25"/>
    </row>
    <row r="1582" spans="7:7">
      <c r="G1582" s="25"/>
    </row>
    <row r="1583" spans="7:7">
      <c r="G1583" s="25"/>
    </row>
    <row r="1584" spans="7:7">
      <c r="G1584" s="25"/>
    </row>
    <row r="1585" spans="7:7">
      <c r="G1585" s="25"/>
    </row>
    <row r="1586" spans="7:7">
      <c r="G1586" s="25"/>
    </row>
    <row r="1587" spans="7:7">
      <c r="G1587" s="25"/>
    </row>
    <row r="1588" spans="7:7">
      <c r="G1588" s="25"/>
    </row>
    <row r="1589" spans="7:7">
      <c r="G1589" s="25"/>
    </row>
    <row r="1590" spans="7:7">
      <c r="G1590" s="25"/>
    </row>
    <row r="1591" spans="7:7">
      <c r="G1591" s="25"/>
    </row>
    <row r="1592" spans="7:7">
      <c r="G1592" s="25"/>
    </row>
    <row r="1593" spans="7:7">
      <c r="G1593" s="25"/>
    </row>
    <row r="1594" spans="7:7">
      <c r="G1594" s="25"/>
    </row>
    <row r="1595" spans="7:7">
      <c r="G1595" s="25"/>
    </row>
    <row r="1596" spans="7:7">
      <c r="G1596" s="25"/>
    </row>
    <row r="1597" spans="7:7">
      <c r="G1597" s="25"/>
    </row>
    <row r="1598" spans="7:7">
      <c r="G1598" s="25"/>
    </row>
    <row r="1599" spans="7:7">
      <c r="G1599" s="25"/>
    </row>
    <row r="1600" spans="7:7">
      <c r="G1600" s="25"/>
    </row>
    <row r="1601" spans="7:7">
      <c r="G1601" s="25"/>
    </row>
    <row r="1602" spans="7:7">
      <c r="G1602" s="25"/>
    </row>
    <row r="1603" spans="7:7">
      <c r="G1603" s="25"/>
    </row>
    <row r="1604" spans="7:7">
      <c r="G1604" s="25"/>
    </row>
    <row r="1605" spans="7:7">
      <c r="G1605" s="25"/>
    </row>
    <row r="1606" spans="7:7">
      <c r="G1606" s="25"/>
    </row>
    <row r="1607" spans="7:7">
      <c r="G1607" s="25"/>
    </row>
    <row r="1608" spans="7:7">
      <c r="G1608" s="25"/>
    </row>
    <row r="1609" spans="7:7">
      <c r="G1609" s="25"/>
    </row>
    <row r="1610" spans="7:7">
      <c r="G1610" s="25"/>
    </row>
    <row r="1611" spans="7:7">
      <c r="G1611" s="25"/>
    </row>
    <row r="1612" spans="7:7">
      <c r="G1612" s="25"/>
    </row>
    <row r="1613" spans="7:7">
      <c r="G1613" s="25"/>
    </row>
    <row r="1614" spans="7:7">
      <c r="G1614" s="25"/>
    </row>
    <row r="1615" spans="7:7">
      <c r="G1615" s="25"/>
    </row>
    <row r="1616" spans="7:7">
      <c r="G1616" s="25"/>
    </row>
    <row r="1617" spans="7:7">
      <c r="G1617" s="25"/>
    </row>
    <row r="1618" spans="7:7">
      <c r="G1618" s="2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1345</v>
      </c>
      <c r="C2" s="4"/>
      <c r="D2" s="4"/>
      <c r="E2" s="4"/>
      <c r="F2" s="4"/>
      <c r="G2" s="3" t="s">
        <v>1345</v>
      </c>
      <c r="H2" s="5"/>
      <c r="I2" s="5"/>
      <c r="J2" s="5"/>
      <c r="K2" s="5"/>
      <c r="L2" s="5"/>
      <c r="M2" s="5"/>
      <c r="N2" s="5"/>
      <c r="O2" s="5"/>
      <c r="P2" s="5"/>
      <c r="Q2" s="5"/>
      <c r="R2" s="5"/>
      <c r="S2" s="5"/>
      <c r="T2" s="5"/>
      <c r="U2" s="5"/>
      <c r="V2" s="5"/>
      <c r="W2" s="5"/>
      <c r="X2" s="5"/>
      <c r="Y2" s="5"/>
      <c r="Z2" s="6"/>
    </row>
    <row r="3" spans="2:26" ht="15">
      <c r="B3" s="7" t="s">
        <v>1346</v>
      </c>
      <c r="C3" s="8"/>
      <c r="D3" s="8"/>
      <c r="E3" s="8"/>
      <c r="F3" s="9"/>
      <c r="G3" s="10" t="s">
        <v>1347</v>
      </c>
      <c r="H3" s="10"/>
      <c r="I3" s="10"/>
      <c r="J3" s="10"/>
      <c r="K3" s="10"/>
      <c r="L3" s="10"/>
      <c r="M3" s="10"/>
      <c r="N3" s="10"/>
      <c r="O3" s="10"/>
      <c r="P3" s="10"/>
      <c r="Q3" s="10"/>
      <c r="R3" s="10"/>
      <c r="S3" s="10"/>
      <c r="T3" s="10"/>
      <c r="U3" s="10"/>
      <c r="V3" s="10"/>
      <c r="W3" s="10"/>
      <c r="X3" s="10"/>
      <c r="Y3" s="10"/>
      <c r="Z3" s="11"/>
    </row>
    <row r="4" spans="2:26" ht="15">
      <c r="B4" s="12" t="s">
        <v>1346</v>
      </c>
      <c r="C4" s="13"/>
      <c r="D4" s="13"/>
      <c r="E4" s="13"/>
      <c r="F4" s="14"/>
      <c r="G4" s="15" t="s">
        <v>1348</v>
      </c>
      <c r="H4" s="15"/>
      <c r="I4" s="15"/>
      <c r="J4" s="15"/>
      <c r="K4" s="15"/>
      <c r="L4" s="15"/>
      <c r="M4" s="15"/>
      <c r="N4" s="15"/>
      <c r="O4" s="15"/>
      <c r="P4" s="15"/>
      <c r="Q4" s="15"/>
      <c r="R4" s="15"/>
      <c r="S4" s="15"/>
      <c r="T4" s="15"/>
      <c r="U4" s="15"/>
      <c r="V4" s="15"/>
      <c r="W4" s="15"/>
      <c r="X4" s="15"/>
      <c r="Y4" s="15"/>
      <c r="Z4" s="16"/>
    </row>
    <row r="5" spans="2:26" ht="15">
      <c r="B5" s="12" t="s">
        <v>1346</v>
      </c>
      <c r="C5" s="13"/>
      <c r="D5" s="13"/>
      <c r="E5" s="13"/>
      <c r="F5" s="14"/>
      <c r="G5" s="17" t="s">
        <v>1347</v>
      </c>
      <c r="H5" s="17"/>
      <c r="I5" s="17"/>
      <c r="J5" s="17"/>
      <c r="K5" s="17"/>
      <c r="L5" s="17"/>
      <c r="M5" s="17"/>
      <c r="N5" s="17"/>
      <c r="O5" s="17"/>
      <c r="P5" s="17"/>
      <c r="Q5" s="17"/>
      <c r="R5" s="17"/>
      <c r="S5" s="17"/>
      <c r="T5" s="17"/>
      <c r="U5" s="17"/>
      <c r="V5" s="17"/>
      <c r="W5" s="17"/>
      <c r="X5" s="17"/>
      <c r="Y5" s="17"/>
      <c r="Z5" s="18"/>
    </row>
    <row r="6" spans="2:26" ht="15">
      <c r="B6" s="12" t="s">
        <v>1346</v>
      </c>
      <c r="C6" s="13"/>
      <c r="D6" s="13"/>
      <c r="E6" s="13"/>
      <c r="F6" s="14"/>
      <c r="G6" s="15" t="s">
        <v>1348</v>
      </c>
      <c r="H6" s="15"/>
      <c r="I6" s="15"/>
      <c r="J6" s="15"/>
      <c r="K6" s="15"/>
      <c r="L6" s="15"/>
      <c r="M6" s="15"/>
      <c r="N6" s="15"/>
      <c r="O6" s="15"/>
      <c r="P6" s="15"/>
      <c r="Q6" s="15"/>
      <c r="R6" s="15"/>
      <c r="S6" s="15"/>
      <c r="T6" s="15"/>
      <c r="U6" s="15"/>
      <c r="V6" s="15"/>
      <c r="W6" s="15"/>
      <c r="X6" s="15"/>
      <c r="Y6" s="15"/>
      <c r="Z6" s="16"/>
    </row>
    <row r="7" spans="2:26" ht="15">
      <c r="B7" s="12" t="s">
        <v>1346</v>
      </c>
      <c r="C7" s="13"/>
      <c r="D7" s="13"/>
      <c r="E7" s="13"/>
      <c r="F7" s="14"/>
      <c r="G7" s="17" t="s">
        <v>1347</v>
      </c>
      <c r="H7" s="17"/>
      <c r="I7" s="17"/>
      <c r="J7" s="17"/>
      <c r="K7" s="17"/>
      <c r="L7" s="17"/>
      <c r="M7" s="17"/>
      <c r="N7" s="17"/>
      <c r="O7" s="17"/>
      <c r="P7" s="17"/>
      <c r="Q7" s="17"/>
      <c r="R7" s="17"/>
      <c r="S7" s="17"/>
      <c r="T7" s="17"/>
      <c r="U7" s="17"/>
      <c r="V7" s="17"/>
      <c r="W7" s="17"/>
      <c r="X7" s="17"/>
      <c r="Y7" s="17"/>
      <c r="Z7" s="18"/>
    </row>
    <row r="8" spans="2:26" ht="15">
      <c r="B8" s="19" t="s">
        <v>1346</v>
      </c>
      <c r="C8" s="20"/>
      <c r="D8" s="20"/>
      <c r="E8" s="20"/>
      <c r="F8" s="21"/>
      <c r="G8" s="22" t="s">
        <v>1348</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Jacob H</cp:lastModifiedBy>
  <cp:revision/>
  <dcterms:created xsi:type="dcterms:W3CDTF">2015-06-05T18:17:20Z</dcterms:created>
  <dcterms:modified xsi:type="dcterms:W3CDTF">2026-01-15T08:53:07Z</dcterms:modified>
  <cp:category/>
  <cp:contentStatus/>
</cp:coreProperties>
</file>