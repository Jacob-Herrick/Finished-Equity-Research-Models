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74355728-6B85-4110-9A87-F108631066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3" i="3" l="1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272" i="3"/>
  <c r="K265" i="3" l="1"/>
  <c r="K264" i="3"/>
  <c r="K263" i="3"/>
  <c r="K262" i="3"/>
  <c r="K261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1503" i="3"/>
  <c r="C7" i="1"/>
  <c r="DI80" i="2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C5" i="1"/>
  <c r="C8" i="1" s="1"/>
  <c r="K266" i="3" l="1"/>
  <c r="DI81" i="2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P283" i="3"/>
  <c r="DH88" i="2" l="1" a="1"/>
  <c r="DH88" i="2" s="1"/>
  <c r="DE14" i="2"/>
  <c r="DF14" i="2"/>
  <c r="DH14" i="2"/>
  <c r="CZ14" i="2"/>
  <c r="DB14" i="2"/>
  <c r="DG14" i="2"/>
  <c r="DC14" i="2"/>
  <c r="DA14" i="2"/>
  <c r="DD14" i="2"/>
  <c r="P273" i="3"/>
  <c r="P272" i="3"/>
  <c r="P275" i="3"/>
  <c r="P282" i="3"/>
  <c r="P274" i="3"/>
  <c r="P285" i="3"/>
  <c r="P281" i="3"/>
  <c r="P277" i="3"/>
  <c r="P280" i="3"/>
  <c r="P284" i="3"/>
  <c r="P279" i="3"/>
  <c r="P276" i="3"/>
  <c r="P27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<sst xmlns="http://schemas.openxmlformats.org/spreadsheetml/2006/main" count="1555" uniqueCount="1526">
  <si>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</si>
  <si>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</si>
  <si>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</si>
  <si>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</si>
  <si>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</si>
  <si>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</si>
  <si>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</si>
  <si>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</si>
  <si>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</si>
  <si>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</si>
  <si>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</si>
  <si>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</si>
  <si>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</si>
  <si>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</si>
  <si>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</si>
  <si>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</si>
  <si>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</si>
  <si>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</si>
  <si>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</si>
  <si>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</si>
  <si>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</si>
  <si>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</si>
  <si>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</si>
  <si>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</si>
  <si>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</si>
  <si>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</si>
  <si>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</si>
  <si>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</si>
  <si>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</si>
  <si>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</si>
  <si>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</si>
  <si>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</si>
  <si>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</si>
  <si>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</si>
  <si>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</si>
  <si>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</si>
  <si>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</si>
  <si>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</si>
  <si>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</si>
  <si>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</si>
  <si>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</si>
  <si>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</si>
  <si>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</si>
  <si>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</si>
  <si>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</si>
  <si>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</si>
  <si>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</si>
  <si>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</si>
  <si>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</si>
  <si>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</si>
  <si>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</si>
  <si>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</si>
  <si>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</si>
  <si>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</si>
  <si>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</si>
  <si>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</si>
  <si>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</si>
  <si>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</si>
  <si>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</si>
  <si>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</si>
  <si>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</si>
  <si>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</si>
  <si>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</si>
  <si>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</si>
  <si>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</si>
  <si>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</si>
  <si>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</si>
  <si>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</si>
  <si>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</si>
  <si>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</si>
  <si>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</si>
  <si>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</si>
  <si>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</si>
  <si>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</si>
  <si>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</si>
  <si>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</si>
  <si>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</si>
  <si>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</si>
  <si>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</si>
  <si>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</si>
  <si>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</si>
  <si>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</si>
  <si>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</si>
  <si>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</si>
  <si>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</si>
  <si>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</si>
  <si>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</si>
  <si>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</si>
  <si>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</si>
  <si>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</si>
  <si>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</si>
  <si>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</si>
  <si>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</si>
  <si>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</si>
  <si>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</si>
  <si>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</si>
  <si>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</si>
  <si>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</si>
  <si>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</si>
  <si>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</si>
  <si>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</si>
  <si>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</si>
  <si>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</si>
  <si>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</si>
  <si>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</si>
  <si>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</si>
  <si>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</si>
  <si>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</si>
  <si>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</si>
  <si>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</si>
  <si>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</si>
  <si>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</si>
  <si>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</si>
  <si>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</si>
  <si>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</si>
  <si>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</si>
  <si>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</si>
  <si>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</si>
  <si>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</si>
  <si>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</si>
  <si>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</si>
  <si>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</si>
  <si>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</si>
  <si>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</si>
  <si>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</si>
  <si>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</si>
  <si>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</si>
  <si>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</si>
  <si>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</si>
  <si>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</si>
  <si>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</si>
  <si>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</si>
  <si>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</si>
  <si>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</si>
  <si>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</si>
  <si>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</si>
  <si>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</si>
  <si>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</si>
  <si>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</si>
  <si>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</si>
  <si>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</si>
  <si>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</si>
  <si>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</si>
  <si>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</si>
  <si>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</si>
  <si>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</si>
  <si>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</si>
  <si>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</si>
  <si>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</si>
  <si>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</si>
  <si>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</si>
  <si>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</si>
  <si>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</si>
  <si>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</si>
  <si>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</si>
  <si>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</si>
  <si>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</si>
  <si>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</si>
  <si>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</si>
  <si>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</si>
  <si>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</si>
  <si>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</si>
  <si>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</si>
  <si>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</si>
  <si>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</si>
  <si>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</si>
  <si>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</si>
  <si>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</si>
  <si>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</si>
  <si>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</si>
  <si>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</si>
  <si>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</si>
  <si>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</si>
  <si>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</si>
  <si>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</si>
  <si>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</si>
  <si>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</si>
  <si>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</si>
  <si>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</si>
  <si>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</si>
  <si>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</si>
  <si>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</si>
  <si>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</si>
  <si>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</si>
  <si>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</si>
  <si>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</si>
  <si>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</si>
  <si>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</si>
  <si>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</si>
  <si>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</si>
  <si>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</si>
  <si>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</si>
  <si>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</si>
  <si>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</si>
  <si>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</si>
  <si>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</si>
  <si>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</si>
  <si>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</si>
  <si>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</si>
  <si>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</si>
  <si>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</si>
  <si>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</si>
  <si>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</si>
  <si>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</si>
  <si>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</si>
  <si>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</si>
  <si>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</si>
  <si>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</si>
  <si>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</si>
  <si>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</si>
  <si>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</si>
  <si>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</si>
  <si>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</si>
  <si>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</si>
  <si>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</si>
  <si>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</si>
  <si>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</si>
  <si>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</si>
  <si>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</si>
  <si>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</si>
  <si>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</si>
  <si>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</si>
  <si>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</si>
  <si>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</si>
  <si>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</si>
  <si>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</si>
  <si>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</si>
  <si>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</si>
  <si>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</si>
  <si>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</si>
  <si>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</si>
  <si>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</si>
  <si>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</si>
  <si>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</si>
  <si>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</si>
  <si>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</si>
  <si>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</si>
  <si>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</si>
  <si>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</si>
  <si>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</si>
  <si>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</si>
  <si>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Insulet Corporation (PODD)</t>
  </si>
  <si>
    <t>PODD</t>
  </si>
  <si>
    <t>9/21/25</t>
  </si>
  <si>
    <t>Founder(s): John Brooks, Amparo Diaz, and Duane DeSisto</t>
  </si>
  <si>
    <t>Founded: 2000</t>
  </si>
  <si>
    <t>Headquarters: Acton, MA</t>
  </si>
  <si>
    <t>Current CEO: Ashley McEvoy</t>
  </si>
  <si>
    <t>Employees: 3,900</t>
  </si>
  <si>
    <t>Industry: Medical Devices</t>
  </si>
  <si>
    <t>Sector: Healthcare</t>
  </si>
  <si>
    <t>IPO: May 15, 2007</t>
  </si>
  <si>
    <t>Fiscal Year: [January - December]</t>
  </si>
  <si>
    <t>(978) 600 - 7000</t>
  </si>
  <si>
    <t>Registered Exchange: NASDAQ</t>
  </si>
  <si>
    <t>Address: 100 Nagog Park, Acton, MA 01720 U.S.</t>
  </si>
  <si>
    <t>https://www.sec.gov/edgar/browse/?CIK=1145197&amp;owner=exclude</t>
  </si>
  <si>
    <t>https://www.insulet.com/</t>
  </si>
  <si>
    <t>https://investor.insulet.com/overview/default.aspx</t>
  </si>
  <si>
    <t>https://seekingalpha.com/symbol/PODD/earnings/transcripts#source=content_type%3Aall%7Csection%3Asearch_enter%7Csection_asset%3Asearch-basic%7Csearch_item%3Apodd%7Crow_num%3A0%7CURL_first_level%3Asymbol%7Ctopic%3Akeyword</t>
  </si>
  <si>
    <t>https://stockanalysis.com/stocks/podd/company/</t>
  </si>
  <si>
    <t>https://www.macrotrends.net/stocks/charts/PODD/insulet/income-statement?freq=A</t>
  </si>
  <si>
    <t>https://www.gurufocus.com/term/wacc/PODD</t>
  </si>
  <si>
    <t>Insulet Corporation develops, manufactures, and sells insulin delivery systems for people with insulin-dependent diabetes in the United States and internationally</t>
  </si>
  <si>
    <t>The Company offers Omnipod platform products comprising Omnipod 5 automated insulin delivery system, which includes a proprietary AID algorithm embedded in the pod that integrates with a third-party continuous glucose monitor to obtain glucose values through wireless Bluetooth communication; and Omnipod DASH insulin management system that features a Bluetooth enabled pod that is controlled by a smartphone-like personal diabetes manager with a color touch screen user interface</t>
  </si>
  <si>
    <t>It also provides pods for Amgen for use in the Neulasta Onpro kit, which is a delivery system to help reduce the risk of infection after intense chemotherapy</t>
  </si>
  <si>
    <t>The Company sells its products to end-users through the pharmacy channel; and independent distributors</t>
  </si>
  <si>
    <t>Insulet Corporation was incorporated in 2000 and is headquartered in Acton, Massachusetts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</si>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</sst>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3" applyFont="1"/>
    <xf numFmtId="10" fontId="2" fillId="0" borderId="0" xfId="0" applyNumberFormat="1" applyFont="1" applyAlignment="1">
      <alignment vertical="top"/>
    </xf>
    <xf numFmtId="0" fontId="19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(PODD)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9524</xdr:rowOff>
    </xdr:from>
    <xdr:to>
      <xdr:col>8</xdr:col>
      <xdr:colOff>1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39BCBF-8B2C-5C24-D892-698702CE54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092" b="5060"/>
        <a:stretch>
          <a:fillRect/>
        </a:stretch>
      </xdr:blipFill>
      <xdr:spPr>
        <a:xfrm>
          <a:off x="3162300" y="390524"/>
          <a:ext cx="1819276" cy="10763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129</xdr:row>
      <xdr:rowOff>190499</xdr:rowOff>
    </xdr:from>
    <xdr:to>
      <xdr:col>23</xdr:col>
      <xdr:colOff>0</xdr:colOff>
      <xdr:row>160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166</xdr:row>
      <xdr:rowOff>0</xdr:rowOff>
    </xdr:from>
    <xdr:to>
      <xdr:col>23</xdr:col>
      <xdr:colOff>0</xdr:colOff>
      <xdr:row>194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231</xdr:row>
      <xdr:rowOff>0</xdr:rowOff>
    </xdr:from>
    <xdr:to>
      <xdr:col>23</xdr:col>
      <xdr:colOff>0</xdr:colOff>
      <xdr:row>259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199</xdr:row>
      <xdr:rowOff>0</xdr:rowOff>
    </xdr:from>
    <xdr:to>
      <xdr:col>23</xdr:col>
      <xdr:colOff>0</xdr:colOff>
      <xdr:row>227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edgar/browse/?CIK=1145197&amp;owner=exclude" TargetMode="External"/><Relationship Id="rId2" Type="http://schemas.openxmlformats.org/officeDocument/2006/relationships/hyperlink" Target="000%20Med-Devices%20Master%20List%20000.xlsx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insulet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zoomScale="85" zoomScaleNormal="85" workbookViewId="0">
      <selection activeCell="B20" sqref="B20"/>
    </sheetView>
  </sheetViews>
  <sheetFormatPr defaultColWidth="9.140625" defaultRowHeight="14.25"/>
  <cols>
    <col min="1" max="1" width="3.42578125" style="1" customWidth="1"/>
    <col min="2" max="3" width="11.5703125" style="1" customWidth="1"/>
    <col min="4" max="4" width="9.140625" style="1" customWidth="1"/>
    <col min="5" max="16384" width="9.140625" style="1"/>
  </cols>
  <sheetData>
    <row r="1" spans="1:17" ht="15">
      <c r="A1" s="65" t="s">
        <v>0</v>
      </c>
    </row>
    <row r="2" spans="1:17" ht="15">
      <c r="B2" s="2" t="s">
        <v>242</v>
      </c>
    </row>
    <row r="3" spans="1:17">
      <c r="B3" s="1" t="s">
        <v>1</v>
      </c>
      <c r="C3" s="44">
        <v>330.84</v>
      </c>
      <c r="D3" s="43" t="s">
        <v>243</v>
      </c>
    </row>
    <row r="4" spans="1:17">
      <c r="B4" s="1" t="s">
        <v>2</v>
      </c>
      <c r="C4" s="45">
        <v>70.391999999999996</v>
      </c>
      <c r="D4" s="1" t="s">
        <v>237</v>
      </c>
    </row>
    <row r="5" spans="1:17">
      <c r="B5" s="1" t="s">
        <v>3</v>
      </c>
      <c r="C5" s="46">
        <f>C3*C4</f>
        <v>23288.489279999998</v>
      </c>
    </row>
    <row r="6" spans="1:17">
      <c r="B6" s="1" t="s">
        <v>4</v>
      </c>
      <c r="C6" s="47">
        <v>1121.5999999999999</v>
      </c>
      <c r="D6" s="1" t="s">
        <v>237</v>
      </c>
    </row>
    <row r="7" spans="1:17">
      <c r="B7" s="1" t="s">
        <v>5</v>
      </c>
      <c r="C7" s="47">
        <f>406.7+939</f>
        <v>1345.7</v>
      </c>
      <c r="D7" s="1" t="s">
        <v>237</v>
      </c>
    </row>
    <row r="8" spans="1:17">
      <c r="B8" s="1" t="s">
        <v>6</v>
      </c>
      <c r="C8" s="47">
        <f>C5-C6+C7</f>
        <v>23512.58928</v>
      </c>
    </row>
    <row r="10" spans="1:17" ht="15">
      <c r="B10" s="2" t="s">
        <v>241</v>
      </c>
    </row>
    <row r="12" spans="1:17" ht="15">
      <c r="B12" s="1" t="s">
        <v>244</v>
      </c>
      <c r="G12" s="1" t="s">
        <v>254</v>
      </c>
      <c r="M12" s="1" t="s">
        <v>217</v>
      </c>
      <c r="P12" s="2"/>
    </row>
    <row r="13" spans="1:17" ht="15">
      <c r="B13" s="1" t="s">
        <v>245</v>
      </c>
      <c r="G13" s="1" t="s">
        <v>255</v>
      </c>
      <c r="M13" s="1" t="s">
        <v>8</v>
      </c>
      <c r="P13" s="65" t="s">
        <v>256</v>
      </c>
    </row>
    <row r="14" spans="1:17" ht="15">
      <c r="B14" s="1" t="s">
        <v>246</v>
      </c>
      <c r="G14" s="1" t="s">
        <v>7</v>
      </c>
      <c r="M14" s="1" t="s">
        <v>222</v>
      </c>
      <c r="P14" s="65" t="s">
        <v>257</v>
      </c>
    </row>
    <row r="15" spans="1:17">
      <c r="B15" s="1" t="s">
        <v>247</v>
      </c>
      <c r="G15" s="1" t="s">
        <v>213</v>
      </c>
      <c r="N15" s="1" t="s">
        <v>221</v>
      </c>
      <c r="Q15" s="48" t="s">
        <v>258</v>
      </c>
    </row>
    <row r="16" spans="1:17">
      <c r="B16" s="1" t="s">
        <v>248</v>
      </c>
      <c r="G16" s="1" t="s">
        <v>206</v>
      </c>
      <c r="H16" s="1" t="s">
        <v>253</v>
      </c>
      <c r="J16" s="1" t="s">
        <v>207</v>
      </c>
      <c r="M16" s="1" t="s">
        <v>210</v>
      </c>
      <c r="P16" s="48" t="s">
        <v>259</v>
      </c>
    </row>
    <row r="17" spans="1:16">
      <c r="B17" s="1" t="s">
        <v>249</v>
      </c>
      <c r="M17" s="1" t="s">
        <v>211</v>
      </c>
      <c r="P17" s="48" t="s">
        <v>260</v>
      </c>
    </row>
    <row r="18" spans="1:16">
      <c r="B18" s="1" t="s">
        <v>250</v>
      </c>
      <c r="M18" s="1" t="s">
        <v>223</v>
      </c>
      <c r="P18" s="48" t="s">
        <v>261</v>
      </c>
    </row>
    <row r="19" spans="1:16">
      <c r="B19" s="1" t="s">
        <v>251</v>
      </c>
      <c r="M19" s="1" t="s">
        <v>224</v>
      </c>
      <c r="P19" s="48" t="s">
        <v>262</v>
      </c>
    </row>
    <row r="20" spans="1:16">
      <c r="B20" s="1" t="s">
        <v>252</v>
      </c>
      <c r="M20" s="1" t="s">
        <v>9</v>
      </c>
      <c r="P20" s="48" t="s">
        <v>212</v>
      </c>
    </row>
    <row r="21" spans="1:16" ht="15">
      <c r="M21" s="2"/>
    </row>
    <row r="22" spans="1:16" ht="15">
      <c r="A22" s="2" t="s">
        <v>10</v>
      </c>
    </row>
    <row r="23" spans="1:16">
      <c r="B23" s="1" t="s">
        <v>263</v>
      </c>
    </row>
    <row r="24" spans="1:16">
      <c r="B24" s="1" t="s">
        <v>264</v>
      </c>
    </row>
    <row r="25" spans="1:16">
      <c r="B25" s="1" t="s">
        <v>265</v>
      </c>
    </row>
    <row r="26" spans="1:16">
      <c r="B26" s="1" t="s">
        <v>266</v>
      </c>
    </row>
    <row r="27" spans="1:16">
      <c r="B27" s="1" t="s">
        <v>267</v>
      </c>
    </row>
    <row r="29" spans="1:16" ht="15">
      <c r="A29" s="2" t="s">
        <v>214</v>
      </c>
    </row>
    <row r="30" spans="1:16">
      <c r="B30" s="1" t="s">
        <v>215</v>
      </c>
    </row>
  </sheetData>
  <hyperlinks>
    <hyperlink ref="P20" r:id="rId1" xr:uid="{14375537-5C3D-4253-9650-337AB6789785}"/>
    <hyperlink ref="A1" r:id="rId2" xr:uid="{8DECE156-3ABF-4214-BA3F-EA98AB14F987}"/>
    <hyperlink ref="P13" r:id="rId3" xr:uid="{B36353A8-6026-40C8-9AFC-704A657005B8}"/>
    <hyperlink ref="P14" r:id="rId4" xr:uid="{1C8E5B05-D99C-4B56-838D-8997B19CB510}"/>
  </hyperlinks>
  <pageMargins left="0.7" right="0.7" top="0.75" bottom="0.75" header="0.3" footer="0.3"/>
  <ignoredErrors>
    <ignoredError sqref="D3" twoDigitTextYear="1"/>
  </ignoredError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zoomScale="85" zoomScaleNormal="85" workbookViewId="0">
      <pane xSplit="2" ySplit="3" topLeftCell="CG45" activePane="bottomRight" state="frozen"/>
      <selection pane="topRight" activeCell="C1" sqref="C1"/>
      <selection pane="bottomLeft" activeCell="A4" sqref="A4"/>
      <selection pane="bottomRight" activeCell="DI80" sqref="DI8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125</v>
      </c>
      <c r="AY1" s="33" t="s">
        <v>97</v>
      </c>
      <c r="BC1" s="33" t="s">
        <v>101</v>
      </c>
      <c r="BG1" s="33" t="s">
        <v>105</v>
      </c>
      <c r="BK1" s="33" t="s">
        <v>109</v>
      </c>
      <c r="BO1" s="33" t="s">
        <v>113</v>
      </c>
      <c r="BS1" s="33" t="s">
        <v>117</v>
      </c>
    </row>
    <row r="2" spans="2:166">
      <c r="B2" s="1" t="s">
        <v>126</v>
      </c>
    </row>
    <row r="3" spans="2:166" ht="15">
      <c r="B3" s="2" t="s">
        <v>127</v>
      </c>
      <c r="C3" s="2" t="s">
        <v>129</v>
      </c>
      <c r="D3" s="33" t="s">
        <v>51</v>
      </c>
      <c r="E3" s="33" t="s">
        <v>52</v>
      </c>
      <c r="F3" s="33" t="s">
        <v>130</v>
      </c>
      <c r="G3" s="33" t="s">
        <v>53</v>
      </c>
      <c r="H3" s="33" t="s">
        <v>54</v>
      </c>
      <c r="I3" s="33" t="s">
        <v>55</v>
      </c>
      <c r="J3" s="33" t="s">
        <v>56</v>
      </c>
      <c r="K3" s="33" t="s">
        <v>57</v>
      </c>
      <c r="L3" s="33" t="s">
        <v>58</v>
      </c>
      <c r="M3" s="33" t="s">
        <v>59</v>
      </c>
      <c r="N3" s="33" t="s">
        <v>60</v>
      </c>
      <c r="O3" s="33" t="s">
        <v>61</v>
      </c>
      <c r="P3" s="33" t="s">
        <v>62</v>
      </c>
      <c r="Q3" s="33" t="s">
        <v>63</v>
      </c>
      <c r="R3" s="33" t="s">
        <v>64</v>
      </c>
      <c r="S3" s="33" t="s">
        <v>65</v>
      </c>
      <c r="T3" s="33" t="s">
        <v>66</v>
      </c>
      <c r="U3" s="33" t="s">
        <v>67</v>
      </c>
      <c r="V3" s="33" t="s">
        <v>68</v>
      </c>
      <c r="W3" s="33" t="s">
        <v>69</v>
      </c>
      <c r="X3" s="33" t="s">
        <v>70</v>
      </c>
      <c r="Y3" s="33" t="s">
        <v>71</v>
      </c>
      <c r="Z3" s="33" t="s">
        <v>72</v>
      </c>
      <c r="AA3" s="33" t="s">
        <v>73</v>
      </c>
      <c r="AB3" s="33" t="s">
        <v>74</v>
      </c>
      <c r="AC3" s="33" t="s">
        <v>75</v>
      </c>
      <c r="AD3" s="33" t="s">
        <v>76</v>
      </c>
      <c r="AE3" s="33" t="s">
        <v>77</v>
      </c>
      <c r="AF3" s="33" t="s">
        <v>78</v>
      </c>
      <c r="AG3" s="33" t="s">
        <v>79</v>
      </c>
      <c r="AH3" s="33" t="s">
        <v>80</v>
      </c>
      <c r="AI3" s="33" t="s">
        <v>81</v>
      </c>
      <c r="AJ3" s="33" t="s">
        <v>82</v>
      </c>
      <c r="AK3" s="33" t="s">
        <v>83</v>
      </c>
      <c r="AL3" s="33" t="s">
        <v>84</v>
      </c>
      <c r="AM3" s="33" t="s">
        <v>85</v>
      </c>
      <c r="AN3" s="33" t="s">
        <v>86</v>
      </c>
      <c r="AO3" s="33" t="s">
        <v>87</v>
      </c>
      <c r="AP3" s="33" t="s">
        <v>88</v>
      </c>
      <c r="AQ3" s="33" t="s">
        <v>89</v>
      </c>
      <c r="AR3" s="33" t="s">
        <v>90</v>
      </c>
      <c r="AS3" s="33" t="s">
        <v>91</v>
      </c>
      <c r="AT3" s="33" t="s">
        <v>92</v>
      </c>
      <c r="AU3" s="33" t="s">
        <v>93</v>
      </c>
      <c r="AV3" s="33" t="s">
        <v>94</v>
      </c>
      <c r="AW3" s="33" t="s">
        <v>95</v>
      </c>
      <c r="AX3" s="33" t="s">
        <v>96</v>
      </c>
      <c r="AY3" s="33" t="s">
        <v>97</v>
      </c>
      <c r="AZ3" s="33" t="s">
        <v>98</v>
      </c>
      <c r="BA3" s="33" t="s">
        <v>99</v>
      </c>
      <c r="BB3" s="33" t="s">
        <v>100</v>
      </c>
      <c r="BC3" s="33" t="s">
        <v>101</v>
      </c>
      <c r="BD3" s="33" t="s">
        <v>102</v>
      </c>
      <c r="BE3" s="33" t="s">
        <v>103</v>
      </c>
      <c r="BF3" s="33" t="s">
        <v>104</v>
      </c>
      <c r="BG3" s="33" t="s">
        <v>105</v>
      </c>
      <c r="BH3" s="33" t="s">
        <v>106</v>
      </c>
      <c r="BI3" s="33" t="s">
        <v>107</v>
      </c>
      <c r="BJ3" s="33" t="s">
        <v>108</v>
      </c>
      <c r="BK3" s="33" t="s">
        <v>109</v>
      </c>
      <c r="BL3" s="33" t="s">
        <v>110</v>
      </c>
      <c r="BM3" s="33" t="s">
        <v>111</v>
      </c>
      <c r="BN3" s="33" t="s">
        <v>112</v>
      </c>
      <c r="BO3" s="33" t="s">
        <v>113</v>
      </c>
      <c r="BP3" s="33" t="s">
        <v>114</v>
      </c>
      <c r="BQ3" s="33" t="s">
        <v>115</v>
      </c>
      <c r="BR3" s="33" t="s">
        <v>116</v>
      </c>
      <c r="BS3" s="33" t="s">
        <v>117</v>
      </c>
      <c r="BT3" s="34" t="s">
        <v>118</v>
      </c>
      <c r="BU3" s="34" t="s">
        <v>119</v>
      </c>
      <c r="BV3" s="34" t="s">
        <v>120</v>
      </c>
      <c r="BW3" s="34" t="s">
        <v>121</v>
      </c>
      <c r="BX3" s="34" t="s">
        <v>122</v>
      </c>
      <c r="BY3" s="34" t="s">
        <v>123</v>
      </c>
      <c r="BZ3" s="34" t="s">
        <v>124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132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133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134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131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135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136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137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138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139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140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128</v>
      </c>
      <c r="C14" s="50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143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9">
        <v>1</v>
      </c>
      <c r="DA16" s="49">
        <v>1</v>
      </c>
      <c r="DB16" s="49">
        <v>1</v>
      </c>
      <c r="DC16" s="49">
        <v>1</v>
      </c>
      <c r="DD16" s="49">
        <v>1</v>
      </c>
      <c r="DE16" s="49">
        <v>1</v>
      </c>
      <c r="DF16" s="49">
        <v>1</v>
      </c>
      <c r="DG16" s="49">
        <v>1</v>
      </c>
      <c r="DH16" s="49">
        <v>1</v>
      </c>
      <c r="DI16" s="49">
        <v>1</v>
      </c>
    </row>
    <row r="17" spans="2:165">
      <c r="B17" s="37" t="s">
        <v>144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9">
        <v>1</v>
      </c>
      <c r="DA17" s="49">
        <v>1</v>
      </c>
      <c r="DB17" s="49">
        <v>1</v>
      </c>
      <c r="DC17" s="49">
        <v>1</v>
      </c>
      <c r="DD17" s="49">
        <v>1</v>
      </c>
      <c r="DE17" s="49">
        <v>1</v>
      </c>
      <c r="DF17" s="49">
        <v>1</v>
      </c>
      <c r="DG17" s="49">
        <v>1</v>
      </c>
      <c r="DH17" s="49">
        <v>1</v>
      </c>
      <c r="DI17" s="49">
        <v>1</v>
      </c>
    </row>
    <row r="18" spans="2:165">
      <c r="B18" s="37" t="s">
        <v>145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9">
        <v>1</v>
      </c>
      <c r="DA18" s="49">
        <v>1</v>
      </c>
      <c r="DB18" s="49">
        <v>1</v>
      </c>
      <c r="DC18" s="49">
        <v>1</v>
      </c>
      <c r="DD18" s="49">
        <v>1</v>
      </c>
      <c r="DE18" s="49">
        <v>1</v>
      </c>
      <c r="DF18" s="49">
        <v>1</v>
      </c>
      <c r="DG18" s="49">
        <v>1</v>
      </c>
      <c r="DH18" s="49">
        <v>1</v>
      </c>
      <c r="DI18" s="49">
        <v>1</v>
      </c>
    </row>
    <row r="19" spans="2:165">
      <c r="B19" s="37" t="s">
        <v>146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9">
        <v>1</v>
      </c>
      <c r="DA19" s="49">
        <v>1</v>
      </c>
      <c r="DB19" s="49">
        <v>1</v>
      </c>
      <c r="DC19" s="49">
        <v>1</v>
      </c>
      <c r="DD19" s="49">
        <v>1</v>
      </c>
      <c r="DE19" s="49">
        <v>1</v>
      </c>
      <c r="DF19" s="49">
        <v>1</v>
      </c>
      <c r="DG19" s="49">
        <v>1</v>
      </c>
      <c r="DH19" s="49">
        <v>1</v>
      </c>
      <c r="DI19" s="49">
        <v>1</v>
      </c>
    </row>
    <row r="20" spans="2:165">
      <c r="B20" s="37" t="s">
        <v>147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9">
        <v>1</v>
      </c>
      <c r="DA20" s="49">
        <v>1</v>
      </c>
      <c r="DB20" s="49">
        <v>1</v>
      </c>
      <c r="DC20" s="49">
        <v>1</v>
      </c>
      <c r="DD20" s="49">
        <v>1</v>
      </c>
      <c r="DE20" s="49">
        <v>1</v>
      </c>
      <c r="DF20" s="49">
        <v>1</v>
      </c>
      <c r="DG20" s="49">
        <v>1</v>
      </c>
      <c r="DH20" s="49">
        <v>1</v>
      </c>
      <c r="DI20" s="49">
        <v>1</v>
      </c>
    </row>
    <row r="21" spans="2:165">
      <c r="B21" s="37" t="s">
        <v>148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9">
        <v>1</v>
      </c>
      <c r="DA21" s="49">
        <v>1</v>
      </c>
      <c r="DB21" s="49">
        <v>1</v>
      </c>
      <c r="DC21" s="49">
        <v>1</v>
      </c>
      <c r="DD21" s="49">
        <v>1</v>
      </c>
      <c r="DE21" s="49">
        <v>1</v>
      </c>
      <c r="DF21" s="49">
        <v>1</v>
      </c>
      <c r="DG21" s="49">
        <v>1</v>
      </c>
      <c r="DH21" s="49">
        <v>1</v>
      </c>
      <c r="DI21" s="49">
        <v>1</v>
      </c>
    </row>
    <row r="22" spans="2:165">
      <c r="B22" s="37" t="s">
        <v>151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9">
        <v>1</v>
      </c>
      <c r="DA22" s="49">
        <v>1</v>
      </c>
      <c r="DB22" s="49">
        <v>1</v>
      </c>
      <c r="DC22" s="49">
        <v>1</v>
      </c>
      <c r="DD22" s="49">
        <v>1</v>
      </c>
      <c r="DE22" s="49">
        <v>1</v>
      </c>
      <c r="DF22" s="49">
        <v>1</v>
      </c>
      <c r="DG22" s="49">
        <v>1</v>
      </c>
      <c r="DH22" s="49">
        <v>1</v>
      </c>
      <c r="DI22" s="49">
        <v>1</v>
      </c>
    </row>
    <row r="23" spans="2:165">
      <c r="B23" s="37" t="s">
        <v>150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9">
        <v>1</v>
      </c>
      <c r="DA23" s="49">
        <v>1</v>
      </c>
      <c r="DB23" s="49">
        <v>1</v>
      </c>
      <c r="DC23" s="49">
        <v>1</v>
      </c>
      <c r="DD23" s="49">
        <v>1</v>
      </c>
      <c r="DE23" s="49">
        <v>1</v>
      </c>
      <c r="DF23" s="49">
        <v>1</v>
      </c>
      <c r="DG23" s="49">
        <v>1</v>
      </c>
      <c r="DH23" s="49">
        <v>1</v>
      </c>
      <c r="DI23" s="49">
        <v>1</v>
      </c>
    </row>
    <row r="24" spans="2:165">
      <c r="B24" s="37" t="s">
        <v>152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9">
        <v>1</v>
      </c>
      <c r="DA24" s="49">
        <v>1</v>
      </c>
      <c r="DB24" s="49">
        <v>1</v>
      </c>
      <c r="DC24" s="49">
        <v>1</v>
      </c>
      <c r="DD24" s="49">
        <v>1</v>
      </c>
      <c r="DE24" s="49">
        <v>1</v>
      </c>
      <c r="DF24" s="49">
        <v>1</v>
      </c>
      <c r="DG24" s="49">
        <v>1</v>
      </c>
      <c r="DH24" s="49">
        <v>1</v>
      </c>
      <c r="DI24" s="49">
        <v>1</v>
      </c>
    </row>
    <row r="25" spans="2:165">
      <c r="B25" s="37" t="s">
        <v>149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9">
        <v>1</v>
      </c>
      <c r="DA25" s="49">
        <v>1</v>
      </c>
      <c r="DB25" s="49">
        <v>1</v>
      </c>
      <c r="DC25" s="49">
        <v>1</v>
      </c>
      <c r="DD25" s="49">
        <v>1</v>
      </c>
      <c r="DE25" s="49">
        <v>1</v>
      </c>
      <c r="DF25" s="49">
        <v>1</v>
      </c>
      <c r="DG25" s="49">
        <v>1</v>
      </c>
      <c r="DH25" s="49">
        <v>1</v>
      </c>
      <c r="DI25" s="49">
        <v>1</v>
      </c>
    </row>
    <row r="26" spans="2:165" s="2" customFormat="1" ht="15">
      <c r="B26" s="33" t="s">
        <v>225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1" t="e">
        <f>CZ14/CY14-1</f>
        <v>#DIV/0!</v>
      </c>
      <c r="DA26" s="51" t="e">
        <f t="shared" ref="DA26:DI26" si="41">DA14/CZ14-1</f>
        <v>#DIV/0!</v>
      </c>
      <c r="DB26" s="51" t="e">
        <f t="shared" si="41"/>
        <v>#DIV/0!</v>
      </c>
      <c r="DC26" s="51" t="e">
        <f t="shared" si="41"/>
        <v>#DIV/0!</v>
      </c>
      <c r="DD26" s="51" t="e">
        <f t="shared" si="41"/>
        <v>#DIV/0!</v>
      </c>
      <c r="DE26" s="51" t="e">
        <f t="shared" si="41"/>
        <v>#DIV/0!</v>
      </c>
      <c r="DF26" s="51" t="e">
        <f t="shared" si="41"/>
        <v>#DIV/0!</v>
      </c>
      <c r="DG26" s="51" t="e">
        <f t="shared" si="41"/>
        <v>#DIV/0!</v>
      </c>
      <c r="DH26" s="51" t="e">
        <f t="shared" si="41"/>
        <v>#DIV/0!</v>
      </c>
      <c r="DI26" s="51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141</v>
      </c>
      <c r="CY28" s="1" t="e">
        <f>CY4/CY14</f>
        <v>#DIV/0!</v>
      </c>
    </row>
    <row r="29" spans="2:165" ht="15">
      <c r="B29" s="33" t="s">
        <v>142</v>
      </c>
    </row>
    <row r="31" spans="2:165">
      <c r="B31" s="1" t="s">
        <v>153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156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155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154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163</v>
      </c>
    </row>
    <row r="37" spans="2:165">
      <c r="B37" s="1" t="s">
        <v>161</v>
      </c>
    </row>
    <row r="38" spans="2:165">
      <c r="B38" s="1" t="s">
        <v>162</v>
      </c>
    </row>
    <row r="39" spans="2:165">
      <c r="B39" s="1" t="s">
        <v>164</v>
      </c>
    </row>
    <row r="41" spans="2:165">
      <c r="B41" s="38" t="s">
        <v>157</v>
      </c>
    </row>
    <row r="42" spans="2:165">
      <c r="B42" s="1" t="s">
        <v>158</v>
      </c>
    </row>
    <row r="43" spans="2:165">
      <c r="B43" s="1" t="s">
        <v>159</v>
      </c>
    </row>
    <row r="44" spans="2:165">
      <c r="B44" s="1" t="s">
        <v>160</v>
      </c>
    </row>
    <row r="46" spans="2:165" s="2" customFormat="1" ht="15">
      <c r="B46" s="2" t="s">
        <v>127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165</v>
      </c>
    </row>
    <row r="48" spans="2:165">
      <c r="B48" s="1" t="s">
        <v>166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167</v>
      </c>
    </row>
    <row r="67" spans="2:114">
      <c r="B67" s="37" t="s">
        <v>168</v>
      </c>
    </row>
    <row r="68" spans="2:114">
      <c r="B68" s="37" t="s">
        <v>169</v>
      </c>
    </row>
    <row r="69" spans="2:114">
      <c r="B69" s="37" t="s">
        <v>170</v>
      </c>
    </row>
    <row r="70" spans="2:114">
      <c r="B70" s="37" t="s">
        <v>171</v>
      </c>
    </row>
    <row r="71" spans="2:114">
      <c r="B71" s="37" t="s">
        <v>172</v>
      </c>
    </row>
    <row r="72" spans="2:114">
      <c r="B72" s="37" t="s">
        <v>208</v>
      </c>
    </row>
    <row r="74" spans="2:114">
      <c r="B74" s="1" t="s">
        <v>173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174</v>
      </c>
    </row>
    <row r="76" spans="2:114">
      <c r="B76" s="1" t="s">
        <v>175</v>
      </c>
      <c r="DA76" s="52" t="s">
        <v>226</v>
      </c>
      <c r="DB76" s="53"/>
      <c r="DC76" s="53"/>
      <c r="DD76" s="52" t="s">
        <v>227</v>
      </c>
      <c r="DE76" s="53"/>
      <c r="DF76" s="54" t="s">
        <v>228</v>
      </c>
      <c r="DG76" s="53"/>
      <c r="DH76" s="55" t="s">
        <v>229</v>
      </c>
      <c r="DI76" s="56">
        <v>0.06</v>
      </c>
      <c r="DJ76" s="53"/>
    </row>
    <row r="77" spans="2:114" ht="13.5" customHeight="1">
      <c r="DA77" s="53">
        <v>2025</v>
      </c>
      <c r="DB77" s="53"/>
      <c r="DC77" s="53">
        <v>2023</v>
      </c>
      <c r="DD77" s="53">
        <v>2024</v>
      </c>
      <c r="DE77" s="53"/>
      <c r="DF77" s="54" t="s">
        <v>230</v>
      </c>
      <c r="DG77" s="53"/>
      <c r="DH77" s="55" t="s">
        <v>231</v>
      </c>
      <c r="DI77" s="56">
        <v>2.5000000000000001E-2</v>
      </c>
      <c r="DJ77" s="53"/>
    </row>
    <row r="78" spans="2:114" ht="13.5" customHeight="1">
      <c r="DA78" s="57" t="e">
        <f>AVERAGE(CZ56)*(1-CZ70)</f>
        <v>#DIV/0!</v>
      </c>
      <c r="DB78" s="53"/>
      <c r="DC78" s="58">
        <f>SUM(CX73:CX78)-CX89+CX79+CX82+CX81</f>
        <v>0</v>
      </c>
      <c r="DD78" s="58">
        <f>SUM(CY73:CY78)-CY89+CY79+CY82+CY81</f>
        <v>0</v>
      </c>
      <c r="DE78" s="53"/>
      <c r="DF78" s="58">
        <f>AVERAGE(DC78:DD78)</f>
        <v>0</v>
      </c>
      <c r="DG78" s="53"/>
      <c r="DH78" s="55" t="s">
        <v>232</v>
      </c>
      <c r="DI78" s="56">
        <v>4.3400000000000001E-2</v>
      </c>
      <c r="DJ78" s="53"/>
    </row>
    <row r="79" spans="2:114" ht="13.5" customHeight="1">
      <c r="DA79" s="59" t="e">
        <f>DA78/DF78</f>
        <v>#DIV/0!</v>
      </c>
      <c r="DB79" s="53"/>
      <c r="DC79" s="53"/>
      <c r="DD79" s="53"/>
      <c r="DE79" s="53"/>
      <c r="DF79" s="53"/>
      <c r="DG79" s="53"/>
      <c r="DH79" s="55" t="s">
        <v>233</v>
      </c>
      <c r="DI79" s="56">
        <f>13.4%-DI78</f>
        <v>9.0600000000000014E-2</v>
      </c>
      <c r="DJ79" s="53"/>
    </row>
    <row r="80" spans="2:114" ht="13.5" customHeight="1">
      <c r="DA80" s="53"/>
      <c r="DB80" s="53"/>
      <c r="DC80" s="53"/>
      <c r="DD80" s="53"/>
      <c r="DE80" s="53"/>
      <c r="DF80" s="53"/>
      <c r="DG80" s="53"/>
      <c r="DH80" s="55" t="s">
        <v>234</v>
      </c>
      <c r="DI80" s="53">
        <f>'Notes | Quant Analysis'!K267</f>
        <v>1.37</v>
      </c>
      <c r="DJ80" s="53"/>
    </row>
    <row r="81" spans="105:114" ht="13.5" customHeight="1">
      <c r="DA81" s="53"/>
      <c r="DB81" s="53"/>
      <c r="DC81" s="53"/>
      <c r="DD81" s="53"/>
      <c r="DE81" s="53"/>
      <c r="DF81" s="53"/>
      <c r="DG81" s="53"/>
      <c r="DH81" s="55" t="s">
        <v>235</v>
      </c>
      <c r="DI81" s="56">
        <f>+DI78+(DI79*DI80)</f>
        <v>0.16752200000000003</v>
      </c>
      <c r="DJ81" s="60"/>
    </row>
    <row r="82" spans="105:114" ht="13.5" customHeight="1">
      <c r="DA82" s="60"/>
      <c r="DB82" s="60"/>
      <c r="DC82" s="60"/>
      <c r="DD82" s="60"/>
      <c r="DE82" s="60"/>
      <c r="DF82" s="60"/>
      <c r="DG82" s="60"/>
      <c r="DH82" s="55"/>
      <c r="DI82" s="53"/>
      <c r="DJ82" s="53"/>
    </row>
    <row r="83" spans="105:114" ht="13.5" customHeight="1">
      <c r="DA83" s="53"/>
      <c r="DB83" s="53"/>
      <c r="DC83" s="53"/>
      <c r="DD83" s="53"/>
      <c r="DE83" s="53"/>
      <c r="DF83" s="53"/>
      <c r="DG83" s="53"/>
      <c r="DH83" s="55" t="s">
        <v>236</v>
      </c>
      <c r="DI83" s="58">
        <f>NPV(DI81,CZ62:EW62)</f>
        <v>0</v>
      </c>
      <c r="DJ83" s="53"/>
    </row>
    <row r="84" spans="105:114" ht="13.5" customHeight="1">
      <c r="DA84" s="53"/>
      <c r="DB84" s="53"/>
      <c r="DC84" s="53"/>
      <c r="DD84" s="53"/>
      <c r="DE84" s="53"/>
      <c r="DF84" s="53"/>
      <c r="DG84" s="53"/>
      <c r="DH84" s="55" t="s">
        <v>187</v>
      </c>
      <c r="DI84" s="58">
        <f>Main!C4</f>
        <v>70.391999999999996</v>
      </c>
      <c r="DJ84" s="61" t="s">
        <v>237</v>
      </c>
    </row>
    <row r="85" spans="105:114" ht="13.5" customHeight="1">
      <c r="DA85" s="53"/>
      <c r="DB85" s="53"/>
      <c r="DC85" s="53"/>
      <c r="DD85" s="53"/>
      <c r="DE85" s="53"/>
      <c r="DF85" s="53"/>
      <c r="DG85" s="53"/>
      <c r="DH85" s="55" t="s">
        <v>238</v>
      </c>
      <c r="DI85" s="62">
        <f>DI83/DI84</f>
        <v>0</v>
      </c>
      <c r="DJ85" s="52"/>
    </row>
    <row r="86" spans="105:114" ht="13.5" customHeight="1">
      <c r="DA86" s="53"/>
      <c r="DB86" s="53"/>
      <c r="DC86" s="53"/>
      <c r="DD86" s="53"/>
      <c r="DE86" s="53"/>
      <c r="DF86" s="53"/>
      <c r="DG86" s="53"/>
      <c r="DH86" s="55" t="s">
        <v>239</v>
      </c>
      <c r="DI86" s="62">
        <f>Main!C3</f>
        <v>330.84</v>
      </c>
      <c r="DJ86" s="63"/>
    </row>
    <row r="87" spans="105:114" ht="13.5" customHeight="1">
      <c r="DA87" s="60"/>
      <c r="DB87" s="60"/>
      <c r="DC87" s="60"/>
      <c r="DD87" s="60"/>
      <c r="DE87" s="60"/>
      <c r="DF87" s="60"/>
      <c r="DG87" s="60"/>
      <c r="DH87" s="55" t="s">
        <v>240</v>
      </c>
      <c r="DI87" s="56">
        <f>DI85/DI86-1</f>
        <v>-1</v>
      </c>
      <c r="DJ87" s="64" t="str">
        <f>IF(DI87&gt;0,"Upside","Downside")</f>
        <v>Downside</v>
      </c>
    </row>
    <row r="88" spans="105:114" ht="13.5" customHeight="1">
      <c r="DH88" s="72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2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176</v>
      </c>
    </row>
    <row r="109" spans="2:2">
      <c r="B109" s="1" t="s">
        <v>177</v>
      </c>
    </row>
    <row r="110" spans="2:2">
      <c r="B110" s="1" t="s">
        <v>178</v>
      </c>
    </row>
    <row r="111" spans="2:2">
      <c r="B111" s="1" t="s">
        <v>179</v>
      </c>
    </row>
    <row r="112" spans="2:2">
      <c r="B112" s="1" t="s">
        <v>180</v>
      </c>
    </row>
    <row r="113" spans="2:2">
      <c r="B113" s="1" t="s">
        <v>181</v>
      </c>
    </row>
    <row r="114" spans="2:2">
      <c r="B114" s="1" t="s">
        <v>182</v>
      </c>
    </row>
    <row r="117" spans="2:2">
      <c r="B117" s="1" t="s">
        <v>183</v>
      </c>
    </row>
    <row r="118" spans="2:2">
      <c r="B118" s="1" t="s">
        <v>184</v>
      </c>
    </row>
    <row r="119" spans="2:2">
      <c r="B119" s="1" t="s">
        <v>185</v>
      </c>
    </row>
    <row r="120" spans="2:2">
      <c r="B120" s="1" t="s">
        <v>186</v>
      </c>
    </row>
    <row r="121" spans="2:2">
      <c r="B121" s="1" t="s">
        <v>187</v>
      </c>
    </row>
    <row r="122" spans="2:2">
      <c r="B122" s="1" t="s">
        <v>188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8"/>
  <sheetViews>
    <sheetView topLeftCell="H305" zoomScale="85" zoomScaleNormal="85" workbookViewId="0">
      <selection activeCell="G236" sqref="A1:G1048576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216</v>
      </c>
      <c r="AD2" s="2" t="s">
        <v>189</v>
      </c>
    </row>
    <row r="36" spans="8:30" ht="15">
      <c r="H36" s="2" t="s">
        <v>220</v>
      </c>
    </row>
    <row r="37" spans="8:30" ht="15">
      <c r="I37" s="1" t="s">
        <v>15</v>
      </c>
      <c r="AD37" s="2" t="s">
        <v>190</v>
      </c>
    </row>
    <row r="38" spans="8:30" ht="15">
      <c r="AD38" s="2" t="s">
        <v>191</v>
      </c>
    </row>
    <row r="39" spans="8:30">
      <c r="AD39" s="1" t="s">
        <v>192</v>
      </c>
    </row>
    <row r="69" spans="8:9" ht="15">
      <c r="H69" s="2" t="s">
        <v>16</v>
      </c>
    </row>
    <row r="70" spans="8:9">
      <c r="I70" s="1" t="s">
        <v>17</v>
      </c>
    </row>
    <row r="76" spans="8:9">
      <c r="I76" s="1" t="s">
        <v>18</v>
      </c>
    </row>
    <row r="92" spans="9:9">
      <c r="I92" s="1" t="s">
        <v>19</v>
      </c>
    </row>
    <row r="109" spans="9:9">
      <c r="I109" s="1" t="s">
        <v>20</v>
      </c>
    </row>
    <row r="130" spans="8:30" ht="15">
      <c r="H130" s="2" t="s">
        <v>21</v>
      </c>
    </row>
    <row r="137" spans="8:30" ht="15">
      <c r="AD137" s="2" t="s">
        <v>193</v>
      </c>
    </row>
    <row r="138" spans="8:30">
      <c r="AD138" s="1" t="s">
        <v>194</v>
      </c>
    </row>
    <row r="162" spans="8:10">
      <c r="I162" s="1" t="s">
        <v>22</v>
      </c>
      <c r="J162" s="1" t="s">
        <v>23</v>
      </c>
    </row>
    <row r="163" spans="8:10">
      <c r="J163" s="1" t="s">
        <v>24</v>
      </c>
    </row>
    <row r="164" spans="8:10">
      <c r="J164" s="1" t="s">
        <v>25</v>
      </c>
    </row>
    <row r="166" spans="8:10" ht="15">
      <c r="H166" s="2" t="s">
        <v>219</v>
      </c>
    </row>
    <row r="195" spans="8:10">
      <c r="I195" s="1" t="s">
        <v>22</v>
      </c>
      <c r="J195" s="1" t="s">
        <v>23</v>
      </c>
    </row>
    <row r="196" spans="8:10">
      <c r="J196" s="1" t="s">
        <v>24</v>
      </c>
    </row>
    <row r="197" spans="8:10">
      <c r="J197" s="1" t="s">
        <v>25</v>
      </c>
    </row>
    <row r="199" spans="8:10" ht="15">
      <c r="H199" s="2" t="s">
        <v>218</v>
      </c>
    </row>
    <row r="215" ht="15" customHeight="1"/>
    <row r="228" spans="9:30">
      <c r="I228" s="1" t="s">
        <v>22</v>
      </c>
      <c r="J228" s="1" t="s">
        <v>23</v>
      </c>
    </row>
    <row r="229" spans="9:30">
      <c r="J229" s="1" t="s">
        <v>24</v>
      </c>
    </row>
    <row r="230" spans="9:30">
      <c r="J230" s="1" t="s">
        <v>25</v>
      </c>
    </row>
    <row r="232" spans="9:30" ht="15">
      <c r="AD232" s="2" t="s">
        <v>195</v>
      </c>
    </row>
    <row r="233" spans="9:30">
      <c r="AD233" s="1" t="s">
        <v>196</v>
      </c>
    </row>
    <row r="246" spans="1:7">
      <c r="A246" s="1" t="s">
        <v>1524</v>
      </c>
    </row>
    <row r="247" spans="1:7">
      <c r="A247" s="24" t="s">
        <v>26</v>
      </c>
      <c r="B247" s="24" t="s">
        <v>27</v>
      </c>
      <c r="C247" s="24" t="s">
        <v>28</v>
      </c>
      <c r="D247" s="24" t="s">
        <v>29</v>
      </c>
      <c r="E247" s="24" t="s">
        <v>30</v>
      </c>
      <c r="F247" s="24" t="s">
        <v>31</v>
      </c>
      <c r="G247" s="24" t="s">
        <v>32</v>
      </c>
    </row>
    <row r="248" spans="1:7">
      <c r="A248" s="67">
        <v>330.84</v>
      </c>
      <c r="B248" s="67">
        <v>333.71499999999997</v>
      </c>
      <c r="C248" s="67">
        <v>328.755</v>
      </c>
      <c r="D248" s="67">
        <v>333.51</v>
      </c>
      <c r="E248" s="67">
        <v>1028512</v>
      </c>
      <c r="F248" s="67" t="s">
        <v>268</v>
      </c>
      <c r="G248" s="25">
        <f t="shared" ref="G248:G311" si="0">A248/D248-1</f>
        <v>-8.005756948817222E-3</v>
      </c>
    </row>
    <row r="249" spans="1:7">
      <c r="A249" s="67">
        <v>333.51</v>
      </c>
      <c r="B249" s="67">
        <v>334.91</v>
      </c>
      <c r="C249" s="67">
        <v>319.13</v>
      </c>
      <c r="D249" s="67">
        <v>322.02999999999997</v>
      </c>
      <c r="E249" s="67">
        <v>682339</v>
      </c>
      <c r="F249" s="67" t="s">
        <v>269</v>
      </c>
      <c r="G249" s="25">
        <f t="shared" si="0"/>
        <v>3.5648852591373625E-2</v>
      </c>
    </row>
    <row r="250" spans="1:7">
      <c r="A250" s="67">
        <v>322.22000000000003</v>
      </c>
      <c r="B250" s="67">
        <v>333.1</v>
      </c>
      <c r="C250" s="67">
        <v>313.24</v>
      </c>
      <c r="D250" s="67">
        <v>332.13</v>
      </c>
      <c r="E250" s="67">
        <v>1109004</v>
      </c>
      <c r="F250" s="67" t="s">
        <v>270</v>
      </c>
      <c r="G250" s="25">
        <f t="shared" si="0"/>
        <v>-2.9837714148074457E-2</v>
      </c>
    </row>
    <row r="251" spans="1:7">
      <c r="A251" s="67">
        <v>332.13</v>
      </c>
      <c r="B251" s="67">
        <v>345.2</v>
      </c>
      <c r="C251" s="67">
        <v>328.93</v>
      </c>
      <c r="D251" s="67">
        <v>340.72</v>
      </c>
      <c r="E251" s="67">
        <v>811803</v>
      </c>
      <c r="F251" s="67" t="s">
        <v>271</v>
      </c>
      <c r="G251" s="25">
        <f t="shared" si="0"/>
        <v>-2.5211317210612871E-2</v>
      </c>
    </row>
    <row r="252" spans="1:7">
      <c r="A252" s="67">
        <v>340.29</v>
      </c>
      <c r="B252" s="67">
        <v>345.74</v>
      </c>
      <c r="C252" s="67">
        <v>339.98</v>
      </c>
      <c r="D252" s="67">
        <v>342</v>
      </c>
      <c r="E252" s="67">
        <v>335503</v>
      </c>
      <c r="F252" s="67" t="s">
        <v>272</v>
      </c>
      <c r="G252" s="25">
        <f t="shared" si="0"/>
        <v>-4.9999999999998934E-3</v>
      </c>
    </row>
    <row r="253" spans="1:7">
      <c r="A253" s="67">
        <v>341.78</v>
      </c>
      <c r="B253" s="67">
        <v>351.93990000000002</v>
      </c>
      <c r="C253" s="67">
        <v>336</v>
      </c>
      <c r="D253" s="67">
        <v>337.75</v>
      </c>
      <c r="E253" s="67">
        <v>472867</v>
      </c>
      <c r="F253" s="67" t="s">
        <v>273</v>
      </c>
      <c r="G253" s="25">
        <f t="shared" si="0"/>
        <v>1.1931902294596508E-2</v>
      </c>
    </row>
    <row r="254" spans="1:7">
      <c r="A254" s="67">
        <v>337.94</v>
      </c>
      <c r="B254" s="67">
        <v>342.4</v>
      </c>
      <c r="C254" s="67">
        <v>336.04</v>
      </c>
      <c r="D254" s="67">
        <v>337.69</v>
      </c>
      <c r="E254" s="67">
        <v>563684</v>
      </c>
      <c r="F254" s="67" t="s">
        <v>274</v>
      </c>
      <c r="G254" s="25">
        <f t="shared" si="0"/>
        <v>7.403239657675087E-4</v>
      </c>
    </row>
    <row r="255" spans="1:7">
      <c r="A255" s="67">
        <v>337.61</v>
      </c>
      <c r="B255" s="67">
        <v>351.11</v>
      </c>
      <c r="C255" s="67">
        <v>330</v>
      </c>
      <c r="D255" s="67">
        <v>350.68</v>
      </c>
      <c r="E255" s="67">
        <v>800217</v>
      </c>
      <c r="F255" s="67" t="s">
        <v>275</v>
      </c>
      <c r="G255" s="25">
        <f t="shared" si="0"/>
        <v>-3.7270445990646772E-2</v>
      </c>
    </row>
    <row r="256" spans="1:7">
      <c r="A256" s="67">
        <v>352.82</v>
      </c>
      <c r="B256" s="67">
        <v>353.5</v>
      </c>
      <c r="C256" s="67">
        <v>347.30500000000001</v>
      </c>
      <c r="D256" s="67">
        <v>349.27</v>
      </c>
      <c r="E256" s="67">
        <v>656705</v>
      </c>
      <c r="F256" s="67" t="s">
        <v>276</v>
      </c>
      <c r="G256" s="25">
        <f t="shared" si="0"/>
        <v>1.0164056460617799E-2</v>
      </c>
    </row>
    <row r="257" spans="1:17">
      <c r="A257" s="67">
        <v>349.56</v>
      </c>
      <c r="B257" s="67">
        <v>350</v>
      </c>
      <c r="C257" s="67">
        <v>345.56</v>
      </c>
      <c r="D257" s="67">
        <v>349.56</v>
      </c>
      <c r="E257" s="67">
        <v>524420</v>
      </c>
      <c r="F257" s="67" t="s">
        <v>277</v>
      </c>
      <c r="G257" s="25">
        <f t="shared" si="0"/>
        <v>0</v>
      </c>
    </row>
    <row r="258" spans="1:17">
      <c r="A258" s="67">
        <v>348.43</v>
      </c>
      <c r="B258" s="67">
        <v>348.72</v>
      </c>
      <c r="C258" s="67">
        <v>345.27</v>
      </c>
      <c r="D258" s="67">
        <v>345.27</v>
      </c>
      <c r="E258" s="67">
        <v>498449</v>
      </c>
      <c r="F258" s="67" t="s">
        <v>278</v>
      </c>
      <c r="G258" s="25">
        <f t="shared" si="0"/>
        <v>9.1522576534306399E-3</v>
      </c>
    </row>
    <row r="259" spans="1:17">
      <c r="A259" s="67">
        <v>346.47</v>
      </c>
      <c r="B259" s="67">
        <v>349.09</v>
      </c>
      <c r="C259" s="67">
        <v>341.89</v>
      </c>
      <c r="D259" s="67">
        <v>343.34</v>
      </c>
      <c r="E259" s="67">
        <v>499624</v>
      </c>
      <c r="F259" s="67" t="s">
        <v>279</v>
      </c>
      <c r="G259" s="25">
        <f t="shared" si="0"/>
        <v>9.1163278382946356E-3</v>
      </c>
    </row>
    <row r="260" spans="1:17">
      <c r="A260" s="67">
        <v>343.53</v>
      </c>
      <c r="B260" s="67">
        <v>346.64</v>
      </c>
      <c r="C260" s="67">
        <v>338.99770000000001</v>
      </c>
      <c r="D260" s="67">
        <v>346.64</v>
      </c>
      <c r="E260" s="67">
        <v>595441</v>
      </c>
      <c r="F260" s="67" t="s">
        <v>280</v>
      </c>
      <c r="G260" s="25">
        <f t="shared" si="0"/>
        <v>-8.9718439879991063E-3</v>
      </c>
    </row>
    <row r="261" spans="1:17">
      <c r="A261" s="67">
        <v>344.92</v>
      </c>
      <c r="B261" s="67">
        <v>350</v>
      </c>
      <c r="C261" s="67">
        <v>334.91</v>
      </c>
      <c r="D261" s="67">
        <v>338.13</v>
      </c>
      <c r="E261" s="67">
        <v>783989</v>
      </c>
      <c r="F261" s="67" t="s">
        <v>281</v>
      </c>
      <c r="G261" s="25">
        <f t="shared" si="0"/>
        <v>2.0081033921864444E-2</v>
      </c>
      <c r="I261" s="26"/>
      <c r="J261" s="26" t="s">
        <v>33</v>
      </c>
      <c r="K261" s="27">
        <f>MIN(G248:G1503)</f>
        <v>-9.1201049796256539E-2</v>
      </c>
    </row>
    <row r="262" spans="1:17">
      <c r="A262" s="67">
        <v>339.88</v>
      </c>
      <c r="B262" s="67">
        <v>341.13580000000002</v>
      </c>
      <c r="C262" s="67">
        <v>335.80500000000001</v>
      </c>
      <c r="D262" s="67">
        <v>337.31</v>
      </c>
      <c r="E262" s="67">
        <v>509598</v>
      </c>
      <c r="F262" s="67" t="s">
        <v>282</v>
      </c>
      <c r="G262" s="25">
        <f t="shared" si="0"/>
        <v>7.619104088227413E-3</v>
      </c>
      <c r="I262" s="26"/>
      <c r="J262" s="26" t="s">
        <v>34</v>
      </c>
      <c r="K262" s="27">
        <f>MAX(G248:G1503)</f>
        <v>0.17142201834862392</v>
      </c>
    </row>
    <row r="263" spans="1:17">
      <c r="A263" s="67">
        <v>337.6</v>
      </c>
      <c r="B263" s="67">
        <v>337.84</v>
      </c>
      <c r="C263" s="67">
        <v>331.74869999999999</v>
      </c>
      <c r="D263" s="67">
        <v>332.08</v>
      </c>
      <c r="E263" s="67">
        <v>452430</v>
      </c>
      <c r="F263" s="67" t="s">
        <v>283</v>
      </c>
      <c r="G263" s="25">
        <f t="shared" si="0"/>
        <v>1.6622500602264667E-2</v>
      </c>
      <c r="I263" s="26"/>
      <c r="J263" s="26" t="s">
        <v>35</v>
      </c>
      <c r="K263" s="27">
        <f>AVERAGE(G248:G1503)</f>
        <v>-1.7091697148414976E-4</v>
      </c>
    </row>
    <row r="264" spans="1:17">
      <c r="A264" s="67">
        <v>334.35</v>
      </c>
      <c r="B264" s="67">
        <v>335.86</v>
      </c>
      <c r="C264" s="67">
        <v>329.65</v>
      </c>
      <c r="D264" s="67">
        <v>331.49</v>
      </c>
      <c r="E264" s="67">
        <v>516768</v>
      </c>
      <c r="F264" s="67" t="s">
        <v>284</v>
      </c>
      <c r="G264" s="25">
        <f t="shared" si="0"/>
        <v>8.6277112431747405E-3</v>
      </c>
      <c r="I264" s="26"/>
      <c r="J264" s="26" t="s">
        <v>36</v>
      </c>
      <c r="K264" s="27">
        <f>MEDIAN(G248:G1503)</f>
        <v>3.2611110088898165E-4</v>
      </c>
    </row>
    <row r="265" spans="1:17" ht="15">
      <c r="A265" s="67">
        <v>331.83</v>
      </c>
      <c r="B265" s="67">
        <v>332.33</v>
      </c>
      <c r="C265" s="67">
        <v>328.87</v>
      </c>
      <c r="D265" s="67">
        <v>330.58</v>
      </c>
      <c r="E265" s="67">
        <v>493010</v>
      </c>
      <c r="F265" s="67" t="s">
        <v>285</v>
      </c>
      <c r="G265" s="25">
        <f t="shared" si="0"/>
        <v>3.7812329844515435E-3</v>
      </c>
      <c r="I265" s="26"/>
      <c r="J265" s="26" t="s">
        <v>37</v>
      </c>
      <c r="K265" s="27">
        <f>_xlfn.STDEV.P(G248:G1503)</f>
        <v>2.2834608490444917E-2</v>
      </c>
      <c r="M265" s="2"/>
    </row>
    <row r="266" spans="1:17" ht="15">
      <c r="A266" s="67">
        <v>329</v>
      </c>
      <c r="B266" s="67">
        <v>330.76</v>
      </c>
      <c r="C266" s="67">
        <v>327.17</v>
      </c>
      <c r="D266" s="67">
        <v>329.88</v>
      </c>
      <c r="E266" s="67">
        <v>517289</v>
      </c>
      <c r="F266" s="67" t="s">
        <v>286</v>
      </c>
      <c r="G266" s="25">
        <f t="shared" si="0"/>
        <v>-2.667636716381705E-3</v>
      </c>
      <c r="I266" s="26"/>
      <c r="J266" s="28" t="s">
        <v>38</v>
      </c>
      <c r="K266" s="27">
        <f>3*K265</f>
        <v>6.8503825471334753E-2</v>
      </c>
      <c r="L266" s="26"/>
      <c r="M266" s="2" t="s">
        <v>209</v>
      </c>
    </row>
    <row r="267" spans="1:17" ht="15">
      <c r="A267" s="67">
        <v>330.77</v>
      </c>
      <c r="B267" s="67">
        <v>333.22</v>
      </c>
      <c r="C267" s="67">
        <v>328.0795</v>
      </c>
      <c r="D267" s="67">
        <v>329.85</v>
      </c>
      <c r="E267" s="67">
        <v>492275</v>
      </c>
      <c r="F267" s="67" t="s">
        <v>287</v>
      </c>
      <c r="G267" s="25">
        <f t="shared" si="0"/>
        <v>2.7891465817795336E-3</v>
      </c>
      <c r="I267" s="26"/>
      <c r="J267" s="28" t="s">
        <v>39</v>
      </c>
      <c r="K267" s="26">
        <v>1.37</v>
      </c>
      <c r="L267" s="26"/>
      <c r="M267" s="2" t="s">
        <v>40</v>
      </c>
    </row>
    <row r="268" spans="1:17">
      <c r="A268" s="67">
        <v>327.85</v>
      </c>
      <c r="B268" s="67">
        <v>334.18</v>
      </c>
      <c r="C268" s="67">
        <v>327.76</v>
      </c>
      <c r="D268" s="67">
        <v>332.23</v>
      </c>
      <c r="E268" s="67">
        <v>458691</v>
      </c>
      <c r="F268" s="67" t="s">
        <v>288</v>
      </c>
      <c r="G268" s="25">
        <f t="shared" si="0"/>
        <v>-1.3183637841254536E-2</v>
      </c>
    </row>
    <row r="269" spans="1:17">
      <c r="A269" s="67">
        <v>333</v>
      </c>
      <c r="B269" s="67">
        <v>333.41</v>
      </c>
      <c r="C269" s="67">
        <v>326.69</v>
      </c>
      <c r="D269" s="67">
        <v>328.88</v>
      </c>
      <c r="E269" s="67">
        <v>617782</v>
      </c>
      <c r="F269" s="67" t="s">
        <v>289</v>
      </c>
      <c r="G269" s="25">
        <f t="shared" si="0"/>
        <v>1.252736560447576E-2</v>
      </c>
      <c r="I269" s="29" t="s">
        <v>41</v>
      </c>
      <c r="J269" s="30">
        <v>1256</v>
      </c>
    </row>
    <row r="270" spans="1:17" ht="15" thickBot="1">
      <c r="A270" s="67">
        <v>327.48</v>
      </c>
      <c r="B270" s="67">
        <v>327.69</v>
      </c>
      <c r="C270" s="67">
        <v>322.85000000000002</v>
      </c>
      <c r="D270" s="67">
        <v>323.27999999999997</v>
      </c>
      <c r="E270" s="67">
        <v>534008</v>
      </c>
      <c r="F270" s="67" t="s">
        <v>290</v>
      </c>
      <c r="G270" s="25">
        <f t="shared" si="0"/>
        <v>1.2991833704528721E-2</v>
      </c>
      <c r="I270" s="1" t="s">
        <v>42</v>
      </c>
      <c r="L270" s="1" t="s">
        <v>43</v>
      </c>
      <c r="P270" s="1" t="s">
        <v>44</v>
      </c>
    </row>
    <row r="271" spans="1:17" ht="15" customHeight="1">
      <c r="A271" s="67">
        <v>323.07</v>
      </c>
      <c r="B271" s="67">
        <v>323.83499999999998</v>
      </c>
      <c r="C271" s="67">
        <v>320.75009999999997</v>
      </c>
      <c r="D271" s="67">
        <v>321.32</v>
      </c>
      <c r="E271" s="67">
        <v>457880</v>
      </c>
      <c r="F271" s="67" t="s">
        <v>291</v>
      </c>
      <c r="G271" s="25">
        <f t="shared" si="0"/>
        <v>5.4462840781774879E-3</v>
      </c>
      <c r="I271" s="70" t="s">
        <v>45</v>
      </c>
      <c r="J271" s="70" t="s">
        <v>46</v>
      </c>
      <c r="L271" s="31" t="s">
        <v>47</v>
      </c>
      <c r="M271" s="32" t="s">
        <v>48</v>
      </c>
      <c r="P271" s="31" t="s">
        <v>49</v>
      </c>
      <c r="Q271" s="32" t="s">
        <v>50</v>
      </c>
    </row>
    <row r="272" spans="1:17" ht="15" customHeight="1">
      <c r="A272" s="67">
        <v>321.27</v>
      </c>
      <c r="B272" s="67">
        <v>321.72000000000003</v>
      </c>
      <c r="C272" s="67">
        <v>316.23</v>
      </c>
      <c r="D272" s="67">
        <v>318.11</v>
      </c>
      <c r="E272" s="67">
        <v>617194</v>
      </c>
      <c r="F272" s="67" t="s">
        <v>292</v>
      </c>
      <c r="G272" s="25">
        <f t="shared" si="0"/>
        <v>9.9336707428248072E-3</v>
      </c>
      <c r="I272" s="68">
        <v>-6.9999999999999993E-2</v>
      </c>
      <c r="J272">
        <v>9</v>
      </c>
      <c r="L272" s="66">
        <v>-7.2499999999999995E-2</v>
      </c>
      <c r="M272" s="1">
        <f>_xlfn.NORM.DIST(L272,$K$263,$K$265,FALSE)</f>
        <v>0.11578125768260618</v>
      </c>
      <c r="O272" s="1" t="s">
        <v>199</v>
      </c>
      <c r="P272" s="71">
        <f>K263</f>
        <v>-1.7091697148414976E-4</v>
      </c>
    </row>
    <row r="273" spans="1:16" ht="15">
      <c r="A273" s="67">
        <v>315.77999999999997</v>
      </c>
      <c r="B273" s="67">
        <v>316.16000000000003</v>
      </c>
      <c r="C273" s="67">
        <v>307.51</v>
      </c>
      <c r="D273" s="67">
        <v>309.14999999999998</v>
      </c>
      <c r="E273" s="67">
        <v>763979</v>
      </c>
      <c r="F273" s="67" t="s">
        <v>293</v>
      </c>
      <c r="G273" s="25">
        <f t="shared" si="0"/>
        <v>2.1445900048520095E-2</v>
      </c>
      <c r="I273" s="68">
        <v>-6.7499999999999991E-2</v>
      </c>
      <c r="J273">
        <v>0</v>
      </c>
      <c r="L273" s="66">
        <v>-6.9999999999999993E-2</v>
      </c>
      <c r="M273" s="1">
        <f t="shared" ref="M273:M330" si="1">_xlfn.NORM.DIST(L273,$K$263,$K$265,FALSE)</f>
        <v>0.16279615830850588</v>
      </c>
      <c r="P273" s="71">
        <f>K263</f>
        <v>-1.7091697148414976E-4</v>
      </c>
    </row>
    <row r="274" spans="1:16" ht="15">
      <c r="A274" s="67">
        <v>308.68</v>
      </c>
      <c r="B274" s="67">
        <v>314.35000000000002</v>
      </c>
      <c r="C274" s="67">
        <v>306.91000000000003</v>
      </c>
      <c r="D274" s="67">
        <v>312.04000000000002</v>
      </c>
      <c r="E274" s="67">
        <v>804285</v>
      </c>
      <c r="F274" s="67" t="s">
        <v>294</v>
      </c>
      <c r="G274" s="25">
        <f t="shared" si="0"/>
        <v>-1.0767850275605784E-2</v>
      </c>
      <c r="I274" s="68">
        <v>-6.4999999999999988E-2</v>
      </c>
      <c r="J274">
        <v>2</v>
      </c>
      <c r="L274" s="66">
        <v>-6.7499999999999991E-2</v>
      </c>
      <c r="M274" s="1">
        <f t="shared" si="1"/>
        <v>0.22617487802127034</v>
      </c>
      <c r="O274" s="39" t="s">
        <v>200</v>
      </c>
      <c r="P274" s="71">
        <f>($K$265*-3)+$K$263</f>
        <v>-6.8674742442818903E-2</v>
      </c>
    </row>
    <row r="275" spans="1:16" ht="15">
      <c r="A275" s="67">
        <v>309.63</v>
      </c>
      <c r="B275" s="67">
        <v>309.79000000000002</v>
      </c>
      <c r="C275" s="67">
        <v>302.41000000000003</v>
      </c>
      <c r="D275" s="67">
        <v>305.12</v>
      </c>
      <c r="E275" s="67">
        <v>723142</v>
      </c>
      <c r="F275" s="67" t="s">
        <v>295</v>
      </c>
      <c r="G275" s="25">
        <f t="shared" si="0"/>
        <v>1.4781069743051933E-2</v>
      </c>
      <c r="I275" s="68">
        <v>-6.2499999999999986E-2</v>
      </c>
      <c r="J275">
        <v>2</v>
      </c>
      <c r="L275" s="66">
        <v>-6.4999999999999988E-2</v>
      </c>
      <c r="M275" s="1">
        <f t="shared" si="1"/>
        <v>0.3104837683174454</v>
      </c>
      <c r="O275" s="40"/>
      <c r="P275" s="71">
        <f>($K$265*-3)+$K$263</f>
        <v>-6.8674742442818903E-2</v>
      </c>
    </row>
    <row r="276" spans="1:16" ht="15">
      <c r="A276" s="67">
        <v>304.83999999999997</v>
      </c>
      <c r="B276" s="67">
        <v>311.55</v>
      </c>
      <c r="C276" s="67">
        <v>304.26</v>
      </c>
      <c r="D276" s="67">
        <v>307.12</v>
      </c>
      <c r="E276" s="67">
        <v>725858</v>
      </c>
      <c r="F276" s="67" t="s">
        <v>296</v>
      </c>
      <c r="G276" s="25">
        <f t="shared" si="0"/>
        <v>-7.4238082834072738E-3</v>
      </c>
      <c r="I276" s="68">
        <v>-5.9999999999999984E-2</v>
      </c>
      <c r="J276">
        <v>2</v>
      </c>
      <c r="L276" s="66">
        <v>-6.2499999999999986E-2</v>
      </c>
      <c r="M276" s="1">
        <f t="shared" si="1"/>
        <v>0.42114122892007777</v>
      </c>
      <c r="O276" s="39" t="s">
        <v>201</v>
      </c>
      <c r="P276" s="71">
        <f>($K$265*-2)+$K$263</f>
        <v>-4.5840133952373983E-2</v>
      </c>
    </row>
    <row r="277" spans="1:16" ht="15">
      <c r="A277" s="67">
        <v>307.10000000000002</v>
      </c>
      <c r="B277" s="67">
        <v>312.99</v>
      </c>
      <c r="C277" s="67">
        <v>299.83</v>
      </c>
      <c r="D277" s="67">
        <v>303.55</v>
      </c>
      <c r="E277" s="67">
        <v>1099682</v>
      </c>
      <c r="F277" s="67" t="s">
        <v>297</v>
      </c>
      <c r="G277" s="25">
        <f t="shared" si="0"/>
        <v>1.1694943172459338E-2</v>
      </c>
      <c r="I277" s="68">
        <v>-5.7499999999999982E-2</v>
      </c>
      <c r="J277">
        <v>1</v>
      </c>
      <c r="L277" s="66">
        <v>-5.9999999999999984E-2</v>
      </c>
      <c r="M277" s="1">
        <f t="shared" si="1"/>
        <v>0.56443110978877542</v>
      </c>
      <c r="O277" s="40"/>
      <c r="P277" s="71">
        <f>($K$265*-2)+$K$263</f>
        <v>-4.5840133952373983E-2</v>
      </c>
    </row>
    <row r="278" spans="1:16" ht="15">
      <c r="A278" s="67">
        <v>303.55</v>
      </c>
      <c r="B278" s="67">
        <v>322.8</v>
      </c>
      <c r="C278" s="67">
        <v>286.68</v>
      </c>
      <c r="D278" s="67">
        <v>317</v>
      </c>
      <c r="E278" s="67">
        <v>1787833</v>
      </c>
      <c r="F278" s="67" t="s">
        <v>298</v>
      </c>
      <c r="G278" s="25">
        <f t="shared" si="0"/>
        <v>-4.242902208201893E-2</v>
      </c>
      <c r="I278" s="68">
        <v>-5.4999999999999979E-2</v>
      </c>
      <c r="J278">
        <v>5</v>
      </c>
      <c r="L278" s="66">
        <v>-5.7499999999999982E-2</v>
      </c>
      <c r="M278" s="1">
        <f t="shared" si="1"/>
        <v>0.74746084724183348</v>
      </c>
      <c r="O278" s="41" t="s">
        <v>202</v>
      </c>
      <c r="P278" s="71">
        <f>($K$265*-1)+$K$263</f>
        <v>-2.3005525461929067E-2</v>
      </c>
    </row>
    <row r="279" spans="1:16" ht="15">
      <c r="A279" s="67">
        <v>277.3</v>
      </c>
      <c r="B279" s="67">
        <v>281.14999999999998</v>
      </c>
      <c r="C279" s="67">
        <v>276.45999999999998</v>
      </c>
      <c r="D279" s="67">
        <v>279.26</v>
      </c>
      <c r="E279" s="67">
        <v>1016719</v>
      </c>
      <c r="F279" s="67" t="s">
        <v>299</v>
      </c>
      <c r="G279" s="25">
        <f t="shared" si="0"/>
        <v>-7.0185490224162761E-3</v>
      </c>
      <c r="I279" s="68">
        <v>-5.2499999999999977E-2</v>
      </c>
      <c r="J279">
        <v>4</v>
      </c>
      <c r="L279" s="66">
        <v>-5.4999999999999979E-2</v>
      </c>
      <c r="M279" s="1">
        <f t="shared" si="1"/>
        <v>0.97804824512104993</v>
      </c>
      <c r="P279" s="71">
        <f>($K$265*-1)+$K$263</f>
        <v>-2.3005525461929067E-2</v>
      </c>
    </row>
    <row r="280" spans="1:16" ht="15">
      <c r="A280" s="67">
        <v>281</v>
      </c>
      <c r="B280" s="67">
        <v>287.75</v>
      </c>
      <c r="C280" s="67">
        <v>280.70999999999998</v>
      </c>
      <c r="D280" s="67">
        <v>287.75</v>
      </c>
      <c r="E280" s="67">
        <v>833126</v>
      </c>
      <c r="F280" s="67" t="s">
        <v>300</v>
      </c>
      <c r="G280" s="25">
        <f t="shared" si="0"/>
        <v>-2.3457862728062606E-2</v>
      </c>
      <c r="I280" s="68">
        <v>-0.05</v>
      </c>
      <c r="J280">
        <v>4</v>
      </c>
      <c r="L280" s="66">
        <v>-5.2499999999999977E-2</v>
      </c>
      <c r="M280" s="1">
        <f t="shared" si="1"/>
        <v>1.2645221203659902</v>
      </c>
      <c r="O280" s="1" t="s">
        <v>203</v>
      </c>
      <c r="P280" s="71">
        <f>($K$265*1)+$K$263</f>
        <v>2.2663691518960766E-2</v>
      </c>
    </row>
    <row r="281" spans="1:16" ht="15">
      <c r="A281" s="67">
        <v>287.77</v>
      </c>
      <c r="B281" s="67">
        <v>290.245</v>
      </c>
      <c r="C281" s="67">
        <v>283.94</v>
      </c>
      <c r="D281" s="67">
        <v>286.08999999999997</v>
      </c>
      <c r="E281" s="67">
        <v>614596</v>
      </c>
      <c r="F281" s="67" t="s">
        <v>301</v>
      </c>
      <c r="G281" s="25">
        <f t="shared" si="0"/>
        <v>5.8722779544899684E-3</v>
      </c>
      <c r="I281" s="68">
        <v>-4.7499999999999973E-2</v>
      </c>
      <c r="J281">
        <v>2</v>
      </c>
      <c r="L281" s="66">
        <v>-0.05</v>
      </c>
      <c r="M281" s="1">
        <f t="shared" si="1"/>
        <v>1.6154253990854139</v>
      </c>
      <c r="P281" s="71">
        <f>($K$265*1)+$K$263</f>
        <v>2.2663691518960766E-2</v>
      </c>
    </row>
    <row r="282" spans="1:16" ht="15">
      <c r="A282" s="67">
        <v>284.91000000000003</v>
      </c>
      <c r="B282" s="67">
        <v>287.40499999999997</v>
      </c>
      <c r="C282" s="67">
        <v>282.75</v>
      </c>
      <c r="D282" s="67">
        <v>286.25</v>
      </c>
      <c r="E282" s="67">
        <v>567395</v>
      </c>
      <c r="F282" s="67" t="s">
        <v>302</v>
      </c>
      <c r="G282" s="25">
        <f t="shared" si="0"/>
        <v>-4.681222707423438E-3</v>
      </c>
      <c r="I282" s="68">
        <v>-4.4999999999999971E-2</v>
      </c>
      <c r="J282">
        <v>4</v>
      </c>
      <c r="L282" s="66">
        <v>-4.7499999999999973E-2</v>
      </c>
      <c r="M282" s="1">
        <f t="shared" si="1"/>
        <v>2.0391149387898215</v>
      </c>
      <c r="O282" s="42" t="s">
        <v>204</v>
      </c>
      <c r="P282" s="71">
        <f>($K$265*2)+$K$263</f>
        <v>4.5498300009405683E-2</v>
      </c>
    </row>
    <row r="283" spans="1:16" ht="15">
      <c r="A283" s="67">
        <v>288.39999999999998</v>
      </c>
      <c r="B283" s="67">
        <v>298.05500000000001</v>
      </c>
      <c r="C283" s="67">
        <v>287.76</v>
      </c>
      <c r="D283" s="67">
        <v>295.72000000000003</v>
      </c>
      <c r="E283" s="67">
        <v>640449</v>
      </c>
      <c r="F283" s="67" t="s">
        <v>303</v>
      </c>
      <c r="G283" s="25">
        <f t="shared" si="0"/>
        <v>-2.4753144866766053E-2</v>
      </c>
      <c r="I283" s="68">
        <v>-4.2499999999999968E-2</v>
      </c>
      <c r="J283">
        <v>4</v>
      </c>
      <c r="L283" s="66">
        <v>-4.4999999999999971E-2</v>
      </c>
      <c r="M283" s="1">
        <f t="shared" si="1"/>
        <v>2.5432603998914152</v>
      </c>
      <c r="P283" s="71">
        <f>($K$265*2)+$K$263</f>
        <v>4.5498300009405683E-2</v>
      </c>
    </row>
    <row r="284" spans="1:16" ht="15">
      <c r="A284" s="67">
        <v>298.27</v>
      </c>
      <c r="B284" s="67">
        <v>300.24</v>
      </c>
      <c r="C284" s="67">
        <v>291.89</v>
      </c>
      <c r="D284" s="67">
        <v>292.13</v>
      </c>
      <c r="E284" s="67">
        <v>540834</v>
      </c>
      <c r="F284" s="67" t="s">
        <v>304</v>
      </c>
      <c r="G284" s="25">
        <f t="shared" si="0"/>
        <v>2.1018039913736963E-2</v>
      </c>
      <c r="I284" s="68">
        <v>-3.9999999999999966E-2</v>
      </c>
      <c r="J284">
        <v>10</v>
      </c>
      <c r="L284" s="66">
        <v>-4.2499999999999968E-2</v>
      </c>
      <c r="M284" s="1">
        <f t="shared" si="1"/>
        <v>3.1342546234344164</v>
      </c>
      <c r="O284" s="42" t="s">
        <v>205</v>
      </c>
      <c r="P284" s="71">
        <f>($K$265*3)+$K$263</f>
        <v>6.8332908499850603E-2</v>
      </c>
    </row>
    <row r="285" spans="1:16" ht="15">
      <c r="A285" s="67">
        <v>291.49</v>
      </c>
      <c r="B285" s="67">
        <v>293.00200000000001</v>
      </c>
      <c r="C285" s="67">
        <v>289.85000000000002</v>
      </c>
      <c r="D285" s="67">
        <v>292.61</v>
      </c>
      <c r="E285" s="67">
        <v>373310</v>
      </c>
      <c r="F285" s="67" t="s">
        <v>305</v>
      </c>
      <c r="G285" s="25">
        <f t="shared" si="0"/>
        <v>-3.8276203820785115E-3</v>
      </c>
      <c r="I285" s="68">
        <v>-3.7499999999999964E-2</v>
      </c>
      <c r="J285">
        <v>5</v>
      </c>
      <c r="L285" s="66">
        <v>-3.9999999999999966E-2</v>
      </c>
      <c r="M285" s="1">
        <f t="shared" si="1"/>
        <v>3.8165595633232789</v>
      </c>
      <c r="O285" s="42"/>
      <c r="P285" s="71">
        <f>($K$265*3)+$K$263</f>
        <v>6.8332908499850603E-2</v>
      </c>
    </row>
    <row r="286" spans="1:16" ht="15">
      <c r="A286" s="67">
        <v>292.27</v>
      </c>
      <c r="B286" s="67">
        <v>294.10500000000002</v>
      </c>
      <c r="C286" s="67">
        <v>290.20499999999998</v>
      </c>
      <c r="D286" s="67">
        <v>290.74</v>
      </c>
      <c r="E286" s="67">
        <v>397782</v>
      </c>
      <c r="F286" s="67" t="s">
        <v>306</v>
      </c>
      <c r="G286" s="25">
        <f t="shared" si="0"/>
        <v>5.2624337896400863E-3</v>
      </c>
      <c r="I286" s="68">
        <v>-3.4999999999999962E-2</v>
      </c>
      <c r="J286">
        <v>16</v>
      </c>
      <c r="L286" s="66">
        <v>-3.7499999999999964E-2</v>
      </c>
      <c r="M286" s="1">
        <f t="shared" si="1"/>
        <v>4.5920238748975608</v>
      </c>
    </row>
    <row r="287" spans="1:16" ht="15">
      <c r="A287" s="67">
        <v>290.22000000000003</v>
      </c>
      <c r="B287" s="67">
        <v>291.24</v>
      </c>
      <c r="C287" s="67">
        <v>286.91000000000003</v>
      </c>
      <c r="D287" s="67">
        <v>288.01</v>
      </c>
      <c r="E287" s="67">
        <v>511796</v>
      </c>
      <c r="F287" s="67" t="s">
        <v>307</v>
      </c>
      <c r="G287" s="25">
        <f t="shared" si="0"/>
        <v>7.6733446755321566E-3</v>
      </c>
      <c r="I287" s="68">
        <v>-3.2499999999999959E-2</v>
      </c>
      <c r="J287">
        <v>12</v>
      </c>
      <c r="L287" s="66">
        <v>-3.4999999999999962E-2</v>
      </c>
      <c r="M287" s="1">
        <f t="shared" si="1"/>
        <v>5.4592194632419844</v>
      </c>
    </row>
    <row r="288" spans="1:16" ht="15">
      <c r="A288" s="67">
        <v>286.58</v>
      </c>
      <c r="B288" s="67">
        <v>288.12</v>
      </c>
      <c r="C288" s="67">
        <v>284</v>
      </c>
      <c r="D288" s="67">
        <v>287</v>
      </c>
      <c r="E288" s="67">
        <v>672088</v>
      </c>
      <c r="F288" s="67" t="s">
        <v>308</v>
      </c>
      <c r="G288" s="25">
        <f t="shared" si="0"/>
        <v>-1.4634146341463428E-3</v>
      </c>
      <c r="I288" s="68">
        <v>-2.9999999999999961E-2</v>
      </c>
      <c r="J288">
        <v>19</v>
      </c>
      <c r="L288" s="66">
        <v>-3.2499999999999959E-2</v>
      </c>
      <c r="M288" s="1">
        <f t="shared" si="1"/>
        <v>6.4128531202526746</v>
      </c>
    </row>
    <row r="289" spans="1:13" ht="15">
      <c r="A289" s="67">
        <v>286.67</v>
      </c>
      <c r="B289" s="67">
        <v>288.79000000000002</v>
      </c>
      <c r="C289" s="67">
        <v>284.67</v>
      </c>
      <c r="D289" s="67">
        <v>287.13</v>
      </c>
      <c r="E289" s="67">
        <v>583597</v>
      </c>
      <c r="F289" s="67" t="s">
        <v>309</v>
      </c>
      <c r="G289" s="25">
        <f t="shared" si="0"/>
        <v>-1.6020617838609086E-3</v>
      </c>
      <c r="I289" s="68">
        <v>-2.7499999999999962E-2</v>
      </c>
      <c r="J289">
        <v>20</v>
      </c>
      <c r="L289" s="66">
        <v>-2.9999999999999961E-2</v>
      </c>
      <c r="M289" s="1">
        <f t="shared" si="1"/>
        <v>7.4433142649823338</v>
      </c>
    </row>
    <row r="290" spans="1:13" ht="15">
      <c r="A290" s="67">
        <v>285.57</v>
      </c>
      <c r="B290" s="67">
        <v>285.94</v>
      </c>
      <c r="C290" s="67">
        <v>281.58</v>
      </c>
      <c r="D290" s="67">
        <v>281.58</v>
      </c>
      <c r="E290" s="67">
        <v>511152</v>
      </c>
      <c r="F290" s="67" t="s">
        <v>310</v>
      </c>
      <c r="G290" s="25">
        <f t="shared" si="0"/>
        <v>1.4170040485830038E-2</v>
      </c>
      <c r="I290" s="68">
        <v>-2.4999999999999963E-2</v>
      </c>
      <c r="J290">
        <v>28</v>
      </c>
      <c r="L290" s="66">
        <v>-2.7499999999999962E-2</v>
      </c>
      <c r="M290" s="1">
        <f t="shared" si="1"/>
        <v>8.5364193568583815</v>
      </c>
    </row>
    <row r="291" spans="1:13" ht="15">
      <c r="A291" s="67">
        <v>280.95999999999998</v>
      </c>
      <c r="B291" s="67">
        <v>288</v>
      </c>
      <c r="C291" s="67">
        <v>280.42700000000002</v>
      </c>
      <c r="D291" s="67">
        <v>284.65499999999997</v>
      </c>
      <c r="E291" s="67">
        <v>376477</v>
      </c>
      <c r="F291" s="67" t="s">
        <v>311</v>
      </c>
      <c r="G291" s="25">
        <f t="shared" si="0"/>
        <v>-1.2980625669670287E-2</v>
      </c>
      <c r="I291" s="68">
        <v>-2.2499999999999964E-2</v>
      </c>
      <c r="J291">
        <v>24</v>
      </c>
      <c r="L291" s="66">
        <v>-2.4999999999999963E-2</v>
      </c>
      <c r="M291" s="1">
        <f t="shared" si="1"/>
        <v>9.6734067930083452</v>
      </c>
    </row>
    <row r="292" spans="1:13" ht="15">
      <c r="A292" s="67">
        <v>284.23</v>
      </c>
      <c r="B292" s="67">
        <v>286.48</v>
      </c>
      <c r="C292" s="67">
        <v>283.45</v>
      </c>
      <c r="D292" s="67">
        <v>285.52</v>
      </c>
      <c r="E292" s="67">
        <v>349128</v>
      </c>
      <c r="F292" s="67" t="s">
        <v>312</v>
      </c>
      <c r="G292" s="25">
        <f t="shared" si="0"/>
        <v>-4.5180722891564606E-3</v>
      </c>
      <c r="I292" s="68">
        <v>-1.9999999999999966E-2</v>
      </c>
      <c r="J292">
        <v>25</v>
      </c>
      <c r="L292" s="66">
        <v>-2.2499999999999964E-2</v>
      </c>
      <c r="M292" s="1">
        <f t="shared" si="1"/>
        <v>10.831222670903818</v>
      </c>
    </row>
    <row r="293" spans="1:13" ht="15">
      <c r="A293" s="67">
        <v>283.45</v>
      </c>
      <c r="B293" s="67">
        <v>288.495</v>
      </c>
      <c r="C293" s="67">
        <v>282.8</v>
      </c>
      <c r="D293" s="67">
        <v>287.16000000000003</v>
      </c>
      <c r="E293" s="67">
        <v>581945</v>
      </c>
      <c r="F293" s="67" t="s">
        <v>313</v>
      </c>
      <c r="G293" s="25">
        <f t="shared" si="0"/>
        <v>-1.2919626688953967E-2</v>
      </c>
      <c r="I293" s="68">
        <v>-1.7499999999999967E-2</v>
      </c>
      <c r="J293">
        <v>32</v>
      </c>
      <c r="L293" s="66">
        <v>-1.9999999999999966E-2</v>
      </c>
      <c r="M293" s="1">
        <f t="shared" si="1"/>
        <v>11.983118124786676</v>
      </c>
    </row>
    <row r="294" spans="1:13" ht="15">
      <c r="A294" s="67">
        <v>288.27</v>
      </c>
      <c r="B294" s="67">
        <v>291.71499999999997</v>
      </c>
      <c r="C294" s="67">
        <v>287.27</v>
      </c>
      <c r="D294" s="67">
        <v>290.66000000000003</v>
      </c>
      <c r="E294" s="67">
        <v>386892</v>
      </c>
      <c r="F294" s="67" t="s">
        <v>314</v>
      </c>
      <c r="G294" s="25">
        <f t="shared" si="0"/>
        <v>-8.2226656574693191E-3</v>
      </c>
      <c r="I294" s="68">
        <v>-1.4999999999999966E-2</v>
      </c>
      <c r="J294">
        <v>43</v>
      </c>
      <c r="L294" s="66">
        <v>-1.7499999999999967E-2</v>
      </c>
      <c r="M294" s="1">
        <f t="shared" si="1"/>
        <v>13.099554315661269</v>
      </c>
    </row>
    <row r="295" spans="1:13" ht="15">
      <c r="A295" s="67">
        <v>289.99</v>
      </c>
      <c r="B295" s="67">
        <v>293.16500000000002</v>
      </c>
      <c r="C295" s="67">
        <v>289.07499999999999</v>
      </c>
      <c r="D295" s="67">
        <v>292.95999999999998</v>
      </c>
      <c r="E295" s="67">
        <v>510976</v>
      </c>
      <c r="F295" s="67" t="s">
        <v>315</v>
      </c>
      <c r="G295" s="25">
        <f t="shared" si="0"/>
        <v>-1.0137902785363084E-2</v>
      </c>
      <c r="I295" s="68">
        <v>-1.2499999999999966E-2</v>
      </c>
      <c r="J295">
        <v>47</v>
      </c>
      <c r="L295" s="66">
        <v>-1.4999999999999966E-2</v>
      </c>
      <c r="M295" s="1">
        <f t="shared" si="1"/>
        <v>14.149383666879681</v>
      </c>
    </row>
    <row r="296" spans="1:13" ht="15">
      <c r="A296" s="67">
        <v>292.01</v>
      </c>
      <c r="B296" s="67">
        <v>296.44</v>
      </c>
      <c r="C296" s="67">
        <v>290.26</v>
      </c>
      <c r="D296" s="67">
        <v>290.39</v>
      </c>
      <c r="E296" s="67">
        <v>605789</v>
      </c>
      <c r="F296" s="67" t="s">
        <v>316</v>
      </c>
      <c r="G296" s="25">
        <f t="shared" si="0"/>
        <v>5.5787045008437453E-3</v>
      </c>
      <c r="I296" s="68">
        <v>-9.9999999999999655E-3</v>
      </c>
      <c r="J296">
        <v>52</v>
      </c>
      <c r="L296" s="66">
        <v>-1.2499999999999966E-2</v>
      </c>
      <c r="M296" s="1">
        <f t="shared" si="1"/>
        <v>15.101248320998138</v>
      </c>
    </row>
    <row r="297" spans="1:13" ht="15">
      <c r="A297" s="67">
        <v>289.32</v>
      </c>
      <c r="B297" s="67">
        <v>296.23</v>
      </c>
      <c r="C297" s="67">
        <v>289.02999999999997</v>
      </c>
      <c r="D297" s="67">
        <v>296.23</v>
      </c>
      <c r="E297" s="67">
        <v>507491</v>
      </c>
      <c r="F297" s="67" t="s">
        <v>317</v>
      </c>
      <c r="G297" s="25">
        <f t="shared" si="0"/>
        <v>-2.332646929750537E-2</v>
      </c>
      <c r="I297" s="68">
        <v>-7.499999999999965E-3</v>
      </c>
      <c r="J297">
        <v>59</v>
      </c>
      <c r="L297" s="66">
        <v>-9.9999999999999655E-3</v>
      </c>
      <c r="M297" s="1">
        <f t="shared" si="1"/>
        <v>15.925112118477397</v>
      </c>
    </row>
    <row r="298" spans="1:13" ht="15">
      <c r="A298" s="67">
        <v>297.39999999999998</v>
      </c>
      <c r="B298" s="67">
        <v>300</v>
      </c>
      <c r="C298" s="67">
        <v>296.02999999999997</v>
      </c>
      <c r="D298" s="67">
        <v>297.91000000000003</v>
      </c>
      <c r="E298" s="67">
        <v>475962</v>
      </c>
      <c r="F298" s="67" t="s">
        <v>318</v>
      </c>
      <c r="G298" s="25">
        <f t="shared" si="0"/>
        <v>-1.7119264207312579E-3</v>
      </c>
      <c r="I298" s="68">
        <v>-4.9999999999999645E-3</v>
      </c>
      <c r="J298">
        <v>69</v>
      </c>
      <c r="L298" s="66">
        <v>-7.499999999999965E-3</v>
      </c>
      <c r="M298" s="1">
        <f t="shared" si="1"/>
        <v>16.593823694700077</v>
      </c>
    </row>
    <row r="299" spans="1:13" ht="15">
      <c r="A299" s="67">
        <v>297.45999999999998</v>
      </c>
      <c r="B299" s="67">
        <v>298.72500000000002</v>
      </c>
      <c r="C299" s="67">
        <v>293.38249999999999</v>
      </c>
      <c r="D299" s="67">
        <v>297.79000000000002</v>
      </c>
      <c r="E299" s="67">
        <v>456927</v>
      </c>
      <c r="F299" s="67" t="s">
        <v>319</v>
      </c>
      <c r="G299" s="25">
        <f t="shared" si="0"/>
        <v>-1.108163470902479E-3</v>
      </c>
      <c r="I299" s="68">
        <v>-2.4999999999999645E-3</v>
      </c>
      <c r="J299">
        <v>61</v>
      </c>
      <c r="L299" s="66">
        <v>-4.9999999999999645E-3</v>
      </c>
      <c r="M299" s="1">
        <f t="shared" si="1"/>
        <v>17.084598135003954</v>
      </c>
    </row>
    <row r="300" spans="1:13" ht="15">
      <c r="A300" s="67">
        <v>296.51</v>
      </c>
      <c r="B300" s="67">
        <v>302.48250000000002</v>
      </c>
      <c r="C300" s="67">
        <v>295.18</v>
      </c>
      <c r="D300" s="67">
        <v>300.3</v>
      </c>
      <c r="E300" s="67">
        <v>711849</v>
      </c>
      <c r="F300" s="67" t="s">
        <v>320</v>
      </c>
      <c r="G300" s="25">
        <f t="shared" si="0"/>
        <v>-1.2620712620712737E-2</v>
      </c>
      <c r="I300" s="68">
        <v>3.5561831257524545E-17</v>
      </c>
      <c r="J300">
        <v>64</v>
      </c>
      <c r="L300" s="66">
        <v>-2.4999999999999645E-3</v>
      </c>
      <c r="M300" s="1">
        <f t="shared" si="1"/>
        <v>17.380304755975963</v>
      </c>
    </row>
    <row r="301" spans="1:13" ht="15">
      <c r="A301" s="67">
        <v>300.7</v>
      </c>
      <c r="B301" s="67">
        <v>302.33999999999997</v>
      </c>
      <c r="C301" s="67">
        <v>297.22000000000003</v>
      </c>
      <c r="D301" s="67">
        <v>299.70999999999998</v>
      </c>
      <c r="E301" s="67">
        <v>585316</v>
      </c>
      <c r="F301" s="67" t="s">
        <v>321</v>
      </c>
      <c r="G301" s="25">
        <f t="shared" si="0"/>
        <v>3.3031930866505022E-3</v>
      </c>
      <c r="I301" s="68">
        <v>2.5000000000000356E-3</v>
      </c>
      <c r="J301">
        <v>71</v>
      </c>
      <c r="L301" s="66">
        <v>3.5561831257524545E-17</v>
      </c>
      <c r="M301" s="1">
        <f t="shared" si="1"/>
        <v>17.470459601658298</v>
      </c>
    </row>
    <row r="302" spans="1:13" ht="15">
      <c r="A302" s="67">
        <v>301.05</v>
      </c>
      <c r="B302" s="67">
        <v>302.44</v>
      </c>
      <c r="C302" s="67">
        <v>297</v>
      </c>
      <c r="D302" s="67">
        <v>301.83999999999997</v>
      </c>
      <c r="E302" s="67">
        <v>527284</v>
      </c>
      <c r="F302" s="67" t="s">
        <v>322</v>
      </c>
      <c r="G302" s="25">
        <f t="shared" si="0"/>
        <v>-2.6172806785050851E-3</v>
      </c>
      <c r="I302" s="68">
        <v>5.0000000000000357E-3</v>
      </c>
      <c r="J302">
        <v>59</v>
      </c>
      <c r="L302" s="66">
        <v>2.5000000000000356E-3</v>
      </c>
      <c r="M302" s="1">
        <f t="shared" si="1"/>
        <v>17.351842482049239</v>
      </c>
    </row>
    <row r="303" spans="1:13" ht="15">
      <c r="A303" s="67">
        <v>301.62</v>
      </c>
      <c r="B303" s="67">
        <v>304.38</v>
      </c>
      <c r="C303" s="67">
        <v>297.29000000000002</v>
      </c>
      <c r="D303" s="67">
        <v>299.54000000000002</v>
      </c>
      <c r="E303" s="67">
        <v>881432</v>
      </c>
      <c r="F303" s="67" t="s">
        <v>323</v>
      </c>
      <c r="G303" s="25">
        <f t="shared" si="0"/>
        <v>6.9439807705147238E-3</v>
      </c>
      <c r="I303" s="68">
        <v>7.5000000000000362E-3</v>
      </c>
      <c r="J303">
        <v>77</v>
      </c>
      <c r="L303" s="66">
        <v>5.0000000000000357E-3</v>
      </c>
      <c r="M303" s="1">
        <f t="shared" si="1"/>
        <v>17.028687912503802</v>
      </c>
    </row>
    <row r="304" spans="1:13" ht="15">
      <c r="A304" s="67">
        <v>299.99</v>
      </c>
      <c r="B304" s="67">
        <v>313.54000000000002</v>
      </c>
      <c r="C304" s="67">
        <v>296.47000000000003</v>
      </c>
      <c r="D304" s="67">
        <v>310.54000000000002</v>
      </c>
      <c r="E304" s="67">
        <v>1404409</v>
      </c>
      <c r="F304" s="67" t="s">
        <v>324</v>
      </c>
      <c r="G304" s="25">
        <f t="shared" si="0"/>
        <v>-3.3973079152444186E-2</v>
      </c>
      <c r="I304" s="68">
        <v>1.0000000000000037E-2</v>
      </c>
      <c r="J304">
        <v>57</v>
      </c>
      <c r="L304" s="66">
        <v>7.5000000000000362E-3</v>
      </c>
      <c r="M304" s="1">
        <f t="shared" si="1"/>
        <v>16.51243416648677</v>
      </c>
    </row>
    <row r="305" spans="1:30" ht="15">
      <c r="A305" s="67">
        <v>314.18</v>
      </c>
      <c r="B305" s="67">
        <v>316</v>
      </c>
      <c r="C305" s="67">
        <v>311.77999999999997</v>
      </c>
      <c r="D305" s="67">
        <v>312.83</v>
      </c>
      <c r="E305" s="67">
        <v>672901</v>
      </c>
      <c r="F305" s="67" t="s">
        <v>325</v>
      </c>
      <c r="G305" s="25">
        <f t="shared" si="0"/>
        <v>4.3154428923057875E-3</v>
      </c>
      <c r="I305" s="68">
        <v>1.2500000000000037E-2</v>
      </c>
      <c r="J305">
        <v>56</v>
      </c>
      <c r="L305" s="66">
        <v>1.0000000000000037E-2</v>
      </c>
      <c r="M305" s="1">
        <f t="shared" si="1"/>
        <v>15.821051179682483</v>
      </c>
    </row>
    <row r="306" spans="1:30" ht="15">
      <c r="A306" s="67">
        <v>313.08</v>
      </c>
      <c r="B306" s="67">
        <v>313.35000000000002</v>
      </c>
      <c r="C306" s="67">
        <v>305.07</v>
      </c>
      <c r="D306" s="67">
        <v>309.39999999999998</v>
      </c>
      <c r="E306" s="67">
        <v>760290</v>
      </c>
      <c r="F306" s="67" t="s">
        <v>326</v>
      </c>
      <c r="G306" s="25">
        <f t="shared" si="0"/>
        <v>1.1893988364576558E-2</v>
      </c>
      <c r="I306" s="68">
        <v>1.5000000000000038E-2</v>
      </c>
      <c r="J306">
        <v>45</v>
      </c>
      <c r="L306" s="66">
        <v>1.2500000000000037E-2</v>
      </c>
      <c r="M306" s="1">
        <f t="shared" si="1"/>
        <v>14.978002374303861</v>
      </c>
    </row>
    <row r="307" spans="1:30" ht="15">
      <c r="A307" s="67">
        <v>309.83</v>
      </c>
      <c r="B307" s="67">
        <v>309.86</v>
      </c>
      <c r="C307" s="67">
        <v>305.19499999999999</v>
      </c>
      <c r="D307" s="67">
        <v>306.23</v>
      </c>
      <c r="E307" s="67">
        <v>628504</v>
      </c>
      <c r="F307" s="67" t="s">
        <v>327</v>
      </c>
      <c r="G307" s="25">
        <f t="shared" si="0"/>
        <v>1.1755869771086891E-2</v>
      </c>
      <c r="I307" s="68">
        <v>1.7500000000000036E-2</v>
      </c>
      <c r="J307">
        <v>28</v>
      </c>
      <c r="L307" s="66">
        <v>1.5000000000000038E-2</v>
      </c>
      <c r="M307" s="1">
        <f t="shared" si="1"/>
        <v>14.010924024914624</v>
      </c>
    </row>
    <row r="308" spans="1:30" ht="15">
      <c r="A308" s="67">
        <v>306.23</v>
      </c>
      <c r="B308" s="67">
        <v>311.41000000000003</v>
      </c>
      <c r="C308" s="67">
        <v>304.3116</v>
      </c>
      <c r="D308" s="67">
        <v>311.41000000000003</v>
      </c>
      <c r="E308" s="67">
        <v>639363</v>
      </c>
      <c r="F308" s="67" t="s">
        <v>328</v>
      </c>
      <c r="G308" s="25">
        <f t="shared" si="0"/>
        <v>-1.6634019459876082E-2</v>
      </c>
      <c r="I308" s="68">
        <v>2.0000000000000035E-2</v>
      </c>
      <c r="J308">
        <v>41</v>
      </c>
      <c r="L308" s="66">
        <v>1.7500000000000036E-2</v>
      </c>
      <c r="M308" s="1">
        <f t="shared" si="1"/>
        <v>12.950125715670383</v>
      </c>
    </row>
    <row r="309" spans="1:30" ht="15">
      <c r="A309" s="67">
        <v>310.89999999999998</v>
      </c>
      <c r="B309" s="67">
        <v>315.49</v>
      </c>
      <c r="C309" s="67">
        <v>304.13</v>
      </c>
      <c r="D309" s="67">
        <v>310.45999999999998</v>
      </c>
      <c r="E309" s="67">
        <v>908070</v>
      </c>
      <c r="F309" s="67" t="s">
        <v>329</v>
      </c>
      <c r="G309" s="25">
        <f t="shared" si="0"/>
        <v>1.417251819880061E-3</v>
      </c>
      <c r="I309" s="68">
        <v>2.2500000000000034E-2</v>
      </c>
      <c r="J309">
        <v>28</v>
      </c>
      <c r="L309" s="66">
        <v>2.0000000000000035E-2</v>
      </c>
      <c r="M309" s="1">
        <f t="shared" si="1"/>
        <v>11.827024980599299</v>
      </c>
    </row>
    <row r="310" spans="1:30" ht="15">
      <c r="A310" s="67">
        <v>307.67</v>
      </c>
      <c r="B310" s="67">
        <v>309.66000000000003</v>
      </c>
      <c r="C310" s="67">
        <v>301.62</v>
      </c>
      <c r="D310" s="67">
        <v>303.83999999999997</v>
      </c>
      <c r="E310" s="67">
        <v>1156645</v>
      </c>
      <c r="F310" s="67" t="s">
        <v>330</v>
      </c>
      <c r="G310" s="25">
        <f t="shared" si="0"/>
        <v>1.2605318588731151E-2</v>
      </c>
      <c r="I310" s="68">
        <v>2.5000000000000033E-2</v>
      </c>
      <c r="J310">
        <v>26</v>
      </c>
      <c r="L310" s="66">
        <v>2.2500000000000034E-2</v>
      </c>
      <c r="M310" s="1">
        <f t="shared" si="1"/>
        <v>10.672627877357483</v>
      </c>
    </row>
    <row r="311" spans="1:30" ht="15">
      <c r="A311" s="67">
        <v>303.14999999999998</v>
      </c>
      <c r="B311" s="67">
        <v>305.51</v>
      </c>
      <c r="C311" s="67">
        <v>300.58999999999997</v>
      </c>
      <c r="D311" s="67">
        <v>304.27999999999997</v>
      </c>
      <c r="E311" s="67">
        <v>1538192</v>
      </c>
      <c r="F311" s="67" t="s">
        <v>331</v>
      </c>
      <c r="G311" s="25">
        <f t="shared" si="0"/>
        <v>-3.7136847640331094E-3</v>
      </c>
      <c r="I311" s="68">
        <v>2.7500000000000031E-2</v>
      </c>
      <c r="J311">
        <v>24</v>
      </c>
      <c r="L311" s="66">
        <v>2.5000000000000033E-2</v>
      </c>
      <c r="M311" s="1">
        <f t="shared" si="1"/>
        <v>9.5161557945027937</v>
      </c>
    </row>
    <row r="312" spans="1:30" ht="15">
      <c r="A312" s="67">
        <v>301.79000000000002</v>
      </c>
      <c r="B312" s="67">
        <v>305.64</v>
      </c>
      <c r="C312" s="67">
        <v>299.47000000000003</v>
      </c>
      <c r="D312" s="67">
        <v>304.61</v>
      </c>
      <c r="E312" s="67">
        <v>756476</v>
      </c>
      <c r="F312" s="67" t="s">
        <v>332</v>
      </c>
      <c r="G312" s="25">
        <f t="shared" ref="G312:G375" si="2">A312/D312-1</f>
        <v>-9.2577394044843775E-3</v>
      </c>
      <c r="I312" s="68">
        <v>3.000000000000003E-2</v>
      </c>
      <c r="J312">
        <v>20</v>
      </c>
      <c r="L312" s="66">
        <v>2.7500000000000031E-2</v>
      </c>
      <c r="M312" s="1">
        <f t="shared" si="1"/>
        <v>8.3838991053275684</v>
      </c>
    </row>
    <row r="313" spans="1:30" ht="15">
      <c r="A313" s="67">
        <v>304.39</v>
      </c>
      <c r="B313" s="67">
        <v>305.91500000000002</v>
      </c>
      <c r="C313" s="67">
        <v>300.61</v>
      </c>
      <c r="D313" s="67">
        <v>303.64</v>
      </c>
      <c r="E313" s="67">
        <v>591849</v>
      </c>
      <c r="F313" s="67" t="s">
        <v>333</v>
      </c>
      <c r="G313" s="25">
        <f t="shared" si="2"/>
        <v>2.4700302990383616E-3</v>
      </c>
      <c r="I313" s="68">
        <v>3.2500000000000029E-2</v>
      </c>
      <c r="J313">
        <v>19</v>
      </c>
      <c r="L313" s="66">
        <v>3.000000000000003E-2</v>
      </c>
      <c r="M313" s="1">
        <f t="shared" si="1"/>
        <v>7.2983530200287161</v>
      </c>
    </row>
    <row r="314" spans="1:30" ht="15">
      <c r="A314" s="67">
        <v>306.58999999999997</v>
      </c>
      <c r="B314" s="67">
        <v>310.18</v>
      </c>
      <c r="C314" s="67">
        <v>305.16000000000003</v>
      </c>
      <c r="D314" s="67">
        <v>307.64999999999998</v>
      </c>
      <c r="E314" s="67">
        <v>867353</v>
      </c>
      <c r="F314" s="67" t="s">
        <v>334</v>
      </c>
      <c r="G314" s="25">
        <f t="shared" si="2"/>
        <v>-3.4454737526410373E-3</v>
      </c>
      <c r="I314" s="68">
        <v>3.5000000000000031E-2</v>
      </c>
      <c r="J314">
        <v>16</v>
      </c>
      <c r="L314" s="66">
        <v>3.2500000000000029E-2</v>
      </c>
      <c r="M314" s="1">
        <f t="shared" si="1"/>
        <v>6.2776632119711566</v>
      </c>
    </row>
    <row r="315" spans="1:30" ht="15">
      <c r="A315" s="67">
        <v>304.63</v>
      </c>
      <c r="B315" s="67">
        <v>308.79000000000002</v>
      </c>
      <c r="C315" s="67">
        <v>299.61</v>
      </c>
      <c r="D315" s="67">
        <v>299.61</v>
      </c>
      <c r="E315" s="67">
        <v>665788</v>
      </c>
      <c r="F315" s="67" t="s">
        <v>335</v>
      </c>
      <c r="G315" s="25">
        <f t="shared" si="2"/>
        <v>1.6755114982810904E-2</v>
      </c>
      <c r="I315" s="68">
        <v>3.7500000000000033E-2</v>
      </c>
      <c r="J315">
        <v>8</v>
      </c>
      <c r="L315" s="66">
        <v>3.5000000000000031E-2</v>
      </c>
      <c r="M315" s="1">
        <f t="shared" si="1"/>
        <v>5.3353815474057527</v>
      </c>
    </row>
    <row r="316" spans="1:30" ht="15">
      <c r="A316" s="67">
        <v>303.62</v>
      </c>
      <c r="B316" s="67">
        <v>303.7099</v>
      </c>
      <c r="C316" s="67">
        <v>299.375</v>
      </c>
      <c r="D316" s="67">
        <v>302.24</v>
      </c>
      <c r="E316" s="67">
        <v>866112</v>
      </c>
      <c r="F316" s="67" t="s">
        <v>336</v>
      </c>
      <c r="G316" s="25">
        <f t="shared" si="2"/>
        <v>4.5659078877713366E-3</v>
      </c>
      <c r="I316" s="68">
        <v>4.0000000000000036E-2</v>
      </c>
      <c r="J316">
        <v>7</v>
      </c>
      <c r="L316" s="66">
        <v>3.7500000000000033E-2</v>
      </c>
      <c r="M316" s="1">
        <f t="shared" si="1"/>
        <v>4.4805081900597576</v>
      </c>
    </row>
    <row r="317" spans="1:30" ht="15">
      <c r="A317" s="67">
        <v>302.24</v>
      </c>
      <c r="B317" s="67">
        <v>304.32499999999999</v>
      </c>
      <c r="C317" s="67">
        <v>297.89999999999998</v>
      </c>
      <c r="D317" s="67">
        <v>299.92</v>
      </c>
      <c r="E317" s="67">
        <v>876549</v>
      </c>
      <c r="F317" s="67" t="s">
        <v>337</v>
      </c>
      <c r="G317" s="25">
        <f t="shared" si="2"/>
        <v>7.7353961056281229E-3</v>
      </c>
      <c r="I317" s="68">
        <v>4.2500000000000038E-2</v>
      </c>
      <c r="J317">
        <v>8</v>
      </c>
      <c r="L317" s="66">
        <v>4.0000000000000036E-2</v>
      </c>
      <c r="M317" s="1">
        <f t="shared" si="1"/>
        <v>3.717777476169065</v>
      </c>
    </row>
    <row r="318" spans="1:30" ht="15">
      <c r="A318" s="67">
        <v>298.73</v>
      </c>
      <c r="B318" s="67">
        <v>307.68</v>
      </c>
      <c r="C318" s="67">
        <v>295.56</v>
      </c>
      <c r="D318" s="67">
        <v>306.27</v>
      </c>
      <c r="E318" s="67">
        <v>1077485</v>
      </c>
      <c r="F318" s="67" t="s">
        <v>338</v>
      </c>
      <c r="G318" s="25">
        <f t="shared" si="2"/>
        <v>-2.461880040487141E-2</v>
      </c>
      <c r="I318" s="68">
        <v>4.500000000000004E-2</v>
      </c>
      <c r="J318">
        <v>7</v>
      </c>
      <c r="L318" s="66">
        <v>4.2500000000000038E-2</v>
      </c>
      <c r="M318" s="1">
        <f t="shared" si="1"/>
        <v>3.0481324312411582</v>
      </c>
      <c r="AD318" s="2" t="s">
        <v>197</v>
      </c>
    </row>
    <row r="319" spans="1:30" ht="15">
      <c r="A319" s="67">
        <v>305.66000000000003</v>
      </c>
      <c r="B319" s="67">
        <v>312</v>
      </c>
      <c r="C319" s="67">
        <v>302.69</v>
      </c>
      <c r="D319" s="67">
        <v>310.39999999999998</v>
      </c>
      <c r="E319" s="67">
        <v>906531</v>
      </c>
      <c r="F319" s="67" t="s">
        <v>339</v>
      </c>
      <c r="G319" s="25">
        <f t="shared" si="2"/>
        <v>-1.5270618556700866E-2</v>
      </c>
      <c r="I319" s="68">
        <v>4.7500000000000042E-2</v>
      </c>
      <c r="J319">
        <v>8</v>
      </c>
      <c r="L319" s="66">
        <v>4.500000000000004E-2</v>
      </c>
      <c r="M319" s="1">
        <f t="shared" si="1"/>
        <v>2.4693269418705657</v>
      </c>
      <c r="AD319" s="1" t="s">
        <v>198</v>
      </c>
    </row>
    <row r="320" spans="1:30" ht="15">
      <c r="A320" s="67">
        <v>311.77</v>
      </c>
      <c r="B320" s="67">
        <v>320.98</v>
      </c>
      <c r="C320" s="67">
        <v>311.06</v>
      </c>
      <c r="D320" s="67">
        <v>317.89</v>
      </c>
      <c r="E320" s="67">
        <v>677257</v>
      </c>
      <c r="F320" s="67" t="s">
        <v>340</v>
      </c>
      <c r="G320" s="25">
        <f t="shared" si="2"/>
        <v>-1.9251942495831953E-2</v>
      </c>
      <c r="I320" s="68">
        <v>5.0000000000000044E-2</v>
      </c>
      <c r="J320">
        <v>5</v>
      </c>
      <c r="L320" s="66">
        <v>4.7500000000000042E-2</v>
      </c>
      <c r="M320" s="1">
        <f t="shared" si="1"/>
        <v>1.9765949493906478</v>
      </c>
    </row>
    <row r="321" spans="1:13" ht="15">
      <c r="A321" s="67">
        <v>317.16000000000003</v>
      </c>
      <c r="B321" s="67">
        <v>320.95</v>
      </c>
      <c r="C321" s="67">
        <v>315.52</v>
      </c>
      <c r="D321" s="67">
        <v>319.58</v>
      </c>
      <c r="E321" s="67">
        <v>897178</v>
      </c>
      <c r="F321" s="67" t="s">
        <v>341</v>
      </c>
      <c r="G321" s="25">
        <f t="shared" si="2"/>
        <v>-7.572438825958927E-3</v>
      </c>
      <c r="I321" s="68">
        <v>5.2500000000000047E-2</v>
      </c>
      <c r="J321">
        <v>5</v>
      </c>
      <c r="L321" s="66">
        <v>5.0000000000000044E-2</v>
      </c>
      <c r="M321" s="1">
        <f t="shared" si="1"/>
        <v>1.5633315447523306</v>
      </c>
    </row>
    <row r="322" spans="1:13" ht="15">
      <c r="A322" s="67">
        <v>319.20999999999998</v>
      </c>
      <c r="B322" s="67">
        <v>325.61</v>
      </c>
      <c r="C322" s="67">
        <v>319.07</v>
      </c>
      <c r="D322" s="67">
        <v>325.29000000000002</v>
      </c>
      <c r="E322" s="67">
        <v>786041</v>
      </c>
      <c r="F322" s="67" t="s">
        <v>342</v>
      </c>
      <c r="G322" s="25">
        <f t="shared" si="2"/>
        <v>-1.8691014171969722E-2</v>
      </c>
      <c r="I322" s="68">
        <v>5.5000000000000049E-2</v>
      </c>
      <c r="J322">
        <v>3</v>
      </c>
      <c r="L322" s="66">
        <v>5.2500000000000047E-2</v>
      </c>
      <c r="M322" s="1">
        <f t="shared" si="1"/>
        <v>1.2217400880114533</v>
      </c>
    </row>
    <row r="323" spans="1:13" ht="15">
      <c r="A323" s="67">
        <v>323.24</v>
      </c>
      <c r="B323" s="67">
        <v>325.0899</v>
      </c>
      <c r="C323" s="67">
        <v>319.32</v>
      </c>
      <c r="D323" s="67">
        <v>325</v>
      </c>
      <c r="E323" s="67">
        <v>856910</v>
      </c>
      <c r="F323" s="67" t="s">
        <v>343</v>
      </c>
      <c r="G323" s="25">
        <f t="shared" si="2"/>
        <v>-5.4153846153845997E-3</v>
      </c>
      <c r="I323" s="68">
        <v>5.7500000000000051E-2</v>
      </c>
      <c r="J323">
        <v>0</v>
      </c>
      <c r="L323" s="66">
        <v>5.5000000000000049E-2</v>
      </c>
      <c r="M323" s="1">
        <f t="shared" si="1"/>
        <v>0.94341088061611533</v>
      </c>
    </row>
    <row r="324" spans="1:13" ht="15">
      <c r="A324" s="67">
        <v>325</v>
      </c>
      <c r="B324" s="67">
        <v>325.22000000000003</v>
      </c>
      <c r="C324" s="67">
        <v>319.74</v>
      </c>
      <c r="D324" s="67">
        <v>324.23</v>
      </c>
      <c r="E324" s="67">
        <v>704600</v>
      </c>
      <c r="F324" s="67" t="s">
        <v>344</v>
      </c>
      <c r="G324" s="25">
        <f t="shared" si="2"/>
        <v>2.3748573543471707E-3</v>
      </c>
      <c r="I324" s="68">
        <v>6.0000000000000053E-2</v>
      </c>
      <c r="J324">
        <v>1</v>
      </c>
      <c r="L324" s="66">
        <v>5.7500000000000051E-2</v>
      </c>
      <c r="M324" s="1">
        <f t="shared" si="1"/>
        <v>0.71980898034904106</v>
      </c>
    </row>
    <row r="325" spans="1:13" ht="15">
      <c r="A325" s="67">
        <v>325.02999999999997</v>
      </c>
      <c r="B325" s="67">
        <v>326.24</v>
      </c>
      <c r="C325" s="67">
        <v>320.70999999999998</v>
      </c>
      <c r="D325" s="67">
        <v>324.22000000000003</v>
      </c>
      <c r="E325" s="67">
        <v>960247</v>
      </c>
      <c r="F325" s="67" t="s">
        <v>345</v>
      </c>
      <c r="G325" s="25">
        <f t="shared" si="2"/>
        <v>2.4983036209980103E-3</v>
      </c>
      <c r="I325" s="68">
        <v>6.2500000000000056E-2</v>
      </c>
      <c r="J325">
        <v>4</v>
      </c>
      <c r="L325" s="66">
        <v>6.0000000000000053E-2</v>
      </c>
      <c r="M325" s="1">
        <f t="shared" si="1"/>
        <v>0.54266019156698453</v>
      </c>
    </row>
    <row r="326" spans="1:13" ht="15">
      <c r="A326" s="67">
        <v>323.85000000000002</v>
      </c>
      <c r="B326" s="67">
        <v>326.065</v>
      </c>
      <c r="C326" s="67">
        <v>322.29000000000002</v>
      </c>
      <c r="D326" s="67">
        <v>324.69</v>
      </c>
      <c r="E326" s="67">
        <v>427899</v>
      </c>
      <c r="F326" s="67" t="s">
        <v>346</v>
      </c>
      <c r="G326" s="25">
        <f t="shared" si="2"/>
        <v>-2.5870830638454745E-3</v>
      </c>
      <c r="I326" s="68">
        <v>6.5000000000000058E-2</v>
      </c>
      <c r="J326">
        <v>2</v>
      </c>
      <c r="L326" s="66">
        <v>6.2500000000000056E-2</v>
      </c>
      <c r="M326" s="1">
        <f t="shared" si="1"/>
        <v>0.40423414076629</v>
      </c>
    </row>
    <row r="327" spans="1:13" ht="15">
      <c r="A327" s="67">
        <v>323.55</v>
      </c>
      <c r="B327" s="67">
        <v>328.10500000000002</v>
      </c>
      <c r="C327" s="67">
        <v>322.50020000000001</v>
      </c>
      <c r="D327" s="67">
        <v>325.49</v>
      </c>
      <c r="E327" s="67">
        <v>919836</v>
      </c>
      <c r="F327" s="67" t="s">
        <v>347</v>
      </c>
      <c r="G327" s="25">
        <f t="shared" si="2"/>
        <v>-5.9602445543641691E-3</v>
      </c>
      <c r="I327" s="68">
        <v>6.750000000000006E-2</v>
      </c>
      <c r="J327">
        <v>1</v>
      </c>
      <c r="L327" s="66">
        <v>6.5000000000000058E-2</v>
      </c>
      <c r="M327" s="1">
        <f t="shared" si="1"/>
        <v>0.29753108103088538</v>
      </c>
    </row>
    <row r="328" spans="1:13" ht="15">
      <c r="A328" s="67">
        <v>326.64</v>
      </c>
      <c r="B328" s="67">
        <v>329.10180000000003</v>
      </c>
      <c r="C328" s="67">
        <v>324.67</v>
      </c>
      <c r="D328" s="67">
        <v>325</v>
      </c>
      <c r="E328" s="67">
        <v>630017</v>
      </c>
      <c r="F328" s="67" t="s">
        <v>348</v>
      </c>
      <c r="G328" s="25">
        <f t="shared" si="2"/>
        <v>5.0461538461537003E-3</v>
      </c>
      <c r="I328" s="68">
        <v>7.0000000000000062E-2</v>
      </c>
      <c r="J328">
        <v>2</v>
      </c>
      <c r="L328" s="66">
        <v>6.750000000000006E-2</v>
      </c>
      <c r="M328" s="1">
        <f t="shared" si="1"/>
        <v>0.21638443280646097</v>
      </c>
    </row>
    <row r="329" spans="1:13" ht="15.75" thickBot="1">
      <c r="A329" s="67">
        <v>321.36</v>
      </c>
      <c r="B329" s="67">
        <v>322.70999999999998</v>
      </c>
      <c r="C329" s="67">
        <v>315.91000000000003</v>
      </c>
      <c r="D329" s="67">
        <v>319.45999999999998</v>
      </c>
      <c r="E329" s="67">
        <v>693225</v>
      </c>
      <c r="F329" s="67" t="s">
        <v>349</v>
      </c>
      <c r="G329" s="25">
        <f t="shared" si="2"/>
        <v>5.9475364677894493E-3</v>
      </c>
      <c r="I329" s="69" t="s">
        <v>1525</v>
      </c>
      <c r="J329" s="69">
        <v>3</v>
      </c>
      <c r="L329" s="66">
        <v>7.0000000000000062E-2</v>
      </c>
      <c r="M329" s="1">
        <f t="shared" si="1"/>
        <v>0.15549413400586445</v>
      </c>
    </row>
    <row r="330" spans="1:13">
      <c r="A330" s="67">
        <v>321</v>
      </c>
      <c r="B330" s="67">
        <v>324.66500000000002</v>
      </c>
      <c r="C330" s="67">
        <v>319.89</v>
      </c>
      <c r="D330" s="67">
        <v>324</v>
      </c>
      <c r="E330" s="67">
        <v>991446</v>
      </c>
      <c r="F330" s="67" t="s">
        <v>350</v>
      </c>
      <c r="G330" s="25">
        <f t="shared" si="2"/>
        <v>-9.2592592592593004E-3</v>
      </c>
      <c r="L330" s="66">
        <v>7.2500000000000064E-2</v>
      </c>
      <c r="M330" s="1">
        <f t="shared" si="1"/>
        <v>0.11040692896271022</v>
      </c>
    </row>
    <row r="331" spans="1:13">
      <c r="A331" s="67">
        <v>324.5</v>
      </c>
      <c r="B331" s="67">
        <v>329.33</v>
      </c>
      <c r="C331" s="67">
        <v>322.64</v>
      </c>
      <c r="D331" s="67">
        <v>325.41000000000003</v>
      </c>
      <c r="E331" s="67">
        <v>653398</v>
      </c>
      <c r="F331" s="67" t="s">
        <v>351</v>
      </c>
      <c r="G331" s="25">
        <f t="shared" si="2"/>
        <v>-2.7964721428352934E-3</v>
      </c>
    </row>
    <row r="332" spans="1:13">
      <c r="A332" s="67">
        <v>327.47000000000003</v>
      </c>
      <c r="B332" s="67">
        <v>329</v>
      </c>
      <c r="C332" s="67">
        <v>320.17</v>
      </c>
      <c r="D332" s="67">
        <v>324</v>
      </c>
      <c r="E332" s="67">
        <v>998439</v>
      </c>
      <c r="F332" s="67" t="s">
        <v>352</v>
      </c>
      <c r="G332" s="25">
        <f t="shared" si="2"/>
        <v>1.0709876543209873E-2</v>
      </c>
    </row>
    <row r="333" spans="1:13">
      <c r="A333" s="67">
        <v>325.83999999999997</v>
      </c>
      <c r="B333" s="67">
        <v>326.5</v>
      </c>
      <c r="C333" s="67">
        <v>321.17</v>
      </c>
      <c r="D333" s="67">
        <v>322.56</v>
      </c>
      <c r="E333" s="67">
        <v>634501</v>
      </c>
      <c r="F333" s="67" t="s">
        <v>353</v>
      </c>
      <c r="G333" s="25">
        <f t="shared" si="2"/>
        <v>1.0168650793650702E-2</v>
      </c>
    </row>
    <row r="334" spans="1:13">
      <c r="A334" s="67">
        <v>324.75</v>
      </c>
      <c r="B334" s="67">
        <v>325.22000000000003</v>
      </c>
      <c r="C334" s="67">
        <v>315.38</v>
      </c>
      <c r="D334" s="67">
        <v>322.02</v>
      </c>
      <c r="E334" s="67">
        <v>836440</v>
      </c>
      <c r="F334" s="67" t="s">
        <v>354</v>
      </c>
      <c r="G334" s="25">
        <f t="shared" si="2"/>
        <v>8.4777343022173213E-3</v>
      </c>
    </row>
    <row r="335" spans="1:13">
      <c r="A335" s="67">
        <v>322.02</v>
      </c>
      <c r="B335" s="67">
        <v>322.37</v>
      </c>
      <c r="C335" s="67">
        <v>318.95</v>
      </c>
      <c r="D335" s="67">
        <v>320.58999999999997</v>
      </c>
      <c r="E335" s="67">
        <v>661127</v>
      </c>
      <c r="F335" s="67" t="s">
        <v>355</v>
      </c>
      <c r="G335" s="25">
        <f t="shared" si="2"/>
        <v>4.4605259053620561E-3</v>
      </c>
    </row>
    <row r="336" spans="1:13">
      <c r="A336" s="67">
        <v>321.41000000000003</v>
      </c>
      <c r="B336" s="67">
        <v>321.85000000000002</v>
      </c>
      <c r="C336" s="67">
        <v>313.39</v>
      </c>
      <c r="D336" s="67">
        <v>313.39</v>
      </c>
      <c r="E336" s="67">
        <v>966677</v>
      </c>
      <c r="F336" s="67" t="s">
        <v>356</v>
      </c>
      <c r="G336" s="25">
        <f t="shared" si="2"/>
        <v>2.5591116500207622E-2</v>
      </c>
    </row>
    <row r="337" spans="1:7">
      <c r="A337" s="67">
        <v>314.45999999999998</v>
      </c>
      <c r="B337" s="67">
        <v>323</v>
      </c>
      <c r="C337" s="67">
        <v>313.87</v>
      </c>
      <c r="D337" s="67">
        <v>316.67</v>
      </c>
      <c r="E337" s="67">
        <v>1469414</v>
      </c>
      <c r="F337" s="67" t="s">
        <v>357</v>
      </c>
      <c r="G337" s="25">
        <f t="shared" si="2"/>
        <v>-6.9788739065905769E-3</v>
      </c>
    </row>
    <row r="338" spans="1:7">
      <c r="A338" s="67">
        <v>316.67</v>
      </c>
      <c r="B338" s="67">
        <v>318.86160000000001</v>
      </c>
      <c r="C338" s="67">
        <v>305.95</v>
      </c>
      <c r="D338" s="67">
        <v>313.45999999999998</v>
      </c>
      <c r="E338" s="67">
        <v>1404553</v>
      </c>
      <c r="F338" s="67" t="s">
        <v>358</v>
      </c>
      <c r="G338" s="25">
        <f t="shared" si="2"/>
        <v>1.0240541057870312E-2</v>
      </c>
    </row>
    <row r="339" spans="1:7">
      <c r="A339" s="67">
        <v>310.67</v>
      </c>
      <c r="B339" s="67">
        <v>312.16000000000003</v>
      </c>
      <c r="C339" s="67">
        <v>293.02999999999997</v>
      </c>
      <c r="D339" s="67">
        <v>293.02999999999997</v>
      </c>
      <c r="E339" s="67">
        <v>3216236</v>
      </c>
      <c r="F339" s="67" t="s">
        <v>359</v>
      </c>
      <c r="G339" s="25">
        <f t="shared" si="2"/>
        <v>6.0198614476333567E-2</v>
      </c>
    </row>
    <row r="340" spans="1:7">
      <c r="A340" s="67">
        <v>257</v>
      </c>
      <c r="B340" s="67">
        <v>267.315</v>
      </c>
      <c r="C340" s="67">
        <v>256.93</v>
      </c>
      <c r="D340" s="67">
        <v>266.35000000000002</v>
      </c>
      <c r="E340" s="67">
        <v>1284528</v>
      </c>
      <c r="F340" s="67" t="s">
        <v>360</v>
      </c>
      <c r="G340" s="25">
        <f t="shared" si="2"/>
        <v>-3.5104186221137645E-2</v>
      </c>
    </row>
    <row r="341" spans="1:7">
      <c r="A341" s="67">
        <v>264.31</v>
      </c>
      <c r="B341" s="67">
        <v>264.67</v>
      </c>
      <c r="C341" s="67">
        <v>259.52</v>
      </c>
      <c r="D341" s="67">
        <v>259.70999999999998</v>
      </c>
      <c r="E341" s="67">
        <v>454907</v>
      </c>
      <c r="F341" s="67" t="s">
        <v>361</v>
      </c>
      <c r="G341" s="25">
        <f t="shared" si="2"/>
        <v>1.7712063455392668E-2</v>
      </c>
    </row>
    <row r="342" spans="1:7">
      <c r="A342" s="67">
        <v>258.87</v>
      </c>
      <c r="B342" s="67">
        <v>260.58</v>
      </c>
      <c r="C342" s="67">
        <v>256</v>
      </c>
      <c r="D342" s="67">
        <v>256.45999999999998</v>
      </c>
      <c r="E342" s="67">
        <v>875585</v>
      </c>
      <c r="F342" s="67" t="s">
        <v>362</v>
      </c>
      <c r="G342" s="25">
        <f t="shared" si="2"/>
        <v>9.39717694767217E-3</v>
      </c>
    </row>
    <row r="343" spans="1:7">
      <c r="A343" s="67">
        <v>258.79000000000002</v>
      </c>
      <c r="B343" s="67">
        <v>260.95999999999998</v>
      </c>
      <c r="C343" s="67">
        <v>252.88</v>
      </c>
      <c r="D343" s="67">
        <v>256.83</v>
      </c>
      <c r="E343" s="67">
        <v>736896</v>
      </c>
      <c r="F343" s="67" t="s">
        <v>363</v>
      </c>
      <c r="G343" s="25">
        <f t="shared" si="2"/>
        <v>7.6315072226766922E-3</v>
      </c>
    </row>
    <row r="344" spans="1:7">
      <c r="A344" s="67">
        <v>257.01</v>
      </c>
      <c r="B344" s="67">
        <v>259.255</v>
      </c>
      <c r="C344" s="67">
        <v>254.72</v>
      </c>
      <c r="D344" s="67">
        <v>255.16</v>
      </c>
      <c r="E344" s="67">
        <v>838691</v>
      </c>
      <c r="F344" s="67" t="s">
        <v>364</v>
      </c>
      <c r="G344" s="25">
        <f t="shared" si="2"/>
        <v>7.2503527198619633E-3</v>
      </c>
    </row>
    <row r="345" spans="1:7">
      <c r="A345" s="67">
        <v>250.25</v>
      </c>
      <c r="B345" s="67">
        <v>254.315</v>
      </c>
      <c r="C345" s="67">
        <v>248.4</v>
      </c>
      <c r="D345" s="67">
        <v>252.94</v>
      </c>
      <c r="E345" s="67">
        <v>596730</v>
      </c>
      <c r="F345" s="67" t="s">
        <v>365</v>
      </c>
      <c r="G345" s="25">
        <f t="shared" si="2"/>
        <v>-1.0634933185735718E-2</v>
      </c>
    </row>
    <row r="346" spans="1:7">
      <c r="A346" s="67">
        <v>252.29</v>
      </c>
      <c r="B346" s="67">
        <v>252.94</v>
      </c>
      <c r="C346" s="67">
        <v>245.655</v>
      </c>
      <c r="D346" s="67">
        <v>249.55</v>
      </c>
      <c r="E346" s="67">
        <v>721003</v>
      </c>
      <c r="F346" s="67" t="s">
        <v>366</v>
      </c>
      <c r="G346" s="25">
        <f t="shared" si="2"/>
        <v>1.0979763574433976E-2</v>
      </c>
    </row>
    <row r="347" spans="1:7">
      <c r="A347" s="67">
        <v>251.27</v>
      </c>
      <c r="B347" s="67">
        <v>258.98</v>
      </c>
      <c r="C347" s="67">
        <v>247.4</v>
      </c>
      <c r="D347" s="67">
        <v>255.65</v>
      </c>
      <c r="E347" s="67">
        <v>1152369</v>
      </c>
      <c r="F347" s="67" t="s">
        <v>367</v>
      </c>
      <c r="G347" s="25">
        <f t="shared" si="2"/>
        <v>-1.7132798748288658E-2</v>
      </c>
    </row>
    <row r="348" spans="1:7">
      <c r="A348" s="67">
        <v>259.52</v>
      </c>
      <c r="B348" s="67">
        <v>264.25</v>
      </c>
      <c r="C348" s="67">
        <v>255</v>
      </c>
      <c r="D348" s="67">
        <v>262</v>
      </c>
      <c r="E348" s="67">
        <v>766024</v>
      </c>
      <c r="F348" s="67" t="s">
        <v>368</v>
      </c>
      <c r="G348" s="25">
        <f t="shared" si="2"/>
        <v>-9.4656488549619278E-3</v>
      </c>
    </row>
    <row r="349" spans="1:7">
      <c r="A349" s="67">
        <v>260.70999999999998</v>
      </c>
      <c r="B349" s="67">
        <v>262.83499999999998</v>
      </c>
      <c r="C349" s="67">
        <v>258.75</v>
      </c>
      <c r="D349" s="67">
        <v>258.75</v>
      </c>
      <c r="E349" s="67">
        <v>465391</v>
      </c>
      <c r="F349" s="67" t="s">
        <v>369</v>
      </c>
      <c r="G349" s="25">
        <f t="shared" si="2"/>
        <v>7.5748792270531329E-3</v>
      </c>
    </row>
    <row r="350" spans="1:7">
      <c r="A350" s="67">
        <v>259.38</v>
      </c>
      <c r="B350" s="67">
        <v>261.62</v>
      </c>
      <c r="C350" s="67">
        <v>249.81</v>
      </c>
      <c r="D350" s="67">
        <v>249.82</v>
      </c>
      <c r="E350" s="67">
        <v>520777</v>
      </c>
      <c r="F350" s="67" t="s">
        <v>370</v>
      </c>
      <c r="G350" s="25">
        <f t="shared" si="2"/>
        <v>3.8267552637899271E-2</v>
      </c>
    </row>
    <row r="351" spans="1:7">
      <c r="A351" s="67">
        <v>246.49</v>
      </c>
      <c r="B351" s="67">
        <v>255.75</v>
      </c>
      <c r="C351" s="67">
        <v>245.07</v>
      </c>
      <c r="D351" s="67">
        <v>250.59</v>
      </c>
      <c r="E351" s="67">
        <v>483849</v>
      </c>
      <c r="F351" s="67" t="s">
        <v>371</v>
      </c>
      <c r="G351" s="25">
        <f t="shared" si="2"/>
        <v>-1.6361387126381688E-2</v>
      </c>
    </row>
    <row r="352" spans="1:7">
      <c r="A352" s="67">
        <v>244.02</v>
      </c>
      <c r="B352" s="67">
        <v>246.54499999999999</v>
      </c>
      <c r="C352" s="67">
        <v>239.36500000000001</v>
      </c>
      <c r="D352" s="67">
        <v>241.83</v>
      </c>
      <c r="E352" s="67">
        <v>550609</v>
      </c>
      <c r="F352" s="67" t="s">
        <v>372</v>
      </c>
      <c r="G352" s="25">
        <f t="shared" si="2"/>
        <v>9.0559483934995466E-3</v>
      </c>
    </row>
    <row r="353" spans="1:7">
      <c r="A353" s="67">
        <v>238.57</v>
      </c>
      <c r="B353" s="67">
        <v>244.54</v>
      </c>
      <c r="C353" s="67">
        <v>237.495</v>
      </c>
      <c r="D353" s="67">
        <v>243.67</v>
      </c>
      <c r="E353" s="67">
        <v>518015</v>
      </c>
      <c r="F353" s="67" t="s">
        <v>373</v>
      </c>
      <c r="G353" s="25">
        <f t="shared" si="2"/>
        <v>-2.092994623876554E-2</v>
      </c>
    </row>
    <row r="354" spans="1:7">
      <c r="A354" s="67">
        <v>246.8</v>
      </c>
      <c r="B354" s="67">
        <v>248.95859999999999</v>
      </c>
      <c r="C354" s="67">
        <v>234.22</v>
      </c>
      <c r="D354" s="67">
        <v>245</v>
      </c>
      <c r="E354" s="67">
        <v>623593</v>
      </c>
      <c r="F354" s="67" t="s">
        <v>374</v>
      </c>
      <c r="G354" s="25">
        <f t="shared" si="2"/>
        <v>7.3469387755102922E-3</v>
      </c>
    </row>
    <row r="355" spans="1:7">
      <c r="A355" s="67">
        <v>250.73</v>
      </c>
      <c r="B355" s="67">
        <v>258</v>
      </c>
      <c r="C355" s="67">
        <v>247.14</v>
      </c>
      <c r="D355" s="67">
        <v>255.89</v>
      </c>
      <c r="E355" s="67">
        <v>731296</v>
      </c>
      <c r="F355" s="67" t="s">
        <v>375</v>
      </c>
      <c r="G355" s="25">
        <f t="shared" si="2"/>
        <v>-2.0164914611747187E-2</v>
      </c>
    </row>
    <row r="356" spans="1:7">
      <c r="A356" s="67">
        <v>256.42500000000001</v>
      </c>
      <c r="B356" s="67">
        <v>257.37</v>
      </c>
      <c r="C356" s="67">
        <v>252.89</v>
      </c>
      <c r="D356" s="67">
        <v>254.83</v>
      </c>
      <c r="E356" s="67">
        <v>542491</v>
      </c>
      <c r="F356" s="67" t="s">
        <v>376</v>
      </c>
      <c r="G356" s="25">
        <f t="shared" si="2"/>
        <v>6.2590746772357431E-3</v>
      </c>
    </row>
    <row r="357" spans="1:7">
      <c r="A357" s="67">
        <v>255.47</v>
      </c>
      <c r="B357" s="67">
        <v>257.83999999999997</v>
      </c>
      <c r="C357" s="67">
        <v>251.8</v>
      </c>
      <c r="D357" s="67">
        <v>257.83999999999997</v>
      </c>
      <c r="E357" s="67">
        <v>538714</v>
      </c>
      <c r="F357" s="67" t="s">
        <v>377</v>
      </c>
      <c r="G357" s="25">
        <f t="shared" si="2"/>
        <v>-9.1917468197331154E-3</v>
      </c>
    </row>
    <row r="358" spans="1:7">
      <c r="A358" s="67">
        <v>253.99</v>
      </c>
      <c r="B358" s="67">
        <v>255.27</v>
      </c>
      <c r="C358" s="67">
        <v>246.24</v>
      </c>
      <c r="D358" s="67">
        <v>253.2</v>
      </c>
      <c r="E358" s="67">
        <v>596750</v>
      </c>
      <c r="F358" s="67" t="s">
        <v>378</v>
      </c>
      <c r="G358" s="25">
        <f t="shared" si="2"/>
        <v>3.1200631911532106E-3</v>
      </c>
    </row>
    <row r="359" spans="1:7">
      <c r="A359" s="67">
        <v>251.47</v>
      </c>
      <c r="B359" s="67">
        <v>263.95</v>
      </c>
      <c r="C359" s="67">
        <v>245.755</v>
      </c>
      <c r="D359" s="67">
        <v>263.95</v>
      </c>
      <c r="E359" s="67">
        <v>921325</v>
      </c>
      <c r="F359" s="67" t="s">
        <v>379</v>
      </c>
      <c r="G359" s="25">
        <f t="shared" si="2"/>
        <v>-4.728168213676831E-2</v>
      </c>
    </row>
    <row r="360" spans="1:7">
      <c r="A360" s="67">
        <v>264.72000000000003</v>
      </c>
      <c r="B360" s="67">
        <v>266.07</v>
      </c>
      <c r="C360" s="67">
        <v>241.54</v>
      </c>
      <c r="D360" s="67">
        <v>243.88</v>
      </c>
      <c r="E360" s="67">
        <v>1527705</v>
      </c>
      <c r="F360" s="67" t="s">
        <v>380</v>
      </c>
      <c r="G360" s="25">
        <f t="shared" si="2"/>
        <v>8.545186157126472E-2</v>
      </c>
    </row>
    <row r="361" spans="1:7">
      <c r="A361" s="67">
        <v>247.04</v>
      </c>
      <c r="B361" s="67">
        <v>265.71499999999997</v>
      </c>
      <c r="C361" s="67">
        <v>244.87</v>
      </c>
      <c r="D361" s="67">
        <v>263.82</v>
      </c>
      <c r="E361" s="67">
        <v>1050862</v>
      </c>
      <c r="F361" s="67" t="s">
        <v>381</v>
      </c>
      <c r="G361" s="25">
        <f t="shared" si="2"/>
        <v>-6.3603972405427922E-2</v>
      </c>
    </row>
    <row r="362" spans="1:7">
      <c r="A362" s="67">
        <v>256.23</v>
      </c>
      <c r="B362" s="67">
        <v>261.25</v>
      </c>
      <c r="C362" s="67">
        <v>236.7</v>
      </c>
      <c r="D362" s="67">
        <v>240</v>
      </c>
      <c r="E362" s="67">
        <v>1313062</v>
      </c>
      <c r="F362" s="67" t="s">
        <v>382</v>
      </c>
      <c r="G362" s="25">
        <f t="shared" si="2"/>
        <v>6.7625000000000046E-2</v>
      </c>
    </row>
    <row r="363" spans="1:7">
      <c r="A363" s="67">
        <v>245.26</v>
      </c>
      <c r="B363" s="67">
        <v>250.62</v>
      </c>
      <c r="C363" s="67">
        <v>236.77</v>
      </c>
      <c r="D363" s="67">
        <v>250.62</v>
      </c>
      <c r="E363" s="67">
        <v>1337198</v>
      </c>
      <c r="F363" s="67" t="s">
        <v>383</v>
      </c>
      <c r="G363" s="25">
        <f t="shared" si="2"/>
        <v>-2.1386960338360961E-2</v>
      </c>
    </row>
    <row r="364" spans="1:7">
      <c r="A364" s="67">
        <v>256.8</v>
      </c>
      <c r="B364" s="67">
        <v>258.3</v>
      </c>
      <c r="C364" s="67">
        <v>248.73</v>
      </c>
      <c r="D364" s="67">
        <v>255.39</v>
      </c>
      <c r="E364" s="67">
        <v>1099492</v>
      </c>
      <c r="F364" s="67" t="s">
        <v>384</v>
      </c>
      <c r="G364" s="25">
        <f t="shared" si="2"/>
        <v>5.5209679313992233E-3</v>
      </c>
    </row>
    <row r="365" spans="1:7">
      <c r="A365" s="67">
        <v>269.13</v>
      </c>
      <c r="B365" s="67">
        <v>270.33</v>
      </c>
      <c r="C365" s="67">
        <v>258.10000000000002</v>
      </c>
      <c r="D365" s="67">
        <v>260.64</v>
      </c>
      <c r="E365" s="67">
        <v>899824</v>
      </c>
      <c r="F365" s="67" t="s">
        <v>385</v>
      </c>
      <c r="G365" s="25">
        <f t="shared" si="2"/>
        <v>3.2573664825046089E-2</v>
      </c>
    </row>
    <row r="366" spans="1:7">
      <c r="A366" s="67">
        <v>263.18</v>
      </c>
      <c r="B366" s="67">
        <v>264.62</v>
      </c>
      <c r="C366" s="67">
        <v>257.62</v>
      </c>
      <c r="D366" s="67">
        <v>260.92</v>
      </c>
      <c r="E366" s="67">
        <v>564503</v>
      </c>
      <c r="F366" s="67" t="s">
        <v>386</v>
      </c>
      <c r="G366" s="25">
        <f t="shared" si="2"/>
        <v>8.6616587459757977E-3</v>
      </c>
    </row>
    <row r="367" spans="1:7">
      <c r="A367" s="67">
        <v>262.61</v>
      </c>
      <c r="B367" s="67">
        <v>263.63</v>
      </c>
      <c r="C367" s="67">
        <v>255.745</v>
      </c>
      <c r="D367" s="67">
        <v>256.68</v>
      </c>
      <c r="E367" s="67">
        <v>744779</v>
      </c>
      <c r="F367" s="67" t="s">
        <v>387</v>
      </c>
      <c r="G367" s="25">
        <f t="shared" si="2"/>
        <v>2.3102695963846065E-2</v>
      </c>
    </row>
    <row r="368" spans="1:7">
      <c r="A368" s="67">
        <v>258.75</v>
      </c>
      <c r="B368" s="67">
        <v>261.60000000000002</v>
      </c>
      <c r="C368" s="67">
        <v>255.76</v>
      </c>
      <c r="D368" s="67">
        <v>259.87</v>
      </c>
      <c r="E368" s="67">
        <v>536843</v>
      </c>
      <c r="F368" s="67" t="s">
        <v>388</v>
      </c>
      <c r="G368" s="25">
        <f t="shared" si="2"/>
        <v>-4.3098472313080061E-3</v>
      </c>
    </row>
    <row r="369" spans="1:7">
      <c r="A369" s="67">
        <v>260.27</v>
      </c>
      <c r="B369" s="67">
        <v>267.91000000000003</v>
      </c>
      <c r="C369" s="67">
        <v>260.04000000000002</v>
      </c>
      <c r="D369" s="67">
        <v>263.98</v>
      </c>
      <c r="E369" s="67">
        <v>636819</v>
      </c>
      <c r="F369" s="67" t="s">
        <v>389</v>
      </c>
      <c r="G369" s="25">
        <f t="shared" si="2"/>
        <v>-1.4054095007197676E-2</v>
      </c>
    </row>
    <row r="370" spans="1:7">
      <c r="A370" s="67">
        <v>264.88</v>
      </c>
      <c r="B370" s="67">
        <v>275.42</v>
      </c>
      <c r="C370" s="67">
        <v>261.495</v>
      </c>
      <c r="D370" s="67">
        <v>272.47000000000003</v>
      </c>
      <c r="E370" s="67">
        <v>948787</v>
      </c>
      <c r="F370" s="67" t="s">
        <v>390</v>
      </c>
      <c r="G370" s="25">
        <f t="shared" si="2"/>
        <v>-2.7856277755349379E-2</v>
      </c>
    </row>
    <row r="371" spans="1:7">
      <c r="A371" s="67">
        <v>272.70999999999998</v>
      </c>
      <c r="B371" s="67">
        <v>276.125</v>
      </c>
      <c r="C371" s="67">
        <v>268.83</v>
      </c>
      <c r="D371" s="67">
        <v>274.62</v>
      </c>
      <c r="E371" s="67">
        <v>958553</v>
      </c>
      <c r="F371" s="67" t="s">
        <v>391</v>
      </c>
      <c r="G371" s="25">
        <f t="shared" si="2"/>
        <v>-6.9550651809774378E-3</v>
      </c>
    </row>
    <row r="372" spans="1:7">
      <c r="A372" s="67">
        <v>274.04000000000002</v>
      </c>
      <c r="B372" s="67">
        <v>274.85000000000002</v>
      </c>
      <c r="C372" s="67">
        <v>270.42</v>
      </c>
      <c r="D372" s="67">
        <v>272.38</v>
      </c>
      <c r="E372" s="67">
        <v>697064</v>
      </c>
      <c r="F372" s="67" t="s">
        <v>392</v>
      </c>
      <c r="G372" s="25">
        <f t="shared" si="2"/>
        <v>6.0944269035907439E-3</v>
      </c>
    </row>
    <row r="373" spans="1:7">
      <c r="A373" s="67">
        <v>268.32</v>
      </c>
      <c r="B373" s="67">
        <v>268.97000000000003</v>
      </c>
      <c r="C373" s="67">
        <v>258.25</v>
      </c>
      <c r="D373" s="67">
        <v>263.47000000000003</v>
      </c>
      <c r="E373" s="67">
        <v>1299507</v>
      </c>
      <c r="F373" s="67" t="s">
        <v>393</v>
      </c>
      <c r="G373" s="25">
        <f t="shared" si="2"/>
        <v>1.8408167912855156E-2</v>
      </c>
    </row>
    <row r="374" spans="1:7">
      <c r="A374" s="67">
        <v>265.39</v>
      </c>
      <c r="B374" s="67">
        <v>269.69</v>
      </c>
      <c r="C374" s="67">
        <v>263.80630000000002</v>
      </c>
      <c r="D374" s="67">
        <v>264.5</v>
      </c>
      <c r="E374" s="67">
        <v>811718</v>
      </c>
      <c r="F374" s="67" t="s">
        <v>394</v>
      </c>
      <c r="G374" s="25">
        <f t="shared" si="2"/>
        <v>3.364839319470736E-3</v>
      </c>
    </row>
    <row r="375" spans="1:7">
      <c r="A375" s="67">
        <v>265.82</v>
      </c>
      <c r="B375" s="67">
        <v>266.89</v>
      </c>
      <c r="C375" s="67">
        <v>260.01</v>
      </c>
      <c r="D375" s="67">
        <v>261.43</v>
      </c>
      <c r="E375" s="67">
        <v>588392</v>
      </c>
      <c r="F375" s="67" t="s">
        <v>395</v>
      </c>
      <c r="G375" s="25">
        <f t="shared" si="2"/>
        <v>1.6792257965803303E-2</v>
      </c>
    </row>
    <row r="376" spans="1:7">
      <c r="A376" s="67">
        <v>260.47000000000003</v>
      </c>
      <c r="B376" s="67">
        <v>264.83</v>
      </c>
      <c r="C376" s="67">
        <v>255.64</v>
      </c>
      <c r="D376" s="67">
        <v>261.25</v>
      </c>
      <c r="E376" s="67">
        <v>738677</v>
      </c>
      <c r="F376" s="67" t="s">
        <v>396</v>
      </c>
      <c r="G376" s="25">
        <f t="shared" ref="G376:G439" si="3">A376/D376-1</f>
        <v>-2.9856459330142027E-3</v>
      </c>
    </row>
    <row r="377" spans="1:7">
      <c r="A377" s="67">
        <v>261.63</v>
      </c>
      <c r="B377" s="67">
        <v>262.48</v>
      </c>
      <c r="C377" s="67">
        <v>252.4725</v>
      </c>
      <c r="D377" s="67">
        <v>254.7</v>
      </c>
      <c r="E377" s="67">
        <v>780293</v>
      </c>
      <c r="F377" s="67" t="s">
        <v>397</v>
      </c>
      <c r="G377" s="25">
        <f t="shared" si="3"/>
        <v>2.7208480565370952E-2</v>
      </c>
    </row>
    <row r="378" spans="1:7">
      <c r="A378" s="67">
        <v>255.44</v>
      </c>
      <c r="B378" s="67">
        <v>257.25</v>
      </c>
      <c r="C378" s="67">
        <v>246.5</v>
      </c>
      <c r="D378" s="67">
        <v>247.66</v>
      </c>
      <c r="E378" s="67">
        <v>913459</v>
      </c>
      <c r="F378" s="67" t="s">
        <v>398</v>
      </c>
      <c r="G378" s="25">
        <f t="shared" si="3"/>
        <v>3.1414035371073235E-2</v>
      </c>
    </row>
    <row r="379" spans="1:7">
      <c r="A379" s="67">
        <v>244.67</v>
      </c>
      <c r="B379" s="67">
        <v>247.58</v>
      </c>
      <c r="C379" s="67">
        <v>239.88</v>
      </c>
      <c r="D379" s="67">
        <v>247.58</v>
      </c>
      <c r="E379" s="67">
        <v>840586</v>
      </c>
      <c r="F379" s="67" t="s">
        <v>399</v>
      </c>
      <c r="G379" s="25">
        <f t="shared" si="3"/>
        <v>-1.1753776557072548E-2</v>
      </c>
    </row>
    <row r="380" spans="1:7">
      <c r="A380" s="67">
        <v>248.38</v>
      </c>
      <c r="B380" s="67">
        <v>255.63</v>
      </c>
      <c r="C380" s="67">
        <v>247.19</v>
      </c>
      <c r="D380" s="67">
        <v>250.27</v>
      </c>
      <c r="E380" s="67">
        <v>1237586</v>
      </c>
      <c r="F380" s="67" t="s">
        <v>400</v>
      </c>
      <c r="G380" s="25">
        <f t="shared" si="3"/>
        <v>-7.5518440084708649E-3</v>
      </c>
    </row>
    <row r="381" spans="1:7">
      <c r="A381" s="67">
        <v>245.35</v>
      </c>
      <c r="B381" s="67">
        <v>248.49</v>
      </c>
      <c r="C381" s="67">
        <v>237.05</v>
      </c>
      <c r="D381" s="67">
        <v>238.02</v>
      </c>
      <c r="E381" s="67">
        <v>1085521</v>
      </c>
      <c r="F381" s="67" t="s">
        <v>401</v>
      </c>
      <c r="G381" s="25">
        <f t="shared" si="3"/>
        <v>3.0795731451138453E-2</v>
      </c>
    </row>
    <row r="382" spans="1:7">
      <c r="A382" s="67">
        <v>237.06</v>
      </c>
      <c r="B382" s="67">
        <v>249.62</v>
      </c>
      <c r="C382" s="67">
        <v>230.05</v>
      </c>
      <c r="D382" s="67">
        <v>249.62</v>
      </c>
      <c r="E382" s="67">
        <v>1596557</v>
      </c>
      <c r="F382" s="67" t="s">
        <v>402</v>
      </c>
      <c r="G382" s="25">
        <f t="shared" si="3"/>
        <v>-5.0316481051197792E-2</v>
      </c>
    </row>
    <row r="383" spans="1:7">
      <c r="A383" s="67">
        <v>251.81</v>
      </c>
      <c r="B383" s="67">
        <v>260.91000000000003</v>
      </c>
      <c r="C383" s="67">
        <v>246.59</v>
      </c>
      <c r="D383" s="67">
        <v>259.48</v>
      </c>
      <c r="E383" s="67">
        <v>1238243</v>
      </c>
      <c r="F383" s="67" t="s">
        <v>403</v>
      </c>
      <c r="G383" s="25">
        <f t="shared" si="3"/>
        <v>-2.9559118236473059E-2</v>
      </c>
    </row>
    <row r="384" spans="1:7">
      <c r="A384" s="67">
        <v>259.67</v>
      </c>
      <c r="B384" s="67">
        <v>269.58</v>
      </c>
      <c r="C384" s="67">
        <v>259.02809999999999</v>
      </c>
      <c r="D384" s="67">
        <v>269.58</v>
      </c>
      <c r="E384" s="67">
        <v>835323</v>
      </c>
      <c r="F384" s="67" t="s">
        <v>404</v>
      </c>
      <c r="G384" s="25">
        <f t="shared" si="3"/>
        <v>-3.6760887306179879E-2</v>
      </c>
    </row>
    <row r="385" spans="1:7">
      <c r="A385" s="67">
        <v>270.81</v>
      </c>
      <c r="B385" s="67">
        <v>271.875</v>
      </c>
      <c r="C385" s="67">
        <v>267.36</v>
      </c>
      <c r="D385" s="67">
        <v>269.37</v>
      </c>
      <c r="E385" s="67">
        <v>483219</v>
      </c>
      <c r="F385" s="67" t="s">
        <v>405</v>
      </c>
      <c r="G385" s="25">
        <f t="shared" si="3"/>
        <v>5.345806882726345E-3</v>
      </c>
    </row>
    <row r="386" spans="1:7">
      <c r="A386" s="67">
        <v>269.7</v>
      </c>
      <c r="B386" s="67">
        <v>273.22000000000003</v>
      </c>
      <c r="C386" s="67">
        <v>261.25</v>
      </c>
      <c r="D386" s="67">
        <v>272.12</v>
      </c>
      <c r="E386" s="67">
        <v>869742</v>
      </c>
      <c r="F386" s="67" t="s">
        <v>406</v>
      </c>
      <c r="G386" s="25">
        <f t="shared" si="3"/>
        <v>-8.8931353814494241E-3</v>
      </c>
    </row>
    <row r="387" spans="1:7">
      <c r="A387" s="67">
        <v>272.64</v>
      </c>
      <c r="B387" s="67">
        <v>279.64</v>
      </c>
      <c r="C387" s="67">
        <v>270.72000000000003</v>
      </c>
      <c r="D387" s="67">
        <v>272.87</v>
      </c>
      <c r="E387" s="67">
        <v>873112</v>
      </c>
      <c r="F387" s="67" t="s">
        <v>407</v>
      </c>
      <c r="G387" s="25">
        <f t="shared" si="3"/>
        <v>-8.4289221973843365E-4</v>
      </c>
    </row>
    <row r="388" spans="1:7">
      <c r="A388" s="67">
        <v>272.27</v>
      </c>
      <c r="B388" s="67">
        <v>272.73</v>
      </c>
      <c r="C388" s="67">
        <v>262.95</v>
      </c>
      <c r="D388" s="67">
        <v>267.89</v>
      </c>
      <c r="E388" s="67">
        <v>988780</v>
      </c>
      <c r="F388" s="67" t="s">
        <v>408</v>
      </c>
      <c r="G388" s="25">
        <f t="shared" si="3"/>
        <v>1.6349994400686851E-2</v>
      </c>
    </row>
    <row r="389" spans="1:7">
      <c r="A389" s="67">
        <v>267.08999999999997</v>
      </c>
      <c r="B389" s="67">
        <v>270.8</v>
      </c>
      <c r="C389" s="67">
        <v>263.33999999999997</v>
      </c>
      <c r="D389" s="67">
        <v>269.51</v>
      </c>
      <c r="E389" s="67">
        <v>921238</v>
      </c>
      <c r="F389" s="67" t="s">
        <v>409</v>
      </c>
      <c r="G389" s="25">
        <f t="shared" si="3"/>
        <v>-8.9792586545954789E-3</v>
      </c>
    </row>
    <row r="390" spans="1:7">
      <c r="A390" s="67">
        <v>270.64</v>
      </c>
      <c r="B390" s="67">
        <v>272.43</v>
      </c>
      <c r="C390" s="67">
        <v>265.35500000000002</v>
      </c>
      <c r="D390" s="67">
        <v>266.11</v>
      </c>
      <c r="E390" s="67">
        <v>733381</v>
      </c>
      <c r="F390" s="67" t="s">
        <v>410</v>
      </c>
      <c r="G390" s="25">
        <f t="shared" si="3"/>
        <v>1.7023035586787305E-2</v>
      </c>
    </row>
    <row r="391" spans="1:7">
      <c r="A391" s="67">
        <v>266.68</v>
      </c>
      <c r="B391" s="67">
        <v>283.33499999999998</v>
      </c>
      <c r="C391" s="67">
        <v>260.42</v>
      </c>
      <c r="D391" s="67">
        <v>282.57</v>
      </c>
      <c r="E391" s="67">
        <v>1844908</v>
      </c>
      <c r="F391" s="67" t="s">
        <v>411</v>
      </c>
      <c r="G391" s="25">
        <f t="shared" si="3"/>
        <v>-5.6233853558410263E-2</v>
      </c>
    </row>
    <row r="392" spans="1:7">
      <c r="A392" s="67">
        <v>283.48</v>
      </c>
      <c r="B392" s="67">
        <v>287.69499999999999</v>
      </c>
      <c r="C392" s="67">
        <v>281.89999999999998</v>
      </c>
      <c r="D392" s="67">
        <v>283.69</v>
      </c>
      <c r="E392" s="67">
        <v>865042</v>
      </c>
      <c r="F392" s="67" t="s">
        <v>412</v>
      </c>
      <c r="G392" s="25">
        <f t="shared" si="3"/>
        <v>-7.4024463322630574E-4</v>
      </c>
    </row>
    <row r="393" spans="1:7">
      <c r="A393" s="67">
        <v>282.8</v>
      </c>
      <c r="B393" s="67">
        <v>286.66000000000003</v>
      </c>
      <c r="C393" s="67">
        <v>274.86500000000001</v>
      </c>
      <c r="D393" s="67">
        <v>276.35000000000002</v>
      </c>
      <c r="E393" s="67">
        <v>1410497</v>
      </c>
      <c r="F393" s="67" t="s">
        <v>413</v>
      </c>
      <c r="G393" s="25">
        <f t="shared" si="3"/>
        <v>2.3339967432603581E-2</v>
      </c>
    </row>
    <row r="394" spans="1:7">
      <c r="A394" s="67">
        <v>288.29000000000002</v>
      </c>
      <c r="B394" s="67">
        <v>288.93</v>
      </c>
      <c r="C394" s="67">
        <v>281.61</v>
      </c>
      <c r="D394" s="67">
        <v>281.61</v>
      </c>
      <c r="E394" s="67">
        <v>851472</v>
      </c>
      <c r="F394" s="67" t="s">
        <v>414</v>
      </c>
      <c r="G394" s="25">
        <f t="shared" si="3"/>
        <v>2.3720748552963355E-2</v>
      </c>
    </row>
    <row r="395" spans="1:7">
      <c r="A395" s="67">
        <v>283.68</v>
      </c>
      <c r="B395" s="67">
        <v>288.95</v>
      </c>
      <c r="C395" s="67">
        <v>279.95</v>
      </c>
      <c r="D395" s="67">
        <v>280.89</v>
      </c>
      <c r="E395" s="67">
        <v>742201</v>
      </c>
      <c r="F395" s="67" t="s">
        <v>415</v>
      </c>
      <c r="G395" s="25">
        <f t="shared" si="3"/>
        <v>9.9327138737583809E-3</v>
      </c>
    </row>
    <row r="396" spans="1:7">
      <c r="A396" s="67">
        <v>280.70999999999998</v>
      </c>
      <c r="B396" s="67">
        <v>284.39999999999998</v>
      </c>
      <c r="C396" s="67">
        <v>270</v>
      </c>
      <c r="D396" s="67">
        <v>280.2</v>
      </c>
      <c r="E396" s="67">
        <v>662396</v>
      </c>
      <c r="F396" s="67" t="s">
        <v>416</v>
      </c>
      <c r="G396" s="25">
        <f t="shared" si="3"/>
        <v>1.8201284796572903E-3</v>
      </c>
    </row>
    <row r="397" spans="1:7">
      <c r="A397" s="67">
        <v>280.56</v>
      </c>
      <c r="B397" s="67">
        <v>283.99</v>
      </c>
      <c r="C397" s="67">
        <v>279.29500000000002</v>
      </c>
      <c r="D397" s="67">
        <v>281.68</v>
      </c>
      <c r="E397" s="67">
        <v>474734</v>
      </c>
      <c r="F397" s="67" t="s">
        <v>417</v>
      </c>
      <c r="G397" s="25">
        <f t="shared" si="3"/>
        <v>-3.9761431411531323E-3</v>
      </c>
    </row>
    <row r="398" spans="1:7">
      <c r="A398" s="67">
        <v>282.12</v>
      </c>
      <c r="B398" s="67">
        <v>282.98</v>
      </c>
      <c r="C398" s="67">
        <v>278.3</v>
      </c>
      <c r="D398" s="67">
        <v>281.32</v>
      </c>
      <c r="E398" s="67">
        <v>635914</v>
      </c>
      <c r="F398" s="67" t="s">
        <v>418</v>
      </c>
      <c r="G398" s="25">
        <f t="shared" si="3"/>
        <v>2.8437366699844979E-3</v>
      </c>
    </row>
    <row r="399" spans="1:7">
      <c r="A399" s="67">
        <v>279.55</v>
      </c>
      <c r="B399" s="67">
        <v>282.92309999999998</v>
      </c>
      <c r="C399" s="67">
        <v>278.94</v>
      </c>
      <c r="D399" s="67">
        <v>280.22000000000003</v>
      </c>
      <c r="E399" s="67">
        <v>671204</v>
      </c>
      <c r="F399" s="67" t="s">
        <v>419</v>
      </c>
      <c r="G399" s="25">
        <f t="shared" si="3"/>
        <v>-2.3909785168796382E-3</v>
      </c>
    </row>
    <row r="400" spans="1:7">
      <c r="A400" s="67">
        <v>284.26</v>
      </c>
      <c r="B400" s="67">
        <v>286.99990000000003</v>
      </c>
      <c r="C400" s="67">
        <v>283.11</v>
      </c>
      <c r="D400" s="67">
        <v>284.16000000000003</v>
      </c>
      <c r="E400" s="67">
        <v>417011</v>
      </c>
      <c r="F400" s="67" t="s">
        <v>420</v>
      </c>
      <c r="G400" s="25">
        <f t="shared" si="3"/>
        <v>3.5191441441440041E-4</v>
      </c>
    </row>
    <row r="401" spans="1:7">
      <c r="A401" s="67">
        <v>285.33999999999997</v>
      </c>
      <c r="B401" s="67">
        <v>286.58999999999997</v>
      </c>
      <c r="C401" s="67">
        <v>280.60000000000002</v>
      </c>
      <c r="D401" s="67">
        <v>284.36</v>
      </c>
      <c r="E401" s="67">
        <v>411668</v>
      </c>
      <c r="F401" s="67" t="s">
        <v>421</v>
      </c>
      <c r="G401" s="25">
        <f t="shared" si="3"/>
        <v>3.4463356308902515E-3</v>
      </c>
    </row>
    <row r="402" spans="1:7">
      <c r="A402" s="67">
        <v>283.08</v>
      </c>
      <c r="B402" s="67">
        <v>289.45999999999998</v>
      </c>
      <c r="C402" s="67">
        <v>282.81</v>
      </c>
      <c r="D402" s="67">
        <v>287.67</v>
      </c>
      <c r="E402" s="67">
        <v>399701</v>
      </c>
      <c r="F402" s="67" t="s">
        <v>422</v>
      </c>
      <c r="G402" s="25">
        <f t="shared" si="3"/>
        <v>-1.5955782667640084E-2</v>
      </c>
    </row>
    <row r="403" spans="1:7">
      <c r="A403" s="67">
        <v>287.67</v>
      </c>
      <c r="B403" s="67">
        <v>288.05</v>
      </c>
      <c r="C403" s="67">
        <v>282.23</v>
      </c>
      <c r="D403" s="67">
        <v>284.77999999999997</v>
      </c>
      <c r="E403" s="67">
        <v>501114</v>
      </c>
      <c r="F403" s="67" t="s">
        <v>423</v>
      </c>
      <c r="G403" s="25">
        <f t="shared" si="3"/>
        <v>1.0148184563522955E-2</v>
      </c>
    </row>
    <row r="404" spans="1:7">
      <c r="A404" s="67">
        <v>284.7</v>
      </c>
      <c r="B404" s="67">
        <v>287</v>
      </c>
      <c r="C404" s="67">
        <v>279.57499999999999</v>
      </c>
      <c r="D404" s="67">
        <v>279.67</v>
      </c>
      <c r="E404" s="67">
        <v>509904</v>
      </c>
      <c r="F404" s="67" t="s">
        <v>424</v>
      </c>
      <c r="G404" s="25">
        <f t="shared" si="3"/>
        <v>1.7985482890549465E-2</v>
      </c>
    </row>
    <row r="405" spans="1:7">
      <c r="A405" s="67">
        <v>278.48</v>
      </c>
      <c r="B405" s="67">
        <v>280.40499999999997</v>
      </c>
      <c r="C405" s="67">
        <v>277.56</v>
      </c>
      <c r="D405" s="67">
        <v>279.27</v>
      </c>
      <c r="E405" s="67">
        <v>344550</v>
      </c>
      <c r="F405" s="67" t="s">
        <v>425</v>
      </c>
      <c r="G405" s="25">
        <f t="shared" si="3"/>
        <v>-2.8288036667023508E-3</v>
      </c>
    </row>
    <row r="406" spans="1:7">
      <c r="A406" s="67">
        <v>278.89999999999998</v>
      </c>
      <c r="B406" s="67">
        <v>281.35000000000002</v>
      </c>
      <c r="C406" s="67">
        <v>274.18</v>
      </c>
      <c r="D406" s="67">
        <v>276.17</v>
      </c>
      <c r="E406" s="67">
        <v>389561</v>
      </c>
      <c r="F406" s="67" t="s">
        <v>426</v>
      </c>
      <c r="G406" s="25">
        <f t="shared" si="3"/>
        <v>9.8852156280551107E-3</v>
      </c>
    </row>
    <row r="407" spans="1:7">
      <c r="A407" s="67">
        <v>278.38</v>
      </c>
      <c r="B407" s="67">
        <v>284.62</v>
      </c>
      <c r="C407" s="67">
        <v>277.39999999999998</v>
      </c>
      <c r="D407" s="67">
        <v>277.39999999999998</v>
      </c>
      <c r="E407" s="67">
        <v>514530</v>
      </c>
      <c r="F407" s="67" t="s">
        <v>427</v>
      </c>
      <c r="G407" s="25">
        <f t="shared" si="3"/>
        <v>3.5328046142755198E-3</v>
      </c>
    </row>
    <row r="408" spans="1:7">
      <c r="A408" s="67">
        <v>280.02999999999997</v>
      </c>
      <c r="B408" s="67">
        <v>286.39</v>
      </c>
      <c r="C408" s="67">
        <v>277.37</v>
      </c>
      <c r="D408" s="67">
        <v>278.14</v>
      </c>
      <c r="E408" s="67">
        <v>434829</v>
      </c>
      <c r="F408" s="67" t="s">
        <v>428</v>
      </c>
      <c r="G408" s="25">
        <f t="shared" si="3"/>
        <v>6.795139138563222E-3</v>
      </c>
    </row>
    <row r="409" spans="1:7">
      <c r="A409" s="67">
        <v>277.11</v>
      </c>
      <c r="B409" s="67">
        <v>277.92</v>
      </c>
      <c r="C409" s="67">
        <v>273.82</v>
      </c>
      <c r="D409" s="67">
        <v>276.88</v>
      </c>
      <c r="E409" s="67">
        <v>778437</v>
      </c>
      <c r="F409" s="67" t="s">
        <v>429</v>
      </c>
      <c r="G409" s="25">
        <f t="shared" si="3"/>
        <v>8.3068477318692935E-4</v>
      </c>
    </row>
    <row r="410" spans="1:7">
      <c r="A410" s="67">
        <v>275.97000000000003</v>
      </c>
      <c r="B410" s="67">
        <v>282.87</v>
      </c>
      <c r="C410" s="67">
        <v>273.67</v>
      </c>
      <c r="D410" s="67">
        <v>275.85000000000002</v>
      </c>
      <c r="E410" s="67">
        <v>764093</v>
      </c>
      <c r="F410" s="67" t="s">
        <v>430</v>
      </c>
      <c r="G410" s="25">
        <f t="shared" si="3"/>
        <v>4.3501903208276183E-4</v>
      </c>
    </row>
    <row r="411" spans="1:7">
      <c r="A411" s="67">
        <v>275.89499999999998</v>
      </c>
      <c r="B411" s="67">
        <v>282.87</v>
      </c>
      <c r="C411" s="67">
        <v>273.83499999999998</v>
      </c>
      <c r="D411" s="67">
        <v>280.41000000000003</v>
      </c>
      <c r="E411" s="67">
        <v>489390</v>
      </c>
      <c r="F411" s="67" t="s">
        <v>431</v>
      </c>
      <c r="G411" s="25">
        <f t="shared" si="3"/>
        <v>-1.6101422916443897E-2</v>
      </c>
    </row>
    <row r="412" spans="1:7">
      <c r="A412" s="67">
        <v>280.35000000000002</v>
      </c>
      <c r="B412" s="67">
        <v>280.73</v>
      </c>
      <c r="C412" s="67">
        <v>275.16500000000002</v>
      </c>
      <c r="D412" s="67">
        <v>275.27999999999997</v>
      </c>
      <c r="E412" s="67">
        <v>561665</v>
      </c>
      <c r="F412" s="67" t="s">
        <v>432</v>
      </c>
      <c r="G412" s="25">
        <f t="shared" si="3"/>
        <v>1.8417611159546876E-2</v>
      </c>
    </row>
    <row r="413" spans="1:7">
      <c r="A413" s="67">
        <v>277.2</v>
      </c>
      <c r="B413" s="67">
        <v>279.97000000000003</v>
      </c>
      <c r="C413" s="67">
        <v>272</v>
      </c>
      <c r="D413" s="67">
        <v>279.23</v>
      </c>
      <c r="E413" s="67">
        <v>576132</v>
      </c>
      <c r="F413" s="67" t="s">
        <v>433</v>
      </c>
      <c r="G413" s="25">
        <f t="shared" si="3"/>
        <v>-7.2699924793182547E-3</v>
      </c>
    </row>
    <row r="414" spans="1:7">
      <c r="A414" s="67">
        <v>278.89</v>
      </c>
      <c r="B414" s="67">
        <v>279.67599999999999</v>
      </c>
      <c r="C414" s="67">
        <v>274.36</v>
      </c>
      <c r="D414" s="67">
        <v>275.12</v>
      </c>
      <c r="E414" s="67">
        <v>562204</v>
      </c>
      <c r="F414" s="67" t="s">
        <v>434</v>
      </c>
      <c r="G414" s="25">
        <f t="shared" si="3"/>
        <v>1.370311136958402E-2</v>
      </c>
    </row>
    <row r="415" spans="1:7">
      <c r="A415" s="67">
        <v>276.08</v>
      </c>
      <c r="B415" s="67">
        <v>282.86</v>
      </c>
      <c r="C415" s="67">
        <v>275.87</v>
      </c>
      <c r="D415" s="67">
        <v>279.02</v>
      </c>
      <c r="E415" s="67">
        <v>633828</v>
      </c>
      <c r="F415" s="67" t="s">
        <v>435</v>
      </c>
      <c r="G415" s="25">
        <f t="shared" si="3"/>
        <v>-1.0536879076768702E-2</v>
      </c>
    </row>
    <row r="416" spans="1:7">
      <c r="A416" s="67">
        <v>275.81</v>
      </c>
      <c r="B416" s="67">
        <v>278.52999999999997</v>
      </c>
      <c r="C416" s="67">
        <v>273</v>
      </c>
      <c r="D416" s="67">
        <v>275.68</v>
      </c>
      <c r="E416" s="67">
        <v>554112</v>
      </c>
      <c r="F416" s="67" t="s">
        <v>436</v>
      </c>
      <c r="G416" s="25">
        <f t="shared" si="3"/>
        <v>4.7156123041203202E-4</v>
      </c>
    </row>
    <row r="417" spans="1:7">
      <c r="A417" s="67">
        <v>272.86</v>
      </c>
      <c r="B417" s="67">
        <v>275.33</v>
      </c>
      <c r="C417" s="67">
        <v>263.28399999999999</v>
      </c>
      <c r="D417" s="67">
        <v>264.22000000000003</v>
      </c>
      <c r="E417" s="67">
        <v>694323</v>
      </c>
      <c r="F417" s="67" t="s">
        <v>437</v>
      </c>
      <c r="G417" s="25">
        <f t="shared" si="3"/>
        <v>3.2700022708349152E-2</v>
      </c>
    </row>
    <row r="418" spans="1:7">
      <c r="A418" s="67">
        <v>264.38</v>
      </c>
      <c r="B418" s="67">
        <v>270.77499999999998</v>
      </c>
      <c r="C418" s="67">
        <v>263.13</v>
      </c>
      <c r="D418" s="67">
        <v>270.11</v>
      </c>
      <c r="E418" s="67">
        <v>654078</v>
      </c>
      <c r="F418" s="67" t="s">
        <v>438</v>
      </c>
      <c r="G418" s="25">
        <f t="shared" si="3"/>
        <v>-2.1213579652734182E-2</v>
      </c>
    </row>
    <row r="419" spans="1:7">
      <c r="A419" s="67">
        <v>267.04000000000002</v>
      </c>
      <c r="B419" s="67">
        <v>271.13</v>
      </c>
      <c r="C419" s="67">
        <v>262.49</v>
      </c>
      <c r="D419" s="67">
        <v>268.89999999999998</v>
      </c>
      <c r="E419" s="67">
        <v>472937</v>
      </c>
      <c r="F419" s="67" t="s">
        <v>439</v>
      </c>
      <c r="G419" s="25">
        <f t="shared" si="3"/>
        <v>-6.917069542580756E-3</v>
      </c>
    </row>
    <row r="420" spans="1:7">
      <c r="A420" s="67">
        <v>267.99</v>
      </c>
      <c r="B420" s="67">
        <v>271.32</v>
      </c>
      <c r="C420" s="67">
        <v>260.83999999999997</v>
      </c>
      <c r="D420" s="67">
        <v>271.32</v>
      </c>
      <c r="E420" s="67">
        <v>453436</v>
      </c>
      <c r="F420" s="67" t="s">
        <v>440</v>
      </c>
      <c r="G420" s="25">
        <f t="shared" si="3"/>
        <v>-1.2273330384785397E-2</v>
      </c>
    </row>
    <row r="421" spans="1:7">
      <c r="A421" s="67">
        <v>271.83</v>
      </c>
      <c r="B421" s="67">
        <v>274.45</v>
      </c>
      <c r="C421" s="67">
        <v>266.89</v>
      </c>
      <c r="D421" s="67">
        <v>268.18</v>
      </c>
      <c r="E421" s="67">
        <v>557632</v>
      </c>
      <c r="F421" s="67" t="s">
        <v>441</v>
      </c>
      <c r="G421" s="25">
        <f t="shared" si="3"/>
        <v>1.3610261764486431E-2</v>
      </c>
    </row>
    <row r="422" spans="1:7">
      <c r="A422" s="67">
        <v>270.36</v>
      </c>
      <c r="B422" s="67">
        <v>271.35199999999998</v>
      </c>
      <c r="C422" s="67">
        <v>263</v>
      </c>
      <c r="D422" s="67">
        <v>264.17</v>
      </c>
      <c r="E422" s="67">
        <v>363198</v>
      </c>
      <c r="F422" s="67" t="s">
        <v>442</v>
      </c>
      <c r="G422" s="25">
        <f t="shared" si="3"/>
        <v>2.3431880985728792E-2</v>
      </c>
    </row>
    <row r="423" spans="1:7">
      <c r="A423" s="67">
        <v>265.64999999999998</v>
      </c>
      <c r="B423" s="67">
        <v>269.63</v>
      </c>
      <c r="C423" s="67">
        <v>263.94</v>
      </c>
      <c r="D423" s="67">
        <v>267.83999999999997</v>
      </c>
      <c r="E423" s="67">
        <v>510998</v>
      </c>
      <c r="F423" s="67" t="s">
        <v>443</v>
      </c>
      <c r="G423" s="25">
        <f t="shared" si="3"/>
        <v>-8.1765232974910784E-3</v>
      </c>
    </row>
    <row r="424" spans="1:7">
      <c r="A424" s="67">
        <v>268.41000000000003</v>
      </c>
      <c r="B424" s="67">
        <v>269.94</v>
      </c>
      <c r="C424" s="67">
        <v>265.49</v>
      </c>
      <c r="D424" s="67">
        <v>267.64999999999998</v>
      </c>
      <c r="E424" s="67">
        <v>538688</v>
      </c>
      <c r="F424" s="67" t="s">
        <v>444</v>
      </c>
      <c r="G424" s="25">
        <f t="shared" si="3"/>
        <v>2.8395292359426616E-3</v>
      </c>
    </row>
    <row r="425" spans="1:7">
      <c r="A425" s="67">
        <v>266.3</v>
      </c>
      <c r="B425" s="67">
        <v>267.67</v>
      </c>
      <c r="C425" s="67">
        <v>257.89</v>
      </c>
      <c r="D425" s="67">
        <v>258</v>
      </c>
      <c r="E425" s="67">
        <v>465453</v>
      </c>
      <c r="F425" s="67" t="s">
        <v>445</v>
      </c>
      <c r="G425" s="25">
        <f t="shared" si="3"/>
        <v>3.2170542635658883E-2</v>
      </c>
    </row>
    <row r="426" spans="1:7">
      <c r="A426" s="67">
        <v>256.85000000000002</v>
      </c>
      <c r="B426" s="67">
        <v>263.82990000000001</v>
      </c>
      <c r="C426" s="67">
        <v>255.2</v>
      </c>
      <c r="D426" s="67">
        <v>259.83999999999997</v>
      </c>
      <c r="E426" s="67">
        <v>520912</v>
      </c>
      <c r="F426" s="67" t="s">
        <v>446</v>
      </c>
      <c r="G426" s="25">
        <f t="shared" si="3"/>
        <v>-1.1507081280788034E-2</v>
      </c>
    </row>
    <row r="427" spans="1:7">
      <c r="A427" s="67">
        <v>261.07</v>
      </c>
      <c r="B427" s="67">
        <v>265.46499999999997</v>
      </c>
      <c r="C427" s="67">
        <v>259.40499999999997</v>
      </c>
      <c r="D427" s="67">
        <v>264.75</v>
      </c>
      <c r="E427" s="67">
        <v>327345</v>
      </c>
      <c r="F427" s="67" t="s">
        <v>447</v>
      </c>
      <c r="G427" s="25">
        <f t="shared" si="3"/>
        <v>-1.3899905571293725E-2</v>
      </c>
    </row>
    <row r="428" spans="1:7">
      <c r="A428" s="67">
        <v>263.36</v>
      </c>
      <c r="B428" s="67">
        <v>264.23500000000001</v>
      </c>
      <c r="C428" s="67">
        <v>259.31009999999998</v>
      </c>
      <c r="D428" s="67">
        <v>262.56</v>
      </c>
      <c r="E428" s="67">
        <v>338890</v>
      </c>
      <c r="F428" s="67" t="s">
        <v>448</v>
      </c>
      <c r="G428" s="25">
        <f t="shared" si="3"/>
        <v>3.0469226081657474E-3</v>
      </c>
    </row>
    <row r="429" spans="1:7">
      <c r="A429" s="67">
        <v>265.12</v>
      </c>
      <c r="B429" s="67">
        <v>266.58999999999997</v>
      </c>
      <c r="C429" s="67">
        <v>262.27</v>
      </c>
      <c r="D429" s="67">
        <v>262.61</v>
      </c>
      <c r="E429" s="67">
        <v>312876</v>
      </c>
      <c r="F429" s="67" t="s">
        <v>449</v>
      </c>
      <c r="G429" s="25">
        <f t="shared" si="3"/>
        <v>9.5578995468565964E-3</v>
      </c>
    </row>
    <row r="430" spans="1:7">
      <c r="A430" s="67">
        <v>265.68</v>
      </c>
      <c r="B430" s="67">
        <v>266.42</v>
      </c>
      <c r="C430" s="67">
        <v>261.26</v>
      </c>
      <c r="D430" s="67">
        <v>261.26</v>
      </c>
      <c r="E430" s="67">
        <v>244040</v>
      </c>
      <c r="F430" s="67" t="s">
        <v>450</v>
      </c>
      <c r="G430" s="25">
        <f t="shared" si="3"/>
        <v>1.6918012707647589E-2</v>
      </c>
    </row>
    <row r="431" spans="1:7">
      <c r="A431" s="67">
        <v>263.23</v>
      </c>
      <c r="B431" s="67">
        <v>264.16500000000002</v>
      </c>
      <c r="C431" s="67">
        <v>261.54000000000002</v>
      </c>
      <c r="D431" s="67">
        <v>263.91000000000003</v>
      </c>
      <c r="E431" s="67">
        <v>140073</v>
      </c>
      <c r="F431" s="67" t="s">
        <v>451</v>
      </c>
      <c r="G431" s="25">
        <f t="shared" si="3"/>
        <v>-2.5766359743851774E-3</v>
      </c>
    </row>
    <row r="432" spans="1:7">
      <c r="A432" s="67">
        <v>263.33</v>
      </c>
      <c r="B432" s="67">
        <v>266.44</v>
      </c>
      <c r="C432" s="67">
        <v>258.97000000000003</v>
      </c>
      <c r="D432" s="67">
        <v>264.82</v>
      </c>
      <c r="E432" s="67">
        <v>493759</v>
      </c>
      <c r="F432" s="67" t="s">
        <v>452</v>
      </c>
      <c r="G432" s="25">
        <f t="shared" si="3"/>
        <v>-5.6264632580621532E-3</v>
      </c>
    </row>
    <row r="433" spans="1:7">
      <c r="A433" s="67">
        <v>266.57</v>
      </c>
      <c r="B433" s="67">
        <v>270.7</v>
      </c>
      <c r="C433" s="67">
        <v>256.56</v>
      </c>
      <c r="D433" s="67">
        <v>256.56</v>
      </c>
      <c r="E433" s="67">
        <v>1466069</v>
      </c>
      <c r="F433" s="67" t="s">
        <v>453</v>
      </c>
      <c r="G433" s="25">
        <f t="shared" si="3"/>
        <v>3.9016214530714022E-2</v>
      </c>
    </row>
    <row r="434" spans="1:7">
      <c r="A434" s="67">
        <v>256.56</v>
      </c>
      <c r="B434" s="67">
        <v>259.04000000000002</v>
      </c>
      <c r="C434" s="67">
        <v>254.7869</v>
      </c>
      <c r="D434" s="67">
        <v>256.5</v>
      </c>
      <c r="E434" s="67">
        <v>676988</v>
      </c>
      <c r="F434" s="67" t="s">
        <v>454</v>
      </c>
      <c r="G434" s="25">
        <f t="shared" si="3"/>
        <v>2.339181286550307E-4</v>
      </c>
    </row>
    <row r="435" spans="1:7">
      <c r="A435" s="67">
        <v>256.44</v>
      </c>
      <c r="B435" s="67">
        <v>262.67</v>
      </c>
      <c r="C435" s="67">
        <v>256.33</v>
      </c>
      <c r="D435" s="67">
        <v>261.88</v>
      </c>
      <c r="E435" s="67">
        <v>873327</v>
      </c>
      <c r="F435" s="67" t="s">
        <v>455</v>
      </c>
      <c r="G435" s="25">
        <f t="shared" si="3"/>
        <v>-2.0772873071635889E-2</v>
      </c>
    </row>
    <row r="436" spans="1:7">
      <c r="A436" s="67">
        <v>263.35000000000002</v>
      </c>
      <c r="B436" s="67">
        <v>265.67</v>
      </c>
      <c r="C436" s="67">
        <v>258.95999999999998</v>
      </c>
      <c r="D436" s="67">
        <v>262.99</v>
      </c>
      <c r="E436" s="67">
        <v>581818</v>
      </c>
      <c r="F436" s="67" t="s">
        <v>456</v>
      </c>
      <c r="G436" s="25">
        <f t="shared" si="3"/>
        <v>1.3688733411916232E-3</v>
      </c>
    </row>
    <row r="437" spans="1:7">
      <c r="A437" s="67">
        <v>265.5</v>
      </c>
      <c r="B437" s="67">
        <v>271.17500000000001</v>
      </c>
      <c r="C437" s="67">
        <v>263.73</v>
      </c>
      <c r="D437" s="67">
        <v>267.60000000000002</v>
      </c>
      <c r="E437" s="67">
        <v>551504</v>
      </c>
      <c r="F437" s="67" t="s">
        <v>457</v>
      </c>
      <c r="G437" s="25">
        <f t="shared" si="3"/>
        <v>-7.8475336322870737E-3</v>
      </c>
    </row>
    <row r="438" spans="1:7">
      <c r="A438" s="67">
        <v>269.33999999999997</v>
      </c>
      <c r="B438" s="67">
        <v>272.77</v>
      </c>
      <c r="C438" s="67">
        <v>266.45159999999998</v>
      </c>
      <c r="D438" s="67">
        <v>271.75</v>
      </c>
      <c r="E438" s="67">
        <v>571881</v>
      </c>
      <c r="F438" s="67" t="s">
        <v>458</v>
      </c>
      <c r="G438" s="25">
        <f t="shared" si="3"/>
        <v>-8.8684452621895504E-3</v>
      </c>
    </row>
    <row r="439" spans="1:7">
      <c r="A439" s="67">
        <v>271.73</v>
      </c>
      <c r="B439" s="67">
        <v>279.77</v>
      </c>
      <c r="C439" s="67">
        <v>270.37</v>
      </c>
      <c r="D439" s="67">
        <v>276.42</v>
      </c>
      <c r="E439" s="67">
        <v>611158</v>
      </c>
      <c r="F439" s="67" t="s">
        <v>459</v>
      </c>
      <c r="G439" s="25">
        <f t="shared" si="3"/>
        <v>-1.6966934375226117E-2</v>
      </c>
    </row>
    <row r="440" spans="1:7">
      <c r="A440" s="67">
        <v>273.47000000000003</v>
      </c>
      <c r="B440" s="67">
        <v>279.39</v>
      </c>
      <c r="C440" s="67">
        <v>273.17</v>
      </c>
      <c r="D440" s="67">
        <v>277.41000000000003</v>
      </c>
      <c r="E440" s="67">
        <v>664005</v>
      </c>
      <c r="F440" s="67" t="s">
        <v>460</v>
      </c>
      <c r="G440" s="25">
        <f t="shared" ref="G440:G503" si="4">A440/D440-1</f>
        <v>-1.420280451317546E-2</v>
      </c>
    </row>
    <row r="441" spans="1:7">
      <c r="A441" s="67">
        <v>274.79000000000002</v>
      </c>
      <c r="B441" s="67">
        <v>278.70999999999998</v>
      </c>
      <c r="C441" s="67">
        <v>263.64</v>
      </c>
      <c r="D441" s="67">
        <v>266.88</v>
      </c>
      <c r="E441" s="67">
        <v>781555</v>
      </c>
      <c r="F441" s="67" t="s">
        <v>461</v>
      </c>
      <c r="G441" s="25">
        <f t="shared" si="4"/>
        <v>2.9638788968824992E-2</v>
      </c>
    </row>
    <row r="442" spans="1:7">
      <c r="A442" s="67">
        <v>265.12</v>
      </c>
      <c r="B442" s="67">
        <v>267.10000000000002</v>
      </c>
      <c r="C442" s="67">
        <v>263.18</v>
      </c>
      <c r="D442" s="67">
        <v>266.08999999999997</v>
      </c>
      <c r="E442" s="67">
        <v>437549</v>
      </c>
      <c r="F442" s="67" t="s">
        <v>462</v>
      </c>
      <c r="G442" s="25">
        <f t="shared" si="4"/>
        <v>-3.6453831410423465E-3</v>
      </c>
    </row>
    <row r="443" spans="1:7">
      <c r="A443" s="67">
        <v>265.46499999999997</v>
      </c>
      <c r="B443" s="67">
        <v>270.29000000000002</v>
      </c>
      <c r="C443" s="67">
        <v>264.68799999999999</v>
      </c>
      <c r="D443" s="67">
        <v>267.39</v>
      </c>
      <c r="E443" s="67">
        <v>443137</v>
      </c>
      <c r="F443" s="67" t="s">
        <v>463</v>
      </c>
      <c r="G443" s="25">
        <f t="shared" si="4"/>
        <v>-7.1992221100265485E-3</v>
      </c>
    </row>
    <row r="444" spans="1:7">
      <c r="A444" s="67">
        <v>267.58</v>
      </c>
      <c r="B444" s="67">
        <v>275.33999999999997</v>
      </c>
      <c r="C444" s="67">
        <v>267.005</v>
      </c>
      <c r="D444" s="67">
        <v>269</v>
      </c>
      <c r="E444" s="67">
        <v>518299</v>
      </c>
      <c r="F444" s="67" t="s">
        <v>464</v>
      </c>
      <c r="G444" s="25">
        <f t="shared" si="4"/>
        <v>-5.2788104089219745E-3</v>
      </c>
    </row>
    <row r="445" spans="1:7">
      <c r="A445" s="67">
        <v>269.20999999999998</v>
      </c>
      <c r="B445" s="67">
        <v>270.81</v>
      </c>
      <c r="C445" s="67">
        <v>265.54500000000002</v>
      </c>
      <c r="D445" s="67">
        <v>270.01</v>
      </c>
      <c r="E445" s="67">
        <v>508895</v>
      </c>
      <c r="F445" s="67" t="s">
        <v>465</v>
      </c>
      <c r="G445" s="25">
        <f t="shared" si="4"/>
        <v>-2.9628532276583242E-3</v>
      </c>
    </row>
    <row r="446" spans="1:7">
      <c r="A446" s="67">
        <v>269.66000000000003</v>
      </c>
      <c r="B446" s="67">
        <v>270.55500000000001</v>
      </c>
      <c r="C446" s="67">
        <v>264.8</v>
      </c>
      <c r="D446" s="67">
        <v>265.13</v>
      </c>
      <c r="E446" s="67">
        <v>662799</v>
      </c>
      <c r="F446" s="67" t="s">
        <v>466</v>
      </c>
      <c r="G446" s="25">
        <f t="shared" si="4"/>
        <v>1.7085957832007059E-2</v>
      </c>
    </row>
    <row r="447" spans="1:7">
      <c r="A447" s="67">
        <v>266.49</v>
      </c>
      <c r="B447" s="67">
        <v>270.19</v>
      </c>
      <c r="C447" s="67">
        <v>264.52999999999997</v>
      </c>
      <c r="D447" s="67">
        <v>267.58</v>
      </c>
      <c r="E447" s="67">
        <v>610065</v>
      </c>
      <c r="F447" s="67" t="s">
        <v>467</v>
      </c>
      <c r="G447" s="25">
        <f t="shared" si="4"/>
        <v>-4.0735480977650562E-3</v>
      </c>
    </row>
    <row r="448" spans="1:7">
      <c r="A448" s="67">
        <v>266.77999999999997</v>
      </c>
      <c r="B448" s="67">
        <v>267.90410000000003</v>
      </c>
      <c r="C448" s="67">
        <v>264.69</v>
      </c>
      <c r="D448" s="67">
        <v>266.36</v>
      </c>
      <c r="E448" s="67">
        <v>250910</v>
      </c>
      <c r="F448" s="67" t="s">
        <v>468</v>
      </c>
      <c r="G448" s="25">
        <f t="shared" si="4"/>
        <v>1.5768133353355474E-3</v>
      </c>
    </row>
    <row r="449" spans="1:7">
      <c r="A449" s="67">
        <v>266.92</v>
      </c>
      <c r="B449" s="67">
        <v>272.56</v>
      </c>
      <c r="C449" s="67">
        <v>266.23</v>
      </c>
      <c r="D449" s="67">
        <v>267.57</v>
      </c>
      <c r="E449" s="67">
        <v>414448</v>
      </c>
      <c r="F449" s="67" t="s">
        <v>469</v>
      </c>
      <c r="G449" s="25">
        <f t="shared" si="4"/>
        <v>-2.4292708450124323E-3</v>
      </c>
    </row>
    <row r="450" spans="1:7">
      <c r="A450" s="67">
        <v>266.42</v>
      </c>
      <c r="B450" s="67">
        <v>269.14</v>
      </c>
      <c r="C450" s="67">
        <v>263.63499999999999</v>
      </c>
      <c r="D450" s="67">
        <v>265.91000000000003</v>
      </c>
      <c r="E450" s="67">
        <v>522511</v>
      </c>
      <c r="F450" s="67" t="s">
        <v>470</v>
      </c>
      <c r="G450" s="25">
        <f t="shared" si="4"/>
        <v>1.9179421608814806E-3</v>
      </c>
    </row>
    <row r="451" spans="1:7">
      <c r="A451" s="67">
        <v>266.58</v>
      </c>
      <c r="B451" s="67">
        <v>267.33499999999998</v>
      </c>
      <c r="C451" s="67">
        <v>263.8</v>
      </c>
      <c r="D451" s="67">
        <v>264.82</v>
      </c>
      <c r="E451" s="67">
        <v>589013</v>
      </c>
      <c r="F451" s="67" t="s">
        <v>471</v>
      </c>
      <c r="G451" s="25">
        <f t="shared" si="4"/>
        <v>6.6460237142209611E-3</v>
      </c>
    </row>
    <row r="452" spans="1:7">
      <c r="A452" s="67">
        <v>262.93</v>
      </c>
      <c r="B452" s="67">
        <v>264.57</v>
      </c>
      <c r="C452" s="67">
        <v>259.63</v>
      </c>
      <c r="D452" s="67">
        <v>262.83</v>
      </c>
      <c r="E452" s="67">
        <v>457970</v>
      </c>
      <c r="F452" s="67" t="s">
        <v>472</v>
      </c>
      <c r="G452" s="25">
        <f t="shared" si="4"/>
        <v>3.8047407069208283E-4</v>
      </c>
    </row>
    <row r="453" spans="1:7">
      <c r="A453" s="67">
        <v>262</v>
      </c>
      <c r="B453" s="67">
        <v>267.43</v>
      </c>
      <c r="C453" s="67">
        <v>261.92</v>
      </c>
      <c r="D453" s="67">
        <v>267.43</v>
      </c>
      <c r="E453" s="67">
        <v>738921</v>
      </c>
      <c r="F453" s="67" t="s">
        <v>473</v>
      </c>
      <c r="G453" s="25">
        <f t="shared" si="4"/>
        <v>-2.0304378715925719E-2</v>
      </c>
    </row>
    <row r="454" spans="1:7">
      <c r="A454" s="67">
        <v>266.58</v>
      </c>
      <c r="B454" s="67">
        <v>267.05</v>
      </c>
      <c r="C454" s="67">
        <v>260.625</v>
      </c>
      <c r="D454" s="67">
        <v>262.24</v>
      </c>
      <c r="E454" s="67">
        <v>516803</v>
      </c>
      <c r="F454" s="67" t="s">
        <v>474</v>
      </c>
      <c r="G454" s="25">
        <f t="shared" si="4"/>
        <v>1.6549725442342789E-2</v>
      </c>
    </row>
    <row r="455" spans="1:7">
      <c r="A455" s="67">
        <v>261.99</v>
      </c>
      <c r="B455" s="67">
        <v>265.26499999999999</v>
      </c>
      <c r="C455" s="67">
        <v>259.18</v>
      </c>
      <c r="D455" s="67">
        <v>259.39</v>
      </c>
      <c r="E455" s="67">
        <v>437649</v>
      </c>
      <c r="F455" s="67" t="s">
        <v>475</v>
      </c>
      <c r="G455" s="25">
        <f t="shared" si="4"/>
        <v>1.0023516712286629E-2</v>
      </c>
    </row>
    <row r="456" spans="1:7">
      <c r="A456" s="67">
        <v>260.68</v>
      </c>
      <c r="B456" s="67">
        <v>263.93</v>
      </c>
      <c r="C456" s="67">
        <v>260.01</v>
      </c>
      <c r="D456" s="67">
        <v>260.10000000000002</v>
      </c>
      <c r="E456" s="67">
        <v>679178</v>
      </c>
      <c r="F456" s="67" t="s">
        <v>476</v>
      </c>
      <c r="G456" s="25">
        <f t="shared" si="4"/>
        <v>2.2299115724719876E-3</v>
      </c>
    </row>
    <row r="457" spans="1:7">
      <c r="A457" s="67">
        <v>260.12</v>
      </c>
      <c r="B457" s="67">
        <v>264.70999999999998</v>
      </c>
      <c r="C457" s="67">
        <v>257.43</v>
      </c>
      <c r="D457" s="67">
        <v>261</v>
      </c>
      <c r="E457" s="67">
        <v>916752</v>
      </c>
      <c r="F457" s="67" t="s">
        <v>477</v>
      </c>
      <c r="G457" s="25">
        <f t="shared" si="4"/>
        <v>-3.3716475095785237E-3</v>
      </c>
    </row>
    <row r="458" spans="1:7">
      <c r="A458" s="67">
        <v>261.16000000000003</v>
      </c>
      <c r="B458" s="67">
        <v>267.58</v>
      </c>
      <c r="C458" s="67">
        <v>258.14999999999998</v>
      </c>
      <c r="D458" s="67">
        <v>266.45999999999998</v>
      </c>
      <c r="E458" s="67">
        <v>742995</v>
      </c>
      <c r="F458" s="67" t="s">
        <v>478</v>
      </c>
      <c r="G458" s="25">
        <f t="shared" si="4"/>
        <v>-1.9890415071680434E-2</v>
      </c>
    </row>
    <row r="459" spans="1:7">
      <c r="A459" s="67">
        <v>269.06</v>
      </c>
      <c r="B459" s="67">
        <v>276.57</v>
      </c>
      <c r="C459" s="67">
        <v>266.99</v>
      </c>
      <c r="D459" s="67">
        <v>275.47000000000003</v>
      </c>
      <c r="E459" s="67">
        <v>407784</v>
      </c>
      <c r="F459" s="67" t="s">
        <v>479</v>
      </c>
      <c r="G459" s="25">
        <f t="shared" si="4"/>
        <v>-2.3269321523214925E-2</v>
      </c>
    </row>
    <row r="460" spans="1:7">
      <c r="A460" s="67">
        <v>275.10000000000002</v>
      </c>
      <c r="B460" s="67">
        <v>276.06</v>
      </c>
      <c r="C460" s="67">
        <v>271.24</v>
      </c>
      <c r="D460" s="67">
        <v>275.69</v>
      </c>
      <c r="E460" s="67">
        <v>683178</v>
      </c>
      <c r="F460" s="67" t="s">
        <v>480</v>
      </c>
      <c r="G460" s="25">
        <f t="shared" si="4"/>
        <v>-2.140084877942483E-3</v>
      </c>
    </row>
    <row r="461" spans="1:7">
      <c r="A461" s="67">
        <v>275.7</v>
      </c>
      <c r="B461" s="67">
        <v>279.39999999999998</v>
      </c>
      <c r="C461" s="67">
        <v>267.3</v>
      </c>
      <c r="D461" s="67">
        <v>268.16000000000003</v>
      </c>
      <c r="E461" s="67">
        <v>815413</v>
      </c>
      <c r="F461" s="67" t="s">
        <v>481</v>
      </c>
      <c r="G461" s="25">
        <f t="shared" si="4"/>
        <v>2.8117541766109699E-2</v>
      </c>
    </row>
    <row r="462" spans="1:7">
      <c r="A462" s="67">
        <v>268</v>
      </c>
      <c r="B462" s="67">
        <v>275.52</v>
      </c>
      <c r="C462" s="67">
        <v>253.84</v>
      </c>
      <c r="D462" s="67">
        <v>256.89999999999998</v>
      </c>
      <c r="E462" s="67">
        <v>1582981</v>
      </c>
      <c r="F462" s="67" t="s">
        <v>482</v>
      </c>
      <c r="G462" s="25">
        <f t="shared" si="4"/>
        <v>4.3207473725185075E-2</v>
      </c>
    </row>
    <row r="463" spans="1:7">
      <c r="A463" s="67">
        <v>244.98</v>
      </c>
      <c r="B463" s="67">
        <v>245.17</v>
      </c>
      <c r="C463" s="67">
        <v>236.63</v>
      </c>
      <c r="D463" s="67">
        <v>237.35</v>
      </c>
      <c r="E463" s="67">
        <v>778405</v>
      </c>
      <c r="F463" s="67" t="s">
        <v>483</v>
      </c>
      <c r="G463" s="25">
        <f t="shared" si="4"/>
        <v>3.2146618917210823E-2</v>
      </c>
    </row>
    <row r="464" spans="1:7">
      <c r="A464" s="67">
        <v>239.3</v>
      </c>
      <c r="B464" s="67">
        <v>248.55</v>
      </c>
      <c r="C464" s="67">
        <v>234.89</v>
      </c>
      <c r="D464" s="67">
        <v>248.55</v>
      </c>
      <c r="E464" s="67">
        <v>932733</v>
      </c>
      <c r="F464" s="67" t="s">
        <v>484</v>
      </c>
      <c r="G464" s="25">
        <f t="shared" si="4"/>
        <v>-3.7215851941259315E-2</v>
      </c>
    </row>
    <row r="465" spans="1:7">
      <c r="A465" s="67">
        <v>241.32</v>
      </c>
      <c r="B465" s="67">
        <v>242.11</v>
      </c>
      <c r="C465" s="67">
        <v>233.47499999999999</v>
      </c>
      <c r="D465" s="67">
        <v>236.89</v>
      </c>
      <c r="E465" s="67">
        <v>370608</v>
      </c>
      <c r="F465" s="67" t="s">
        <v>485</v>
      </c>
      <c r="G465" s="25">
        <f t="shared" si="4"/>
        <v>1.8700662754865149E-2</v>
      </c>
    </row>
    <row r="466" spans="1:7">
      <c r="A466" s="67">
        <v>237.44</v>
      </c>
      <c r="B466" s="67">
        <v>240.78</v>
      </c>
      <c r="C466" s="67">
        <v>235.81</v>
      </c>
      <c r="D466" s="67">
        <v>236.02</v>
      </c>
      <c r="E466" s="67">
        <v>538216</v>
      </c>
      <c r="F466" s="67" t="s">
        <v>486</v>
      </c>
      <c r="G466" s="25">
        <f t="shared" si="4"/>
        <v>6.0164392848063297E-3</v>
      </c>
    </row>
    <row r="467" spans="1:7">
      <c r="A467" s="67">
        <v>235.61</v>
      </c>
      <c r="B467" s="67">
        <v>236.74</v>
      </c>
      <c r="C467" s="67">
        <v>229.56</v>
      </c>
      <c r="D467" s="67">
        <v>230.07</v>
      </c>
      <c r="E467" s="67">
        <v>385298</v>
      </c>
      <c r="F467" s="67" t="s">
        <v>487</v>
      </c>
      <c r="G467" s="25">
        <f t="shared" si="4"/>
        <v>2.4079627939322945E-2</v>
      </c>
    </row>
    <row r="468" spans="1:7">
      <c r="A468" s="67">
        <v>231.53</v>
      </c>
      <c r="B468" s="67">
        <v>231.97</v>
      </c>
      <c r="C468" s="67">
        <v>227.03</v>
      </c>
      <c r="D468" s="67">
        <v>229.61</v>
      </c>
      <c r="E468" s="67">
        <v>549155</v>
      </c>
      <c r="F468" s="67" t="s">
        <v>488</v>
      </c>
      <c r="G468" s="25">
        <f t="shared" si="4"/>
        <v>8.3620051391488648E-3</v>
      </c>
    </row>
    <row r="469" spans="1:7">
      <c r="A469" s="67">
        <v>230.58</v>
      </c>
      <c r="B469" s="67">
        <v>232.4</v>
      </c>
      <c r="C469" s="67">
        <v>229.6</v>
      </c>
      <c r="D469" s="67">
        <v>230.86</v>
      </c>
      <c r="E469" s="67">
        <v>449200</v>
      </c>
      <c r="F469" s="67" t="s">
        <v>489</v>
      </c>
      <c r="G469" s="25">
        <f t="shared" si="4"/>
        <v>-1.2128562765312267E-3</v>
      </c>
    </row>
    <row r="470" spans="1:7">
      <c r="A470" s="67">
        <v>232.37</v>
      </c>
      <c r="B470" s="67">
        <v>234.035</v>
      </c>
      <c r="C470" s="67">
        <v>230.13140000000001</v>
      </c>
      <c r="D470" s="67">
        <v>231.51</v>
      </c>
      <c r="E470" s="67">
        <v>385403</v>
      </c>
      <c r="F470" s="67" t="s">
        <v>490</v>
      </c>
      <c r="G470" s="25">
        <f t="shared" si="4"/>
        <v>3.7147423437433602E-3</v>
      </c>
    </row>
    <row r="471" spans="1:7">
      <c r="A471" s="67">
        <v>233.37</v>
      </c>
      <c r="B471" s="67">
        <v>236.86</v>
      </c>
      <c r="C471" s="67">
        <v>233.16</v>
      </c>
      <c r="D471" s="67">
        <v>235.91</v>
      </c>
      <c r="E471" s="67">
        <v>321963</v>
      </c>
      <c r="F471" s="67" t="s">
        <v>491</v>
      </c>
      <c r="G471" s="25">
        <f t="shared" si="4"/>
        <v>-1.0766817854266475E-2</v>
      </c>
    </row>
    <row r="472" spans="1:7">
      <c r="A472" s="67">
        <v>233.63</v>
      </c>
      <c r="B472" s="67">
        <v>238.7</v>
      </c>
      <c r="C472" s="67">
        <v>226.49680000000001</v>
      </c>
      <c r="D472" s="67">
        <v>237.09</v>
      </c>
      <c r="E472" s="67">
        <v>427861</v>
      </c>
      <c r="F472" s="67" t="s">
        <v>492</v>
      </c>
      <c r="G472" s="25">
        <f t="shared" si="4"/>
        <v>-1.4593614239318486E-2</v>
      </c>
    </row>
    <row r="473" spans="1:7">
      <c r="A473" s="67">
        <v>237.63</v>
      </c>
      <c r="B473" s="67">
        <v>238.52</v>
      </c>
      <c r="C473" s="67">
        <v>235.05009999999999</v>
      </c>
      <c r="D473" s="67">
        <v>235.41</v>
      </c>
      <c r="E473" s="67">
        <v>233887</v>
      </c>
      <c r="F473" s="67" t="s">
        <v>493</v>
      </c>
      <c r="G473" s="25">
        <f t="shared" si="4"/>
        <v>9.4303555498915781E-3</v>
      </c>
    </row>
    <row r="474" spans="1:7">
      <c r="A474" s="67">
        <v>234.84</v>
      </c>
      <c r="B474" s="67">
        <v>238.72</v>
      </c>
      <c r="C474" s="67">
        <v>234.53</v>
      </c>
      <c r="D474" s="67">
        <v>235.59</v>
      </c>
      <c r="E474" s="67">
        <v>489743</v>
      </c>
      <c r="F474" s="67" t="s">
        <v>494</v>
      </c>
      <c r="G474" s="25">
        <f t="shared" si="4"/>
        <v>-3.1834967528333591E-3</v>
      </c>
    </row>
    <row r="475" spans="1:7">
      <c r="A475" s="67">
        <v>236.6</v>
      </c>
      <c r="B475" s="67">
        <v>237.24</v>
      </c>
      <c r="C475" s="67">
        <v>233.1901</v>
      </c>
      <c r="D475" s="67">
        <v>236.48</v>
      </c>
      <c r="E475" s="67">
        <v>568506</v>
      </c>
      <c r="F475" s="67" t="s">
        <v>495</v>
      </c>
      <c r="G475" s="25">
        <f t="shared" si="4"/>
        <v>5.0744248985123974E-4</v>
      </c>
    </row>
    <row r="476" spans="1:7">
      <c r="A476" s="67">
        <v>236.48</v>
      </c>
      <c r="B476" s="67">
        <v>239.09</v>
      </c>
      <c r="C476" s="67">
        <v>234.76</v>
      </c>
      <c r="D476" s="67">
        <v>236.59</v>
      </c>
      <c r="E476" s="67">
        <v>601215</v>
      </c>
      <c r="F476" s="67" t="s">
        <v>496</v>
      </c>
      <c r="G476" s="25">
        <f t="shared" si="4"/>
        <v>-4.6493934654889824E-4</v>
      </c>
    </row>
    <row r="477" spans="1:7">
      <c r="A477" s="67">
        <v>236.59</v>
      </c>
      <c r="B477" s="67">
        <v>236.87</v>
      </c>
      <c r="C477" s="67">
        <v>228.58</v>
      </c>
      <c r="D477" s="67">
        <v>229.77</v>
      </c>
      <c r="E477" s="67">
        <v>602330</v>
      </c>
      <c r="F477" s="67" t="s">
        <v>497</v>
      </c>
      <c r="G477" s="25">
        <f t="shared" si="4"/>
        <v>2.9681855768812326E-2</v>
      </c>
    </row>
    <row r="478" spans="1:7">
      <c r="A478" s="67">
        <v>229.13</v>
      </c>
      <c r="B478" s="67">
        <v>231.7</v>
      </c>
      <c r="C478" s="67">
        <v>227.78</v>
      </c>
      <c r="D478" s="67">
        <v>230.64</v>
      </c>
      <c r="E478" s="67">
        <v>309478</v>
      </c>
      <c r="F478" s="67" t="s">
        <v>498</v>
      </c>
      <c r="G478" s="25">
        <f t="shared" si="4"/>
        <v>-6.5469996531390962E-3</v>
      </c>
    </row>
    <row r="479" spans="1:7">
      <c r="A479" s="67">
        <v>230.6</v>
      </c>
      <c r="B479" s="67">
        <v>232.8</v>
      </c>
      <c r="C479" s="67">
        <v>229.7</v>
      </c>
      <c r="D479" s="67">
        <v>230.95</v>
      </c>
      <c r="E479" s="67">
        <v>453030</v>
      </c>
      <c r="F479" s="67" t="s">
        <v>499</v>
      </c>
      <c r="G479" s="25">
        <f t="shared" si="4"/>
        <v>-1.5154795410261546E-3</v>
      </c>
    </row>
    <row r="480" spans="1:7">
      <c r="A480" s="67">
        <v>230.07</v>
      </c>
      <c r="B480" s="67">
        <v>234.03</v>
      </c>
      <c r="C480" s="67">
        <v>229.43</v>
      </c>
      <c r="D480" s="67">
        <v>231.71</v>
      </c>
      <c r="E480" s="67">
        <v>390656</v>
      </c>
      <c r="F480" s="67" t="s">
        <v>500</v>
      </c>
      <c r="G480" s="25">
        <f t="shared" si="4"/>
        <v>-7.0778127832205051E-3</v>
      </c>
    </row>
    <row r="481" spans="1:7">
      <c r="A481" s="67">
        <v>232.51</v>
      </c>
      <c r="B481" s="67">
        <v>234.18</v>
      </c>
      <c r="C481" s="67">
        <v>230.37</v>
      </c>
      <c r="D481" s="67">
        <v>233.73</v>
      </c>
      <c r="E481" s="67">
        <v>386979</v>
      </c>
      <c r="F481" s="67" t="s">
        <v>501</v>
      </c>
      <c r="G481" s="25">
        <f t="shared" si="4"/>
        <v>-5.2196979420698897E-3</v>
      </c>
    </row>
    <row r="482" spans="1:7">
      <c r="A482" s="67">
        <v>233.1</v>
      </c>
      <c r="B482" s="67">
        <v>236.43</v>
      </c>
      <c r="C482" s="67">
        <v>231.16</v>
      </c>
      <c r="D482" s="67">
        <v>232.26</v>
      </c>
      <c r="E482" s="67">
        <v>421495</v>
      </c>
      <c r="F482" s="67" t="s">
        <v>502</v>
      </c>
      <c r="G482" s="25">
        <f t="shared" si="4"/>
        <v>3.6166365280290158E-3</v>
      </c>
    </row>
    <row r="483" spans="1:7">
      <c r="A483" s="67">
        <v>231.2</v>
      </c>
      <c r="B483" s="67">
        <v>232.4699</v>
      </c>
      <c r="C483" s="67">
        <v>227.78</v>
      </c>
      <c r="D483" s="67">
        <v>229.84</v>
      </c>
      <c r="E483" s="67">
        <v>436543</v>
      </c>
      <c r="F483" s="67" t="s">
        <v>503</v>
      </c>
      <c r="G483" s="25">
        <f t="shared" si="4"/>
        <v>5.9171597633136397E-3</v>
      </c>
    </row>
    <row r="484" spans="1:7">
      <c r="A484" s="67">
        <v>231.84</v>
      </c>
      <c r="B484" s="67">
        <v>231.96</v>
      </c>
      <c r="C484" s="67">
        <v>225.37</v>
      </c>
      <c r="D484" s="67">
        <v>229.32</v>
      </c>
      <c r="E484" s="67">
        <v>407099</v>
      </c>
      <c r="F484" s="67" t="s">
        <v>504</v>
      </c>
      <c r="G484" s="25">
        <f t="shared" si="4"/>
        <v>1.098901098901095E-2</v>
      </c>
    </row>
    <row r="485" spans="1:7">
      <c r="A485" s="67">
        <v>229.33</v>
      </c>
      <c r="B485" s="67">
        <v>231.81</v>
      </c>
      <c r="C485" s="67">
        <v>227.12</v>
      </c>
      <c r="D485" s="67">
        <v>229.08</v>
      </c>
      <c r="E485" s="67">
        <v>371231</v>
      </c>
      <c r="F485" s="67" t="s">
        <v>505</v>
      </c>
      <c r="G485" s="25">
        <f t="shared" si="4"/>
        <v>1.0913218089749765E-3</v>
      </c>
    </row>
    <row r="486" spans="1:7">
      <c r="A486" s="67">
        <v>227.79</v>
      </c>
      <c r="B486" s="67">
        <v>228.9</v>
      </c>
      <c r="C486" s="67">
        <v>225.41120000000001</v>
      </c>
      <c r="D486" s="67">
        <v>228.78</v>
      </c>
      <c r="E486" s="67">
        <v>352473</v>
      </c>
      <c r="F486" s="67" t="s">
        <v>506</v>
      </c>
      <c r="G486" s="25">
        <f t="shared" si="4"/>
        <v>-4.3273013375295655E-3</v>
      </c>
    </row>
    <row r="487" spans="1:7">
      <c r="A487" s="67">
        <v>229.94</v>
      </c>
      <c r="B487" s="67">
        <v>232.21</v>
      </c>
      <c r="C487" s="67">
        <v>228.35</v>
      </c>
      <c r="D487" s="67">
        <v>231.29</v>
      </c>
      <c r="E487" s="67">
        <v>440205</v>
      </c>
      <c r="F487" s="67" t="s">
        <v>507</v>
      </c>
      <c r="G487" s="25">
        <f t="shared" si="4"/>
        <v>-5.836828224307089E-3</v>
      </c>
    </row>
    <row r="488" spans="1:7">
      <c r="A488" s="67">
        <v>229.99</v>
      </c>
      <c r="B488" s="67">
        <v>233.94</v>
      </c>
      <c r="C488" s="67">
        <v>229.28</v>
      </c>
      <c r="D488" s="67">
        <v>231.72</v>
      </c>
      <c r="E488" s="67">
        <v>369408</v>
      </c>
      <c r="F488" s="67" t="s">
        <v>508</v>
      </c>
      <c r="G488" s="25">
        <f t="shared" si="4"/>
        <v>-7.4659071292939583E-3</v>
      </c>
    </row>
    <row r="489" spans="1:7">
      <c r="A489" s="67">
        <v>232.63</v>
      </c>
      <c r="B489" s="67">
        <v>235.23</v>
      </c>
      <c r="C489" s="67">
        <v>231.49</v>
      </c>
      <c r="D489" s="67">
        <v>234.19</v>
      </c>
      <c r="E489" s="67">
        <v>402155</v>
      </c>
      <c r="F489" s="67" t="s">
        <v>509</v>
      </c>
      <c r="G489" s="25">
        <f t="shared" si="4"/>
        <v>-6.661257952944255E-3</v>
      </c>
    </row>
    <row r="490" spans="1:7">
      <c r="A490" s="67">
        <v>234.56</v>
      </c>
      <c r="B490" s="67">
        <v>235.3399</v>
      </c>
      <c r="C490" s="67">
        <v>229.65</v>
      </c>
      <c r="D490" s="67">
        <v>233.77</v>
      </c>
      <c r="E490" s="67">
        <v>513420</v>
      </c>
      <c r="F490" s="67" t="s">
        <v>510</v>
      </c>
      <c r="G490" s="25">
        <f t="shared" si="4"/>
        <v>3.3793899987166753E-3</v>
      </c>
    </row>
    <row r="491" spans="1:7">
      <c r="A491" s="67">
        <v>232.75</v>
      </c>
      <c r="B491" s="67">
        <v>233.435</v>
      </c>
      <c r="C491" s="67">
        <v>229.32</v>
      </c>
      <c r="D491" s="67">
        <v>232.68</v>
      </c>
      <c r="E491" s="67">
        <v>538989</v>
      </c>
      <c r="F491" s="67" t="s">
        <v>511</v>
      </c>
      <c r="G491" s="25">
        <f t="shared" si="4"/>
        <v>3.0084235860416975E-4</v>
      </c>
    </row>
    <row r="492" spans="1:7">
      <c r="A492" s="67">
        <v>232.03</v>
      </c>
      <c r="B492" s="67">
        <v>238.4</v>
      </c>
      <c r="C492" s="67">
        <v>231.89</v>
      </c>
      <c r="D492" s="67">
        <v>236.96</v>
      </c>
      <c r="E492" s="67">
        <v>518736</v>
      </c>
      <c r="F492" s="67" t="s">
        <v>512</v>
      </c>
      <c r="G492" s="25">
        <f t="shared" si="4"/>
        <v>-2.0805199189736667E-2</v>
      </c>
    </row>
    <row r="493" spans="1:7">
      <c r="A493" s="67">
        <v>235.43</v>
      </c>
      <c r="B493" s="67">
        <v>239.65</v>
      </c>
      <c r="C493" s="67">
        <v>232.01</v>
      </c>
      <c r="D493" s="67">
        <v>239.2</v>
      </c>
      <c r="E493" s="67">
        <v>607131</v>
      </c>
      <c r="F493" s="67" t="s">
        <v>513</v>
      </c>
      <c r="G493" s="25">
        <f t="shared" si="4"/>
        <v>-1.5760869565217273E-2</v>
      </c>
    </row>
    <row r="494" spans="1:7">
      <c r="A494" s="67">
        <v>238.8</v>
      </c>
      <c r="B494" s="67">
        <v>240.8563</v>
      </c>
      <c r="C494" s="67">
        <v>237.84</v>
      </c>
      <c r="D494" s="67">
        <v>239.98</v>
      </c>
      <c r="E494" s="67">
        <v>376548</v>
      </c>
      <c r="F494" s="67" t="s">
        <v>514</v>
      </c>
      <c r="G494" s="25">
        <f t="shared" si="4"/>
        <v>-4.9170764230351827E-3</v>
      </c>
    </row>
    <row r="495" spans="1:7">
      <c r="A495" s="67">
        <v>239.01</v>
      </c>
      <c r="B495" s="67">
        <v>242.69</v>
      </c>
      <c r="C495" s="67">
        <v>237.44</v>
      </c>
      <c r="D495" s="67">
        <v>239.83</v>
      </c>
      <c r="E495" s="67">
        <v>588358</v>
      </c>
      <c r="F495" s="67" t="s">
        <v>515</v>
      </c>
      <c r="G495" s="25">
        <f t="shared" si="4"/>
        <v>-3.4190885210357846E-3</v>
      </c>
    </row>
    <row r="496" spans="1:7">
      <c r="A496" s="67">
        <v>238.97</v>
      </c>
      <c r="B496" s="67">
        <v>239.09</v>
      </c>
      <c r="C496" s="67">
        <v>235</v>
      </c>
      <c r="D496" s="67">
        <v>237.4</v>
      </c>
      <c r="E496" s="67">
        <v>681134</v>
      </c>
      <c r="F496" s="67" t="s">
        <v>516</v>
      </c>
      <c r="G496" s="25">
        <f t="shared" si="4"/>
        <v>6.6133108677337571E-3</v>
      </c>
    </row>
    <row r="497" spans="1:7">
      <c r="A497" s="67">
        <v>236.58</v>
      </c>
      <c r="B497" s="67">
        <v>237.94</v>
      </c>
      <c r="C497" s="67">
        <v>231.22499999999999</v>
      </c>
      <c r="D497" s="67">
        <v>235.29</v>
      </c>
      <c r="E497" s="67">
        <v>1347350</v>
      </c>
      <c r="F497" s="67" t="s">
        <v>517</v>
      </c>
      <c r="G497" s="25">
        <f t="shared" si="4"/>
        <v>5.4825959454292139E-3</v>
      </c>
    </row>
    <row r="498" spans="1:7">
      <c r="A498" s="67">
        <v>237.68</v>
      </c>
      <c r="B498" s="67">
        <v>239.44</v>
      </c>
      <c r="C498" s="67">
        <v>232.02</v>
      </c>
      <c r="D498" s="67">
        <v>239.43</v>
      </c>
      <c r="E498" s="67">
        <v>624612</v>
      </c>
      <c r="F498" s="67" t="s">
        <v>518</v>
      </c>
      <c r="G498" s="25">
        <f t="shared" si="4"/>
        <v>-7.3090256024724853E-3</v>
      </c>
    </row>
    <row r="499" spans="1:7">
      <c r="A499" s="67">
        <v>236.11</v>
      </c>
      <c r="B499" s="67">
        <v>237.18</v>
      </c>
      <c r="C499" s="67">
        <v>231.75</v>
      </c>
      <c r="D499" s="67">
        <v>235.54</v>
      </c>
      <c r="E499" s="67">
        <v>522435</v>
      </c>
      <c r="F499" s="67" t="s">
        <v>519</v>
      </c>
      <c r="G499" s="25">
        <f t="shared" si="4"/>
        <v>2.4199711301691185E-3</v>
      </c>
    </row>
    <row r="500" spans="1:7">
      <c r="A500" s="67">
        <v>235.54</v>
      </c>
      <c r="B500" s="67">
        <v>243.98</v>
      </c>
      <c r="C500" s="67">
        <v>233.89</v>
      </c>
      <c r="D500" s="67">
        <v>235</v>
      </c>
      <c r="E500" s="67">
        <v>819121</v>
      </c>
      <c r="F500" s="67" t="s">
        <v>520</v>
      </c>
      <c r="G500" s="25">
        <f t="shared" si="4"/>
        <v>2.2978723404254442E-3</v>
      </c>
    </row>
    <row r="501" spans="1:7">
      <c r="A501" s="67">
        <v>233.89</v>
      </c>
      <c r="B501" s="67">
        <v>236.61500000000001</v>
      </c>
      <c r="C501" s="67">
        <v>232.255</v>
      </c>
      <c r="D501" s="67">
        <v>234.06</v>
      </c>
      <c r="E501" s="67">
        <v>550862</v>
      </c>
      <c r="F501" s="67" t="s">
        <v>521</v>
      </c>
      <c r="G501" s="25">
        <f t="shared" si="4"/>
        <v>-7.2630949329233196E-4</v>
      </c>
    </row>
    <row r="502" spans="1:7">
      <c r="A502" s="67">
        <v>233.87</v>
      </c>
      <c r="B502" s="67">
        <v>234.70500000000001</v>
      </c>
      <c r="C502" s="67">
        <v>229.38</v>
      </c>
      <c r="D502" s="67">
        <v>230.45</v>
      </c>
      <c r="E502" s="67">
        <v>694313</v>
      </c>
      <c r="F502" s="67" t="s">
        <v>522</v>
      </c>
      <c r="G502" s="25">
        <f t="shared" si="4"/>
        <v>1.4840529399001934E-2</v>
      </c>
    </row>
    <row r="503" spans="1:7">
      <c r="A503" s="67">
        <v>230.45</v>
      </c>
      <c r="B503" s="67">
        <v>232.56</v>
      </c>
      <c r="C503" s="67">
        <v>225.28</v>
      </c>
      <c r="D503" s="67">
        <v>227.75</v>
      </c>
      <c r="E503" s="67">
        <v>1092564</v>
      </c>
      <c r="F503" s="67" t="s">
        <v>523</v>
      </c>
      <c r="G503" s="25">
        <f t="shared" si="4"/>
        <v>1.1855104281009776E-2</v>
      </c>
    </row>
    <row r="504" spans="1:7">
      <c r="A504" s="67">
        <v>227.73</v>
      </c>
      <c r="B504" s="67">
        <v>229.77</v>
      </c>
      <c r="C504" s="67">
        <v>220.1</v>
      </c>
      <c r="D504" s="67">
        <v>224.98</v>
      </c>
      <c r="E504" s="67">
        <v>792394</v>
      </c>
      <c r="F504" s="67" t="s">
        <v>524</v>
      </c>
      <c r="G504" s="25">
        <f t="shared" ref="G504:G567" si="5">A504/D504-1</f>
        <v>1.2223308738554595E-2</v>
      </c>
    </row>
    <row r="505" spans="1:7">
      <c r="A505" s="67">
        <v>226.5</v>
      </c>
      <c r="B505" s="67">
        <v>227.255</v>
      </c>
      <c r="C505" s="67">
        <v>217.82</v>
      </c>
      <c r="D505" s="67">
        <v>217.82</v>
      </c>
      <c r="E505" s="67">
        <v>906084</v>
      </c>
      <c r="F505" s="67" t="s">
        <v>525</v>
      </c>
      <c r="G505" s="25">
        <f t="shared" si="5"/>
        <v>3.9849416949775174E-2</v>
      </c>
    </row>
    <row r="506" spans="1:7">
      <c r="A506" s="67">
        <v>219.13</v>
      </c>
      <c r="B506" s="67">
        <v>222</v>
      </c>
      <c r="C506" s="67">
        <v>216</v>
      </c>
      <c r="D506" s="67">
        <v>218.12</v>
      </c>
      <c r="E506" s="67">
        <v>836053</v>
      </c>
      <c r="F506" s="67" t="s">
        <v>526</v>
      </c>
      <c r="G506" s="25">
        <f t="shared" si="5"/>
        <v>4.6304786356132777E-3</v>
      </c>
    </row>
    <row r="507" spans="1:7">
      <c r="A507" s="67">
        <v>214.75</v>
      </c>
      <c r="B507" s="67">
        <v>217.71559999999999</v>
      </c>
      <c r="C507" s="67">
        <v>211.27</v>
      </c>
      <c r="D507" s="67">
        <v>216.1</v>
      </c>
      <c r="E507" s="67">
        <v>559605</v>
      </c>
      <c r="F507" s="67" t="s">
        <v>527</v>
      </c>
      <c r="G507" s="25">
        <f t="shared" si="5"/>
        <v>-6.2471078204534569E-3</v>
      </c>
    </row>
    <row r="508" spans="1:7">
      <c r="A508" s="67">
        <v>216.11</v>
      </c>
      <c r="B508" s="67">
        <v>221.61</v>
      </c>
      <c r="C508" s="67">
        <v>211.88</v>
      </c>
      <c r="D508" s="67">
        <v>213.55</v>
      </c>
      <c r="E508" s="67">
        <v>940840</v>
      </c>
      <c r="F508" s="67" t="s">
        <v>528</v>
      </c>
      <c r="G508" s="25">
        <f t="shared" si="5"/>
        <v>1.1987824865371088E-2</v>
      </c>
    </row>
    <row r="509" spans="1:7">
      <c r="A509" s="67">
        <v>212.51</v>
      </c>
      <c r="B509" s="67">
        <v>219.52440000000001</v>
      </c>
      <c r="C509" s="67">
        <v>204.02</v>
      </c>
      <c r="D509" s="67">
        <v>206.63</v>
      </c>
      <c r="E509" s="67">
        <v>1282479</v>
      </c>
      <c r="F509" s="67" t="s">
        <v>529</v>
      </c>
      <c r="G509" s="25">
        <f t="shared" si="5"/>
        <v>2.8456661665779315E-2</v>
      </c>
    </row>
    <row r="510" spans="1:7">
      <c r="A510" s="67">
        <v>206.69</v>
      </c>
      <c r="B510" s="67">
        <v>206.78</v>
      </c>
      <c r="C510" s="67">
        <v>199.685</v>
      </c>
      <c r="D510" s="67">
        <v>202</v>
      </c>
      <c r="E510" s="67">
        <v>718293</v>
      </c>
      <c r="F510" s="67" t="s">
        <v>530</v>
      </c>
      <c r="G510" s="25">
        <f t="shared" si="5"/>
        <v>2.3217821782178127E-2</v>
      </c>
    </row>
    <row r="511" spans="1:7">
      <c r="A511" s="67">
        <v>202.77</v>
      </c>
      <c r="B511" s="67">
        <v>209.22</v>
      </c>
      <c r="C511" s="67">
        <v>201.15</v>
      </c>
      <c r="D511" s="67">
        <v>207.99</v>
      </c>
      <c r="E511" s="67">
        <v>606040</v>
      </c>
      <c r="F511" s="67" t="s">
        <v>531</v>
      </c>
      <c r="G511" s="25">
        <f t="shared" si="5"/>
        <v>-2.5097360450021644E-2</v>
      </c>
    </row>
    <row r="512" spans="1:7">
      <c r="A512" s="67">
        <v>205.15</v>
      </c>
      <c r="B512" s="67">
        <v>207.3</v>
      </c>
      <c r="C512" s="67">
        <v>204.35</v>
      </c>
      <c r="D512" s="67">
        <v>205.92</v>
      </c>
      <c r="E512" s="67">
        <v>702853</v>
      </c>
      <c r="F512" s="67" t="s">
        <v>532</v>
      </c>
      <c r="G512" s="25">
        <f t="shared" si="5"/>
        <v>-3.739316239316115E-3</v>
      </c>
    </row>
    <row r="513" spans="1:7">
      <c r="A513" s="67">
        <v>204.42</v>
      </c>
      <c r="B513" s="67">
        <v>205.46</v>
      </c>
      <c r="C513" s="67">
        <v>191.77</v>
      </c>
      <c r="D513" s="67">
        <v>191.77</v>
      </c>
      <c r="E513" s="67">
        <v>1271539</v>
      </c>
      <c r="F513" s="67" t="s">
        <v>533</v>
      </c>
      <c r="G513" s="25">
        <f t="shared" si="5"/>
        <v>6.5964436564634576E-2</v>
      </c>
    </row>
    <row r="514" spans="1:7">
      <c r="A514" s="67">
        <v>192.58</v>
      </c>
      <c r="B514" s="67">
        <v>196.52</v>
      </c>
      <c r="C514" s="67">
        <v>183.31299999999999</v>
      </c>
      <c r="D514" s="67">
        <v>186.15</v>
      </c>
      <c r="E514" s="67">
        <v>1211471</v>
      </c>
      <c r="F514" s="67" t="s">
        <v>534</v>
      </c>
      <c r="G514" s="25">
        <f t="shared" si="5"/>
        <v>3.4542035992479292E-2</v>
      </c>
    </row>
    <row r="515" spans="1:7">
      <c r="A515" s="67">
        <v>180.69</v>
      </c>
      <c r="B515" s="67">
        <v>185.16</v>
      </c>
      <c r="C515" s="67">
        <v>180.31</v>
      </c>
      <c r="D515" s="67">
        <v>185.04</v>
      </c>
      <c r="E515" s="67">
        <v>416475</v>
      </c>
      <c r="F515" s="67" t="s">
        <v>535</v>
      </c>
      <c r="G515" s="25">
        <f t="shared" si="5"/>
        <v>-2.3508430609597841E-2</v>
      </c>
    </row>
    <row r="516" spans="1:7">
      <c r="A516" s="67">
        <v>185.04</v>
      </c>
      <c r="B516" s="67">
        <v>188.25</v>
      </c>
      <c r="C516" s="67">
        <v>182.54499999999999</v>
      </c>
      <c r="D516" s="67">
        <v>187.13</v>
      </c>
      <c r="E516" s="67">
        <v>502606</v>
      </c>
      <c r="F516" s="67" t="s">
        <v>536</v>
      </c>
      <c r="G516" s="25">
        <f t="shared" si="5"/>
        <v>-1.1168706246994065E-2</v>
      </c>
    </row>
    <row r="517" spans="1:7">
      <c r="A517" s="67">
        <v>185.66</v>
      </c>
      <c r="B517" s="67">
        <v>186.76</v>
      </c>
      <c r="C517" s="67">
        <v>183.12</v>
      </c>
      <c r="D517" s="67">
        <v>186.76</v>
      </c>
      <c r="E517" s="67">
        <v>569155</v>
      </c>
      <c r="F517" s="67" t="s">
        <v>537</v>
      </c>
      <c r="G517" s="25">
        <f t="shared" si="5"/>
        <v>-5.8899121867637128E-3</v>
      </c>
    </row>
    <row r="518" spans="1:7">
      <c r="A518" s="67">
        <v>185.8</v>
      </c>
      <c r="B518" s="67">
        <v>186.58</v>
      </c>
      <c r="C518" s="67">
        <v>183.43</v>
      </c>
      <c r="D518" s="67">
        <v>183.85</v>
      </c>
      <c r="E518" s="67">
        <v>663438</v>
      </c>
      <c r="F518" s="67" t="s">
        <v>538</v>
      </c>
      <c r="G518" s="25">
        <f t="shared" si="5"/>
        <v>1.0606472667936018E-2</v>
      </c>
    </row>
    <row r="519" spans="1:7">
      <c r="A519" s="67">
        <v>182.47</v>
      </c>
      <c r="B519" s="67">
        <v>193.45</v>
      </c>
      <c r="C519" s="67">
        <v>180.84</v>
      </c>
      <c r="D519" s="67">
        <v>192.73</v>
      </c>
      <c r="E519" s="67">
        <v>1268910</v>
      </c>
      <c r="F519" s="67" t="s">
        <v>539</v>
      </c>
      <c r="G519" s="25">
        <f t="shared" si="5"/>
        <v>-5.323509572977736E-2</v>
      </c>
    </row>
    <row r="520" spans="1:7">
      <c r="A520" s="67">
        <v>195.92</v>
      </c>
      <c r="B520" s="67">
        <v>198.11</v>
      </c>
      <c r="C520" s="67">
        <v>193.68</v>
      </c>
      <c r="D520" s="67">
        <v>194.57</v>
      </c>
      <c r="E520" s="67">
        <v>483422</v>
      </c>
      <c r="F520" s="67" t="s">
        <v>540</v>
      </c>
      <c r="G520" s="25">
        <f t="shared" si="5"/>
        <v>6.9383769337512113E-3</v>
      </c>
    </row>
    <row r="521" spans="1:7">
      <c r="A521" s="67">
        <v>193.51</v>
      </c>
      <c r="B521" s="67">
        <v>196.94</v>
      </c>
      <c r="C521" s="67">
        <v>191.94</v>
      </c>
      <c r="D521" s="67">
        <v>195.12</v>
      </c>
      <c r="E521" s="67">
        <v>510272</v>
      </c>
      <c r="F521" s="67" t="s">
        <v>541</v>
      </c>
      <c r="G521" s="25">
        <f t="shared" si="5"/>
        <v>-8.2513325133252158E-3</v>
      </c>
    </row>
    <row r="522" spans="1:7">
      <c r="A522" s="67">
        <v>195.03</v>
      </c>
      <c r="B522" s="67">
        <v>196.9</v>
      </c>
      <c r="C522" s="67">
        <v>193.19</v>
      </c>
      <c r="D522" s="67">
        <v>194.46</v>
      </c>
      <c r="E522" s="67">
        <v>533584</v>
      </c>
      <c r="F522" s="67" t="s">
        <v>542</v>
      </c>
      <c r="G522" s="25">
        <f t="shared" si="5"/>
        <v>2.9311940759024768E-3</v>
      </c>
    </row>
    <row r="523" spans="1:7">
      <c r="A523" s="67">
        <v>191.54</v>
      </c>
      <c r="B523" s="67">
        <v>196.48</v>
      </c>
      <c r="C523" s="67">
        <v>191.52</v>
      </c>
      <c r="D523" s="67">
        <v>193.24</v>
      </c>
      <c r="E523" s="67">
        <v>542388</v>
      </c>
      <c r="F523" s="67" t="s">
        <v>543</v>
      </c>
      <c r="G523" s="25">
        <f t="shared" si="5"/>
        <v>-8.7973504450424844E-3</v>
      </c>
    </row>
    <row r="524" spans="1:7">
      <c r="A524" s="67">
        <v>194.59</v>
      </c>
      <c r="B524" s="67">
        <v>195.2483</v>
      </c>
      <c r="C524" s="67">
        <v>188.73</v>
      </c>
      <c r="D524" s="67">
        <v>189</v>
      </c>
      <c r="E524" s="67">
        <v>711057</v>
      </c>
      <c r="F524" s="67" t="s">
        <v>544</v>
      </c>
      <c r="G524" s="25">
        <f t="shared" si="5"/>
        <v>2.957671957671959E-2</v>
      </c>
    </row>
    <row r="525" spans="1:7">
      <c r="A525" s="67">
        <v>188.05</v>
      </c>
      <c r="B525" s="67">
        <v>191.66</v>
      </c>
      <c r="C525" s="67">
        <v>181.23</v>
      </c>
      <c r="D525" s="67">
        <v>183.24</v>
      </c>
      <c r="E525" s="67">
        <v>932929</v>
      </c>
      <c r="F525" s="67" t="s">
        <v>545</v>
      </c>
      <c r="G525" s="25">
        <f t="shared" si="5"/>
        <v>2.6249727133813572E-2</v>
      </c>
    </row>
    <row r="526" spans="1:7">
      <c r="A526" s="67">
        <v>182.19</v>
      </c>
      <c r="B526" s="67">
        <v>187.8</v>
      </c>
      <c r="C526" s="67">
        <v>173</v>
      </c>
      <c r="D526" s="67">
        <v>174.21</v>
      </c>
      <c r="E526" s="67">
        <v>2129777</v>
      </c>
      <c r="F526" s="67" t="s">
        <v>546</v>
      </c>
      <c r="G526" s="25">
        <f t="shared" si="5"/>
        <v>4.5806784914758092E-2</v>
      </c>
    </row>
    <row r="527" spans="1:7">
      <c r="A527" s="67">
        <v>199.79</v>
      </c>
      <c r="B527" s="67">
        <v>200.27</v>
      </c>
      <c r="C527" s="67">
        <v>189.215</v>
      </c>
      <c r="D527" s="67">
        <v>190</v>
      </c>
      <c r="E527" s="67">
        <v>924656</v>
      </c>
      <c r="F527" s="67" t="s">
        <v>547</v>
      </c>
      <c r="G527" s="25">
        <f t="shared" si="5"/>
        <v>5.1526315789473642E-2</v>
      </c>
    </row>
    <row r="528" spans="1:7">
      <c r="A528" s="67">
        <v>190.39</v>
      </c>
      <c r="B528" s="67">
        <v>196</v>
      </c>
      <c r="C528" s="67">
        <v>186.815</v>
      </c>
      <c r="D528" s="67">
        <v>190</v>
      </c>
      <c r="E528" s="67">
        <v>963696</v>
      </c>
      <c r="F528" s="67" t="s">
        <v>548</v>
      </c>
      <c r="G528" s="25">
        <f t="shared" si="5"/>
        <v>2.052631578947306E-3</v>
      </c>
    </row>
    <row r="529" spans="1:7">
      <c r="A529" s="67">
        <v>196.35</v>
      </c>
      <c r="B529" s="67">
        <v>197.8</v>
      </c>
      <c r="C529" s="67">
        <v>189.05</v>
      </c>
      <c r="D529" s="67">
        <v>190.59</v>
      </c>
      <c r="E529" s="67">
        <v>727593</v>
      </c>
      <c r="F529" s="67" t="s">
        <v>549</v>
      </c>
      <c r="G529" s="25">
        <f t="shared" si="5"/>
        <v>3.0221942389422329E-2</v>
      </c>
    </row>
    <row r="530" spans="1:7">
      <c r="A530" s="67">
        <v>190.58</v>
      </c>
      <c r="B530" s="67">
        <v>194.06</v>
      </c>
      <c r="C530" s="67">
        <v>185.16</v>
      </c>
      <c r="D530" s="67">
        <v>188.8</v>
      </c>
      <c r="E530" s="67">
        <v>778773</v>
      </c>
      <c r="F530" s="67" t="s">
        <v>550</v>
      </c>
      <c r="G530" s="25">
        <f t="shared" si="5"/>
        <v>9.4279661016949401E-3</v>
      </c>
    </row>
    <row r="531" spans="1:7">
      <c r="A531" s="67">
        <v>196.45</v>
      </c>
      <c r="B531" s="67">
        <v>197.02</v>
      </c>
      <c r="C531" s="67">
        <v>186.65</v>
      </c>
      <c r="D531" s="67">
        <v>196.87</v>
      </c>
      <c r="E531" s="67">
        <v>843823</v>
      </c>
      <c r="F531" s="67" t="s">
        <v>551</v>
      </c>
      <c r="G531" s="25">
        <f t="shared" si="5"/>
        <v>-2.1333875146036796E-3</v>
      </c>
    </row>
    <row r="532" spans="1:7">
      <c r="A532" s="67">
        <v>197.25</v>
      </c>
      <c r="B532" s="67">
        <v>198.095</v>
      </c>
      <c r="C532" s="67">
        <v>190.66</v>
      </c>
      <c r="D532" s="67">
        <v>194.82</v>
      </c>
      <c r="E532" s="67">
        <v>548325</v>
      </c>
      <c r="F532" s="67" t="s">
        <v>552</v>
      </c>
      <c r="G532" s="25">
        <f t="shared" si="5"/>
        <v>1.2473052048044275E-2</v>
      </c>
    </row>
    <row r="533" spans="1:7">
      <c r="A533" s="67">
        <v>194.35</v>
      </c>
      <c r="B533" s="67">
        <v>197.12</v>
      </c>
      <c r="C533" s="67">
        <v>191.1</v>
      </c>
      <c r="D533" s="67">
        <v>195.37</v>
      </c>
      <c r="E533" s="67">
        <v>750157</v>
      </c>
      <c r="F533" s="67" t="s">
        <v>553</v>
      </c>
      <c r="G533" s="25">
        <f t="shared" si="5"/>
        <v>-5.2208629779393334E-3</v>
      </c>
    </row>
    <row r="534" spans="1:7">
      <c r="A534" s="67">
        <v>193.79</v>
      </c>
      <c r="B534" s="67">
        <v>195.54</v>
      </c>
      <c r="C534" s="67">
        <v>191.07</v>
      </c>
      <c r="D534" s="67">
        <v>192.71</v>
      </c>
      <c r="E534" s="67">
        <v>503831</v>
      </c>
      <c r="F534" s="67" t="s">
        <v>554</v>
      </c>
      <c r="G534" s="25">
        <f t="shared" si="5"/>
        <v>5.6042758549115224E-3</v>
      </c>
    </row>
    <row r="535" spans="1:7">
      <c r="A535" s="67">
        <v>191.83</v>
      </c>
      <c r="B535" s="67">
        <v>194.75</v>
      </c>
      <c r="C535" s="67">
        <v>186.64</v>
      </c>
      <c r="D535" s="67">
        <v>193.74</v>
      </c>
      <c r="E535" s="67">
        <v>770464</v>
      </c>
      <c r="F535" s="67" t="s">
        <v>555</v>
      </c>
      <c r="G535" s="25">
        <f t="shared" si="5"/>
        <v>-9.8585733457210445E-3</v>
      </c>
    </row>
    <row r="536" spans="1:7">
      <c r="A536" s="67">
        <v>193.3</v>
      </c>
      <c r="B536" s="67">
        <v>198.23</v>
      </c>
      <c r="C536" s="67">
        <v>180.45</v>
      </c>
      <c r="D536" s="67">
        <v>196.58</v>
      </c>
      <c r="E536" s="67">
        <v>1848011</v>
      </c>
      <c r="F536" s="67" t="s">
        <v>556</v>
      </c>
      <c r="G536" s="25">
        <f t="shared" si="5"/>
        <v>-1.6685318954115402E-2</v>
      </c>
    </row>
    <row r="537" spans="1:7">
      <c r="A537" s="67">
        <v>190.88</v>
      </c>
      <c r="B537" s="67">
        <v>197.55</v>
      </c>
      <c r="C537" s="67">
        <v>190.64</v>
      </c>
      <c r="D537" s="67">
        <v>192.62</v>
      </c>
      <c r="E537" s="67">
        <v>778919</v>
      </c>
      <c r="F537" s="67" t="s">
        <v>557</v>
      </c>
      <c r="G537" s="25">
        <f t="shared" si="5"/>
        <v>-9.0333298722874433E-3</v>
      </c>
    </row>
    <row r="538" spans="1:7">
      <c r="A538" s="67">
        <v>194.38</v>
      </c>
      <c r="B538" s="67">
        <v>198.44</v>
      </c>
      <c r="C538" s="67">
        <v>191.92</v>
      </c>
      <c r="D538" s="67">
        <v>196.54</v>
      </c>
      <c r="E538" s="67">
        <v>298830</v>
      </c>
      <c r="F538" s="67" t="s">
        <v>558</v>
      </c>
      <c r="G538" s="25">
        <f t="shared" si="5"/>
        <v>-1.0990129235778912E-2</v>
      </c>
    </row>
    <row r="539" spans="1:7">
      <c r="A539" s="67">
        <v>196.76</v>
      </c>
      <c r="B539" s="67">
        <v>199.48</v>
      </c>
      <c r="C539" s="67">
        <v>193.23</v>
      </c>
      <c r="D539" s="67">
        <v>195.11</v>
      </c>
      <c r="E539" s="67">
        <v>312580</v>
      </c>
      <c r="F539" s="67" t="s">
        <v>559</v>
      </c>
      <c r="G539" s="25">
        <f t="shared" si="5"/>
        <v>8.4567679770384263E-3</v>
      </c>
    </row>
    <row r="540" spans="1:7">
      <c r="A540" s="67">
        <v>194.23</v>
      </c>
      <c r="B540" s="67">
        <v>197.25</v>
      </c>
      <c r="C540" s="67">
        <v>191.36</v>
      </c>
      <c r="D540" s="67">
        <v>196.4</v>
      </c>
      <c r="E540" s="67">
        <v>399113</v>
      </c>
      <c r="F540" s="67" t="s">
        <v>560</v>
      </c>
      <c r="G540" s="25">
        <f t="shared" si="5"/>
        <v>-1.104887983706726E-2</v>
      </c>
    </row>
    <row r="541" spans="1:7">
      <c r="A541" s="67">
        <v>195.03</v>
      </c>
      <c r="B541" s="67">
        <v>198.59</v>
      </c>
      <c r="C541" s="67">
        <v>191.99</v>
      </c>
      <c r="D541" s="67">
        <v>197.01</v>
      </c>
      <c r="E541" s="67">
        <v>653929</v>
      </c>
      <c r="F541" s="67" t="s">
        <v>561</v>
      </c>
      <c r="G541" s="25">
        <f t="shared" si="5"/>
        <v>-1.005025125628134E-2</v>
      </c>
    </row>
    <row r="542" spans="1:7">
      <c r="A542" s="67">
        <v>194.96</v>
      </c>
      <c r="B542" s="67">
        <v>202.54</v>
      </c>
      <c r="C542" s="67">
        <v>190.48</v>
      </c>
      <c r="D542" s="67">
        <v>197.65</v>
      </c>
      <c r="E542" s="67">
        <v>671179</v>
      </c>
      <c r="F542" s="67" t="s">
        <v>562</v>
      </c>
      <c r="G542" s="25">
        <f t="shared" si="5"/>
        <v>-1.3609916519099374E-2</v>
      </c>
    </row>
    <row r="543" spans="1:7">
      <c r="A543" s="67">
        <v>197.65</v>
      </c>
      <c r="B543" s="67">
        <v>205.26</v>
      </c>
      <c r="C543" s="67">
        <v>195.89</v>
      </c>
      <c r="D543" s="67">
        <v>199.33</v>
      </c>
      <c r="E543" s="67">
        <v>656724</v>
      </c>
      <c r="F543" s="67" t="s">
        <v>563</v>
      </c>
      <c r="G543" s="25">
        <f t="shared" si="5"/>
        <v>-8.4282345858627261E-3</v>
      </c>
    </row>
    <row r="544" spans="1:7">
      <c r="A544" s="67">
        <v>201.39</v>
      </c>
      <c r="B544" s="67">
        <v>205.66</v>
      </c>
      <c r="C544" s="67">
        <v>198.95</v>
      </c>
      <c r="D544" s="67">
        <v>200.62</v>
      </c>
      <c r="E544" s="67">
        <v>828266</v>
      </c>
      <c r="F544" s="67" t="s">
        <v>564</v>
      </c>
      <c r="G544" s="25">
        <f t="shared" si="5"/>
        <v>3.8381018841591175E-3</v>
      </c>
    </row>
    <row r="545" spans="1:7">
      <c r="A545" s="67">
        <v>198.87</v>
      </c>
      <c r="B545" s="67">
        <v>204.13</v>
      </c>
      <c r="C545" s="67">
        <v>197.95</v>
      </c>
      <c r="D545" s="67">
        <v>201.27</v>
      </c>
      <c r="E545" s="67">
        <v>531929</v>
      </c>
      <c r="F545" s="67" t="s">
        <v>565</v>
      </c>
      <c r="G545" s="25">
        <f t="shared" si="5"/>
        <v>-1.1924280816813293E-2</v>
      </c>
    </row>
    <row r="546" spans="1:7">
      <c r="A546" s="67">
        <v>201.98</v>
      </c>
      <c r="B546" s="67">
        <v>209.35</v>
      </c>
      <c r="C546" s="67">
        <v>201.84</v>
      </c>
      <c r="D546" s="67">
        <v>204</v>
      </c>
      <c r="E546" s="67">
        <v>618633</v>
      </c>
      <c r="F546" s="67" t="s">
        <v>566</v>
      </c>
      <c r="G546" s="25">
        <f t="shared" si="5"/>
        <v>-9.9019607843138235E-3</v>
      </c>
    </row>
    <row r="547" spans="1:7">
      <c r="A547" s="67">
        <v>203.62</v>
      </c>
      <c r="B547" s="67">
        <v>205.4</v>
      </c>
      <c r="C547" s="67">
        <v>197.8</v>
      </c>
      <c r="D547" s="67">
        <v>199.7</v>
      </c>
      <c r="E547" s="67">
        <v>485912</v>
      </c>
      <c r="F547" s="67" t="s">
        <v>567</v>
      </c>
      <c r="G547" s="25">
        <f t="shared" si="5"/>
        <v>1.9629444166249455E-2</v>
      </c>
    </row>
    <row r="548" spans="1:7">
      <c r="A548" s="67">
        <v>197.67</v>
      </c>
      <c r="B548" s="67">
        <v>197.97</v>
      </c>
      <c r="C548" s="67">
        <v>190.98500000000001</v>
      </c>
      <c r="D548" s="67">
        <v>195.96</v>
      </c>
      <c r="E548" s="67">
        <v>449799</v>
      </c>
      <c r="F548" s="67" t="s">
        <v>568</v>
      </c>
      <c r="G548" s="25">
        <f t="shared" si="5"/>
        <v>8.7262706674831048E-3</v>
      </c>
    </row>
    <row r="549" spans="1:7">
      <c r="A549" s="67">
        <v>195.17</v>
      </c>
      <c r="B549" s="67">
        <v>198.68</v>
      </c>
      <c r="C549" s="67">
        <v>193.73</v>
      </c>
      <c r="D549" s="67">
        <v>198.36</v>
      </c>
      <c r="E549" s="67">
        <v>585876</v>
      </c>
      <c r="F549" s="67" t="s">
        <v>569</v>
      </c>
      <c r="G549" s="25">
        <f t="shared" si="5"/>
        <v>-1.6081871345029364E-2</v>
      </c>
    </row>
    <row r="550" spans="1:7">
      <c r="A550" s="67">
        <v>198.67</v>
      </c>
      <c r="B550" s="67">
        <v>201</v>
      </c>
      <c r="C550" s="67">
        <v>192.29</v>
      </c>
      <c r="D550" s="67">
        <v>196.21</v>
      </c>
      <c r="E550" s="67">
        <v>466097</v>
      </c>
      <c r="F550" s="67" t="s">
        <v>570</v>
      </c>
      <c r="G550" s="25">
        <f t="shared" si="5"/>
        <v>1.2537587278935725E-2</v>
      </c>
    </row>
    <row r="551" spans="1:7">
      <c r="A551" s="67">
        <v>196.9</v>
      </c>
      <c r="B551" s="67">
        <v>198.03</v>
      </c>
      <c r="C551" s="67">
        <v>194.8</v>
      </c>
      <c r="D551" s="67">
        <v>196.15</v>
      </c>
      <c r="E551" s="67">
        <v>295792</v>
      </c>
      <c r="F551" s="67" t="s">
        <v>571</v>
      </c>
      <c r="G551" s="25">
        <f t="shared" si="5"/>
        <v>3.8236043843997702E-3</v>
      </c>
    </row>
    <row r="552" spans="1:7">
      <c r="A552" s="67">
        <v>196.72</v>
      </c>
      <c r="B552" s="67">
        <v>199.33500000000001</v>
      </c>
      <c r="C552" s="67">
        <v>194.48500000000001</v>
      </c>
      <c r="D552" s="67">
        <v>198.9</v>
      </c>
      <c r="E552" s="67">
        <v>266689</v>
      </c>
      <c r="F552" s="67" t="s">
        <v>572</v>
      </c>
      <c r="G552" s="25">
        <f t="shared" si="5"/>
        <v>-1.0960281548516915E-2</v>
      </c>
    </row>
    <row r="553" spans="1:7">
      <c r="A553" s="67">
        <v>197.19</v>
      </c>
      <c r="B553" s="67">
        <v>202.2</v>
      </c>
      <c r="C553" s="67">
        <v>195.8</v>
      </c>
      <c r="D553" s="67">
        <v>199.33</v>
      </c>
      <c r="E553" s="67">
        <v>519894</v>
      </c>
      <c r="F553" s="67" t="s">
        <v>573</v>
      </c>
      <c r="G553" s="25">
        <f t="shared" si="5"/>
        <v>-1.0735965484372723E-2</v>
      </c>
    </row>
    <row r="554" spans="1:7">
      <c r="A554" s="67">
        <v>196.16</v>
      </c>
      <c r="B554" s="67">
        <v>208.9</v>
      </c>
      <c r="C554" s="67">
        <v>195.16</v>
      </c>
      <c r="D554" s="67">
        <v>201.8</v>
      </c>
      <c r="E554" s="67">
        <v>696572</v>
      </c>
      <c r="F554" s="67" t="s">
        <v>574</v>
      </c>
      <c r="G554" s="25">
        <f t="shared" si="5"/>
        <v>-2.7948463825569925E-2</v>
      </c>
    </row>
    <row r="555" spans="1:7">
      <c r="A555" s="67">
        <v>201.8</v>
      </c>
      <c r="B555" s="67">
        <v>207.46</v>
      </c>
      <c r="C555" s="67">
        <v>200.03</v>
      </c>
      <c r="D555" s="67">
        <v>206.36</v>
      </c>
      <c r="E555" s="67">
        <v>923894</v>
      </c>
      <c r="F555" s="67" t="s">
        <v>575</v>
      </c>
      <c r="G555" s="25">
        <f t="shared" si="5"/>
        <v>-2.2097305679395274E-2</v>
      </c>
    </row>
    <row r="556" spans="1:7">
      <c r="A556" s="67">
        <v>206.98</v>
      </c>
      <c r="B556" s="67">
        <v>208.21</v>
      </c>
      <c r="C556" s="67">
        <v>204.38</v>
      </c>
      <c r="D556" s="67">
        <v>207.02</v>
      </c>
      <c r="E556" s="67">
        <v>585258</v>
      </c>
      <c r="F556" s="67" t="s">
        <v>576</v>
      </c>
      <c r="G556" s="25">
        <f t="shared" si="5"/>
        <v>-1.9321804656569075E-4</v>
      </c>
    </row>
    <row r="557" spans="1:7">
      <c r="A557" s="67">
        <v>206.81</v>
      </c>
      <c r="B557" s="67">
        <v>207.77</v>
      </c>
      <c r="C557" s="67">
        <v>204.11</v>
      </c>
      <c r="D557" s="67">
        <v>204.19</v>
      </c>
      <c r="E557" s="67">
        <v>843193</v>
      </c>
      <c r="F557" s="67" t="s">
        <v>577</v>
      </c>
      <c r="G557" s="25">
        <f t="shared" si="5"/>
        <v>1.2831186639894243E-2</v>
      </c>
    </row>
    <row r="558" spans="1:7">
      <c r="A558" s="67">
        <v>205.75</v>
      </c>
      <c r="B558" s="67">
        <v>207.72</v>
      </c>
      <c r="C558" s="67">
        <v>202.57</v>
      </c>
      <c r="D558" s="67">
        <v>204.06</v>
      </c>
      <c r="E558" s="67">
        <v>921643</v>
      </c>
      <c r="F558" s="67" t="s">
        <v>578</v>
      </c>
      <c r="G558" s="25">
        <f t="shared" si="5"/>
        <v>8.2818778790552106E-3</v>
      </c>
    </row>
    <row r="559" spans="1:7">
      <c r="A559" s="67">
        <v>203.94</v>
      </c>
      <c r="B559" s="67">
        <v>206.5</v>
      </c>
      <c r="C559" s="67">
        <v>201.34</v>
      </c>
      <c r="D559" s="67">
        <v>204.25</v>
      </c>
      <c r="E559" s="67">
        <v>1309245</v>
      </c>
      <c r="F559" s="67" t="s">
        <v>579</v>
      </c>
      <c r="G559" s="25">
        <f t="shared" si="5"/>
        <v>-1.517747858017171E-3</v>
      </c>
    </row>
    <row r="560" spans="1:7">
      <c r="A560" s="67">
        <v>204.1</v>
      </c>
      <c r="B560" s="67">
        <v>204.39500000000001</v>
      </c>
      <c r="C560" s="67">
        <v>199.31</v>
      </c>
      <c r="D560" s="67">
        <v>200</v>
      </c>
      <c r="E560" s="67">
        <v>1052439</v>
      </c>
      <c r="F560" s="67" t="s">
        <v>580</v>
      </c>
      <c r="G560" s="25">
        <f t="shared" si="5"/>
        <v>2.0499999999999963E-2</v>
      </c>
    </row>
    <row r="561" spans="1:7">
      <c r="A561" s="67">
        <v>199.31</v>
      </c>
      <c r="B561" s="67">
        <v>199.5599</v>
      </c>
      <c r="C561" s="67">
        <v>194.17</v>
      </c>
      <c r="D561" s="67">
        <v>195.9</v>
      </c>
      <c r="E561" s="67">
        <v>595762</v>
      </c>
      <c r="F561" s="67" t="s">
        <v>581</v>
      </c>
      <c r="G561" s="25">
        <f t="shared" si="5"/>
        <v>1.740684022460437E-2</v>
      </c>
    </row>
    <row r="562" spans="1:7">
      <c r="A562" s="67">
        <v>196.4</v>
      </c>
      <c r="B562" s="67">
        <v>199.02</v>
      </c>
      <c r="C562" s="67">
        <v>193.74</v>
      </c>
      <c r="D562" s="67">
        <v>197.59</v>
      </c>
      <c r="E562" s="67">
        <v>408014</v>
      </c>
      <c r="F562" s="67" t="s">
        <v>582</v>
      </c>
      <c r="G562" s="25">
        <f t="shared" si="5"/>
        <v>-6.0225719925097732E-3</v>
      </c>
    </row>
    <row r="563" spans="1:7">
      <c r="A563" s="67">
        <v>198.4</v>
      </c>
      <c r="B563" s="67">
        <v>200.85</v>
      </c>
      <c r="C563" s="67">
        <v>198.1</v>
      </c>
      <c r="D563" s="67">
        <v>198.63</v>
      </c>
      <c r="E563" s="67">
        <v>690232</v>
      </c>
      <c r="F563" s="67" t="s">
        <v>583</v>
      </c>
      <c r="G563" s="25">
        <f t="shared" si="5"/>
        <v>-1.1579318330563471E-3</v>
      </c>
    </row>
    <row r="564" spans="1:7">
      <c r="A564" s="67">
        <v>200.45</v>
      </c>
      <c r="B564" s="67">
        <v>202.04</v>
      </c>
      <c r="C564" s="67">
        <v>197.97739999999999</v>
      </c>
      <c r="D564" s="67">
        <v>201.03</v>
      </c>
      <c r="E564" s="67">
        <v>483060</v>
      </c>
      <c r="F564" s="67" t="s">
        <v>584</v>
      </c>
      <c r="G564" s="25">
        <f t="shared" si="5"/>
        <v>-2.8851415211660347E-3</v>
      </c>
    </row>
    <row r="565" spans="1:7">
      <c r="A565" s="67">
        <v>201.84</v>
      </c>
      <c r="B565" s="67">
        <v>204.74</v>
      </c>
      <c r="C565" s="67">
        <v>196.3</v>
      </c>
      <c r="D565" s="67">
        <v>200.7</v>
      </c>
      <c r="E565" s="67">
        <v>926628</v>
      </c>
      <c r="F565" s="67" t="s">
        <v>585</v>
      </c>
      <c r="G565" s="25">
        <f t="shared" si="5"/>
        <v>5.6801195814648597E-3</v>
      </c>
    </row>
    <row r="566" spans="1:7">
      <c r="A566" s="67">
        <v>200.67</v>
      </c>
      <c r="B566" s="67">
        <v>203.69</v>
      </c>
      <c r="C566" s="67">
        <v>194.13</v>
      </c>
      <c r="D566" s="67">
        <v>195</v>
      </c>
      <c r="E566" s="67">
        <v>1066447</v>
      </c>
      <c r="F566" s="67" t="s">
        <v>586</v>
      </c>
      <c r="G566" s="25">
        <f t="shared" si="5"/>
        <v>2.9076923076923E-2</v>
      </c>
    </row>
    <row r="567" spans="1:7">
      <c r="A567" s="67">
        <v>192.16</v>
      </c>
      <c r="B567" s="67">
        <v>194.21</v>
      </c>
      <c r="C567" s="67">
        <v>190.77</v>
      </c>
      <c r="D567" s="67">
        <v>192.2</v>
      </c>
      <c r="E567" s="67">
        <v>598696</v>
      </c>
      <c r="F567" s="67" t="s">
        <v>587</v>
      </c>
      <c r="G567" s="25">
        <f t="shared" si="5"/>
        <v>-2.0811654526531331E-4</v>
      </c>
    </row>
    <row r="568" spans="1:7">
      <c r="A568" s="67">
        <v>192.04</v>
      </c>
      <c r="B568" s="67">
        <v>192.35499999999999</v>
      </c>
      <c r="C568" s="67">
        <v>186.9374</v>
      </c>
      <c r="D568" s="67">
        <v>189.32</v>
      </c>
      <c r="E568" s="67">
        <v>541328</v>
      </c>
      <c r="F568" s="67" t="s">
        <v>588</v>
      </c>
      <c r="G568" s="25">
        <f t="shared" ref="G568:G631" si="6">A568/D568-1</f>
        <v>1.4367208958377287E-2</v>
      </c>
    </row>
    <row r="569" spans="1:7">
      <c r="A569" s="67">
        <v>191.42</v>
      </c>
      <c r="B569" s="67">
        <v>194.38</v>
      </c>
      <c r="C569" s="67">
        <v>189.52</v>
      </c>
      <c r="D569" s="67">
        <v>190</v>
      </c>
      <c r="E569" s="67">
        <v>533135</v>
      </c>
      <c r="F569" s="67" t="s">
        <v>589</v>
      </c>
      <c r="G569" s="25">
        <f t="shared" si="6"/>
        <v>7.4736842105262991E-3</v>
      </c>
    </row>
    <row r="570" spans="1:7">
      <c r="A570" s="67">
        <v>192.42</v>
      </c>
      <c r="B570" s="67">
        <v>194.54</v>
      </c>
      <c r="C570" s="67">
        <v>186.62</v>
      </c>
      <c r="D570" s="67">
        <v>186.62</v>
      </c>
      <c r="E570" s="67">
        <v>989110</v>
      </c>
      <c r="F570" s="67" t="s">
        <v>590</v>
      </c>
      <c r="G570" s="25">
        <f t="shared" si="6"/>
        <v>3.1079198371021244E-2</v>
      </c>
    </row>
    <row r="571" spans="1:7">
      <c r="A571" s="67">
        <v>187.68</v>
      </c>
      <c r="B571" s="67">
        <v>189.41</v>
      </c>
      <c r="C571" s="67">
        <v>181.6901</v>
      </c>
      <c r="D571" s="67">
        <v>181.81</v>
      </c>
      <c r="E571" s="67">
        <v>772192</v>
      </c>
      <c r="F571" s="67" t="s">
        <v>591</v>
      </c>
      <c r="G571" s="25">
        <f t="shared" si="6"/>
        <v>3.2286452890380124E-2</v>
      </c>
    </row>
    <row r="572" spans="1:7">
      <c r="A572" s="67">
        <v>181.81</v>
      </c>
      <c r="B572" s="67">
        <v>184.4</v>
      </c>
      <c r="C572" s="67">
        <v>179.845</v>
      </c>
      <c r="D572" s="67">
        <v>181.38</v>
      </c>
      <c r="E572" s="67">
        <v>563669</v>
      </c>
      <c r="F572" s="67" t="s">
        <v>592</v>
      </c>
      <c r="G572" s="25">
        <f t="shared" si="6"/>
        <v>2.3707134193406976E-3</v>
      </c>
    </row>
    <row r="573" spans="1:7">
      <c r="A573" s="67">
        <v>181.41499999999999</v>
      </c>
      <c r="B573" s="67">
        <v>185.3</v>
      </c>
      <c r="C573" s="67">
        <v>172.07</v>
      </c>
      <c r="D573" s="67">
        <v>177.4</v>
      </c>
      <c r="E573" s="67">
        <v>676567</v>
      </c>
      <c r="F573" s="67" t="s">
        <v>593</v>
      </c>
      <c r="G573" s="25">
        <f t="shared" si="6"/>
        <v>2.2632468996617749E-2</v>
      </c>
    </row>
    <row r="574" spans="1:7">
      <c r="A574" s="67">
        <v>177.19</v>
      </c>
      <c r="B574" s="67">
        <v>180.65</v>
      </c>
      <c r="C574" s="67">
        <v>175.33</v>
      </c>
      <c r="D574" s="67">
        <v>176.85</v>
      </c>
      <c r="E574" s="67">
        <v>1487214</v>
      </c>
      <c r="F574" s="67" t="s">
        <v>594</v>
      </c>
      <c r="G574" s="25">
        <f t="shared" si="6"/>
        <v>1.9225332202432721E-3</v>
      </c>
    </row>
    <row r="575" spans="1:7">
      <c r="A575" s="67">
        <v>175.95</v>
      </c>
      <c r="B575" s="67">
        <v>179.97989999999999</v>
      </c>
      <c r="C575" s="67">
        <v>172.97</v>
      </c>
      <c r="D575" s="67">
        <v>173.74</v>
      </c>
      <c r="E575" s="67">
        <v>945611</v>
      </c>
      <c r="F575" s="67" t="s">
        <v>595</v>
      </c>
      <c r="G575" s="25">
        <f t="shared" si="6"/>
        <v>1.2720156555772855E-2</v>
      </c>
    </row>
    <row r="576" spans="1:7">
      <c r="A576" s="67">
        <v>172.25</v>
      </c>
      <c r="B576" s="67">
        <v>177.56649999999999</v>
      </c>
      <c r="C576" s="67">
        <v>171.61</v>
      </c>
      <c r="D576" s="67">
        <v>175.61</v>
      </c>
      <c r="E576" s="67">
        <v>618372</v>
      </c>
      <c r="F576" s="67" t="s">
        <v>596</v>
      </c>
      <c r="G576" s="25">
        <f t="shared" si="6"/>
        <v>-1.9133306759296254E-2</v>
      </c>
    </row>
    <row r="577" spans="1:7">
      <c r="A577" s="67">
        <v>177.82</v>
      </c>
      <c r="B577" s="67">
        <v>181.68</v>
      </c>
      <c r="C577" s="67">
        <v>177.48</v>
      </c>
      <c r="D577" s="67">
        <v>180.33</v>
      </c>
      <c r="E577" s="67">
        <v>421462</v>
      </c>
      <c r="F577" s="67" t="s">
        <v>597</v>
      </c>
      <c r="G577" s="25">
        <f t="shared" si="6"/>
        <v>-1.3918926412687993E-2</v>
      </c>
    </row>
    <row r="578" spans="1:7">
      <c r="A578" s="67">
        <v>180.07</v>
      </c>
      <c r="B578" s="67">
        <v>180.22</v>
      </c>
      <c r="C578" s="67">
        <v>170.79</v>
      </c>
      <c r="D578" s="67">
        <v>171.41</v>
      </c>
      <c r="E578" s="67">
        <v>680303</v>
      </c>
      <c r="F578" s="67" t="s">
        <v>598</v>
      </c>
      <c r="G578" s="25">
        <f t="shared" si="6"/>
        <v>5.0522139898488971E-2</v>
      </c>
    </row>
    <row r="579" spans="1:7">
      <c r="A579" s="67">
        <v>170.79</v>
      </c>
      <c r="B579" s="67">
        <v>180.72</v>
      </c>
      <c r="C579" s="67">
        <v>170.67</v>
      </c>
      <c r="D579" s="67">
        <v>180.56</v>
      </c>
      <c r="E579" s="67">
        <v>787347</v>
      </c>
      <c r="F579" s="67" t="s">
        <v>599</v>
      </c>
      <c r="G579" s="25">
        <f t="shared" si="6"/>
        <v>-5.4109437306158692E-2</v>
      </c>
    </row>
    <row r="580" spans="1:7">
      <c r="A580" s="67">
        <v>181.08</v>
      </c>
      <c r="B580" s="67">
        <v>184.1</v>
      </c>
      <c r="C580" s="67">
        <v>180.01</v>
      </c>
      <c r="D580" s="67">
        <v>182.58</v>
      </c>
      <c r="E580" s="67">
        <v>675297</v>
      </c>
      <c r="F580" s="67" t="s">
        <v>600</v>
      </c>
      <c r="G580" s="25">
        <f t="shared" si="6"/>
        <v>-8.215576733486718E-3</v>
      </c>
    </row>
    <row r="581" spans="1:7">
      <c r="A581" s="67">
        <v>182.79</v>
      </c>
      <c r="B581" s="67">
        <v>184.5</v>
      </c>
      <c r="C581" s="67">
        <v>180.25</v>
      </c>
      <c r="D581" s="67">
        <v>183.98</v>
      </c>
      <c r="E581" s="67">
        <v>739587</v>
      </c>
      <c r="F581" s="67" t="s">
        <v>601</v>
      </c>
      <c r="G581" s="25">
        <f t="shared" si="6"/>
        <v>-6.4680943580823769E-3</v>
      </c>
    </row>
    <row r="582" spans="1:7">
      <c r="A582" s="67">
        <v>184.14</v>
      </c>
      <c r="B582" s="67">
        <v>188.97</v>
      </c>
      <c r="C582" s="67">
        <v>182.42</v>
      </c>
      <c r="D582" s="67">
        <v>187.27</v>
      </c>
      <c r="E582" s="67">
        <v>585580</v>
      </c>
      <c r="F582" s="67" t="s">
        <v>602</v>
      </c>
      <c r="G582" s="25">
        <f t="shared" si="6"/>
        <v>-1.6713835638383245E-2</v>
      </c>
    </row>
    <row r="583" spans="1:7">
      <c r="A583" s="67">
        <v>187.27</v>
      </c>
      <c r="B583" s="67">
        <v>187.66499999999999</v>
      </c>
      <c r="C583" s="67">
        <v>182.8</v>
      </c>
      <c r="D583" s="67">
        <v>185.38</v>
      </c>
      <c r="E583" s="67">
        <v>723372</v>
      </c>
      <c r="F583" s="67" t="s">
        <v>603</v>
      </c>
      <c r="G583" s="25">
        <f t="shared" si="6"/>
        <v>1.0195274571151325E-2</v>
      </c>
    </row>
    <row r="584" spans="1:7">
      <c r="A584" s="67">
        <v>185.38</v>
      </c>
      <c r="B584" s="67">
        <v>185.95500000000001</v>
      </c>
      <c r="C584" s="67">
        <v>180.04</v>
      </c>
      <c r="D584" s="67">
        <v>180.56</v>
      </c>
      <c r="E584" s="67">
        <v>1079789</v>
      </c>
      <c r="F584" s="67" t="s">
        <v>604</v>
      </c>
      <c r="G584" s="25">
        <f t="shared" si="6"/>
        <v>2.6694727514399608E-2</v>
      </c>
    </row>
    <row r="585" spans="1:7">
      <c r="A585" s="67">
        <v>180.56</v>
      </c>
      <c r="B585" s="67">
        <v>181.3</v>
      </c>
      <c r="C585" s="67">
        <v>172.79</v>
      </c>
      <c r="D585" s="67">
        <v>174.25</v>
      </c>
      <c r="E585" s="67">
        <v>987665</v>
      </c>
      <c r="F585" s="67" t="s">
        <v>605</v>
      </c>
      <c r="G585" s="25">
        <f t="shared" si="6"/>
        <v>3.6212338593974103E-2</v>
      </c>
    </row>
    <row r="586" spans="1:7">
      <c r="A586" s="67">
        <v>172.27</v>
      </c>
      <c r="B586" s="67">
        <v>174.31</v>
      </c>
      <c r="C586" s="67">
        <v>160.19</v>
      </c>
      <c r="D586" s="67">
        <v>161.81</v>
      </c>
      <c r="E586" s="67">
        <v>2319853</v>
      </c>
      <c r="F586" s="67" t="s">
        <v>606</v>
      </c>
      <c r="G586" s="25">
        <f t="shared" si="6"/>
        <v>6.464371794079482E-2</v>
      </c>
    </row>
    <row r="587" spans="1:7">
      <c r="A587" s="67">
        <v>161.02000000000001</v>
      </c>
      <c r="B587" s="67">
        <v>170.49</v>
      </c>
      <c r="C587" s="67">
        <v>160.22999999999999</v>
      </c>
      <c r="D587" s="67">
        <v>166</v>
      </c>
      <c r="E587" s="67">
        <v>1750499</v>
      </c>
      <c r="F587" s="67" t="s">
        <v>607</v>
      </c>
      <c r="G587" s="25">
        <f t="shared" si="6"/>
        <v>-2.9999999999999916E-2</v>
      </c>
    </row>
    <row r="588" spans="1:7">
      <c r="A588" s="67">
        <v>165.9</v>
      </c>
      <c r="B588" s="67">
        <v>193.3</v>
      </c>
      <c r="C588" s="67">
        <v>162.715</v>
      </c>
      <c r="D588" s="67">
        <v>181.87</v>
      </c>
      <c r="E588" s="67">
        <v>3176414</v>
      </c>
      <c r="F588" s="67" t="s">
        <v>608</v>
      </c>
      <c r="G588" s="25">
        <f t="shared" si="6"/>
        <v>-8.7809974157365134E-2</v>
      </c>
    </row>
    <row r="589" spans="1:7">
      <c r="A589" s="67">
        <v>177.53</v>
      </c>
      <c r="B589" s="67">
        <v>179.04</v>
      </c>
      <c r="C589" s="67">
        <v>175.78</v>
      </c>
      <c r="D589" s="67">
        <v>177</v>
      </c>
      <c r="E589" s="67">
        <v>1833632</v>
      </c>
      <c r="F589" s="67" t="s">
        <v>609</v>
      </c>
      <c r="G589" s="25">
        <f t="shared" si="6"/>
        <v>2.994350282485847E-3</v>
      </c>
    </row>
    <row r="590" spans="1:7">
      <c r="A590" s="67">
        <v>175.57</v>
      </c>
      <c r="B590" s="67">
        <v>182.99</v>
      </c>
      <c r="C590" s="67">
        <v>175.17</v>
      </c>
      <c r="D590" s="67">
        <v>179</v>
      </c>
      <c r="E590" s="67">
        <v>1071807</v>
      </c>
      <c r="F590" s="67" t="s">
        <v>610</v>
      </c>
      <c r="G590" s="25">
        <f t="shared" si="6"/>
        <v>-1.916201117318439E-2</v>
      </c>
    </row>
    <row r="591" spans="1:7">
      <c r="A591" s="67">
        <v>184.28</v>
      </c>
      <c r="B591" s="67">
        <v>185.02</v>
      </c>
      <c r="C591" s="67">
        <v>178</v>
      </c>
      <c r="D591" s="67">
        <v>181.1</v>
      </c>
      <c r="E591" s="67">
        <v>1062375</v>
      </c>
      <c r="F591" s="67" t="s">
        <v>611</v>
      </c>
      <c r="G591" s="25">
        <f t="shared" si="6"/>
        <v>1.7559359469906166E-2</v>
      </c>
    </row>
    <row r="592" spans="1:7">
      <c r="A592" s="67">
        <v>176.4</v>
      </c>
      <c r="B592" s="67">
        <v>177.86</v>
      </c>
      <c r="C592" s="67">
        <v>174.37</v>
      </c>
      <c r="D592" s="67">
        <v>175.51</v>
      </c>
      <c r="E592" s="67">
        <v>550235</v>
      </c>
      <c r="F592" s="67" t="s">
        <v>612</v>
      </c>
      <c r="G592" s="25">
        <f t="shared" si="6"/>
        <v>5.0709361289955623E-3</v>
      </c>
    </row>
    <row r="593" spans="1:7">
      <c r="A593" s="67">
        <v>174.43</v>
      </c>
      <c r="B593" s="67">
        <v>180.25</v>
      </c>
      <c r="C593" s="67">
        <v>174.108</v>
      </c>
      <c r="D593" s="67">
        <v>176.84</v>
      </c>
      <c r="E593" s="67">
        <v>614615</v>
      </c>
      <c r="F593" s="67" t="s">
        <v>613</v>
      </c>
      <c r="G593" s="25">
        <f t="shared" si="6"/>
        <v>-1.3628138430219372E-2</v>
      </c>
    </row>
    <row r="594" spans="1:7">
      <c r="A594" s="67">
        <v>173.42</v>
      </c>
      <c r="B594" s="67">
        <v>173.6</v>
      </c>
      <c r="C594" s="67">
        <v>168.28</v>
      </c>
      <c r="D594" s="67">
        <v>173.02</v>
      </c>
      <c r="E594" s="67">
        <v>630543</v>
      </c>
      <c r="F594" s="67" t="s">
        <v>614</v>
      </c>
      <c r="G594" s="25">
        <f t="shared" si="6"/>
        <v>2.3118714599466017E-3</v>
      </c>
    </row>
    <row r="595" spans="1:7">
      <c r="A595" s="67">
        <v>170.27</v>
      </c>
      <c r="B595" s="67">
        <v>174.85</v>
      </c>
      <c r="C595" s="67">
        <v>169.27789999999999</v>
      </c>
      <c r="D595" s="67">
        <v>171.59</v>
      </c>
      <c r="E595" s="67">
        <v>582320</v>
      </c>
      <c r="F595" s="67" t="s">
        <v>615</v>
      </c>
      <c r="G595" s="25">
        <f t="shared" si="6"/>
        <v>-7.692755988111144E-3</v>
      </c>
    </row>
    <row r="596" spans="1:7">
      <c r="A596" s="67">
        <v>171.94</v>
      </c>
      <c r="B596" s="67">
        <v>174.02</v>
      </c>
      <c r="C596" s="67">
        <v>168.24</v>
      </c>
      <c r="D596" s="67">
        <v>168.65</v>
      </c>
      <c r="E596" s="67">
        <v>758586</v>
      </c>
      <c r="F596" s="67" t="s">
        <v>616</v>
      </c>
      <c r="G596" s="25">
        <f t="shared" si="6"/>
        <v>1.9507856507559929E-2</v>
      </c>
    </row>
    <row r="597" spans="1:7">
      <c r="A597" s="67">
        <v>170.26</v>
      </c>
      <c r="B597" s="67">
        <v>170.27</v>
      </c>
      <c r="C597" s="67">
        <v>165.84</v>
      </c>
      <c r="D597" s="67">
        <v>167.6</v>
      </c>
      <c r="E597" s="67">
        <v>602109</v>
      </c>
      <c r="F597" s="67" t="s">
        <v>617</v>
      </c>
      <c r="G597" s="25">
        <f t="shared" si="6"/>
        <v>1.5871121718377124E-2</v>
      </c>
    </row>
    <row r="598" spans="1:7">
      <c r="A598" s="67">
        <v>166.19</v>
      </c>
      <c r="B598" s="67">
        <v>168.43</v>
      </c>
      <c r="C598" s="67">
        <v>162.99</v>
      </c>
      <c r="D598" s="67">
        <v>163.32</v>
      </c>
      <c r="E598" s="67">
        <v>636152</v>
      </c>
      <c r="F598" s="67" t="s">
        <v>618</v>
      </c>
      <c r="G598" s="25">
        <f t="shared" si="6"/>
        <v>1.7572863090864699E-2</v>
      </c>
    </row>
    <row r="599" spans="1:7">
      <c r="A599" s="67">
        <v>164.17</v>
      </c>
      <c r="B599" s="67">
        <v>167.25</v>
      </c>
      <c r="C599" s="67">
        <v>160.375</v>
      </c>
      <c r="D599" s="67">
        <v>166.64</v>
      </c>
      <c r="E599" s="67">
        <v>864267</v>
      </c>
      <c r="F599" s="67" t="s">
        <v>619</v>
      </c>
      <c r="G599" s="25">
        <f t="shared" si="6"/>
        <v>-1.4822371579452653E-2</v>
      </c>
    </row>
    <row r="600" spans="1:7">
      <c r="A600" s="67">
        <v>167.25</v>
      </c>
      <c r="B600" s="67">
        <v>169.34</v>
      </c>
      <c r="C600" s="67">
        <v>165.85</v>
      </c>
      <c r="D600" s="67">
        <v>168.18</v>
      </c>
      <c r="E600" s="67">
        <v>664223</v>
      </c>
      <c r="F600" s="67" t="s">
        <v>620</v>
      </c>
      <c r="G600" s="25">
        <f t="shared" si="6"/>
        <v>-5.529789511237948E-3</v>
      </c>
    </row>
    <row r="601" spans="1:7">
      <c r="A601" s="67">
        <v>167.27</v>
      </c>
      <c r="B601" s="67">
        <v>168.81989999999999</v>
      </c>
      <c r="C601" s="67">
        <v>164.61</v>
      </c>
      <c r="D601" s="67">
        <v>164.61</v>
      </c>
      <c r="E601" s="67">
        <v>549714</v>
      </c>
      <c r="F601" s="67" t="s">
        <v>621</v>
      </c>
      <c r="G601" s="25">
        <f t="shared" si="6"/>
        <v>1.6159407083409238E-2</v>
      </c>
    </row>
    <row r="602" spans="1:7">
      <c r="A602" s="67">
        <v>164.42</v>
      </c>
      <c r="B602" s="67">
        <v>166.75</v>
      </c>
      <c r="C602" s="67">
        <v>164.05500000000001</v>
      </c>
      <c r="D602" s="67">
        <v>165.73</v>
      </c>
      <c r="E602" s="67">
        <v>677655</v>
      </c>
      <c r="F602" s="67" t="s">
        <v>622</v>
      </c>
      <c r="G602" s="25">
        <f t="shared" si="6"/>
        <v>-7.9044228564533192E-3</v>
      </c>
    </row>
    <row r="603" spans="1:7">
      <c r="A603" s="67">
        <v>166.25</v>
      </c>
      <c r="B603" s="67">
        <v>167.1</v>
      </c>
      <c r="C603" s="67">
        <v>162.11000000000001</v>
      </c>
      <c r="D603" s="67">
        <v>165.29</v>
      </c>
      <c r="E603" s="67">
        <v>844656</v>
      </c>
      <c r="F603" s="67" t="s">
        <v>623</v>
      </c>
      <c r="G603" s="25">
        <f t="shared" si="6"/>
        <v>5.8079738641176881E-3</v>
      </c>
    </row>
    <row r="604" spans="1:7">
      <c r="A604" s="67">
        <v>164.73</v>
      </c>
      <c r="B604" s="67">
        <v>169.24</v>
      </c>
      <c r="C604" s="67">
        <v>163.85</v>
      </c>
      <c r="D604" s="67">
        <v>166.44</v>
      </c>
      <c r="E604" s="67">
        <v>589071</v>
      </c>
      <c r="F604" s="67" t="s">
        <v>624</v>
      </c>
      <c r="G604" s="25">
        <f t="shared" si="6"/>
        <v>-1.0273972602739767E-2</v>
      </c>
    </row>
    <row r="605" spans="1:7">
      <c r="A605" s="67">
        <v>166.26</v>
      </c>
      <c r="B605" s="67">
        <v>173.74</v>
      </c>
      <c r="C605" s="67">
        <v>165.1</v>
      </c>
      <c r="D605" s="67">
        <v>172.71</v>
      </c>
      <c r="E605" s="67">
        <v>688850</v>
      </c>
      <c r="F605" s="67" t="s">
        <v>625</v>
      </c>
      <c r="G605" s="25">
        <f t="shared" si="6"/>
        <v>-3.7345839847142681E-2</v>
      </c>
    </row>
    <row r="606" spans="1:7">
      <c r="A606" s="67">
        <v>172.71</v>
      </c>
      <c r="B606" s="67">
        <v>174.82</v>
      </c>
      <c r="C606" s="67">
        <v>168.05</v>
      </c>
      <c r="D606" s="67">
        <v>172.87</v>
      </c>
      <c r="E606" s="67">
        <v>656034</v>
      </c>
      <c r="F606" s="67" t="s">
        <v>626</v>
      </c>
      <c r="G606" s="25">
        <f t="shared" si="6"/>
        <v>-9.2555099207491942E-4</v>
      </c>
    </row>
    <row r="607" spans="1:7">
      <c r="A607" s="67">
        <v>173.94</v>
      </c>
      <c r="B607" s="67">
        <v>178.42</v>
      </c>
      <c r="C607" s="67">
        <v>173.81</v>
      </c>
      <c r="D607" s="67">
        <v>176.42</v>
      </c>
      <c r="E607" s="67">
        <v>818337</v>
      </c>
      <c r="F607" s="67" t="s">
        <v>627</v>
      </c>
      <c r="G607" s="25">
        <f t="shared" si="6"/>
        <v>-1.4057363110758336E-2</v>
      </c>
    </row>
    <row r="608" spans="1:7">
      <c r="A608" s="67">
        <v>175.22</v>
      </c>
      <c r="B608" s="67">
        <v>178.49</v>
      </c>
      <c r="C608" s="67">
        <v>174.11500000000001</v>
      </c>
      <c r="D608" s="67">
        <v>177.63</v>
      </c>
      <c r="E608" s="67">
        <v>680529</v>
      </c>
      <c r="F608" s="67" t="s">
        <v>628</v>
      </c>
      <c r="G608" s="25">
        <f t="shared" si="6"/>
        <v>-1.3567528007656371E-2</v>
      </c>
    </row>
    <row r="609" spans="1:7">
      <c r="A609" s="67">
        <v>179.65</v>
      </c>
      <c r="B609" s="67">
        <v>180.01</v>
      </c>
      <c r="C609" s="67">
        <v>174.29499999999999</v>
      </c>
      <c r="D609" s="67">
        <v>179.1</v>
      </c>
      <c r="E609" s="67">
        <v>696787</v>
      </c>
      <c r="F609" s="67" t="s">
        <v>629</v>
      </c>
      <c r="G609" s="25">
        <f t="shared" si="6"/>
        <v>3.0709101060859556E-3</v>
      </c>
    </row>
    <row r="610" spans="1:7">
      <c r="A610" s="67">
        <v>177.41</v>
      </c>
      <c r="B610" s="67">
        <v>177.6386</v>
      </c>
      <c r="C610" s="67">
        <v>172.2578</v>
      </c>
      <c r="D610" s="67">
        <v>174.08</v>
      </c>
      <c r="E610" s="67">
        <v>695269</v>
      </c>
      <c r="F610" s="67" t="s">
        <v>630</v>
      </c>
      <c r="G610" s="25">
        <f t="shared" si="6"/>
        <v>1.9129136029411686E-2</v>
      </c>
    </row>
    <row r="611" spans="1:7">
      <c r="A611" s="67">
        <v>178.01</v>
      </c>
      <c r="B611" s="67">
        <v>179.48249999999999</v>
      </c>
      <c r="C611" s="67">
        <v>170.28</v>
      </c>
      <c r="D611" s="67">
        <v>171.2</v>
      </c>
      <c r="E611" s="67">
        <v>939948</v>
      </c>
      <c r="F611" s="67" t="s">
        <v>631</v>
      </c>
      <c r="G611" s="25">
        <f t="shared" si="6"/>
        <v>3.9778037383177534E-2</v>
      </c>
    </row>
    <row r="612" spans="1:7">
      <c r="A612" s="67">
        <v>170.04</v>
      </c>
      <c r="B612" s="67">
        <v>170.18</v>
      </c>
      <c r="C612" s="67">
        <v>165.04499999999999</v>
      </c>
      <c r="D612" s="67">
        <v>166.3</v>
      </c>
      <c r="E612" s="67">
        <v>1093981</v>
      </c>
      <c r="F612" s="67" t="s">
        <v>632</v>
      </c>
      <c r="G612" s="25">
        <f t="shared" si="6"/>
        <v>2.2489476849067769E-2</v>
      </c>
    </row>
    <row r="613" spans="1:7">
      <c r="A613" s="67">
        <v>165</v>
      </c>
      <c r="B613" s="67">
        <v>165.97</v>
      </c>
      <c r="C613" s="67">
        <v>161.68</v>
      </c>
      <c r="D613" s="67">
        <v>163.05000000000001</v>
      </c>
      <c r="E613" s="67">
        <v>573062</v>
      </c>
      <c r="F613" s="67" t="s">
        <v>633</v>
      </c>
      <c r="G613" s="25">
        <f t="shared" si="6"/>
        <v>1.1959521619135272E-2</v>
      </c>
    </row>
    <row r="614" spans="1:7">
      <c r="A614" s="67">
        <v>163.25</v>
      </c>
      <c r="B614" s="67">
        <v>167.27</v>
      </c>
      <c r="C614" s="67">
        <v>162.86000000000001</v>
      </c>
      <c r="D614" s="67">
        <v>165.73</v>
      </c>
      <c r="E614" s="67">
        <v>451166</v>
      </c>
      <c r="F614" s="67" t="s">
        <v>634</v>
      </c>
      <c r="G614" s="25">
        <f t="shared" si="6"/>
        <v>-1.4964098232064127E-2</v>
      </c>
    </row>
    <row r="615" spans="1:7">
      <c r="A615" s="67">
        <v>164.86</v>
      </c>
      <c r="B615" s="67">
        <v>166</v>
      </c>
      <c r="C615" s="67">
        <v>163.25</v>
      </c>
      <c r="D615" s="67">
        <v>163.25</v>
      </c>
      <c r="E615" s="67">
        <v>432358</v>
      </c>
      <c r="F615" s="67" t="s">
        <v>635</v>
      </c>
      <c r="G615" s="25">
        <f t="shared" si="6"/>
        <v>9.8621745788669557E-3</v>
      </c>
    </row>
    <row r="616" spans="1:7">
      <c r="A616" s="67">
        <v>164.05</v>
      </c>
      <c r="B616" s="67">
        <v>166.98</v>
      </c>
      <c r="C616" s="67">
        <v>163.054</v>
      </c>
      <c r="D616" s="67">
        <v>166.51</v>
      </c>
      <c r="E616" s="67">
        <v>735505</v>
      </c>
      <c r="F616" s="67" t="s">
        <v>636</v>
      </c>
      <c r="G616" s="25">
        <f t="shared" si="6"/>
        <v>-1.4773887454206824E-2</v>
      </c>
    </row>
    <row r="617" spans="1:7">
      <c r="A617" s="67">
        <v>168.1</v>
      </c>
      <c r="B617" s="67">
        <v>171.77500000000001</v>
      </c>
      <c r="C617" s="67">
        <v>165.82</v>
      </c>
      <c r="D617" s="67">
        <v>171.27</v>
      </c>
      <c r="E617" s="67">
        <v>757228</v>
      </c>
      <c r="F617" s="67" t="s">
        <v>637</v>
      </c>
      <c r="G617" s="25">
        <f t="shared" si="6"/>
        <v>-1.8508787294914564E-2</v>
      </c>
    </row>
    <row r="618" spans="1:7">
      <c r="A618" s="67">
        <v>171.4</v>
      </c>
      <c r="B618" s="67">
        <v>172.21299999999999</v>
      </c>
      <c r="C618" s="67">
        <v>169.22</v>
      </c>
      <c r="D618" s="67">
        <v>170</v>
      </c>
      <c r="E618" s="67">
        <v>786601</v>
      </c>
      <c r="F618" s="67" t="s">
        <v>638</v>
      </c>
      <c r="G618" s="25">
        <f t="shared" si="6"/>
        <v>8.2352941176471184E-3</v>
      </c>
    </row>
    <row r="619" spans="1:7">
      <c r="A619" s="67">
        <v>169.18</v>
      </c>
      <c r="B619" s="67">
        <v>169.25</v>
      </c>
      <c r="C619" s="67">
        <v>162.47</v>
      </c>
      <c r="D619" s="67">
        <v>167.1</v>
      </c>
      <c r="E619" s="67">
        <v>996108</v>
      </c>
      <c r="F619" s="67" t="s">
        <v>639</v>
      </c>
      <c r="G619" s="25">
        <f t="shared" si="6"/>
        <v>1.2447636146020402E-2</v>
      </c>
    </row>
    <row r="620" spans="1:7">
      <c r="A620" s="67">
        <v>165.52</v>
      </c>
      <c r="B620" s="67">
        <v>167.07</v>
      </c>
      <c r="C620" s="67">
        <v>163.11000000000001</v>
      </c>
      <c r="D620" s="67">
        <v>167.07</v>
      </c>
      <c r="E620" s="67">
        <v>595773</v>
      </c>
      <c r="F620" s="67" t="s">
        <v>640</v>
      </c>
      <c r="G620" s="25">
        <f t="shared" si="6"/>
        <v>-9.2775483330339581E-3</v>
      </c>
    </row>
    <row r="621" spans="1:7">
      <c r="A621" s="67">
        <v>164.75</v>
      </c>
      <c r="B621" s="67">
        <v>165.89769999999999</v>
      </c>
      <c r="C621" s="67">
        <v>163.13</v>
      </c>
      <c r="D621" s="67">
        <v>165.62</v>
      </c>
      <c r="E621" s="67">
        <v>828541</v>
      </c>
      <c r="F621" s="67" t="s">
        <v>641</v>
      </c>
      <c r="G621" s="25">
        <f t="shared" si="6"/>
        <v>-5.2529887694723332E-3</v>
      </c>
    </row>
    <row r="622" spans="1:7">
      <c r="A622" s="67">
        <v>164.31</v>
      </c>
      <c r="B622" s="67">
        <v>166.75</v>
      </c>
      <c r="C622" s="67">
        <v>162.05000000000001</v>
      </c>
      <c r="D622" s="67">
        <v>166.75</v>
      </c>
      <c r="E622" s="67">
        <v>623099</v>
      </c>
      <c r="F622" s="67" t="s">
        <v>642</v>
      </c>
      <c r="G622" s="25">
        <f t="shared" si="6"/>
        <v>-1.4632683658170942E-2</v>
      </c>
    </row>
    <row r="623" spans="1:7">
      <c r="A623" s="67">
        <v>166.64</v>
      </c>
      <c r="B623" s="67">
        <v>170.38</v>
      </c>
      <c r="C623" s="67">
        <v>166.28</v>
      </c>
      <c r="D623" s="67">
        <v>169.06</v>
      </c>
      <c r="E623" s="67">
        <v>432909</v>
      </c>
      <c r="F623" s="67" t="s">
        <v>643</v>
      </c>
      <c r="G623" s="25">
        <f t="shared" si="6"/>
        <v>-1.4314444575890262E-2</v>
      </c>
    </row>
    <row r="624" spans="1:7">
      <c r="A624" s="67">
        <v>167.2</v>
      </c>
      <c r="B624" s="67">
        <v>171.86</v>
      </c>
      <c r="C624" s="67">
        <v>162.55000000000001</v>
      </c>
      <c r="D624" s="67">
        <v>170.81</v>
      </c>
      <c r="E624" s="67">
        <v>991466</v>
      </c>
      <c r="F624" s="67" t="s">
        <v>644</v>
      </c>
      <c r="G624" s="25">
        <f t="shared" si="6"/>
        <v>-2.1134593993325956E-2</v>
      </c>
    </row>
    <row r="625" spans="1:7">
      <c r="A625" s="67">
        <v>170.61</v>
      </c>
      <c r="B625" s="67">
        <v>171.85</v>
      </c>
      <c r="C625" s="67">
        <v>164.02</v>
      </c>
      <c r="D625" s="67">
        <v>171.07</v>
      </c>
      <c r="E625" s="67">
        <v>1206989</v>
      </c>
      <c r="F625" s="67" t="s">
        <v>645</v>
      </c>
      <c r="G625" s="25">
        <f t="shared" si="6"/>
        <v>-2.6889577365989403E-3</v>
      </c>
    </row>
    <row r="626" spans="1:7">
      <c r="A626" s="67">
        <v>171.68</v>
      </c>
      <c r="B626" s="67">
        <v>173.76</v>
      </c>
      <c r="C626" s="67">
        <v>164.08</v>
      </c>
      <c r="D626" s="67">
        <v>165.11</v>
      </c>
      <c r="E626" s="67">
        <v>840266</v>
      </c>
      <c r="F626" s="67" t="s">
        <v>646</v>
      </c>
      <c r="G626" s="25">
        <f t="shared" si="6"/>
        <v>3.9791654048815905E-2</v>
      </c>
    </row>
    <row r="627" spans="1:7">
      <c r="A627" s="67">
        <v>165.86</v>
      </c>
      <c r="B627" s="67">
        <v>168.76</v>
      </c>
      <c r="C627" s="67">
        <v>165.47</v>
      </c>
      <c r="D627" s="67">
        <v>166.23</v>
      </c>
      <c r="E627" s="67">
        <v>827957</v>
      </c>
      <c r="F627" s="67" t="s">
        <v>647</v>
      </c>
      <c r="G627" s="25">
        <f t="shared" si="6"/>
        <v>-2.2258316789988131E-3</v>
      </c>
    </row>
    <row r="628" spans="1:7">
      <c r="A628" s="67">
        <v>167.7</v>
      </c>
      <c r="B628" s="67">
        <v>176.22</v>
      </c>
      <c r="C628" s="67">
        <v>163.6</v>
      </c>
      <c r="D628" s="67">
        <v>175.54</v>
      </c>
      <c r="E628" s="67">
        <v>1056211</v>
      </c>
      <c r="F628" s="67" t="s">
        <v>648</v>
      </c>
      <c r="G628" s="25">
        <f t="shared" si="6"/>
        <v>-4.466218525692156E-2</v>
      </c>
    </row>
    <row r="629" spans="1:7">
      <c r="A629" s="67">
        <v>175.54</v>
      </c>
      <c r="B629" s="67">
        <v>183.5</v>
      </c>
      <c r="C629" s="67">
        <v>175.33</v>
      </c>
      <c r="D629" s="67">
        <v>182</v>
      </c>
      <c r="E629" s="67">
        <v>549146</v>
      </c>
      <c r="F629" s="67" t="s">
        <v>649</v>
      </c>
      <c r="G629" s="25">
        <f t="shared" si="6"/>
        <v>-3.5494505494505502E-2</v>
      </c>
    </row>
    <row r="630" spans="1:7">
      <c r="A630" s="67">
        <v>181.83</v>
      </c>
      <c r="B630" s="67">
        <v>184.85</v>
      </c>
      <c r="C630" s="67">
        <v>180.964</v>
      </c>
      <c r="D630" s="67">
        <v>182.02</v>
      </c>
      <c r="E630" s="67">
        <v>713576</v>
      </c>
      <c r="F630" s="67" t="s">
        <v>650</v>
      </c>
      <c r="G630" s="25">
        <f t="shared" si="6"/>
        <v>-1.0438413361169019E-3</v>
      </c>
    </row>
    <row r="631" spans="1:7">
      <c r="A631" s="67">
        <v>181.14</v>
      </c>
      <c r="B631" s="67">
        <v>182.51</v>
      </c>
      <c r="C631" s="67">
        <v>177.63</v>
      </c>
      <c r="D631" s="67">
        <v>178.48</v>
      </c>
      <c r="E631" s="67">
        <v>719612</v>
      </c>
      <c r="F631" s="67" t="s">
        <v>651</v>
      </c>
      <c r="G631" s="25">
        <f t="shared" si="6"/>
        <v>1.4903630658897438E-2</v>
      </c>
    </row>
    <row r="632" spans="1:7">
      <c r="A632" s="67">
        <v>179.59</v>
      </c>
      <c r="B632" s="67">
        <v>180.63</v>
      </c>
      <c r="C632" s="67">
        <v>175.5</v>
      </c>
      <c r="D632" s="67">
        <v>175.5</v>
      </c>
      <c r="E632" s="67">
        <v>758621</v>
      </c>
      <c r="F632" s="67" t="s">
        <v>652</v>
      </c>
      <c r="G632" s="25">
        <f t="shared" ref="G632:G695" si="7">A632/D632-1</f>
        <v>2.3304843304843281E-2</v>
      </c>
    </row>
    <row r="633" spans="1:7">
      <c r="A633" s="67">
        <v>175.49</v>
      </c>
      <c r="B633" s="67">
        <v>179.92</v>
      </c>
      <c r="C633" s="67">
        <v>167.23</v>
      </c>
      <c r="D633" s="67">
        <v>167.28</v>
      </c>
      <c r="E633" s="67">
        <v>1256298</v>
      </c>
      <c r="F633" s="67" t="s">
        <v>653</v>
      </c>
      <c r="G633" s="25">
        <f t="shared" si="7"/>
        <v>4.907938785270205E-2</v>
      </c>
    </row>
    <row r="634" spans="1:7">
      <c r="A634" s="67">
        <v>165.7</v>
      </c>
      <c r="B634" s="67">
        <v>169.69</v>
      </c>
      <c r="C634" s="67">
        <v>164.36</v>
      </c>
      <c r="D634" s="67">
        <v>166.09</v>
      </c>
      <c r="E634" s="67">
        <v>761733</v>
      </c>
      <c r="F634" s="67" t="s">
        <v>654</v>
      </c>
      <c r="G634" s="25">
        <f t="shared" si="7"/>
        <v>-2.3481245108074589E-3</v>
      </c>
    </row>
    <row r="635" spans="1:7">
      <c r="A635" s="67">
        <v>163.93</v>
      </c>
      <c r="B635" s="67">
        <v>171.04</v>
      </c>
      <c r="C635" s="67">
        <v>160.84</v>
      </c>
      <c r="D635" s="67">
        <v>171</v>
      </c>
      <c r="E635" s="67">
        <v>942229</v>
      </c>
      <c r="F635" s="67" t="s">
        <v>655</v>
      </c>
      <c r="G635" s="25">
        <f t="shared" si="7"/>
        <v>-4.1345029239766018E-2</v>
      </c>
    </row>
    <row r="636" spans="1:7">
      <c r="A636" s="67">
        <v>167.82</v>
      </c>
      <c r="B636" s="67">
        <v>169.875</v>
      </c>
      <c r="C636" s="67">
        <v>164.42500000000001</v>
      </c>
      <c r="D636" s="67">
        <v>169.35</v>
      </c>
      <c r="E636" s="67">
        <v>924272</v>
      </c>
      <c r="F636" s="67" t="s">
        <v>656</v>
      </c>
      <c r="G636" s="25">
        <f t="shared" si="7"/>
        <v>-9.0345438441098436E-3</v>
      </c>
    </row>
    <row r="637" spans="1:7">
      <c r="A637" s="67">
        <v>169.25</v>
      </c>
      <c r="B637" s="67">
        <v>170.61279999999999</v>
      </c>
      <c r="C637" s="67">
        <v>162.01</v>
      </c>
      <c r="D637" s="67">
        <v>163.65</v>
      </c>
      <c r="E637" s="67">
        <v>1499573</v>
      </c>
      <c r="F637" s="67" t="s">
        <v>657</v>
      </c>
      <c r="G637" s="25">
        <f t="shared" si="7"/>
        <v>3.4219370608004951E-2</v>
      </c>
    </row>
    <row r="638" spans="1:7">
      <c r="A638" s="67">
        <v>164</v>
      </c>
      <c r="B638" s="67">
        <v>164.73</v>
      </c>
      <c r="C638" s="67">
        <v>161.51</v>
      </c>
      <c r="D638" s="67">
        <v>163.13999999999999</v>
      </c>
      <c r="E638" s="67">
        <v>1263702</v>
      </c>
      <c r="F638" s="67" t="s">
        <v>658</v>
      </c>
      <c r="G638" s="25">
        <f t="shared" si="7"/>
        <v>5.2715459114871521E-3</v>
      </c>
    </row>
    <row r="639" spans="1:7">
      <c r="A639" s="67">
        <v>163.6</v>
      </c>
      <c r="B639" s="67">
        <v>167.035</v>
      </c>
      <c r="C639" s="67">
        <v>162.04</v>
      </c>
      <c r="D639" s="67">
        <v>166.83</v>
      </c>
      <c r="E639" s="67">
        <v>1261827</v>
      </c>
      <c r="F639" s="67" t="s">
        <v>659</v>
      </c>
      <c r="G639" s="25">
        <f t="shared" si="7"/>
        <v>-1.9361026194329667E-2</v>
      </c>
    </row>
    <row r="640" spans="1:7">
      <c r="A640" s="67">
        <v>166.62</v>
      </c>
      <c r="B640" s="67">
        <v>169.48500000000001</v>
      </c>
      <c r="C640" s="67">
        <v>163.345</v>
      </c>
      <c r="D640" s="67">
        <v>169.26</v>
      </c>
      <c r="E640" s="67">
        <v>2206090</v>
      </c>
      <c r="F640" s="67" t="s">
        <v>660</v>
      </c>
      <c r="G640" s="25">
        <f t="shared" si="7"/>
        <v>-1.5597305919886506E-2</v>
      </c>
    </row>
    <row r="641" spans="1:7">
      <c r="A641" s="67">
        <v>168.83</v>
      </c>
      <c r="B641" s="67">
        <v>185.07</v>
      </c>
      <c r="C641" s="67">
        <v>167.48</v>
      </c>
      <c r="D641" s="67">
        <v>184.4</v>
      </c>
      <c r="E641" s="67">
        <v>2387934</v>
      </c>
      <c r="F641" s="67" t="s">
        <v>661</v>
      </c>
      <c r="G641" s="25">
        <f t="shared" si="7"/>
        <v>-8.4436008676789576E-2</v>
      </c>
    </row>
    <row r="642" spans="1:7">
      <c r="A642" s="67">
        <v>184.21</v>
      </c>
      <c r="B642" s="67">
        <v>194</v>
      </c>
      <c r="C642" s="67">
        <v>180</v>
      </c>
      <c r="D642" s="67">
        <v>184.93</v>
      </c>
      <c r="E642" s="67">
        <v>1928042</v>
      </c>
      <c r="F642" s="67" t="s">
        <v>662</v>
      </c>
      <c r="G642" s="25">
        <f t="shared" si="7"/>
        <v>-3.8933650570486256E-3</v>
      </c>
    </row>
    <row r="643" spans="1:7">
      <c r="A643" s="67">
        <v>197.14</v>
      </c>
      <c r="B643" s="67">
        <v>198.54499999999999</v>
      </c>
      <c r="C643" s="67">
        <v>192.0692</v>
      </c>
      <c r="D643" s="67">
        <v>193.01</v>
      </c>
      <c r="E643" s="67">
        <v>1232412</v>
      </c>
      <c r="F643" s="67" t="s">
        <v>663</v>
      </c>
      <c r="G643" s="25">
        <f t="shared" si="7"/>
        <v>2.1397855033417956E-2</v>
      </c>
    </row>
    <row r="644" spans="1:7">
      <c r="A644" s="67">
        <v>192.49</v>
      </c>
      <c r="B644" s="67">
        <v>192.92</v>
      </c>
      <c r="C644" s="67">
        <v>189.56</v>
      </c>
      <c r="D644" s="67">
        <v>190</v>
      </c>
      <c r="E644" s="67">
        <v>930389</v>
      </c>
      <c r="F644" s="67" t="s">
        <v>664</v>
      </c>
      <c r="G644" s="25">
        <f t="shared" si="7"/>
        <v>1.3105263157894731E-2</v>
      </c>
    </row>
    <row r="645" spans="1:7">
      <c r="A645" s="67">
        <v>192.21</v>
      </c>
      <c r="B645" s="67">
        <v>192.89</v>
      </c>
      <c r="C645" s="67">
        <v>189.19</v>
      </c>
      <c r="D645" s="67">
        <v>189.86</v>
      </c>
      <c r="E645" s="67">
        <v>781988</v>
      </c>
      <c r="F645" s="67" t="s">
        <v>665</v>
      </c>
      <c r="G645" s="25">
        <f t="shared" si="7"/>
        <v>1.2377541346255017E-2</v>
      </c>
    </row>
    <row r="646" spans="1:7">
      <c r="A646" s="67">
        <v>191.01</v>
      </c>
      <c r="B646" s="67">
        <v>193.99</v>
      </c>
      <c r="C646" s="67">
        <v>188.14</v>
      </c>
      <c r="D646" s="67">
        <v>189.11</v>
      </c>
      <c r="E646" s="67">
        <v>475992</v>
      </c>
      <c r="F646" s="67" t="s">
        <v>666</v>
      </c>
      <c r="G646" s="25">
        <f t="shared" si="7"/>
        <v>1.004706255618415E-2</v>
      </c>
    </row>
    <row r="647" spans="1:7">
      <c r="A647" s="67">
        <v>190.53</v>
      </c>
      <c r="B647" s="67">
        <v>192.07</v>
      </c>
      <c r="C647" s="67">
        <v>186.85499999999999</v>
      </c>
      <c r="D647" s="67">
        <v>191.01</v>
      </c>
      <c r="E647" s="67">
        <v>629374</v>
      </c>
      <c r="F647" s="67" t="s">
        <v>667</v>
      </c>
      <c r="G647" s="25">
        <f t="shared" si="7"/>
        <v>-2.5129574367833696E-3</v>
      </c>
    </row>
    <row r="648" spans="1:7">
      <c r="A648" s="67">
        <v>188.79</v>
      </c>
      <c r="B648" s="67">
        <v>191.56</v>
      </c>
      <c r="C648" s="67">
        <v>186.06</v>
      </c>
      <c r="D648" s="67">
        <v>191.51</v>
      </c>
      <c r="E648" s="67">
        <v>960353</v>
      </c>
      <c r="F648" s="67" t="s">
        <v>668</v>
      </c>
      <c r="G648" s="25">
        <f t="shared" si="7"/>
        <v>-1.4202913685969376E-2</v>
      </c>
    </row>
    <row r="649" spans="1:7">
      <c r="A649" s="67">
        <v>190</v>
      </c>
      <c r="B649" s="67">
        <v>192.85749999999999</v>
      </c>
      <c r="C649" s="67">
        <v>187.2405</v>
      </c>
      <c r="D649" s="67">
        <v>188.21</v>
      </c>
      <c r="E649" s="67">
        <v>625031</v>
      </c>
      <c r="F649" s="67" t="s">
        <v>669</v>
      </c>
      <c r="G649" s="25">
        <f t="shared" si="7"/>
        <v>9.510652993996116E-3</v>
      </c>
    </row>
    <row r="650" spans="1:7">
      <c r="A650" s="67">
        <v>192.11</v>
      </c>
      <c r="B650" s="67">
        <v>193.245</v>
      </c>
      <c r="C650" s="67">
        <v>190.1</v>
      </c>
      <c r="D650" s="67">
        <v>192.01</v>
      </c>
      <c r="E650" s="67">
        <v>839306</v>
      </c>
      <c r="F650" s="67" t="s">
        <v>670</v>
      </c>
      <c r="G650" s="25">
        <f t="shared" si="7"/>
        <v>5.2080620801020494E-4</v>
      </c>
    </row>
    <row r="651" spans="1:7">
      <c r="A651" s="67">
        <v>192.55</v>
      </c>
      <c r="B651" s="67">
        <v>197.46</v>
      </c>
      <c r="C651" s="67">
        <v>191.92</v>
      </c>
      <c r="D651" s="67">
        <v>196.91</v>
      </c>
      <c r="E651" s="67">
        <v>859433</v>
      </c>
      <c r="F651" s="67" t="s">
        <v>671</v>
      </c>
      <c r="G651" s="25">
        <f t="shared" si="7"/>
        <v>-2.2142095373520854E-2</v>
      </c>
    </row>
    <row r="652" spans="1:7">
      <c r="A652" s="67">
        <v>196.64</v>
      </c>
      <c r="B652" s="67">
        <v>198.52500000000001</v>
      </c>
      <c r="C652" s="67">
        <v>194.89</v>
      </c>
      <c r="D652" s="67">
        <v>198.06</v>
      </c>
      <c r="E652" s="67">
        <v>424464</v>
      </c>
      <c r="F652" s="67" t="s">
        <v>672</v>
      </c>
      <c r="G652" s="25">
        <f t="shared" si="7"/>
        <v>-7.1695445824498938E-3</v>
      </c>
    </row>
    <row r="653" spans="1:7">
      <c r="A653" s="67">
        <v>198.75</v>
      </c>
      <c r="B653" s="67">
        <v>202.72</v>
      </c>
      <c r="C653" s="67">
        <v>197.72</v>
      </c>
      <c r="D653" s="67">
        <v>198.3</v>
      </c>
      <c r="E653" s="67">
        <v>571318</v>
      </c>
      <c r="F653" s="67" t="s">
        <v>673</v>
      </c>
      <c r="G653" s="25">
        <f t="shared" si="7"/>
        <v>2.2692889561271024E-3</v>
      </c>
    </row>
    <row r="654" spans="1:7">
      <c r="A654" s="67">
        <v>199.63</v>
      </c>
      <c r="B654" s="67">
        <v>200.32499999999999</v>
      </c>
      <c r="C654" s="67">
        <v>194.19499999999999</v>
      </c>
      <c r="D654" s="67">
        <v>194.98</v>
      </c>
      <c r="E654" s="67">
        <v>787025</v>
      </c>
      <c r="F654" s="67" t="s">
        <v>674</v>
      </c>
      <c r="G654" s="25">
        <f t="shared" si="7"/>
        <v>2.3848599856395536E-2</v>
      </c>
    </row>
    <row r="655" spans="1:7">
      <c r="A655" s="67">
        <v>193.54</v>
      </c>
      <c r="B655" s="67">
        <v>195</v>
      </c>
      <c r="C655" s="67">
        <v>190.435</v>
      </c>
      <c r="D655" s="67">
        <v>191.82</v>
      </c>
      <c r="E655" s="67">
        <v>652911</v>
      </c>
      <c r="F655" s="67" t="s">
        <v>675</v>
      </c>
      <c r="G655" s="25">
        <f t="shared" si="7"/>
        <v>8.966739651756761E-3</v>
      </c>
    </row>
    <row r="656" spans="1:7">
      <c r="A656" s="67">
        <v>194.02</v>
      </c>
      <c r="B656" s="67">
        <v>196.43</v>
      </c>
      <c r="C656" s="67">
        <v>190.17</v>
      </c>
      <c r="D656" s="67">
        <v>190.73</v>
      </c>
      <c r="E656" s="67">
        <v>523235</v>
      </c>
      <c r="F656" s="67" t="s">
        <v>676</v>
      </c>
      <c r="G656" s="25">
        <f t="shared" si="7"/>
        <v>1.7249515021234396E-2</v>
      </c>
    </row>
    <row r="657" spans="1:7">
      <c r="A657" s="67">
        <v>195.4</v>
      </c>
      <c r="B657" s="67">
        <v>195.76</v>
      </c>
      <c r="C657" s="67">
        <v>189.15</v>
      </c>
      <c r="D657" s="67">
        <v>193</v>
      </c>
      <c r="E657" s="67">
        <v>513021</v>
      </c>
      <c r="F657" s="67" t="s">
        <v>677</v>
      </c>
      <c r="G657" s="25">
        <f t="shared" si="7"/>
        <v>1.2435233160621895E-2</v>
      </c>
    </row>
    <row r="658" spans="1:7">
      <c r="A658" s="67">
        <v>190.87</v>
      </c>
      <c r="B658" s="67">
        <v>195.01</v>
      </c>
      <c r="C658" s="67">
        <v>190.28</v>
      </c>
      <c r="D658" s="67">
        <v>192.46</v>
      </c>
      <c r="E658" s="67">
        <v>1760679</v>
      </c>
      <c r="F658" s="67" t="s">
        <v>678</v>
      </c>
      <c r="G658" s="25">
        <f t="shared" si="7"/>
        <v>-8.2614569261145743E-3</v>
      </c>
    </row>
    <row r="659" spans="1:7">
      <c r="A659" s="67">
        <v>192.12</v>
      </c>
      <c r="B659" s="67">
        <v>199.46</v>
      </c>
      <c r="C659" s="67">
        <v>192.01419999999999</v>
      </c>
      <c r="D659" s="67">
        <v>198.13</v>
      </c>
      <c r="E659" s="67">
        <v>756705</v>
      </c>
      <c r="F659" s="67" t="s">
        <v>679</v>
      </c>
      <c r="G659" s="25">
        <f t="shared" si="7"/>
        <v>-3.0333619340836782E-2</v>
      </c>
    </row>
    <row r="660" spans="1:7">
      <c r="A660" s="67">
        <v>199.36</v>
      </c>
      <c r="B660" s="67">
        <v>200.43</v>
      </c>
      <c r="C660" s="67">
        <v>194</v>
      </c>
      <c r="D660" s="67">
        <v>194.94</v>
      </c>
      <c r="E660" s="67">
        <v>798858</v>
      </c>
      <c r="F660" s="67" t="s">
        <v>680</v>
      </c>
      <c r="G660" s="25">
        <f t="shared" si="7"/>
        <v>2.2673643172258284E-2</v>
      </c>
    </row>
    <row r="661" spans="1:7">
      <c r="A661" s="67">
        <v>195.46</v>
      </c>
      <c r="B661" s="67">
        <v>199.5676</v>
      </c>
      <c r="C661" s="67">
        <v>192.43899999999999</v>
      </c>
      <c r="D661" s="67">
        <v>198.98</v>
      </c>
      <c r="E661" s="67">
        <v>826201</v>
      </c>
      <c r="F661" s="67" t="s">
        <v>681</v>
      </c>
      <c r="G661" s="25">
        <f t="shared" si="7"/>
        <v>-1.7690220122625333E-2</v>
      </c>
    </row>
    <row r="662" spans="1:7">
      <c r="A662" s="67">
        <v>198.67</v>
      </c>
      <c r="B662" s="67">
        <v>204.99</v>
      </c>
      <c r="C662" s="67">
        <v>196.39</v>
      </c>
      <c r="D662" s="67">
        <v>204.99</v>
      </c>
      <c r="E662" s="67">
        <v>721936</v>
      </c>
      <c r="F662" s="67" t="s">
        <v>682</v>
      </c>
      <c r="G662" s="25">
        <f t="shared" si="7"/>
        <v>-3.0830772232791959E-2</v>
      </c>
    </row>
    <row r="663" spans="1:7">
      <c r="A663" s="67">
        <v>201.19</v>
      </c>
      <c r="B663" s="67">
        <v>206.64</v>
      </c>
      <c r="C663" s="67">
        <v>201.12</v>
      </c>
      <c r="D663" s="67">
        <v>204.44</v>
      </c>
      <c r="E663" s="67">
        <v>510683</v>
      </c>
      <c r="F663" s="67" t="s">
        <v>683</v>
      </c>
      <c r="G663" s="25">
        <f t="shared" si="7"/>
        <v>-1.5897084719233012E-2</v>
      </c>
    </row>
    <row r="664" spans="1:7">
      <c r="A664" s="67">
        <v>204.29</v>
      </c>
      <c r="B664" s="67">
        <v>206.99</v>
      </c>
      <c r="C664" s="67">
        <v>202.27</v>
      </c>
      <c r="D664" s="67">
        <v>206.05</v>
      </c>
      <c r="E664" s="67">
        <v>523162</v>
      </c>
      <c r="F664" s="67" t="s">
        <v>684</v>
      </c>
      <c r="G664" s="25">
        <f t="shared" si="7"/>
        <v>-8.5416161125940748E-3</v>
      </c>
    </row>
    <row r="665" spans="1:7">
      <c r="A665" s="67">
        <v>206.03</v>
      </c>
      <c r="B665" s="67">
        <v>214.82499999999999</v>
      </c>
      <c r="C665" s="67">
        <v>205.95</v>
      </c>
      <c r="D665" s="67">
        <v>206.86</v>
      </c>
      <c r="E665" s="67">
        <v>737987</v>
      </c>
      <c r="F665" s="67" t="s">
        <v>685</v>
      </c>
      <c r="G665" s="25">
        <f t="shared" si="7"/>
        <v>-4.0123755196751487E-3</v>
      </c>
    </row>
    <row r="666" spans="1:7">
      <c r="A666" s="67">
        <v>204.46</v>
      </c>
      <c r="B666" s="67">
        <v>205.63</v>
      </c>
      <c r="C666" s="67">
        <v>202.53</v>
      </c>
      <c r="D666" s="67">
        <v>204.7</v>
      </c>
      <c r="E666" s="67">
        <v>553002</v>
      </c>
      <c r="F666" s="67" t="s">
        <v>686</v>
      </c>
      <c r="G666" s="25">
        <f t="shared" si="7"/>
        <v>-1.1724474841230403E-3</v>
      </c>
    </row>
    <row r="667" spans="1:7">
      <c r="A667" s="67">
        <v>203.91</v>
      </c>
      <c r="B667" s="67">
        <v>204.58</v>
      </c>
      <c r="C667" s="67">
        <v>200.82</v>
      </c>
      <c r="D667" s="67">
        <v>202.81</v>
      </c>
      <c r="E667" s="67">
        <v>651382</v>
      </c>
      <c r="F667" s="67" t="s">
        <v>687</v>
      </c>
      <c r="G667" s="25">
        <f t="shared" si="7"/>
        <v>5.4237956708249602E-3</v>
      </c>
    </row>
    <row r="668" spans="1:7">
      <c r="A668" s="67">
        <v>200.9</v>
      </c>
      <c r="B668" s="67">
        <v>200.99</v>
      </c>
      <c r="C668" s="67">
        <v>196.785</v>
      </c>
      <c r="D668" s="67">
        <v>197.03</v>
      </c>
      <c r="E668" s="67">
        <v>571273</v>
      </c>
      <c r="F668" s="67" t="s">
        <v>688</v>
      </c>
      <c r="G668" s="25">
        <f t="shared" si="7"/>
        <v>1.9641678932142304E-2</v>
      </c>
    </row>
    <row r="669" spans="1:7">
      <c r="A669" s="67">
        <v>199.6</v>
      </c>
      <c r="B669" s="67">
        <v>201.285</v>
      </c>
      <c r="C669" s="67">
        <v>195.24</v>
      </c>
      <c r="D669" s="67">
        <v>198.58</v>
      </c>
      <c r="E669" s="67">
        <v>809017</v>
      </c>
      <c r="F669" s="67" t="s">
        <v>689</v>
      </c>
      <c r="G669" s="25">
        <f t="shared" si="7"/>
        <v>5.1364689293986743E-3</v>
      </c>
    </row>
    <row r="670" spans="1:7">
      <c r="A670" s="67">
        <v>200.5</v>
      </c>
      <c r="B670" s="67">
        <v>211.7</v>
      </c>
      <c r="C670" s="67">
        <v>200.28</v>
      </c>
      <c r="D670" s="67">
        <v>208.31</v>
      </c>
      <c r="E670" s="67">
        <v>1168691</v>
      </c>
      <c r="F670" s="67" t="s">
        <v>690</v>
      </c>
      <c r="G670" s="25">
        <f t="shared" si="7"/>
        <v>-3.7492199126302195E-2</v>
      </c>
    </row>
    <row r="671" spans="1:7">
      <c r="A671" s="67">
        <v>207.55</v>
      </c>
      <c r="B671" s="67">
        <v>207.78</v>
      </c>
      <c r="C671" s="67">
        <v>200.94</v>
      </c>
      <c r="D671" s="67">
        <v>204.56</v>
      </c>
      <c r="E671" s="67">
        <v>838759</v>
      </c>
      <c r="F671" s="67" t="s">
        <v>691</v>
      </c>
      <c r="G671" s="25">
        <f t="shared" si="7"/>
        <v>1.4616738365271775E-2</v>
      </c>
    </row>
    <row r="672" spans="1:7">
      <c r="A672" s="67">
        <v>205.07</v>
      </c>
      <c r="B672" s="67">
        <v>206.715</v>
      </c>
      <c r="C672" s="67">
        <v>203.1</v>
      </c>
      <c r="D672" s="67">
        <v>204.57</v>
      </c>
      <c r="E672" s="67">
        <v>1031674</v>
      </c>
      <c r="F672" s="67" t="s">
        <v>692</v>
      </c>
      <c r="G672" s="25">
        <f t="shared" si="7"/>
        <v>2.4441511463069165E-3</v>
      </c>
    </row>
    <row r="673" spans="1:7">
      <c r="A673" s="67">
        <v>204.68</v>
      </c>
      <c r="B673" s="67">
        <v>209.2</v>
      </c>
      <c r="C673" s="67">
        <v>199.81</v>
      </c>
      <c r="D673" s="67">
        <v>199.81</v>
      </c>
      <c r="E673" s="67">
        <v>1374071</v>
      </c>
      <c r="F673" s="67" t="s">
        <v>693</v>
      </c>
      <c r="G673" s="25">
        <f t="shared" si="7"/>
        <v>2.437315449677202E-2</v>
      </c>
    </row>
    <row r="674" spans="1:7">
      <c r="A674" s="67">
        <v>202.43</v>
      </c>
      <c r="B674" s="67">
        <v>203.065</v>
      </c>
      <c r="C674" s="67">
        <v>196.37</v>
      </c>
      <c r="D674" s="67">
        <v>198.39</v>
      </c>
      <c r="E674" s="67">
        <v>1016928</v>
      </c>
      <c r="F674" s="67" t="s">
        <v>694</v>
      </c>
      <c r="G674" s="25">
        <f t="shared" si="7"/>
        <v>2.0363929633550271E-2</v>
      </c>
    </row>
    <row r="675" spans="1:7">
      <c r="A675" s="67">
        <v>197.87</v>
      </c>
      <c r="B675" s="67">
        <v>201.41</v>
      </c>
      <c r="C675" s="67">
        <v>196.5</v>
      </c>
      <c r="D675" s="67">
        <v>197.31</v>
      </c>
      <c r="E675" s="67">
        <v>846494</v>
      </c>
      <c r="F675" s="67" t="s">
        <v>695</v>
      </c>
      <c r="G675" s="25">
        <f t="shared" si="7"/>
        <v>2.8381734326694552E-3</v>
      </c>
    </row>
    <row r="676" spans="1:7">
      <c r="A676" s="67">
        <v>199.81</v>
      </c>
      <c r="B676" s="67">
        <v>201.46</v>
      </c>
      <c r="C676" s="67">
        <v>194.29</v>
      </c>
      <c r="D676" s="67">
        <v>194.29</v>
      </c>
      <c r="E676" s="67">
        <v>963380</v>
      </c>
      <c r="F676" s="67" t="s">
        <v>696</v>
      </c>
      <c r="G676" s="25">
        <f t="shared" si="7"/>
        <v>2.8411137989603263E-2</v>
      </c>
    </row>
    <row r="677" spans="1:7">
      <c r="A677" s="67">
        <v>194.66</v>
      </c>
      <c r="B677" s="67">
        <v>207.27</v>
      </c>
      <c r="C677" s="67">
        <v>191.92</v>
      </c>
      <c r="D677" s="67">
        <v>206.98</v>
      </c>
      <c r="E677" s="67">
        <v>1264800</v>
      </c>
      <c r="F677" s="67" t="s">
        <v>697</v>
      </c>
      <c r="G677" s="25">
        <f t="shared" si="7"/>
        <v>-5.9522659194125027E-2</v>
      </c>
    </row>
    <row r="678" spans="1:7">
      <c r="A678" s="67">
        <v>209.11</v>
      </c>
      <c r="B678" s="67">
        <v>217.46</v>
      </c>
      <c r="C678" s="67">
        <v>208.29</v>
      </c>
      <c r="D678" s="67">
        <v>214.14</v>
      </c>
      <c r="E678" s="67">
        <v>919396</v>
      </c>
      <c r="F678" s="67" t="s">
        <v>698</v>
      </c>
      <c r="G678" s="25">
        <f t="shared" si="7"/>
        <v>-2.3489306061455051E-2</v>
      </c>
    </row>
    <row r="679" spans="1:7">
      <c r="A679" s="67">
        <v>216.98</v>
      </c>
      <c r="B679" s="67">
        <v>219.79910000000001</v>
      </c>
      <c r="C679" s="67">
        <v>215.88499999999999</v>
      </c>
      <c r="D679" s="67">
        <v>218.77</v>
      </c>
      <c r="E679" s="67">
        <v>524182</v>
      </c>
      <c r="F679" s="67" t="s">
        <v>699</v>
      </c>
      <c r="G679" s="25">
        <f t="shared" si="7"/>
        <v>-8.1821090643141581E-3</v>
      </c>
    </row>
    <row r="680" spans="1:7">
      <c r="A680" s="67">
        <v>219.43</v>
      </c>
      <c r="B680" s="67">
        <v>222.85</v>
      </c>
      <c r="C680" s="67">
        <v>218.83500000000001</v>
      </c>
      <c r="D680" s="67">
        <v>221.42</v>
      </c>
      <c r="E680" s="67">
        <v>511399</v>
      </c>
      <c r="F680" s="67" t="s">
        <v>700</v>
      </c>
      <c r="G680" s="25">
        <f t="shared" si="7"/>
        <v>-8.9874446752776782E-3</v>
      </c>
    </row>
    <row r="681" spans="1:7">
      <c r="A681" s="67">
        <v>221.42</v>
      </c>
      <c r="B681" s="67">
        <v>223.56</v>
      </c>
      <c r="C681" s="67">
        <v>219.84</v>
      </c>
      <c r="D681" s="67">
        <v>221.19</v>
      </c>
      <c r="E681" s="67">
        <v>740245</v>
      </c>
      <c r="F681" s="67" t="s">
        <v>701</v>
      </c>
      <c r="G681" s="25">
        <f t="shared" si="7"/>
        <v>1.0398300103982017E-3</v>
      </c>
    </row>
    <row r="682" spans="1:7">
      <c r="A682" s="67">
        <v>220.71</v>
      </c>
      <c r="B682" s="67">
        <v>221.39</v>
      </c>
      <c r="C682" s="67">
        <v>216</v>
      </c>
      <c r="D682" s="67">
        <v>217.53</v>
      </c>
      <c r="E682" s="67">
        <v>543751</v>
      </c>
      <c r="F682" s="67" t="s">
        <v>702</v>
      </c>
      <c r="G682" s="25">
        <f t="shared" si="7"/>
        <v>1.4618673286443284E-2</v>
      </c>
    </row>
    <row r="683" spans="1:7">
      <c r="A683" s="67">
        <v>216.18</v>
      </c>
      <c r="B683" s="67">
        <v>219.24549999999999</v>
      </c>
      <c r="C683" s="67">
        <v>213.78</v>
      </c>
      <c r="D683" s="67">
        <v>218.66</v>
      </c>
      <c r="E683" s="67">
        <v>550668</v>
      </c>
      <c r="F683" s="67" t="s">
        <v>703</v>
      </c>
      <c r="G683" s="25">
        <f t="shared" si="7"/>
        <v>-1.1341809201499964E-2</v>
      </c>
    </row>
    <row r="684" spans="1:7">
      <c r="A684" s="67">
        <v>218.97</v>
      </c>
      <c r="B684" s="67">
        <v>219.31</v>
      </c>
      <c r="C684" s="67">
        <v>213.08</v>
      </c>
      <c r="D684" s="67">
        <v>213.59</v>
      </c>
      <c r="E684" s="67">
        <v>661385</v>
      </c>
      <c r="F684" s="67" t="s">
        <v>704</v>
      </c>
      <c r="G684" s="25">
        <f t="shared" si="7"/>
        <v>2.5188445151926642E-2</v>
      </c>
    </row>
    <row r="685" spans="1:7">
      <c r="A685" s="67">
        <v>207.97</v>
      </c>
      <c r="B685" s="67">
        <v>215.8</v>
      </c>
      <c r="C685" s="67">
        <v>207.85</v>
      </c>
      <c r="D685" s="67">
        <v>214.6</v>
      </c>
      <c r="E685" s="67">
        <v>770382</v>
      </c>
      <c r="F685" s="67" t="s">
        <v>705</v>
      </c>
      <c r="G685" s="25">
        <f t="shared" si="7"/>
        <v>-3.0894687791239495E-2</v>
      </c>
    </row>
    <row r="686" spans="1:7">
      <c r="A686" s="67">
        <v>214.61</v>
      </c>
      <c r="B686" s="67">
        <v>216.12</v>
      </c>
      <c r="C686" s="67">
        <v>210.43</v>
      </c>
      <c r="D686" s="67">
        <v>211.5</v>
      </c>
      <c r="E686" s="67">
        <v>991273</v>
      </c>
      <c r="F686" s="67" t="s">
        <v>706</v>
      </c>
      <c r="G686" s="25">
        <f t="shared" si="7"/>
        <v>1.4704491725768376E-2</v>
      </c>
    </row>
    <row r="687" spans="1:7">
      <c r="A687" s="67">
        <v>209.63</v>
      </c>
      <c r="B687" s="67">
        <v>210.42</v>
      </c>
      <c r="C687" s="67">
        <v>203.54</v>
      </c>
      <c r="D687" s="67">
        <v>205.9</v>
      </c>
      <c r="E687" s="67">
        <v>734179</v>
      </c>
      <c r="F687" s="67" t="s">
        <v>707</v>
      </c>
      <c r="G687" s="25">
        <f t="shared" si="7"/>
        <v>1.8115590092277811E-2</v>
      </c>
    </row>
    <row r="688" spans="1:7">
      <c r="A688" s="67">
        <v>206.97</v>
      </c>
      <c r="B688" s="67">
        <v>208.26499999999999</v>
      </c>
      <c r="C688" s="67">
        <v>204.14</v>
      </c>
      <c r="D688" s="67">
        <v>206.51</v>
      </c>
      <c r="E688" s="67">
        <v>1407098</v>
      </c>
      <c r="F688" s="67" t="s">
        <v>708</v>
      </c>
      <c r="G688" s="25">
        <f t="shared" si="7"/>
        <v>2.2274950365599455E-3</v>
      </c>
    </row>
    <row r="689" spans="1:7">
      <c r="A689" s="67">
        <v>206.81</v>
      </c>
      <c r="B689" s="67">
        <v>213.86</v>
      </c>
      <c r="C689" s="67">
        <v>206.36</v>
      </c>
      <c r="D689" s="67">
        <v>208.43</v>
      </c>
      <c r="E689" s="67">
        <v>1580655</v>
      </c>
      <c r="F689" s="67" t="s">
        <v>709</v>
      </c>
      <c r="G689" s="25">
        <f t="shared" si="7"/>
        <v>-7.7723936093653245E-3</v>
      </c>
    </row>
    <row r="690" spans="1:7">
      <c r="A690" s="67">
        <v>204.83</v>
      </c>
      <c r="B690" s="67">
        <v>205.05</v>
      </c>
      <c r="C690" s="67">
        <v>195.0025</v>
      </c>
      <c r="D690" s="67">
        <v>196.74</v>
      </c>
      <c r="E690" s="67">
        <v>828817</v>
      </c>
      <c r="F690" s="67" t="s">
        <v>710</v>
      </c>
      <c r="G690" s="25">
        <f t="shared" si="7"/>
        <v>4.1120260241943596E-2</v>
      </c>
    </row>
    <row r="691" spans="1:7">
      <c r="A691" s="67">
        <v>197.29</v>
      </c>
      <c r="B691" s="67">
        <v>198.58500000000001</v>
      </c>
      <c r="C691" s="67">
        <v>193.25</v>
      </c>
      <c r="D691" s="67">
        <v>195.03</v>
      </c>
      <c r="E691" s="67">
        <v>924335</v>
      </c>
      <c r="F691" s="67" t="s">
        <v>711</v>
      </c>
      <c r="G691" s="25">
        <f t="shared" si="7"/>
        <v>1.1587960826539456E-2</v>
      </c>
    </row>
    <row r="692" spans="1:7">
      <c r="A692" s="67">
        <v>195.18</v>
      </c>
      <c r="B692" s="67">
        <v>195.43</v>
      </c>
      <c r="C692" s="67">
        <v>189.27</v>
      </c>
      <c r="D692" s="67">
        <v>193.78</v>
      </c>
      <c r="E692" s="67">
        <v>831670</v>
      </c>
      <c r="F692" s="67" t="s">
        <v>712</v>
      </c>
      <c r="G692" s="25">
        <f t="shared" si="7"/>
        <v>7.2246877902777396E-3</v>
      </c>
    </row>
    <row r="693" spans="1:7">
      <c r="A693" s="67">
        <v>194.66</v>
      </c>
      <c r="B693" s="67">
        <v>198.15</v>
      </c>
      <c r="C693" s="67">
        <v>192.88</v>
      </c>
      <c r="D693" s="67">
        <v>194.54</v>
      </c>
      <c r="E693" s="67">
        <v>886968</v>
      </c>
      <c r="F693" s="67" t="s">
        <v>713</v>
      </c>
      <c r="G693" s="25">
        <f t="shared" si="7"/>
        <v>6.1683972447834634E-4</v>
      </c>
    </row>
    <row r="694" spans="1:7">
      <c r="A694" s="67">
        <v>194.54</v>
      </c>
      <c r="B694" s="67">
        <v>194.75</v>
      </c>
      <c r="C694" s="67">
        <v>188.88</v>
      </c>
      <c r="D694" s="67">
        <v>190.5</v>
      </c>
      <c r="E694" s="67">
        <v>860102</v>
      </c>
      <c r="F694" s="67" t="s">
        <v>714</v>
      </c>
      <c r="G694" s="25">
        <f t="shared" si="7"/>
        <v>2.1207349081364679E-2</v>
      </c>
    </row>
    <row r="695" spans="1:7">
      <c r="A695" s="67">
        <v>189.3</v>
      </c>
      <c r="B695" s="67">
        <v>194.97</v>
      </c>
      <c r="C695" s="67">
        <v>189.21</v>
      </c>
      <c r="D695" s="67">
        <v>191.21</v>
      </c>
      <c r="E695" s="67">
        <v>704766</v>
      </c>
      <c r="F695" s="67" t="s">
        <v>715</v>
      </c>
      <c r="G695" s="25">
        <f t="shared" si="7"/>
        <v>-9.9890173108100333E-3</v>
      </c>
    </row>
    <row r="696" spans="1:7">
      <c r="A696" s="67">
        <v>191.14</v>
      </c>
      <c r="B696" s="67">
        <v>193.66</v>
      </c>
      <c r="C696" s="67">
        <v>188.42</v>
      </c>
      <c r="D696" s="67">
        <v>192.77</v>
      </c>
      <c r="E696" s="67">
        <v>720666</v>
      </c>
      <c r="F696" s="67" t="s">
        <v>716</v>
      </c>
      <c r="G696" s="25">
        <f t="shared" ref="G696:G759" si="8">A696/D696-1</f>
        <v>-8.4556725631582674E-3</v>
      </c>
    </row>
    <row r="697" spans="1:7">
      <c r="A697" s="67">
        <v>193.99</v>
      </c>
      <c r="B697" s="67">
        <v>197.6</v>
      </c>
      <c r="C697" s="67">
        <v>192.49</v>
      </c>
      <c r="D697" s="67">
        <v>196.14</v>
      </c>
      <c r="E697" s="67">
        <v>876323</v>
      </c>
      <c r="F697" s="67" t="s">
        <v>717</v>
      </c>
      <c r="G697" s="25">
        <f t="shared" si="8"/>
        <v>-1.0961558070765709E-2</v>
      </c>
    </row>
    <row r="698" spans="1:7">
      <c r="A698" s="67">
        <v>192.19</v>
      </c>
      <c r="B698" s="67">
        <v>192.5</v>
      </c>
      <c r="C698" s="67">
        <v>185.87</v>
      </c>
      <c r="D698" s="67">
        <v>188.62</v>
      </c>
      <c r="E698" s="67">
        <v>928368</v>
      </c>
      <c r="F698" s="67" t="s">
        <v>718</v>
      </c>
      <c r="G698" s="25">
        <f t="shared" si="8"/>
        <v>1.8926943060120882E-2</v>
      </c>
    </row>
    <row r="699" spans="1:7">
      <c r="A699" s="67">
        <v>189.09</v>
      </c>
      <c r="B699" s="67">
        <v>190.29</v>
      </c>
      <c r="C699" s="67">
        <v>185.73</v>
      </c>
      <c r="D699" s="67">
        <v>188.8</v>
      </c>
      <c r="E699" s="67">
        <v>1293624</v>
      </c>
      <c r="F699" s="67" t="s">
        <v>719</v>
      </c>
      <c r="G699" s="25">
        <f t="shared" si="8"/>
        <v>1.5360169491525077E-3</v>
      </c>
    </row>
    <row r="700" spans="1:7">
      <c r="A700" s="67">
        <v>188.92</v>
      </c>
      <c r="B700" s="67">
        <v>194.87</v>
      </c>
      <c r="C700" s="67">
        <v>187.16</v>
      </c>
      <c r="D700" s="67">
        <v>187.16</v>
      </c>
      <c r="E700" s="67">
        <v>878100</v>
      </c>
      <c r="F700" s="67" t="s">
        <v>720</v>
      </c>
      <c r="G700" s="25">
        <f t="shared" si="8"/>
        <v>9.4037187433211322E-3</v>
      </c>
    </row>
    <row r="701" spans="1:7">
      <c r="A701" s="67">
        <v>185.72</v>
      </c>
      <c r="B701" s="67">
        <v>188.32</v>
      </c>
      <c r="C701" s="67">
        <v>182.77</v>
      </c>
      <c r="D701" s="67">
        <v>186.11</v>
      </c>
      <c r="E701" s="67">
        <v>927104</v>
      </c>
      <c r="F701" s="67" t="s">
        <v>721</v>
      </c>
      <c r="G701" s="25">
        <f t="shared" si="8"/>
        <v>-2.095534898715945E-3</v>
      </c>
    </row>
    <row r="702" spans="1:7">
      <c r="A702" s="67">
        <v>187.74</v>
      </c>
      <c r="B702" s="67">
        <v>189.6</v>
      </c>
      <c r="C702" s="67">
        <v>185.28</v>
      </c>
      <c r="D702" s="67">
        <v>186.78</v>
      </c>
      <c r="E702" s="67">
        <v>964822</v>
      </c>
      <c r="F702" s="67" t="s">
        <v>722</v>
      </c>
      <c r="G702" s="25">
        <f t="shared" si="8"/>
        <v>5.1397365884999768E-3</v>
      </c>
    </row>
    <row r="703" spans="1:7">
      <c r="A703" s="67">
        <v>187.95</v>
      </c>
      <c r="B703" s="67">
        <v>189.9649</v>
      </c>
      <c r="C703" s="67">
        <v>185.84</v>
      </c>
      <c r="D703" s="67">
        <v>186</v>
      </c>
      <c r="E703" s="67">
        <v>475596</v>
      </c>
      <c r="F703" s="67" t="s">
        <v>723</v>
      </c>
      <c r="G703" s="25">
        <f t="shared" si="8"/>
        <v>1.0483870967741948E-2</v>
      </c>
    </row>
    <row r="704" spans="1:7">
      <c r="A704" s="67">
        <v>186.31</v>
      </c>
      <c r="B704" s="67">
        <v>187.59</v>
      </c>
      <c r="C704" s="67">
        <v>181.62</v>
      </c>
      <c r="D704" s="67">
        <v>182.32</v>
      </c>
      <c r="E704" s="67">
        <v>886395</v>
      </c>
      <c r="F704" s="67" t="s">
        <v>724</v>
      </c>
      <c r="G704" s="25">
        <f t="shared" si="8"/>
        <v>2.1884598508117747E-2</v>
      </c>
    </row>
    <row r="705" spans="1:7">
      <c r="A705" s="67">
        <v>181.32</v>
      </c>
      <c r="B705" s="67">
        <v>183.715</v>
      </c>
      <c r="C705" s="67">
        <v>179.24690000000001</v>
      </c>
      <c r="D705" s="67">
        <v>180.36</v>
      </c>
      <c r="E705" s="67">
        <v>1174747</v>
      </c>
      <c r="F705" s="67" t="s">
        <v>725</v>
      </c>
      <c r="G705" s="25">
        <f t="shared" si="8"/>
        <v>5.3226879574184149E-3</v>
      </c>
    </row>
    <row r="706" spans="1:7">
      <c r="A706" s="67">
        <v>181.26</v>
      </c>
      <c r="B706" s="67">
        <v>181.65</v>
      </c>
      <c r="C706" s="67">
        <v>172.61</v>
      </c>
      <c r="D706" s="67">
        <v>173.85</v>
      </c>
      <c r="E706" s="67">
        <v>2448699</v>
      </c>
      <c r="F706" s="67" t="s">
        <v>726</v>
      </c>
      <c r="G706" s="25">
        <f t="shared" si="8"/>
        <v>4.2622950819672045E-2</v>
      </c>
    </row>
    <row r="707" spans="1:7">
      <c r="A707" s="67">
        <v>174.06</v>
      </c>
      <c r="B707" s="67">
        <v>177.34</v>
      </c>
      <c r="C707" s="67">
        <v>173.05</v>
      </c>
      <c r="D707" s="67">
        <v>176.72</v>
      </c>
      <c r="E707" s="67">
        <v>1997778</v>
      </c>
      <c r="F707" s="67" t="s">
        <v>727</v>
      </c>
      <c r="G707" s="25">
        <f t="shared" si="8"/>
        <v>-1.5052059755545466E-2</v>
      </c>
    </row>
    <row r="708" spans="1:7">
      <c r="A708" s="67">
        <v>174.76</v>
      </c>
      <c r="B708" s="67">
        <v>176.26</v>
      </c>
      <c r="C708" s="67">
        <v>170.64</v>
      </c>
      <c r="D708" s="67">
        <v>173.22</v>
      </c>
      <c r="E708" s="67">
        <v>1859894</v>
      </c>
      <c r="F708" s="67" t="s">
        <v>728</v>
      </c>
      <c r="G708" s="25">
        <f t="shared" si="8"/>
        <v>8.8904283570025999E-3</v>
      </c>
    </row>
    <row r="709" spans="1:7">
      <c r="A709" s="67">
        <v>173.49</v>
      </c>
      <c r="B709" s="67">
        <v>177.59</v>
      </c>
      <c r="C709" s="67">
        <v>171.02</v>
      </c>
      <c r="D709" s="67">
        <v>172.72</v>
      </c>
      <c r="E709" s="67">
        <v>2240269</v>
      </c>
      <c r="F709" s="67" t="s">
        <v>729</v>
      </c>
      <c r="G709" s="25">
        <f t="shared" si="8"/>
        <v>4.458082445576661E-3</v>
      </c>
    </row>
    <row r="710" spans="1:7">
      <c r="A710" s="67">
        <v>172.95</v>
      </c>
      <c r="B710" s="67">
        <v>174.87</v>
      </c>
      <c r="C710" s="67">
        <v>168.66</v>
      </c>
      <c r="D710" s="67">
        <v>168.66</v>
      </c>
      <c r="E710" s="67">
        <v>2224346</v>
      </c>
      <c r="F710" s="67" t="s">
        <v>730</v>
      </c>
      <c r="G710" s="25">
        <f t="shared" si="8"/>
        <v>2.5435787975809365E-2</v>
      </c>
    </row>
    <row r="711" spans="1:7">
      <c r="A711" s="67">
        <v>163.71</v>
      </c>
      <c r="B711" s="67">
        <v>169.91499999999999</v>
      </c>
      <c r="C711" s="67">
        <v>156</v>
      </c>
      <c r="D711" s="67">
        <v>158.99</v>
      </c>
      <c r="E711" s="67">
        <v>2705085</v>
      </c>
      <c r="F711" s="67" t="s">
        <v>731</v>
      </c>
      <c r="G711" s="25">
        <f t="shared" si="8"/>
        <v>2.9687401723378803E-2</v>
      </c>
    </row>
    <row r="712" spans="1:7">
      <c r="A712" s="67">
        <v>155.1</v>
      </c>
      <c r="B712" s="67">
        <v>157.63999999999999</v>
      </c>
      <c r="C712" s="67">
        <v>152.04</v>
      </c>
      <c r="D712" s="67">
        <v>152.69</v>
      </c>
      <c r="E712" s="67">
        <v>1188130</v>
      </c>
      <c r="F712" s="67" t="s">
        <v>732</v>
      </c>
      <c r="G712" s="25">
        <f t="shared" si="8"/>
        <v>1.5783613858143974E-2</v>
      </c>
    </row>
    <row r="713" spans="1:7">
      <c r="A713" s="67">
        <v>152.88</v>
      </c>
      <c r="B713" s="67">
        <v>156.95249999999999</v>
      </c>
      <c r="C713" s="67">
        <v>151.56</v>
      </c>
      <c r="D713" s="67">
        <v>155.22</v>
      </c>
      <c r="E713" s="67">
        <v>752950</v>
      </c>
      <c r="F713" s="67" t="s">
        <v>733</v>
      </c>
      <c r="G713" s="25">
        <f t="shared" si="8"/>
        <v>-1.5075376884422176E-2</v>
      </c>
    </row>
    <row r="714" spans="1:7">
      <c r="A714" s="67">
        <v>154.97</v>
      </c>
      <c r="B714" s="67">
        <v>160.96</v>
      </c>
      <c r="C714" s="67">
        <v>153.94999999999999</v>
      </c>
      <c r="D714" s="67">
        <v>160.87</v>
      </c>
      <c r="E714" s="67">
        <v>1174216</v>
      </c>
      <c r="F714" s="67" t="s">
        <v>734</v>
      </c>
      <c r="G714" s="25">
        <f t="shared" si="8"/>
        <v>-3.667557655249587E-2</v>
      </c>
    </row>
    <row r="715" spans="1:7">
      <c r="A715" s="67">
        <v>161.87</v>
      </c>
      <c r="B715" s="67">
        <v>163.86</v>
      </c>
      <c r="C715" s="67">
        <v>158.61000000000001</v>
      </c>
      <c r="D715" s="67">
        <v>159.18</v>
      </c>
      <c r="E715" s="67">
        <v>986136</v>
      </c>
      <c r="F715" s="67" t="s">
        <v>735</v>
      </c>
      <c r="G715" s="25">
        <f t="shared" si="8"/>
        <v>1.6899107928131762E-2</v>
      </c>
    </row>
    <row r="716" spans="1:7">
      <c r="A716" s="67">
        <v>158.91999999999999</v>
      </c>
      <c r="B716" s="67">
        <v>169.53</v>
      </c>
      <c r="C716" s="67">
        <v>157.05000000000001</v>
      </c>
      <c r="D716" s="67">
        <v>163.36000000000001</v>
      </c>
      <c r="E716" s="67">
        <v>1446528</v>
      </c>
      <c r="F716" s="67" t="s">
        <v>736</v>
      </c>
      <c r="G716" s="25">
        <f t="shared" si="8"/>
        <v>-2.7179236043095134E-2</v>
      </c>
    </row>
    <row r="717" spans="1:7">
      <c r="A717" s="67">
        <v>162.58000000000001</v>
      </c>
      <c r="B717" s="67">
        <v>168.995</v>
      </c>
      <c r="C717" s="67">
        <v>155.9</v>
      </c>
      <c r="D717" s="67">
        <v>156</v>
      </c>
      <c r="E717" s="67">
        <v>2593272</v>
      </c>
      <c r="F717" s="67" t="s">
        <v>737</v>
      </c>
      <c r="G717" s="25">
        <f t="shared" si="8"/>
        <v>4.2179487179487163E-2</v>
      </c>
    </row>
    <row r="718" spans="1:7">
      <c r="A718" s="67">
        <v>140.44</v>
      </c>
      <c r="B718" s="67">
        <v>141.73500000000001</v>
      </c>
      <c r="C718" s="67">
        <v>137.685</v>
      </c>
      <c r="D718" s="67">
        <v>137.74</v>
      </c>
      <c r="E718" s="67">
        <v>1498045</v>
      </c>
      <c r="F718" s="67" t="s">
        <v>738</v>
      </c>
      <c r="G718" s="25">
        <f t="shared" si="8"/>
        <v>1.9602148976332057E-2</v>
      </c>
    </row>
    <row r="719" spans="1:7">
      <c r="A719" s="67">
        <v>137.72</v>
      </c>
      <c r="B719" s="67">
        <v>138.04</v>
      </c>
      <c r="C719" s="67">
        <v>128.68</v>
      </c>
      <c r="D719" s="67">
        <v>132.31</v>
      </c>
      <c r="E719" s="67">
        <v>1342425</v>
      </c>
      <c r="F719" s="67" t="s">
        <v>739</v>
      </c>
      <c r="G719" s="25">
        <f t="shared" si="8"/>
        <v>4.0888821706598133E-2</v>
      </c>
    </row>
    <row r="720" spans="1:7">
      <c r="A720" s="67">
        <v>132.57</v>
      </c>
      <c r="B720" s="67">
        <v>134.02000000000001</v>
      </c>
      <c r="C720" s="67">
        <v>131.35</v>
      </c>
      <c r="D720" s="67">
        <v>131.77000000000001</v>
      </c>
      <c r="E720" s="67">
        <v>867719</v>
      </c>
      <c r="F720" s="67" t="s">
        <v>740</v>
      </c>
      <c r="G720" s="25">
        <f t="shared" si="8"/>
        <v>6.0711846399026381E-3</v>
      </c>
    </row>
    <row r="721" spans="1:7">
      <c r="A721" s="67">
        <v>130.76</v>
      </c>
      <c r="B721" s="67">
        <v>135.43</v>
      </c>
      <c r="C721" s="67">
        <v>129.07</v>
      </c>
      <c r="D721" s="67">
        <v>134.61000000000001</v>
      </c>
      <c r="E721" s="67">
        <v>1095928</v>
      </c>
      <c r="F721" s="67" t="s">
        <v>741</v>
      </c>
      <c r="G721" s="25">
        <f t="shared" si="8"/>
        <v>-2.8601144045761973E-2</v>
      </c>
    </row>
    <row r="722" spans="1:7">
      <c r="A722" s="67">
        <v>133.43</v>
      </c>
      <c r="B722" s="67">
        <v>145.97999999999999</v>
      </c>
      <c r="C722" s="67">
        <v>131.28</v>
      </c>
      <c r="D722" s="67">
        <v>145</v>
      </c>
      <c r="E722" s="67">
        <v>1591567</v>
      </c>
      <c r="F722" s="67" t="s">
        <v>742</v>
      </c>
      <c r="G722" s="25">
        <f t="shared" si="8"/>
        <v>-7.9793103448275837E-2</v>
      </c>
    </row>
    <row r="723" spans="1:7">
      <c r="A723" s="67">
        <v>135.13999999999999</v>
      </c>
      <c r="B723" s="67">
        <v>140.13999999999999</v>
      </c>
      <c r="C723" s="67">
        <v>134.85499999999999</v>
      </c>
      <c r="D723" s="67">
        <v>139.61000000000001</v>
      </c>
      <c r="E723" s="67">
        <v>1141091</v>
      </c>
      <c r="F723" s="67" t="s">
        <v>743</v>
      </c>
      <c r="G723" s="25">
        <f t="shared" si="8"/>
        <v>-3.2017763770503693E-2</v>
      </c>
    </row>
    <row r="724" spans="1:7">
      <c r="A724" s="67">
        <v>139.63999999999999</v>
      </c>
      <c r="B724" s="67">
        <v>140.9</v>
      </c>
      <c r="C724" s="67">
        <v>135.88</v>
      </c>
      <c r="D724" s="67">
        <v>139.5</v>
      </c>
      <c r="E724" s="67">
        <v>1047461</v>
      </c>
      <c r="F724" s="67" t="s">
        <v>744</v>
      </c>
      <c r="G724" s="25">
        <f t="shared" si="8"/>
        <v>1.0035842293905084E-3</v>
      </c>
    </row>
    <row r="725" spans="1:7">
      <c r="A725" s="67">
        <v>141</v>
      </c>
      <c r="B725" s="67">
        <v>147.495</v>
      </c>
      <c r="C725" s="67">
        <v>139.88</v>
      </c>
      <c r="D725" s="67">
        <v>145.53</v>
      </c>
      <c r="E725" s="67">
        <v>1126057</v>
      </c>
      <c r="F725" s="67" t="s">
        <v>745</v>
      </c>
      <c r="G725" s="25">
        <f t="shared" si="8"/>
        <v>-3.1127602556173972E-2</v>
      </c>
    </row>
    <row r="726" spans="1:7">
      <c r="A726" s="67">
        <v>147</v>
      </c>
      <c r="B726" s="67">
        <v>148.07</v>
      </c>
      <c r="C726" s="67">
        <v>143.03</v>
      </c>
      <c r="D726" s="67">
        <v>143.03</v>
      </c>
      <c r="E726" s="67">
        <v>941517</v>
      </c>
      <c r="F726" s="67" t="s">
        <v>746</v>
      </c>
      <c r="G726" s="25">
        <f t="shared" si="8"/>
        <v>2.7756414738166812E-2</v>
      </c>
    </row>
    <row r="727" spans="1:7">
      <c r="A727" s="67">
        <v>144.72999999999999</v>
      </c>
      <c r="B727" s="67">
        <v>147.79</v>
      </c>
      <c r="C727" s="67">
        <v>144.22</v>
      </c>
      <c r="D727" s="67">
        <v>145.30000000000001</v>
      </c>
      <c r="E727" s="67">
        <v>1521463</v>
      </c>
      <c r="F727" s="67" t="s">
        <v>747</v>
      </c>
      <c r="G727" s="25">
        <f t="shared" si="8"/>
        <v>-3.9229181004819536E-3</v>
      </c>
    </row>
    <row r="728" spans="1:7">
      <c r="A728" s="67">
        <v>145.24</v>
      </c>
      <c r="B728" s="67">
        <v>147.56</v>
      </c>
      <c r="C728" s="67">
        <v>140.66</v>
      </c>
      <c r="D728" s="67">
        <v>144.41999999999999</v>
      </c>
      <c r="E728" s="67">
        <v>1717713</v>
      </c>
      <c r="F728" s="67" t="s">
        <v>748</v>
      </c>
      <c r="G728" s="25">
        <f t="shared" si="8"/>
        <v>5.6778839495916777E-3</v>
      </c>
    </row>
    <row r="729" spans="1:7">
      <c r="A729" s="67">
        <v>144.87</v>
      </c>
      <c r="B729" s="67">
        <v>148.22</v>
      </c>
      <c r="C729" s="67">
        <v>141.59</v>
      </c>
      <c r="D729" s="67">
        <v>141.69</v>
      </c>
      <c r="E729" s="67">
        <v>1615886</v>
      </c>
      <c r="F729" s="67" t="s">
        <v>749</v>
      </c>
      <c r="G729" s="25">
        <f t="shared" si="8"/>
        <v>2.244336226974375E-2</v>
      </c>
    </row>
    <row r="730" spans="1:7">
      <c r="A730" s="67">
        <v>141.38</v>
      </c>
      <c r="B730" s="67">
        <v>143.25</v>
      </c>
      <c r="C730" s="67">
        <v>134.035</v>
      </c>
      <c r="D730" s="67">
        <v>134.59</v>
      </c>
      <c r="E730" s="67">
        <v>1337513</v>
      </c>
      <c r="F730" s="67" t="s">
        <v>750</v>
      </c>
      <c r="G730" s="25">
        <f t="shared" si="8"/>
        <v>5.0449513336800589E-2</v>
      </c>
    </row>
    <row r="731" spans="1:7">
      <c r="A731" s="67">
        <v>135.91</v>
      </c>
      <c r="B731" s="67">
        <v>136.56</v>
      </c>
      <c r="C731" s="67">
        <v>130.91</v>
      </c>
      <c r="D731" s="67">
        <v>134.52000000000001</v>
      </c>
      <c r="E731" s="67">
        <v>1573184</v>
      </c>
      <c r="F731" s="67" t="s">
        <v>751</v>
      </c>
      <c r="G731" s="25">
        <f t="shared" si="8"/>
        <v>1.0333035979779748E-2</v>
      </c>
    </row>
    <row r="732" spans="1:7">
      <c r="A732" s="67">
        <v>132.38</v>
      </c>
      <c r="B732" s="67">
        <v>133.72499999999999</v>
      </c>
      <c r="C732" s="67">
        <v>126.63</v>
      </c>
      <c r="D732" s="67">
        <v>128.33000000000001</v>
      </c>
      <c r="E732" s="67">
        <v>2014573</v>
      </c>
      <c r="F732" s="67" t="s">
        <v>752</v>
      </c>
      <c r="G732" s="25">
        <f t="shared" si="8"/>
        <v>3.1559261279513695E-2</v>
      </c>
    </row>
    <row r="733" spans="1:7">
      <c r="A733" s="67">
        <v>127.77</v>
      </c>
      <c r="B733" s="67">
        <v>134.53</v>
      </c>
      <c r="C733" s="67">
        <v>125.82</v>
      </c>
      <c r="D733" s="67">
        <v>134.38</v>
      </c>
      <c r="E733" s="67">
        <v>2402484</v>
      </c>
      <c r="F733" s="67" t="s">
        <v>753</v>
      </c>
      <c r="G733" s="25">
        <f t="shared" si="8"/>
        <v>-4.9188867390980828E-2</v>
      </c>
    </row>
    <row r="734" spans="1:7">
      <c r="A734" s="67">
        <v>133.44999999999999</v>
      </c>
      <c r="B734" s="67">
        <v>145.5</v>
      </c>
      <c r="C734" s="67">
        <v>132.54499999999999</v>
      </c>
      <c r="D734" s="67">
        <v>145.5</v>
      </c>
      <c r="E734" s="67">
        <v>1704028</v>
      </c>
      <c r="F734" s="67" t="s">
        <v>754</v>
      </c>
      <c r="G734" s="25">
        <f t="shared" si="8"/>
        <v>-8.2817869415807599E-2</v>
      </c>
    </row>
    <row r="735" spans="1:7">
      <c r="A735" s="67">
        <v>146.13</v>
      </c>
      <c r="B735" s="67">
        <v>147.72999999999999</v>
      </c>
      <c r="C735" s="67">
        <v>141.28100000000001</v>
      </c>
      <c r="D735" s="67">
        <v>143.80000000000001</v>
      </c>
      <c r="E735" s="67">
        <v>1431365</v>
      </c>
      <c r="F735" s="67" t="s">
        <v>755</v>
      </c>
      <c r="G735" s="25">
        <f t="shared" si="8"/>
        <v>1.6203059805284914E-2</v>
      </c>
    </row>
    <row r="736" spans="1:7">
      <c r="A736" s="67">
        <v>144.62</v>
      </c>
      <c r="B736" s="67">
        <v>146.48500000000001</v>
      </c>
      <c r="C736" s="67">
        <v>141.57</v>
      </c>
      <c r="D736" s="67">
        <v>144.96</v>
      </c>
      <c r="E736" s="67">
        <v>827937</v>
      </c>
      <c r="F736" s="67" t="s">
        <v>756</v>
      </c>
      <c r="G736" s="25">
        <f t="shared" si="8"/>
        <v>-2.3454746136865046E-3</v>
      </c>
    </row>
    <row r="737" spans="1:7">
      <c r="A737" s="67">
        <v>145.51</v>
      </c>
      <c r="B737" s="67">
        <v>146.9</v>
      </c>
      <c r="C737" s="67">
        <v>142.72999999999999</v>
      </c>
      <c r="D737" s="67">
        <v>143.44999999999999</v>
      </c>
      <c r="E737" s="67">
        <v>2682256</v>
      </c>
      <c r="F737" s="67" t="s">
        <v>757</v>
      </c>
      <c r="G737" s="25">
        <f t="shared" si="8"/>
        <v>1.4360404322063536E-2</v>
      </c>
    </row>
    <row r="738" spans="1:7">
      <c r="A738" s="67">
        <v>146.08000000000001</v>
      </c>
      <c r="B738" s="67">
        <v>154</v>
      </c>
      <c r="C738" s="67">
        <v>143.86000000000001</v>
      </c>
      <c r="D738" s="67">
        <v>153.88999999999999</v>
      </c>
      <c r="E738" s="67">
        <v>1863927</v>
      </c>
      <c r="F738" s="67" t="s">
        <v>758</v>
      </c>
      <c r="G738" s="25">
        <f t="shared" si="8"/>
        <v>-5.075053609721214E-2</v>
      </c>
    </row>
    <row r="739" spans="1:7">
      <c r="A739" s="67">
        <v>152.07</v>
      </c>
      <c r="B739" s="67">
        <v>154</v>
      </c>
      <c r="C739" s="67">
        <v>147.91999999999999</v>
      </c>
      <c r="D739" s="67">
        <v>154</v>
      </c>
      <c r="E739" s="67">
        <v>1377154</v>
      </c>
      <c r="F739" s="67" t="s">
        <v>759</v>
      </c>
      <c r="G739" s="25">
        <f t="shared" si="8"/>
        <v>-1.2532467532467617E-2</v>
      </c>
    </row>
    <row r="740" spans="1:7">
      <c r="A740" s="67">
        <v>156.80000000000001</v>
      </c>
      <c r="B740" s="67">
        <v>165.51</v>
      </c>
      <c r="C740" s="67">
        <v>156.11000000000001</v>
      </c>
      <c r="D740" s="67">
        <v>162.01</v>
      </c>
      <c r="E740" s="67">
        <v>1086193</v>
      </c>
      <c r="F740" s="67" t="s">
        <v>760</v>
      </c>
      <c r="G740" s="25">
        <f t="shared" si="8"/>
        <v>-3.215850873402859E-2</v>
      </c>
    </row>
    <row r="741" spans="1:7">
      <c r="A741" s="67">
        <v>165.04</v>
      </c>
      <c r="B741" s="67">
        <v>169.26</v>
      </c>
      <c r="C741" s="67">
        <v>160.05000000000001</v>
      </c>
      <c r="D741" s="67">
        <v>163.88</v>
      </c>
      <c r="E741" s="67">
        <v>1421991</v>
      </c>
      <c r="F741" s="67" t="s">
        <v>761</v>
      </c>
      <c r="G741" s="25">
        <f t="shared" si="8"/>
        <v>7.0783500122040266E-3</v>
      </c>
    </row>
    <row r="742" spans="1:7">
      <c r="A742" s="67">
        <v>159.49</v>
      </c>
      <c r="B742" s="67">
        <v>164.15</v>
      </c>
      <c r="C742" s="67">
        <v>158.84</v>
      </c>
      <c r="D742" s="67">
        <v>164.03</v>
      </c>
      <c r="E742" s="67">
        <v>938955</v>
      </c>
      <c r="F742" s="67" t="s">
        <v>762</v>
      </c>
      <c r="G742" s="25">
        <f t="shared" si="8"/>
        <v>-2.7677863805401381E-2</v>
      </c>
    </row>
    <row r="743" spans="1:7">
      <c r="A743" s="67">
        <v>163.86</v>
      </c>
      <c r="B743" s="67">
        <v>167.005</v>
      </c>
      <c r="C743" s="67">
        <v>161.69999999999999</v>
      </c>
      <c r="D743" s="67">
        <v>162.22</v>
      </c>
      <c r="E743" s="67">
        <v>1113610</v>
      </c>
      <c r="F743" s="67" t="s">
        <v>763</v>
      </c>
      <c r="G743" s="25">
        <f t="shared" si="8"/>
        <v>1.0109727530514201E-2</v>
      </c>
    </row>
    <row r="744" spans="1:7">
      <c r="A744" s="67">
        <v>161.69999999999999</v>
      </c>
      <c r="B744" s="67">
        <v>165.56</v>
      </c>
      <c r="C744" s="67">
        <v>159.44</v>
      </c>
      <c r="D744" s="67">
        <v>162.5</v>
      </c>
      <c r="E744" s="67">
        <v>1414417</v>
      </c>
      <c r="F744" s="67" t="s">
        <v>764</v>
      </c>
      <c r="G744" s="25">
        <f t="shared" si="8"/>
        <v>-4.9230769230770299E-3</v>
      </c>
    </row>
    <row r="745" spans="1:7">
      <c r="A745" s="67">
        <v>159.29</v>
      </c>
      <c r="B745" s="67">
        <v>159.47999999999999</v>
      </c>
      <c r="C745" s="67">
        <v>152.43</v>
      </c>
      <c r="D745" s="67">
        <v>153.15</v>
      </c>
      <c r="E745" s="67">
        <v>1194323</v>
      </c>
      <c r="F745" s="67" t="s">
        <v>765</v>
      </c>
      <c r="G745" s="25">
        <f t="shared" si="8"/>
        <v>4.0091413646751395E-2</v>
      </c>
    </row>
    <row r="746" spans="1:7">
      <c r="A746" s="67">
        <v>154.66999999999999</v>
      </c>
      <c r="B746" s="67">
        <v>157.13999999999999</v>
      </c>
      <c r="C746" s="67">
        <v>154.11000000000001</v>
      </c>
      <c r="D746" s="67">
        <v>155.01</v>
      </c>
      <c r="E746" s="67">
        <v>757847</v>
      </c>
      <c r="F746" s="67" t="s">
        <v>766</v>
      </c>
      <c r="G746" s="25">
        <f t="shared" si="8"/>
        <v>-2.1934068769756676E-3</v>
      </c>
    </row>
    <row r="747" spans="1:7">
      <c r="A747" s="67">
        <v>155.69999999999999</v>
      </c>
      <c r="B747" s="67">
        <v>162.32</v>
      </c>
      <c r="C747" s="67">
        <v>155.47</v>
      </c>
      <c r="D747" s="67">
        <v>161.65</v>
      </c>
      <c r="E747" s="67">
        <v>1081091</v>
      </c>
      <c r="F747" s="67" t="s">
        <v>767</v>
      </c>
      <c r="G747" s="25">
        <f t="shared" si="8"/>
        <v>-3.6807918342097179E-2</v>
      </c>
    </row>
    <row r="748" spans="1:7">
      <c r="A748" s="67">
        <v>159.93</v>
      </c>
      <c r="B748" s="67">
        <v>164.09</v>
      </c>
      <c r="C748" s="67">
        <v>157.27000000000001</v>
      </c>
      <c r="D748" s="67">
        <v>162.49</v>
      </c>
      <c r="E748" s="67">
        <v>1214601</v>
      </c>
      <c r="F748" s="67" t="s">
        <v>768</v>
      </c>
      <c r="G748" s="25">
        <f t="shared" si="8"/>
        <v>-1.575481568096504E-2</v>
      </c>
    </row>
    <row r="749" spans="1:7">
      <c r="A749" s="67">
        <v>164.74</v>
      </c>
      <c r="B749" s="67">
        <v>169.04</v>
      </c>
      <c r="C749" s="67">
        <v>164.54</v>
      </c>
      <c r="D749" s="67">
        <v>168.35</v>
      </c>
      <c r="E749" s="67">
        <v>741616</v>
      </c>
      <c r="F749" s="67" t="s">
        <v>769</v>
      </c>
      <c r="G749" s="25">
        <f t="shared" si="8"/>
        <v>-2.1443421443421373E-2</v>
      </c>
    </row>
    <row r="750" spans="1:7">
      <c r="A750" s="67">
        <v>167.38</v>
      </c>
      <c r="B750" s="67">
        <v>171.22</v>
      </c>
      <c r="C750" s="67">
        <v>166.88</v>
      </c>
      <c r="D750" s="67">
        <v>169.96</v>
      </c>
      <c r="E750" s="67">
        <v>1490144</v>
      </c>
      <c r="F750" s="67" t="s">
        <v>770</v>
      </c>
      <c r="G750" s="25">
        <f t="shared" si="8"/>
        <v>-1.5180042362909041E-2</v>
      </c>
    </row>
    <row r="751" spans="1:7">
      <c r="A751" s="67">
        <v>170.98</v>
      </c>
      <c r="B751" s="67">
        <v>172.68</v>
      </c>
      <c r="C751" s="67">
        <v>168.14</v>
      </c>
      <c r="D751" s="67">
        <v>168.73</v>
      </c>
      <c r="E751" s="67">
        <v>1043619</v>
      </c>
      <c r="F751" s="67" t="s">
        <v>771</v>
      </c>
      <c r="G751" s="25">
        <f t="shared" si="8"/>
        <v>1.3334913767557577E-2</v>
      </c>
    </row>
    <row r="752" spans="1:7">
      <c r="A752" s="67">
        <v>169.68</v>
      </c>
      <c r="B752" s="67">
        <v>175.5538</v>
      </c>
      <c r="C752" s="67">
        <v>166.03</v>
      </c>
      <c r="D752" s="67">
        <v>175.43</v>
      </c>
      <c r="E752" s="67">
        <v>2420194</v>
      </c>
      <c r="F752" s="67" t="s">
        <v>772</v>
      </c>
      <c r="G752" s="25">
        <f t="shared" si="8"/>
        <v>-3.2776606053696589E-2</v>
      </c>
    </row>
    <row r="753" spans="1:7">
      <c r="A753" s="67">
        <v>174.7</v>
      </c>
      <c r="B753" s="67">
        <v>179.15</v>
      </c>
      <c r="C753" s="67">
        <v>172.88</v>
      </c>
      <c r="D753" s="67">
        <v>177.65</v>
      </c>
      <c r="E753" s="67">
        <v>1101231</v>
      </c>
      <c r="F753" s="67" t="s">
        <v>773</v>
      </c>
      <c r="G753" s="25">
        <f t="shared" si="8"/>
        <v>-1.6605685336335552E-2</v>
      </c>
    </row>
    <row r="754" spans="1:7">
      <c r="A754" s="67">
        <v>176.98</v>
      </c>
      <c r="B754" s="67">
        <v>182.31</v>
      </c>
      <c r="C754" s="67">
        <v>175.62</v>
      </c>
      <c r="D754" s="67">
        <v>175.64</v>
      </c>
      <c r="E754" s="67">
        <v>1012385</v>
      </c>
      <c r="F754" s="67" t="s">
        <v>774</v>
      </c>
      <c r="G754" s="25">
        <f t="shared" si="8"/>
        <v>7.6292416306080746E-3</v>
      </c>
    </row>
    <row r="755" spans="1:7">
      <c r="A755" s="67">
        <v>175.46</v>
      </c>
      <c r="B755" s="67">
        <v>177.98</v>
      </c>
      <c r="C755" s="67">
        <v>170.19</v>
      </c>
      <c r="D755" s="67">
        <v>174.17</v>
      </c>
      <c r="E755" s="67">
        <v>1198913</v>
      </c>
      <c r="F755" s="67" t="s">
        <v>775</v>
      </c>
      <c r="G755" s="25">
        <f t="shared" si="8"/>
        <v>7.4065568123098391E-3</v>
      </c>
    </row>
    <row r="756" spans="1:7">
      <c r="A756" s="67">
        <v>175.26</v>
      </c>
      <c r="B756" s="67">
        <v>177.52</v>
      </c>
      <c r="C756" s="67">
        <v>172.88</v>
      </c>
      <c r="D756" s="67">
        <v>174.87</v>
      </c>
      <c r="E756" s="67">
        <v>995594</v>
      </c>
      <c r="F756" s="67" t="s">
        <v>776</v>
      </c>
      <c r="G756" s="25">
        <f t="shared" si="8"/>
        <v>2.2302281694972503E-3</v>
      </c>
    </row>
    <row r="757" spans="1:7">
      <c r="A757" s="67">
        <v>171.92</v>
      </c>
      <c r="B757" s="67">
        <v>180.93</v>
      </c>
      <c r="C757" s="67">
        <v>171.1</v>
      </c>
      <c r="D757" s="67">
        <v>179.41</v>
      </c>
      <c r="E757" s="67">
        <v>1974874</v>
      </c>
      <c r="F757" s="67" t="s">
        <v>777</v>
      </c>
      <c r="G757" s="25">
        <f t="shared" si="8"/>
        <v>-4.1747951619196311E-2</v>
      </c>
    </row>
    <row r="758" spans="1:7">
      <c r="A758" s="67">
        <v>178.53</v>
      </c>
      <c r="B758" s="67">
        <v>189.65799999999999</v>
      </c>
      <c r="C758" s="67">
        <v>170.86500000000001</v>
      </c>
      <c r="D758" s="67">
        <v>189</v>
      </c>
      <c r="E758" s="67">
        <v>3238351</v>
      </c>
      <c r="F758" s="67" t="s">
        <v>778</v>
      </c>
      <c r="G758" s="25">
        <f t="shared" si="8"/>
        <v>-5.5396825396825444E-2</v>
      </c>
    </row>
    <row r="759" spans="1:7">
      <c r="A759" s="67">
        <v>193.4</v>
      </c>
      <c r="B759" s="67">
        <v>198.19</v>
      </c>
      <c r="C759" s="67">
        <v>186.27180000000001</v>
      </c>
      <c r="D759" s="67">
        <v>186.97</v>
      </c>
      <c r="E759" s="67">
        <v>1283906</v>
      </c>
      <c r="F759" s="67" t="s">
        <v>779</v>
      </c>
      <c r="G759" s="25">
        <f t="shared" si="8"/>
        <v>3.4390543937530049E-2</v>
      </c>
    </row>
    <row r="760" spans="1:7">
      <c r="A760" s="67">
        <v>186.97</v>
      </c>
      <c r="B760" s="67">
        <v>191.6</v>
      </c>
      <c r="C760" s="67">
        <v>186.11</v>
      </c>
      <c r="D760" s="67">
        <v>190.8</v>
      </c>
      <c r="E760" s="67">
        <v>866518</v>
      </c>
      <c r="F760" s="67" t="s">
        <v>780</v>
      </c>
      <c r="G760" s="25">
        <f t="shared" ref="G760:G823" si="9">A760/D760-1</f>
        <v>-2.0073375262054549E-2</v>
      </c>
    </row>
    <row r="761" spans="1:7">
      <c r="A761" s="67">
        <v>192.18</v>
      </c>
      <c r="B761" s="67">
        <v>193.5</v>
      </c>
      <c r="C761" s="67">
        <v>189.81</v>
      </c>
      <c r="D761" s="67">
        <v>192.4</v>
      </c>
      <c r="E761" s="67">
        <v>732238</v>
      </c>
      <c r="F761" s="67" t="s">
        <v>781</v>
      </c>
      <c r="G761" s="25">
        <f t="shared" si="9"/>
        <v>-1.1434511434511574E-3</v>
      </c>
    </row>
    <row r="762" spans="1:7">
      <c r="A762" s="67">
        <v>191.71</v>
      </c>
      <c r="B762" s="67">
        <v>202.38499999999999</v>
      </c>
      <c r="C762" s="67">
        <v>191.28</v>
      </c>
      <c r="D762" s="67">
        <v>201.5</v>
      </c>
      <c r="E762" s="67">
        <v>1322121</v>
      </c>
      <c r="F762" s="67" t="s">
        <v>782</v>
      </c>
      <c r="G762" s="25">
        <f t="shared" si="9"/>
        <v>-4.858560794044664E-2</v>
      </c>
    </row>
    <row r="763" spans="1:7">
      <c r="A763" s="67">
        <v>201.62</v>
      </c>
      <c r="B763" s="67">
        <v>210.31</v>
      </c>
      <c r="C763" s="67">
        <v>197.11</v>
      </c>
      <c r="D763" s="67">
        <v>198.46</v>
      </c>
      <c r="E763" s="67">
        <v>3015142</v>
      </c>
      <c r="F763" s="67" t="s">
        <v>783</v>
      </c>
      <c r="G763" s="25">
        <f t="shared" si="9"/>
        <v>1.5922604051194167E-2</v>
      </c>
    </row>
    <row r="764" spans="1:7">
      <c r="A764" s="67">
        <v>189.48</v>
      </c>
      <c r="B764" s="67">
        <v>192.04</v>
      </c>
      <c r="C764" s="67">
        <v>178.55</v>
      </c>
      <c r="D764" s="67">
        <v>181.21</v>
      </c>
      <c r="E764" s="67">
        <v>2022104</v>
      </c>
      <c r="F764" s="67" t="s">
        <v>784</v>
      </c>
      <c r="G764" s="25">
        <f t="shared" si="9"/>
        <v>4.5637657965895917E-2</v>
      </c>
    </row>
    <row r="765" spans="1:7">
      <c r="A765" s="67">
        <v>181.21</v>
      </c>
      <c r="B765" s="67">
        <v>186.47</v>
      </c>
      <c r="C765" s="67">
        <v>179.37</v>
      </c>
      <c r="D765" s="67">
        <v>185.86</v>
      </c>
      <c r="E765" s="67">
        <v>1024012</v>
      </c>
      <c r="F765" s="67" t="s">
        <v>785</v>
      </c>
      <c r="G765" s="25">
        <f t="shared" si="9"/>
        <v>-2.5018831378456952E-2</v>
      </c>
    </row>
    <row r="766" spans="1:7">
      <c r="A766" s="67">
        <v>183</v>
      </c>
      <c r="B766" s="67">
        <v>189.75</v>
      </c>
      <c r="C766" s="67">
        <v>180.75</v>
      </c>
      <c r="D766" s="67">
        <v>188.06</v>
      </c>
      <c r="E766" s="67">
        <v>1987660</v>
      </c>
      <c r="F766" s="67" t="s">
        <v>786</v>
      </c>
      <c r="G766" s="25">
        <f t="shared" si="9"/>
        <v>-2.6906306497926247E-2</v>
      </c>
    </row>
    <row r="767" spans="1:7">
      <c r="A767" s="67">
        <v>187.84</v>
      </c>
      <c r="B767" s="67">
        <v>191.13</v>
      </c>
      <c r="C767" s="67">
        <v>185.48</v>
      </c>
      <c r="D767" s="67">
        <v>189.44</v>
      </c>
      <c r="E767" s="67">
        <v>1385417</v>
      </c>
      <c r="F767" s="67" t="s">
        <v>787</v>
      </c>
      <c r="G767" s="25">
        <f t="shared" si="9"/>
        <v>-8.4459459459459429E-3</v>
      </c>
    </row>
    <row r="768" spans="1:7">
      <c r="A768" s="67">
        <v>188.52</v>
      </c>
      <c r="B768" s="67">
        <v>199.92500000000001</v>
      </c>
      <c r="C768" s="67">
        <v>188.09</v>
      </c>
      <c r="D768" s="67">
        <v>199.5</v>
      </c>
      <c r="E768" s="67">
        <v>1373263</v>
      </c>
      <c r="F768" s="67" t="s">
        <v>788</v>
      </c>
      <c r="G768" s="25">
        <f t="shared" si="9"/>
        <v>-5.503759398496233E-2</v>
      </c>
    </row>
    <row r="769" spans="1:7">
      <c r="A769" s="67">
        <v>197.74</v>
      </c>
      <c r="B769" s="67">
        <v>199.81440000000001</v>
      </c>
      <c r="C769" s="67">
        <v>193.25</v>
      </c>
      <c r="D769" s="67">
        <v>196.6</v>
      </c>
      <c r="E769" s="67">
        <v>1779093</v>
      </c>
      <c r="F769" s="67" t="s">
        <v>789</v>
      </c>
      <c r="G769" s="25">
        <f t="shared" si="9"/>
        <v>5.7985757884029265E-3</v>
      </c>
    </row>
    <row r="770" spans="1:7">
      <c r="A770" s="67">
        <v>196.52</v>
      </c>
      <c r="B770" s="67">
        <v>205.41</v>
      </c>
      <c r="C770" s="67">
        <v>195.31</v>
      </c>
      <c r="D770" s="67">
        <v>204.26</v>
      </c>
      <c r="E770" s="67">
        <v>1681712</v>
      </c>
      <c r="F770" s="67" t="s">
        <v>790</v>
      </c>
      <c r="G770" s="25">
        <f t="shared" si="9"/>
        <v>-3.789288162146276E-2</v>
      </c>
    </row>
    <row r="771" spans="1:7">
      <c r="A771" s="67">
        <v>205.10499999999999</v>
      </c>
      <c r="B771" s="67">
        <v>209.09</v>
      </c>
      <c r="C771" s="67">
        <v>204.65</v>
      </c>
      <c r="D771" s="67">
        <v>206.86</v>
      </c>
      <c r="E771" s="67">
        <v>821538</v>
      </c>
      <c r="F771" s="67" t="s">
        <v>791</v>
      </c>
      <c r="G771" s="25">
        <f t="shared" si="9"/>
        <v>-8.4839988397951149E-3</v>
      </c>
    </row>
    <row r="772" spans="1:7">
      <c r="A772" s="67">
        <v>208.29</v>
      </c>
      <c r="B772" s="67">
        <v>211.69</v>
      </c>
      <c r="C772" s="67">
        <v>204.26</v>
      </c>
      <c r="D772" s="67">
        <v>211.69</v>
      </c>
      <c r="E772" s="67">
        <v>1450109</v>
      </c>
      <c r="F772" s="67" t="s">
        <v>792</v>
      </c>
      <c r="G772" s="25">
        <f t="shared" si="9"/>
        <v>-1.6061221597619135E-2</v>
      </c>
    </row>
    <row r="773" spans="1:7">
      <c r="A773" s="67">
        <v>210.6</v>
      </c>
      <c r="B773" s="67">
        <v>218.64</v>
      </c>
      <c r="C773" s="67">
        <v>210.18</v>
      </c>
      <c r="D773" s="67">
        <v>218.42</v>
      </c>
      <c r="E773" s="67">
        <v>1244249</v>
      </c>
      <c r="F773" s="67" t="s">
        <v>793</v>
      </c>
      <c r="G773" s="25">
        <f t="shared" si="9"/>
        <v>-3.5802582181118869E-2</v>
      </c>
    </row>
    <row r="774" spans="1:7">
      <c r="A774" s="67">
        <v>219.08</v>
      </c>
      <c r="B774" s="67">
        <v>227.55</v>
      </c>
      <c r="C774" s="67">
        <v>218.81</v>
      </c>
      <c r="D774" s="67">
        <v>222.86</v>
      </c>
      <c r="E774" s="67">
        <v>1036745</v>
      </c>
      <c r="F774" s="67" t="s">
        <v>794</v>
      </c>
      <c r="G774" s="25">
        <f t="shared" si="9"/>
        <v>-1.6961321008705066E-2</v>
      </c>
    </row>
    <row r="775" spans="1:7">
      <c r="A775" s="67">
        <v>223.89</v>
      </c>
      <c r="B775" s="67">
        <v>226.87</v>
      </c>
      <c r="C775" s="67">
        <v>221.89</v>
      </c>
      <c r="D775" s="67">
        <v>226</v>
      </c>
      <c r="E775" s="67">
        <v>845521</v>
      </c>
      <c r="F775" s="67" t="s">
        <v>795</v>
      </c>
      <c r="G775" s="25">
        <f t="shared" si="9"/>
        <v>-9.336283185840788E-3</v>
      </c>
    </row>
    <row r="776" spans="1:7">
      <c r="A776" s="67">
        <v>225.28</v>
      </c>
      <c r="B776" s="67">
        <v>231.72</v>
      </c>
      <c r="C776" s="67">
        <v>223.5</v>
      </c>
      <c r="D776" s="67">
        <v>231.72</v>
      </c>
      <c r="E776" s="67">
        <v>1611953</v>
      </c>
      <c r="F776" s="67" t="s">
        <v>796</v>
      </c>
      <c r="G776" s="25">
        <f t="shared" si="9"/>
        <v>-2.7792162955290856E-2</v>
      </c>
    </row>
    <row r="777" spans="1:7">
      <c r="A777" s="67">
        <v>233.66</v>
      </c>
      <c r="B777" s="67">
        <v>239.7</v>
      </c>
      <c r="C777" s="67">
        <v>229.98</v>
      </c>
      <c r="D777" s="67">
        <v>230.33</v>
      </c>
      <c r="E777" s="67">
        <v>1771717</v>
      </c>
      <c r="F777" s="67" t="s">
        <v>797</v>
      </c>
      <c r="G777" s="25">
        <f t="shared" si="9"/>
        <v>1.4457517474927295E-2</v>
      </c>
    </row>
    <row r="778" spans="1:7">
      <c r="A778" s="67">
        <v>229.69</v>
      </c>
      <c r="B778" s="67">
        <v>239.13</v>
      </c>
      <c r="C778" s="67">
        <v>225.39</v>
      </c>
      <c r="D778" s="67">
        <v>235</v>
      </c>
      <c r="E778" s="67">
        <v>2758469</v>
      </c>
      <c r="F778" s="67" t="s">
        <v>798</v>
      </c>
      <c r="G778" s="25">
        <f t="shared" si="9"/>
        <v>-2.2595744680851126E-2</v>
      </c>
    </row>
    <row r="779" spans="1:7">
      <c r="A779" s="67">
        <v>238.34</v>
      </c>
      <c r="B779" s="67">
        <v>256.81</v>
      </c>
      <c r="C779" s="67">
        <v>236.74</v>
      </c>
      <c r="D779" s="67">
        <v>255</v>
      </c>
      <c r="E779" s="67">
        <v>2576882</v>
      </c>
      <c r="F779" s="67" t="s">
        <v>799</v>
      </c>
      <c r="G779" s="25">
        <f t="shared" si="9"/>
        <v>-6.5333333333333354E-2</v>
      </c>
    </row>
    <row r="780" spans="1:7">
      <c r="A780" s="67">
        <v>260.85000000000002</v>
      </c>
      <c r="B780" s="67">
        <v>265.69</v>
      </c>
      <c r="C780" s="67">
        <v>259.83999999999997</v>
      </c>
      <c r="D780" s="67">
        <v>263.08</v>
      </c>
      <c r="E780" s="67">
        <v>521192</v>
      </c>
      <c r="F780" s="67" t="s">
        <v>800</v>
      </c>
      <c r="G780" s="25">
        <f t="shared" si="9"/>
        <v>-8.4765090466776272E-3</v>
      </c>
    </row>
    <row r="781" spans="1:7">
      <c r="A781" s="67">
        <v>263.14</v>
      </c>
      <c r="B781" s="67">
        <v>266.47500000000002</v>
      </c>
      <c r="C781" s="67">
        <v>260.47000000000003</v>
      </c>
      <c r="D781" s="67">
        <v>264.48</v>
      </c>
      <c r="E781" s="67">
        <v>626758</v>
      </c>
      <c r="F781" s="67" t="s">
        <v>801</v>
      </c>
      <c r="G781" s="25">
        <f t="shared" si="9"/>
        <v>-5.066545674531242E-3</v>
      </c>
    </row>
    <row r="782" spans="1:7">
      <c r="A782" s="67">
        <v>265.27999999999997</v>
      </c>
      <c r="B782" s="67">
        <v>269.33499999999998</v>
      </c>
      <c r="C782" s="67">
        <v>263.7</v>
      </c>
      <c r="D782" s="67">
        <v>268.12</v>
      </c>
      <c r="E782" s="67">
        <v>576569</v>
      </c>
      <c r="F782" s="67" t="s">
        <v>802</v>
      </c>
      <c r="G782" s="25">
        <f t="shared" si="9"/>
        <v>-1.0592272116962675E-2</v>
      </c>
    </row>
    <row r="783" spans="1:7">
      <c r="A783" s="67">
        <v>268.74</v>
      </c>
      <c r="B783" s="67">
        <v>270.08</v>
      </c>
      <c r="C783" s="67">
        <v>266.17</v>
      </c>
      <c r="D783" s="67">
        <v>269</v>
      </c>
      <c r="E783" s="67">
        <v>408160</v>
      </c>
      <c r="F783" s="67" t="s">
        <v>803</v>
      </c>
      <c r="G783" s="25">
        <f t="shared" si="9"/>
        <v>-9.6654275092933339E-4</v>
      </c>
    </row>
    <row r="784" spans="1:7">
      <c r="A784" s="67">
        <v>270.94</v>
      </c>
      <c r="B784" s="67">
        <v>277.64999999999998</v>
      </c>
      <c r="C784" s="67">
        <v>269.55</v>
      </c>
      <c r="D784" s="67">
        <v>275.19</v>
      </c>
      <c r="E784" s="67">
        <v>536412</v>
      </c>
      <c r="F784" s="67" t="s">
        <v>804</v>
      </c>
      <c r="G784" s="25">
        <f t="shared" si="9"/>
        <v>-1.5443875140811802E-2</v>
      </c>
    </row>
    <row r="785" spans="1:7">
      <c r="A785" s="67">
        <v>276.75</v>
      </c>
      <c r="B785" s="67">
        <v>281.83</v>
      </c>
      <c r="C785" s="67">
        <v>274.48</v>
      </c>
      <c r="D785" s="67">
        <v>281.83</v>
      </c>
      <c r="E785" s="67">
        <v>325206</v>
      </c>
      <c r="F785" s="67" t="s">
        <v>805</v>
      </c>
      <c r="G785" s="25">
        <f t="shared" si="9"/>
        <v>-1.8025050562395672E-2</v>
      </c>
    </row>
    <row r="786" spans="1:7">
      <c r="A786" s="67">
        <v>280.52999999999997</v>
      </c>
      <c r="B786" s="67">
        <v>283</v>
      </c>
      <c r="C786" s="67">
        <v>277.98250000000002</v>
      </c>
      <c r="D786" s="67">
        <v>280.70999999999998</v>
      </c>
      <c r="E786" s="67">
        <v>284508</v>
      </c>
      <c r="F786" s="67" t="s">
        <v>806</v>
      </c>
      <c r="G786" s="25">
        <f t="shared" si="9"/>
        <v>-6.4123116383463241E-4</v>
      </c>
    </row>
    <row r="787" spans="1:7">
      <c r="A787" s="67">
        <v>277.57</v>
      </c>
      <c r="B787" s="67">
        <v>282.54500000000002</v>
      </c>
      <c r="C787" s="67">
        <v>277.07</v>
      </c>
      <c r="D787" s="67">
        <v>282.49</v>
      </c>
      <c r="E787" s="67">
        <v>342891</v>
      </c>
      <c r="F787" s="67" t="s">
        <v>807</v>
      </c>
      <c r="G787" s="25">
        <f t="shared" si="9"/>
        <v>-1.7416545718432541E-2</v>
      </c>
    </row>
    <row r="788" spans="1:7">
      <c r="A788" s="67">
        <v>280.87</v>
      </c>
      <c r="B788" s="67">
        <v>283.07</v>
      </c>
      <c r="C788" s="67">
        <v>278.95</v>
      </c>
      <c r="D788" s="67">
        <v>280.44</v>
      </c>
      <c r="E788" s="67">
        <v>305829</v>
      </c>
      <c r="F788" s="67" t="s">
        <v>808</v>
      </c>
      <c r="G788" s="25">
        <f t="shared" si="9"/>
        <v>1.5333048067323052E-3</v>
      </c>
    </row>
    <row r="789" spans="1:7">
      <c r="A789" s="67">
        <v>281.74</v>
      </c>
      <c r="B789" s="67">
        <v>283.39999999999998</v>
      </c>
      <c r="C789" s="67">
        <v>277.01</v>
      </c>
      <c r="D789" s="67">
        <v>277.5</v>
      </c>
      <c r="E789" s="67">
        <v>364951</v>
      </c>
      <c r="F789" s="67" t="s">
        <v>809</v>
      </c>
      <c r="G789" s="25">
        <f t="shared" si="9"/>
        <v>1.5279279279279301E-2</v>
      </c>
    </row>
    <row r="790" spans="1:7">
      <c r="A790" s="67">
        <v>279.60000000000002</v>
      </c>
      <c r="B790" s="67">
        <v>284.60000000000002</v>
      </c>
      <c r="C790" s="67">
        <v>276.52</v>
      </c>
      <c r="D790" s="67">
        <v>283.31</v>
      </c>
      <c r="E790" s="67">
        <v>485162</v>
      </c>
      <c r="F790" s="67" t="s">
        <v>810</v>
      </c>
      <c r="G790" s="25">
        <f t="shared" si="9"/>
        <v>-1.3095196074970783E-2</v>
      </c>
    </row>
    <row r="791" spans="1:7">
      <c r="A791" s="67">
        <v>284.27999999999997</v>
      </c>
      <c r="B791" s="67">
        <v>286.71499999999997</v>
      </c>
      <c r="C791" s="67">
        <v>279.20999999999998</v>
      </c>
      <c r="D791" s="67">
        <v>280.98</v>
      </c>
      <c r="E791" s="67">
        <v>389342</v>
      </c>
      <c r="F791" s="67" t="s">
        <v>811</v>
      </c>
      <c r="G791" s="25">
        <f t="shared" si="9"/>
        <v>1.1744608157163938E-2</v>
      </c>
    </row>
    <row r="792" spans="1:7">
      <c r="A792" s="67">
        <v>278.83</v>
      </c>
      <c r="B792" s="67">
        <v>289.73</v>
      </c>
      <c r="C792" s="67">
        <v>277.77999999999997</v>
      </c>
      <c r="D792" s="67">
        <v>288.12</v>
      </c>
      <c r="E792" s="67">
        <v>731871</v>
      </c>
      <c r="F792" s="67" t="s">
        <v>812</v>
      </c>
      <c r="G792" s="25">
        <f t="shared" si="9"/>
        <v>-3.2243509648757551E-2</v>
      </c>
    </row>
    <row r="793" spans="1:7">
      <c r="A793" s="67">
        <v>287.82</v>
      </c>
      <c r="B793" s="67">
        <v>289.99</v>
      </c>
      <c r="C793" s="67">
        <v>284.92500000000001</v>
      </c>
      <c r="D793" s="67">
        <v>286.60000000000002</v>
      </c>
      <c r="E793" s="67">
        <v>514930</v>
      </c>
      <c r="F793" s="67" t="s">
        <v>813</v>
      </c>
      <c r="G793" s="25">
        <f t="shared" si="9"/>
        <v>4.2568039078854092E-3</v>
      </c>
    </row>
    <row r="794" spans="1:7">
      <c r="A794" s="67">
        <v>285.39</v>
      </c>
      <c r="B794" s="67">
        <v>288.185</v>
      </c>
      <c r="C794" s="67">
        <v>283.43</v>
      </c>
      <c r="D794" s="67">
        <v>286.92</v>
      </c>
      <c r="E794" s="67">
        <v>525531</v>
      </c>
      <c r="F794" s="67" t="s">
        <v>814</v>
      </c>
      <c r="G794" s="25">
        <f t="shared" si="9"/>
        <v>-5.3324968632372238E-3</v>
      </c>
    </row>
    <row r="795" spans="1:7">
      <c r="A795" s="67">
        <v>287.95999999999998</v>
      </c>
      <c r="B795" s="67">
        <v>293.63900000000001</v>
      </c>
      <c r="C795" s="67">
        <v>287.74</v>
      </c>
      <c r="D795" s="67">
        <v>292.07</v>
      </c>
      <c r="E795" s="67">
        <v>336740</v>
      </c>
      <c r="F795" s="67" t="s">
        <v>815</v>
      </c>
      <c r="G795" s="25">
        <f t="shared" si="9"/>
        <v>-1.407196904851582E-2</v>
      </c>
    </row>
    <row r="796" spans="1:7">
      <c r="A796" s="67">
        <v>290.89</v>
      </c>
      <c r="B796" s="67">
        <v>291.54000000000002</v>
      </c>
      <c r="C796" s="67">
        <v>285.52999999999997</v>
      </c>
      <c r="D796" s="67">
        <v>287.07</v>
      </c>
      <c r="E796" s="67">
        <v>396093</v>
      </c>
      <c r="F796" s="67" t="s">
        <v>816</v>
      </c>
      <c r="G796" s="25">
        <f t="shared" si="9"/>
        <v>1.330685895426198E-2</v>
      </c>
    </row>
    <row r="797" spans="1:7">
      <c r="A797" s="67">
        <v>285.75</v>
      </c>
      <c r="B797" s="67">
        <v>288.08760000000001</v>
      </c>
      <c r="C797" s="67">
        <v>285.23</v>
      </c>
      <c r="D797" s="67">
        <v>286.83</v>
      </c>
      <c r="E797" s="67">
        <v>287500</v>
      </c>
      <c r="F797" s="67" t="s">
        <v>817</v>
      </c>
      <c r="G797" s="25">
        <f t="shared" si="9"/>
        <v>-3.7652965171006691E-3</v>
      </c>
    </row>
    <row r="798" spans="1:7">
      <c r="A798" s="67">
        <v>285.49</v>
      </c>
      <c r="B798" s="67">
        <v>286.8</v>
      </c>
      <c r="C798" s="67">
        <v>281.31</v>
      </c>
      <c r="D798" s="67">
        <v>283.98</v>
      </c>
      <c r="E798" s="67">
        <v>400719</v>
      </c>
      <c r="F798" s="67" t="s">
        <v>818</v>
      </c>
      <c r="G798" s="25">
        <f t="shared" si="9"/>
        <v>5.3172758644974838E-3</v>
      </c>
    </row>
    <row r="799" spans="1:7">
      <c r="A799" s="67">
        <v>282.5</v>
      </c>
      <c r="B799" s="67">
        <v>286</v>
      </c>
      <c r="C799" s="67">
        <v>280.17500000000001</v>
      </c>
      <c r="D799" s="67">
        <v>285.33</v>
      </c>
      <c r="E799" s="67">
        <v>452401</v>
      </c>
      <c r="F799" s="67" t="s">
        <v>819</v>
      </c>
      <c r="G799" s="25">
        <f t="shared" si="9"/>
        <v>-9.9183401675252414E-3</v>
      </c>
    </row>
    <row r="800" spans="1:7">
      <c r="A800" s="67">
        <v>285.52999999999997</v>
      </c>
      <c r="B800" s="67">
        <v>285.85000000000002</v>
      </c>
      <c r="C800" s="67">
        <v>277.92</v>
      </c>
      <c r="D800" s="67">
        <v>277.92</v>
      </c>
      <c r="E800" s="67">
        <v>562811</v>
      </c>
      <c r="F800" s="67" t="s">
        <v>820</v>
      </c>
      <c r="G800" s="25">
        <f t="shared" si="9"/>
        <v>2.7381980426021801E-2</v>
      </c>
    </row>
    <row r="801" spans="1:7">
      <c r="A801" s="67">
        <v>278.67</v>
      </c>
      <c r="B801" s="67">
        <v>280.67</v>
      </c>
      <c r="C801" s="67">
        <v>275.42</v>
      </c>
      <c r="D801" s="67">
        <v>277.43</v>
      </c>
      <c r="E801" s="67">
        <v>535080</v>
      </c>
      <c r="F801" s="67" t="s">
        <v>821</v>
      </c>
      <c r="G801" s="25">
        <f t="shared" si="9"/>
        <v>4.4695959341094493E-3</v>
      </c>
    </row>
    <row r="802" spans="1:7">
      <c r="A802" s="67">
        <v>277.68</v>
      </c>
      <c r="B802" s="67">
        <v>281.33</v>
      </c>
      <c r="C802" s="67">
        <v>276.85000000000002</v>
      </c>
      <c r="D802" s="67">
        <v>279.11</v>
      </c>
      <c r="E802" s="67">
        <v>656848</v>
      </c>
      <c r="F802" s="67" t="s">
        <v>822</v>
      </c>
      <c r="G802" s="25">
        <f t="shared" si="9"/>
        <v>-5.1234280391243558E-3</v>
      </c>
    </row>
    <row r="803" spans="1:7">
      <c r="A803" s="67">
        <v>281.99</v>
      </c>
      <c r="B803" s="67">
        <v>283.5</v>
      </c>
      <c r="C803" s="67">
        <v>279.62</v>
      </c>
      <c r="D803" s="67">
        <v>283.17</v>
      </c>
      <c r="E803" s="67">
        <v>802912</v>
      </c>
      <c r="F803" s="67" t="s">
        <v>823</v>
      </c>
      <c r="G803" s="25">
        <f t="shared" si="9"/>
        <v>-4.167108097609229E-3</v>
      </c>
    </row>
    <row r="804" spans="1:7">
      <c r="A804" s="67">
        <v>283.43</v>
      </c>
      <c r="B804" s="67">
        <v>287.02999999999997</v>
      </c>
      <c r="C804" s="67">
        <v>280.75</v>
      </c>
      <c r="D804" s="67">
        <v>287.02999999999997</v>
      </c>
      <c r="E804" s="67">
        <v>279433</v>
      </c>
      <c r="F804" s="67" t="s">
        <v>824</v>
      </c>
      <c r="G804" s="25">
        <f t="shared" si="9"/>
        <v>-1.2542242971117834E-2</v>
      </c>
    </row>
    <row r="805" spans="1:7">
      <c r="A805" s="67">
        <v>288.33999999999997</v>
      </c>
      <c r="B805" s="67">
        <v>295</v>
      </c>
      <c r="C805" s="67">
        <v>278.61</v>
      </c>
      <c r="D805" s="67">
        <v>293.14999999999998</v>
      </c>
      <c r="E805" s="67">
        <v>1022534</v>
      </c>
      <c r="F805" s="67" t="s">
        <v>825</v>
      </c>
      <c r="G805" s="25">
        <f t="shared" si="9"/>
        <v>-1.6407982261640752E-2</v>
      </c>
    </row>
    <row r="806" spans="1:7">
      <c r="A806" s="67">
        <v>290.98</v>
      </c>
      <c r="B806" s="67">
        <v>293.49</v>
      </c>
      <c r="C806" s="67">
        <v>284.58999999999997</v>
      </c>
      <c r="D806" s="67">
        <v>292.27999999999997</v>
      </c>
      <c r="E806" s="67">
        <v>577030</v>
      </c>
      <c r="F806" s="67" t="s">
        <v>826</v>
      </c>
      <c r="G806" s="25">
        <f t="shared" si="9"/>
        <v>-4.447789790611556E-3</v>
      </c>
    </row>
    <row r="807" spans="1:7">
      <c r="A807" s="67">
        <v>294.54000000000002</v>
      </c>
      <c r="B807" s="67">
        <v>296.58999999999997</v>
      </c>
      <c r="C807" s="67">
        <v>291.95999999999998</v>
      </c>
      <c r="D807" s="67">
        <v>294.66000000000003</v>
      </c>
      <c r="E807" s="67">
        <v>356301</v>
      </c>
      <c r="F807" s="67" t="s">
        <v>827</v>
      </c>
      <c r="G807" s="25">
        <f t="shared" si="9"/>
        <v>-4.0724903278355207E-4</v>
      </c>
    </row>
    <row r="808" spans="1:7">
      <c r="A808" s="67">
        <v>293.87</v>
      </c>
      <c r="B808" s="67">
        <v>298.95</v>
      </c>
      <c r="C808" s="67">
        <v>287.14999999999998</v>
      </c>
      <c r="D808" s="67">
        <v>298.14</v>
      </c>
      <c r="E808" s="67">
        <v>669173</v>
      </c>
      <c r="F808" s="67" t="s">
        <v>828</v>
      </c>
      <c r="G808" s="25">
        <f t="shared" si="9"/>
        <v>-1.4322130542698042E-2</v>
      </c>
    </row>
    <row r="809" spans="1:7">
      <c r="A809" s="67">
        <v>296.74</v>
      </c>
      <c r="B809" s="67">
        <v>297.19</v>
      </c>
      <c r="C809" s="67">
        <v>285.42</v>
      </c>
      <c r="D809" s="67">
        <v>287.45</v>
      </c>
      <c r="E809" s="67">
        <v>839547</v>
      </c>
      <c r="F809" s="67" t="s">
        <v>829</v>
      </c>
      <c r="G809" s="25">
        <f t="shared" si="9"/>
        <v>3.2318664115498441E-2</v>
      </c>
    </row>
    <row r="810" spans="1:7">
      <c r="A810" s="67">
        <v>287.85000000000002</v>
      </c>
      <c r="B810" s="67">
        <v>291.92</v>
      </c>
      <c r="C810" s="67">
        <v>286.29000000000002</v>
      </c>
      <c r="D810" s="67">
        <v>289.86</v>
      </c>
      <c r="E810" s="67">
        <v>602097</v>
      </c>
      <c r="F810" s="67" t="s">
        <v>830</v>
      </c>
      <c r="G810" s="25">
        <f t="shared" si="9"/>
        <v>-6.934382115504012E-3</v>
      </c>
    </row>
    <row r="811" spans="1:7">
      <c r="A811" s="67">
        <v>291.41000000000003</v>
      </c>
      <c r="B811" s="67">
        <v>294.31</v>
      </c>
      <c r="C811" s="67">
        <v>289.64</v>
      </c>
      <c r="D811" s="67">
        <v>289.64999999999998</v>
      </c>
      <c r="E811" s="67">
        <v>477250</v>
      </c>
      <c r="F811" s="67" t="s">
        <v>831</v>
      </c>
      <c r="G811" s="25">
        <f t="shared" si="9"/>
        <v>6.0762989815295043E-3</v>
      </c>
    </row>
    <row r="812" spans="1:7">
      <c r="A812" s="67">
        <v>289.08</v>
      </c>
      <c r="B812" s="67">
        <v>290.40499999999997</v>
      </c>
      <c r="C812" s="67">
        <v>284.07</v>
      </c>
      <c r="D812" s="67">
        <v>288.2</v>
      </c>
      <c r="E812" s="67">
        <v>387862</v>
      </c>
      <c r="F812" s="67" t="s">
        <v>832</v>
      </c>
      <c r="G812" s="25">
        <f t="shared" si="9"/>
        <v>3.0534351145037331E-3</v>
      </c>
    </row>
    <row r="813" spans="1:7">
      <c r="A813" s="67">
        <v>288.70999999999998</v>
      </c>
      <c r="B813" s="67">
        <v>290.70999999999998</v>
      </c>
      <c r="C813" s="67">
        <v>281.27999999999997</v>
      </c>
      <c r="D813" s="67">
        <v>282.8</v>
      </c>
      <c r="E813" s="67">
        <v>577053</v>
      </c>
      <c r="F813" s="67" t="s">
        <v>833</v>
      </c>
      <c r="G813" s="25">
        <f t="shared" si="9"/>
        <v>2.0898161244695679E-2</v>
      </c>
    </row>
    <row r="814" spans="1:7">
      <c r="A814" s="67">
        <v>284.5</v>
      </c>
      <c r="B814" s="67">
        <v>292.83999999999997</v>
      </c>
      <c r="C814" s="67">
        <v>282.63</v>
      </c>
      <c r="D814" s="67">
        <v>289.23</v>
      </c>
      <c r="E814" s="67">
        <v>727811</v>
      </c>
      <c r="F814" s="67" t="s">
        <v>834</v>
      </c>
      <c r="G814" s="25">
        <f t="shared" si="9"/>
        <v>-1.6353766898316247E-2</v>
      </c>
    </row>
    <row r="815" spans="1:7">
      <c r="A815" s="67">
        <v>287.13</v>
      </c>
      <c r="B815" s="67">
        <v>287.44</v>
      </c>
      <c r="C815" s="67">
        <v>282.02</v>
      </c>
      <c r="D815" s="67">
        <v>283.33</v>
      </c>
      <c r="E815" s="67">
        <v>528898</v>
      </c>
      <c r="F815" s="67" t="s">
        <v>835</v>
      </c>
      <c r="G815" s="25">
        <f t="shared" si="9"/>
        <v>1.3411922493205886E-2</v>
      </c>
    </row>
    <row r="816" spans="1:7">
      <c r="A816" s="67">
        <v>283.58999999999997</v>
      </c>
      <c r="B816" s="67">
        <v>287.5</v>
      </c>
      <c r="C816" s="67">
        <v>281.14</v>
      </c>
      <c r="D816" s="67">
        <v>281.5</v>
      </c>
      <c r="E816" s="67">
        <v>718520</v>
      </c>
      <c r="F816" s="67" t="s">
        <v>836</v>
      </c>
      <c r="G816" s="25">
        <f t="shared" si="9"/>
        <v>7.4245115452928889E-3</v>
      </c>
    </row>
    <row r="817" spans="1:7">
      <c r="A817" s="67">
        <v>281.48</v>
      </c>
      <c r="B817" s="67">
        <v>285.5</v>
      </c>
      <c r="C817" s="67">
        <v>279.81</v>
      </c>
      <c r="D817" s="67">
        <v>284.36</v>
      </c>
      <c r="E817" s="67">
        <v>528104</v>
      </c>
      <c r="F817" s="67" t="s">
        <v>837</v>
      </c>
      <c r="G817" s="25">
        <f t="shared" si="9"/>
        <v>-1.0128006752004537E-2</v>
      </c>
    </row>
    <row r="818" spans="1:7">
      <c r="A818" s="67">
        <v>284.08999999999997</v>
      </c>
      <c r="B818" s="67">
        <v>285.75</v>
      </c>
      <c r="C818" s="67">
        <v>280.95</v>
      </c>
      <c r="D818" s="67">
        <v>284.2</v>
      </c>
      <c r="E818" s="67">
        <v>422384</v>
      </c>
      <c r="F818" s="67" t="s">
        <v>838</v>
      </c>
      <c r="G818" s="25">
        <f t="shared" si="9"/>
        <v>-3.8705137227312836E-4</v>
      </c>
    </row>
    <row r="819" spans="1:7">
      <c r="A819" s="67">
        <v>283.08999999999997</v>
      </c>
      <c r="B819" s="67">
        <v>284.05</v>
      </c>
      <c r="C819" s="67">
        <v>280.49</v>
      </c>
      <c r="D819" s="67">
        <v>281.58999999999997</v>
      </c>
      <c r="E819" s="67">
        <v>396601</v>
      </c>
      <c r="F819" s="67" t="s">
        <v>839</v>
      </c>
      <c r="G819" s="25">
        <f t="shared" si="9"/>
        <v>5.3268937107142644E-3</v>
      </c>
    </row>
    <row r="820" spans="1:7">
      <c r="A820" s="67">
        <v>281.33999999999997</v>
      </c>
      <c r="B820" s="67">
        <v>282</v>
      </c>
      <c r="C820" s="67">
        <v>275.66500000000002</v>
      </c>
      <c r="D820" s="67">
        <v>277.61</v>
      </c>
      <c r="E820" s="67">
        <v>445968</v>
      </c>
      <c r="F820" s="67" t="s">
        <v>840</v>
      </c>
      <c r="G820" s="25">
        <f t="shared" si="9"/>
        <v>1.3436115413709704E-2</v>
      </c>
    </row>
    <row r="821" spans="1:7">
      <c r="A821" s="67">
        <v>278.8</v>
      </c>
      <c r="B821" s="67">
        <v>285.86</v>
      </c>
      <c r="C821" s="67">
        <v>274.88</v>
      </c>
      <c r="D821" s="67">
        <v>285.44</v>
      </c>
      <c r="E821" s="67">
        <v>493951</v>
      </c>
      <c r="F821" s="67" t="s">
        <v>841</v>
      </c>
      <c r="G821" s="25">
        <f t="shared" si="9"/>
        <v>-2.3262331838564965E-2</v>
      </c>
    </row>
    <row r="822" spans="1:7">
      <c r="A822" s="67">
        <v>285.56</v>
      </c>
      <c r="B822" s="67">
        <v>285.8</v>
      </c>
      <c r="C822" s="67">
        <v>281.14</v>
      </c>
      <c r="D822" s="67">
        <v>282.94</v>
      </c>
      <c r="E822" s="67">
        <v>543717</v>
      </c>
      <c r="F822" s="67" t="s">
        <v>842</v>
      </c>
      <c r="G822" s="25">
        <f t="shared" si="9"/>
        <v>9.2599137626352412E-3</v>
      </c>
    </row>
    <row r="823" spans="1:7">
      <c r="A823" s="67">
        <v>284.07</v>
      </c>
      <c r="B823" s="67">
        <v>287.8</v>
      </c>
      <c r="C823" s="67">
        <v>280.55</v>
      </c>
      <c r="D823" s="67">
        <v>283.22000000000003</v>
      </c>
      <c r="E823" s="67">
        <v>732792</v>
      </c>
      <c r="F823" s="67" t="s">
        <v>843</v>
      </c>
      <c r="G823" s="25">
        <f t="shared" si="9"/>
        <v>3.0012004801920344E-3</v>
      </c>
    </row>
    <row r="824" spans="1:7">
      <c r="A824" s="67">
        <v>281.02999999999997</v>
      </c>
      <c r="B824" s="67">
        <v>281.19</v>
      </c>
      <c r="C824" s="67">
        <v>272.55</v>
      </c>
      <c r="D824" s="67">
        <v>274.45</v>
      </c>
      <c r="E824" s="67">
        <v>687048</v>
      </c>
      <c r="F824" s="67" t="s">
        <v>844</v>
      </c>
      <c r="G824" s="25">
        <f t="shared" ref="G824:G887" si="10">A824/D824-1</f>
        <v>2.3975223173619886E-2</v>
      </c>
    </row>
    <row r="825" spans="1:7">
      <c r="A825" s="67">
        <v>272.48</v>
      </c>
      <c r="B825" s="67">
        <v>274.56</v>
      </c>
      <c r="C825" s="67">
        <v>270</v>
      </c>
      <c r="D825" s="67">
        <v>274.48</v>
      </c>
      <c r="E825" s="67">
        <v>574541</v>
      </c>
      <c r="F825" s="67" t="s">
        <v>845</v>
      </c>
      <c r="G825" s="25">
        <f t="shared" si="10"/>
        <v>-7.286505392014031E-3</v>
      </c>
    </row>
    <row r="826" spans="1:7">
      <c r="A826" s="67">
        <v>274.25</v>
      </c>
      <c r="B826" s="67">
        <v>275.31</v>
      </c>
      <c r="C826" s="67">
        <v>270.02999999999997</v>
      </c>
      <c r="D826" s="67">
        <v>272.87</v>
      </c>
      <c r="E826" s="67">
        <v>907095</v>
      </c>
      <c r="F826" s="67" t="s">
        <v>846</v>
      </c>
      <c r="G826" s="25">
        <f t="shared" si="10"/>
        <v>5.0573533184299357E-3</v>
      </c>
    </row>
    <row r="827" spans="1:7">
      <c r="A827" s="67">
        <v>272.58</v>
      </c>
      <c r="B827" s="67">
        <v>276.25</v>
      </c>
      <c r="C827" s="67">
        <v>271.47000000000003</v>
      </c>
      <c r="D827" s="67">
        <v>272.63</v>
      </c>
      <c r="E827" s="67">
        <v>503536</v>
      </c>
      <c r="F827" s="67" t="s">
        <v>847</v>
      </c>
      <c r="G827" s="25">
        <f t="shared" si="10"/>
        <v>-1.8339874555262092E-4</v>
      </c>
    </row>
    <row r="828" spans="1:7">
      <c r="A828" s="67">
        <v>272.63</v>
      </c>
      <c r="B828" s="67">
        <v>281.02999999999997</v>
      </c>
      <c r="C828" s="67">
        <v>272.5</v>
      </c>
      <c r="D828" s="67">
        <v>277.83</v>
      </c>
      <c r="E828" s="67">
        <v>773445</v>
      </c>
      <c r="F828" s="67" t="s">
        <v>848</v>
      </c>
      <c r="G828" s="25">
        <f t="shared" si="10"/>
        <v>-1.8716481301515264E-2</v>
      </c>
    </row>
    <row r="829" spans="1:7">
      <c r="A829" s="67">
        <v>277.05</v>
      </c>
      <c r="B829" s="67">
        <v>292.74</v>
      </c>
      <c r="C829" s="67">
        <v>268.76</v>
      </c>
      <c r="D829" s="67">
        <v>292.74</v>
      </c>
      <c r="E829" s="67">
        <v>1925518</v>
      </c>
      <c r="F829" s="67" t="s">
        <v>849</v>
      </c>
      <c r="G829" s="25">
        <f t="shared" si="10"/>
        <v>-5.3597048575527717E-2</v>
      </c>
    </row>
    <row r="830" spans="1:7">
      <c r="A830" s="67">
        <v>293.75</v>
      </c>
      <c r="B830" s="67">
        <v>295.98</v>
      </c>
      <c r="C830" s="67">
        <v>291.42</v>
      </c>
      <c r="D830" s="67">
        <v>293.83</v>
      </c>
      <c r="E830" s="67">
        <v>383626</v>
      </c>
      <c r="F830" s="67" t="s">
        <v>850</v>
      </c>
      <c r="G830" s="25">
        <f t="shared" si="10"/>
        <v>-2.7226627641829815E-4</v>
      </c>
    </row>
    <row r="831" spans="1:7">
      <c r="A831" s="67">
        <v>296.43</v>
      </c>
      <c r="B831" s="67">
        <v>305.60000000000002</v>
      </c>
      <c r="C831" s="67">
        <v>294.49</v>
      </c>
      <c r="D831" s="67">
        <v>303.45999999999998</v>
      </c>
      <c r="E831" s="67">
        <v>461344</v>
      </c>
      <c r="F831" s="67" t="s">
        <v>851</v>
      </c>
      <c r="G831" s="25">
        <f t="shared" si="10"/>
        <v>-2.3166150398734486E-2</v>
      </c>
    </row>
    <row r="832" spans="1:7">
      <c r="A832" s="67">
        <v>306.55</v>
      </c>
      <c r="B832" s="67">
        <v>309.72000000000003</v>
      </c>
      <c r="C832" s="67">
        <v>299.5</v>
      </c>
      <c r="D832" s="67">
        <v>302.27999999999997</v>
      </c>
      <c r="E832" s="67">
        <v>611320</v>
      </c>
      <c r="F832" s="67" t="s">
        <v>852</v>
      </c>
      <c r="G832" s="25">
        <f t="shared" si="10"/>
        <v>1.4125975916368994E-2</v>
      </c>
    </row>
    <row r="833" spans="1:7">
      <c r="A833" s="67">
        <v>301.02999999999997</v>
      </c>
      <c r="B833" s="67">
        <v>305.54399999999998</v>
      </c>
      <c r="C833" s="67">
        <v>299</v>
      </c>
      <c r="D833" s="67">
        <v>302.97000000000003</v>
      </c>
      <c r="E833" s="67">
        <v>490849</v>
      </c>
      <c r="F833" s="67" t="s">
        <v>853</v>
      </c>
      <c r="G833" s="25">
        <f t="shared" si="10"/>
        <v>-6.4032742515762742E-3</v>
      </c>
    </row>
    <row r="834" spans="1:7">
      <c r="A834" s="67">
        <v>302.87</v>
      </c>
      <c r="B834" s="67">
        <v>313.01889999999997</v>
      </c>
      <c r="C834" s="67">
        <v>301.08</v>
      </c>
      <c r="D834" s="67">
        <v>311.75</v>
      </c>
      <c r="E834" s="67">
        <v>984481</v>
      </c>
      <c r="F834" s="67" t="s">
        <v>854</v>
      </c>
      <c r="G834" s="25">
        <f t="shared" si="10"/>
        <v>-2.8484362469927804E-2</v>
      </c>
    </row>
    <row r="835" spans="1:7">
      <c r="A835" s="67">
        <v>313.16000000000003</v>
      </c>
      <c r="B835" s="67">
        <v>320.27</v>
      </c>
      <c r="C835" s="67">
        <v>312.99</v>
      </c>
      <c r="D835" s="67">
        <v>319.87</v>
      </c>
      <c r="E835" s="67">
        <v>341553</v>
      </c>
      <c r="F835" s="67" t="s">
        <v>855</v>
      </c>
      <c r="G835" s="25">
        <f t="shared" si="10"/>
        <v>-2.0977272016756698E-2</v>
      </c>
    </row>
    <row r="836" spans="1:7">
      <c r="A836" s="67">
        <v>319.87</v>
      </c>
      <c r="B836" s="67">
        <v>321.22500000000002</v>
      </c>
      <c r="C836" s="67">
        <v>315.02</v>
      </c>
      <c r="D836" s="67">
        <v>318.07</v>
      </c>
      <c r="E836" s="67">
        <v>451597</v>
      </c>
      <c r="F836" s="67" t="s">
        <v>856</v>
      </c>
      <c r="G836" s="25">
        <f t="shared" si="10"/>
        <v>5.6591316376899403E-3</v>
      </c>
    </row>
    <row r="837" spans="1:7">
      <c r="A837" s="67">
        <v>320.79000000000002</v>
      </c>
      <c r="B837" s="67">
        <v>331.65</v>
      </c>
      <c r="C837" s="67">
        <v>319.5</v>
      </c>
      <c r="D837" s="67">
        <v>330.23</v>
      </c>
      <c r="E837" s="67">
        <v>503575</v>
      </c>
      <c r="F837" s="67" t="s">
        <v>857</v>
      </c>
      <c r="G837" s="25">
        <f t="shared" si="10"/>
        <v>-2.858613693486356E-2</v>
      </c>
    </row>
    <row r="838" spans="1:7">
      <c r="A838" s="67">
        <v>330.23</v>
      </c>
      <c r="B838" s="67">
        <v>330.92</v>
      </c>
      <c r="C838" s="67">
        <v>321.73</v>
      </c>
      <c r="D838" s="67">
        <v>321.73</v>
      </c>
      <c r="E838" s="67">
        <v>469176</v>
      </c>
      <c r="F838" s="67" t="s">
        <v>858</v>
      </c>
      <c r="G838" s="25">
        <f t="shared" si="10"/>
        <v>2.6419668666272988E-2</v>
      </c>
    </row>
    <row r="839" spans="1:7">
      <c r="A839" s="67">
        <v>321.27</v>
      </c>
      <c r="B839" s="67">
        <v>326.39999999999998</v>
      </c>
      <c r="C839" s="67">
        <v>319.13</v>
      </c>
      <c r="D839" s="67">
        <v>322.73</v>
      </c>
      <c r="E839" s="67">
        <v>616748</v>
      </c>
      <c r="F839" s="67" t="s">
        <v>859</v>
      </c>
      <c r="G839" s="25">
        <f t="shared" si="10"/>
        <v>-4.5239054317851579E-3</v>
      </c>
    </row>
    <row r="840" spans="1:7">
      <c r="A840" s="67">
        <v>322.85000000000002</v>
      </c>
      <c r="B840" s="67">
        <v>326.20999999999998</v>
      </c>
      <c r="C840" s="67">
        <v>320.33440000000002</v>
      </c>
      <c r="D840" s="67">
        <v>322.19</v>
      </c>
      <c r="E840" s="67">
        <v>625286</v>
      </c>
      <c r="F840" s="67" t="s">
        <v>860</v>
      </c>
      <c r="G840" s="25">
        <f t="shared" si="10"/>
        <v>2.048480710139966E-3</v>
      </c>
    </row>
    <row r="841" spans="1:7">
      <c r="A841" s="67">
        <v>319.72000000000003</v>
      </c>
      <c r="B841" s="67">
        <v>322.19</v>
      </c>
      <c r="C841" s="67">
        <v>315.7</v>
      </c>
      <c r="D841" s="67">
        <v>318.14</v>
      </c>
      <c r="E841" s="67">
        <v>578567</v>
      </c>
      <c r="F841" s="67" t="s">
        <v>861</v>
      </c>
      <c r="G841" s="25">
        <f t="shared" si="10"/>
        <v>4.966367008235606E-3</v>
      </c>
    </row>
    <row r="842" spans="1:7">
      <c r="A842" s="67">
        <v>318.98</v>
      </c>
      <c r="B842" s="67">
        <v>327.3</v>
      </c>
      <c r="C842" s="67">
        <v>316.27</v>
      </c>
      <c r="D842" s="67">
        <v>326.98</v>
      </c>
      <c r="E842" s="67">
        <v>770099</v>
      </c>
      <c r="F842" s="67" t="s">
        <v>862</v>
      </c>
      <c r="G842" s="25">
        <f t="shared" si="10"/>
        <v>-2.4466328215792976E-2</v>
      </c>
    </row>
    <row r="843" spans="1:7">
      <c r="A843" s="67">
        <v>328.76</v>
      </c>
      <c r="B843" s="67">
        <v>335.91</v>
      </c>
      <c r="C843" s="67">
        <v>324.375</v>
      </c>
      <c r="D843" s="67">
        <v>325.95999999999998</v>
      </c>
      <c r="E843" s="67">
        <v>975970</v>
      </c>
      <c r="F843" s="67" t="s">
        <v>863</v>
      </c>
      <c r="G843" s="25">
        <f t="shared" si="10"/>
        <v>8.5900110443000166E-3</v>
      </c>
    </row>
    <row r="844" spans="1:7">
      <c r="A844" s="67">
        <v>322.23</v>
      </c>
      <c r="B844" s="67">
        <v>324.08999999999997</v>
      </c>
      <c r="C844" s="67">
        <v>315.64999999999998</v>
      </c>
      <c r="D844" s="67">
        <v>320.99</v>
      </c>
      <c r="E844" s="67">
        <v>720783</v>
      </c>
      <c r="F844" s="67" t="s">
        <v>864</v>
      </c>
      <c r="G844" s="25">
        <f t="shared" si="10"/>
        <v>3.8630486931057195E-3</v>
      </c>
    </row>
    <row r="845" spans="1:7">
      <c r="A845" s="67">
        <v>320.99</v>
      </c>
      <c r="B845" s="67">
        <v>323.91000000000003</v>
      </c>
      <c r="C845" s="67">
        <v>314.7</v>
      </c>
      <c r="D845" s="67">
        <v>314.7</v>
      </c>
      <c r="E845" s="67">
        <v>500936</v>
      </c>
      <c r="F845" s="67" t="s">
        <v>865</v>
      </c>
      <c r="G845" s="25">
        <f t="shared" si="10"/>
        <v>1.9987289482046533E-2</v>
      </c>
    </row>
    <row r="846" spans="1:7">
      <c r="A846" s="67">
        <v>314.83999999999997</v>
      </c>
      <c r="B846" s="67">
        <v>318.45999999999998</v>
      </c>
      <c r="C846" s="67">
        <v>311.92</v>
      </c>
      <c r="D846" s="67">
        <v>316.92</v>
      </c>
      <c r="E846" s="67">
        <v>457842</v>
      </c>
      <c r="F846" s="67" t="s">
        <v>866</v>
      </c>
      <c r="G846" s="25">
        <f t="shared" si="10"/>
        <v>-6.563170516218686E-3</v>
      </c>
    </row>
    <row r="847" spans="1:7">
      <c r="A847" s="67">
        <v>318.87</v>
      </c>
      <c r="B847" s="67">
        <v>322.5</v>
      </c>
      <c r="C847" s="67">
        <v>317.09500000000003</v>
      </c>
      <c r="D847" s="67">
        <v>317.19</v>
      </c>
      <c r="E847" s="67">
        <v>405882</v>
      </c>
      <c r="F847" s="67" t="s">
        <v>867</v>
      </c>
      <c r="G847" s="25">
        <f t="shared" si="10"/>
        <v>5.2965099782464886E-3</v>
      </c>
    </row>
    <row r="848" spans="1:7">
      <c r="A848" s="67">
        <v>318.04000000000002</v>
      </c>
      <c r="B848" s="67">
        <v>319.33</v>
      </c>
      <c r="C848" s="67">
        <v>313.3</v>
      </c>
      <c r="D848" s="67">
        <v>314.31</v>
      </c>
      <c r="E848" s="67">
        <v>332397</v>
      </c>
      <c r="F848" s="67" t="s">
        <v>868</v>
      </c>
      <c r="G848" s="25">
        <f t="shared" si="10"/>
        <v>1.1867264802265298E-2</v>
      </c>
    </row>
    <row r="849" spans="1:7">
      <c r="A849" s="67">
        <v>316.23</v>
      </c>
      <c r="B849" s="67">
        <v>318.46499999999997</v>
      </c>
      <c r="C849" s="67">
        <v>311.58</v>
      </c>
      <c r="D849" s="67">
        <v>316.89999999999998</v>
      </c>
      <c r="E849" s="67">
        <v>530402</v>
      </c>
      <c r="F849" s="67" t="s">
        <v>869</v>
      </c>
      <c r="G849" s="25">
        <f t="shared" si="10"/>
        <v>-2.1142316188070831E-3</v>
      </c>
    </row>
    <row r="850" spans="1:7">
      <c r="A850" s="67">
        <v>316.67</v>
      </c>
      <c r="B850" s="67">
        <v>321.16000000000003</v>
      </c>
      <c r="C850" s="67">
        <v>316.27999999999997</v>
      </c>
      <c r="D850" s="67">
        <v>320.27</v>
      </c>
      <c r="E850" s="67">
        <v>432629</v>
      </c>
      <c r="F850" s="67" t="s">
        <v>870</v>
      </c>
      <c r="G850" s="25">
        <f t="shared" si="10"/>
        <v>-1.1240515814781138E-2</v>
      </c>
    </row>
    <row r="851" spans="1:7">
      <c r="A851" s="67">
        <v>321.33</v>
      </c>
      <c r="B851" s="67">
        <v>325.22000000000003</v>
      </c>
      <c r="C851" s="67">
        <v>316.19</v>
      </c>
      <c r="D851" s="67">
        <v>316.19</v>
      </c>
      <c r="E851" s="67">
        <v>426274</v>
      </c>
      <c r="F851" s="67" t="s">
        <v>871</v>
      </c>
      <c r="G851" s="25">
        <f t="shared" si="10"/>
        <v>1.6256048578386473E-2</v>
      </c>
    </row>
    <row r="852" spans="1:7">
      <c r="A852" s="67">
        <v>318.77</v>
      </c>
      <c r="B852" s="67">
        <v>321.27</v>
      </c>
      <c r="C852" s="67">
        <v>316.26499999999999</v>
      </c>
      <c r="D852" s="67">
        <v>319.07</v>
      </c>
      <c r="E852" s="67">
        <v>498172</v>
      </c>
      <c r="F852" s="67" t="s">
        <v>872</v>
      </c>
      <c r="G852" s="25">
        <f t="shared" si="10"/>
        <v>-9.4023255085096125E-4</v>
      </c>
    </row>
    <row r="853" spans="1:7">
      <c r="A853" s="67">
        <v>319.3</v>
      </c>
      <c r="B853" s="67">
        <v>324.60000000000002</v>
      </c>
      <c r="C853" s="67">
        <v>313.58</v>
      </c>
      <c r="D853" s="67">
        <v>321.52999999999997</v>
      </c>
      <c r="E853" s="67">
        <v>561268</v>
      </c>
      <c r="F853" s="67" t="s">
        <v>873</v>
      </c>
      <c r="G853" s="25">
        <f t="shared" si="10"/>
        <v>-6.9355892140701147E-3</v>
      </c>
    </row>
    <row r="854" spans="1:7">
      <c r="A854" s="67">
        <v>321.14</v>
      </c>
      <c r="B854" s="67">
        <v>328.86709999999999</v>
      </c>
      <c r="C854" s="67">
        <v>320.375</v>
      </c>
      <c r="D854" s="67">
        <v>326</v>
      </c>
      <c r="E854" s="67">
        <v>387680</v>
      </c>
      <c r="F854" s="67" t="s">
        <v>874</v>
      </c>
      <c r="G854" s="25">
        <f t="shared" si="10"/>
        <v>-1.4907975460122791E-2</v>
      </c>
    </row>
    <row r="855" spans="1:7">
      <c r="A855" s="67">
        <v>326.14</v>
      </c>
      <c r="B855" s="67">
        <v>326.85000000000002</v>
      </c>
      <c r="C855" s="67">
        <v>320.3</v>
      </c>
      <c r="D855" s="67">
        <v>320.82</v>
      </c>
      <c r="E855" s="67">
        <v>351531</v>
      </c>
      <c r="F855" s="67" t="s">
        <v>875</v>
      </c>
      <c r="G855" s="25">
        <f t="shared" si="10"/>
        <v>1.6582507324979678E-2</v>
      </c>
    </row>
    <row r="856" spans="1:7">
      <c r="A856" s="67">
        <v>321.3</v>
      </c>
      <c r="B856" s="67">
        <v>323.92</v>
      </c>
      <c r="C856" s="67">
        <v>318.85000000000002</v>
      </c>
      <c r="D856" s="67">
        <v>323.92</v>
      </c>
      <c r="E856" s="67">
        <v>336801</v>
      </c>
      <c r="F856" s="67" t="s">
        <v>876</v>
      </c>
      <c r="G856" s="25">
        <f t="shared" si="10"/>
        <v>-8.0884168930600575E-3</v>
      </c>
    </row>
    <row r="857" spans="1:7">
      <c r="A857" s="67">
        <v>321.27</v>
      </c>
      <c r="B857" s="67">
        <v>325.29500000000002</v>
      </c>
      <c r="C857" s="67">
        <v>319.43</v>
      </c>
      <c r="D857" s="67">
        <v>319.43</v>
      </c>
      <c r="E857" s="67">
        <v>546246</v>
      </c>
      <c r="F857" s="67" t="s">
        <v>877</v>
      </c>
      <c r="G857" s="25">
        <f t="shared" si="10"/>
        <v>5.7602604639512833E-3</v>
      </c>
    </row>
    <row r="858" spans="1:7">
      <c r="A858" s="67">
        <v>318.82</v>
      </c>
      <c r="B858" s="67">
        <v>320.51</v>
      </c>
      <c r="C858" s="67">
        <v>316.02</v>
      </c>
      <c r="D858" s="67">
        <v>317.04000000000002</v>
      </c>
      <c r="E858" s="67">
        <v>527139</v>
      </c>
      <c r="F858" s="67" t="s">
        <v>878</v>
      </c>
      <c r="G858" s="25">
        <f t="shared" si="10"/>
        <v>5.6144335099670428E-3</v>
      </c>
    </row>
    <row r="859" spans="1:7">
      <c r="A859" s="67">
        <v>317.13</v>
      </c>
      <c r="B859" s="67">
        <v>318.76</v>
      </c>
      <c r="C859" s="67">
        <v>316.17</v>
      </c>
      <c r="D859" s="67">
        <v>317.27</v>
      </c>
      <c r="E859" s="67">
        <v>407978</v>
      </c>
      <c r="F859" s="67" t="s">
        <v>879</v>
      </c>
      <c r="G859" s="25">
        <f t="shared" si="10"/>
        <v>-4.4126453809056887E-4</v>
      </c>
    </row>
    <row r="860" spans="1:7">
      <c r="A860" s="67">
        <v>316.29000000000002</v>
      </c>
      <c r="B860" s="67">
        <v>319.47000000000003</v>
      </c>
      <c r="C860" s="67">
        <v>314.63</v>
      </c>
      <c r="D860" s="67">
        <v>317.24</v>
      </c>
      <c r="E860" s="67">
        <v>533838</v>
      </c>
      <c r="F860" s="67" t="s">
        <v>880</v>
      </c>
      <c r="G860" s="25">
        <f t="shared" si="10"/>
        <v>-2.9945782372966523E-3</v>
      </c>
    </row>
    <row r="861" spans="1:7">
      <c r="A861" s="67">
        <v>314</v>
      </c>
      <c r="B861" s="67">
        <v>321.99</v>
      </c>
      <c r="C861" s="67">
        <v>313.69</v>
      </c>
      <c r="D861" s="67">
        <v>317.2</v>
      </c>
      <c r="E861" s="67">
        <v>657736</v>
      </c>
      <c r="F861" s="67" t="s">
        <v>881</v>
      </c>
      <c r="G861" s="25">
        <f t="shared" si="10"/>
        <v>-1.0088272383354302E-2</v>
      </c>
    </row>
    <row r="862" spans="1:7">
      <c r="A862" s="67">
        <v>314.92</v>
      </c>
      <c r="B862" s="67">
        <v>316.69</v>
      </c>
      <c r="C862" s="67">
        <v>313.2</v>
      </c>
      <c r="D862" s="67">
        <v>316.69</v>
      </c>
      <c r="E862" s="67">
        <v>442344</v>
      </c>
      <c r="F862" s="67" t="s">
        <v>882</v>
      </c>
      <c r="G862" s="25">
        <f t="shared" si="10"/>
        <v>-5.5890618585998642E-3</v>
      </c>
    </row>
    <row r="863" spans="1:7">
      <c r="A863" s="67">
        <v>317.72000000000003</v>
      </c>
      <c r="B863" s="67">
        <v>317.83999999999997</v>
      </c>
      <c r="C863" s="67">
        <v>313.75</v>
      </c>
      <c r="D863" s="67">
        <v>316.74</v>
      </c>
      <c r="E863" s="67">
        <v>391003</v>
      </c>
      <c r="F863" s="67" t="s">
        <v>883</v>
      </c>
      <c r="G863" s="25">
        <f t="shared" si="10"/>
        <v>3.0940203321336845E-3</v>
      </c>
    </row>
    <row r="864" spans="1:7">
      <c r="A864" s="67">
        <v>315.89</v>
      </c>
      <c r="B864" s="67">
        <v>319.935</v>
      </c>
      <c r="C864" s="67">
        <v>315.52999999999997</v>
      </c>
      <c r="D864" s="67">
        <v>319.18</v>
      </c>
      <c r="E864" s="67">
        <v>456337</v>
      </c>
      <c r="F864" s="67" t="s">
        <v>884</v>
      </c>
      <c r="G864" s="25">
        <f t="shared" si="10"/>
        <v>-1.0307663387430388E-2</v>
      </c>
    </row>
    <row r="865" spans="1:7">
      <c r="A865" s="67">
        <v>319.91000000000003</v>
      </c>
      <c r="B865" s="67">
        <v>321.86500000000001</v>
      </c>
      <c r="C865" s="67">
        <v>317.08</v>
      </c>
      <c r="D865" s="67">
        <v>319.99</v>
      </c>
      <c r="E865" s="67">
        <v>553851</v>
      </c>
      <c r="F865" s="67" t="s">
        <v>885</v>
      </c>
      <c r="G865" s="25">
        <f t="shared" si="10"/>
        <v>-2.5000781274409078E-4</v>
      </c>
    </row>
    <row r="866" spans="1:7">
      <c r="A866" s="67">
        <v>318.83999999999997</v>
      </c>
      <c r="B866" s="67">
        <v>320.95</v>
      </c>
      <c r="C866" s="67">
        <v>312.77</v>
      </c>
      <c r="D866" s="67">
        <v>318.43</v>
      </c>
      <c r="E866" s="67">
        <v>526407</v>
      </c>
      <c r="F866" s="67" t="s">
        <v>886</v>
      </c>
      <c r="G866" s="25">
        <f t="shared" si="10"/>
        <v>1.2875671262129185E-3</v>
      </c>
    </row>
    <row r="867" spans="1:7">
      <c r="A867" s="67">
        <v>318.95999999999998</v>
      </c>
      <c r="B867" s="67">
        <v>324.18</v>
      </c>
      <c r="C867" s="67">
        <v>318.31</v>
      </c>
      <c r="D867" s="67">
        <v>318.77999999999997</v>
      </c>
      <c r="E867" s="67">
        <v>895436</v>
      </c>
      <c r="F867" s="67" t="s">
        <v>887</v>
      </c>
      <c r="G867" s="25">
        <f t="shared" si="10"/>
        <v>5.6465273856587395E-4</v>
      </c>
    </row>
    <row r="868" spans="1:7">
      <c r="A868" s="67">
        <v>316.88</v>
      </c>
      <c r="B868" s="67">
        <v>318.45499999999998</v>
      </c>
      <c r="C868" s="67">
        <v>312.88</v>
      </c>
      <c r="D868" s="67">
        <v>315.48</v>
      </c>
      <c r="E868" s="67">
        <v>398514</v>
      </c>
      <c r="F868" s="67" t="s">
        <v>888</v>
      </c>
      <c r="G868" s="25">
        <f t="shared" si="10"/>
        <v>4.4376822619500711E-3</v>
      </c>
    </row>
    <row r="869" spans="1:7">
      <c r="A869" s="67">
        <v>312.89999999999998</v>
      </c>
      <c r="B869" s="67">
        <v>314.25</v>
      </c>
      <c r="C869" s="67">
        <v>308.95999999999998</v>
      </c>
      <c r="D869" s="67">
        <v>313.27</v>
      </c>
      <c r="E869" s="67">
        <v>373376</v>
      </c>
      <c r="F869" s="67" t="s">
        <v>889</v>
      </c>
      <c r="G869" s="25">
        <f t="shared" si="10"/>
        <v>-1.1810897947457377E-3</v>
      </c>
    </row>
    <row r="870" spans="1:7">
      <c r="A870" s="67">
        <v>311.29000000000002</v>
      </c>
      <c r="B870" s="67">
        <v>316.66000000000003</v>
      </c>
      <c r="C870" s="67">
        <v>309.71499999999997</v>
      </c>
      <c r="D870" s="67">
        <v>315.24</v>
      </c>
      <c r="E870" s="67">
        <v>280646</v>
      </c>
      <c r="F870" s="67" t="s">
        <v>890</v>
      </c>
      <c r="G870" s="25">
        <f t="shared" si="10"/>
        <v>-1.2530135769572404E-2</v>
      </c>
    </row>
    <row r="871" spans="1:7">
      <c r="A871" s="67">
        <v>314.93</v>
      </c>
      <c r="B871" s="67">
        <v>314.94</v>
      </c>
      <c r="C871" s="67">
        <v>308.52</v>
      </c>
      <c r="D871" s="67">
        <v>312.92</v>
      </c>
      <c r="E871" s="67">
        <v>777364</v>
      </c>
      <c r="F871" s="67" t="s">
        <v>891</v>
      </c>
      <c r="G871" s="25">
        <f t="shared" si="10"/>
        <v>6.4233669947590943E-3</v>
      </c>
    </row>
    <row r="872" spans="1:7">
      <c r="A872" s="67">
        <v>310.17</v>
      </c>
      <c r="B872" s="67">
        <v>315.58</v>
      </c>
      <c r="C872" s="67">
        <v>308.27</v>
      </c>
      <c r="D872" s="67">
        <v>311.61</v>
      </c>
      <c r="E872" s="67">
        <v>444235</v>
      </c>
      <c r="F872" s="67" t="s">
        <v>892</v>
      </c>
      <c r="G872" s="25">
        <f t="shared" si="10"/>
        <v>-4.6211610667180603E-3</v>
      </c>
    </row>
    <row r="873" spans="1:7">
      <c r="A873" s="67">
        <v>311.49</v>
      </c>
      <c r="B873" s="67">
        <v>320.62</v>
      </c>
      <c r="C873" s="67">
        <v>307.60000000000002</v>
      </c>
      <c r="D873" s="67">
        <v>318.23</v>
      </c>
      <c r="E873" s="67">
        <v>724411</v>
      </c>
      <c r="F873" s="67" t="s">
        <v>893</v>
      </c>
      <c r="G873" s="25">
        <f t="shared" si="10"/>
        <v>-2.1179649938723566E-2</v>
      </c>
    </row>
    <row r="874" spans="1:7">
      <c r="A874" s="67">
        <v>315.16000000000003</v>
      </c>
      <c r="B874" s="67">
        <v>326.33999999999997</v>
      </c>
      <c r="C874" s="67">
        <v>315.02999999999997</v>
      </c>
      <c r="D874" s="67">
        <v>325.01</v>
      </c>
      <c r="E874" s="67">
        <v>838966</v>
      </c>
      <c r="F874" s="67" t="s">
        <v>894</v>
      </c>
      <c r="G874" s="25">
        <f t="shared" si="10"/>
        <v>-3.0306759792006255E-2</v>
      </c>
    </row>
    <row r="875" spans="1:7">
      <c r="A875" s="67">
        <v>326.02999999999997</v>
      </c>
      <c r="B875" s="67">
        <v>326.74</v>
      </c>
      <c r="C875" s="67">
        <v>317.10000000000002</v>
      </c>
      <c r="D875" s="67">
        <v>318.37</v>
      </c>
      <c r="E875" s="67">
        <v>814413</v>
      </c>
      <c r="F875" s="67" t="s">
        <v>895</v>
      </c>
      <c r="G875" s="25">
        <f t="shared" si="10"/>
        <v>2.4060055909790323E-2</v>
      </c>
    </row>
    <row r="876" spans="1:7">
      <c r="A876" s="67">
        <v>318.3</v>
      </c>
      <c r="B876" s="67">
        <v>318.70999999999998</v>
      </c>
      <c r="C876" s="67">
        <v>308.06</v>
      </c>
      <c r="D876" s="67">
        <v>308.33</v>
      </c>
      <c r="E876" s="67">
        <v>922051</v>
      </c>
      <c r="F876" s="67" t="s">
        <v>896</v>
      </c>
      <c r="G876" s="25">
        <f t="shared" si="10"/>
        <v>3.2335484707942896E-2</v>
      </c>
    </row>
    <row r="877" spans="1:7">
      <c r="A877" s="67">
        <v>309.08999999999997</v>
      </c>
      <c r="B877" s="67">
        <v>313.83</v>
      </c>
      <c r="C877" s="67">
        <v>305.14</v>
      </c>
      <c r="D877" s="67">
        <v>312.02999999999997</v>
      </c>
      <c r="E877" s="67">
        <v>1321905</v>
      </c>
      <c r="F877" s="67" t="s">
        <v>897</v>
      </c>
      <c r="G877" s="25">
        <f t="shared" si="10"/>
        <v>-9.422170945101449E-3</v>
      </c>
    </row>
    <row r="878" spans="1:7">
      <c r="A878" s="67">
        <v>312.36</v>
      </c>
      <c r="B878" s="67">
        <v>314.26</v>
      </c>
      <c r="C878" s="67">
        <v>304.75</v>
      </c>
      <c r="D878" s="67">
        <v>306</v>
      </c>
      <c r="E878" s="67">
        <v>900592</v>
      </c>
      <c r="F878" s="67" t="s">
        <v>898</v>
      </c>
      <c r="G878" s="25">
        <f t="shared" si="10"/>
        <v>2.0784313725490167E-2</v>
      </c>
    </row>
    <row r="879" spans="1:7">
      <c r="A879" s="67">
        <v>307.89</v>
      </c>
      <c r="B879" s="67">
        <v>312.76</v>
      </c>
      <c r="C879" s="67">
        <v>302.05</v>
      </c>
      <c r="D879" s="67">
        <v>309.60000000000002</v>
      </c>
      <c r="E879" s="67">
        <v>1605614</v>
      </c>
      <c r="F879" s="67" t="s">
        <v>899</v>
      </c>
      <c r="G879" s="25">
        <f t="shared" si="10"/>
        <v>-5.5232558139536314E-3</v>
      </c>
    </row>
    <row r="880" spans="1:7">
      <c r="A880" s="67">
        <v>312.77</v>
      </c>
      <c r="B880" s="67">
        <v>313.41000000000003</v>
      </c>
      <c r="C880" s="67">
        <v>306.68</v>
      </c>
      <c r="D880" s="67">
        <v>307</v>
      </c>
      <c r="E880" s="67">
        <v>16412410</v>
      </c>
      <c r="F880" s="67" t="s">
        <v>900</v>
      </c>
      <c r="G880" s="25">
        <f t="shared" si="10"/>
        <v>1.879478827361547E-2</v>
      </c>
    </row>
    <row r="881" spans="1:7">
      <c r="A881" s="67">
        <v>303.44</v>
      </c>
      <c r="B881" s="67">
        <v>308.39589999999998</v>
      </c>
      <c r="C881" s="67">
        <v>292.3</v>
      </c>
      <c r="D881" s="67">
        <v>299.35000000000002</v>
      </c>
      <c r="E881" s="67">
        <v>4428996</v>
      </c>
      <c r="F881" s="67" t="s">
        <v>901</v>
      </c>
      <c r="G881" s="25">
        <f t="shared" si="10"/>
        <v>1.3662936362117906E-2</v>
      </c>
    </row>
    <row r="882" spans="1:7">
      <c r="A882" s="67">
        <v>280.36</v>
      </c>
      <c r="B882" s="67">
        <v>286.58999999999997</v>
      </c>
      <c r="C882" s="67">
        <v>269.06</v>
      </c>
      <c r="D882" s="67">
        <v>285.07</v>
      </c>
      <c r="E882" s="67">
        <v>760570</v>
      </c>
      <c r="F882" s="67" t="s">
        <v>902</v>
      </c>
      <c r="G882" s="25">
        <f t="shared" si="10"/>
        <v>-1.6522257691093389E-2</v>
      </c>
    </row>
    <row r="883" spans="1:7">
      <c r="A883" s="67">
        <v>283.12</v>
      </c>
      <c r="B883" s="67">
        <v>294.12</v>
      </c>
      <c r="C883" s="67">
        <v>282.05</v>
      </c>
      <c r="D883" s="67">
        <v>286.69</v>
      </c>
      <c r="E883" s="67">
        <v>373481</v>
      </c>
      <c r="F883" s="67" t="s">
        <v>903</v>
      </c>
      <c r="G883" s="25">
        <f t="shared" si="10"/>
        <v>-1.2452474798562929E-2</v>
      </c>
    </row>
    <row r="884" spans="1:7">
      <c r="A884" s="67">
        <v>286.17</v>
      </c>
      <c r="B884" s="67">
        <v>289.91000000000003</v>
      </c>
      <c r="C884" s="67">
        <v>283.36</v>
      </c>
      <c r="D884" s="67">
        <v>289.91000000000003</v>
      </c>
      <c r="E884" s="67">
        <v>256240</v>
      </c>
      <c r="F884" s="67" t="s">
        <v>904</v>
      </c>
      <c r="G884" s="25">
        <f t="shared" si="10"/>
        <v>-1.2900555344762199E-2</v>
      </c>
    </row>
    <row r="885" spans="1:7">
      <c r="A885" s="67">
        <v>286.52</v>
      </c>
      <c r="B885" s="67">
        <v>295.67500000000001</v>
      </c>
      <c r="C885" s="67">
        <v>285.38</v>
      </c>
      <c r="D885" s="67">
        <v>290.93</v>
      </c>
      <c r="E885" s="67">
        <v>373536</v>
      </c>
      <c r="F885" s="67" t="s">
        <v>905</v>
      </c>
      <c r="G885" s="25">
        <f t="shared" si="10"/>
        <v>-1.5158285498229951E-2</v>
      </c>
    </row>
    <row r="886" spans="1:7">
      <c r="A886" s="67">
        <v>290.57</v>
      </c>
      <c r="B886" s="67">
        <v>290.67</v>
      </c>
      <c r="C886" s="67">
        <v>281.07</v>
      </c>
      <c r="D886" s="67">
        <v>284.66000000000003</v>
      </c>
      <c r="E886" s="67">
        <v>530898</v>
      </c>
      <c r="F886" s="67" t="s">
        <v>906</v>
      </c>
      <c r="G886" s="25">
        <f t="shared" si="10"/>
        <v>2.0761610342162395E-2</v>
      </c>
    </row>
    <row r="887" spans="1:7">
      <c r="A887" s="67">
        <v>287.17</v>
      </c>
      <c r="B887" s="67">
        <v>289.065</v>
      </c>
      <c r="C887" s="67">
        <v>281.77</v>
      </c>
      <c r="D887" s="67">
        <v>285.52</v>
      </c>
      <c r="E887" s="67">
        <v>574442</v>
      </c>
      <c r="F887" s="67" t="s">
        <v>907</v>
      </c>
      <c r="G887" s="25">
        <f t="shared" si="10"/>
        <v>5.778929672177302E-3</v>
      </c>
    </row>
    <row r="888" spans="1:7">
      <c r="A888" s="67">
        <v>282.95</v>
      </c>
      <c r="B888" s="67">
        <v>288.37</v>
      </c>
      <c r="C888" s="67">
        <v>281.31</v>
      </c>
      <c r="D888" s="67">
        <v>281.31</v>
      </c>
      <c r="E888" s="67">
        <v>472192</v>
      </c>
      <c r="F888" s="67" t="s">
        <v>908</v>
      </c>
      <c r="G888" s="25">
        <f t="shared" ref="G888:G951" si="11">A888/D888-1</f>
        <v>5.8298674060643929E-3</v>
      </c>
    </row>
    <row r="889" spans="1:7">
      <c r="A889" s="67">
        <v>282.48</v>
      </c>
      <c r="B889" s="67">
        <v>282.91000000000003</v>
      </c>
      <c r="C889" s="67">
        <v>272.45999999999998</v>
      </c>
      <c r="D889" s="67">
        <v>276.05</v>
      </c>
      <c r="E889" s="67">
        <v>450052</v>
      </c>
      <c r="F889" s="67" t="s">
        <v>909</v>
      </c>
      <c r="G889" s="25">
        <f t="shared" si="11"/>
        <v>2.329288172432542E-2</v>
      </c>
    </row>
    <row r="890" spans="1:7">
      <c r="A890" s="67">
        <v>276.36</v>
      </c>
      <c r="B890" s="67">
        <v>286.68</v>
      </c>
      <c r="C890" s="67">
        <v>275.81</v>
      </c>
      <c r="D890" s="67">
        <v>281.52999999999997</v>
      </c>
      <c r="E890" s="67">
        <v>831236</v>
      </c>
      <c r="F890" s="67" t="s">
        <v>910</v>
      </c>
      <c r="G890" s="25">
        <f t="shared" si="11"/>
        <v>-1.8363939899832871E-2</v>
      </c>
    </row>
    <row r="891" spans="1:7">
      <c r="A891" s="67">
        <v>281.94</v>
      </c>
      <c r="B891" s="67">
        <v>296.45999999999998</v>
      </c>
      <c r="C891" s="67">
        <v>279.14999999999998</v>
      </c>
      <c r="D891" s="67">
        <v>295.64</v>
      </c>
      <c r="E891" s="67">
        <v>760103</v>
      </c>
      <c r="F891" s="67" t="s">
        <v>911</v>
      </c>
      <c r="G891" s="25">
        <f t="shared" si="11"/>
        <v>-4.6340143417670121E-2</v>
      </c>
    </row>
    <row r="892" spans="1:7">
      <c r="A892" s="67">
        <v>294.35000000000002</v>
      </c>
      <c r="B892" s="67">
        <v>311.93</v>
      </c>
      <c r="C892" s="67">
        <v>286.42</v>
      </c>
      <c r="D892" s="67">
        <v>310</v>
      </c>
      <c r="E892" s="67">
        <v>1178871</v>
      </c>
      <c r="F892" s="67" t="s">
        <v>912</v>
      </c>
      <c r="G892" s="25">
        <f t="shared" si="11"/>
        <v>-5.0483870967741873E-2</v>
      </c>
    </row>
    <row r="893" spans="1:7">
      <c r="A893" s="67">
        <v>297.58</v>
      </c>
      <c r="B893" s="67">
        <v>299.82</v>
      </c>
      <c r="C893" s="67">
        <v>286.44</v>
      </c>
      <c r="D893" s="67">
        <v>290</v>
      </c>
      <c r="E893" s="67">
        <v>718095</v>
      </c>
      <c r="F893" s="67" t="s">
        <v>913</v>
      </c>
      <c r="G893" s="25">
        <f t="shared" si="11"/>
        <v>2.6137931034482698E-2</v>
      </c>
    </row>
    <row r="894" spans="1:7">
      <c r="A894" s="67">
        <v>287.77</v>
      </c>
      <c r="B894" s="67">
        <v>294.95</v>
      </c>
      <c r="C894" s="67">
        <v>273.185</v>
      </c>
      <c r="D894" s="67">
        <v>293.88</v>
      </c>
      <c r="E894" s="67">
        <v>739428</v>
      </c>
      <c r="F894" s="67" t="s">
        <v>914</v>
      </c>
      <c r="G894" s="25">
        <f t="shared" si="11"/>
        <v>-2.0790798965564239E-2</v>
      </c>
    </row>
    <row r="895" spans="1:7">
      <c r="A895" s="67">
        <v>292.18</v>
      </c>
      <c r="B895" s="67">
        <v>293.61</v>
      </c>
      <c r="C895" s="67">
        <v>289.62</v>
      </c>
      <c r="D895" s="67">
        <v>292.23</v>
      </c>
      <c r="E895" s="67">
        <v>363609</v>
      </c>
      <c r="F895" s="67" t="s">
        <v>915</v>
      </c>
      <c r="G895" s="25">
        <f t="shared" si="11"/>
        <v>-1.7109810765492117E-4</v>
      </c>
    </row>
    <row r="896" spans="1:7">
      <c r="A896" s="67">
        <v>296</v>
      </c>
      <c r="B896" s="67">
        <v>301.48</v>
      </c>
      <c r="C896" s="67">
        <v>295.26</v>
      </c>
      <c r="D896" s="67">
        <v>298</v>
      </c>
      <c r="E896" s="67">
        <v>307781</v>
      </c>
      <c r="F896" s="67" t="s">
        <v>916</v>
      </c>
      <c r="G896" s="25">
        <f t="shared" si="11"/>
        <v>-6.7114093959731447E-3</v>
      </c>
    </row>
    <row r="897" spans="1:7">
      <c r="A897" s="67">
        <v>298.91000000000003</v>
      </c>
      <c r="B897" s="67">
        <v>303.99</v>
      </c>
      <c r="C897" s="67">
        <v>292.18009999999998</v>
      </c>
      <c r="D897" s="67">
        <v>294.83999999999997</v>
      </c>
      <c r="E897" s="67">
        <v>608372</v>
      </c>
      <c r="F897" s="67" t="s">
        <v>917</v>
      </c>
      <c r="G897" s="25">
        <f t="shared" si="11"/>
        <v>1.3804097137430693E-2</v>
      </c>
    </row>
    <row r="898" spans="1:7">
      <c r="A898" s="67">
        <v>297.74</v>
      </c>
      <c r="B898" s="67">
        <v>298.57</v>
      </c>
      <c r="C898" s="67">
        <v>291.95</v>
      </c>
      <c r="D898" s="67">
        <v>291.95</v>
      </c>
      <c r="E898" s="67">
        <v>264473</v>
      </c>
      <c r="F898" s="67" t="s">
        <v>918</v>
      </c>
      <c r="G898" s="25">
        <f t="shared" si="11"/>
        <v>1.9832163041616724E-2</v>
      </c>
    </row>
    <row r="899" spans="1:7">
      <c r="A899" s="67">
        <v>293.2</v>
      </c>
      <c r="B899" s="67">
        <v>297.04500000000002</v>
      </c>
      <c r="C899" s="67">
        <v>286.23</v>
      </c>
      <c r="D899" s="67">
        <v>296.61</v>
      </c>
      <c r="E899" s="67">
        <v>440351</v>
      </c>
      <c r="F899" s="67" t="s">
        <v>919</v>
      </c>
      <c r="G899" s="25">
        <f t="shared" si="11"/>
        <v>-1.1496577998044599E-2</v>
      </c>
    </row>
    <row r="900" spans="1:7">
      <c r="A900" s="67">
        <v>298.61</v>
      </c>
      <c r="B900" s="67">
        <v>306.97000000000003</v>
      </c>
      <c r="C900" s="67">
        <v>296.16000000000003</v>
      </c>
      <c r="D900" s="67">
        <v>296.16000000000003</v>
      </c>
      <c r="E900" s="67">
        <v>393982</v>
      </c>
      <c r="F900" s="67" t="s">
        <v>920</v>
      </c>
      <c r="G900" s="25">
        <f t="shared" si="11"/>
        <v>8.2725553754727787E-3</v>
      </c>
    </row>
    <row r="901" spans="1:7">
      <c r="A901" s="67">
        <v>294.83</v>
      </c>
      <c r="B901" s="67">
        <v>294.89999999999998</v>
      </c>
      <c r="C901" s="67">
        <v>285.39</v>
      </c>
      <c r="D901" s="67">
        <v>285.39</v>
      </c>
      <c r="E901" s="67">
        <v>326297</v>
      </c>
      <c r="F901" s="67" t="s">
        <v>921</v>
      </c>
      <c r="G901" s="25">
        <f t="shared" si="11"/>
        <v>3.3077543011317934E-2</v>
      </c>
    </row>
    <row r="902" spans="1:7">
      <c r="A902" s="67">
        <v>286.54000000000002</v>
      </c>
      <c r="B902" s="67">
        <v>291</v>
      </c>
      <c r="C902" s="67">
        <v>286</v>
      </c>
      <c r="D902" s="67">
        <v>289.38</v>
      </c>
      <c r="E902" s="67">
        <v>374838</v>
      </c>
      <c r="F902" s="67" t="s">
        <v>922</v>
      </c>
      <c r="G902" s="25">
        <f t="shared" si="11"/>
        <v>-9.8140852857833139E-3</v>
      </c>
    </row>
    <row r="903" spans="1:7">
      <c r="A903" s="67">
        <v>288.07</v>
      </c>
      <c r="B903" s="67">
        <v>293.60000000000002</v>
      </c>
      <c r="C903" s="67">
        <v>287.43</v>
      </c>
      <c r="D903" s="67">
        <v>288.20999999999998</v>
      </c>
      <c r="E903" s="67">
        <v>252769</v>
      </c>
      <c r="F903" s="67" t="s">
        <v>923</v>
      </c>
      <c r="G903" s="25">
        <f t="shared" si="11"/>
        <v>-4.8575691336172344E-4</v>
      </c>
    </row>
    <row r="904" spans="1:7">
      <c r="A904" s="67">
        <v>289.36</v>
      </c>
      <c r="B904" s="67">
        <v>290.97000000000003</v>
      </c>
      <c r="C904" s="67">
        <v>283.01</v>
      </c>
      <c r="D904" s="67">
        <v>290.97000000000003</v>
      </c>
      <c r="E904" s="67">
        <v>165826</v>
      </c>
      <c r="F904" s="67" t="s">
        <v>924</v>
      </c>
      <c r="G904" s="25">
        <f t="shared" si="11"/>
        <v>-5.5332164827989194E-3</v>
      </c>
    </row>
    <row r="905" spans="1:7">
      <c r="A905" s="67">
        <v>292.17</v>
      </c>
      <c r="B905" s="67">
        <v>295.16000000000003</v>
      </c>
      <c r="C905" s="67">
        <v>288.27</v>
      </c>
      <c r="D905" s="67">
        <v>293.48</v>
      </c>
      <c r="E905" s="67">
        <v>375741</v>
      </c>
      <c r="F905" s="67" t="s">
        <v>925</v>
      </c>
      <c r="G905" s="25">
        <f t="shared" si="11"/>
        <v>-4.463677252282916E-3</v>
      </c>
    </row>
    <row r="906" spans="1:7">
      <c r="A906" s="67">
        <v>295.19</v>
      </c>
      <c r="B906" s="67">
        <v>295.32</v>
      </c>
      <c r="C906" s="67">
        <v>287.53500000000003</v>
      </c>
      <c r="D906" s="67">
        <v>291.43</v>
      </c>
      <c r="E906" s="67">
        <v>338067</v>
      </c>
      <c r="F906" s="67" t="s">
        <v>926</v>
      </c>
      <c r="G906" s="25">
        <f t="shared" si="11"/>
        <v>1.2901897539717933E-2</v>
      </c>
    </row>
    <row r="907" spans="1:7">
      <c r="A907" s="67">
        <v>292.95</v>
      </c>
      <c r="B907" s="67">
        <v>294.08</v>
      </c>
      <c r="C907" s="67">
        <v>286.27999999999997</v>
      </c>
      <c r="D907" s="67">
        <v>290.935</v>
      </c>
      <c r="E907" s="67">
        <v>412756</v>
      </c>
      <c r="F907" s="67" t="s">
        <v>927</v>
      </c>
      <c r="G907" s="25">
        <f t="shared" si="11"/>
        <v>6.9259456579648937E-3</v>
      </c>
    </row>
    <row r="908" spans="1:7">
      <c r="A908" s="67">
        <v>290.52999999999997</v>
      </c>
      <c r="B908" s="67">
        <v>292.5</v>
      </c>
      <c r="C908" s="67">
        <v>281.74</v>
      </c>
      <c r="D908" s="67">
        <v>287.02</v>
      </c>
      <c r="E908" s="67">
        <v>339503</v>
      </c>
      <c r="F908" s="67" t="s">
        <v>928</v>
      </c>
      <c r="G908" s="25">
        <f t="shared" si="11"/>
        <v>1.2229112953801025E-2</v>
      </c>
    </row>
    <row r="909" spans="1:7">
      <c r="A909" s="67">
        <v>287.32</v>
      </c>
      <c r="B909" s="67">
        <v>292.49</v>
      </c>
      <c r="C909" s="67">
        <v>285.38</v>
      </c>
      <c r="D909" s="67">
        <v>285.82</v>
      </c>
      <c r="E909" s="67">
        <v>239879</v>
      </c>
      <c r="F909" s="67" t="s">
        <v>929</v>
      </c>
      <c r="G909" s="25">
        <f t="shared" si="11"/>
        <v>5.248058218459084E-3</v>
      </c>
    </row>
    <row r="910" spans="1:7">
      <c r="A910" s="67">
        <v>286.2</v>
      </c>
      <c r="B910" s="67">
        <v>289.99</v>
      </c>
      <c r="C910" s="67">
        <v>283</v>
      </c>
      <c r="D910" s="67">
        <v>285.5</v>
      </c>
      <c r="E910" s="67">
        <v>407949</v>
      </c>
      <c r="F910" s="67" t="s">
        <v>930</v>
      </c>
      <c r="G910" s="25">
        <f t="shared" si="11"/>
        <v>2.4518388791592294E-3</v>
      </c>
    </row>
    <row r="911" spans="1:7">
      <c r="A911" s="67">
        <v>285.5</v>
      </c>
      <c r="B911" s="67">
        <v>288.79500000000002</v>
      </c>
      <c r="C911" s="67">
        <v>281.38</v>
      </c>
      <c r="D911" s="67">
        <v>285.60000000000002</v>
      </c>
      <c r="E911" s="67">
        <v>334808</v>
      </c>
      <c r="F911" s="67" t="s">
        <v>931</v>
      </c>
      <c r="G911" s="25">
        <f t="shared" si="11"/>
        <v>-3.5014005602251874E-4</v>
      </c>
    </row>
    <row r="912" spans="1:7">
      <c r="A912" s="67">
        <v>286.13</v>
      </c>
      <c r="B912" s="67">
        <v>292</v>
      </c>
      <c r="C912" s="67">
        <v>284.05</v>
      </c>
      <c r="D912" s="67">
        <v>291.35000000000002</v>
      </c>
      <c r="E912" s="67">
        <v>329124</v>
      </c>
      <c r="F912" s="67" t="s">
        <v>932</v>
      </c>
      <c r="G912" s="25">
        <f t="shared" si="11"/>
        <v>-1.7916595160460069E-2</v>
      </c>
    </row>
    <row r="913" spans="1:7">
      <c r="A913" s="67">
        <v>289.7</v>
      </c>
      <c r="B913" s="67">
        <v>290.38</v>
      </c>
      <c r="C913" s="67">
        <v>281.83999999999997</v>
      </c>
      <c r="D913" s="67">
        <v>288.58</v>
      </c>
      <c r="E913" s="67">
        <v>301864</v>
      </c>
      <c r="F913" s="67" t="s">
        <v>933</v>
      </c>
      <c r="G913" s="25">
        <f t="shared" si="11"/>
        <v>3.8810728394205185E-3</v>
      </c>
    </row>
    <row r="914" spans="1:7">
      <c r="A914" s="67">
        <v>291.68</v>
      </c>
      <c r="B914" s="67">
        <v>295.98</v>
      </c>
      <c r="C914" s="67">
        <v>290.47000000000003</v>
      </c>
      <c r="D914" s="67">
        <v>294.98</v>
      </c>
      <c r="E914" s="67">
        <v>251691</v>
      </c>
      <c r="F914" s="67" t="s">
        <v>934</v>
      </c>
      <c r="G914" s="25">
        <f t="shared" si="11"/>
        <v>-1.118719913214461E-2</v>
      </c>
    </row>
    <row r="915" spans="1:7">
      <c r="A915" s="67">
        <v>294.82</v>
      </c>
      <c r="B915" s="67">
        <v>299.04000000000002</v>
      </c>
      <c r="C915" s="67">
        <v>293.44</v>
      </c>
      <c r="D915" s="67">
        <v>294.51</v>
      </c>
      <c r="E915" s="67">
        <v>228246</v>
      </c>
      <c r="F915" s="67" t="s">
        <v>935</v>
      </c>
      <c r="G915" s="25">
        <f t="shared" si="11"/>
        <v>1.0525958371532251E-3</v>
      </c>
    </row>
    <row r="916" spans="1:7">
      <c r="A916" s="67">
        <v>294.31</v>
      </c>
      <c r="B916" s="67">
        <v>295.66000000000003</v>
      </c>
      <c r="C916" s="67">
        <v>288.69</v>
      </c>
      <c r="D916" s="67">
        <v>291.79000000000002</v>
      </c>
      <c r="E916" s="67">
        <v>223202</v>
      </c>
      <c r="F916" s="67" t="s">
        <v>936</v>
      </c>
      <c r="G916" s="25">
        <f t="shared" si="11"/>
        <v>8.6363480585351926E-3</v>
      </c>
    </row>
    <row r="917" spans="1:7">
      <c r="A917" s="67">
        <v>292.38</v>
      </c>
      <c r="B917" s="67">
        <v>294.83</v>
      </c>
      <c r="C917" s="67">
        <v>284.43</v>
      </c>
      <c r="D917" s="67">
        <v>287</v>
      </c>
      <c r="E917" s="67">
        <v>489321</v>
      </c>
      <c r="F917" s="67" t="s">
        <v>937</v>
      </c>
      <c r="G917" s="25">
        <f t="shared" si="11"/>
        <v>1.8745644599303057E-2</v>
      </c>
    </row>
    <row r="918" spans="1:7">
      <c r="A918" s="67">
        <v>289.16000000000003</v>
      </c>
      <c r="B918" s="67">
        <v>301.76</v>
      </c>
      <c r="C918" s="67">
        <v>289.02</v>
      </c>
      <c r="D918" s="67">
        <v>301.45</v>
      </c>
      <c r="E918" s="67">
        <v>534233</v>
      </c>
      <c r="F918" s="67" t="s">
        <v>938</v>
      </c>
      <c r="G918" s="25">
        <f t="shared" si="11"/>
        <v>-4.0769613534582749E-2</v>
      </c>
    </row>
    <row r="919" spans="1:7">
      <c r="A919" s="67">
        <v>298.92</v>
      </c>
      <c r="B919" s="67">
        <v>306.14</v>
      </c>
      <c r="C919" s="67">
        <v>298.08</v>
      </c>
      <c r="D919" s="67">
        <v>305</v>
      </c>
      <c r="E919" s="67">
        <v>548350</v>
      </c>
      <c r="F919" s="67" t="s">
        <v>939</v>
      </c>
      <c r="G919" s="25">
        <f t="shared" si="11"/>
        <v>-1.993442622950814E-2</v>
      </c>
    </row>
    <row r="920" spans="1:7">
      <c r="A920" s="67">
        <v>305.89</v>
      </c>
      <c r="B920" s="67">
        <v>309.44</v>
      </c>
      <c r="C920" s="67">
        <v>303.8775</v>
      </c>
      <c r="D920" s="67">
        <v>304.10000000000002</v>
      </c>
      <c r="E920" s="67">
        <v>262037</v>
      </c>
      <c r="F920" s="67" t="s">
        <v>940</v>
      </c>
      <c r="G920" s="25">
        <f t="shared" si="11"/>
        <v>5.8862216376189824E-3</v>
      </c>
    </row>
    <row r="921" spans="1:7">
      <c r="A921" s="67">
        <v>306.27999999999997</v>
      </c>
      <c r="B921" s="67">
        <v>306.45999999999998</v>
      </c>
      <c r="C921" s="67">
        <v>296.23</v>
      </c>
      <c r="D921" s="67">
        <v>303.94</v>
      </c>
      <c r="E921" s="67">
        <v>317947</v>
      </c>
      <c r="F921" s="67" t="s">
        <v>941</v>
      </c>
      <c r="G921" s="25">
        <f t="shared" si="11"/>
        <v>7.6988879384087827E-3</v>
      </c>
    </row>
    <row r="922" spans="1:7">
      <c r="A922" s="67">
        <v>303.94</v>
      </c>
      <c r="B922" s="67">
        <v>305.87</v>
      </c>
      <c r="C922" s="67">
        <v>296.01499999999999</v>
      </c>
      <c r="D922" s="67">
        <v>301.74</v>
      </c>
      <c r="E922" s="67">
        <v>429011</v>
      </c>
      <c r="F922" s="67" t="s">
        <v>942</v>
      </c>
      <c r="G922" s="25">
        <f t="shared" si="11"/>
        <v>7.2910452707628526E-3</v>
      </c>
    </row>
    <row r="923" spans="1:7">
      <c r="A923" s="67">
        <v>299.06</v>
      </c>
      <c r="B923" s="67">
        <v>304</v>
      </c>
      <c r="C923" s="67">
        <v>294.51</v>
      </c>
      <c r="D923" s="67">
        <v>298.13</v>
      </c>
      <c r="E923" s="67">
        <v>355762</v>
      </c>
      <c r="F923" s="67" t="s">
        <v>943</v>
      </c>
      <c r="G923" s="25">
        <f t="shared" si="11"/>
        <v>3.1194445376179214E-3</v>
      </c>
    </row>
    <row r="924" spans="1:7">
      <c r="A924" s="67">
        <v>296.27</v>
      </c>
      <c r="B924" s="67">
        <v>297.95999999999998</v>
      </c>
      <c r="C924" s="67">
        <v>286.08</v>
      </c>
      <c r="D924" s="67">
        <v>294.74</v>
      </c>
      <c r="E924" s="67">
        <v>476591</v>
      </c>
      <c r="F924" s="67" t="s">
        <v>944</v>
      </c>
      <c r="G924" s="25">
        <f t="shared" si="11"/>
        <v>5.191015810544819E-3</v>
      </c>
    </row>
    <row r="925" spans="1:7">
      <c r="A925" s="67">
        <v>292.31</v>
      </c>
      <c r="B925" s="67">
        <v>299.97000000000003</v>
      </c>
      <c r="C925" s="67">
        <v>285.0437</v>
      </c>
      <c r="D925" s="67">
        <v>289.86</v>
      </c>
      <c r="E925" s="67">
        <v>398746</v>
      </c>
      <c r="F925" s="67" t="s">
        <v>945</v>
      </c>
      <c r="G925" s="25">
        <f t="shared" si="11"/>
        <v>8.4523563099427879E-3</v>
      </c>
    </row>
    <row r="926" spans="1:7">
      <c r="A926" s="67">
        <v>286.16000000000003</v>
      </c>
      <c r="B926" s="67">
        <v>289.89</v>
      </c>
      <c r="C926" s="67">
        <v>278.18</v>
      </c>
      <c r="D926" s="67">
        <v>279.58999999999997</v>
      </c>
      <c r="E926" s="67">
        <v>523272</v>
      </c>
      <c r="F926" s="67" t="s">
        <v>946</v>
      </c>
      <c r="G926" s="25">
        <f t="shared" si="11"/>
        <v>2.3498694516971508E-2</v>
      </c>
    </row>
    <row r="927" spans="1:7">
      <c r="A927" s="67">
        <v>279.72000000000003</v>
      </c>
      <c r="B927" s="67">
        <v>290.08</v>
      </c>
      <c r="C927" s="67">
        <v>278.5</v>
      </c>
      <c r="D927" s="67">
        <v>289.47000000000003</v>
      </c>
      <c r="E927" s="67">
        <v>656255</v>
      </c>
      <c r="F927" s="67" t="s">
        <v>947</v>
      </c>
      <c r="G927" s="25">
        <f t="shared" si="11"/>
        <v>-3.368224686496013E-2</v>
      </c>
    </row>
    <row r="928" spans="1:7">
      <c r="A928" s="67">
        <v>286.38</v>
      </c>
      <c r="B928" s="67">
        <v>300</v>
      </c>
      <c r="C928" s="67">
        <v>282.77</v>
      </c>
      <c r="D928" s="67">
        <v>299.5</v>
      </c>
      <c r="E928" s="67">
        <v>329030</v>
      </c>
      <c r="F928" s="67" t="s">
        <v>948</v>
      </c>
      <c r="G928" s="25">
        <f t="shared" si="11"/>
        <v>-4.3806343906510836E-2</v>
      </c>
    </row>
    <row r="929" spans="1:7">
      <c r="A929" s="67">
        <v>294.39</v>
      </c>
      <c r="B929" s="67">
        <v>294.58</v>
      </c>
      <c r="C929" s="67">
        <v>286.05</v>
      </c>
      <c r="D929" s="67">
        <v>291.14999999999998</v>
      </c>
      <c r="E929" s="67">
        <v>236559</v>
      </c>
      <c r="F929" s="67" t="s">
        <v>949</v>
      </c>
      <c r="G929" s="25">
        <f t="shared" si="11"/>
        <v>1.1128284389489984E-2</v>
      </c>
    </row>
    <row r="930" spans="1:7">
      <c r="A930" s="67">
        <v>295.04000000000002</v>
      </c>
      <c r="B930" s="67">
        <v>300.92</v>
      </c>
      <c r="C930" s="67">
        <v>288.43959999999998</v>
      </c>
      <c r="D930" s="67">
        <v>293.24</v>
      </c>
      <c r="E930" s="67">
        <v>146110</v>
      </c>
      <c r="F930" s="67" t="s">
        <v>950</v>
      </c>
      <c r="G930" s="25">
        <f t="shared" si="11"/>
        <v>6.1383167371436009E-3</v>
      </c>
    </row>
    <row r="931" spans="1:7">
      <c r="A931" s="67">
        <v>290.04000000000002</v>
      </c>
      <c r="B931" s="67">
        <v>297</v>
      </c>
      <c r="C931" s="67">
        <v>289.41000000000003</v>
      </c>
      <c r="D931" s="67">
        <v>291.89</v>
      </c>
      <c r="E931" s="67">
        <v>115169</v>
      </c>
      <c r="F931" s="67" t="s">
        <v>951</v>
      </c>
      <c r="G931" s="25">
        <f t="shared" si="11"/>
        <v>-6.338004042618639E-3</v>
      </c>
    </row>
    <row r="932" spans="1:7">
      <c r="A932" s="67">
        <v>292.05</v>
      </c>
      <c r="B932" s="67">
        <v>296.60000000000002</v>
      </c>
      <c r="C932" s="67">
        <v>288.29000000000002</v>
      </c>
      <c r="D932" s="67">
        <v>290.67</v>
      </c>
      <c r="E932" s="67">
        <v>119564</v>
      </c>
      <c r="F932" s="67" t="s">
        <v>952</v>
      </c>
      <c r="G932" s="25">
        <f t="shared" si="11"/>
        <v>4.7476519764682035E-3</v>
      </c>
    </row>
    <row r="933" spans="1:7">
      <c r="A933" s="67">
        <v>292.08999999999997</v>
      </c>
      <c r="B933" s="67">
        <v>296.56</v>
      </c>
      <c r="C933" s="67">
        <v>290.60000000000002</v>
      </c>
      <c r="D933" s="67">
        <v>296.16000000000003</v>
      </c>
      <c r="E933" s="67">
        <v>170435</v>
      </c>
      <c r="F933" s="67" t="s">
        <v>953</v>
      </c>
      <c r="G933" s="25">
        <f t="shared" si="11"/>
        <v>-1.3742571582928353E-2</v>
      </c>
    </row>
    <row r="934" spans="1:7">
      <c r="A934" s="67">
        <v>297.82</v>
      </c>
      <c r="B934" s="67">
        <v>303.39</v>
      </c>
      <c r="C934" s="67">
        <v>293.68</v>
      </c>
      <c r="D934" s="67">
        <v>301.70999999999998</v>
      </c>
      <c r="E934" s="67">
        <v>136355</v>
      </c>
      <c r="F934" s="67" t="s">
        <v>954</v>
      </c>
      <c r="G934" s="25">
        <f t="shared" si="11"/>
        <v>-1.2893175565940718E-2</v>
      </c>
    </row>
    <row r="935" spans="1:7">
      <c r="A935" s="67">
        <v>301.47000000000003</v>
      </c>
      <c r="B935" s="67">
        <v>303.48</v>
      </c>
      <c r="C935" s="67">
        <v>296.13</v>
      </c>
      <c r="D935" s="67">
        <v>300</v>
      </c>
      <c r="E935" s="67">
        <v>255906</v>
      </c>
      <c r="F935" s="67" t="s">
        <v>955</v>
      </c>
      <c r="G935" s="25">
        <f t="shared" si="11"/>
        <v>4.9000000000001265E-3</v>
      </c>
    </row>
    <row r="936" spans="1:7">
      <c r="A936" s="67">
        <v>298.54000000000002</v>
      </c>
      <c r="B936" s="67">
        <v>299.64499999999998</v>
      </c>
      <c r="C936" s="67">
        <v>291.25</v>
      </c>
      <c r="D936" s="67">
        <v>292.87</v>
      </c>
      <c r="E936" s="67">
        <v>244560</v>
      </c>
      <c r="F936" s="67" t="s">
        <v>956</v>
      </c>
      <c r="G936" s="25">
        <f t="shared" si="11"/>
        <v>1.9360125653020255E-2</v>
      </c>
    </row>
    <row r="937" spans="1:7">
      <c r="A937" s="67">
        <v>294.29000000000002</v>
      </c>
      <c r="B937" s="67">
        <v>298</v>
      </c>
      <c r="C937" s="67">
        <v>290.05</v>
      </c>
      <c r="D937" s="67">
        <v>298</v>
      </c>
      <c r="E937" s="67">
        <v>389264</v>
      </c>
      <c r="F937" s="67" t="s">
        <v>957</v>
      </c>
      <c r="G937" s="25">
        <f t="shared" si="11"/>
        <v>-1.2449664429530105E-2</v>
      </c>
    </row>
    <row r="938" spans="1:7">
      <c r="A938" s="67">
        <v>298.99</v>
      </c>
      <c r="B938" s="67">
        <v>304.58999999999997</v>
      </c>
      <c r="C938" s="67">
        <v>295.39</v>
      </c>
      <c r="D938" s="67">
        <v>297.5</v>
      </c>
      <c r="E938" s="67">
        <v>378886</v>
      </c>
      <c r="F938" s="67" t="s">
        <v>958</v>
      </c>
      <c r="G938" s="25">
        <f t="shared" si="11"/>
        <v>5.008403361344671E-3</v>
      </c>
    </row>
    <row r="939" spans="1:7">
      <c r="A939" s="67">
        <v>299.13</v>
      </c>
      <c r="B939" s="67">
        <v>308.3</v>
      </c>
      <c r="C939" s="67">
        <v>298.31</v>
      </c>
      <c r="D939" s="67">
        <v>306.3</v>
      </c>
      <c r="E939" s="67">
        <v>441803</v>
      </c>
      <c r="F939" s="67" t="s">
        <v>959</v>
      </c>
      <c r="G939" s="25">
        <f t="shared" si="11"/>
        <v>-2.3408423114593568E-2</v>
      </c>
    </row>
    <row r="940" spans="1:7">
      <c r="A940" s="67">
        <v>311.85000000000002</v>
      </c>
      <c r="B940" s="67">
        <v>316.44</v>
      </c>
      <c r="C940" s="67">
        <v>309.08999999999997</v>
      </c>
      <c r="D940" s="67">
        <v>312.89</v>
      </c>
      <c r="E940" s="67">
        <v>410425</v>
      </c>
      <c r="F940" s="67" t="s">
        <v>960</v>
      </c>
      <c r="G940" s="25">
        <f t="shared" si="11"/>
        <v>-3.3238518329123945E-3</v>
      </c>
    </row>
    <row r="941" spans="1:7">
      <c r="A941" s="67">
        <v>313</v>
      </c>
      <c r="B941" s="67">
        <v>314.7</v>
      </c>
      <c r="C941" s="67">
        <v>307.67</v>
      </c>
      <c r="D941" s="67">
        <v>310.77</v>
      </c>
      <c r="E941" s="67">
        <v>604534</v>
      </c>
      <c r="F941" s="67" t="s">
        <v>961</v>
      </c>
      <c r="G941" s="25">
        <f t="shared" si="11"/>
        <v>7.1757248125623452E-3</v>
      </c>
    </row>
    <row r="942" spans="1:7">
      <c r="A942" s="67">
        <v>300.83999999999997</v>
      </c>
      <c r="B942" s="67">
        <v>308.37</v>
      </c>
      <c r="C942" s="67">
        <v>299.06</v>
      </c>
      <c r="D942" s="67">
        <v>306.13</v>
      </c>
      <c r="E942" s="67">
        <v>299906</v>
      </c>
      <c r="F942" s="67" t="s">
        <v>962</v>
      </c>
      <c r="G942" s="25">
        <f t="shared" si="11"/>
        <v>-1.7280240420736392E-2</v>
      </c>
    </row>
    <row r="943" spans="1:7">
      <c r="A943" s="67">
        <v>302.32</v>
      </c>
      <c r="B943" s="67">
        <v>306.04500000000002</v>
      </c>
      <c r="C943" s="67">
        <v>301.77999999999997</v>
      </c>
      <c r="D943" s="67">
        <v>303.24</v>
      </c>
      <c r="E943" s="67">
        <v>231637</v>
      </c>
      <c r="F943" s="67" t="s">
        <v>963</v>
      </c>
      <c r="G943" s="25">
        <f t="shared" si="11"/>
        <v>-3.0339005408257513E-3</v>
      </c>
    </row>
    <row r="944" spans="1:7">
      <c r="A944" s="67">
        <v>303.33999999999997</v>
      </c>
      <c r="B944" s="67">
        <v>313.95999999999998</v>
      </c>
      <c r="C944" s="67">
        <v>302.64999999999998</v>
      </c>
      <c r="D944" s="67">
        <v>310.86</v>
      </c>
      <c r="E944" s="67">
        <v>622877</v>
      </c>
      <c r="F944" s="67" t="s">
        <v>964</v>
      </c>
      <c r="G944" s="25">
        <f t="shared" si="11"/>
        <v>-2.4190954127260023E-2</v>
      </c>
    </row>
    <row r="945" spans="1:7">
      <c r="A945" s="67">
        <v>304.89</v>
      </c>
      <c r="B945" s="67">
        <v>306.99</v>
      </c>
      <c r="C945" s="67">
        <v>296.67500000000001</v>
      </c>
      <c r="D945" s="67">
        <v>299.7</v>
      </c>
      <c r="E945" s="67">
        <v>299154</v>
      </c>
      <c r="F945" s="67" t="s">
        <v>965</v>
      </c>
      <c r="G945" s="25">
        <f t="shared" si="11"/>
        <v>1.7317317317317338E-2</v>
      </c>
    </row>
    <row r="946" spans="1:7">
      <c r="A946" s="67">
        <v>299.95999999999998</v>
      </c>
      <c r="B946" s="67">
        <v>302.93</v>
      </c>
      <c r="C946" s="67">
        <v>294.76</v>
      </c>
      <c r="D946" s="67">
        <v>301.52999999999997</v>
      </c>
      <c r="E946" s="67">
        <v>397844</v>
      </c>
      <c r="F946" s="67" t="s">
        <v>966</v>
      </c>
      <c r="G946" s="25">
        <f t="shared" si="11"/>
        <v>-5.2067787616488781E-3</v>
      </c>
    </row>
    <row r="947" spans="1:7">
      <c r="A947" s="67">
        <v>302.43</v>
      </c>
      <c r="B947" s="67">
        <v>309</v>
      </c>
      <c r="C947" s="67">
        <v>301.45</v>
      </c>
      <c r="D947" s="67">
        <v>307.26</v>
      </c>
      <c r="E947" s="67">
        <v>249372</v>
      </c>
      <c r="F947" s="67" t="s">
        <v>967</v>
      </c>
      <c r="G947" s="25">
        <f t="shared" si="11"/>
        <v>-1.5719586018355769E-2</v>
      </c>
    </row>
    <row r="948" spans="1:7">
      <c r="A948" s="67">
        <v>308.06</v>
      </c>
      <c r="B948" s="67">
        <v>309</v>
      </c>
      <c r="C948" s="67">
        <v>300.04349999999999</v>
      </c>
      <c r="D948" s="67">
        <v>302.86</v>
      </c>
      <c r="E948" s="67">
        <v>204531</v>
      </c>
      <c r="F948" s="67" t="s">
        <v>968</v>
      </c>
      <c r="G948" s="25">
        <f t="shared" si="11"/>
        <v>1.7169649342930748E-2</v>
      </c>
    </row>
    <row r="949" spans="1:7">
      <c r="A949" s="67">
        <v>308</v>
      </c>
      <c r="B949" s="67">
        <v>310.77</v>
      </c>
      <c r="C949" s="67">
        <v>302.18</v>
      </c>
      <c r="D949" s="67">
        <v>302.43</v>
      </c>
      <c r="E949" s="67">
        <v>437300</v>
      </c>
      <c r="F949" s="67" t="s">
        <v>969</v>
      </c>
      <c r="G949" s="25">
        <f t="shared" si="11"/>
        <v>1.8417485037860004E-2</v>
      </c>
    </row>
    <row r="950" spans="1:7">
      <c r="A950" s="67">
        <v>299.37</v>
      </c>
      <c r="B950" s="67">
        <v>300.66000000000003</v>
      </c>
      <c r="C950" s="67">
        <v>289.70999999999998</v>
      </c>
      <c r="D950" s="67">
        <v>290.07</v>
      </c>
      <c r="E950" s="67">
        <v>821317</v>
      </c>
      <c r="F950" s="67" t="s">
        <v>970</v>
      </c>
      <c r="G950" s="25">
        <f t="shared" si="11"/>
        <v>3.2061226600475834E-2</v>
      </c>
    </row>
    <row r="951" spans="1:7">
      <c r="A951" s="67">
        <v>288.56</v>
      </c>
      <c r="B951" s="67">
        <v>293.60000000000002</v>
      </c>
      <c r="C951" s="67">
        <v>288.08</v>
      </c>
      <c r="D951" s="67">
        <v>292.75</v>
      </c>
      <c r="E951" s="67">
        <v>219463</v>
      </c>
      <c r="F951" s="67" t="s">
        <v>971</v>
      </c>
      <c r="G951" s="25">
        <f t="shared" si="11"/>
        <v>-1.4312553373185266E-2</v>
      </c>
    </row>
    <row r="952" spans="1:7">
      <c r="A952" s="67">
        <v>292.31</v>
      </c>
      <c r="B952" s="67">
        <v>294.60000000000002</v>
      </c>
      <c r="C952" s="67">
        <v>289.5</v>
      </c>
      <c r="D952" s="67">
        <v>292.5</v>
      </c>
      <c r="E952" s="67">
        <v>237879</v>
      </c>
      <c r="F952" s="67" t="s">
        <v>972</v>
      </c>
      <c r="G952" s="25">
        <f t="shared" ref="G952:G1015" si="12">A952/D952-1</f>
        <v>-6.4957264957266059E-4</v>
      </c>
    </row>
    <row r="953" spans="1:7">
      <c r="A953" s="67">
        <v>293.7</v>
      </c>
      <c r="B953" s="67">
        <v>295.94499999999999</v>
      </c>
      <c r="C953" s="67">
        <v>291.82</v>
      </c>
      <c r="D953" s="67">
        <v>291.82</v>
      </c>
      <c r="E953" s="67">
        <v>106013</v>
      </c>
      <c r="F953" s="67" t="s">
        <v>973</v>
      </c>
      <c r="G953" s="25">
        <f t="shared" si="12"/>
        <v>6.4423274621341342E-3</v>
      </c>
    </row>
    <row r="954" spans="1:7">
      <c r="A954" s="67">
        <v>292.63</v>
      </c>
      <c r="B954" s="67">
        <v>293.82</v>
      </c>
      <c r="C954" s="67">
        <v>288.29000000000002</v>
      </c>
      <c r="D954" s="67">
        <v>292.23</v>
      </c>
      <c r="E954" s="67">
        <v>329492</v>
      </c>
      <c r="F954" s="67" t="s">
        <v>974</v>
      </c>
      <c r="G954" s="25">
        <f t="shared" si="12"/>
        <v>1.3687848612393694E-3</v>
      </c>
    </row>
    <row r="955" spans="1:7">
      <c r="A955" s="67">
        <v>289.73</v>
      </c>
      <c r="B955" s="67">
        <v>293.26499999999999</v>
      </c>
      <c r="C955" s="67">
        <v>285.05</v>
      </c>
      <c r="D955" s="67">
        <v>291.73</v>
      </c>
      <c r="E955" s="67">
        <v>409617</v>
      </c>
      <c r="F955" s="67" t="s">
        <v>975</v>
      </c>
      <c r="G955" s="25">
        <f t="shared" si="12"/>
        <v>-6.8556542008021415E-3</v>
      </c>
    </row>
    <row r="956" spans="1:7">
      <c r="A956" s="67">
        <v>290.60000000000002</v>
      </c>
      <c r="B956" s="67">
        <v>298.13</v>
      </c>
      <c r="C956" s="67">
        <v>290.51</v>
      </c>
      <c r="D956" s="67">
        <v>293.5</v>
      </c>
      <c r="E956" s="67">
        <v>370511</v>
      </c>
      <c r="F956" s="67" t="s">
        <v>976</v>
      </c>
      <c r="G956" s="25">
        <f t="shared" si="12"/>
        <v>-9.8807495741055629E-3</v>
      </c>
    </row>
    <row r="957" spans="1:7">
      <c r="A957" s="67">
        <v>295.52999999999997</v>
      </c>
      <c r="B957" s="67">
        <v>303.11</v>
      </c>
      <c r="C957" s="67">
        <v>291.27</v>
      </c>
      <c r="D957" s="67">
        <v>300.38</v>
      </c>
      <c r="E957" s="67">
        <v>435179</v>
      </c>
      <c r="F957" s="67" t="s">
        <v>977</v>
      </c>
      <c r="G957" s="25">
        <f t="shared" si="12"/>
        <v>-1.614621479459355E-2</v>
      </c>
    </row>
    <row r="958" spans="1:7">
      <c r="A958" s="67">
        <v>297.45</v>
      </c>
      <c r="B958" s="67">
        <v>301.25</v>
      </c>
      <c r="C958" s="67">
        <v>291.12</v>
      </c>
      <c r="D958" s="67">
        <v>298.17</v>
      </c>
      <c r="E958" s="67">
        <v>320088</v>
      </c>
      <c r="F958" s="67" t="s">
        <v>978</v>
      </c>
      <c r="G958" s="25">
        <f t="shared" si="12"/>
        <v>-2.4147298520978966E-3</v>
      </c>
    </row>
    <row r="959" spans="1:7">
      <c r="A959" s="67">
        <v>299.24</v>
      </c>
      <c r="B959" s="67">
        <v>310.88</v>
      </c>
      <c r="C959" s="67">
        <v>298.74</v>
      </c>
      <c r="D959" s="67">
        <v>304.39999999999998</v>
      </c>
      <c r="E959" s="67">
        <v>443186</v>
      </c>
      <c r="F959" s="67" t="s">
        <v>979</v>
      </c>
      <c r="G959" s="25">
        <f t="shared" si="12"/>
        <v>-1.6951379763469054E-2</v>
      </c>
    </row>
    <row r="960" spans="1:7">
      <c r="A960" s="67">
        <v>305.67</v>
      </c>
      <c r="B960" s="67">
        <v>307.48</v>
      </c>
      <c r="C960" s="67">
        <v>292.5</v>
      </c>
      <c r="D960" s="67">
        <v>292.5</v>
      </c>
      <c r="E960" s="67">
        <v>545285</v>
      </c>
      <c r="F960" s="67" t="s">
        <v>980</v>
      </c>
      <c r="G960" s="25">
        <f t="shared" si="12"/>
        <v>4.5025641025641105E-2</v>
      </c>
    </row>
    <row r="961" spans="1:7">
      <c r="A961" s="67">
        <v>290.08</v>
      </c>
      <c r="B961" s="67">
        <v>297.95</v>
      </c>
      <c r="C961" s="67">
        <v>289.52</v>
      </c>
      <c r="D961" s="67">
        <v>293.66000000000003</v>
      </c>
      <c r="E961" s="67">
        <v>456766</v>
      </c>
      <c r="F961" s="67" t="s">
        <v>981</v>
      </c>
      <c r="G961" s="25">
        <f t="shared" si="12"/>
        <v>-1.2190969147994446E-2</v>
      </c>
    </row>
    <row r="962" spans="1:7">
      <c r="A962" s="67">
        <v>293.67</v>
      </c>
      <c r="B962" s="67">
        <v>307.48</v>
      </c>
      <c r="C962" s="67">
        <v>289.19</v>
      </c>
      <c r="D962" s="67">
        <v>305.20999999999998</v>
      </c>
      <c r="E962" s="67">
        <v>611341</v>
      </c>
      <c r="F962" s="67" t="s">
        <v>982</v>
      </c>
      <c r="G962" s="25">
        <f t="shared" si="12"/>
        <v>-3.7810032436682794E-2</v>
      </c>
    </row>
    <row r="963" spans="1:7">
      <c r="A963" s="67">
        <v>304.95999999999998</v>
      </c>
      <c r="B963" s="67">
        <v>311.75</v>
      </c>
      <c r="C963" s="67">
        <v>298.31</v>
      </c>
      <c r="D963" s="67">
        <v>308.67</v>
      </c>
      <c r="E963" s="67">
        <v>574202</v>
      </c>
      <c r="F963" s="67" t="s">
        <v>983</v>
      </c>
      <c r="G963" s="25">
        <f t="shared" si="12"/>
        <v>-1.2019308646775029E-2</v>
      </c>
    </row>
    <row r="964" spans="1:7">
      <c r="A964" s="67">
        <v>294.93</v>
      </c>
      <c r="B964" s="67">
        <v>303.05</v>
      </c>
      <c r="C964" s="67">
        <v>293.3</v>
      </c>
      <c r="D964" s="67">
        <v>303.05</v>
      </c>
      <c r="E964" s="67">
        <v>641804</v>
      </c>
      <c r="F964" s="67" t="s">
        <v>984</v>
      </c>
      <c r="G964" s="25">
        <f t="shared" si="12"/>
        <v>-2.6794258373205704E-2</v>
      </c>
    </row>
    <row r="965" spans="1:7">
      <c r="A965" s="67">
        <v>304.3</v>
      </c>
      <c r="B965" s="67">
        <v>308.45</v>
      </c>
      <c r="C965" s="67">
        <v>296.57</v>
      </c>
      <c r="D965" s="67">
        <v>305.06</v>
      </c>
      <c r="E965" s="67">
        <v>1035184</v>
      </c>
      <c r="F965" s="67" t="s">
        <v>985</v>
      </c>
      <c r="G965" s="25">
        <f t="shared" si="12"/>
        <v>-2.4913131842916325E-3</v>
      </c>
    </row>
    <row r="966" spans="1:7">
      <c r="A966" s="67">
        <v>303.39</v>
      </c>
      <c r="B966" s="67">
        <v>317.93</v>
      </c>
      <c r="C966" s="67">
        <v>302.27499999999998</v>
      </c>
      <c r="D966" s="67">
        <v>312.88</v>
      </c>
      <c r="E966" s="67">
        <v>1280614</v>
      </c>
      <c r="F966" s="67" t="s">
        <v>986</v>
      </c>
      <c r="G966" s="25">
        <f t="shared" si="12"/>
        <v>-3.0331117361288684E-2</v>
      </c>
    </row>
    <row r="967" spans="1:7">
      <c r="A967" s="67">
        <v>313</v>
      </c>
      <c r="B967" s="67">
        <v>320</v>
      </c>
      <c r="C967" s="67">
        <v>288.82499999999999</v>
      </c>
      <c r="D967" s="67">
        <v>306.38</v>
      </c>
      <c r="E967" s="67">
        <v>2302972</v>
      </c>
      <c r="F967" s="67" t="s">
        <v>987</v>
      </c>
      <c r="G967" s="25">
        <f t="shared" si="12"/>
        <v>2.1607154514002191E-2</v>
      </c>
    </row>
    <row r="968" spans="1:7">
      <c r="A968" s="67">
        <v>255.35</v>
      </c>
      <c r="B968" s="67">
        <v>269.23</v>
      </c>
      <c r="C968" s="67">
        <v>255</v>
      </c>
      <c r="D968" s="67">
        <v>262.5</v>
      </c>
      <c r="E968" s="67">
        <v>738175</v>
      </c>
      <c r="F968" s="67" t="s">
        <v>988</v>
      </c>
      <c r="G968" s="25">
        <f t="shared" si="12"/>
        <v>-2.7238095238095283E-2</v>
      </c>
    </row>
    <row r="969" spans="1:7">
      <c r="A969" s="67">
        <v>261.7</v>
      </c>
      <c r="B969" s="67">
        <v>269.125</v>
      </c>
      <c r="C969" s="67">
        <v>258.85000000000002</v>
      </c>
      <c r="D969" s="67">
        <v>266.79000000000002</v>
      </c>
      <c r="E969" s="67">
        <v>873414</v>
      </c>
      <c r="F969" s="67" t="s">
        <v>989</v>
      </c>
      <c r="G969" s="25">
        <f t="shared" si="12"/>
        <v>-1.9078676112298187E-2</v>
      </c>
    </row>
    <row r="970" spans="1:7">
      <c r="A970" s="67">
        <v>266.07</v>
      </c>
      <c r="B970" s="67">
        <v>266.08</v>
      </c>
      <c r="C970" s="67">
        <v>257.77999999999997</v>
      </c>
      <c r="D970" s="67">
        <v>260.77</v>
      </c>
      <c r="E970" s="67">
        <v>532502</v>
      </c>
      <c r="F970" s="67" t="s">
        <v>990</v>
      </c>
      <c r="G970" s="25">
        <f t="shared" si="12"/>
        <v>2.0324423821758586E-2</v>
      </c>
    </row>
    <row r="971" spans="1:7">
      <c r="A971" s="67">
        <v>258.81</v>
      </c>
      <c r="B971" s="67">
        <v>266.06</v>
      </c>
      <c r="C971" s="67">
        <v>251.23</v>
      </c>
      <c r="D971" s="67">
        <v>252.34</v>
      </c>
      <c r="E971" s="67">
        <v>741012</v>
      </c>
      <c r="F971" s="67" t="s">
        <v>991</v>
      </c>
      <c r="G971" s="25">
        <f t="shared" si="12"/>
        <v>2.5640009510977224E-2</v>
      </c>
    </row>
    <row r="972" spans="1:7">
      <c r="A972" s="67">
        <v>255.55</v>
      </c>
      <c r="B972" s="67">
        <v>257.49</v>
      </c>
      <c r="C972" s="67">
        <v>241.05439999999999</v>
      </c>
      <c r="D972" s="67">
        <v>244</v>
      </c>
      <c r="E972" s="67">
        <v>538526</v>
      </c>
      <c r="F972" s="67" t="s">
        <v>992</v>
      </c>
      <c r="G972" s="25">
        <f t="shared" si="12"/>
        <v>4.7336065573770458E-2</v>
      </c>
    </row>
    <row r="973" spans="1:7">
      <c r="A973" s="67">
        <v>243.31</v>
      </c>
      <c r="B973" s="67">
        <v>247.19</v>
      </c>
      <c r="C973" s="67">
        <v>241.29</v>
      </c>
      <c r="D973" s="67">
        <v>245.99</v>
      </c>
      <c r="E973" s="67">
        <v>315176</v>
      </c>
      <c r="F973" s="67" t="s">
        <v>993</v>
      </c>
      <c r="G973" s="25">
        <f t="shared" si="12"/>
        <v>-1.0894751819179649E-2</v>
      </c>
    </row>
    <row r="974" spans="1:7">
      <c r="A974" s="67">
        <v>243.6</v>
      </c>
      <c r="B974" s="67">
        <v>246.03</v>
      </c>
      <c r="C974" s="67">
        <v>237.11</v>
      </c>
      <c r="D974" s="67">
        <v>239.79</v>
      </c>
      <c r="E974" s="67">
        <v>538514</v>
      </c>
      <c r="F974" s="67" t="s">
        <v>994</v>
      </c>
      <c r="G974" s="25">
        <f t="shared" si="12"/>
        <v>1.5888902789941151E-2</v>
      </c>
    </row>
    <row r="975" spans="1:7">
      <c r="A975" s="67">
        <v>238.03</v>
      </c>
      <c r="B975" s="67">
        <v>240</v>
      </c>
      <c r="C975" s="67">
        <v>233.29</v>
      </c>
      <c r="D975" s="67">
        <v>233.29</v>
      </c>
      <c r="E975" s="67">
        <v>338144</v>
      </c>
      <c r="F975" s="67" t="s">
        <v>995</v>
      </c>
      <c r="G975" s="25">
        <f t="shared" si="12"/>
        <v>2.0318059068112682E-2</v>
      </c>
    </row>
    <row r="976" spans="1:7">
      <c r="A976" s="67">
        <v>230.62</v>
      </c>
      <c r="B976" s="67">
        <v>231.7</v>
      </c>
      <c r="C976" s="67">
        <v>224.80500000000001</v>
      </c>
      <c r="D976" s="67">
        <v>228.79</v>
      </c>
      <c r="E976" s="67">
        <v>280728</v>
      </c>
      <c r="F976" s="67" t="s">
        <v>996</v>
      </c>
      <c r="G976" s="25">
        <f t="shared" si="12"/>
        <v>7.9986013374711007E-3</v>
      </c>
    </row>
    <row r="977" spans="1:7">
      <c r="A977" s="67">
        <v>227</v>
      </c>
      <c r="B977" s="67">
        <v>227.4</v>
      </c>
      <c r="C977" s="67">
        <v>208.5401</v>
      </c>
      <c r="D977" s="67">
        <v>213.58</v>
      </c>
      <c r="E977" s="67">
        <v>651212</v>
      </c>
      <c r="F977" s="67" t="s">
        <v>997</v>
      </c>
      <c r="G977" s="25">
        <f t="shared" si="12"/>
        <v>6.283359865155913E-2</v>
      </c>
    </row>
    <row r="978" spans="1:7">
      <c r="A978" s="67">
        <v>212.22</v>
      </c>
      <c r="B978" s="67">
        <v>218.21</v>
      </c>
      <c r="C978" s="67">
        <v>210.25</v>
      </c>
      <c r="D978" s="67">
        <v>215.07</v>
      </c>
      <c r="E978" s="67">
        <v>342449</v>
      </c>
      <c r="F978" s="67" t="s">
        <v>998</v>
      </c>
      <c r="G978" s="25">
        <f t="shared" si="12"/>
        <v>-1.3251499511786835E-2</v>
      </c>
    </row>
    <row r="979" spans="1:7">
      <c r="A979" s="67">
        <v>215.82</v>
      </c>
      <c r="B979" s="67">
        <v>227.255</v>
      </c>
      <c r="C979" s="67">
        <v>213.64</v>
      </c>
      <c r="D979" s="67">
        <v>225.88</v>
      </c>
      <c r="E979" s="67">
        <v>383582</v>
      </c>
      <c r="F979" s="67" t="s">
        <v>999</v>
      </c>
      <c r="G979" s="25">
        <f t="shared" si="12"/>
        <v>-4.4536922259606926E-2</v>
      </c>
    </row>
    <row r="980" spans="1:7">
      <c r="A980" s="67">
        <v>227.47</v>
      </c>
      <c r="B980" s="67">
        <v>234.84</v>
      </c>
      <c r="C980" s="67">
        <v>224.29</v>
      </c>
      <c r="D980" s="67">
        <v>232.01</v>
      </c>
      <c r="E980" s="67">
        <v>381732</v>
      </c>
      <c r="F980" s="67" t="s">
        <v>1000</v>
      </c>
      <c r="G980" s="25">
        <f t="shared" si="12"/>
        <v>-1.9568122063704063E-2</v>
      </c>
    </row>
    <row r="981" spans="1:7">
      <c r="A981" s="67">
        <v>224.16</v>
      </c>
      <c r="B981" s="67">
        <v>229.54</v>
      </c>
      <c r="C981" s="67">
        <v>219.97</v>
      </c>
      <c r="D981" s="67">
        <v>219.97</v>
      </c>
      <c r="E981" s="67">
        <v>494890</v>
      </c>
      <c r="F981" s="67" t="s">
        <v>1001</v>
      </c>
      <c r="G981" s="25">
        <f t="shared" si="12"/>
        <v>1.904805200709192E-2</v>
      </c>
    </row>
    <row r="982" spans="1:7">
      <c r="A982" s="67">
        <v>221.12</v>
      </c>
      <c r="B982" s="67">
        <v>237.54</v>
      </c>
      <c r="C982" s="67">
        <v>220.57</v>
      </c>
      <c r="D982" s="67">
        <v>236.64</v>
      </c>
      <c r="E982" s="67">
        <v>457269</v>
      </c>
      <c r="F982" s="67" t="s">
        <v>1002</v>
      </c>
      <c r="G982" s="25">
        <f t="shared" si="12"/>
        <v>-6.558485463150765E-2</v>
      </c>
    </row>
    <row r="983" spans="1:7">
      <c r="A983" s="67">
        <v>234.26</v>
      </c>
      <c r="B983" s="67">
        <v>238.26</v>
      </c>
      <c r="C983" s="67">
        <v>222.66499999999999</v>
      </c>
      <c r="D983" s="67">
        <v>225</v>
      </c>
      <c r="E983" s="67">
        <v>389982</v>
      </c>
      <c r="F983" s="67" t="s">
        <v>1003</v>
      </c>
      <c r="G983" s="25">
        <f t="shared" si="12"/>
        <v>4.1155555555555612E-2</v>
      </c>
    </row>
    <row r="984" spans="1:7">
      <c r="A984" s="67">
        <v>232.55</v>
      </c>
      <c r="B984" s="67">
        <v>233.81</v>
      </c>
      <c r="C984" s="67">
        <v>228.46</v>
      </c>
      <c r="D984" s="67">
        <v>232.01</v>
      </c>
      <c r="E984" s="67">
        <v>241840</v>
      </c>
      <c r="F984" s="67" t="s">
        <v>1004</v>
      </c>
      <c r="G984" s="25">
        <f t="shared" si="12"/>
        <v>2.3274858842292634E-3</v>
      </c>
    </row>
    <row r="985" spans="1:7">
      <c r="A985" s="67">
        <v>232.78</v>
      </c>
      <c r="B985" s="67">
        <v>235.89</v>
      </c>
      <c r="C985" s="67">
        <v>226.01</v>
      </c>
      <c r="D985" s="67">
        <v>230.23</v>
      </c>
      <c r="E985" s="67">
        <v>330441</v>
      </c>
      <c r="F985" s="67" t="s">
        <v>1005</v>
      </c>
      <c r="G985" s="25">
        <f t="shared" si="12"/>
        <v>1.107588064109799E-2</v>
      </c>
    </row>
    <row r="986" spans="1:7">
      <c r="A986" s="67">
        <v>231.93</v>
      </c>
      <c r="B986" s="67">
        <v>237.53</v>
      </c>
      <c r="C986" s="67">
        <v>230.81</v>
      </c>
      <c r="D986" s="67">
        <v>237.53</v>
      </c>
      <c r="E986" s="67">
        <v>150542</v>
      </c>
      <c r="F986" s="67" t="s">
        <v>1006</v>
      </c>
      <c r="G986" s="25">
        <f t="shared" si="12"/>
        <v>-2.3575969351239845E-2</v>
      </c>
    </row>
    <row r="987" spans="1:7">
      <c r="A987" s="67">
        <v>237.29</v>
      </c>
      <c r="B987" s="67">
        <v>245.14</v>
      </c>
      <c r="C987" s="67">
        <v>236.62</v>
      </c>
      <c r="D987" s="67">
        <v>244.12</v>
      </c>
      <c r="E987" s="67">
        <v>355523</v>
      </c>
      <c r="F987" s="67" t="s">
        <v>1007</v>
      </c>
      <c r="G987" s="25">
        <f t="shared" si="12"/>
        <v>-2.7978043585122125E-2</v>
      </c>
    </row>
    <row r="988" spans="1:7">
      <c r="A988" s="67">
        <v>245.51</v>
      </c>
      <c r="B988" s="67">
        <v>248.93</v>
      </c>
      <c r="C988" s="67">
        <v>242.82</v>
      </c>
      <c r="D988" s="67">
        <v>245.8</v>
      </c>
      <c r="E988" s="67">
        <v>256822</v>
      </c>
      <c r="F988" s="67" t="s">
        <v>1008</v>
      </c>
      <c r="G988" s="25">
        <f t="shared" si="12"/>
        <v>-1.1798209926771053E-3</v>
      </c>
    </row>
    <row r="989" spans="1:7">
      <c r="A989" s="67">
        <v>245.07</v>
      </c>
      <c r="B989" s="67">
        <v>246.8</v>
      </c>
      <c r="C989" s="67">
        <v>237.59</v>
      </c>
      <c r="D989" s="67">
        <v>239.69</v>
      </c>
      <c r="E989" s="67">
        <v>355824</v>
      </c>
      <c r="F989" s="67" t="s">
        <v>1009</v>
      </c>
      <c r="G989" s="25">
        <f t="shared" si="12"/>
        <v>2.2445658976177452E-2</v>
      </c>
    </row>
    <row r="990" spans="1:7">
      <c r="A990" s="67">
        <v>244.27</v>
      </c>
      <c r="B990" s="67">
        <v>244.87</v>
      </c>
      <c r="C990" s="67">
        <v>238.36500000000001</v>
      </c>
      <c r="D990" s="67">
        <v>239.28</v>
      </c>
      <c r="E990" s="67">
        <v>308921</v>
      </c>
      <c r="F990" s="67" t="s">
        <v>1010</v>
      </c>
      <c r="G990" s="25">
        <f t="shared" si="12"/>
        <v>2.0854229354730913E-2</v>
      </c>
    </row>
    <row r="991" spans="1:7">
      <c r="A991" s="67">
        <v>232.97</v>
      </c>
      <c r="B991" s="67">
        <v>234.39</v>
      </c>
      <c r="C991" s="67">
        <v>226.05</v>
      </c>
      <c r="D991" s="67">
        <v>230.78</v>
      </c>
      <c r="E991" s="67">
        <v>288017</v>
      </c>
      <c r="F991" s="67" t="s">
        <v>1011</v>
      </c>
      <c r="G991" s="25">
        <f t="shared" si="12"/>
        <v>9.4895571539994616E-3</v>
      </c>
    </row>
    <row r="992" spans="1:7">
      <c r="A992" s="67">
        <v>229.4</v>
      </c>
      <c r="B992" s="67">
        <v>237.8</v>
      </c>
      <c r="C992" s="67">
        <v>228.88</v>
      </c>
      <c r="D992" s="67">
        <v>231.43</v>
      </c>
      <c r="E992" s="67">
        <v>294387</v>
      </c>
      <c r="F992" s="67" t="s">
        <v>1012</v>
      </c>
      <c r="G992" s="25">
        <f t="shared" si="12"/>
        <v>-8.7715507928963765E-3</v>
      </c>
    </row>
    <row r="993" spans="1:7">
      <c r="A993" s="67">
        <v>231.18</v>
      </c>
      <c r="B993" s="67">
        <v>234.63</v>
      </c>
      <c r="C993" s="67">
        <v>227.15</v>
      </c>
      <c r="D993" s="67">
        <v>232.98</v>
      </c>
      <c r="E993" s="67">
        <v>228324</v>
      </c>
      <c r="F993" s="67" t="s">
        <v>1013</v>
      </c>
      <c r="G993" s="25">
        <f t="shared" si="12"/>
        <v>-7.7259850630955196E-3</v>
      </c>
    </row>
    <row r="994" spans="1:7">
      <c r="A994" s="67">
        <v>236.14</v>
      </c>
      <c r="B994" s="67">
        <v>236.74</v>
      </c>
      <c r="C994" s="67">
        <v>231.58</v>
      </c>
      <c r="D994" s="67">
        <v>233.78</v>
      </c>
      <c r="E994" s="67">
        <v>395360</v>
      </c>
      <c r="F994" s="67" t="s">
        <v>1014</v>
      </c>
      <c r="G994" s="25">
        <f t="shared" si="12"/>
        <v>1.0094961074514464E-2</v>
      </c>
    </row>
    <row r="995" spans="1:7">
      <c r="A995" s="67">
        <v>230.59</v>
      </c>
      <c r="B995" s="67">
        <v>236.285</v>
      </c>
      <c r="C995" s="67">
        <v>227.03</v>
      </c>
      <c r="D995" s="67">
        <v>233.63</v>
      </c>
      <c r="E995" s="67">
        <v>342224</v>
      </c>
      <c r="F995" s="67" t="s">
        <v>1015</v>
      </c>
      <c r="G995" s="25">
        <f t="shared" si="12"/>
        <v>-1.3012027564953121E-2</v>
      </c>
    </row>
    <row r="996" spans="1:7">
      <c r="A996" s="67">
        <v>231.59</v>
      </c>
      <c r="B996" s="67">
        <v>237.42</v>
      </c>
      <c r="C996" s="67">
        <v>229.14</v>
      </c>
      <c r="D996" s="67">
        <v>232</v>
      </c>
      <c r="E996" s="67">
        <v>259629</v>
      </c>
      <c r="F996" s="67" t="s">
        <v>1016</v>
      </c>
      <c r="G996" s="25">
        <f t="shared" si="12"/>
        <v>-1.7672413793102804E-3</v>
      </c>
    </row>
    <row r="997" spans="1:7">
      <c r="A997" s="67">
        <v>234.19</v>
      </c>
      <c r="B997" s="67">
        <v>238.66</v>
      </c>
      <c r="C997" s="67">
        <v>230.75</v>
      </c>
      <c r="D997" s="67">
        <v>237.88</v>
      </c>
      <c r="E997" s="67">
        <v>458571</v>
      </c>
      <c r="F997" s="67" t="s">
        <v>1017</v>
      </c>
      <c r="G997" s="25">
        <f t="shared" si="12"/>
        <v>-1.5512022868673259E-2</v>
      </c>
    </row>
    <row r="998" spans="1:7">
      <c r="A998" s="67">
        <v>241.25</v>
      </c>
      <c r="B998" s="67">
        <v>248.16</v>
      </c>
      <c r="C998" s="67">
        <v>239.09</v>
      </c>
      <c r="D998" s="67">
        <v>247.2</v>
      </c>
      <c r="E998" s="67">
        <v>437421</v>
      </c>
      <c r="F998" s="67" t="s">
        <v>1018</v>
      </c>
      <c r="G998" s="25">
        <f t="shared" si="12"/>
        <v>-2.4069579288025889E-2</v>
      </c>
    </row>
    <row r="999" spans="1:7">
      <c r="A999" s="67">
        <v>250.39</v>
      </c>
      <c r="B999" s="67">
        <v>260.93880000000001</v>
      </c>
      <c r="C999" s="67">
        <v>250.36</v>
      </c>
      <c r="D999" s="67">
        <v>257.39999999999998</v>
      </c>
      <c r="E999" s="67">
        <v>397656</v>
      </c>
      <c r="F999" s="67" t="s">
        <v>1019</v>
      </c>
      <c r="G999" s="25">
        <f t="shared" si="12"/>
        <v>-2.7233877233877157E-2</v>
      </c>
    </row>
    <row r="1000" spans="1:7">
      <c r="A1000" s="67">
        <v>255.04</v>
      </c>
      <c r="B1000" s="67">
        <v>257.35000000000002</v>
      </c>
      <c r="C1000" s="67">
        <v>249.45</v>
      </c>
      <c r="D1000" s="67">
        <v>253.36</v>
      </c>
      <c r="E1000" s="67">
        <v>224998</v>
      </c>
      <c r="F1000" s="67" t="s">
        <v>1020</v>
      </c>
      <c r="G1000" s="25">
        <f t="shared" si="12"/>
        <v>6.6308809598989438E-3</v>
      </c>
    </row>
    <row r="1001" spans="1:7">
      <c r="A1001" s="67">
        <v>254.64</v>
      </c>
      <c r="B1001" s="67">
        <v>255.26</v>
      </c>
      <c r="C1001" s="67">
        <v>247.19</v>
      </c>
      <c r="D1001" s="67">
        <v>251.91</v>
      </c>
      <c r="E1001" s="67">
        <v>285298</v>
      </c>
      <c r="F1001" s="67" t="s">
        <v>1021</v>
      </c>
      <c r="G1001" s="25">
        <f t="shared" si="12"/>
        <v>1.0837203763248704E-2</v>
      </c>
    </row>
    <row r="1002" spans="1:7">
      <c r="A1002" s="67">
        <v>255</v>
      </c>
      <c r="B1002" s="67">
        <v>256.46499999999997</v>
      </c>
      <c r="C1002" s="67">
        <v>250.02</v>
      </c>
      <c r="D1002" s="67">
        <v>253.49</v>
      </c>
      <c r="E1002" s="67">
        <v>774181</v>
      </c>
      <c r="F1002" s="67" t="s">
        <v>1022</v>
      </c>
      <c r="G1002" s="25">
        <f t="shared" si="12"/>
        <v>5.9568424789933072E-3</v>
      </c>
    </row>
    <row r="1003" spans="1:7">
      <c r="A1003" s="67">
        <v>259.14</v>
      </c>
      <c r="B1003" s="67">
        <v>265.07</v>
      </c>
      <c r="C1003" s="67">
        <v>257.77</v>
      </c>
      <c r="D1003" s="67">
        <v>262.79000000000002</v>
      </c>
      <c r="E1003" s="67">
        <v>273970</v>
      </c>
      <c r="F1003" s="67" t="s">
        <v>1023</v>
      </c>
      <c r="G1003" s="25">
        <f t="shared" si="12"/>
        <v>-1.3889417405533067E-2</v>
      </c>
    </row>
    <row r="1004" spans="1:7">
      <c r="A1004" s="67">
        <v>263.60000000000002</v>
      </c>
      <c r="B1004" s="67">
        <v>263.89</v>
      </c>
      <c r="C1004" s="67">
        <v>250.94</v>
      </c>
      <c r="D1004" s="67">
        <v>255.49</v>
      </c>
      <c r="E1004" s="67">
        <v>424029</v>
      </c>
      <c r="F1004" s="67" t="s">
        <v>1024</v>
      </c>
      <c r="G1004" s="25">
        <f t="shared" si="12"/>
        <v>3.1742925359113938E-2</v>
      </c>
    </row>
    <row r="1005" spans="1:7">
      <c r="A1005" s="67">
        <v>252.72</v>
      </c>
      <c r="B1005" s="67">
        <v>259.55</v>
      </c>
      <c r="C1005" s="67">
        <v>251.8</v>
      </c>
      <c r="D1005" s="67">
        <v>258.48</v>
      </c>
      <c r="E1005" s="67">
        <v>583645</v>
      </c>
      <c r="F1005" s="67" t="s">
        <v>1025</v>
      </c>
      <c r="G1005" s="25">
        <f t="shared" si="12"/>
        <v>-2.2284122562674202E-2</v>
      </c>
    </row>
    <row r="1006" spans="1:7">
      <c r="A1006" s="67">
        <v>268</v>
      </c>
      <c r="B1006" s="67">
        <v>270.47750000000002</v>
      </c>
      <c r="C1006" s="67">
        <v>265.31</v>
      </c>
      <c r="D1006" s="67">
        <v>267.13</v>
      </c>
      <c r="E1006" s="67">
        <v>517089</v>
      </c>
      <c r="F1006" s="67" t="s">
        <v>1026</v>
      </c>
      <c r="G1006" s="25">
        <f t="shared" si="12"/>
        <v>3.2568412383484624E-3</v>
      </c>
    </row>
    <row r="1007" spans="1:7">
      <c r="A1007" s="67">
        <v>268.91000000000003</v>
      </c>
      <c r="B1007" s="67">
        <v>274.08999999999997</v>
      </c>
      <c r="C1007" s="67">
        <v>266.06</v>
      </c>
      <c r="D1007" s="67">
        <v>270.02999999999997</v>
      </c>
      <c r="E1007" s="67">
        <v>422490</v>
      </c>
      <c r="F1007" s="67" t="s">
        <v>1027</v>
      </c>
      <c r="G1007" s="25">
        <f t="shared" si="12"/>
        <v>-4.1476872940041654E-3</v>
      </c>
    </row>
    <row r="1008" spans="1:7">
      <c r="A1008" s="67">
        <v>269.63</v>
      </c>
      <c r="B1008" s="67">
        <v>270.12</v>
      </c>
      <c r="C1008" s="67">
        <v>257.64</v>
      </c>
      <c r="D1008" s="67">
        <v>260.82</v>
      </c>
      <c r="E1008" s="67">
        <v>386266</v>
      </c>
      <c r="F1008" s="67" t="s">
        <v>1028</v>
      </c>
      <c r="G1008" s="25">
        <f t="shared" si="12"/>
        <v>3.3778084502722239E-2</v>
      </c>
    </row>
    <row r="1009" spans="1:7">
      <c r="A1009" s="67">
        <v>262.83999999999997</v>
      </c>
      <c r="B1009" s="67">
        <v>263.35000000000002</v>
      </c>
      <c r="C1009" s="67">
        <v>250.26499999999999</v>
      </c>
      <c r="D1009" s="67">
        <v>251.23</v>
      </c>
      <c r="E1009" s="67">
        <v>557934</v>
      </c>
      <c r="F1009" s="67" t="s">
        <v>1029</v>
      </c>
      <c r="G1009" s="25">
        <f t="shared" si="12"/>
        <v>4.6212633841499873E-2</v>
      </c>
    </row>
    <row r="1010" spans="1:7">
      <c r="A1010" s="67">
        <v>249.79</v>
      </c>
      <c r="B1010" s="67">
        <v>255.29</v>
      </c>
      <c r="C1010" s="67">
        <v>249.29</v>
      </c>
      <c r="D1010" s="67">
        <v>253.53</v>
      </c>
      <c r="E1010" s="67">
        <v>446561</v>
      </c>
      <c r="F1010" s="67" t="s">
        <v>1030</v>
      </c>
      <c r="G1010" s="25">
        <f t="shared" si="12"/>
        <v>-1.4751705912515289E-2</v>
      </c>
    </row>
    <row r="1011" spans="1:7">
      <c r="A1011" s="67">
        <v>254.35</v>
      </c>
      <c r="B1011" s="67">
        <v>263.83999999999997</v>
      </c>
      <c r="C1011" s="67">
        <v>253.76</v>
      </c>
      <c r="D1011" s="67">
        <v>262.5</v>
      </c>
      <c r="E1011" s="67">
        <v>266795</v>
      </c>
      <c r="F1011" s="67" t="s">
        <v>1031</v>
      </c>
      <c r="G1011" s="25">
        <f t="shared" si="12"/>
        <v>-3.1047619047619102E-2</v>
      </c>
    </row>
    <row r="1012" spans="1:7">
      <c r="A1012" s="67">
        <v>259.52999999999997</v>
      </c>
      <c r="B1012" s="67">
        <v>260.10000000000002</v>
      </c>
      <c r="C1012" s="67">
        <v>247.82</v>
      </c>
      <c r="D1012" s="67">
        <v>254.04</v>
      </c>
      <c r="E1012" s="67">
        <v>420454</v>
      </c>
      <c r="F1012" s="67" t="s">
        <v>1032</v>
      </c>
      <c r="G1012" s="25">
        <f t="shared" si="12"/>
        <v>2.1610769957487008E-2</v>
      </c>
    </row>
    <row r="1013" spans="1:7">
      <c r="A1013" s="67">
        <v>255.47</v>
      </c>
      <c r="B1013" s="67">
        <v>262.47000000000003</v>
      </c>
      <c r="C1013" s="67">
        <v>254.2</v>
      </c>
      <c r="D1013" s="67">
        <v>258.60000000000002</v>
      </c>
      <c r="E1013" s="67">
        <v>379967</v>
      </c>
      <c r="F1013" s="67" t="s">
        <v>1033</v>
      </c>
      <c r="G1013" s="25">
        <f t="shared" si="12"/>
        <v>-1.2103634957463361E-2</v>
      </c>
    </row>
    <row r="1014" spans="1:7">
      <c r="A1014" s="67">
        <v>258.22000000000003</v>
      </c>
      <c r="B1014" s="67">
        <v>267.52999999999997</v>
      </c>
      <c r="C1014" s="67">
        <v>255.8</v>
      </c>
      <c r="D1014" s="67">
        <v>265.79000000000002</v>
      </c>
      <c r="E1014" s="67">
        <v>431337</v>
      </c>
      <c r="F1014" s="67" t="s">
        <v>1034</v>
      </c>
      <c r="G1014" s="25">
        <f t="shared" si="12"/>
        <v>-2.8481131720531239E-2</v>
      </c>
    </row>
    <row r="1015" spans="1:7">
      <c r="A1015" s="67">
        <v>263.77999999999997</v>
      </c>
      <c r="B1015" s="67">
        <v>267.45999999999998</v>
      </c>
      <c r="C1015" s="67">
        <v>261.06</v>
      </c>
      <c r="D1015" s="67">
        <v>262.54000000000002</v>
      </c>
      <c r="E1015" s="67">
        <v>347901</v>
      </c>
      <c r="F1015" s="67" t="s">
        <v>1035</v>
      </c>
      <c r="G1015" s="25">
        <f t="shared" si="12"/>
        <v>4.7230898148851175E-3</v>
      </c>
    </row>
    <row r="1016" spans="1:7">
      <c r="A1016" s="67">
        <v>267.17</v>
      </c>
      <c r="B1016" s="67">
        <v>281.43270000000001</v>
      </c>
      <c r="C1016" s="67">
        <v>266.58999999999997</v>
      </c>
      <c r="D1016" s="67">
        <v>279.01</v>
      </c>
      <c r="E1016" s="67">
        <v>613417</v>
      </c>
      <c r="F1016" s="67" t="s">
        <v>1036</v>
      </c>
      <c r="G1016" s="25">
        <f t="shared" ref="G1016:G1079" si="13">A1016/D1016-1</f>
        <v>-4.2435754990860497E-2</v>
      </c>
    </row>
    <row r="1017" spans="1:7">
      <c r="A1017" s="67">
        <v>282.86</v>
      </c>
      <c r="B1017" s="67">
        <v>283.27999999999997</v>
      </c>
      <c r="C1017" s="67">
        <v>274.63</v>
      </c>
      <c r="D1017" s="67">
        <v>275.67</v>
      </c>
      <c r="E1017" s="67">
        <v>393426</v>
      </c>
      <c r="F1017" s="67" t="s">
        <v>1037</v>
      </c>
      <c r="G1017" s="25">
        <f t="shared" si="13"/>
        <v>2.608190952950995E-2</v>
      </c>
    </row>
    <row r="1018" spans="1:7">
      <c r="A1018" s="67">
        <v>273.7</v>
      </c>
      <c r="B1018" s="67">
        <v>274.08</v>
      </c>
      <c r="C1018" s="67">
        <v>259.86</v>
      </c>
      <c r="D1018" s="67">
        <v>261.23</v>
      </c>
      <c r="E1018" s="67">
        <v>488395</v>
      </c>
      <c r="F1018" s="67" t="s">
        <v>1038</v>
      </c>
      <c r="G1018" s="25">
        <f t="shared" si="13"/>
        <v>4.7735711824828497E-2</v>
      </c>
    </row>
    <row r="1019" spans="1:7">
      <c r="A1019" s="67">
        <v>259.88</v>
      </c>
      <c r="B1019" s="67">
        <v>262.83</v>
      </c>
      <c r="C1019" s="67">
        <v>255.70099999999999</v>
      </c>
      <c r="D1019" s="67">
        <v>259.89</v>
      </c>
      <c r="E1019" s="67">
        <v>218633</v>
      </c>
      <c r="F1019" s="67" t="s">
        <v>1039</v>
      </c>
      <c r="G1019" s="25">
        <f t="shared" si="13"/>
        <v>-3.8477817538185022E-5</v>
      </c>
    </row>
    <row r="1020" spans="1:7">
      <c r="A1020" s="67">
        <v>261.89</v>
      </c>
      <c r="B1020" s="67">
        <v>266.73</v>
      </c>
      <c r="C1020" s="67">
        <v>259.69</v>
      </c>
      <c r="D1020" s="67">
        <v>264.26</v>
      </c>
      <c r="E1020" s="67">
        <v>201085</v>
      </c>
      <c r="F1020" s="67" t="s">
        <v>1040</v>
      </c>
      <c r="G1020" s="25">
        <f t="shared" si="13"/>
        <v>-8.9684401725573792E-3</v>
      </c>
    </row>
    <row r="1021" spans="1:7">
      <c r="A1021" s="67">
        <v>267.42</v>
      </c>
      <c r="B1021" s="67">
        <v>270.74</v>
      </c>
      <c r="C1021" s="67">
        <v>264.35500000000002</v>
      </c>
      <c r="D1021" s="67">
        <v>270.14999999999998</v>
      </c>
      <c r="E1021" s="67">
        <v>255620</v>
      </c>
      <c r="F1021" s="67" t="s">
        <v>1041</v>
      </c>
      <c r="G1021" s="25">
        <f t="shared" si="13"/>
        <v>-1.0105496946140935E-2</v>
      </c>
    </row>
    <row r="1022" spans="1:7">
      <c r="A1022" s="67">
        <v>271.32</v>
      </c>
      <c r="B1022" s="67">
        <v>271.83</v>
      </c>
      <c r="C1022" s="67">
        <v>266.60000000000002</v>
      </c>
      <c r="D1022" s="67">
        <v>268.89999999999998</v>
      </c>
      <c r="E1022" s="67">
        <v>311469</v>
      </c>
      <c r="F1022" s="67" t="s">
        <v>1042</v>
      </c>
      <c r="G1022" s="25">
        <f t="shared" si="13"/>
        <v>8.999628114540803E-3</v>
      </c>
    </row>
    <row r="1023" spans="1:7">
      <c r="A1023" s="67">
        <v>266.60000000000002</v>
      </c>
      <c r="B1023" s="67">
        <v>269.45999999999998</v>
      </c>
      <c r="C1023" s="67">
        <v>262.98</v>
      </c>
      <c r="D1023" s="67">
        <v>266.42</v>
      </c>
      <c r="E1023" s="67">
        <v>224092</v>
      </c>
      <c r="F1023" s="67" t="s">
        <v>1043</v>
      </c>
      <c r="G1023" s="25">
        <f t="shared" si="13"/>
        <v>6.7562495308171044E-4</v>
      </c>
    </row>
    <row r="1024" spans="1:7">
      <c r="A1024" s="67">
        <v>268.61</v>
      </c>
      <c r="B1024" s="67">
        <v>271.67</v>
      </c>
      <c r="C1024" s="67">
        <v>264.39999999999998</v>
      </c>
      <c r="D1024" s="67">
        <v>268.14</v>
      </c>
      <c r="E1024" s="67">
        <v>329649</v>
      </c>
      <c r="F1024" s="67" t="s">
        <v>1044</v>
      </c>
      <c r="G1024" s="25">
        <f t="shared" si="13"/>
        <v>1.7528156932946626E-3</v>
      </c>
    </row>
    <row r="1025" spans="1:7">
      <c r="A1025" s="67">
        <v>270.64</v>
      </c>
      <c r="B1025" s="67">
        <v>273.57</v>
      </c>
      <c r="C1025" s="67">
        <v>268.125</v>
      </c>
      <c r="D1025" s="67">
        <v>270.98</v>
      </c>
      <c r="E1025" s="67">
        <v>285612</v>
      </c>
      <c r="F1025" s="67" t="s">
        <v>1045</v>
      </c>
      <c r="G1025" s="25">
        <f t="shared" si="13"/>
        <v>-1.2547051442911572E-3</v>
      </c>
    </row>
    <row r="1026" spans="1:7">
      <c r="A1026" s="67">
        <v>270.7</v>
      </c>
      <c r="B1026" s="67">
        <v>273.17</v>
      </c>
      <c r="C1026" s="67">
        <v>262.47000000000003</v>
      </c>
      <c r="D1026" s="67">
        <v>263.83</v>
      </c>
      <c r="E1026" s="67">
        <v>276245</v>
      </c>
      <c r="F1026" s="67" t="s">
        <v>1046</v>
      </c>
      <c r="G1026" s="25">
        <f t="shared" si="13"/>
        <v>2.6039495129439372E-2</v>
      </c>
    </row>
    <row r="1027" spans="1:7">
      <c r="A1027" s="67">
        <v>264.08</v>
      </c>
      <c r="B1027" s="67">
        <v>272.44</v>
      </c>
      <c r="C1027" s="67">
        <v>263.06</v>
      </c>
      <c r="D1027" s="67">
        <v>263.99</v>
      </c>
      <c r="E1027" s="67">
        <v>385299</v>
      </c>
      <c r="F1027" s="67" t="s">
        <v>1047</v>
      </c>
      <c r="G1027" s="25">
        <f t="shared" si="13"/>
        <v>3.409220046213246E-4</v>
      </c>
    </row>
    <row r="1028" spans="1:7">
      <c r="A1028" s="67">
        <v>262.49</v>
      </c>
      <c r="B1028" s="67">
        <v>267.26</v>
      </c>
      <c r="C1028" s="67">
        <v>261.52999999999997</v>
      </c>
      <c r="D1028" s="67">
        <v>264.57</v>
      </c>
      <c r="E1028" s="67">
        <v>268973</v>
      </c>
      <c r="F1028" s="67" t="s">
        <v>1048</v>
      </c>
      <c r="G1028" s="25">
        <f t="shared" si="13"/>
        <v>-7.8618135087121788E-3</v>
      </c>
    </row>
    <row r="1029" spans="1:7">
      <c r="A1029" s="67">
        <v>258.68</v>
      </c>
      <c r="B1029" s="67">
        <v>262.60000000000002</v>
      </c>
      <c r="C1029" s="67">
        <v>257.01499999999999</v>
      </c>
      <c r="D1029" s="67">
        <v>260.49</v>
      </c>
      <c r="E1029" s="67">
        <v>347447</v>
      </c>
      <c r="F1029" s="67" t="s">
        <v>1049</v>
      </c>
      <c r="G1029" s="25">
        <f t="shared" si="13"/>
        <v>-6.9484433183615302E-3</v>
      </c>
    </row>
    <row r="1030" spans="1:7">
      <c r="A1030" s="67">
        <v>263.06</v>
      </c>
      <c r="B1030" s="67">
        <v>272.51</v>
      </c>
      <c r="C1030" s="67">
        <v>260.42</v>
      </c>
      <c r="D1030" s="67">
        <v>267.05</v>
      </c>
      <c r="E1030" s="67">
        <v>357510</v>
      </c>
      <c r="F1030" s="67" t="s">
        <v>1050</v>
      </c>
      <c r="G1030" s="25">
        <f t="shared" si="13"/>
        <v>-1.4941022280471894E-2</v>
      </c>
    </row>
    <row r="1031" spans="1:7">
      <c r="A1031" s="67">
        <v>267.05</v>
      </c>
      <c r="B1031" s="67">
        <v>276.38</v>
      </c>
      <c r="C1031" s="67">
        <v>247.55</v>
      </c>
      <c r="D1031" s="67">
        <v>257.70999999999998</v>
      </c>
      <c r="E1031" s="67">
        <v>833891</v>
      </c>
      <c r="F1031" s="67" t="s">
        <v>1051</v>
      </c>
      <c r="G1031" s="25">
        <f t="shared" si="13"/>
        <v>3.624228784292427E-2</v>
      </c>
    </row>
    <row r="1032" spans="1:7">
      <c r="A1032" s="67">
        <v>256.01</v>
      </c>
      <c r="B1032" s="67">
        <v>261</v>
      </c>
      <c r="C1032" s="67">
        <v>253.35</v>
      </c>
      <c r="D1032" s="67">
        <v>259.83999999999997</v>
      </c>
      <c r="E1032" s="67">
        <v>684535</v>
      </c>
      <c r="F1032" s="67" t="s">
        <v>1052</v>
      </c>
      <c r="G1032" s="25">
        <f t="shared" si="13"/>
        <v>-1.4739839901477758E-2</v>
      </c>
    </row>
    <row r="1033" spans="1:7">
      <c r="A1033" s="67">
        <v>260.85000000000002</v>
      </c>
      <c r="B1033" s="67">
        <v>261.45999999999998</v>
      </c>
      <c r="C1033" s="67">
        <v>254.81</v>
      </c>
      <c r="D1033" s="67">
        <v>259.61</v>
      </c>
      <c r="E1033" s="67">
        <v>309991</v>
      </c>
      <c r="F1033" s="67" t="s">
        <v>1053</v>
      </c>
      <c r="G1033" s="25">
        <f t="shared" si="13"/>
        <v>4.776395362274144E-3</v>
      </c>
    </row>
    <row r="1034" spans="1:7">
      <c r="A1034" s="67">
        <v>257.06</v>
      </c>
      <c r="B1034" s="67">
        <v>258.565</v>
      </c>
      <c r="C1034" s="67">
        <v>245.68</v>
      </c>
      <c r="D1034" s="67">
        <v>245.68</v>
      </c>
      <c r="E1034" s="67">
        <v>981011</v>
      </c>
      <c r="F1034" s="67" t="s">
        <v>1054</v>
      </c>
      <c r="G1034" s="25">
        <f t="shared" si="13"/>
        <v>4.6320416802344555E-2</v>
      </c>
    </row>
    <row r="1035" spans="1:7">
      <c r="A1035" s="67">
        <v>245.68</v>
      </c>
      <c r="B1035" s="67">
        <v>248.17500000000001</v>
      </c>
      <c r="C1035" s="67">
        <v>241.9</v>
      </c>
      <c r="D1035" s="67">
        <v>245.91</v>
      </c>
      <c r="E1035" s="67">
        <v>510705</v>
      </c>
      <c r="F1035" s="67" t="s">
        <v>1055</v>
      </c>
      <c r="G1035" s="25">
        <f t="shared" si="13"/>
        <v>-9.353015330811898E-4</v>
      </c>
    </row>
    <row r="1036" spans="1:7">
      <c r="A1036" s="67">
        <v>247.8</v>
      </c>
      <c r="B1036" s="67">
        <v>248.72</v>
      </c>
      <c r="C1036" s="67">
        <v>241.97</v>
      </c>
      <c r="D1036" s="67">
        <v>246.31</v>
      </c>
      <c r="E1036" s="67">
        <v>459953</v>
      </c>
      <c r="F1036" s="67" t="s">
        <v>1056</v>
      </c>
      <c r="G1036" s="25">
        <f t="shared" si="13"/>
        <v>6.049287483252952E-3</v>
      </c>
    </row>
    <row r="1037" spans="1:7">
      <c r="A1037" s="67">
        <v>247.47</v>
      </c>
      <c r="B1037" s="67">
        <v>247.92</v>
      </c>
      <c r="C1037" s="67">
        <v>237.76</v>
      </c>
      <c r="D1037" s="67">
        <v>244.11</v>
      </c>
      <c r="E1037" s="67">
        <v>489634</v>
      </c>
      <c r="F1037" s="67" t="s">
        <v>1057</v>
      </c>
      <c r="G1037" s="25">
        <f t="shared" si="13"/>
        <v>1.3764286592110153E-2</v>
      </c>
    </row>
    <row r="1038" spans="1:7">
      <c r="A1038" s="67">
        <v>243.61</v>
      </c>
      <c r="B1038" s="67">
        <v>245.93</v>
      </c>
      <c r="C1038" s="67">
        <v>239.35</v>
      </c>
      <c r="D1038" s="67">
        <v>242.1</v>
      </c>
      <c r="E1038" s="67">
        <v>323285</v>
      </c>
      <c r="F1038" s="67" t="s">
        <v>1058</v>
      </c>
      <c r="G1038" s="25">
        <f t="shared" si="13"/>
        <v>6.237092110698228E-3</v>
      </c>
    </row>
    <row r="1039" spans="1:7">
      <c r="A1039" s="67">
        <v>239.5</v>
      </c>
      <c r="B1039" s="67">
        <v>241.69</v>
      </c>
      <c r="C1039" s="67">
        <v>238.11</v>
      </c>
      <c r="D1039" s="67">
        <v>241.69</v>
      </c>
      <c r="E1039" s="67">
        <v>390780</v>
      </c>
      <c r="F1039" s="67" t="s">
        <v>1059</v>
      </c>
      <c r="G1039" s="25">
        <f t="shared" si="13"/>
        <v>-9.061194091604885E-3</v>
      </c>
    </row>
    <row r="1040" spans="1:7">
      <c r="A1040" s="67">
        <v>240.58</v>
      </c>
      <c r="B1040" s="67">
        <v>243.64</v>
      </c>
      <c r="C1040" s="67">
        <v>237.87</v>
      </c>
      <c r="D1040" s="67">
        <v>240.27</v>
      </c>
      <c r="E1040" s="67">
        <v>292579</v>
      </c>
      <c r="F1040" s="67" t="s">
        <v>1060</v>
      </c>
      <c r="G1040" s="25">
        <f t="shared" si="13"/>
        <v>1.2902151745952661E-3</v>
      </c>
    </row>
    <row r="1041" spans="1:7">
      <c r="A1041" s="67">
        <v>240.64</v>
      </c>
      <c r="B1041" s="67">
        <v>249.47499999999999</v>
      </c>
      <c r="C1041" s="67">
        <v>238.89</v>
      </c>
      <c r="D1041" s="67">
        <v>244.99</v>
      </c>
      <c r="E1041" s="67">
        <v>383717</v>
      </c>
      <c r="F1041" s="67" t="s">
        <v>1061</v>
      </c>
      <c r="G1041" s="25">
        <f t="shared" si="13"/>
        <v>-1.7755826768439675E-2</v>
      </c>
    </row>
    <row r="1042" spans="1:7">
      <c r="A1042" s="67">
        <v>244.34</v>
      </c>
      <c r="B1042" s="67">
        <v>246.47</v>
      </c>
      <c r="C1042" s="67">
        <v>238.07</v>
      </c>
      <c r="D1042" s="67">
        <v>238.22</v>
      </c>
      <c r="E1042" s="67">
        <v>475569</v>
      </c>
      <c r="F1042" s="67" t="s">
        <v>1062</v>
      </c>
      <c r="G1042" s="25">
        <f t="shared" si="13"/>
        <v>2.5690538158005261E-2</v>
      </c>
    </row>
    <row r="1043" spans="1:7">
      <c r="A1043" s="67">
        <v>236.98</v>
      </c>
      <c r="B1043" s="67">
        <v>241.65</v>
      </c>
      <c r="C1043" s="67">
        <v>232.61</v>
      </c>
      <c r="D1043" s="67">
        <v>232.61</v>
      </c>
      <c r="E1043" s="67">
        <v>299658</v>
      </c>
      <c r="F1043" s="67" t="s">
        <v>1063</v>
      </c>
      <c r="G1043" s="25">
        <f t="shared" si="13"/>
        <v>1.8786810541249199E-2</v>
      </c>
    </row>
    <row r="1044" spans="1:7">
      <c r="A1044" s="67">
        <v>231.21</v>
      </c>
      <c r="B1044" s="67">
        <v>232.113</v>
      </c>
      <c r="C1044" s="67">
        <v>222.07</v>
      </c>
      <c r="D1044" s="67">
        <v>226.39</v>
      </c>
      <c r="E1044" s="67">
        <v>361870</v>
      </c>
      <c r="F1044" s="67" t="s">
        <v>1064</v>
      </c>
      <c r="G1044" s="25">
        <f t="shared" si="13"/>
        <v>2.1290693051813303E-2</v>
      </c>
    </row>
    <row r="1045" spans="1:7">
      <c r="A1045" s="67">
        <v>225.37</v>
      </c>
      <c r="B1045" s="67">
        <v>239.34</v>
      </c>
      <c r="C1045" s="67">
        <v>223.84</v>
      </c>
      <c r="D1045" s="67">
        <v>235.11</v>
      </c>
      <c r="E1045" s="67">
        <v>535594</v>
      </c>
      <c r="F1045" s="67" t="s">
        <v>1065</v>
      </c>
      <c r="G1045" s="25">
        <f t="shared" si="13"/>
        <v>-4.1427416953766394E-2</v>
      </c>
    </row>
    <row r="1046" spans="1:7">
      <c r="A1046" s="67">
        <v>232.28</v>
      </c>
      <c r="B1046" s="67">
        <v>234.29</v>
      </c>
      <c r="C1046" s="67">
        <v>227.49</v>
      </c>
      <c r="D1046" s="67">
        <v>230.87</v>
      </c>
      <c r="E1046" s="67">
        <v>366175</v>
      </c>
      <c r="F1046" s="67" t="s">
        <v>1066</v>
      </c>
      <c r="G1046" s="25">
        <f t="shared" si="13"/>
        <v>6.1073331311993773E-3</v>
      </c>
    </row>
    <row r="1047" spans="1:7">
      <c r="A1047" s="67">
        <v>227.47</v>
      </c>
      <c r="B1047" s="67">
        <v>227.95</v>
      </c>
      <c r="C1047" s="67">
        <v>220.89</v>
      </c>
      <c r="D1047" s="67">
        <v>225.29</v>
      </c>
      <c r="E1047" s="67">
        <v>204923</v>
      </c>
      <c r="F1047" s="67" t="s">
        <v>1067</v>
      </c>
      <c r="G1047" s="25">
        <f t="shared" si="13"/>
        <v>9.6764170624528134E-3</v>
      </c>
    </row>
    <row r="1048" spans="1:7">
      <c r="A1048" s="67">
        <v>226.55</v>
      </c>
      <c r="B1048" s="67">
        <v>228.74</v>
      </c>
      <c r="C1048" s="67">
        <v>216.95</v>
      </c>
      <c r="D1048" s="67">
        <v>222.22</v>
      </c>
      <c r="E1048" s="67">
        <v>257401</v>
      </c>
      <c r="F1048" s="67" t="s">
        <v>1068</v>
      </c>
      <c r="G1048" s="25">
        <f t="shared" si="13"/>
        <v>1.9485194851948551E-2</v>
      </c>
    </row>
    <row r="1049" spans="1:7">
      <c r="A1049" s="67">
        <v>224.6</v>
      </c>
      <c r="B1049" s="67">
        <v>233.32</v>
      </c>
      <c r="C1049" s="67">
        <v>222.51</v>
      </c>
      <c r="D1049" s="67">
        <v>230.72</v>
      </c>
      <c r="E1049" s="67">
        <v>326240</v>
      </c>
      <c r="F1049" s="67" t="s">
        <v>1069</v>
      </c>
      <c r="G1049" s="25">
        <f t="shared" si="13"/>
        <v>-2.6525658807212249E-2</v>
      </c>
    </row>
    <row r="1050" spans="1:7">
      <c r="A1050" s="67">
        <v>230.82</v>
      </c>
      <c r="B1050" s="67">
        <v>232.6507</v>
      </c>
      <c r="C1050" s="67">
        <v>227.53</v>
      </c>
      <c r="D1050" s="67">
        <v>229.99</v>
      </c>
      <c r="E1050" s="67">
        <v>342794</v>
      </c>
      <c r="F1050" s="67" t="s">
        <v>1070</v>
      </c>
      <c r="G1050" s="25">
        <f t="shared" si="13"/>
        <v>3.6088525588069409E-3</v>
      </c>
    </row>
    <row r="1051" spans="1:7">
      <c r="A1051" s="67">
        <v>235.51</v>
      </c>
      <c r="B1051" s="67">
        <v>239.13</v>
      </c>
      <c r="C1051" s="67">
        <v>230.59</v>
      </c>
      <c r="D1051" s="67">
        <v>231.42</v>
      </c>
      <c r="E1051" s="67">
        <v>453403</v>
      </c>
      <c r="F1051" s="67" t="s">
        <v>1071</v>
      </c>
      <c r="G1051" s="25">
        <f t="shared" si="13"/>
        <v>1.7673494080027607E-2</v>
      </c>
    </row>
    <row r="1052" spans="1:7">
      <c r="A1052" s="67">
        <v>235.11</v>
      </c>
      <c r="B1052" s="67">
        <v>239.67</v>
      </c>
      <c r="C1052" s="67">
        <v>228.5</v>
      </c>
      <c r="D1052" s="67">
        <v>230.94</v>
      </c>
      <c r="E1052" s="67">
        <v>601735</v>
      </c>
      <c r="F1052" s="67" t="s">
        <v>1072</v>
      </c>
      <c r="G1052" s="25">
        <f t="shared" si="13"/>
        <v>1.8056638087815102E-2</v>
      </c>
    </row>
    <row r="1053" spans="1:7">
      <c r="A1053" s="67">
        <v>230.32</v>
      </c>
      <c r="B1053" s="67">
        <v>235.89</v>
      </c>
      <c r="C1053" s="67">
        <v>228</v>
      </c>
      <c r="D1053" s="67">
        <v>232.04</v>
      </c>
      <c r="E1053" s="67">
        <v>337969</v>
      </c>
      <c r="F1053" s="67" t="s">
        <v>1073</v>
      </c>
      <c r="G1053" s="25">
        <f t="shared" si="13"/>
        <v>-7.412515083606297E-3</v>
      </c>
    </row>
    <row r="1054" spans="1:7">
      <c r="A1054" s="67">
        <v>231.68</v>
      </c>
      <c r="B1054" s="67">
        <v>233.22</v>
      </c>
      <c r="C1054" s="67">
        <v>221.32</v>
      </c>
      <c r="D1054" s="67">
        <v>225.12</v>
      </c>
      <c r="E1054" s="67">
        <v>243373</v>
      </c>
      <c r="F1054" s="67" t="s">
        <v>1074</v>
      </c>
      <c r="G1054" s="25">
        <f t="shared" si="13"/>
        <v>2.9140014214641186E-2</v>
      </c>
    </row>
    <row r="1055" spans="1:7">
      <c r="A1055" s="67">
        <v>226.46</v>
      </c>
      <c r="B1055" s="67">
        <v>226.7</v>
      </c>
      <c r="C1055" s="67">
        <v>216.27</v>
      </c>
      <c r="D1055" s="67">
        <v>217.18</v>
      </c>
      <c r="E1055" s="67">
        <v>258577</v>
      </c>
      <c r="F1055" s="67" t="s">
        <v>1075</v>
      </c>
      <c r="G1055" s="25">
        <f t="shared" si="13"/>
        <v>4.2729533106179218E-2</v>
      </c>
    </row>
    <row r="1056" spans="1:7">
      <c r="A1056" s="67">
        <v>217.94</v>
      </c>
      <c r="B1056" s="67">
        <v>222.74</v>
      </c>
      <c r="C1056" s="67">
        <v>213.17</v>
      </c>
      <c r="D1056" s="67">
        <v>221.06</v>
      </c>
      <c r="E1056" s="67">
        <v>436944</v>
      </c>
      <c r="F1056" s="67" t="s">
        <v>1076</v>
      </c>
      <c r="G1056" s="25">
        <f t="shared" si="13"/>
        <v>-1.4113815253777307E-2</v>
      </c>
    </row>
    <row r="1057" spans="1:7">
      <c r="A1057" s="67">
        <v>221.94</v>
      </c>
      <c r="B1057" s="67">
        <v>224.22</v>
      </c>
      <c r="C1057" s="67">
        <v>215.01</v>
      </c>
      <c r="D1057" s="67">
        <v>224.22</v>
      </c>
      <c r="E1057" s="67">
        <v>321737</v>
      </c>
      <c r="F1057" s="67" t="s">
        <v>1077</v>
      </c>
      <c r="G1057" s="25">
        <f t="shared" si="13"/>
        <v>-1.0168584426010208E-2</v>
      </c>
    </row>
    <row r="1058" spans="1:7">
      <c r="A1058" s="67">
        <v>226.21</v>
      </c>
      <c r="B1058" s="67">
        <v>232.315</v>
      </c>
      <c r="C1058" s="67">
        <v>224.83</v>
      </c>
      <c r="D1058" s="67">
        <v>228.31</v>
      </c>
      <c r="E1058" s="67">
        <v>432395</v>
      </c>
      <c r="F1058" s="67" t="s">
        <v>1078</v>
      </c>
      <c r="G1058" s="25">
        <f t="shared" si="13"/>
        <v>-9.1980202356445329E-3</v>
      </c>
    </row>
    <row r="1059" spans="1:7">
      <c r="A1059" s="67">
        <v>228.21</v>
      </c>
      <c r="B1059" s="67">
        <v>229.72</v>
      </c>
      <c r="C1059" s="67">
        <v>224.59</v>
      </c>
      <c r="D1059" s="67">
        <v>229.72</v>
      </c>
      <c r="E1059" s="67">
        <v>281678</v>
      </c>
      <c r="F1059" s="67" t="s">
        <v>1079</v>
      </c>
      <c r="G1059" s="25">
        <f t="shared" si="13"/>
        <v>-6.5732195716523556E-3</v>
      </c>
    </row>
    <row r="1060" spans="1:7">
      <c r="A1060" s="67">
        <v>227.73</v>
      </c>
      <c r="B1060" s="67">
        <v>227.96</v>
      </c>
      <c r="C1060" s="67">
        <v>218</v>
      </c>
      <c r="D1060" s="67">
        <v>218</v>
      </c>
      <c r="E1060" s="67">
        <v>398873</v>
      </c>
      <c r="F1060" s="67" t="s">
        <v>1080</v>
      </c>
      <c r="G1060" s="25">
        <f t="shared" si="13"/>
        <v>4.4633027522935631E-2</v>
      </c>
    </row>
    <row r="1061" spans="1:7">
      <c r="A1061" s="67">
        <v>218.97</v>
      </c>
      <c r="B1061" s="67">
        <v>219.09</v>
      </c>
      <c r="C1061" s="67">
        <v>210.23</v>
      </c>
      <c r="D1061" s="67">
        <v>210.23</v>
      </c>
      <c r="E1061" s="67">
        <v>339097</v>
      </c>
      <c r="F1061" s="67" t="s">
        <v>1081</v>
      </c>
      <c r="G1061" s="25">
        <f t="shared" si="13"/>
        <v>4.1573514721971128E-2</v>
      </c>
    </row>
    <row r="1062" spans="1:7">
      <c r="A1062" s="67">
        <v>207.93</v>
      </c>
      <c r="B1062" s="67">
        <v>210.99</v>
      </c>
      <c r="C1062" s="67">
        <v>197.27</v>
      </c>
      <c r="D1062" s="67">
        <v>202.33</v>
      </c>
      <c r="E1062" s="67">
        <v>265411</v>
      </c>
      <c r="F1062" s="67" t="s">
        <v>1082</v>
      </c>
      <c r="G1062" s="25">
        <f t="shared" si="13"/>
        <v>2.7677556467157638E-2</v>
      </c>
    </row>
    <row r="1063" spans="1:7">
      <c r="A1063" s="67">
        <v>204.77</v>
      </c>
      <c r="B1063" s="67">
        <v>207.94</v>
      </c>
      <c r="C1063" s="67">
        <v>202.23</v>
      </c>
      <c r="D1063" s="67">
        <v>203.93</v>
      </c>
      <c r="E1063" s="67">
        <v>230202</v>
      </c>
      <c r="F1063" s="67" t="s">
        <v>1083</v>
      </c>
      <c r="G1063" s="25">
        <f t="shared" si="13"/>
        <v>4.1190604619232296E-3</v>
      </c>
    </row>
    <row r="1064" spans="1:7">
      <c r="A1064" s="67">
        <v>200.8</v>
      </c>
      <c r="B1064" s="67">
        <v>206.64</v>
      </c>
      <c r="C1064" s="67">
        <v>195.73</v>
      </c>
      <c r="D1064" s="67">
        <v>197.14</v>
      </c>
      <c r="E1064" s="67">
        <v>480442</v>
      </c>
      <c r="F1064" s="67" t="s">
        <v>1084</v>
      </c>
      <c r="G1064" s="25">
        <f t="shared" si="13"/>
        <v>1.8565486456325608E-2</v>
      </c>
    </row>
    <row r="1065" spans="1:7">
      <c r="A1065" s="67">
        <v>198.33</v>
      </c>
      <c r="B1065" s="67">
        <v>201.45</v>
      </c>
      <c r="C1065" s="67">
        <v>192.33</v>
      </c>
      <c r="D1065" s="67">
        <v>199.05</v>
      </c>
      <c r="E1065" s="67">
        <v>421916</v>
      </c>
      <c r="F1065" s="67" t="s">
        <v>1085</v>
      </c>
      <c r="G1065" s="25">
        <f t="shared" si="13"/>
        <v>-3.6171816126601142E-3</v>
      </c>
    </row>
    <row r="1066" spans="1:7">
      <c r="A1066" s="67">
        <v>204.29</v>
      </c>
      <c r="B1066" s="67">
        <v>209.22</v>
      </c>
      <c r="C1066" s="67">
        <v>200.51</v>
      </c>
      <c r="D1066" s="67">
        <v>205.98</v>
      </c>
      <c r="E1066" s="67">
        <v>610266</v>
      </c>
      <c r="F1066" s="67" t="s">
        <v>1086</v>
      </c>
      <c r="G1066" s="25">
        <f t="shared" si="13"/>
        <v>-8.2046800660258157E-3</v>
      </c>
    </row>
    <row r="1067" spans="1:7">
      <c r="A1067" s="67">
        <v>205.55</v>
      </c>
      <c r="B1067" s="67">
        <v>207.345</v>
      </c>
      <c r="C1067" s="67">
        <v>199.73</v>
      </c>
      <c r="D1067" s="67">
        <v>205.11</v>
      </c>
      <c r="E1067" s="67">
        <v>415422</v>
      </c>
      <c r="F1067" s="67" t="s">
        <v>1087</v>
      </c>
      <c r="G1067" s="25">
        <f t="shared" si="13"/>
        <v>2.1451903856466448E-3</v>
      </c>
    </row>
    <row r="1068" spans="1:7">
      <c r="A1068" s="67">
        <v>203.5</v>
      </c>
      <c r="B1068" s="67">
        <v>214.16</v>
      </c>
      <c r="C1068" s="67">
        <v>203.12</v>
      </c>
      <c r="D1068" s="67">
        <v>212.09</v>
      </c>
      <c r="E1068" s="67">
        <v>633478</v>
      </c>
      <c r="F1068" s="67" t="s">
        <v>1088</v>
      </c>
      <c r="G1068" s="25">
        <f t="shared" si="13"/>
        <v>-4.0501673817718853E-2</v>
      </c>
    </row>
    <row r="1069" spans="1:7">
      <c r="A1069" s="67">
        <v>221.21</v>
      </c>
      <c r="B1069" s="67">
        <v>221.92</v>
      </c>
      <c r="C1069" s="67">
        <v>212.03</v>
      </c>
      <c r="D1069" s="67">
        <v>215.97</v>
      </c>
      <c r="E1069" s="67">
        <v>421562</v>
      </c>
      <c r="F1069" s="67" t="s">
        <v>1089</v>
      </c>
      <c r="G1069" s="25">
        <f t="shared" si="13"/>
        <v>2.4262629068852126E-2</v>
      </c>
    </row>
    <row r="1070" spans="1:7">
      <c r="A1070" s="67">
        <v>219.31</v>
      </c>
      <c r="B1070" s="67">
        <v>222.64</v>
      </c>
      <c r="C1070" s="67">
        <v>212.83</v>
      </c>
      <c r="D1070" s="67">
        <v>216.73</v>
      </c>
      <c r="E1070" s="67">
        <v>385026</v>
      </c>
      <c r="F1070" s="67" t="s">
        <v>1090</v>
      </c>
      <c r="G1070" s="25">
        <f t="shared" si="13"/>
        <v>1.1904212614774146E-2</v>
      </c>
    </row>
    <row r="1071" spans="1:7">
      <c r="A1071" s="67">
        <v>219.41</v>
      </c>
      <c r="B1071" s="67">
        <v>221.47</v>
      </c>
      <c r="C1071" s="67">
        <v>215.85</v>
      </c>
      <c r="D1071" s="67">
        <v>218.02</v>
      </c>
      <c r="E1071" s="67">
        <v>287446</v>
      </c>
      <c r="F1071" s="67" t="s">
        <v>1091</v>
      </c>
      <c r="G1071" s="25">
        <f t="shared" si="13"/>
        <v>6.3755618750571674E-3</v>
      </c>
    </row>
    <row r="1072" spans="1:7">
      <c r="A1072" s="67">
        <v>219.89</v>
      </c>
      <c r="B1072" s="67">
        <v>220.79</v>
      </c>
      <c r="C1072" s="67">
        <v>206.39</v>
      </c>
      <c r="D1072" s="67">
        <v>208.81</v>
      </c>
      <c r="E1072" s="67">
        <v>397308</v>
      </c>
      <c r="F1072" s="67" t="s">
        <v>1092</v>
      </c>
      <c r="G1072" s="25">
        <f t="shared" si="13"/>
        <v>5.3062592787701757E-2</v>
      </c>
    </row>
    <row r="1073" spans="1:7">
      <c r="A1073" s="67">
        <v>212.02</v>
      </c>
      <c r="B1073" s="67">
        <v>218.55</v>
      </c>
      <c r="C1073" s="67">
        <v>211.69</v>
      </c>
      <c r="D1073" s="67">
        <v>215.34</v>
      </c>
      <c r="E1073" s="67">
        <v>272532</v>
      </c>
      <c r="F1073" s="67" t="s">
        <v>1093</v>
      </c>
      <c r="G1073" s="25">
        <f t="shared" si="13"/>
        <v>-1.5417479335005035E-2</v>
      </c>
    </row>
    <row r="1074" spans="1:7">
      <c r="A1074" s="67">
        <v>212.57</v>
      </c>
      <c r="B1074" s="67">
        <v>213.935</v>
      </c>
      <c r="C1074" s="67">
        <v>207.66</v>
      </c>
      <c r="D1074" s="67">
        <v>212.91</v>
      </c>
      <c r="E1074" s="67">
        <v>556580</v>
      </c>
      <c r="F1074" s="67" t="s">
        <v>1094</v>
      </c>
      <c r="G1074" s="25">
        <f t="shared" si="13"/>
        <v>-1.5969188859142891E-3</v>
      </c>
    </row>
    <row r="1075" spans="1:7">
      <c r="A1075" s="67">
        <v>213.89</v>
      </c>
      <c r="B1075" s="67">
        <v>214.18</v>
      </c>
      <c r="C1075" s="67">
        <v>205.27</v>
      </c>
      <c r="D1075" s="67">
        <v>206.31</v>
      </c>
      <c r="E1075" s="67">
        <v>425803</v>
      </c>
      <c r="F1075" s="67" t="s">
        <v>1095</v>
      </c>
      <c r="G1075" s="25">
        <f t="shared" si="13"/>
        <v>3.6740826910959257E-2</v>
      </c>
    </row>
    <row r="1076" spans="1:7">
      <c r="A1076" s="67">
        <v>207.38</v>
      </c>
      <c r="B1076" s="67">
        <v>220.11500000000001</v>
      </c>
      <c r="C1076" s="67">
        <v>203.15010000000001</v>
      </c>
      <c r="D1076" s="67">
        <v>216.25</v>
      </c>
      <c r="E1076" s="67">
        <v>520340</v>
      </c>
      <c r="F1076" s="67" t="s">
        <v>1096</v>
      </c>
      <c r="G1076" s="25">
        <f t="shared" si="13"/>
        <v>-4.1017341040462396E-2</v>
      </c>
    </row>
    <row r="1077" spans="1:7">
      <c r="A1077" s="67">
        <v>213.48</v>
      </c>
      <c r="B1077" s="67">
        <v>217.27</v>
      </c>
      <c r="C1077" s="67">
        <v>199.56</v>
      </c>
      <c r="D1077" s="67">
        <v>210.32</v>
      </c>
      <c r="E1077" s="67">
        <v>1737048</v>
      </c>
      <c r="F1077" s="67" t="s">
        <v>1097</v>
      </c>
      <c r="G1077" s="25">
        <f t="shared" si="13"/>
        <v>1.5024724229745212E-2</v>
      </c>
    </row>
    <row r="1078" spans="1:7">
      <c r="A1078" s="67">
        <v>235.21</v>
      </c>
      <c r="B1078" s="67">
        <v>238.6</v>
      </c>
      <c r="C1078" s="67">
        <v>231.3</v>
      </c>
      <c r="D1078" s="67">
        <v>232.78</v>
      </c>
      <c r="E1078" s="67">
        <v>715594</v>
      </c>
      <c r="F1078" s="67" t="s">
        <v>1098</v>
      </c>
      <c r="G1078" s="25">
        <f t="shared" si="13"/>
        <v>1.0439041154738371E-2</v>
      </c>
    </row>
    <row r="1079" spans="1:7">
      <c r="A1079" s="67">
        <v>229.06</v>
      </c>
      <c r="B1079" s="67">
        <v>232.15</v>
      </c>
      <c r="C1079" s="67">
        <v>217.61009999999999</v>
      </c>
      <c r="D1079" s="67">
        <v>221.65</v>
      </c>
      <c r="E1079" s="67">
        <v>915019</v>
      </c>
      <c r="F1079" s="67" t="s">
        <v>1099</v>
      </c>
      <c r="G1079" s="25">
        <f t="shared" si="13"/>
        <v>3.3431085043988285E-2</v>
      </c>
    </row>
    <row r="1080" spans="1:7">
      <c r="A1080" s="67">
        <v>221.65</v>
      </c>
      <c r="B1080" s="67">
        <v>231.46</v>
      </c>
      <c r="C1080" s="67">
        <v>212.995</v>
      </c>
      <c r="D1080" s="67">
        <v>215.1</v>
      </c>
      <c r="E1080" s="67">
        <v>1215886</v>
      </c>
      <c r="F1080" s="67" t="s">
        <v>1100</v>
      </c>
      <c r="G1080" s="25">
        <f t="shared" ref="G1080:G1143" si="14">A1080/D1080-1</f>
        <v>3.0450953045095375E-2</v>
      </c>
    </row>
    <row r="1081" spans="1:7">
      <c r="A1081" s="67">
        <v>217.83</v>
      </c>
      <c r="B1081" s="67">
        <v>222.57599999999999</v>
      </c>
      <c r="C1081" s="67">
        <v>212</v>
      </c>
      <c r="D1081" s="67">
        <v>217</v>
      </c>
      <c r="E1081" s="67">
        <v>2182754</v>
      </c>
      <c r="F1081" s="67" t="s">
        <v>1101</v>
      </c>
      <c r="G1081" s="25">
        <f t="shared" si="14"/>
        <v>3.8248847926267704E-3</v>
      </c>
    </row>
    <row r="1082" spans="1:7">
      <c r="A1082" s="67">
        <v>202.85</v>
      </c>
      <c r="B1082" s="67">
        <v>203.97</v>
      </c>
      <c r="C1082" s="67">
        <v>195.54</v>
      </c>
      <c r="D1082" s="67">
        <v>197.7</v>
      </c>
      <c r="E1082" s="67">
        <v>505700</v>
      </c>
      <c r="F1082" s="67" t="s">
        <v>1102</v>
      </c>
      <c r="G1082" s="25">
        <f t="shared" si="14"/>
        <v>2.6049570055639792E-2</v>
      </c>
    </row>
    <row r="1083" spans="1:7">
      <c r="A1083" s="67">
        <v>198.72</v>
      </c>
      <c r="B1083" s="67">
        <v>199.99</v>
      </c>
      <c r="C1083" s="67">
        <v>191.77</v>
      </c>
      <c r="D1083" s="67">
        <v>198.75</v>
      </c>
      <c r="E1083" s="67">
        <v>344403</v>
      </c>
      <c r="F1083" s="67" t="s">
        <v>1103</v>
      </c>
      <c r="G1083" s="25">
        <f t="shared" si="14"/>
        <v>-1.5094339622645503E-4</v>
      </c>
    </row>
    <row r="1084" spans="1:7">
      <c r="A1084" s="67">
        <v>194.74</v>
      </c>
      <c r="B1084" s="67">
        <v>198.5</v>
      </c>
      <c r="C1084" s="67">
        <v>187.07</v>
      </c>
      <c r="D1084" s="67">
        <v>190.05</v>
      </c>
      <c r="E1084" s="67">
        <v>477249</v>
      </c>
      <c r="F1084" s="67" t="s">
        <v>1104</v>
      </c>
      <c r="G1084" s="25">
        <f t="shared" si="14"/>
        <v>2.4677716390423488E-2</v>
      </c>
    </row>
    <row r="1085" spans="1:7">
      <c r="A1085" s="67">
        <v>190.03</v>
      </c>
      <c r="B1085" s="67">
        <v>197.65</v>
      </c>
      <c r="C1085" s="67">
        <v>189.7</v>
      </c>
      <c r="D1085" s="67">
        <v>195.4</v>
      </c>
      <c r="E1085" s="67">
        <v>307870</v>
      </c>
      <c r="F1085" s="67" t="s">
        <v>1105</v>
      </c>
      <c r="G1085" s="25">
        <f t="shared" si="14"/>
        <v>-2.7482088024564977E-2</v>
      </c>
    </row>
    <row r="1086" spans="1:7">
      <c r="A1086" s="67">
        <v>200.03</v>
      </c>
      <c r="B1086" s="67">
        <v>204.38</v>
      </c>
      <c r="C1086" s="67">
        <v>195.16</v>
      </c>
      <c r="D1086" s="67">
        <v>200.49</v>
      </c>
      <c r="E1086" s="67">
        <v>339499</v>
      </c>
      <c r="F1086" s="67" t="s">
        <v>1106</v>
      </c>
      <c r="G1086" s="25">
        <f t="shared" si="14"/>
        <v>-2.294378772008665E-3</v>
      </c>
    </row>
    <row r="1087" spans="1:7">
      <c r="A1087" s="67">
        <v>196.91</v>
      </c>
      <c r="B1087" s="67">
        <v>206.23</v>
      </c>
      <c r="C1087" s="67">
        <v>195.59</v>
      </c>
      <c r="D1087" s="67">
        <v>198.98</v>
      </c>
      <c r="E1087" s="67">
        <v>328959</v>
      </c>
      <c r="F1087" s="67" t="s">
        <v>1107</v>
      </c>
      <c r="G1087" s="25">
        <f t="shared" si="14"/>
        <v>-1.0403055583475651E-2</v>
      </c>
    </row>
    <row r="1088" spans="1:7">
      <c r="A1088" s="67">
        <v>199.06</v>
      </c>
      <c r="B1088" s="67">
        <v>205.43</v>
      </c>
      <c r="C1088" s="67">
        <v>193.88</v>
      </c>
      <c r="D1088" s="67">
        <v>193.9</v>
      </c>
      <c r="E1088" s="67">
        <v>518167</v>
      </c>
      <c r="F1088" s="67" t="s">
        <v>1108</v>
      </c>
      <c r="G1088" s="25">
        <f t="shared" si="14"/>
        <v>2.6611655492521979E-2</v>
      </c>
    </row>
    <row r="1089" spans="1:7">
      <c r="A1089" s="67">
        <v>189.03</v>
      </c>
      <c r="B1089" s="67">
        <v>193.22</v>
      </c>
      <c r="C1089" s="67">
        <v>181</v>
      </c>
      <c r="D1089" s="67">
        <v>183.55</v>
      </c>
      <c r="E1089" s="67">
        <v>661075</v>
      </c>
      <c r="F1089" s="67" t="s">
        <v>1109</v>
      </c>
      <c r="G1089" s="25">
        <f t="shared" si="14"/>
        <v>2.9855625170253308E-2</v>
      </c>
    </row>
    <row r="1090" spans="1:7">
      <c r="A1090" s="67">
        <v>186.4</v>
      </c>
      <c r="B1090" s="67">
        <v>193.70500000000001</v>
      </c>
      <c r="C1090" s="67">
        <v>184.62</v>
      </c>
      <c r="D1090" s="67">
        <v>188.08</v>
      </c>
      <c r="E1090" s="67">
        <v>656668</v>
      </c>
      <c r="F1090" s="67" t="s">
        <v>1110</v>
      </c>
      <c r="G1090" s="25">
        <f t="shared" si="14"/>
        <v>-8.9323692045938374E-3</v>
      </c>
    </row>
    <row r="1091" spans="1:7">
      <c r="A1091" s="67">
        <v>190.24</v>
      </c>
      <c r="B1091" s="67">
        <v>201.1</v>
      </c>
      <c r="C1091" s="67">
        <v>184.54</v>
      </c>
      <c r="D1091" s="67">
        <v>197.37</v>
      </c>
      <c r="E1091" s="67">
        <v>663037</v>
      </c>
      <c r="F1091" s="67" t="s">
        <v>1111</v>
      </c>
      <c r="G1091" s="25">
        <f t="shared" si="14"/>
        <v>-3.6125044332978695E-2</v>
      </c>
    </row>
    <row r="1092" spans="1:7">
      <c r="A1092" s="67">
        <v>191.46</v>
      </c>
      <c r="B1092" s="67">
        <v>198.49</v>
      </c>
      <c r="C1092" s="67">
        <v>188.05</v>
      </c>
      <c r="D1092" s="67">
        <v>197.81</v>
      </c>
      <c r="E1092" s="67">
        <v>1124098</v>
      </c>
      <c r="F1092" s="67" t="s">
        <v>1112</v>
      </c>
      <c r="G1092" s="25">
        <f t="shared" si="14"/>
        <v>-3.2101511551488771E-2</v>
      </c>
    </row>
    <row r="1093" spans="1:7">
      <c r="A1093" s="67">
        <v>205.57</v>
      </c>
      <c r="B1093" s="67">
        <v>227.26</v>
      </c>
      <c r="C1093" s="67">
        <v>191.26</v>
      </c>
      <c r="D1093" s="67">
        <v>223.44</v>
      </c>
      <c r="E1093" s="67">
        <v>1891179</v>
      </c>
      <c r="F1093" s="67" t="s">
        <v>1113</v>
      </c>
      <c r="G1093" s="25">
        <f t="shared" si="14"/>
        <v>-7.9976727533118575E-2</v>
      </c>
    </row>
    <row r="1094" spans="1:7">
      <c r="A1094" s="67">
        <v>226.91</v>
      </c>
      <c r="B1094" s="67">
        <v>247.25</v>
      </c>
      <c r="C1094" s="67">
        <v>223.1</v>
      </c>
      <c r="D1094" s="67">
        <v>246.32</v>
      </c>
      <c r="E1094" s="67">
        <v>646248</v>
      </c>
      <c r="F1094" s="67" t="s">
        <v>1114</v>
      </c>
      <c r="G1094" s="25">
        <f t="shared" si="14"/>
        <v>-7.8799935043845415E-2</v>
      </c>
    </row>
    <row r="1095" spans="1:7">
      <c r="A1095" s="67">
        <v>247.01</v>
      </c>
      <c r="B1095" s="67">
        <v>249.39</v>
      </c>
      <c r="C1095" s="67">
        <v>229.86500000000001</v>
      </c>
      <c r="D1095" s="67">
        <v>240.14</v>
      </c>
      <c r="E1095" s="67">
        <v>606855</v>
      </c>
      <c r="F1095" s="67" t="s">
        <v>1115</v>
      </c>
      <c r="G1095" s="25">
        <f t="shared" si="14"/>
        <v>2.8608311818106191E-2</v>
      </c>
    </row>
    <row r="1096" spans="1:7">
      <c r="A1096" s="67">
        <v>238.87</v>
      </c>
      <c r="B1096" s="67">
        <v>247.91</v>
      </c>
      <c r="C1096" s="67">
        <v>237.82</v>
      </c>
      <c r="D1096" s="67">
        <v>245.5</v>
      </c>
      <c r="E1096" s="67">
        <v>433037</v>
      </c>
      <c r="F1096" s="67" t="s">
        <v>1116</v>
      </c>
      <c r="G1096" s="25">
        <f t="shared" si="14"/>
        <v>-2.7006109979633375E-2</v>
      </c>
    </row>
    <row r="1097" spans="1:7">
      <c r="A1097" s="67">
        <v>247.17</v>
      </c>
      <c r="B1097" s="67">
        <v>249.61</v>
      </c>
      <c r="C1097" s="67">
        <v>233.70500000000001</v>
      </c>
      <c r="D1097" s="67">
        <v>238.65</v>
      </c>
      <c r="E1097" s="67">
        <v>718758</v>
      </c>
      <c r="F1097" s="67" t="s">
        <v>1117</v>
      </c>
      <c r="G1097" s="25">
        <f t="shared" si="14"/>
        <v>3.5700817096165904E-2</v>
      </c>
    </row>
    <row r="1098" spans="1:7">
      <c r="A1098" s="67">
        <v>238.99</v>
      </c>
      <c r="B1098" s="67">
        <v>245.35</v>
      </c>
      <c r="C1098" s="67">
        <v>235.86</v>
      </c>
      <c r="D1098" s="67">
        <v>237.14</v>
      </c>
      <c r="E1098" s="67">
        <v>633425</v>
      </c>
      <c r="F1098" s="67" t="s">
        <v>1118</v>
      </c>
      <c r="G1098" s="25">
        <f t="shared" si="14"/>
        <v>7.8012988108291381E-3</v>
      </c>
    </row>
    <row r="1099" spans="1:7">
      <c r="A1099" s="67">
        <v>237.96</v>
      </c>
      <c r="B1099" s="67">
        <v>242.36</v>
      </c>
      <c r="C1099" s="67">
        <v>228.11</v>
      </c>
      <c r="D1099" s="67">
        <v>237.26</v>
      </c>
      <c r="E1099" s="67">
        <v>549419</v>
      </c>
      <c r="F1099" s="67" t="s">
        <v>1119</v>
      </c>
      <c r="G1099" s="25">
        <f t="shared" si="14"/>
        <v>2.9503498271938877E-3</v>
      </c>
    </row>
    <row r="1100" spans="1:7">
      <c r="A1100" s="67">
        <v>234.52</v>
      </c>
      <c r="B1100" s="67">
        <v>247.12</v>
      </c>
      <c r="C1100" s="67">
        <v>233.97</v>
      </c>
      <c r="D1100" s="67">
        <v>242.49</v>
      </c>
      <c r="E1100" s="67">
        <v>493694</v>
      </c>
      <c r="F1100" s="67" t="s">
        <v>1120</v>
      </c>
      <c r="G1100" s="25">
        <f t="shared" si="14"/>
        <v>-3.2867334735453002E-2</v>
      </c>
    </row>
    <row r="1101" spans="1:7">
      <c r="A1101" s="67">
        <v>240.29</v>
      </c>
      <c r="B1101" s="67">
        <v>249.02</v>
      </c>
      <c r="C1101" s="67">
        <v>240.11</v>
      </c>
      <c r="D1101" s="67">
        <v>248.05</v>
      </c>
      <c r="E1101" s="67">
        <v>300190</v>
      </c>
      <c r="F1101" s="67" t="s">
        <v>1121</v>
      </c>
      <c r="G1101" s="25">
        <f t="shared" si="14"/>
        <v>-3.1284015319492098E-2</v>
      </c>
    </row>
    <row r="1102" spans="1:7">
      <c r="A1102" s="67">
        <v>251.39</v>
      </c>
      <c r="B1102" s="67">
        <v>255.49</v>
      </c>
      <c r="C1102" s="67">
        <v>247.73</v>
      </c>
      <c r="D1102" s="67">
        <v>248</v>
      </c>
      <c r="E1102" s="67">
        <v>295556</v>
      </c>
      <c r="F1102" s="67" t="s">
        <v>1122</v>
      </c>
      <c r="G1102" s="25">
        <f t="shared" si="14"/>
        <v>1.366935483870968E-2</v>
      </c>
    </row>
    <row r="1103" spans="1:7">
      <c r="A1103" s="67">
        <v>249.38</v>
      </c>
      <c r="B1103" s="67">
        <v>258.56</v>
      </c>
      <c r="C1103" s="67">
        <v>247.49</v>
      </c>
      <c r="D1103" s="67">
        <v>258.56</v>
      </c>
      <c r="E1103" s="67">
        <v>457883</v>
      </c>
      <c r="F1103" s="67" t="s">
        <v>1123</v>
      </c>
      <c r="G1103" s="25">
        <f t="shared" si="14"/>
        <v>-3.5504331683168355E-2</v>
      </c>
    </row>
    <row r="1104" spans="1:7">
      <c r="A1104" s="67">
        <v>261.95</v>
      </c>
      <c r="B1104" s="67">
        <v>275.83</v>
      </c>
      <c r="C1104" s="67">
        <v>261.77999999999997</v>
      </c>
      <c r="D1104" s="67">
        <v>274.72000000000003</v>
      </c>
      <c r="E1104" s="67">
        <v>461061</v>
      </c>
      <c r="F1104" s="67" t="s">
        <v>1124</v>
      </c>
      <c r="G1104" s="25">
        <f t="shared" si="14"/>
        <v>-4.6483692486895878E-2</v>
      </c>
    </row>
    <row r="1105" spans="1:7">
      <c r="A1105" s="67">
        <v>273.20999999999998</v>
      </c>
      <c r="B1105" s="67">
        <v>273.49</v>
      </c>
      <c r="C1105" s="67">
        <v>266.63</v>
      </c>
      <c r="D1105" s="67">
        <v>272.24</v>
      </c>
      <c r="E1105" s="67">
        <v>365148</v>
      </c>
      <c r="F1105" s="67" t="s">
        <v>1125</v>
      </c>
      <c r="G1105" s="25">
        <f t="shared" si="14"/>
        <v>3.5630326182778393E-3</v>
      </c>
    </row>
    <row r="1106" spans="1:7">
      <c r="A1106" s="67">
        <v>270.83</v>
      </c>
      <c r="B1106" s="67">
        <v>271.45999999999998</v>
      </c>
      <c r="C1106" s="67">
        <v>252.59</v>
      </c>
      <c r="D1106" s="67">
        <v>255.05</v>
      </c>
      <c r="E1106" s="67">
        <v>476852</v>
      </c>
      <c r="F1106" s="67" t="s">
        <v>1126</v>
      </c>
      <c r="G1106" s="25">
        <f t="shared" si="14"/>
        <v>6.1870221525190949E-2</v>
      </c>
    </row>
    <row r="1107" spans="1:7">
      <c r="A1107" s="67">
        <v>257</v>
      </c>
      <c r="B1107" s="67">
        <v>262.08</v>
      </c>
      <c r="C1107" s="67">
        <v>255.25</v>
      </c>
      <c r="D1107" s="67">
        <v>262.08</v>
      </c>
      <c r="E1107" s="67">
        <v>351720</v>
      </c>
      <c r="F1107" s="67" t="s">
        <v>1127</v>
      </c>
      <c r="G1107" s="25">
        <f t="shared" si="14"/>
        <v>-1.9383394383394315E-2</v>
      </c>
    </row>
    <row r="1108" spans="1:7">
      <c r="A1108" s="67">
        <v>263.5</v>
      </c>
      <c r="B1108" s="67">
        <v>266.77</v>
      </c>
      <c r="C1108" s="67">
        <v>260.14</v>
      </c>
      <c r="D1108" s="67">
        <v>265.55</v>
      </c>
      <c r="E1108" s="67">
        <v>349187</v>
      </c>
      <c r="F1108" s="67" t="s">
        <v>1128</v>
      </c>
      <c r="G1108" s="25">
        <f t="shared" si="14"/>
        <v>-7.7198267746187987E-3</v>
      </c>
    </row>
    <row r="1109" spans="1:7">
      <c r="A1109" s="67">
        <v>265.27999999999997</v>
      </c>
      <c r="B1109" s="67">
        <v>265.38</v>
      </c>
      <c r="C1109" s="67">
        <v>250.83340000000001</v>
      </c>
      <c r="D1109" s="67">
        <v>253.43</v>
      </c>
      <c r="E1109" s="67">
        <v>274992</v>
      </c>
      <c r="F1109" s="67" t="s">
        <v>1129</v>
      </c>
      <c r="G1109" s="25">
        <f t="shared" si="14"/>
        <v>4.675847374028308E-2</v>
      </c>
    </row>
    <row r="1110" spans="1:7">
      <c r="A1110" s="67">
        <v>253.6</v>
      </c>
      <c r="B1110" s="67">
        <v>264.93</v>
      </c>
      <c r="C1110" s="67">
        <v>252.13</v>
      </c>
      <c r="D1110" s="67">
        <v>261.45999999999998</v>
      </c>
      <c r="E1110" s="67">
        <v>404458</v>
      </c>
      <c r="F1110" s="67" t="s">
        <v>1130</v>
      </c>
      <c r="G1110" s="25">
        <f t="shared" si="14"/>
        <v>-3.0061959764399848E-2</v>
      </c>
    </row>
    <row r="1111" spans="1:7">
      <c r="A1111" s="67">
        <v>258.14</v>
      </c>
      <c r="B1111" s="67">
        <v>266.81</v>
      </c>
      <c r="C1111" s="67">
        <v>256.03500000000003</v>
      </c>
      <c r="D1111" s="67">
        <v>264.45999999999998</v>
      </c>
      <c r="E1111" s="67">
        <v>244817</v>
      </c>
      <c r="F1111" s="67" t="s">
        <v>1131</v>
      </c>
      <c r="G1111" s="25">
        <f t="shared" si="14"/>
        <v>-2.3897753913635356E-2</v>
      </c>
    </row>
    <row r="1112" spans="1:7">
      <c r="A1112" s="67">
        <v>267.63</v>
      </c>
      <c r="B1112" s="67">
        <v>270.39</v>
      </c>
      <c r="C1112" s="67">
        <v>259.32</v>
      </c>
      <c r="D1112" s="67">
        <v>265.42</v>
      </c>
      <c r="E1112" s="67">
        <v>290545</v>
      </c>
      <c r="F1112" s="67" t="s">
        <v>1132</v>
      </c>
      <c r="G1112" s="25">
        <f t="shared" si="14"/>
        <v>8.3264260417450497E-3</v>
      </c>
    </row>
    <row r="1113" spans="1:7">
      <c r="A1113" s="67">
        <v>267.51</v>
      </c>
      <c r="B1113" s="67">
        <v>271.64</v>
      </c>
      <c r="C1113" s="67">
        <v>264.43</v>
      </c>
      <c r="D1113" s="67">
        <v>266.91000000000003</v>
      </c>
      <c r="E1113" s="67">
        <v>230528</v>
      </c>
      <c r="F1113" s="67" t="s">
        <v>1133</v>
      </c>
      <c r="G1113" s="25">
        <f t="shared" si="14"/>
        <v>2.247948746768369E-3</v>
      </c>
    </row>
    <row r="1114" spans="1:7">
      <c r="A1114" s="67">
        <v>267.27999999999997</v>
      </c>
      <c r="B1114" s="67">
        <v>274.36</v>
      </c>
      <c r="C1114" s="67">
        <v>259.25</v>
      </c>
      <c r="D1114" s="67">
        <v>266.86</v>
      </c>
      <c r="E1114" s="67">
        <v>330488</v>
      </c>
      <c r="F1114" s="67" t="s">
        <v>1134</v>
      </c>
      <c r="G1114" s="25">
        <f t="shared" si="14"/>
        <v>1.573858952259366E-3</v>
      </c>
    </row>
    <row r="1115" spans="1:7">
      <c r="A1115" s="67">
        <v>270.64999999999998</v>
      </c>
      <c r="B1115" s="67">
        <v>274.49</v>
      </c>
      <c r="C1115" s="67">
        <v>267.77999999999997</v>
      </c>
      <c r="D1115" s="67">
        <v>273.99</v>
      </c>
      <c r="E1115" s="67">
        <v>281730</v>
      </c>
      <c r="F1115" s="67" t="s">
        <v>1135</v>
      </c>
      <c r="G1115" s="25">
        <f t="shared" si="14"/>
        <v>-1.2190225920654107E-2</v>
      </c>
    </row>
    <row r="1116" spans="1:7">
      <c r="A1116" s="67">
        <v>270.93</v>
      </c>
      <c r="B1116" s="67">
        <v>280.35669999999999</v>
      </c>
      <c r="C1116" s="67">
        <v>270.79000000000002</v>
      </c>
      <c r="D1116" s="67">
        <v>279</v>
      </c>
      <c r="E1116" s="67">
        <v>312784</v>
      </c>
      <c r="F1116" s="67" t="s">
        <v>1136</v>
      </c>
      <c r="G1116" s="25">
        <f t="shared" si="14"/>
        <v>-2.8924731182795704E-2</v>
      </c>
    </row>
    <row r="1117" spans="1:7">
      <c r="A1117" s="67">
        <v>279.02</v>
      </c>
      <c r="B1117" s="67">
        <v>279.19</v>
      </c>
      <c r="C1117" s="67">
        <v>265.61</v>
      </c>
      <c r="D1117" s="67">
        <v>265.61</v>
      </c>
      <c r="E1117" s="67">
        <v>619913</v>
      </c>
      <c r="F1117" s="67" t="s">
        <v>1137</v>
      </c>
      <c r="G1117" s="25">
        <f t="shared" si="14"/>
        <v>5.0487556944392109E-2</v>
      </c>
    </row>
    <row r="1118" spans="1:7">
      <c r="A1118" s="67">
        <v>266.39</v>
      </c>
      <c r="B1118" s="67">
        <v>271.185</v>
      </c>
      <c r="C1118" s="67">
        <v>262.98</v>
      </c>
      <c r="D1118" s="67">
        <v>264.12</v>
      </c>
      <c r="E1118" s="67">
        <v>457442</v>
      </c>
      <c r="F1118" s="67" t="s">
        <v>1138</v>
      </c>
      <c r="G1118" s="25">
        <f t="shared" si="14"/>
        <v>8.5945782220202549E-3</v>
      </c>
    </row>
    <row r="1119" spans="1:7">
      <c r="A1119" s="67">
        <v>263.64999999999998</v>
      </c>
      <c r="B1119" s="67">
        <v>267.76</v>
      </c>
      <c r="C1119" s="67">
        <v>258.07</v>
      </c>
      <c r="D1119" s="67">
        <v>259.08</v>
      </c>
      <c r="E1119" s="67">
        <v>414235</v>
      </c>
      <c r="F1119" s="67" t="s">
        <v>1139</v>
      </c>
      <c r="G1119" s="25">
        <f t="shared" si="14"/>
        <v>1.7639339200246962E-2</v>
      </c>
    </row>
    <row r="1120" spans="1:7">
      <c r="A1120" s="67">
        <v>260.62</v>
      </c>
      <c r="B1120" s="67">
        <v>263.13</v>
      </c>
      <c r="C1120" s="67">
        <v>256.95</v>
      </c>
      <c r="D1120" s="67">
        <v>258.64999999999998</v>
      </c>
      <c r="E1120" s="67">
        <v>212619</v>
      </c>
      <c r="F1120" s="67" t="s">
        <v>1140</v>
      </c>
      <c r="G1120" s="25">
        <f t="shared" si="14"/>
        <v>7.616470133384956E-3</v>
      </c>
    </row>
    <row r="1121" spans="1:7">
      <c r="A1121" s="67">
        <v>253.43</v>
      </c>
      <c r="B1121" s="67">
        <v>255.62989999999999</v>
      </c>
      <c r="C1121" s="67">
        <v>248.46</v>
      </c>
      <c r="D1121" s="67">
        <v>250.65</v>
      </c>
      <c r="E1121" s="67">
        <v>314671</v>
      </c>
      <c r="F1121" s="67" t="s">
        <v>1141</v>
      </c>
      <c r="G1121" s="25">
        <f t="shared" si="14"/>
        <v>1.1091162976261781E-2</v>
      </c>
    </row>
    <row r="1122" spans="1:7">
      <c r="A1122" s="67">
        <v>251.94</v>
      </c>
      <c r="B1122" s="67">
        <v>253.2741</v>
      </c>
      <c r="C1122" s="67">
        <v>247.81</v>
      </c>
      <c r="D1122" s="67">
        <v>253.02</v>
      </c>
      <c r="E1122" s="67">
        <v>263864</v>
      </c>
      <c r="F1122" s="67" t="s">
        <v>1142</v>
      </c>
      <c r="G1122" s="25">
        <f t="shared" si="14"/>
        <v>-4.268437277685555E-3</v>
      </c>
    </row>
    <row r="1123" spans="1:7">
      <c r="A1123" s="67">
        <v>251.61</v>
      </c>
      <c r="B1123" s="67">
        <v>252.82</v>
      </c>
      <c r="C1123" s="67">
        <v>236.22030000000001</v>
      </c>
      <c r="D1123" s="67">
        <v>245.17</v>
      </c>
      <c r="E1123" s="67">
        <v>293202</v>
      </c>
      <c r="F1123" s="67" t="s">
        <v>1143</v>
      </c>
      <c r="G1123" s="25">
        <f t="shared" si="14"/>
        <v>2.6267487865562877E-2</v>
      </c>
    </row>
    <row r="1124" spans="1:7">
      <c r="A1124" s="67">
        <v>243.11</v>
      </c>
      <c r="B1124" s="67">
        <v>251.65</v>
      </c>
      <c r="C1124" s="67">
        <v>237.21</v>
      </c>
      <c r="D1124" s="67">
        <v>248.3</v>
      </c>
      <c r="E1124" s="67">
        <v>1156925</v>
      </c>
      <c r="F1124" s="67" t="s">
        <v>1144</v>
      </c>
      <c r="G1124" s="25">
        <f t="shared" si="14"/>
        <v>-2.090213451469991E-2</v>
      </c>
    </row>
    <row r="1125" spans="1:7">
      <c r="A1125" s="67">
        <v>250</v>
      </c>
      <c r="B1125" s="67">
        <v>263.36</v>
      </c>
      <c r="C1125" s="67">
        <v>249.73</v>
      </c>
      <c r="D1125" s="67">
        <v>251.69</v>
      </c>
      <c r="E1125" s="67">
        <v>748684</v>
      </c>
      <c r="F1125" s="67" t="s">
        <v>1145</v>
      </c>
      <c r="G1125" s="25">
        <f t="shared" si="14"/>
        <v>-6.7146092415272252E-3</v>
      </c>
    </row>
    <row r="1126" spans="1:7">
      <c r="A1126" s="67">
        <v>253.41</v>
      </c>
      <c r="B1126" s="67">
        <v>259.11</v>
      </c>
      <c r="C1126" s="67">
        <v>249.42</v>
      </c>
      <c r="D1126" s="67">
        <v>257.3</v>
      </c>
      <c r="E1126" s="67">
        <v>376741</v>
      </c>
      <c r="F1126" s="67" t="s">
        <v>1146</v>
      </c>
      <c r="G1126" s="25">
        <f t="shared" si="14"/>
        <v>-1.5118538670812365E-2</v>
      </c>
    </row>
    <row r="1127" spans="1:7">
      <c r="A1127" s="67">
        <v>260.02999999999997</v>
      </c>
      <c r="B1127" s="67">
        <v>261.10000000000002</v>
      </c>
      <c r="C1127" s="67">
        <v>247.09</v>
      </c>
      <c r="D1127" s="67">
        <v>247.39</v>
      </c>
      <c r="E1127" s="67">
        <v>699404</v>
      </c>
      <c r="F1127" s="67" t="s">
        <v>1147</v>
      </c>
      <c r="G1127" s="25">
        <f t="shared" si="14"/>
        <v>5.1093415255264896E-2</v>
      </c>
    </row>
    <row r="1128" spans="1:7">
      <c r="A1128" s="67">
        <v>248.27</v>
      </c>
      <c r="B1128" s="67">
        <v>248.41</v>
      </c>
      <c r="C1128" s="67">
        <v>233.53</v>
      </c>
      <c r="D1128" s="67">
        <v>237</v>
      </c>
      <c r="E1128" s="67">
        <v>823266</v>
      </c>
      <c r="F1128" s="67" t="s">
        <v>1148</v>
      </c>
      <c r="G1128" s="25">
        <f t="shared" si="14"/>
        <v>4.7552742616033816E-2</v>
      </c>
    </row>
    <row r="1129" spans="1:7">
      <c r="A1129" s="67">
        <v>238.64</v>
      </c>
      <c r="B1129" s="67">
        <v>239.33</v>
      </c>
      <c r="C1129" s="67">
        <v>221.32</v>
      </c>
      <c r="D1129" s="67">
        <v>221.32</v>
      </c>
      <c r="E1129" s="67">
        <v>749465</v>
      </c>
      <c r="F1129" s="67" t="s">
        <v>1149</v>
      </c>
      <c r="G1129" s="25">
        <f t="shared" si="14"/>
        <v>7.8257726369058256E-2</v>
      </c>
    </row>
    <row r="1130" spans="1:7">
      <c r="A1130" s="67">
        <v>216.07</v>
      </c>
      <c r="B1130" s="67">
        <v>217.46</v>
      </c>
      <c r="C1130" s="67">
        <v>210.5</v>
      </c>
      <c r="D1130" s="67">
        <v>213.13</v>
      </c>
      <c r="E1130" s="67">
        <v>992271</v>
      </c>
      <c r="F1130" s="67" t="s">
        <v>1150</v>
      </c>
      <c r="G1130" s="25">
        <f t="shared" si="14"/>
        <v>1.3794397785389156E-2</v>
      </c>
    </row>
    <row r="1131" spans="1:7">
      <c r="A1131" s="67">
        <v>211.96</v>
      </c>
      <c r="B1131" s="67">
        <v>225.9</v>
      </c>
      <c r="C1131" s="67">
        <v>210.19</v>
      </c>
      <c r="D1131" s="67">
        <v>219.39</v>
      </c>
      <c r="E1131" s="67">
        <v>652072</v>
      </c>
      <c r="F1131" s="67" t="s">
        <v>1151</v>
      </c>
      <c r="G1131" s="25">
        <f t="shared" si="14"/>
        <v>-3.3866630201923376E-2</v>
      </c>
    </row>
    <row r="1132" spans="1:7">
      <c r="A1132" s="67">
        <v>223.26</v>
      </c>
      <c r="B1132" s="67">
        <v>236.41</v>
      </c>
      <c r="C1132" s="67">
        <v>222.59</v>
      </c>
      <c r="D1132" s="67">
        <v>236.41</v>
      </c>
      <c r="E1132" s="67">
        <v>928777</v>
      </c>
      <c r="F1132" s="67" t="s">
        <v>1152</v>
      </c>
      <c r="G1132" s="25">
        <f t="shared" si="14"/>
        <v>-5.5623704581024502E-2</v>
      </c>
    </row>
    <row r="1133" spans="1:7">
      <c r="A1133" s="67">
        <v>234.93</v>
      </c>
      <c r="B1133" s="67">
        <v>246.27</v>
      </c>
      <c r="C1133" s="67">
        <v>230.97</v>
      </c>
      <c r="D1133" s="67">
        <v>244.6</v>
      </c>
      <c r="E1133" s="67">
        <v>967673</v>
      </c>
      <c r="F1133" s="67" t="s">
        <v>1153</v>
      </c>
      <c r="G1133" s="25">
        <f t="shared" si="14"/>
        <v>-3.9533932951757889E-2</v>
      </c>
    </row>
    <row r="1134" spans="1:7">
      <c r="A1134" s="67">
        <v>249.37</v>
      </c>
      <c r="B1134" s="67">
        <v>254.4</v>
      </c>
      <c r="C1134" s="67">
        <v>246.6</v>
      </c>
      <c r="D1134" s="67">
        <v>252</v>
      </c>
      <c r="E1134" s="67">
        <v>708142</v>
      </c>
      <c r="F1134" s="67" t="s">
        <v>1154</v>
      </c>
      <c r="G1134" s="25">
        <f t="shared" si="14"/>
        <v>-1.0436507936507966E-2</v>
      </c>
    </row>
    <row r="1135" spans="1:7">
      <c r="A1135" s="67">
        <v>248.3</v>
      </c>
      <c r="B1135" s="67">
        <v>262.87</v>
      </c>
      <c r="C1135" s="67">
        <v>247.88</v>
      </c>
      <c r="D1135" s="67">
        <v>257.79000000000002</v>
      </c>
      <c r="E1135" s="67">
        <v>858863</v>
      </c>
      <c r="F1135" s="67" t="s">
        <v>1155</v>
      </c>
      <c r="G1135" s="25">
        <f t="shared" si="14"/>
        <v>-3.6812909732728216E-2</v>
      </c>
    </row>
    <row r="1136" spans="1:7">
      <c r="A1136" s="67">
        <v>261.86</v>
      </c>
      <c r="B1136" s="67">
        <v>264.69</v>
      </c>
      <c r="C1136" s="67">
        <v>255.52</v>
      </c>
      <c r="D1136" s="67">
        <v>261.20999999999998</v>
      </c>
      <c r="E1136" s="67">
        <v>651124</v>
      </c>
      <c r="F1136" s="67" t="s">
        <v>1156</v>
      </c>
      <c r="G1136" s="25">
        <f t="shared" si="14"/>
        <v>2.4884192795069371E-3</v>
      </c>
    </row>
    <row r="1137" spans="1:7">
      <c r="A1137" s="67">
        <v>261.70999999999998</v>
      </c>
      <c r="B1137" s="67">
        <v>268.04000000000002</v>
      </c>
      <c r="C1137" s="67">
        <v>257</v>
      </c>
      <c r="D1137" s="67">
        <v>263.60000000000002</v>
      </c>
      <c r="E1137" s="67">
        <v>438032</v>
      </c>
      <c r="F1137" s="67" t="s">
        <v>1157</v>
      </c>
      <c r="G1137" s="25">
        <f t="shared" si="14"/>
        <v>-7.1699544764797229E-3</v>
      </c>
    </row>
    <row r="1138" spans="1:7">
      <c r="A1138" s="67">
        <v>265.39</v>
      </c>
      <c r="B1138" s="67">
        <v>278.67</v>
      </c>
      <c r="C1138" s="67">
        <v>264.68</v>
      </c>
      <c r="D1138" s="67">
        <v>272.44</v>
      </c>
      <c r="E1138" s="67">
        <v>1132872</v>
      </c>
      <c r="F1138" s="67" t="s">
        <v>1158</v>
      </c>
      <c r="G1138" s="25">
        <f t="shared" si="14"/>
        <v>-2.5877257377771246E-2</v>
      </c>
    </row>
    <row r="1139" spans="1:7">
      <c r="A1139" s="67">
        <v>270.70999999999998</v>
      </c>
      <c r="B1139" s="67">
        <v>271.32</v>
      </c>
      <c r="C1139" s="67">
        <v>261.93</v>
      </c>
      <c r="D1139" s="67">
        <v>264.04000000000002</v>
      </c>
      <c r="E1139" s="67">
        <v>733602</v>
      </c>
      <c r="F1139" s="67" t="s">
        <v>1159</v>
      </c>
      <c r="G1139" s="25">
        <f t="shared" si="14"/>
        <v>2.5261324041811584E-2</v>
      </c>
    </row>
    <row r="1140" spans="1:7">
      <c r="A1140" s="67">
        <v>260.83999999999997</v>
      </c>
      <c r="B1140" s="67">
        <v>265.95999999999998</v>
      </c>
      <c r="C1140" s="67">
        <v>258.20999999999998</v>
      </c>
      <c r="D1140" s="67">
        <v>261.60000000000002</v>
      </c>
      <c r="E1140" s="67">
        <v>340304</v>
      </c>
      <c r="F1140" s="67" t="s">
        <v>1160</v>
      </c>
      <c r="G1140" s="25">
        <f t="shared" si="14"/>
        <v>-2.9051987767585441E-3</v>
      </c>
    </row>
    <row r="1141" spans="1:7">
      <c r="A1141" s="67">
        <v>264.69</v>
      </c>
      <c r="B1141" s="67">
        <v>266.51</v>
      </c>
      <c r="C1141" s="67">
        <v>257.27999999999997</v>
      </c>
      <c r="D1141" s="67">
        <v>259.99</v>
      </c>
      <c r="E1141" s="67">
        <v>558218</v>
      </c>
      <c r="F1141" s="67" t="s">
        <v>1161</v>
      </c>
      <c r="G1141" s="25">
        <f t="shared" si="14"/>
        <v>1.8077618369937154E-2</v>
      </c>
    </row>
    <row r="1142" spans="1:7">
      <c r="A1142" s="67">
        <v>262.37</v>
      </c>
      <c r="B1142" s="67">
        <v>263.61</v>
      </c>
      <c r="C1142" s="67">
        <v>248.63</v>
      </c>
      <c r="D1142" s="67">
        <v>253.54</v>
      </c>
      <c r="E1142" s="67">
        <v>529546</v>
      </c>
      <c r="F1142" s="67" t="s">
        <v>1162</v>
      </c>
      <c r="G1142" s="25">
        <f t="shared" si="14"/>
        <v>3.4826851778812173E-2</v>
      </c>
    </row>
    <row r="1143" spans="1:7">
      <c r="A1143" s="67">
        <v>255.37</v>
      </c>
      <c r="B1143" s="67">
        <v>260.44</v>
      </c>
      <c r="C1143" s="67">
        <v>212.1215</v>
      </c>
      <c r="D1143" s="67">
        <v>218</v>
      </c>
      <c r="E1143" s="67">
        <v>1502287</v>
      </c>
      <c r="F1143" s="67" t="s">
        <v>1163</v>
      </c>
      <c r="G1143" s="25">
        <f t="shared" si="14"/>
        <v>0.17142201834862392</v>
      </c>
    </row>
    <row r="1144" spans="1:7">
      <c r="A1144" s="67">
        <v>230.82</v>
      </c>
      <c r="B1144" s="67">
        <v>240.78</v>
      </c>
      <c r="C1144" s="67">
        <v>230.59</v>
      </c>
      <c r="D1144" s="67">
        <v>234.44</v>
      </c>
      <c r="E1144" s="67">
        <v>670680</v>
      </c>
      <c r="F1144" s="67" t="s">
        <v>1164</v>
      </c>
      <c r="G1144" s="25">
        <f t="shared" ref="G1144:G1207" si="15">A1144/D1144-1</f>
        <v>-1.5441051015185114E-2</v>
      </c>
    </row>
    <row r="1145" spans="1:7">
      <c r="A1145" s="67">
        <v>234.54</v>
      </c>
      <c r="B1145" s="67">
        <v>238.43</v>
      </c>
      <c r="C1145" s="67">
        <v>231.27</v>
      </c>
      <c r="D1145" s="67">
        <v>231.56</v>
      </c>
      <c r="E1145" s="67">
        <v>448949</v>
      </c>
      <c r="F1145" s="67" t="s">
        <v>1165</v>
      </c>
      <c r="G1145" s="25">
        <f t="shared" si="15"/>
        <v>1.286923475557078E-2</v>
      </c>
    </row>
    <row r="1146" spans="1:7">
      <c r="A1146" s="67">
        <v>234.18</v>
      </c>
      <c r="B1146" s="67">
        <v>242.69</v>
      </c>
      <c r="C1146" s="67">
        <v>231.76</v>
      </c>
      <c r="D1146" s="67">
        <v>240.39</v>
      </c>
      <c r="E1146" s="67">
        <v>451136</v>
      </c>
      <c r="F1146" s="67" t="s">
        <v>1166</v>
      </c>
      <c r="G1146" s="25">
        <f t="shared" si="15"/>
        <v>-2.5833021340321838E-2</v>
      </c>
    </row>
    <row r="1147" spans="1:7">
      <c r="A1147" s="67">
        <v>240.81</v>
      </c>
      <c r="B1147" s="67">
        <v>250.25</v>
      </c>
      <c r="C1147" s="67">
        <v>239.25</v>
      </c>
      <c r="D1147" s="67">
        <v>250.05</v>
      </c>
      <c r="E1147" s="67">
        <v>414969</v>
      </c>
      <c r="F1147" s="67" t="s">
        <v>1167</v>
      </c>
      <c r="G1147" s="25">
        <f t="shared" si="15"/>
        <v>-3.6952609478104415E-2</v>
      </c>
    </row>
    <row r="1148" spans="1:7">
      <c r="A1148" s="67">
        <v>252.33</v>
      </c>
      <c r="B1148" s="67">
        <v>254.17</v>
      </c>
      <c r="C1148" s="67">
        <v>245.98</v>
      </c>
      <c r="D1148" s="67">
        <v>252.81</v>
      </c>
      <c r="E1148" s="67">
        <v>287058</v>
      </c>
      <c r="F1148" s="67" t="s">
        <v>1168</v>
      </c>
      <c r="G1148" s="25">
        <f t="shared" si="15"/>
        <v>-1.8986590720303509E-3</v>
      </c>
    </row>
    <row r="1149" spans="1:7">
      <c r="A1149" s="67">
        <v>254.34</v>
      </c>
      <c r="B1149" s="67">
        <v>255.57</v>
      </c>
      <c r="C1149" s="67">
        <v>249.965</v>
      </c>
      <c r="D1149" s="67">
        <v>251.59</v>
      </c>
      <c r="E1149" s="67">
        <v>294620</v>
      </c>
      <c r="F1149" s="67" t="s">
        <v>1169</v>
      </c>
      <c r="G1149" s="25">
        <f t="shared" si="15"/>
        <v>1.0930482133630015E-2</v>
      </c>
    </row>
    <row r="1150" spans="1:7">
      <c r="A1150" s="67">
        <v>245.56</v>
      </c>
      <c r="B1150" s="67">
        <v>251.935</v>
      </c>
      <c r="C1150" s="67">
        <v>244.04</v>
      </c>
      <c r="D1150" s="67">
        <v>248.27</v>
      </c>
      <c r="E1150" s="67">
        <v>727185</v>
      </c>
      <c r="F1150" s="67" t="s">
        <v>1170</v>
      </c>
      <c r="G1150" s="25">
        <f t="shared" si="15"/>
        <v>-1.0915535505699459E-2</v>
      </c>
    </row>
    <row r="1151" spans="1:7">
      <c r="A1151" s="67">
        <v>248.06</v>
      </c>
      <c r="B1151" s="67">
        <v>259.07</v>
      </c>
      <c r="C1151" s="67">
        <v>244.75</v>
      </c>
      <c r="D1151" s="67">
        <v>253.07</v>
      </c>
      <c r="E1151" s="67">
        <v>540670</v>
      </c>
      <c r="F1151" s="67" t="s">
        <v>1171</v>
      </c>
      <c r="G1151" s="25">
        <f t="shared" si="15"/>
        <v>-1.9796894139961219E-2</v>
      </c>
    </row>
    <row r="1152" spans="1:7">
      <c r="A1152" s="67">
        <v>252.81</v>
      </c>
      <c r="B1152" s="67">
        <v>263.39</v>
      </c>
      <c r="C1152" s="67">
        <v>247.63</v>
      </c>
      <c r="D1152" s="67">
        <v>249.25</v>
      </c>
      <c r="E1152" s="67">
        <v>552277</v>
      </c>
      <c r="F1152" s="67" t="s">
        <v>1172</v>
      </c>
      <c r="G1152" s="25">
        <f t="shared" si="15"/>
        <v>1.4282848545636995E-2</v>
      </c>
    </row>
    <row r="1153" spans="1:7">
      <c r="A1153" s="67">
        <v>256.35000000000002</v>
      </c>
      <c r="B1153" s="67">
        <v>257.36</v>
      </c>
      <c r="C1153" s="67">
        <v>248.02500000000001</v>
      </c>
      <c r="D1153" s="67">
        <v>250.77</v>
      </c>
      <c r="E1153" s="67">
        <v>463178</v>
      </c>
      <c r="F1153" s="67" t="s">
        <v>1173</v>
      </c>
      <c r="G1153" s="25">
        <f t="shared" si="15"/>
        <v>2.2251465486302191E-2</v>
      </c>
    </row>
    <row r="1154" spans="1:7">
      <c r="A1154" s="67">
        <v>247.69</v>
      </c>
      <c r="B1154" s="67">
        <v>248.41</v>
      </c>
      <c r="C1154" s="67">
        <v>236.58</v>
      </c>
      <c r="D1154" s="67">
        <v>241.36</v>
      </c>
      <c r="E1154" s="67">
        <v>287309</v>
      </c>
      <c r="F1154" s="67" t="s">
        <v>1174</v>
      </c>
      <c r="G1154" s="25">
        <f t="shared" si="15"/>
        <v>2.622638382499165E-2</v>
      </c>
    </row>
    <row r="1155" spans="1:7">
      <c r="A1155" s="67">
        <v>242.53</v>
      </c>
      <c r="B1155" s="67">
        <v>250.95</v>
      </c>
      <c r="C1155" s="67">
        <v>241.73</v>
      </c>
      <c r="D1155" s="67">
        <v>243.49</v>
      </c>
      <c r="E1155" s="67">
        <v>348058</v>
      </c>
      <c r="F1155" s="67" t="s">
        <v>1175</v>
      </c>
      <c r="G1155" s="25">
        <f t="shared" si="15"/>
        <v>-3.9426670499815852E-3</v>
      </c>
    </row>
    <row r="1156" spans="1:7">
      <c r="A1156" s="67">
        <v>243.49</v>
      </c>
      <c r="B1156" s="67">
        <v>244.97</v>
      </c>
      <c r="C1156" s="67">
        <v>237.94</v>
      </c>
      <c r="D1156" s="67">
        <v>240.85</v>
      </c>
      <c r="E1156" s="67">
        <v>449713</v>
      </c>
      <c r="F1156" s="67" t="s">
        <v>1176</v>
      </c>
      <c r="G1156" s="25">
        <f t="shared" si="15"/>
        <v>1.0961179157151779E-2</v>
      </c>
    </row>
    <row r="1157" spans="1:7">
      <c r="A1157" s="67">
        <v>242.06</v>
      </c>
      <c r="B1157" s="67">
        <v>252.55</v>
      </c>
      <c r="C1157" s="67">
        <v>239.79499999999999</v>
      </c>
      <c r="D1157" s="67">
        <v>249.48</v>
      </c>
      <c r="E1157" s="67">
        <v>447712</v>
      </c>
      <c r="F1157" s="67" t="s">
        <v>1177</v>
      </c>
      <c r="G1157" s="25">
        <f t="shared" si="15"/>
        <v>-2.9741863075196329E-2</v>
      </c>
    </row>
    <row r="1158" spans="1:7">
      <c r="A1158" s="67">
        <v>253.19</v>
      </c>
      <c r="B1158" s="67">
        <v>256.57</v>
      </c>
      <c r="C1158" s="67">
        <v>247.16</v>
      </c>
      <c r="D1158" s="67">
        <v>252.92</v>
      </c>
      <c r="E1158" s="67">
        <v>920122</v>
      </c>
      <c r="F1158" s="67" t="s">
        <v>1178</v>
      </c>
      <c r="G1158" s="25">
        <f t="shared" si="15"/>
        <v>1.0675312351731137E-3</v>
      </c>
    </row>
    <row r="1159" spans="1:7">
      <c r="A1159" s="67">
        <v>248.08</v>
      </c>
      <c r="B1159" s="67">
        <v>249.02</v>
      </c>
      <c r="C1159" s="67">
        <v>243.78</v>
      </c>
      <c r="D1159" s="67">
        <v>248.98</v>
      </c>
      <c r="E1159" s="67">
        <v>593576</v>
      </c>
      <c r="F1159" s="67" t="s">
        <v>1179</v>
      </c>
      <c r="G1159" s="25">
        <f t="shared" si="15"/>
        <v>-3.6147481725439246E-3</v>
      </c>
    </row>
    <row r="1160" spans="1:7">
      <c r="A1160" s="67">
        <v>248</v>
      </c>
      <c r="B1160" s="67">
        <v>249.13</v>
      </c>
      <c r="C1160" s="67">
        <v>233.93</v>
      </c>
      <c r="D1160" s="67">
        <v>233.93</v>
      </c>
      <c r="E1160" s="67">
        <v>1281098</v>
      </c>
      <c r="F1160" s="67" t="s">
        <v>1180</v>
      </c>
      <c r="G1160" s="25">
        <f t="shared" si="15"/>
        <v>6.0146197580472682E-2</v>
      </c>
    </row>
    <row r="1161" spans="1:7">
      <c r="A1161" s="67">
        <v>230.59</v>
      </c>
      <c r="B1161" s="67">
        <v>230.59</v>
      </c>
      <c r="C1161" s="67">
        <v>211.2</v>
      </c>
      <c r="D1161" s="67">
        <v>220</v>
      </c>
      <c r="E1161" s="67">
        <v>2432437</v>
      </c>
      <c r="F1161" s="67" t="s">
        <v>1181</v>
      </c>
      <c r="G1161" s="25">
        <f t="shared" si="15"/>
        <v>4.8136363636363644E-2</v>
      </c>
    </row>
    <row r="1162" spans="1:7">
      <c r="A1162" s="67">
        <v>194.8</v>
      </c>
      <c r="B1162" s="67">
        <v>204.27</v>
      </c>
      <c r="C1162" s="67">
        <v>193.7</v>
      </c>
      <c r="D1162" s="67">
        <v>201.38</v>
      </c>
      <c r="E1162" s="67">
        <v>1374689</v>
      </c>
      <c r="F1162" s="67" t="s">
        <v>1182</v>
      </c>
      <c r="G1162" s="25">
        <f t="shared" si="15"/>
        <v>-3.2674545635117624E-2</v>
      </c>
    </row>
    <row r="1163" spans="1:7">
      <c r="A1163" s="67">
        <v>199</v>
      </c>
      <c r="B1163" s="67">
        <v>215.72</v>
      </c>
      <c r="C1163" s="67">
        <v>197.31</v>
      </c>
      <c r="D1163" s="67">
        <v>214.11</v>
      </c>
      <c r="E1163" s="67">
        <v>1434660</v>
      </c>
      <c r="F1163" s="67" t="s">
        <v>1183</v>
      </c>
      <c r="G1163" s="25">
        <f t="shared" si="15"/>
        <v>-7.057120171874276E-2</v>
      </c>
    </row>
    <row r="1164" spans="1:7">
      <c r="A1164" s="67">
        <v>211.82</v>
      </c>
      <c r="B1164" s="67">
        <v>222</v>
      </c>
      <c r="C1164" s="67">
        <v>210.77</v>
      </c>
      <c r="D1164" s="67">
        <v>218.52</v>
      </c>
      <c r="E1164" s="67">
        <v>816771</v>
      </c>
      <c r="F1164" s="67" t="s">
        <v>1184</v>
      </c>
      <c r="G1164" s="25">
        <f t="shared" si="15"/>
        <v>-3.0660809079260609E-2</v>
      </c>
    </row>
    <row r="1165" spans="1:7">
      <c r="A1165" s="67">
        <v>223</v>
      </c>
      <c r="B1165" s="67">
        <v>223.78</v>
      </c>
      <c r="C1165" s="67">
        <v>210.86</v>
      </c>
      <c r="D1165" s="67">
        <v>220</v>
      </c>
      <c r="E1165" s="67">
        <v>1007917</v>
      </c>
      <c r="F1165" s="67" t="s">
        <v>1185</v>
      </c>
      <c r="G1165" s="25">
        <f t="shared" si="15"/>
        <v>1.3636363636363669E-2</v>
      </c>
    </row>
    <row r="1166" spans="1:7">
      <c r="A1166" s="67">
        <v>224.14</v>
      </c>
      <c r="B1166" s="67">
        <v>231.60499999999999</v>
      </c>
      <c r="C1166" s="67">
        <v>222.935</v>
      </c>
      <c r="D1166" s="67">
        <v>231.5</v>
      </c>
      <c r="E1166" s="67">
        <v>600791</v>
      </c>
      <c r="F1166" s="67" t="s">
        <v>1186</v>
      </c>
      <c r="G1166" s="25">
        <f t="shared" si="15"/>
        <v>-3.17926565874731E-2</v>
      </c>
    </row>
    <row r="1167" spans="1:7">
      <c r="A1167" s="67">
        <v>232.32</v>
      </c>
      <c r="B1167" s="67">
        <v>241.63</v>
      </c>
      <c r="C1167" s="67">
        <v>231.57</v>
      </c>
      <c r="D1167" s="67">
        <v>237.81</v>
      </c>
      <c r="E1167" s="67">
        <v>472450</v>
      </c>
      <c r="F1167" s="67" t="s">
        <v>1187</v>
      </c>
      <c r="G1167" s="25">
        <f t="shared" si="15"/>
        <v>-2.308565661662676E-2</v>
      </c>
    </row>
    <row r="1168" spans="1:7">
      <c r="A1168" s="67">
        <v>235.02</v>
      </c>
      <c r="B1168" s="67">
        <v>240.54</v>
      </c>
      <c r="C1168" s="67">
        <v>231.91</v>
      </c>
      <c r="D1168" s="67">
        <v>236.72</v>
      </c>
      <c r="E1168" s="67">
        <v>709037</v>
      </c>
      <c r="F1168" s="67" t="s">
        <v>1188</v>
      </c>
      <c r="G1168" s="25">
        <f t="shared" si="15"/>
        <v>-7.1814802298073577E-3</v>
      </c>
    </row>
    <row r="1169" spans="1:7">
      <c r="A1169" s="67">
        <v>234.1</v>
      </c>
      <c r="B1169" s="67">
        <v>240.69</v>
      </c>
      <c r="C1169" s="67">
        <v>232.96</v>
      </c>
      <c r="D1169" s="67">
        <v>237.88</v>
      </c>
      <c r="E1169" s="67">
        <v>788829</v>
      </c>
      <c r="F1169" s="67" t="s">
        <v>1189</v>
      </c>
      <c r="G1169" s="25">
        <f t="shared" si="15"/>
        <v>-1.5890364889860398E-2</v>
      </c>
    </row>
    <row r="1170" spans="1:7">
      <c r="A1170" s="67">
        <v>242.71</v>
      </c>
      <c r="B1170" s="67">
        <v>243.15</v>
      </c>
      <c r="C1170" s="67">
        <v>235.76</v>
      </c>
      <c r="D1170" s="67">
        <v>240.69</v>
      </c>
      <c r="E1170" s="67">
        <v>1017923</v>
      </c>
      <c r="F1170" s="67" t="s">
        <v>1190</v>
      </c>
      <c r="G1170" s="25">
        <f t="shared" si="15"/>
        <v>8.3925381195728566E-3</v>
      </c>
    </row>
    <row r="1171" spans="1:7">
      <c r="A1171" s="67">
        <v>242.37</v>
      </c>
      <c r="B1171" s="67">
        <v>249.85</v>
      </c>
      <c r="C1171" s="67">
        <v>236.16</v>
      </c>
      <c r="D1171" s="67">
        <v>242.03</v>
      </c>
      <c r="E1171" s="67">
        <v>625868</v>
      </c>
      <c r="F1171" s="67" t="s">
        <v>1191</v>
      </c>
      <c r="G1171" s="25">
        <f t="shared" si="15"/>
        <v>1.4047845308433615E-3</v>
      </c>
    </row>
    <row r="1172" spans="1:7">
      <c r="A1172" s="67">
        <v>242.78</v>
      </c>
      <c r="B1172" s="67">
        <v>251.61500000000001</v>
      </c>
      <c r="C1172" s="67">
        <v>242.27</v>
      </c>
      <c r="D1172" s="67">
        <v>250.53</v>
      </c>
      <c r="E1172" s="67">
        <v>319989</v>
      </c>
      <c r="F1172" s="67" t="s">
        <v>1192</v>
      </c>
      <c r="G1172" s="25">
        <f t="shared" si="15"/>
        <v>-3.0934419031652949E-2</v>
      </c>
    </row>
    <row r="1173" spans="1:7">
      <c r="A1173" s="67">
        <v>245.67</v>
      </c>
      <c r="B1173" s="67">
        <v>247.15</v>
      </c>
      <c r="C1173" s="67">
        <v>235.68</v>
      </c>
      <c r="D1173" s="67">
        <v>241.07</v>
      </c>
      <c r="E1173" s="67">
        <v>429387</v>
      </c>
      <c r="F1173" s="67" t="s">
        <v>1193</v>
      </c>
      <c r="G1173" s="25">
        <f t="shared" si="15"/>
        <v>1.9081594557597281E-2</v>
      </c>
    </row>
    <row r="1174" spans="1:7">
      <c r="A1174" s="67">
        <v>240.7</v>
      </c>
      <c r="B1174" s="67">
        <v>245.98</v>
      </c>
      <c r="C1174" s="67">
        <v>231.86</v>
      </c>
      <c r="D1174" s="67">
        <v>245</v>
      </c>
      <c r="E1174" s="67">
        <v>647802</v>
      </c>
      <c r="F1174" s="67" t="s">
        <v>1194</v>
      </c>
      <c r="G1174" s="25">
        <f t="shared" si="15"/>
        <v>-1.7551020408163365E-2</v>
      </c>
    </row>
    <row r="1175" spans="1:7">
      <c r="A1175" s="67">
        <v>250.08</v>
      </c>
      <c r="B1175" s="67">
        <v>260.69</v>
      </c>
      <c r="C1175" s="67">
        <v>249.73</v>
      </c>
      <c r="D1175" s="67">
        <v>257.52</v>
      </c>
      <c r="E1175" s="67">
        <v>434964</v>
      </c>
      <c r="F1175" s="67" t="s">
        <v>1195</v>
      </c>
      <c r="G1175" s="25">
        <f t="shared" si="15"/>
        <v>-2.889095992544255E-2</v>
      </c>
    </row>
    <row r="1176" spans="1:7">
      <c r="A1176" s="67">
        <v>260.43</v>
      </c>
      <c r="B1176" s="67">
        <v>263.68</v>
      </c>
      <c r="C1176" s="67">
        <v>249.5</v>
      </c>
      <c r="D1176" s="67">
        <v>252.79</v>
      </c>
      <c r="E1176" s="67">
        <v>741929</v>
      </c>
      <c r="F1176" s="67" t="s">
        <v>1196</v>
      </c>
      <c r="G1176" s="25">
        <f t="shared" si="15"/>
        <v>3.0222714506111803E-2</v>
      </c>
    </row>
    <row r="1177" spans="1:7">
      <c r="A1177" s="67">
        <v>255.45</v>
      </c>
      <c r="B1177" s="67">
        <v>277.23</v>
      </c>
      <c r="C1177" s="67">
        <v>255.03</v>
      </c>
      <c r="D1177" s="67">
        <v>272.01</v>
      </c>
      <c r="E1177" s="67">
        <v>446187</v>
      </c>
      <c r="F1177" s="67" t="s">
        <v>1197</v>
      </c>
      <c r="G1177" s="25">
        <f t="shared" si="15"/>
        <v>-6.0880114701665433E-2</v>
      </c>
    </row>
    <row r="1178" spans="1:7">
      <c r="A1178" s="67">
        <v>273.55</v>
      </c>
      <c r="B1178" s="67">
        <v>282.87</v>
      </c>
      <c r="C1178" s="67">
        <v>268.30500000000001</v>
      </c>
      <c r="D1178" s="67">
        <v>276.77999999999997</v>
      </c>
      <c r="E1178" s="67">
        <v>393415</v>
      </c>
      <c r="F1178" s="67" t="s">
        <v>1198</v>
      </c>
      <c r="G1178" s="25">
        <f t="shared" si="15"/>
        <v>-1.1669918346701169E-2</v>
      </c>
    </row>
    <row r="1179" spans="1:7">
      <c r="A1179" s="67">
        <v>275.7</v>
      </c>
      <c r="B1179" s="67">
        <v>276.20999999999998</v>
      </c>
      <c r="C1179" s="67">
        <v>263.92</v>
      </c>
      <c r="D1179" s="67">
        <v>264.8</v>
      </c>
      <c r="E1179" s="67">
        <v>395343</v>
      </c>
      <c r="F1179" s="67" t="s">
        <v>1199</v>
      </c>
      <c r="G1179" s="25">
        <f t="shared" si="15"/>
        <v>4.1163141993957542E-2</v>
      </c>
    </row>
    <row r="1180" spans="1:7">
      <c r="A1180" s="67">
        <v>266.07</v>
      </c>
      <c r="B1180" s="67">
        <v>271.58</v>
      </c>
      <c r="C1180" s="67">
        <v>265.64999999999998</v>
      </c>
      <c r="D1180" s="67">
        <v>268.8</v>
      </c>
      <c r="E1180" s="67">
        <v>298479</v>
      </c>
      <c r="F1180" s="67" t="s">
        <v>1200</v>
      </c>
      <c r="G1180" s="25">
        <f t="shared" si="15"/>
        <v>-1.0156250000000089E-2</v>
      </c>
    </row>
    <row r="1181" spans="1:7">
      <c r="A1181" s="67">
        <v>269.57</v>
      </c>
      <c r="B1181" s="67">
        <v>275.89</v>
      </c>
      <c r="C1181" s="67">
        <v>269.10000000000002</v>
      </c>
      <c r="D1181" s="67">
        <v>269.97000000000003</v>
      </c>
      <c r="E1181" s="67">
        <v>171653</v>
      </c>
      <c r="F1181" s="67" t="s">
        <v>1201</v>
      </c>
      <c r="G1181" s="25">
        <f t="shared" si="15"/>
        <v>-1.4816461088270616E-3</v>
      </c>
    </row>
    <row r="1182" spans="1:7">
      <c r="A1182" s="67">
        <v>270.19</v>
      </c>
      <c r="B1182" s="67">
        <v>270.97000000000003</v>
      </c>
      <c r="C1182" s="67">
        <v>265</v>
      </c>
      <c r="D1182" s="67">
        <v>266.17</v>
      </c>
      <c r="E1182" s="67">
        <v>207711</v>
      </c>
      <c r="F1182" s="67" t="s">
        <v>1202</v>
      </c>
      <c r="G1182" s="25">
        <f t="shared" si="15"/>
        <v>1.5103129578840413E-2</v>
      </c>
    </row>
    <row r="1183" spans="1:7">
      <c r="A1183" s="67">
        <v>266.17</v>
      </c>
      <c r="B1183" s="67">
        <v>274.46420000000001</v>
      </c>
      <c r="C1183" s="67">
        <v>262.42</v>
      </c>
      <c r="D1183" s="67">
        <v>274.35000000000002</v>
      </c>
      <c r="E1183" s="67">
        <v>296715</v>
      </c>
      <c r="F1183" s="67" t="s">
        <v>1203</v>
      </c>
      <c r="G1183" s="25">
        <f t="shared" si="15"/>
        <v>-2.9815928558410865E-2</v>
      </c>
    </row>
    <row r="1184" spans="1:7">
      <c r="A1184" s="67">
        <v>272.76</v>
      </c>
      <c r="B1184" s="67">
        <v>276.25</v>
      </c>
      <c r="C1184" s="67">
        <v>269.81</v>
      </c>
      <c r="D1184" s="67">
        <v>274.77999999999997</v>
      </c>
      <c r="E1184" s="67">
        <v>187399</v>
      </c>
      <c r="F1184" s="67" t="s">
        <v>1204</v>
      </c>
      <c r="G1184" s="25">
        <f t="shared" si="15"/>
        <v>-7.351335613945631E-3</v>
      </c>
    </row>
    <row r="1185" spans="1:7">
      <c r="A1185" s="67">
        <v>273.26</v>
      </c>
      <c r="B1185" s="67">
        <v>276.01</v>
      </c>
      <c r="C1185" s="67">
        <v>266.44</v>
      </c>
      <c r="D1185" s="67">
        <v>270</v>
      </c>
      <c r="E1185" s="67">
        <v>210437</v>
      </c>
      <c r="F1185" s="67" t="s">
        <v>1205</v>
      </c>
      <c r="G1185" s="25">
        <f t="shared" si="15"/>
        <v>1.2074074074074126E-2</v>
      </c>
    </row>
    <row r="1186" spans="1:7">
      <c r="A1186" s="67">
        <v>269.39</v>
      </c>
      <c r="B1186" s="67">
        <v>269.99</v>
      </c>
      <c r="C1186" s="67">
        <v>260.26</v>
      </c>
      <c r="D1186" s="67">
        <v>266.47000000000003</v>
      </c>
      <c r="E1186" s="67">
        <v>290887</v>
      </c>
      <c r="F1186" s="67" t="s">
        <v>1206</v>
      </c>
      <c r="G1186" s="25">
        <f t="shared" si="15"/>
        <v>1.0958081585168866E-2</v>
      </c>
    </row>
    <row r="1187" spans="1:7">
      <c r="A1187" s="67">
        <v>265.57</v>
      </c>
      <c r="B1187" s="67">
        <v>265.92500000000001</v>
      </c>
      <c r="C1187" s="67">
        <v>255.26499999999999</v>
      </c>
      <c r="D1187" s="67">
        <v>257.64</v>
      </c>
      <c r="E1187" s="67">
        <v>291708</v>
      </c>
      <c r="F1187" s="67" t="s">
        <v>1207</v>
      </c>
      <c r="G1187" s="25">
        <f t="shared" si="15"/>
        <v>3.0779382083527373E-2</v>
      </c>
    </row>
    <row r="1188" spans="1:7">
      <c r="A1188" s="67">
        <v>256.89999999999998</v>
      </c>
      <c r="B1188" s="67">
        <v>264.61500000000001</v>
      </c>
      <c r="C1188" s="67">
        <v>253.5</v>
      </c>
      <c r="D1188" s="67">
        <v>263.20999999999998</v>
      </c>
      <c r="E1188" s="67">
        <v>569399</v>
      </c>
      <c r="F1188" s="67" t="s">
        <v>1208</v>
      </c>
      <c r="G1188" s="25">
        <f t="shared" si="15"/>
        <v>-2.397325329584743E-2</v>
      </c>
    </row>
    <row r="1189" spans="1:7">
      <c r="A1189" s="67">
        <v>262.7</v>
      </c>
      <c r="B1189" s="67">
        <v>267.16000000000003</v>
      </c>
      <c r="C1189" s="67">
        <v>252.72</v>
      </c>
      <c r="D1189" s="67">
        <v>256.70999999999998</v>
      </c>
      <c r="E1189" s="67">
        <v>1250248</v>
      </c>
      <c r="F1189" s="67" t="s">
        <v>1209</v>
      </c>
      <c r="G1189" s="25">
        <f t="shared" si="15"/>
        <v>2.3333722877955765E-2</v>
      </c>
    </row>
    <row r="1190" spans="1:7">
      <c r="A1190" s="67">
        <v>258.74</v>
      </c>
      <c r="B1190" s="67">
        <v>269.36500000000001</v>
      </c>
      <c r="C1190" s="67">
        <v>258.02</v>
      </c>
      <c r="D1190" s="67">
        <v>268.29000000000002</v>
      </c>
      <c r="E1190" s="67">
        <v>414654</v>
      </c>
      <c r="F1190" s="67" t="s">
        <v>1210</v>
      </c>
      <c r="G1190" s="25">
        <f t="shared" si="15"/>
        <v>-3.5595810503559644E-2</v>
      </c>
    </row>
    <row r="1191" spans="1:7">
      <c r="A1191" s="67">
        <v>269</v>
      </c>
      <c r="B1191" s="67">
        <v>273.38</v>
      </c>
      <c r="C1191" s="67">
        <v>257.935</v>
      </c>
      <c r="D1191" s="67">
        <v>258.14999999999998</v>
      </c>
      <c r="E1191" s="67">
        <v>446476</v>
      </c>
      <c r="F1191" s="67" t="s">
        <v>1211</v>
      </c>
      <c r="G1191" s="25">
        <f t="shared" si="15"/>
        <v>4.2029827619601168E-2</v>
      </c>
    </row>
    <row r="1192" spans="1:7">
      <c r="A1192" s="67">
        <v>255.32</v>
      </c>
      <c r="B1192" s="67">
        <v>263.435</v>
      </c>
      <c r="C1192" s="67">
        <v>252.69</v>
      </c>
      <c r="D1192" s="67">
        <v>262.44</v>
      </c>
      <c r="E1192" s="67">
        <v>525441</v>
      </c>
      <c r="F1192" s="67" t="s">
        <v>1212</v>
      </c>
      <c r="G1192" s="25">
        <f t="shared" si="15"/>
        <v>-2.7130010669105364E-2</v>
      </c>
    </row>
    <row r="1193" spans="1:7">
      <c r="A1193" s="67">
        <v>264.60000000000002</v>
      </c>
      <c r="B1193" s="67">
        <v>266.24</v>
      </c>
      <c r="C1193" s="67">
        <v>257.04000000000002</v>
      </c>
      <c r="D1193" s="67">
        <v>262.75</v>
      </c>
      <c r="E1193" s="67">
        <v>546800</v>
      </c>
      <c r="F1193" s="67" t="s">
        <v>1213</v>
      </c>
      <c r="G1193" s="25">
        <f t="shared" si="15"/>
        <v>7.0409134157944919E-3</v>
      </c>
    </row>
    <row r="1194" spans="1:7">
      <c r="A1194" s="67">
        <v>262.52</v>
      </c>
      <c r="B1194" s="67">
        <v>271.64</v>
      </c>
      <c r="C1194" s="67">
        <v>260.98</v>
      </c>
      <c r="D1194" s="67">
        <v>267.29000000000002</v>
      </c>
      <c r="E1194" s="67">
        <v>1334601</v>
      </c>
      <c r="F1194" s="67" t="s">
        <v>1214</v>
      </c>
      <c r="G1194" s="25">
        <f t="shared" si="15"/>
        <v>-1.7845785476448994E-2</v>
      </c>
    </row>
    <row r="1195" spans="1:7">
      <c r="A1195" s="67">
        <v>268.5</v>
      </c>
      <c r="B1195" s="67">
        <v>283.27</v>
      </c>
      <c r="C1195" s="67">
        <v>268.49</v>
      </c>
      <c r="D1195" s="67">
        <v>276.27999999999997</v>
      </c>
      <c r="E1195" s="67">
        <v>528504</v>
      </c>
      <c r="F1195" s="67" t="s">
        <v>1215</v>
      </c>
      <c r="G1195" s="25">
        <f t="shared" si="15"/>
        <v>-2.8159837845663671E-2</v>
      </c>
    </row>
    <row r="1196" spans="1:7">
      <c r="A1196" s="67">
        <v>277.13</v>
      </c>
      <c r="B1196" s="67">
        <v>284.70999999999998</v>
      </c>
      <c r="C1196" s="67">
        <v>269.685</v>
      </c>
      <c r="D1196" s="67">
        <v>275</v>
      </c>
      <c r="E1196" s="67">
        <v>346203</v>
      </c>
      <c r="F1196" s="67" t="s">
        <v>1216</v>
      </c>
      <c r="G1196" s="25">
        <f t="shared" si="15"/>
        <v>7.7454545454544999E-3</v>
      </c>
    </row>
    <row r="1197" spans="1:7">
      <c r="A1197" s="67">
        <v>272.5</v>
      </c>
      <c r="B1197" s="67">
        <v>273.57</v>
      </c>
      <c r="C1197" s="67">
        <v>262.45499999999998</v>
      </c>
      <c r="D1197" s="67">
        <v>264.5</v>
      </c>
      <c r="E1197" s="67">
        <v>395645</v>
      </c>
      <c r="F1197" s="67" t="s">
        <v>1217</v>
      </c>
      <c r="G1197" s="25">
        <f t="shared" si="15"/>
        <v>3.0245746691871522E-2</v>
      </c>
    </row>
    <row r="1198" spans="1:7">
      <c r="A1198" s="67">
        <v>259.14</v>
      </c>
      <c r="B1198" s="67">
        <v>271.81</v>
      </c>
      <c r="C1198" s="67">
        <v>256.68</v>
      </c>
      <c r="D1198" s="67">
        <v>263.2</v>
      </c>
      <c r="E1198" s="67">
        <v>734026</v>
      </c>
      <c r="F1198" s="67" t="s">
        <v>1218</v>
      </c>
      <c r="G1198" s="25">
        <f t="shared" si="15"/>
        <v>-1.5425531914893598E-2</v>
      </c>
    </row>
    <row r="1199" spans="1:7">
      <c r="A1199" s="67">
        <v>263.17</v>
      </c>
      <c r="B1199" s="67">
        <v>292.74</v>
      </c>
      <c r="C1199" s="67">
        <v>250.76</v>
      </c>
      <c r="D1199" s="67">
        <v>289.58</v>
      </c>
      <c r="E1199" s="67">
        <v>1303630</v>
      </c>
      <c r="F1199" s="67" t="s">
        <v>1219</v>
      </c>
      <c r="G1199" s="25">
        <f t="shared" si="15"/>
        <v>-9.1201049796256539E-2</v>
      </c>
    </row>
    <row r="1200" spans="1:7">
      <c r="A1200" s="67">
        <v>287.24</v>
      </c>
      <c r="B1200" s="67">
        <v>289</v>
      </c>
      <c r="C1200" s="67">
        <v>281.69</v>
      </c>
      <c r="D1200" s="67">
        <v>282.75</v>
      </c>
      <c r="E1200" s="67">
        <v>249949</v>
      </c>
      <c r="F1200" s="67" t="s">
        <v>1220</v>
      </c>
      <c r="G1200" s="25">
        <f t="shared" si="15"/>
        <v>1.5879752431476657E-2</v>
      </c>
    </row>
    <row r="1201" spans="1:7">
      <c r="A1201" s="67">
        <v>283.45999999999998</v>
      </c>
      <c r="B1201" s="67">
        <v>293.52</v>
      </c>
      <c r="C1201" s="67">
        <v>282.52</v>
      </c>
      <c r="D1201" s="67">
        <v>289.64999999999998</v>
      </c>
      <c r="E1201" s="67">
        <v>343373</v>
      </c>
      <c r="F1201" s="67" t="s">
        <v>1221</v>
      </c>
      <c r="G1201" s="25">
        <f t="shared" si="15"/>
        <v>-2.1370619713447225E-2</v>
      </c>
    </row>
    <row r="1202" spans="1:7">
      <c r="A1202" s="67">
        <v>288.44</v>
      </c>
      <c r="B1202" s="67">
        <v>297.02</v>
      </c>
      <c r="C1202" s="67">
        <v>286.97000000000003</v>
      </c>
      <c r="D1202" s="67">
        <v>295.69</v>
      </c>
      <c r="E1202" s="67">
        <v>589406</v>
      </c>
      <c r="F1202" s="67" t="s">
        <v>1222</v>
      </c>
      <c r="G1202" s="25">
        <f t="shared" si="15"/>
        <v>-2.4518921843822872E-2</v>
      </c>
    </row>
    <row r="1203" spans="1:7">
      <c r="A1203" s="67">
        <v>295.87</v>
      </c>
      <c r="B1203" s="67">
        <v>299.64999999999998</v>
      </c>
      <c r="C1203" s="67">
        <v>294.02999999999997</v>
      </c>
      <c r="D1203" s="67">
        <v>298</v>
      </c>
      <c r="E1203" s="67">
        <v>321414</v>
      </c>
      <c r="F1203" s="67" t="s">
        <v>1223</v>
      </c>
      <c r="G1203" s="25">
        <f t="shared" si="15"/>
        <v>-7.1476510067114418E-3</v>
      </c>
    </row>
    <row r="1204" spans="1:7">
      <c r="A1204" s="67">
        <v>295.39</v>
      </c>
      <c r="B1204" s="67">
        <v>303.45999999999998</v>
      </c>
      <c r="C1204" s="67">
        <v>294.02</v>
      </c>
      <c r="D1204" s="67">
        <v>295.26</v>
      </c>
      <c r="E1204" s="67">
        <v>178809</v>
      </c>
      <c r="F1204" s="67" t="s">
        <v>1224</v>
      </c>
      <c r="G1204" s="25">
        <f t="shared" si="15"/>
        <v>4.4028991397415673E-4</v>
      </c>
    </row>
    <row r="1205" spans="1:7">
      <c r="A1205" s="67">
        <v>297.56</v>
      </c>
      <c r="B1205" s="67">
        <v>301.11</v>
      </c>
      <c r="C1205" s="67">
        <v>286</v>
      </c>
      <c r="D1205" s="67">
        <v>292.39999999999998</v>
      </c>
      <c r="E1205" s="67">
        <v>450717</v>
      </c>
      <c r="F1205" s="67" t="s">
        <v>1225</v>
      </c>
      <c r="G1205" s="25">
        <f t="shared" si="15"/>
        <v>1.7647058823529571E-2</v>
      </c>
    </row>
    <row r="1206" spans="1:7">
      <c r="A1206" s="67">
        <v>290.8</v>
      </c>
      <c r="B1206" s="67">
        <v>297.02</v>
      </c>
      <c r="C1206" s="67">
        <v>285</v>
      </c>
      <c r="D1206" s="67">
        <v>296.32</v>
      </c>
      <c r="E1206" s="67">
        <v>425978</v>
      </c>
      <c r="F1206" s="67" t="s">
        <v>1226</v>
      </c>
      <c r="G1206" s="25">
        <f t="shared" si="15"/>
        <v>-1.8628509719222364E-2</v>
      </c>
    </row>
    <row r="1207" spans="1:7">
      <c r="A1207" s="67">
        <v>298.83</v>
      </c>
      <c r="B1207" s="67">
        <v>302.60000000000002</v>
      </c>
      <c r="C1207" s="67">
        <v>294.26</v>
      </c>
      <c r="D1207" s="67">
        <v>300.77</v>
      </c>
      <c r="E1207" s="67">
        <v>505426</v>
      </c>
      <c r="F1207" s="67" t="s">
        <v>1227</v>
      </c>
      <c r="G1207" s="25">
        <f t="shared" si="15"/>
        <v>-6.4501113807893251E-3</v>
      </c>
    </row>
    <row r="1208" spans="1:7">
      <c r="A1208" s="67">
        <v>301</v>
      </c>
      <c r="B1208" s="67">
        <v>310.25</v>
      </c>
      <c r="C1208" s="67">
        <v>300.37</v>
      </c>
      <c r="D1208" s="67">
        <v>303.91000000000003</v>
      </c>
      <c r="E1208" s="67">
        <v>313677</v>
      </c>
      <c r="F1208" s="67" t="s">
        <v>1228</v>
      </c>
      <c r="G1208" s="25">
        <f t="shared" ref="G1208:G1271" si="16">A1208/D1208-1</f>
        <v>-9.5752031851535913E-3</v>
      </c>
    </row>
    <row r="1209" spans="1:7">
      <c r="A1209" s="67">
        <v>302.76</v>
      </c>
      <c r="B1209" s="67">
        <v>319.42</v>
      </c>
      <c r="C1209" s="67">
        <v>302.11</v>
      </c>
      <c r="D1209" s="67">
        <v>311</v>
      </c>
      <c r="E1209" s="67">
        <v>283178</v>
      </c>
      <c r="F1209" s="67" t="s">
        <v>1229</v>
      </c>
      <c r="G1209" s="25">
        <f t="shared" si="16"/>
        <v>-2.6495176848874591E-2</v>
      </c>
    </row>
    <row r="1210" spans="1:7">
      <c r="A1210" s="67">
        <v>310.87</v>
      </c>
      <c r="B1210" s="67">
        <v>319.7</v>
      </c>
      <c r="C1210" s="67">
        <v>310.02</v>
      </c>
      <c r="D1210" s="67">
        <v>316.39999999999998</v>
      </c>
      <c r="E1210" s="67">
        <v>198155</v>
      </c>
      <c r="F1210" s="67" t="s">
        <v>1230</v>
      </c>
      <c r="G1210" s="25">
        <f t="shared" si="16"/>
        <v>-1.7477876106194556E-2</v>
      </c>
    </row>
    <row r="1211" spans="1:7">
      <c r="A1211" s="67">
        <v>317.01</v>
      </c>
      <c r="B1211" s="67">
        <v>322.08999999999997</v>
      </c>
      <c r="C1211" s="67">
        <v>316.89</v>
      </c>
      <c r="D1211" s="67">
        <v>317.91000000000003</v>
      </c>
      <c r="E1211" s="67">
        <v>228144</v>
      </c>
      <c r="F1211" s="67" t="s">
        <v>1231</v>
      </c>
      <c r="G1211" s="25">
        <f t="shared" si="16"/>
        <v>-2.8309899028028385E-3</v>
      </c>
    </row>
    <row r="1212" spans="1:7">
      <c r="A1212" s="67">
        <v>316.22000000000003</v>
      </c>
      <c r="B1212" s="67">
        <v>317.39</v>
      </c>
      <c r="C1212" s="67">
        <v>312.92</v>
      </c>
      <c r="D1212" s="67">
        <v>313.97000000000003</v>
      </c>
      <c r="E1212" s="67">
        <v>311521</v>
      </c>
      <c r="F1212" s="67" t="s">
        <v>1232</v>
      </c>
      <c r="G1212" s="25">
        <f t="shared" si="16"/>
        <v>7.1662897729083408E-3</v>
      </c>
    </row>
    <row r="1213" spans="1:7">
      <c r="A1213" s="67">
        <v>314.85000000000002</v>
      </c>
      <c r="B1213" s="67">
        <v>319.71499999999997</v>
      </c>
      <c r="C1213" s="67">
        <v>313.74</v>
      </c>
      <c r="D1213" s="67">
        <v>316.63</v>
      </c>
      <c r="E1213" s="67">
        <v>176163</v>
      </c>
      <c r="F1213" s="67" t="s">
        <v>1233</v>
      </c>
      <c r="G1213" s="25">
        <f t="shared" si="16"/>
        <v>-5.6217035656759284E-3</v>
      </c>
    </row>
    <row r="1214" spans="1:7">
      <c r="A1214" s="67">
        <v>314.62</v>
      </c>
      <c r="B1214" s="67">
        <v>315.72000000000003</v>
      </c>
      <c r="C1214" s="67">
        <v>305.31</v>
      </c>
      <c r="D1214" s="67">
        <v>308.18</v>
      </c>
      <c r="E1214" s="67">
        <v>216684</v>
      </c>
      <c r="F1214" s="67" t="s">
        <v>1234</v>
      </c>
      <c r="G1214" s="25">
        <f t="shared" si="16"/>
        <v>2.0896878447660416E-2</v>
      </c>
    </row>
    <row r="1215" spans="1:7">
      <c r="A1215" s="67">
        <v>307.68</v>
      </c>
      <c r="B1215" s="67">
        <v>324.81</v>
      </c>
      <c r="C1215" s="67">
        <v>305.81</v>
      </c>
      <c r="D1215" s="67">
        <v>318.52</v>
      </c>
      <c r="E1215" s="67">
        <v>288018</v>
      </c>
      <c r="F1215" s="67" t="s">
        <v>1235</v>
      </c>
      <c r="G1215" s="25">
        <f t="shared" si="16"/>
        <v>-3.4032399849302952E-2</v>
      </c>
    </row>
    <row r="1216" spans="1:7">
      <c r="A1216" s="67">
        <v>318.29000000000002</v>
      </c>
      <c r="B1216" s="67">
        <v>323.38</v>
      </c>
      <c r="C1216" s="67">
        <v>313.47000000000003</v>
      </c>
      <c r="D1216" s="67">
        <v>315.52</v>
      </c>
      <c r="E1216" s="67">
        <v>361297</v>
      </c>
      <c r="F1216" s="67" t="s">
        <v>1236</v>
      </c>
      <c r="G1216" s="25">
        <f t="shared" si="16"/>
        <v>8.7791582150102965E-3</v>
      </c>
    </row>
    <row r="1217" spans="1:7">
      <c r="A1217" s="67">
        <v>313.47000000000003</v>
      </c>
      <c r="B1217" s="67">
        <v>318.26</v>
      </c>
      <c r="C1217" s="67">
        <v>304.92</v>
      </c>
      <c r="D1217" s="67">
        <v>308.47000000000003</v>
      </c>
      <c r="E1217" s="67">
        <v>424955</v>
      </c>
      <c r="F1217" s="67" t="s">
        <v>1237</v>
      </c>
      <c r="G1217" s="25">
        <f t="shared" si="16"/>
        <v>1.6209031672447916E-2</v>
      </c>
    </row>
    <row r="1218" spans="1:7">
      <c r="A1218" s="67">
        <v>308</v>
      </c>
      <c r="B1218" s="67">
        <v>323.62</v>
      </c>
      <c r="C1218" s="67">
        <v>290.3141</v>
      </c>
      <c r="D1218" s="67">
        <v>292.56</v>
      </c>
      <c r="E1218" s="67">
        <v>751742</v>
      </c>
      <c r="F1218" s="67" t="s">
        <v>1238</v>
      </c>
      <c r="G1218" s="25">
        <f t="shared" si="16"/>
        <v>5.277549904293144E-2</v>
      </c>
    </row>
    <row r="1219" spans="1:7">
      <c r="A1219" s="67">
        <v>301.61</v>
      </c>
      <c r="B1219" s="67">
        <v>308.83</v>
      </c>
      <c r="C1219" s="67">
        <v>297.33</v>
      </c>
      <c r="D1219" s="67">
        <v>307.54000000000002</v>
      </c>
      <c r="E1219" s="67">
        <v>610529</v>
      </c>
      <c r="F1219" s="67" t="s">
        <v>1239</v>
      </c>
      <c r="G1219" s="25">
        <f t="shared" si="16"/>
        <v>-1.9282044612083049E-2</v>
      </c>
    </row>
    <row r="1220" spans="1:7">
      <c r="A1220" s="67">
        <v>311.98</v>
      </c>
      <c r="B1220" s="67">
        <v>315.74</v>
      </c>
      <c r="C1220" s="67">
        <v>304.66000000000003</v>
      </c>
      <c r="D1220" s="67">
        <v>313.47000000000003</v>
      </c>
      <c r="E1220" s="67">
        <v>413712</v>
      </c>
      <c r="F1220" s="67" t="s">
        <v>1240</v>
      </c>
      <c r="G1220" s="25">
        <f t="shared" si="16"/>
        <v>-4.7532459246498737E-3</v>
      </c>
    </row>
    <row r="1221" spans="1:7">
      <c r="A1221" s="67">
        <v>312.86</v>
      </c>
      <c r="B1221" s="67">
        <v>313.27999999999997</v>
      </c>
      <c r="C1221" s="67">
        <v>306.17</v>
      </c>
      <c r="D1221" s="67">
        <v>308.75</v>
      </c>
      <c r="E1221" s="67">
        <v>373640</v>
      </c>
      <c r="F1221" s="67" t="s">
        <v>1241</v>
      </c>
      <c r="G1221" s="25">
        <f t="shared" si="16"/>
        <v>1.3311740890688206E-2</v>
      </c>
    </row>
    <row r="1222" spans="1:7">
      <c r="A1222" s="67">
        <v>308.7</v>
      </c>
      <c r="B1222" s="67">
        <v>313.23</v>
      </c>
      <c r="C1222" s="67">
        <v>304.72000000000003</v>
      </c>
      <c r="D1222" s="67">
        <v>312.10000000000002</v>
      </c>
      <c r="E1222" s="67">
        <v>371094</v>
      </c>
      <c r="F1222" s="67" t="s">
        <v>1242</v>
      </c>
      <c r="G1222" s="25">
        <f t="shared" si="16"/>
        <v>-1.0893944248638321E-2</v>
      </c>
    </row>
    <row r="1223" spans="1:7">
      <c r="A1223" s="67">
        <v>310.02</v>
      </c>
      <c r="B1223" s="67">
        <v>312.64999999999998</v>
      </c>
      <c r="C1223" s="67">
        <v>299</v>
      </c>
      <c r="D1223" s="67">
        <v>308.89999999999998</v>
      </c>
      <c r="E1223" s="67">
        <v>439525</v>
      </c>
      <c r="F1223" s="67" t="s">
        <v>1243</v>
      </c>
      <c r="G1223" s="25">
        <f t="shared" si="16"/>
        <v>3.625768857235423E-3</v>
      </c>
    </row>
    <row r="1224" spans="1:7">
      <c r="A1224" s="67">
        <v>309.99</v>
      </c>
      <c r="B1224" s="67">
        <v>310</v>
      </c>
      <c r="C1224" s="67">
        <v>298.18</v>
      </c>
      <c r="D1224" s="67">
        <v>299.92</v>
      </c>
      <c r="E1224" s="67">
        <v>337629</v>
      </c>
      <c r="F1224" s="67" t="s">
        <v>1244</v>
      </c>
      <c r="G1224" s="25">
        <f t="shared" si="16"/>
        <v>3.3575620165377407E-2</v>
      </c>
    </row>
    <row r="1225" spans="1:7">
      <c r="A1225" s="67">
        <v>299.33</v>
      </c>
      <c r="B1225" s="67">
        <v>308.44</v>
      </c>
      <c r="C1225" s="67">
        <v>296.38</v>
      </c>
      <c r="D1225" s="67">
        <v>304.88</v>
      </c>
      <c r="E1225" s="67">
        <v>163140</v>
      </c>
      <c r="F1225" s="67" t="s">
        <v>1245</v>
      </c>
      <c r="G1225" s="25">
        <f t="shared" si="16"/>
        <v>-1.8203883495145678E-2</v>
      </c>
    </row>
    <row r="1226" spans="1:7">
      <c r="A1226" s="67">
        <v>303.92</v>
      </c>
      <c r="B1226" s="67">
        <v>305.10000000000002</v>
      </c>
      <c r="C1226" s="67">
        <v>299.98500000000001</v>
      </c>
      <c r="D1226" s="67">
        <v>301.5</v>
      </c>
      <c r="E1226" s="67">
        <v>203672</v>
      </c>
      <c r="F1226" s="67" t="s">
        <v>1246</v>
      </c>
      <c r="G1226" s="25">
        <f t="shared" si="16"/>
        <v>8.0265339966834048E-3</v>
      </c>
    </row>
    <row r="1227" spans="1:7">
      <c r="A1227" s="67">
        <v>302.2</v>
      </c>
      <c r="B1227" s="67">
        <v>308.7</v>
      </c>
      <c r="C1227" s="67">
        <v>301.93</v>
      </c>
      <c r="D1227" s="67">
        <v>304.33</v>
      </c>
      <c r="E1227" s="67">
        <v>240743</v>
      </c>
      <c r="F1227" s="67" t="s">
        <v>1247</v>
      </c>
      <c r="G1227" s="25">
        <f t="shared" si="16"/>
        <v>-6.9989813689087521E-3</v>
      </c>
    </row>
    <row r="1228" spans="1:7">
      <c r="A1228" s="67">
        <v>304.33</v>
      </c>
      <c r="B1228" s="67">
        <v>307.17</v>
      </c>
      <c r="C1228" s="67">
        <v>301.53500000000003</v>
      </c>
      <c r="D1228" s="67">
        <v>304.94</v>
      </c>
      <c r="E1228" s="67">
        <v>116877</v>
      </c>
      <c r="F1228" s="67" t="s">
        <v>1248</v>
      </c>
      <c r="G1228" s="25">
        <f t="shared" si="16"/>
        <v>-2.0003935200367806E-3</v>
      </c>
    </row>
    <row r="1229" spans="1:7">
      <c r="A1229" s="67">
        <v>303.35000000000002</v>
      </c>
      <c r="B1229" s="67">
        <v>303.58</v>
      </c>
      <c r="C1229" s="67">
        <v>298.29000000000002</v>
      </c>
      <c r="D1229" s="67">
        <v>299.54000000000002</v>
      </c>
      <c r="E1229" s="67">
        <v>161596</v>
      </c>
      <c r="F1229" s="67" t="s">
        <v>1249</v>
      </c>
      <c r="G1229" s="25">
        <f t="shared" si="16"/>
        <v>1.2719503238298735E-2</v>
      </c>
    </row>
    <row r="1230" spans="1:7">
      <c r="A1230" s="67">
        <v>298.69</v>
      </c>
      <c r="B1230" s="67">
        <v>304.04000000000002</v>
      </c>
      <c r="C1230" s="67">
        <v>298.51</v>
      </c>
      <c r="D1230" s="67">
        <v>302.27999999999997</v>
      </c>
      <c r="E1230" s="67">
        <v>204272</v>
      </c>
      <c r="F1230" s="67" t="s">
        <v>1250</v>
      </c>
      <c r="G1230" s="25">
        <f t="shared" si="16"/>
        <v>-1.1876405981209426E-2</v>
      </c>
    </row>
    <row r="1231" spans="1:7">
      <c r="A1231" s="67">
        <v>299.93</v>
      </c>
      <c r="B1231" s="67">
        <v>303.64</v>
      </c>
      <c r="C1231" s="67">
        <v>292.02</v>
      </c>
      <c r="D1231" s="67">
        <v>294.20999999999998</v>
      </c>
      <c r="E1231" s="67">
        <v>187827</v>
      </c>
      <c r="F1231" s="67" t="s">
        <v>1251</v>
      </c>
      <c r="G1231" s="25">
        <f t="shared" si="16"/>
        <v>1.9441895244893148E-2</v>
      </c>
    </row>
    <row r="1232" spans="1:7">
      <c r="A1232" s="67">
        <v>291.91000000000003</v>
      </c>
      <c r="B1232" s="67">
        <v>300</v>
      </c>
      <c r="C1232" s="67">
        <v>287.47000000000003</v>
      </c>
      <c r="D1232" s="67">
        <v>300</v>
      </c>
      <c r="E1232" s="67">
        <v>240066</v>
      </c>
      <c r="F1232" s="67" t="s">
        <v>1252</v>
      </c>
      <c r="G1232" s="25">
        <f t="shared" si="16"/>
        <v>-2.6966666666666583E-2</v>
      </c>
    </row>
    <row r="1233" spans="1:7">
      <c r="A1233" s="67">
        <v>300.49</v>
      </c>
      <c r="B1233" s="67">
        <v>305.55</v>
      </c>
      <c r="C1233" s="67">
        <v>299.16000000000003</v>
      </c>
      <c r="D1233" s="67">
        <v>304.5</v>
      </c>
      <c r="E1233" s="67">
        <v>246603</v>
      </c>
      <c r="F1233" s="67" t="s">
        <v>1253</v>
      </c>
      <c r="G1233" s="25">
        <f t="shared" si="16"/>
        <v>-1.3169129720853823E-2</v>
      </c>
    </row>
    <row r="1234" spans="1:7">
      <c r="A1234" s="67">
        <v>304.02999999999997</v>
      </c>
      <c r="B1234" s="67">
        <v>305.18</v>
      </c>
      <c r="C1234" s="67">
        <v>301.18</v>
      </c>
      <c r="D1234" s="67">
        <v>303.41000000000003</v>
      </c>
      <c r="E1234" s="67">
        <v>219689</v>
      </c>
      <c r="F1234" s="67" t="s">
        <v>1254</v>
      </c>
      <c r="G1234" s="25">
        <f t="shared" si="16"/>
        <v>2.0434395702182417E-3</v>
      </c>
    </row>
    <row r="1235" spans="1:7">
      <c r="A1235" s="67">
        <v>300.25</v>
      </c>
      <c r="B1235" s="67">
        <v>301.79000000000002</v>
      </c>
      <c r="C1235" s="67">
        <v>297.67</v>
      </c>
      <c r="D1235" s="67">
        <v>298.76</v>
      </c>
      <c r="E1235" s="67">
        <v>264548</v>
      </c>
      <c r="F1235" s="67" t="s">
        <v>1255</v>
      </c>
      <c r="G1235" s="25">
        <f t="shared" si="16"/>
        <v>4.98728076047672E-3</v>
      </c>
    </row>
    <row r="1236" spans="1:7">
      <c r="A1236" s="67">
        <v>297.51</v>
      </c>
      <c r="B1236" s="67">
        <v>301.77</v>
      </c>
      <c r="C1236" s="67">
        <v>295.39</v>
      </c>
      <c r="D1236" s="67">
        <v>297.27</v>
      </c>
      <c r="E1236" s="67">
        <v>221746</v>
      </c>
      <c r="F1236" s="67" t="s">
        <v>1256</v>
      </c>
      <c r="G1236" s="25">
        <f t="shared" si="16"/>
        <v>8.0734685639316517E-4</v>
      </c>
    </row>
    <row r="1237" spans="1:7">
      <c r="A1237" s="67">
        <v>293.23</v>
      </c>
      <c r="B1237" s="67">
        <v>296.06</v>
      </c>
      <c r="C1237" s="67">
        <v>288.10000000000002</v>
      </c>
      <c r="D1237" s="67">
        <v>289.29000000000002</v>
      </c>
      <c r="E1237" s="67">
        <v>147425</v>
      </c>
      <c r="F1237" s="67" t="s">
        <v>1257</v>
      </c>
      <c r="G1237" s="25">
        <f t="shared" si="16"/>
        <v>1.3619551315289247E-2</v>
      </c>
    </row>
    <row r="1238" spans="1:7">
      <c r="A1238" s="67">
        <v>290.92</v>
      </c>
      <c r="B1238" s="67">
        <v>295.26</v>
      </c>
      <c r="C1238" s="67">
        <v>289.85500000000002</v>
      </c>
      <c r="D1238" s="67">
        <v>293.7</v>
      </c>
      <c r="E1238" s="67">
        <v>146863</v>
      </c>
      <c r="F1238" s="67" t="s">
        <v>1258</v>
      </c>
      <c r="G1238" s="25">
        <f t="shared" si="16"/>
        <v>-9.4654409261150096E-3</v>
      </c>
    </row>
    <row r="1239" spans="1:7">
      <c r="A1239" s="67">
        <v>293</v>
      </c>
      <c r="B1239" s="67">
        <v>296.77</v>
      </c>
      <c r="C1239" s="67">
        <v>289.20999999999998</v>
      </c>
      <c r="D1239" s="67">
        <v>292.77</v>
      </c>
      <c r="E1239" s="67">
        <v>260939</v>
      </c>
      <c r="F1239" s="67" t="s">
        <v>1259</v>
      </c>
      <c r="G1239" s="25">
        <f t="shared" si="16"/>
        <v>7.8559961744728568E-4</v>
      </c>
    </row>
    <row r="1240" spans="1:7">
      <c r="A1240" s="67">
        <v>291.63</v>
      </c>
      <c r="B1240" s="67">
        <v>291.86</v>
      </c>
      <c r="C1240" s="67">
        <v>284.125</v>
      </c>
      <c r="D1240" s="67">
        <v>286.44</v>
      </c>
      <c r="E1240" s="67">
        <v>272985</v>
      </c>
      <c r="F1240" s="67" t="s">
        <v>1260</v>
      </c>
      <c r="G1240" s="25">
        <f t="shared" si="16"/>
        <v>1.811897779639704E-2</v>
      </c>
    </row>
    <row r="1241" spans="1:7">
      <c r="A1241" s="67">
        <v>287.02999999999997</v>
      </c>
      <c r="B1241" s="67">
        <v>289.55</v>
      </c>
      <c r="C1241" s="67">
        <v>277.66000000000003</v>
      </c>
      <c r="D1241" s="67">
        <v>280</v>
      </c>
      <c r="E1241" s="67">
        <v>509897</v>
      </c>
      <c r="F1241" s="67" t="s">
        <v>1261</v>
      </c>
      <c r="G1241" s="25">
        <f t="shared" si="16"/>
        <v>2.5107142857142772E-2</v>
      </c>
    </row>
    <row r="1242" spans="1:7">
      <c r="A1242" s="67">
        <v>279.39999999999998</v>
      </c>
      <c r="B1242" s="67">
        <v>282.91000000000003</v>
      </c>
      <c r="C1242" s="67">
        <v>271.45999999999998</v>
      </c>
      <c r="D1242" s="67">
        <v>282.91000000000003</v>
      </c>
      <c r="E1242" s="67">
        <v>473612</v>
      </c>
      <c r="F1242" s="67" t="s">
        <v>1262</v>
      </c>
      <c r="G1242" s="25">
        <f t="shared" si="16"/>
        <v>-1.240677247181099E-2</v>
      </c>
    </row>
    <row r="1243" spans="1:7">
      <c r="A1243" s="67">
        <v>285.33</v>
      </c>
      <c r="B1243" s="67">
        <v>288.43</v>
      </c>
      <c r="C1243" s="67">
        <v>278.18</v>
      </c>
      <c r="D1243" s="67">
        <v>286.36</v>
      </c>
      <c r="E1243" s="67">
        <v>323420</v>
      </c>
      <c r="F1243" s="67" t="s">
        <v>1263</v>
      </c>
      <c r="G1243" s="25">
        <f t="shared" si="16"/>
        <v>-3.5968710713787377E-3</v>
      </c>
    </row>
    <row r="1244" spans="1:7">
      <c r="A1244" s="67">
        <v>284.23</v>
      </c>
      <c r="B1244" s="67">
        <v>287.2</v>
      </c>
      <c r="C1244" s="67">
        <v>279.31</v>
      </c>
      <c r="D1244" s="67">
        <v>279.31</v>
      </c>
      <c r="E1244" s="67">
        <v>395177</v>
      </c>
      <c r="F1244" s="67" t="s">
        <v>1264</v>
      </c>
      <c r="G1244" s="25">
        <f t="shared" si="16"/>
        <v>1.7614836561526737E-2</v>
      </c>
    </row>
    <row r="1245" spans="1:7">
      <c r="A1245" s="67">
        <v>278.97000000000003</v>
      </c>
      <c r="B1245" s="67">
        <v>285.62</v>
      </c>
      <c r="C1245" s="67">
        <v>277.29000000000002</v>
      </c>
      <c r="D1245" s="67">
        <v>278.36</v>
      </c>
      <c r="E1245" s="67">
        <v>335766</v>
      </c>
      <c r="F1245" s="67" t="s">
        <v>1265</v>
      </c>
      <c r="G1245" s="25">
        <f t="shared" si="16"/>
        <v>2.1914068113235707E-3</v>
      </c>
    </row>
    <row r="1246" spans="1:7">
      <c r="A1246" s="67">
        <v>276.54000000000002</v>
      </c>
      <c r="B1246" s="67">
        <v>284</v>
      </c>
      <c r="C1246" s="67">
        <v>276.38</v>
      </c>
      <c r="D1246" s="67">
        <v>282.64999999999998</v>
      </c>
      <c r="E1246" s="67">
        <v>394994</v>
      </c>
      <c r="F1246" s="67" t="s">
        <v>1266</v>
      </c>
      <c r="G1246" s="25">
        <f t="shared" si="16"/>
        <v>-2.1616840615602206E-2</v>
      </c>
    </row>
    <row r="1247" spans="1:7">
      <c r="A1247" s="67">
        <v>286.27999999999997</v>
      </c>
      <c r="B1247" s="67">
        <v>287.08999999999997</v>
      </c>
      <c r="C1247" s="67">
        <v>281.56</v>
      </c>
      <c r="D1247" s="67">
        <v>287.08999999999997</v>
      </c>
      <c r="E1247" s="67">
        <v>515086</v>
      </c>
      <c r="F1247" s="67" t="s">
        <v>1267</v>
      </c>
      <c r="G1247" s="25">
        <f t="shared" si="16"/>
        <v>-2.8214148873175748E-3</v>
      </c>
    </row>
    <row r="1248" spans="1:7">
      <c r="A1248" s="67">
        <v>289.2</v>
      </c>
      <c r="B1248" s="67">
        <v>291.69</v>
      </c>
      <c r="C1248" s="67">
        <v>286.995</v>
      </c>
      <c r="D1248" s="67">
        <v>289.11</v>
      </c>
      <c r="E1248" s="67">
        <v>177531</v>
      </c>
      <c r="F1248" s="67" t="s">
        <v>1268</v>
      </c>
      <c r="G1248" s="25">
        <f t="shared" si="16"/>
        <v>3.113001971566387E-4</v>
      </c>
    </row>
    <row r="1249" spans="1:7">
      <c r="A1249" s="67">
        <v>290.60000000000002</v>
      </c>
      <c r="B1249" s="67">
        <v>291.41000000000003</v>
      </c>
      <c r="C1249" s="67">
        <v>286.45</v>
      </c>
      <c r="D1249" s="67">
        <v>288.01</v>
      </c>
      <c r="E1249" s="67">
        <v>219737</v>
      </c>
      <c r="F1249" s="67" t="s">
        <v>1269</v>
      </c>
      <c r="G1249" s="25">
        <f t="shared" si="16"/>
        <v>8.992743307524087E-3</v>
      </c>
    </row>
    <row r="1250" spans="1:7">
      <c r="A1250" s="67">
        <v>288</v>
      </c>
      <c r="B1250" s="67">
        <v>293.14999999999998</v>
      </c>
      <c r="C1250" s="67">
        <v>287.57</v>
      </c>
      <c r="D1250" s="67">
        <v>293.14999999999998</v>
      </c>
      <c r="E1250" s="67">
        <v>308229</v>
      </c>
      <c r="F1250" s="67" t="s">
        <v>1270</v>
      </c>
      <c r="G1250" s="25">
        <f t="shared" si="16"/>
        <v>-1.7567798055602823E-2</v>
      </c>
    </row>
    <row r="1251" spans="1:7">
      <c r="A1251" s="67">
        <v>293.32</v>
      </c>
      <c r="B1251" s="67">
        <v>296.35000000000002</v>
      </c>
      <c r="C1251" s="67">
        <v>291.27</v>
      </c>
      <c r="D1251" s="67">
        <v>291.27</v>
      </c>
      <c r="E1251" s="67">
        <v>214763</v>
      </c>
      <c r="F1251" s="67" t="s">
        <v>1271</v>
      </c>
      <c r="G1251" s="25">
        <f t="shared" si="16"/>
        <v>7.0381433034640839E-3</v>
      </c>
    </row>
    <row r="1252" spans="1:7">
      <c r="A1252" s="67">
        <v>289.05</v>
      </c>
      <c r="B1252" s="67">
        <v>292.13</v>
      </c>
      <c r="C1252" s="67">
        <v>285</v>
      </c>
      <c r="D1252" s="67">
        <v>287.83999999999997</v>
      </c>
      <c r="E1252" s="67">
        <v>215259</v>
      </c>
      <c r="F1252" s="67" t="s">
        <v>1272</v>
      </c>
      <c r="G1252" s="25">
        <f t="shared" si="16"/>
        <v>4.2037242912731365E-3</v>
      </c>
    </row>
    <row r="1253" spans="1:7">
      <c r="A1253" s="67">
        <v>292.45</v>
      </c>
      <c r="B1253" s="67">
        <v>292.52</v>
      </c>
      <c r="C1253" s="67">
        <v>284.42</v>
      </c>
      <c r="D1253" s="67">
        <v>286.95</v>
      </c>
      <c r="E1253" s="67">
        <v>393216</v>
      </c>
      <c r="F1253" s="67" t="s">
        <v>1273</v>
      </c>
      <c r="G1253" s="25">
        <f t="shared" si="16"/>
        <v>1.9167102282627635E-2</v>
      </c>
    </row>
    <row r="1254" spans="1:7">
      <c r="A1254" s="67">
        <v>287.89999999999998</v>
      </c>
      <c r="B1254" s="67">
        <v>291.67</v>
      </c>
      <c r="C1254" s="67">
        <v>286.3</v>
      </c>
      <c r="D1254" s="67">
        <v>290</v>
      </c>
      <c r="E1254" s="67">
        <v>386477</v>
      </c>
      <c r="F1254" s="67" t="s">
        <v>1274</v>
      </c>
      <c r="G1254" s="25">
        <f t="shared" si="16"/>
        <v>-7.2413793103448532E-3</v>
      </c>
    </row>
    <row r="1255" spans="1:7">
      <c r="A1255" s="67">
        <v>291.44</v>
      </c>
      <c r="B1255" s="67">
        <v>294.62</v>
      </c>
      <c r="C1255" s="67">
        <v>290.23</v>
      </c>
      <c r="D1255" s="67">
        <v>293.13</v>
      </c>
      <c r="E1255" s="67">
        <v>237065</v>
      </c>
      <c r="F1255" s="67" t="s">
        <v>1275</v>
      </c>
      <c r="G1255" s="25">
        <f t="shared" si="16"/>
        <v>-5.7653600791457427E-3</v>
      </c>
    </row>
    <row r="1256" spans="1:7">
      <c r="A1256" s="67">
        <v>294.29000000000002</v>
      </c>
      <c r="B1256" s="67">
        <v>298</v>
      </c>
      <c r="C1256" s="67">
        <v>292.05</v>
      </c>
      <c r="D1256" s="67">
        <v>297.52</v>
      </c>
      <c r="E1256" s="67">
        <v>251316</v>
      </c>
      <c r="F1256" s="67" t="s">
        <v>1276</v>
      </c>
      <c r="G1256" s="25">
        <f t="shared" si="16"/>
        <v>-1.0856413014250998E-2</v>
      </c>
    </row>
    <row r="1257" spans="1:7">
      <c r="A1257" s="67">
        <v>295.10000000000002</v>
      </c>
      <c r="B1257" s="67">
        <v>296.36</v>
      </c>
      <c r="C1257" s="67">
        <v>288.25</v>
      </c>
      <c r="D1257" s="67">
        <v>296.16000000000003</v>
      </c>
      <c r="E1257" s="67">
        <v>328749</v>
      </c>
      <c r="F1257" s="67" t="s">
        <v>1277</v>
      </c>
      <c r="G1257" s="25">
        <f t="shared" si="16"/>
        <v>-3.5791464073473556E-3</v>
      </c>
    </row>
    <row r="1258" spans="1:7">
      <c r="A1258" s="67">
        <v>296.42</v>
      </c>
      <c r="B1258" s="67">
        <v>303.88</v>
      </c>
      <c r="C1258" s="67">
        <v>293.27</v>
      </c>
      <c r="D1258" s="67">
        <v>303.25</v>
      </c>
      <c r="E1258" s="67">
        <v>346977</v>
      </c>
      <c r="F1258" s="67" t="s">
        <v>1278</v>
      </c>
      <c r="G1258" s="25">
        <f t="shared" si="16"/>
        <v>-2.2522671063478938E-2</v>
      </c>
    </row>
    <row r="1259" spans="1:7">
      <c r="A1259" s="67">
        <v>302.27</v>
      </c>
      <c r="B1259" s="67">
        <v>308.26</v>
      </c>
      <c r="C1259" s="67">
        <v>301.69</v>
      </c>
      <c r="D1259" s="67">
        <v>301.69</v>
      </c>
      <c r="E1259" s="67">
        <v>247436</v>
      </c>
      <c r="F1259" s="67" t="s">
        <v>1279</v>
      </c>
      <c r="G1259" s="25">
        <f t="shared" si="16"/>
        <v>1.9225032317942148E-3</v>
      </c>
    </row>
    <row r="1260" spans="1:7">
      <c r="A1260" s="67">
        <v>302.68</v>
      </c>
      <c r="B1260" s="67">
        <v>309.99</v>
      </c>
      <c r="C1260" s="67">
        <v>298.91000000000003</v>
      </c>
      <c r="D1260" s="67">
        <v>305.49</v>
      </c>
      <c r="E1260" s="67">
        <v>342646</v>
      </c>
      <c r="F1260" s="67" t="s">
        <v>1280</v>
      </c>
      <c r="G1260" s="25">
        <f t="shared" si="16"/>
        <v>-9.1983370977773982E-3</v>
      </c>
    </row>
    <row r="1261" spans="1:7">
      <c r="A1261" s="67">
        <v>307.27</v>
      </c>
      <c r="B1261" s="67">
        <v>309.81</v>
      </c>
      <c r="C1261" s="67">
        <v>302.77499999999998</v>
      </c>
      <c r="D1261" s="67">
        <v>303</v>
      </c>
      <c r="E1261" s="67">
        <v>243856</v>
      </c>
      <c r="F1261" s="67" t="s">
        <v>1281</v>
      </c>
      <c r="G1261" s="25">
        <f t="shared" si="16"/>
        <v>1.4092409240924031E-2</v>
      </c>
    </row>
    <row r="1262" spans="1:7">
      <c r="A1262" s="67">
        <v>302.58999999999997</v>
      </c>
      <c r="B1262" s="67">
        <v>303</v>
      </c>
      <c r="C1262" s="67">
        <v>298.39999999999998</v>
      </c>
      <c r="D1262" s="67">
        <v>301.05</v>
      </c>
      <c r="E1262" s="67">
        <v>159469</v>
      </c>
      <c r="F1262" s="67" t="s">
        <v>1282</v>
      </c>
      <c r="G1262" s="25">
        <f t="shared" si="16"/>
        <v>5.1154293306758802E-3</v>
      </c>
    </row>
    <row r="1263" spans="1:7">
      <c r="A1263" s="67">
        <v>301.7</v>
      </c>
      <c r="B1263" s="67">
        <v>304.74</v>
      </c>
      <c r="C1263" s="67">
        <v>297.755</v>
      </c>
      <c r="D1263" s="67">
        <v>300.82</v>
      </c>
      <c r="E1263" s="67">
        <v>255284</v>
      </c>
      <c r="F1263" s="67" t="s">
        <v>1283</v>
      </c>
      <c r="G1263" s="25">
        <f t="shared" si="16"/>
        <v>2.9253374110764785E-3</v>
      </c>
    </row>
    <row r="1264" spans="1:7">
      <c r="A1264" s="67">
        <v>299.99</v>
      </c>
      <c r="B1264" s="67">
        <v>300.06</v>
      </c>
      <c r="C1264" s="67">
        <v>294.67840000000001</v>
      </c>
      <c r="D1264" s="67">
        <v>297.82</v>
      </c>
      <c r="E1264" s="67">
        <v>320990</v>
      </c>
      <c r="F1264" s="67" t="s">
        <v>1284</v>
      </c>
      <c r="G1264" s="25">
        <f t="shared" si="16"/>
        <v>7.2862803035391721E-3</v>
      </c>
    </row>
    <row r="1265" spans="1:7">
      <c r="A1265" s="67">
        <v>297.81</v>
      </c>
      <c r="B1265" s="67">
        <v>299.24</v>
      </c>
      <c r="C1265" s="67">
        <v>294.17500000000001</v>
      </c>
      <c r="D1265" s="67">
        <v>297.41000000000003</v>
      </c>
      <c r="E1265" s="67">
        <v>251366</v>
      </c>
      <c r="F1265" s="67" t="s">
        <v>1285</v>
      </c>
      <c r="G1265" s="25">
        <f t="shared" si="16"/>
        <v>1.3449446891495853E-3</v>
      </c>
    </row>
    <row r="1266" spans="1:7">
      <c r="A1266" s="67">
        <v>296.14999999999998</v>
      </c>
      <c r="B1266" s="67">
        <v>300.58</v>
      </c>
      <c r="C1266" s="67">
        <v>295.68</v>
      </c>
      <c r="D1266" s="67">
        <v>295.68</v>
      </c>
      <c r="E1266" s="67">
        <v>186219</v>
      </c>
      <c r="F1266" s="67" t="s">
        <v>1286</v>
      </c>
      <c r="G1266" s="25">
        <f t="shared" si="16"/>
        <v>1.5895562770562588E-3</v>
      </c>
    </row>
    <row r="1267" spans="1:7">
      <c r="A1267" s="67">
        <v>295.08999999999997</v>
      </c>
      <c r="B1267" s="67">
        <v>298.95</v>
      </c>
      <c r="C1267" s="67">
        <v>294.16000000000003</v>
      </c>
      <c r="D1267" s="67">
        <v>295.08999999999997</v>
      </c>
      <c r="E1267" s="67">
        <v>229072</v>
      </c>
      <c r="F1267" s="67" t="s">
        <v>1287</v>
      </c>
      <c r="G1267" s="25">
        <f t="shared" si="16"/>
        <v>0</v>
      </c>
    </row>
    <row r="1268" spans="1:7">
      <c r="A1268" s="67">
        <v>294.13</v>
      </c>
      <c r="B1268" s="67">
        <v>302.51</v>
      </c>
      <c r="C1268" s="67">
        <v>293.92</v>
      </c>
      <c r="D1268" s="67">
        <v>299.86</v>
      </c>
      <c r="E1268" s="67">
        <v>271937</v>
      </c>
      <c r="F1268" s="67" t="s">
        <v>1288</v>
      </c>
      <c r="G1268" s="25">
        <f t="shared" si="16"/>
        <v>-1.9108917494831013E-2</v>
      </c>
    </row>
    <row r="1269" spans="1:7">
      <c r="A1269" s="67">
        <v>299.75</v>
      </c>
      <c r="B1269" s="67">
        <v>301.37</v>
      </c>
      <c r="C1269" s="67">
        <v>296.63</v>
      </c>
      <c r="D1269" s="67">
        <v>299.77</v>
      </c>
      <c r="E1269" s="67">
        <v>266557</v>
      </c>
      <c r="F1269" s="67" t="s">
        <v>1289</v>
      </c>
      <c r="G1269" s="25">
        <f t="shared" si="16"/>
        <v>-6.6717816992967194E-5</v>
      </c>
    </row>
    <row r="1270" spans="1:7">
      <c r="A1270" s="67">
        <v>300.02</v>
      </c>
      <c r="B1270" s="67">
        <v>300.66000000000003</v>
      </c>
      <c r="C1270" s="67">
        <v>292.05</v>
      </c>
      <c r="D1270" s="67">
        <v>293.54000000000002</v>
      </c>
      <c r="E1270" s="67">
        <v>195706</v>
      </c>
      <c r="F1270" s="67" t="s">
        <v>1290</v>
      </c>
      <c r="G1270" s="25">
        <f t="shared" si="16"/>
        <v>2.20753559991822E-2</v>
      </c>
    </row>
    <row r="1271" spans="1:7">
      <c r="A1271" s="67">
        <v>293.54000000000002</v>
      </c>
      <c r="B1271" s="67">
        <v>296.62</v>
      </c>
      <c r="C1271" s="67">
        <v>291.05</v>
      </c>
      <c r="D1271" s="67">
        <v>295.35000000000002</v>
      </c>
      <c r="E1271" s="67">
        <v>312300</v>
      </c>
      <c r="F1271" s="67" t="s">
        <v>1291</v>
      </c>
      <c r="G1271" s="25">
        <f t="shared" si="16"/>
        <v>-6.1283223294396061E-3</v>
      </c>
    </row>
    <row r="1272" spans="1:7">
      <c r="A1272" s="67">
        <v>295.27999999999997</v>
      </c>
      <c r="B1272" s="67">
        <v>298.64</v>
      </c>
      <c r="C1272" s="67">
        <v>293.05</v>
      </c>
      <c r="D1272" s="67">
        <v>295.95999999999998</v>
      </c>
      <c r="E1272" s="67">
        <v>323049</v>
      </c>
      <c r="F1272" s="67" t="s">
        <v>1292</v>
      </c>
      <c r="G1272" s="25">
        <f t="shared" ref="G1272:G1335" si="17">A1272/D1272-1</f>
        <v>-2.2976077848357868E-3</v>
      </c>
    </row>
    <row r="1273" spans="1:7">
      <c r="A1273" s="67">
        <v>294.81</v>
      </c>
      <c r="B1273" s="67">
        <v>298.33</v>
      </c>
      <c r="C1273" s="67">
        <v>293.08</v>
      </c>
      <c r="D1273" s="67">
        <v>295.5</v>
      </c>
      <c r="E1273" s="67">
        <v>216383</v>
      </c>
      <c r="F1273" s="67" t="s">
        <v>1293</v>
      </c>
      <c r="G1273" s="25">
        <f t="shared" si="17"/>
        <v>-2.3350253807106203E-3</v>
      </c>
    </row>
    <row r="1274" spans="1:7">
      <c r="A1274" s="67">
        <v>297</v>
      </c>
      <c r="B1274" s="67">
        <v>303.84500000000003</v>
      </c>
      <c r="C1274" s="67">
        <v>295.02999999999997</v>
      </c>
      <c r="D1274" s="67">
        <v>303.48</v>
      </c>
      <c r="E1274" s="67">
        <v>339785</v>
      </c>
      <c r="F1274" s="67" t="s">
        <v>1294</v>
      </c>
      <c r="G1274" s="25">
        <f t="shared" si="17"/>
        <v>-2.1352313167259829E-2</v>
      </c>
    </row>
    <row r="1275" spans="1:7">
      <c r="A1275" s="67">
        <v>302.83999999999997</v>
      </c>
      <c r="B1275" s="67">
        <v>303.27499999999998</v>
      </c>
      <c r="C1275" s="67">
        <v>290.56</v>
      </c>
      <c r="D1275" s="67">
        <v>291.70999999999998</v>
      </c>
      <c r="E1275" s="67">
        <v>731956</v>
      </c>
      <c r="F1275" s="67" t="s">
        <v>1295</v>
      </c>
      <c r="G1275" s="25">
        <f t="shared" si="17"/>
        <v>3.8154331356484272E-2</v>
      </c>
    </row>
    <row r="1276" spans="1:7">
      <c r="A1276" s="67">
        <v>292.91000000000003</v>
      </c>
      <c r="B1276" s="67">
        <v>294.42</v>
      </c>
      <c r="C1276" s="67">
        <v>284.69</v>
      </c>
      <c r="D1276" s="67">
        <v>286.36</v>
      </c>
      <c r="E1276" s="67">
        <v>345897</v>
      </c>
      <c r="F1276" s="67" t="s">
        <v>1296</v>
      </c>
      <c r="G1276" s="25">
        <f t="shared" si="17"/>
        <v>2.287330632769935E-2</v>
      </c>
    </row>
    <row r="1277" spans="1:7">
      <c r="A1277" s="67">
        <v>287.57</v>
      </c>
      <c r="B1277" s="67">
        <v>287.98500000000001</v>
      </c>
      <c r="C1277" s="67">
        <v>280.31</v>
      </c>
      <c r="D1277" s="67">
        <v>281.18</v>
      </c>
      <c r="E1277" s="67">
        <v>292162</v>
      </c>
      <c r="F1277" s="67" t="s">
        <v>1297</v>
      </c>
      <c r="G1277" s="25">
        <f t="shared" si="17"/>
        <v>2.2725656163311792E-2</v>
      </c>
    </row>
    <row r="1278" spans="1:7">
      <c r="A1278" s="67">
        <v>281.35000000000002</v>
      </c>
      <c r="B1278" s="67">
        <v>283.25</v>
      </c>
      <c r="C1278" s="67">
        <v>272</v>
      </c>
      <c r="D1278" s="67">
        <v>273.67</v>
      </c>
      <c r="E1278" s="67">
        <v>266394</v>
      </c>
      <c r="F1278" s="67" t="s">
        <v>1298</v>
      </c>
      <c r="G1278" s="25">
        <f t="shared" si="17"/>
        <v>2.806299557861669E-2</v>
      </c>
    </row>
    <row r="1279" spans="1:7">
      <c r="A1279" s="67">
        <v>275.02999999999997</v>
      </c>
      <c r="B1279" s="67">
        <v>281.65499999999997</v>
      </c>
      <c r="C1279" s="67">
        <v>272.42</v>
      </c>
      <c r="D1279" s="67">
        <v>279</v>
      </c>
      <c r="E1279" s="67">
        <v>446045</v>
      </c>
      <c r="F1279" s="67" t="s">
        <v>1299</v>
      </c>
      <c r="G1279" s="25">
        <f t="shared" si="17"/>
        <v>-1.4229390681003706E-2</v>
      </c>
    </row>
    <row r="1280" spans="1:7">
      <c r="A1280" s="67">
        <v>279.39999999999998</v>
      </c>
      <c r="B1280" s="67">
        <v>289.10000000000002</v>
      </c>
      <c r="C1280" s="67">
        <v>276</v>
      </c>
      <c r="D1280" s="67">
        <v>286.51</v>
      </c>
      <c r="E1280" s="67">
        <v>531802</v>
      </c>
      <c r="F1280" s="67" t="s">
        <v>1300</v>
      </c>
      <c r="G1280" s="25">
        <f t="shared" si="17"/>
        <v>-2.4815887752609012E-2</v>
      </c>
    </row>
    <row r="1281" spans="1:7">
      <c r="A1281" s="67">
        <v>286.64999999999998</v>
      </c>
      <c r="B1281" s="67">
        <v>290.67</v>
      </c>
      <c r="C1281" s="67">
        <v>274.01</v>
      </c>
      <c r="D1281" s="67">
        <v>277.48</v>
      </c>
      <c r="E1281" s="67">
        <v>702104</v>
      </c>
      <c r="F1281" s="67" t="s">
        <v>1301</v>
      </c>
      <c r="G1281" s="25">
        <f t="shared" si="17"/>
        <v>3.3047426841573913E-2</v>
      </c>
    </row>
    <row r="1282" spans="1:7">
      <c r="A1282" s="67">
        <v>275.51</v>
      </c>
      <c r="B1282" s="67">
        <v>282.99</v>
      </c>
      <c r="C1282" s="67">
        <v>255.38210000000001</v>
      </c>
      <c r="D1282" s="67">
        <v>282.99</v>
      </c>
      <c r="E1282" s="67">
        <v>1922112</v>
      </c>
      <c r="F1282" s="67" t="s">
        <v>1302</v>
      </c>
      <c r="G1282" s="25">
        <f t="shared" si="17"/>
        <v>-2.643202940033218E-2</v>
      </c>
    </row>
    <row r="1283" spans="1:7">
      <c r="A1283" s="67">
        <v>280.45</v>
      </c>
      <c r="B1283" s="67">
        <v>281.16289999999998</v>
      </c>
      <c r="C1283" s="67">
        <v>273.69</v>
      </c>
      <c r="D1283" s="67">
        <v>278.93</v>
      </c>
      <c r="E1283" s="67">
        <v>562815</v>
      </c>
      <c r="F1283" s="67" t="s">
        <v>1303</v>
      </c>
      <c r="G1283" s="25">
        <f t="shared" si="17"/>
        <v>5.4493959057826391E-3</v>
      </c>
    </row>
    <row r="1284" spans="1:7">
      <c r="A1284" s="67">
        <v>279.18</v>
      </c>
      <c r="B1284" s="67">
        <v>281.54000000000002</v>
      </c>
      <c r="C1284" s="67">
        <v>276.01</v>
      </c>
      <c r="D1284" s="67">
        <v>278.55</v>
      </c>
      <c r="E1284" s="67">
        <v>285492</v>
      </c>
      <c r="F1284" s="67" t="s">
        <v>1304</v>
      </c>
      <c r="G1284" s="25">
        <f t="shared" si="17"/>
        <v>2.2617124394184174E-3</v>
      </c>
    </row>
    <row r="1285" spans="1:7">
      <c r="A1285" s="67">
        <v>278.86</v>
      </c>
      <c r="B1285" s="67">
        <v>280.27999999999997</v>
      </c>
      <c r="C1285" s="67">
        <v>276.33999999999997</v>
      </c>
      <c r="D1285" s="67">
        <v>279.11</v>
      </c>
      <c r="E1285" s="67">
        <v>303779</v>
      </c>
      <c r="F1285" s="67" t="s">
        <v>1305</v>
      </c>
      <c r="G1285" s="25">
        <f t="shared" si="17"/>
        <v>-8.9570420264406536E-4</v>
      </c>
    </row>
    <row r="1286" spans="1:7">
      <c r="A1286" s="67">
        <v>278.7</v>
      </c>
      <c r="B1286" s="67">
        <v>281.91000000000003</v>
      </c>
      <c r="C1286" s="67">
        <v>274.62</v>
      </c>
      <c r="D1286" s="67">
        <v>281.91000000000003</v>
      </c>
      <c r="E1286" s="67">
        <v>243445</v>
      </c>
      <c r="F1286" s="67" t="s">
        <v>1306</v>
      </c>
      <c r="G1286" s="25">
        <f t="shared" si="17"/>
        <v>-1.1386612748749747E-2</v>
      </c>
    </row>
    <row r="1287" spans="1:7">
      <c r="A1287" s="67">
        <v>279.69</v>
      </c>
      <c r="B1287" s="67">
        <v>283.14</v>
      </c>
      <c r="C1287" s="67">
        <v>270.55</v>
      </c>
      <c r="D1287" s="67">
        <v>272.75</v>
      </c>
      <c r="E1287" s="67">
        <v>258293</v>
      </c>
      <c r="F1287" s="67" t="s">
        <v>1307</v>
      </c>
      <c r="G1287" s="25">
        <f t="shared" si="17"/>
        <v>2.5444546287809233E-2</v>
      </c>
    </row>
    <row r="1288" spans="1:7">
      <c r="A1288" s="67">
        <v>273.74</v>
      </c>
      <c r="B1288" s="67">
        <v>275.70499999999998</v>
      </c>
      <c r="C1288" s="67">
        <v>272.66000000000003</v>
      </c>
      <c r="D1288" s="67">
        <v>273.5</v>
      </c>
      <c r="E1288" s="67">
        <v>173286</v>
      </c>
      <c r="F1288" s="67" t="s">
        <v>1308</v>
      </c>
      <c r="G1288" s="25">
        <f t="shared" si="17"/>
        <v>8.7751371115185606E-4</v>
      </c>
    </row>
    <row r="1289" spans="1:7">
      <c r="A1289" s="67">
        <v>272.51</v>
      </c>
      <c r="B1289" s="67">
        <v>274.87</v>
      </c>
      <c r="C1289" s="67">
        <v>266.76</v>
      </c>
      <c r="D1289" s="67">
        <v>266.98</v>
      </c>
      <c r="E1289" s="67">
        <v>189079</v>
      </c>
      <c r="F1289" s="67" t="s">
        <v>1309</v>
      </c>
      <c r="G1289" s="25">
        <f t="shared" si="17"/>
        <v>2.0713162034609267E-2</v>
      </c>
    </row>
    <row r="1290" spans="1:7">
      <c r="A1290" s="67">
        <v>266.85000000000002</v>
      </c>
      <c r="B1290" s="67">
        <v>267.24</v>
      </c>
      <c r="C1290" s="67">
        <v>260.01</v>
      </c>
      <c r="D1290" s="67">
        <v>263.3</v>
      </c>
      <c r="E1290" s="67">
        <v>272318</v>
      </c>
      <c r="F1290" s="67" t="s">
        <v>1310</v>
      </c>
      <c r="G1290" s="25">
        <f t="shared" si="17"/>
        <v>1.3482719331560977E-2</v>
      </c>
    </row>
    <row r="1291" spans="1:7">
      <c r="A1291" s="67">
        <v>263.67</v>
      </c>
      <c r="B1291" s="67">
        <v>275.92</v>
      </c>
      <c r="C1291" s="67">
        <v>262.13</v>
      </c>
      <c r="D1291" s="67">
        <v>275.54000000000002</v>
      </c>
      <c r="E1291" s="67">
        <v>295180</v>
      </c>
      <c r="F1291" s="67" t="s">
        <v>1311</v>
      </c>
      <c r="G1291" s="25">
        <f t="shared" si="17"/>
        <v>-4.3079044784786302E-2</v>
      </c>
    </row>
    <row r="1292" spans="1:7">
      <c r="A1292" s="67">
        <v>276.55</v>
      </c>
      <c r="B1292" s="67">
        <v>276.74</v>
      </c>
      <c r="C1292" s="67">
        <v>268.91000000000003</v>
      </c>
      <c r="D1292" s="67">
        <v>274.31</v>
      </c>
      <c r="E1292" s="67">
        <v>261217</v>
      </c>
      <c r="F1292" s="67" t="s">
        <v>1312</v>
      </c>
      <c r="G1292" s="25">
        <f t="shared" si="17"/>
        <v>8.165943640406903E-3</v>
      </c>
    </row>
    <row r="1293" spans="1:7">
      <c r="A1293" s="67">
        <v>271.45999999999998</v>
      </c>
      <c r="B1293" s="67">
        <v>274.97000000000003</v>
      </c>
      <c r="C1293" s="67">
        <v>266.33999999999997</v>
      </c>
      <c r="D1293" s="67">
        <v>270.85000000000002</v>
      </c>
      <c r="E1293" s="67">
        <v>208089</v>
      </c>
      <c r="F1293" s="67" t="s">
        <v>1313</v>
      </c>
      <c r="G1293" s="25">
        <f t="shared" si="17"/>
        <v>2.2521690972860942E-3</v>
      </c>
    </row>
    <row r="1294" spans="1:7">
      <c r="A1294" s="67">
        <v>271.48</v>
      </c>
      <c r="B1294" s="67">
        <v>273.75</v>
      </c>
      <c r="C1294" s="67">
        <v>265.87</v>
      </c>
      <c r="D1294" s="67">
        <v>273.75</v>
      </c>
      <c r="E1294" s="67">
        <v>238128</v>
      </c>
      <c r="F1294" s="67" t="s">
        <v>1314</v>
      </c>
      <c r="G1294" s="25">
        <f t="shared" si="17"/>
        <v>-8.29223744292229E-3</v>
      </c>
    </row>
    <row r="1295" spans="1:7">
      <c r="A1295" s="67">
        <v>272.89999999999998</v>
      </c>
      <c r="B1295" s="67">
        <v>275.55</v>
      </c>
      <c r="C1295" s="67">
        <v>265.58999999999997</v>
      </c>
      <c r="D1295" s="67">
        <v>265.98</v>
      </c>
      <c r="E1295" s="67">
        <v>432772</v>
      </c>
      <c r="F1295" s="67" t="s">
        <v>1315</v>
      </c>
      <c r="G1295" s="25">
        <f t="shared" si="17"/>
        <v>2.6016993758929186E-2</v>
      </c>
    </row>
    <row r="1296" spans="1:7">
      <c r="A1296" s="67">
        <v>265</v>
      </c>
      <c r="B1296" s="67">
        <v>270.08499999999998</v>
      </c>
      <c r="C1296" s="67">
        <v>262.13499999999999</v>
      </c>
      <c r="D1296" s="67">
        <v>266.94</v>
      </c>
      <c r="E1296" s="67">
        <v>238251</v>
      </c>
      <c r="F1296" s="67" t="s">
        <v>1316</v>
      </c>
      <c r="G1296" s="25">
        <f t="shared" si="17"/>
        <v>-7.2675507604704759E-3</v>
      </c>
    </row>
    <row r="1297" spans="1:7">
      <c r="A1297" s="67">
        <v>268.33</v>
      </c>
      <c r="B1297" s="67">
        <v>271.81</v>
      </c>
      <c r="C1297" s="67">
        <v>262.54000000000002</v>
      </c>
      <c r="D1297" s="67">
        <v>263.08</v>
      </c>
      <c r="E1297" s="67">
        <v>243841</v>
      </c>
      <c r="F1297" s="67" t="s">
        <v>1317</v>
      </c>
      <c r="G1297" s="25">
        <f t="shared" si="17"/>
        <v>1.9955906948456725E-2</v>
      </c>
    </row>
    <row r="1298" spans="1:7">
      <c r="A1298" s="67">
        <v>260.36</v>
      </c>
      <c r="B1298" s="67">
        <v>261.72000000000003</v>
      </c>
      <c r="C1298" s="67">
        <v>255.28</v>
      </c>
      <c r="D1298" s="67">
        <v>259.69</v>
      </c>
      <c r="E1298" s="67">
        <v>539983</v>
      </c>
      <c r="F1298" s="67" t="s">
        <v>1318</v>
      </c>
      <c r="G1298" s="25">
        <f t="shared" si="17"/>
        <v>2.5799992298509711E-3</v>
      </c>
    </row>
    <row r="1299" spans="1:7">
      <c r="A1299" s="67">
        <v>260.67</v>
      </c>
      <c r="B1299" s="67">
        <v>269.69</v>
      </c>
      <c r="C1299" s="67">
        <v>254.75</v>
      </c>
      <c r="D1299" s="67">
        <v>269.69</v>
      </c>
      <c r="E1299" s="67">
        <v>1152411</v>
      </c>
      <c r="F1299" s="67" t="s">
        <v>1319</v>
      </c>
      <c r="G1299" s="25">
        <f t="shared" si="17"/>
        <v>-3.3445808150098233E-2</v>
      </c>
    </row>
    <row r="1300" spans="1:7">
      <c r="A1300" s="67">
        <v>268.82</v>
      </c>
      <c r="B1300" s="67">
        <v>276.67689999999999</v>
      </c>
      <c r="C1300" s="67">
        <v>267.23</v>
      </c>
      <c r="D1300" s="67">
        <v>274.33999999999997</v>
      </c>
      <c r="E1300" s="67">
        <v>354329</v>
      </c>
      <c r="F1300" s="67" t="s">
        <v>1320</v>
      </c>
      <c r="G1300" s="25">
        <f t="shared" si="17"/>
        <v>-2.0121017715243772E-2</v>
      </c>
    </row>
    <row r="1301" spans="1:7">
      <c r="A1301" s="67">
        <v>275.64</v>
      </c>
      <c r="B1301" s="67">
        <v>280.95999999999998</v>
      </c>
      <c r="C1301" s="67">
        <v>274.42</v>
      </c>
      <c r="D1301" s="67">
        <v>280.67</v>
      </c>
      <c r="E1301" s="67">
        <v>214787</v>
      </c>
      <c r="F1301" s="67" t="s">
        <v>1321</v>
      </c>
      <c r="G1301" s="25">
        <f t="shared" si="17"/>
        <v>-1.7921402358641925E-2</v>
      </c>
    </row>
    <row r="1302" spans="1:7">
      <c r="A1302" s="67">
        <v>280.69</v>
      </c>
      <c r="B1302" s="67">
        <v>285</v>
      </c>
      <c r="C1302" s="67">
        <v>279.89999999999998</v>
      </c>
      <c r="D1302" s="67">
        <v>282.47000000000003</v>
      </c>
      <c r="E1302" s="67">
        <v>168496</v>
      </c>
      <c r="F1302" s="67" t="s">
        <v>1322</v>
      </c>
      <c r="G1302" s="25">
        <f t="shared" si="17"/>
        <v>-6.3015541473432357E-3</v>
      </c>
    </row>
    <row r="1303" spans="1:7">
      <c r="A1303" s="67">
        <v>282.72000000000003</v>
      </c>
      <c r="B1303" s="67">
        <v>284.86</v>
      </c>
      <c r="C1303" s="67">
        <v>275.17630000000003</v>
      </c>
      <c r="D1303" s="67">
        <v>279.10000000000002</v>
      </c>
      <c r="E1303" s="67">
        <v>202182</v>
      </c>
      <c r="F1303" s="67" t="s">
        <v>1323</v>
      </c>
      <c r="G1303" s="25">
        <f t="shared" si="17"/>
        <v>1.2970261554998253E-2</v>
      </c>
    </row>
    <row r="1304" spans="1:7">
      <c r="A1304" s="67">
        <v>284.04000000000002</v>
      </c>
      <c r="B1304" s="67">
        <v>290</v>
      </c>
      <c r="C1304" s="67">
        <v>282</v>
      </c>
      <c r="D1304" s="67">
        <v>289</v>
      </c>
      <c r="E1304" s="67">
        <v>211309</v>
      </c>
      <c r="F1304" s="67" t="s">
        <v>1324</v>
      </c>
      <c r="G1304" s="25">
        <f t="shared" si="17"/>
        <v>-1.7162629757785375E-2</v>
      </c>
    </row>
    <row r="1305" spans="1:7">
      <c r="A1305" s="67">
        <v>286.77</v>
      </c>
      <c r="B1305" s="67">
        <v>289.16000000000003</v>
      </c>
      <c r="C1305" s="67">
        <v>281.10000000000002</v>
      </c>
      <c r="D1305" s="67">
        <v>281.77999999999997</v>
      </c>
      <c r="E1305" s="67">
        <v>398339</v>
      </c>
      <c r="F1305" s="67" t="s">
        <v>1325</v>
      </c>
      <c r="G1305" s="25">
        <f t="shared" si="17"/>
        <v>1.770885087657037E-2</v>
      </c>
    </row>
    <row r="1306" spans="1:7">
      <c r="A1306" s="67">
        <v>281.33999999999997</v>
      </c>
      <c r="B1306" s="67">
        <v>283.35000000000002</v>
      </c>
      <c r="C1306" s="67">
        <v>279.05</v>
      </c>
      <c r="D1306" s="67">
        <v>280.56</v>
      </c>
      <c r="E1306" s="67">
        <v>359512</v>
      </c>
      <c r="F1306" s="67" t="s">
        <v>1326</v>
      </c>
      <c r="G1306" s="25">
        <f t="shared" si="17"/>
        <v>2.7801539777587703E-3</v>
      </c>
    </row>
    <row r="1307" spans="1:7">
      <c r="A1307" s="67">
        <v>278.58999999999997</v>
      </c>
      <c r="B1307" s="67">
        <v>281.36</v>
      </c>
      <c r="C1307" s="67">
        <v>273.38</v>
      </c>
      <c r="D1307" s="67">
        <v>273.7</v>
      </c>
      <c r="E1307" s="67">
        <v>314365</v>
      </c>
      <c r="F1307" s="67" t="s">
        <v>1327</v>
      </c>
      <c r="G1307" s="25">
        <f t="shared" si="17"/>
        <v>1.7866276945560866E-2</v>
      </c>
    </row>
    <row r="1308" spans="1:7">
      <c r="A1308" s="67">
        <v>274.51</v>
      </c>
      <c r="B1308" s="67">
        <v>284.41000000000003</v>
      </c>
      <c r="C1308" s="67">
        <v>273.5</v>
      </c>
      <c r="D1308" s="67">
        <v>282.88</v>
      </c>
      <c r="E1308" s="67">
        <v>579566</v>
      </c>
      <c r="F1308" s="67" t="s">
        <v>1328</v>
      </c>
      <c r="G1308" s="25">
        <f t="shared" si="17"/>
        <v>-2.9588518099547545E-2</v>
      </c>
    </row>
    <row r="1309" spans="1:7">
      <c r="A1309" s="67">
        <v>283.42</v>
      </c>
      <c r="B1309" s="67">
        <v>286.32</v>
      </c>
      <c r="C1309" s="67">
        <v>281.45</v>
      </c>
      <c r="D1309" s="67">
        <v>284.57</v>
      </c>
      <c r="E1309" s="67">
        <v>205033</v>
      </c>
      <c r="F1309" s="67" t="s">
        <v>1329</v>
      </c>
      <c r="G1309" s="25">
        <f t="shared" si="17"/>
        <v>-4.0411849457074878E-3</v>
      </c>
    </row>
    <row r="1310" spans="1:7">
      <c r="A1310" s="67">
        <v>283.24</v>
      </c>
      <c r="B1310" s="67">
        <v>284.12</v>
      </c>
      <c r="C1310" s="67">
        <v>278.08999999999997</v>
      </c>
      <c r="D1310" s="67">
        <v>279.67</v>
      </c>
      <c r="E1310" s="67">
        <v>263776</v>
      </c>
      <c r="F1310" s="67" t="s">
        <v>1330</v>
      </c>
      <c r="G1310" s="25">
        <f t="shared" si="17"/>
        <v>1.2765044516751756E-2</v>
      </c>
    </row>
    <row r="1311" spans="1:7">
      <c r="A1311" s="67">
        <v>278.33999999999997</v>
      </c>
      <c r="B1311" s="67">
        <v>279.38</v>
      </c>
      <c r="C1311" s="67">
        <v>276.08999999999997</v>
      </c>
      <c r="D1311" s="67">
        <v>277.39999999999998</v>
      </c>
      <c r="E1311" s="67">
        <v>403736</v>
      </c>
      <c r="F1311" s="67" t="s">
        <v>1331</v>
      </c>
      <c r="G1311" s="25">
        <f t="shared" si="17"/>
        <v>3.3886085075702788E-3</v>
      </c>
    </row>
    <row r="1312" spans="1:7">
      <c r="A1312" s="67">
        <v>277.04000000000002</v>
      </c>
      <c r="B1312" s="67">
        <v>287.60500000000002</v>
      </c>
      <c r="C1312" s="67">
        <v>276.68</v>
      </c>
      <c r="D1312" s="67">
        <v>285.51</v>
      </c>
      <c r="E1312" s="67">
        <v>311632</v>
      </c>
      <c r="F1312" s="67" t="s">
        <v>1332</v>
      </c>
      <c r="G1312" s="25">
        <f t="shared" si="17"/>
        <v>-2.9666211341108806E-2</v>
      </c>
    </row>
    <row r="1313" spans="1:7">
      <c r="A1313" s="67">
        <v>280.55</v>
      </c>
      <c r="B1313" s="67">
        <v>284.08</v>
      </c>
      <c r="C1313" s="67">
        <v>278.92</v>
      </c>
      <c r="D1313" s="67">
        <v>281.63</v>
      </c>
      <c r="E1313" s="67">
        <v>271641</v>
      </c>
      <c r="F1313" s="67" t="s">
        <v>1333</v>
      </c>
      <c r="G1313" s="25">
        <f t="shared" si="17"/>
        <v>-3.8348187337996498E-3</v>
      </c>
    </row>
    <row r="1314" spans="1:7">
      <c r="A1314" s="67">
        <v>282.38</v>
      </c>
      <c r="B1314" s="67">
        <v>283.10000000000002</v>
      </c>
      <c r="C1314" s="67">
        <v>277.24</v>
      </c>
      <c r="D1314" s="67">
        <v>280.99</v>
      </c>
      <c r="E1314" s="67">
        <v>451891</v>
      </c>
      <c r="F1314" s="67" t="s">
        <v>1334</v>
      </c>
      <c r="G1314" s="25">
        <f t="shared" si="17"/>
        <v>4.9467952596178311E-3</v>
      </c>
    </row>
    <row r="1315" spans="1:7">
      <c r="A1315" s="67">
        <v>281.58</v>
      </c>
      <c r="B1315" s="67">
        <v>282.23</v>
      </c>
      <c r="C1315" s="67">
        <v>273</v>
      </c>
      <c r="D1315" s="67">
        <v>280.55</v>
      </c>
      <c r="E1315" s="67">
        <v>284126</v>
      </c>
      <c r="F1315" s="67" t="s">
        <v>1335</v>
      </c>
      <c r="G1315" s="25">
        <f t="shared" si="17"/>
        <v>3.6713598289073168E-3</v>
      </c>
    </row>
    <row r="1316" spans="1:7">
      <c r="A1316" s="67">
        <v>280.55</v>
      </c>
      <c r="B1316" s="67">
        <v>288.87</v>
      </c>
      <c r="C1316" s="67">
        <v>280.19</v>
      </c>
      <c r="D1316" s="67">
        <v>284.32</v>
      </c>
      <c r="E1316" s="67">
        <v>579161</v>
      </c>
      <c r="F1316" s="67" t="s">
        <v>1336</v>
      </c>
      <c r="G1316" s="25">
        <f t="shared" si="17"/>
        <v>-1.3259707371975127E-2</v>
      </c>
    </row>
    <row r="1317" spans="1:7">
      <c r="A1317" s="67">
        <v>284.79000000000002</v>
      </c>
      <c r="B1317" s="67">
        <v>287.48</v>
      </c>
      <c r="C1317" s="67">
        <v>277.86</v>
      </c>
      <c r="D1317" s="67">
        <v>278.44</v>
      </c>
      <c r="E1317" s="67">
        <v>349045</v>
      </c>
      <c r="F1317" s="67" t="s">
        <v>1337</v>
      </c>
      <c r="G1317" s="25">
        <f t="shared" si="17"/>
        <v>2.2805631374802626E-2</v>
      </c>
    </row>
    <row r="1318" spans="1:7">
      <c r="A1318" s="67">
        <v>279.49</v>
      </c>
      <c r="B1318" s="67">
        <v>280.52999999999997</v>
      </c>
      <c r="C1318" s="67">
        <v>274.5</v>
      </c>
      <c r="D1318" s="67">
        <v>277.83</v>
      </c>
      <c r="E1318" s="67">
        <v>466270</v>
      </c>
      <c r="F1318" s="67" t="s">
        <v>1338</v>
      </c>
      <c r="G1318" s="25">
        <f t="shared" si="17"/>
        <v>5.9748767231762034E-3</v>
      </c>
    </row>
    <row r="1319" spans="1:7">
      <c r="A1319" s="67">
        <v>277.75</v>
      </c>
      <c r="B1319" s="67">
        <v>286.25</v>
      </c>
      <c r="C1319" s="67">
        <v>277.55</v>
      </c>
      <c r="D1319" s="67">
        <v>285.47000000000003</v>
      </c>
      <c r="E1319" s="67">
        <v>263510</v>
      </c>
      <c r="F1319" s="67" t="s">
        <v>1339</v>
      </c>
      <c r="G1319" s="25">
        <f t="shared" si="17"/>
        <v>-2.7043121869198217E-2</v>
      </c>
    </row>
    <row r="1320" spans="1:7">
      <c r="A1320" s="67">
        <v>283.95</v>
      </c>
      <c r="B1320" s="67">
        <v>285.52</v>
      </c>
      <c r="C1320" s="67">
        <v>278.95999999999998</v>
      </c>
      <c r="D1320" s="67">
        <v>283.37</v>
      </c>
      <c r="E1320" s="67">
        <v>321693</v>
      </c>
      <c r="F1320" s="67" t="s">
        <v>1340</v>
      </c>
      <c r="G1320" s="25">
        <f t="shared" si="17"/>
        <v>2.0467939443129524E-3</v>
      </c>
    </row>
    <row r="1321" spans="1:7">
      <c r="A1321" s="67">
        <v>282.45</v>
      </c>
      <c r="B1321" s="67">
        <v>282.61</v>
      </c>
      <c r="C1321" s="67">
        <v>279</v>
      </c>
      <c r="D1321" s="67">
        <v>280</v>
      </c>
      <c r="E1321" s="67">
        <v>518835</v>
      </c>
      <c r="F1321" s="67" t="s">
        <v>1341</v>
      </c>
      <c r="G1321" s="25">
        <f t="shared" si="17"/>
        <v>8.7500000000000355E-3</v>
      </c>
    </row>
    <row r="1322" spans="1:7">
      <c r="A1322" s="67">
        <v>281.60000000000002</v>
      </c>
      <c r="B1322" s="67">
        <v>282.12</v>
      </c>
      <c r="C1322" s="67">
        <v>269.99</v>
      </c>
      <c r="D1322" s="67">
        <v>272.48</v>
      </c>
      <c r="E1322" s="67">
        <v>360312</v>
      </c>
      <c r="F1322" s="67" t="s">
        <v>1342</v>
      </c>
      <c r="G1322" s="25">
        <f t="shared" si="17"/>
        <v>3.3470346447445731E-2</v>
      </c>
    </row>
    <row r="1323" spans="1:7">
      <c r="A1323" s="67">
        <v>272.93</v>
      </c>
      <c r="B1323" s="67">
        <v>282.5</v>
      </c>
      <c r="C1323" s="67">
        <v>272.27999999999997</v>
      </c>
      <c r="D1323" s="67">
        <v>280</v>
      </c>
      <c r="E1323" s="67">
        <v>382827</v>
      </c>
      <c r="F1323" s="67" t="s">
        <v>1343</v>
      </c>
      <c r="G1323" s="25">
        <f t="shared" si="17"/>
        <v>-2.5249999999999995E-2</v>
      </c>
    </row>
    <row r="1324" spans="1:7">
      <c r="A1324" s="67">
        <v>278.27</v>
      </c>
      <c r="B1324" s="67">
        <v>280</v>
      </c>
      <c r="C1324" s="67">
        <v>272.72000000000003</v>
      </c>
      <c r="D1324" s="67">
        <v>279.57</v>
      </c>
      <c r="E1324" s="67">
        <v>639158</v>
      </c>
      <c r="F1324" s="67" t="s">
        <v>1344</v>
      </c>
      <c r="G1324" s="25">
        <f t="shared" si="17"/>
        <v>-4.6499982115392191E-3</v>
      </c>
    </row>
    <row r="1325" spans="1:7">
      <c r="A1325" s="67">
        <v>276.11</v>
      </c>
      <c r="B1325" s="67">
        <v>277.39</v>
      </c>
      <c r="C1325" s="67">
        <v>270.52</v>
      </c>
      <c r="D1325" s="67">
        <v>272.20999999999998</v>
      </c>
      <c r="E1325" s="67">
        <v>426081</v>
      </c>
      <c r="F1325" s="67" t="s">
        <v>1345</v>
      </c>
      <c r="G1325" s="25">
        <f t="shared" si="17"/>
        <v>1.4327173873112775E-2</v>
      </c>
    </row>
    <row r="1326" spans="1:7">
      <c r="A1326" s="67">
        <v>271.83999999999997</v>
      </c>
      <c r="B1326" s="67">
        <v>273.5</v>
      </c>
      <c r="C1326" s="67">
        <v>262.95999999999998</v>
      </c>
      <c r="D1326" s="67">
        <v>265.39999999999998</v>
      </c>
      <c r="E1326" s="67">
        <v>480328</v>
      </c>
      <c r="F1326" s="67" t="s">
        <v>1346</v>
      </c>
      <c r="G1326" s="25">
        <f t="shared" si="17"/>
        <v>2.4265259984928456E-2</v>
      </c>
    </row>
    <row r="1327" spans="1:7">
      <c r="A1327" s="67">
        <v>263.83999999999997</v>
      </c>
      <c r="B1327" s="67">
        <v>265.45499999999998</v>
      </c>
      <c r="C1327" s="67">
        <v>258.03890000000001</v>
      </c>
      <c r="D1327" s="67">
        <v>261.02</v>
      </c>
      <c r="E1327" s="67">
        <v>301427</v>
      </c>
      <c r="F1327" s="67" t="s">
        <v>1347</v>
      </c>
      <c r="G1327" s="25">
        <f t="shared" si="17"/>
        <v>1.0803769826067011E-2</v>
      </c>
    </row>
    <row r="1328" spans="1:7">
      <c r="A1328" s="67">
        <v>264.26</v>
      </c>
      <c r="B1328" s="67">
        <v>269.99</v>
      </c>
      <c r="C1328" s="67">
        <v>262.01</v>
      </c>
      <c r="D1328" s="67">
        <v>269.58999999999997</v>
      </c>
      <c r="E1328" s="67">
        <v>606504</v>
      </c>
      <c r="F1328" s="67" t="s">
        <v>1348</v>
      </c>
      <c r="G1328" s="25">
        <f t="shared" si="17"/>
        <v>-1.9770763010497405E-2</v>
      </c>
    </row>
    <row r="1329" spans="1:7">
      <c r="A1329" s="67">
        <v>264.47000000000003</v>
      </c>
      <c r="B1329" s="67">
        <v>273.22000000000003</v>
      </c>
      <c r="C1329" s="67">
        <v>262.93</v>
      </c>
      <c r="D1329" s="67">
        <v>271.82</v>
      </c>
      <c r="E1329" s="67">
        <v>437051</v>
      </c>
      <c r="F1329" s="67" t="s">
        <v>1349</v>
      </c>
      <c r="G1329" s="25">
        <f t="shared" si="17"/>
        <v>-2.703995291001382E-2</v>
      </c>
    </row>
    <row r="1330" spans="1:7">
      <c r="A1330" s="67">
        <v>269.67</v>
      </c>
      <c r="B1330" s="67">
        <v>280.70999999999998</v>
      </c>
      <c r="C1330" s="67">
        <v>269.13</v>
      </c>
      <c r="D1330" s="67">
        <v>275</v>
      </c>
      <c r="E1330" s="67">
        <v>580044</v>
      </c>
      <c r="F1330" s="67" t="s">
        <v>1350</v>
      </c>
      <c r="G1330" s="25">
        <f t="shared" si="17"/>
        <v>-1.9381818181818167E-2</v>
      </c>
    </row>
    <row r="1331" spans="1:7">
      <c r="A1331" s="67">
        <v>272.05</v>
      </c>
      <c r="B1331" s="67">
        <v>273.05</v>
      </c>
      <c r="C1331" s="67">
        <v>260.69</v>
      </c>
      <c r="D1331" s="67">
        <v>263.19</v>
      </c>
      <c r="E1331" s="67">
        <v>1328968</v>
      </c>
      <c r="F1331" s="67" t="s">
        <v>1351</v>
      </c>
      <c r="G1331" s="25">
        <f t="shared" si="17"/>
        <v>3.3663893005053458E-2</v>
      </c>
    </row>
    <row r="1332" spans="1:7">
      <c r="A1332" s="67">
        <v>263.19</v>
      </c>
      <c r="B1332" s="67">
        <v>264.0478</v>
      </c>
      <c r="C1332" s="67">
        <v>252.44</v>
      </c>
      <c r="D1332" s="67">
        <v>254.36</v>
      </c>
      <c r="E1332" s="67">
        <v>480439</v>
      </c>
      <c r="F1332" s="67" t="s">
        <v>1352</v>
      </c>
      <c r="G1332" s="25">
        <f t="shared" si="17"/>
        <v>3.4714577763799381E-2</v>
      </c>
    </row>
    <row r="1333" spans="1:7">
      <c r="A1333" s="67">
        <v>259.66000000000003</v>
      </c>
      <c r="B1333" s="67">
        <v>262.64</v>
      </c>
      <c r="C1333" s="67">
        <v>257.45519999999999</v>
      </c>
      <c r="D1333" s="67">
        <v>258.99</v>
      </c>
      <c r="E1333" s="67">
        <v>523811</v>
      </c>
      <c r="F1333" s="67" t="s">
        <v>1353</v>
      </c>
      <c r="G1333" s="25">
        <f t="shared" si="17"/>
        <v>2.5869724699796315E-3</v>
      </c>
    </row>
    <row r="1334" spans="1:7">
      <c r="A1334" s="67">
        <v>256.77</v>
      </c>
      <c r="B1334" s="67">
        <v>259.14</v>
      </c>
      <c r="C1334" s="67">
        <v>254.51</v>
      </c>
      <c r="D1334" s="67">
        <v>255.48</v>
      </c>
      <c r="E1334" s="67">
        <v>397250</v>
      </c>
      <c r="F1334" s="67" t="s">
        <v>1354</v>
      </c>
      <c r="G1334" s="25">
        <f t="shared" si="17"/>
        <v>5.0493189290745644E-3</v>
      </c>
    </row>
    <row r="1335" spans="1:7">
      <c r="A1335" s="67">
        <v>253.52</v>
      </c>
      <c r="B1335" s="67">
        <v>259.12</v>
      </c>
      <c r="C1335" s="67">
        <v>249.27</v>
      </c>
      <c r="D1335" s="67">
        <v>254.17</v>
      </c>
      <c r="E1335" s="67">
        <v>1181231</v>
      </c>
      <c r="F1335" s="67" t="s">
        <v>1355</v>
      </c>
      <c r="G1335" s="25">
        <f t="shared" si="17"/>
        <v>-2.5573435102489439E-3</v>
      </c>
    </row>
    <row r="1336" spans="1:7">
      <c r="A1336" s="67">
        <v>252.78</v>
      </c>
      <c r="B1336" s="67">
        <v>253.71</v>
      </c>
      <c r="C1336" s="67">
        <v>236.60499999999999</v>
      </c>
      <c r="D1336" s="67">
        <v>242.05</v>
      </c>
      <c r="E1336" s="67">
        <v>834967</v>
      </c>
      <c r="F1336" s="67" t="s">
        <v>1356</v>
      </c>
      <c r="G1336" s="25">
        <f t="shared" ref="G1336:G1399" si="18">A1336/D1336-1</f>
        <v>4.4329683949597243E-2</v>
      </c>
    </row>
    <row r="1337" spans="1:7">
      <c r="A1337" s="67">
        <v>239.79</v>
      </c>
      <c r="B1337" s="67">
        <v>240.33</v>
      </c>
      <c r="C1337" s="67">
        <v>229.63</v>
      </c>
      <c r="D1337" s="67">
        <v>231.51</v>
      </c>
      <c r="E1337" s="67">
        <v>572282</v>
      </c>
      <c r="F1337" s="67" t="s">
        <v>1357</v>
      </c>
      <c r="G1337" s="25">
        <f t="shared" si="18"/>
        <v>3.5765193728132694E-2</v>
      </c>
    </row>
    <row r="1338" spans="1:7">
      <c r="A1338" s="67">
        <v>236.34</v>
      </c>
      <c r="B1338" s="67">
        <v>244.21</v>
      </c>
      <c r="C1338" s="67">
        <v>229.24</v>
      </c>
      <c r="D1338" s="67">
        <v>229.24</v>
      </c>
      <c r="E1338" s="67">
        <v>714896</v>
      </c>
      <c r="F1338" s="67" t="s">
        <v>1358</v>
      </c>
      <c r="G1338" s="25">
        <f t="shared" si="18"/>
        <v>3.0971907171523316E-2</v>
      </c>
    </row>
    <row r="1339" spans="1:7">
      <c r="A1339" s="67">
        <v>228.43</v>
      </c>
      <c r="B1339" s="67">
        <v>235.12</v>
      </c>
      <c r="C1339" s="67">
        <v>224.84</v>
      </c>
      <c r="D1339" s="67">
        <v>230.11</v>
      </c>
      <c r="E1339" s="67">
        <v>575032</v>
      </c>
      <c r="F1339" s="67" t="s">
        <v>1359</v>
      </c>
      <c r="G1339" s="25">
        <f t="shared" si="18"/>
        <v>-7.3008561122941407E-3</v>
      </c>
    </row>
    <row r="1340" spans="1:7">
      <c r="A1340" s="67">
        <v>232.42</v>
      </c>
      <c r="B1340" s="67">
        <v>236.02</v>
      </c>
      <c r="C1340" s="67">
        <v>226.29</v>
      </c>
      <c r="D1340" s="67">
        <v>227</v>
      </c>
      <c r="E1340" s="67">
        <v>778154</v>
      </c>
      <c r="F1340" s="67" t="s">
        <v>1360</v>
      </c>
      <c r="G1340" s="25">
        <f t="shared" si="18"/>
        <v>2.387665198237876E-2</v>
      </c>
    </row>
    <row r="1341" spans="1:7">
      <c r="A1341" s="67">
        <v>226.02</v>
      </c>
      <c r="B1341" s="67">
        <v>235.99</v>
      </c>
      <c r="C1341" s="67">
        <v>223.32910000000001</v>
      </c>
      <c r="D1341" s="67">
        <v>228.02799999999999</v>
      </c>
      <c r="E1341" s="67">
        <v>804019</v>
      </c>
      <c r="F1341" s="67" t="s">
        <v>1361</v>
      </c>
      <c r="G1341" s="25">
        <f t="shared" si="18"/>
        <v>-8.8059361131088698E-3</v>
      </c>
    </row>
    <row r="1342" spans="1:7">
      <c r="A1342" s="67">
        <v>225.52</v>
      </c>
      <c r="B1342" s="67">
        <v>231.4</v>
      </c>
      <c r="C1342" s="67">
        <v>223.65</v>
      </c>
      <c r="D1342" s="67">
        <v>226.44</v>
      </c>
      <c r="E1342" s="67">
        <v>842681</v>
      </c>
      <c r="F1342" s="67" t="s">
        <v>1362</v>
      </c>
      <c r="G1342" s="25">
        <f t="shared" si="18"/>
        <v>-4.0628864158275269E-3</v>
      </c>
    </row>
    <row r="1343" spans="1:7">
      <c r="A1343" s="67">
        <v>229.96</v>
      </c>
      <c r="B1343" s="67">
        <v>237.41</v>
      </c>
      <c r="C1343" s="67">
        <v>218.28</v>
      </c>
      <c r="D1343" s="67">
        <v>219.34</v>
      </c>
      <c r="E1343" s="67">
        <v>1222465</v>
      </c>
      <c r="F1343" s="67" t="s">
        <v>1363</v>
      </c>
      <c r="G1343" s="25">
        <f t="shared" si="18"/>
        <v>4.8417981216376527E-2</v>
      </c>
    </row>
    <row r="1344" spans="1:7">
      <c r="A1344" s="67">
        <v>226.75</v>
      </c>
      <c r="B1344" s="67">
        <v>238.67</v>
      </c>
      <c r="C1344" s="67">
        <v>224.2</v>
      </c>
      <c r="D1344" s="67">
        <v>233.08</v>
      </c>
      <c r="E1344" s="67">
        <v>1754605</v>
      </c>
      <c r="F1344" s="67" t="s">
        <v>1364</v>
      </c>
      <c r="G1344" s="25">
        <f t="shared" si="18"/>
        <v>-2.7158057319375373E-2</v>
      </c>
    </row>
    <row r="1345" spans="1:7">
      <c r="A1345" s="67">
        <v>234.19</v>
      </c>
      <c r="B1345" s="67">
        <v>248.01</v>
      </c>
      <c r="C1345" s="67">
        <v>232.2</v>
      </c>
      <c r="D1345" s="67">
        <v>240.03</v>
      </c>
      <c r="E1345" s="67">
        <v>2925114</v>
      </c>
      <c r="F1345" s="67" t="s">
        <v>1365</v>
      </c>
      <c r="G1345" s="25">
        <f t="shared" si="18"/>
        <v>-2.4330292046827462E-2</v>
      </c>
    </row>
    <row r="1346" spans="1:7">
      <c r="A1346" s="67">
        <v>253.16</v>
      </c>
      <c r="B1346" s="67">
        <v>264.39999999999998</v>
      </c>
      <c r="C1346" s="67">
        <v>245.45</v>
      </c>
      <c r="D1346" s="67">
        <v>261.82</v>
      </c>
      <c r="E1346" s="67">
        <v>1286983</v>
      </c>
      <c r="F1346" s="67" t="s">
        <v>1366</v>
      </c>
      <c r="G1346" s="25">
        <f t="shared" si="18"/>
        <v>-3.307615919333895E-2</v>
      </c>
    </row>
    <row r="1347" spans="1:7">
      <c r="A1347" s="67">
        <v>264.45</v>
      </c>
      <c r="B1347" s="67">
        <v>275.24</v>
      </c>
      <c r="C1347" s="67">
        <v>263.77</v>
      </c>
      <c r="D1347" s="67">
        <v>274.33999999999997</v>
      </c>
      <c r="E1347" s="67">
        <v>506371</v>
      </c>
      <c r="F1347" s="67" t="s">
        <v>1367</v>
      </c>
      <c r="G1347" s="25">
        <f t="shared" si="18"/>
        <v>-3.6050156739811823E-2</v>
      </c>
    </row>
    <row r="1348" spans="1:7">
      <c r="A1348" s="67">
        <v>271.95999999999998</v>
      </c>
      <c r="B1348" s="67">
        <v>280.32</v>
      </c>
      <c r="C1348" s="67">
        <v>268.55</v>
      </c>
      <c r="D1348" s="67">
        <v>278.13</v>
      </c>
      <c r="E1348" s="67">
        <v>411534</v>
      </c>
      <c r="F1348" s="67" t="s">
        <v>1368</v>
      </c>
      <c r="G1348" s="25">
        <f t="shared" si="18"/>
        <v>-2.218387085175999E-2</v>
      </c>
    </row>
    <row r="1349" spans="1:7">
      <c r="A1349" s="67">
        <v>282.08999999999997</v>
      </c>
      <c r="B1349" s="67">
        <v>297.01</v>
      </c>
      <c r="C1349" s="67">
        <v>280.76499999999999</v>
      </c>
      <c r="D1349" s="67">
        <v>297.01</v>
      </c>
      <c r="E1349" s="67">
        <v>346599</v>
      </c>
      <c r="F1349" s="67" t="s">
        <v>1369</v>
      </c>
      <c r="G1349" s="25">
        <f t="shared" si="18"/>
        <v>-5.0233998855257478E-2</v>
      </c>
    </row>
    <row r="1350" spans="1:7">
      <c r="A1350" s="67">
        <v>295.22000000000003</v>
      </c>
      <c r="B1350" s="67">
        <v>303.2</v>
      </c>
      <c r="C1350" s="67">
        <v>292.64999999999998</v>
      </c>
      <c r="D1350" s="67">
        <v>298.49</v>
      </c>
      <c r="E1350" s="67">
        <v>735712</v>
      </c>
      <c r="F1350" s="67" t="s">
        <v>1370</v>
      </c>
      <c r="G1350" s="25">
        <f t="shared" si="18"/>
        <v>-1.0955140875741121E-2</v>
      </c>
    </row>
    <row r="1351" spans="1:7">
      <c r="A1351" s="67">
        <v>301.56</v>
      </c>
      <c r="B1351" s="67">
        <v>306.45999999999998</v>
      </c>
      <c r="C1351" s="67">
        <v>299.52499999999998</v>
      </c>
      <c r="D1351" s="67">
        <v>306.45999999999998</v>
      </c>
      <c r="E1351" s="67">
        <v>193436</v>
      </c>
      <c r="F1351" s="67" t="s">
        <v>1371</v>
      </c>
      <c r="G1351" s="25">
        <f t="shared" si="18"/>
        <v>-1.59890360895385E-2</v>
      </c>
    </row>
    <row r="1352" spans="1:7">
      <c r="A1352" s="67">
        <v>303.18</v>
      </c>
      <c r="B1352" s="67">
        <v>306.08999999999997</v>
      </c>
      <c r="C1352" s="67">
        <v>299.08999999999997</v>
      </c>
      <c r="D1352" s="67">
        <v>301.79000000000002</v>
      </c>
      <c r="E1352" s="67">
        <v>276743</v>
      </c>
      <c r="F1352" s="67" t="s">
        <v>1372</v>
      </c>
      <c r="G1352" s="25">
        <f t="shared" si="18"/>
        <v>4.6058517512177488E-3</v>
      </c>
    </row>
    <row r="1353" spans="1:7">
      <c r="A1353" s="67">
        <v>304.06</v>
      </c>
      <c r="B1353" s="67">
        <v>305</v>
      </c>
      <c r="C1353" s="67">
        <v>293.04000000000002</v>
      </c>
      <c r="D1353" s="67">
        <v>300</v>
      </c>
      <c r="E1353" s="67">
        <v>284196</v>
      </c>
      <c r="F1353" s="67" t="s">
        <v>1373</v>
      </c>
      <c r="G1353" s="25">
        <f t="shared" si="18"/>
        <v>1.3533333333333397E-2</v>
      </c>
    </row>
    <row r="1354" spans="1:7">
      <c r="A1354" s="67">
        <v>299.10000000000002</v>
      </c>
      <c r="B1354" s="67">
        <v>300.25</v>
      </c>
      <c r="C1354" s="67">
        <v>289.2</v>
      </c>
      <c r="D1354" s="67">
        <v>295.94</v>
      </c>
      <c r="E1354" s="67">
        <v>259584</v>
      </c>
      <c r="F1354" s="67" t="s">
        <v>1374</v>
      </c>
      <c r="G1354" s="25">
        <f t="shared" si="18"/>
        <v>1.0677840102723657E-2</v>
      </c>
    </row>
    <row r="1355" spans="1:7">
      <c r="A1355" s="67">
        <v>295.5</v>
      </c>
      <c r="B1355" s="67">
        <v>297.49</v>
      </c>
      <c r="C1355" s="67">
        <v>283.45999999999998</v>
      </c>
      <c r="D1355" s="67">
        <v>284.89</v>
      </c>
      <c r="E1355" s="67">
        <v>471002</v>
      </c>
      <c r="F1355" s="67" t="s">
        <v>1375</v>
      </c>
      <c r="G1355" s="25">
        <f t="shared" si="18"/>
        <v>3.7242444452244783E-2</v>
      </c>
    </row>
    <row r="1356" spans="1:7">
      <c r="A1356" s="67">
        <v>283.64</v>
      </c>
      <c r="B1356" s="67">
        <v>291.10000000000002</v>
      </c>
      <c r="C1356" s="67">
        <v>281.27999999999997</v>
      </c>
      <c r="D1356" s="67">
        <v>291.10000000000002</v>
      </c>
      <c r="E1356" s="67">
        <v>244551</v>
      </c>
      <c r="F1356" s="67" t="s">
        <v>1376</v>
      </c>
      <c r="G1356" s="25">
        <f t="shared" si="18"/>
        <v>-2.5626932325661378E-2</v>
      </c>
    </row>
    <row r="1357" spans="1:7">
      <c r="A1357" s="67">
        <v>285.19</v>
      </c>
      <c r="B1357" s="67">
        <v>288.27</v>
      </c>
      <c r="C1357" s="67">
        <v>281.02999999999997</v>
      </c>
      <c r="D1357" s="67">
        <v>283.16000000000003</v>
      </c>
      <c r="E1357" s="67">
        <v>224021</v>
      </c>
      <c r="F1357" s="67" t="s">
        <v>1377</v>
      </c>
      <c r="G1357" s="25">
        <f t="shared" si="18"/>
        <v>7.1690916796156579E-3</v>
      </c>
    </row>
    <row r="1358" spans="1:7">
      <c r="A1358" s="67">
        <v>283.48</v>
      </c>
      <c r="B1358" s="67">
        <v>285.75</v>
      </c>
      <c r="C1358" s="67">
        <v>278.47000000000003</v>
      </c>
      <c r="D1358" s="67">
        <v>280.13</v>
      </c>
      <c r="E1358" s="67">
        <v>315122</v>
      </c>
      <c r="F1358" s="67" t="s">
        <v>1378</v>
      </c>
      <c r="G1358" s="25">
        <f t="shared" si="18"/>
        <v>1.1958733445186276E-2</v>
      </c>
    </row>
    <row r="1359" spans="1:7">
      <c r="A1359" s="67">
        <v>281.51</v>
      </c>
      <c r="B1359" s="67">
        <v>295.85000000000002</v>
      </c>
      <c r="C1359" s="67">
        <v>277.60449999999997</v>
      </c>
      <c r="D1359" s="67">
        <v>295.39</v>
      </c>
      <c r="E1359" s="67">
        <v>386872</v>
      </c>
      <c r="F1359" s="67" t="s">
        <v>1379</v>
      </c>
      <c r="G1359" s="25">
        <f t="shared" si="18"/>
        <v>-4.6988726768001587E-2</v>
      </c>
    </row>
    <row r="1360" spans="1:7">
      <c r="A1360" s="67">
        <v>297</v>
      </c>
      <c r="B1360" s="67">
        <v>298.06</v>
      </c>
      <c r="C1360" s="67">
        <v>292.20999999999998</v>
      </c>
      <c r="D1360" s="67">
        <v>296.51</v>
      </c>
      <c r="E1360" s="67">
        <v>314068</v>
      </c>
      <c r="F1360" s="67" t="s">
        <v>1380</v>
      </c>
      <c r="G1360" s="25">
        <f t="shared" si="18"/>
        <v>1.6525580924757755E-3</v>
      </c>
    </row>
    <row r="1361" spans="1:7">
      <c r="A1361" s="67">
        <v>294.88</v>
      </c>
      <c r="B1361" s="67">
        <v>295.54000000000002</v>
      </c>
      <c r="C1361" s="67">
        <v>284.77999999999997</v>
      </c>
      <c r="D1361" s="67">
        <v>285.73</v>
      </c>
      <c r="E1361" s="67">
        <v>278626</v>
      </c>
      <c r="F1361" s="67" t="s">
        <v>1381</v>
      </c>
      <c r="G1361" s="25">
        <f t="shared" si="18"/>
        <v>3.2023238721870184E-2</v>
      </c>
    </row>
    <row r="1362" spans="1:7">
      <c r="A1362" s="67">
        <v>284.7</v>
      </c>
      <c r="B1362" s="67">
        <v>292.96499999999997</v>
      </c>
      <c r="C1362" s="67">
        <v>284.2</v>
      </c>
      <c r="D1362" s="67">
        <v>289</v>
      </c>
      <c r="E1362" s="67">
        <v>582488</v>
      </c>
      <c r="F1362" s="67" t="s">
        <v>1382</v>
      </c>
      <c r="G1362" s="25">
        <f t="shared" si="18"/>
        <v>-1.487889273356402E-2</v>
      </c>
    </row>
    <row r="1363" spans="1:7">
      <c r="A1363" s="67">
        <v>288.13</v>
      </c>
      <c r="B1363" s="67">
        <v>289.62</v>
      </c>
      <c r="C1363" s="67">
        <v>284.22000000000003</v>
      </c>
      <c r="D1363" s="67">
        <v>284.22000000000003</v>
      </c>
      <c r="E1363" s="67">
        <v>170064</v>
      </c>
      <c r="F1363" s="67" t="s">
        <v>1383</v>
      </c>
      <c r="G1363" s="25">
        <f t="shared" si="18"/>
        <v>1.3756948842445826E-2</v>
      </c>
    </row>
    <row r="1364" spans="1:7">
      <c r="A1364" s="67">
        <v>284.72000000000003</v>
      </c>
      <c r="B1364" s="67">
        <v>285.81</v>
      </c>
      <c r="C1364" s="67">
        <v>278.85000000000002</v>
      </c>
      <c r="D1364" s="67">
        <v>284.06</v>
      </c>
      <c r="E1364" s="67">
        <v>163076</v>
      </c>
      <c r="F1364" s="67" t="s">
        <v>1384</v>
      </c>
      <c r="G1364" s="25">
        <f t="shared" si="18"/>
        <v>2.3234527916637937E-3</v>
      </c>
    </row>
    <row r="1365" spans="1:7">
      <c r="A1365" s="67">
        <v>287.13</v>
      </c>
      <c r="B1365" s="67">
        <v>287.29000000000002</v>
      </c>
      <c r="C1365" s="67">
        <v>280.43540000000002</v>
      </c>
      <c r="D1365" s="67">
        <v>283.22000000000003</v>
      </c>
      <c r="E1365" s="67">
        <v>214137</v>
      </c>
      <c r="F1365" s="67" t="s">
        <v>1385</v>
      </c>
      <c r="G1365" s="25">
        <f t="shared" si="18"/>
        <v>1.3805522208883536E-2</v>
      </c>
    </row>
    <row r="1366" spans="1:7">
      <c r="A1366" s="67">
        <v>284.56</v>
      </c>
      <c r="B1366" s="67">
        <v>290</v>
      </c>
      <c r="C1366" s="67">
        <v>282.39999999999998</v>
      </c>
      <c r="D1366" s="67">
        <v>282.39999999999998</v>
      </c>
      <c r="E1366" s="67">
        <v>362345</v>
      </c>
      <c r="F1366" s="67" t="s">
        <v>1386</v>
      </c>
      <c r="G1366" s="25">
        <f t="shared" si="18"/>
        <v>7.6487252124646243E-3</v>
      </c>
    </row>
    <row r="1367" spans="1:7">
      <c r="A1367" s="67">
        <v>278.5</v>
      </c>
      <c r="B1367" s="67">
        <v>279.81</v>
      </c>
      <c r="C1367" s="67">
        <v>274.57</v>
      </c>
      <c r="D1367" s="67">
        <v>276.29000000000002</v>
      </c>
      <c r="E1367" s="67">
        <v>282523</v>
      </c>
      <c r="F1367" s="67" t="s">
        <v>1387</v>
      </c>
      <c r="G1367" s="25">
        <f t="shared" si="18"/>
        <v>7.9988417966627701E-3</v>
      </c>
    </row>
    <row r="1368" spans="1:7">
      <c r="A1368" s="67">
        <v>276.95</v>
      </c>
      <c r="B1368" s="67">
        <v>281</v>
      </c>
      <c r="C1368" s="67">
        <v>269.07</v>
      </c>
      <c r="D1368" s="67">
        <v>271.92</v>
      </c>
      <c r="E1368" s="67">
        <v>356581</v>
      </c>
      <c r="F1368" s="67" t="s">
        <v>1388</v>
      </c>
      <c r="G1368" s="25">
        <f t="shared" si="18"/>
        <v>1.8498087672844887E-2</v>
      </c>
    </row>
    <row r="1369" spans="1:7">
      <c r="A1369" s="67">
        <v>269.12</v>
      </c>
      <c r="B1369" s="67">
        <v>269.64</v>
      </c>
      <c r="C1369" s="67">
        <v>261.64499999999998</v>
      </c>
      <c r="D1369" s="67">
        <v>268.51</v>
      </c>
      <c r="E1369" s="67">
        <v>369112</v>
      </c>
      <c r="F1369" s="67" t="s">
        <v>1389</v>
      </c>
      <c r="G1369" s="25">
        <f t="shared" si="18"/>
        <v>2.2717962087073218E-3</v>
      </c>
    </row>
    <row r="1370" spans="1:7">
      <c r="A1370" s="67">
        <v>264.82</v>
      </c>
      <c r="B1370" s="67">
        <v>273.005</v>
      </c>
      <c r="C1370" s="67">
        <v>262.64</v>
      </c>
      <c r="D1370" s="67">
        <v>270</v>
      </c>
      <c r="E1370" s="67">
        <v>394587</v>
      </c>
      <c r="F1370" s="67" t="s">
        <v>1390</v>
      </c>
      <c r="G1370" s="25">
        <f t="shared" si="18"/>
        <v>-1.9185185185185194E-2</v>
      </c>
    </row>
    <row r="1371" spans="1:7">
      <c r="A1371" s="67">
        <v>260.92</v>
      </c>
      <c r="B1371" s="67">
        <v>265.81</v>
      </c>
      <c r="C1371" s="67">
        <v>258.64999999999998</v>
      </c>
      <c r="D1371" s="67">
        <v>263</v>
      </c>
      <c r="E1371" s="67">
        <v>628745</v>
      </c>
      <c r="F1371" s="67" t="s">
        <v>1391</v>
      </c>
      <c r="G1371" s="25">
        <f t="shared" si="18"/>
        <v>-7.9087452471482411E-3</v>
      </c>
    </row>
    <row r="1372" spans="1:7">
      <c r="A1372" s="67">
        <v>261.38</v>
      </c>
      <c r="B1372" s="67">
        <v>266.32</v>
      </c>
      <c r="C1372" s="67">
        <v>255.405</v>
      </c>
      <c r="D1372" s="67">
        <v>258.27999999999997</v>
      </c>
      <c r="E1372" s="67">
        <v>376319</v>
      </c>
      <c r="F1372" s="67" t="s">
        <v>1392</v>
      </c>
      <c r="G1372" s="25">
        <f t="shared" si="18"/>
        <v>1.2002477930927791E-2</v>
      </c>
    </row>
    <row r="1373" spans="1:7">
      <c r="A1373" s="67">
        <v>259.83</v>
      </c>
      <c r="B1373" s="67">
        <v>267.06</v>
      </c>
      <c r="C1373" s="67">
        <v>258.32</v>
      </c>
      <c r="D1373" s="67">
        <v>267.06</v>
      </c>
      <c r="E1373" s="67">
        <v>367933</v>
      </c>
      <c r="F1373" s="67" t="s">
        <v>1393</v>
      </c>
      <c r="G1373" s="25">
        <f t="shared" si="18"/>
        <v>-2.7072567962255767E-2</v>
      </c>
    </row>
    <row r="1374" spans="1:7">
      <c r="A1374" s="67">
        <v>266.8</v>
      </c>
      <c r="B1374" s="67">
        <v>268</v>
      </c>
      <c r="C1374" s="67">
        <v>255.89</v>
      </c>
      <c r="D1374" s="67">
        <v>257.39</v>
      </c>
      <c r="E1374" s="67">
        <v>387926</v>
      </c>
      <c r="F1374" s="67" t="s">
        <v>1394</v>
      </c>
      <c r="G1374" s="25">
        <f t="shared" si="18"/>
        <v>3.6559306888379606E-2</v>
      </c>
    </row>
    <row r="1375" spans="1:7">
      <c r="A1375" s="67">
        <v>259.17</v>
      </c>
      <c r="B1375" s="67">
        <v>264.20999999999998</v>
      </c>
      <c r="C1375" s="67">
        <v>250.31</v>
      </c>
      <c r="D1375" s="67">
        <v>259.7</v>
      </c>
      <c r="E1375" s="67">
        <v>529876</v>
      </c>
      <c r="F1375" s="67" t="s">
        <v>1395</v>
      </c>
      <c r="G1375" s="25">
        <f t="shared" si="18"/>
        <v>-2.0408163265305257E-3</v>
      </c>
    </row>
    <row r="1376" spans="1:7">
      <c r="A1376" s="67">
        <v>263.63</v>
      </c>
      <c r="B1376" s="67">
        <v>276.42</v>
      </c>
      <c r="C1376" s="67">
        <v>257.55799999999999</v>
      </c>
      <c r="D1376" s="67">
        <v>275.32</v>
      </c>
      <c r="E1376" s="67">
        <v>701446</v>
      </c>
      <c r="F1376" s="67" t="s">
        <v>1396</v>
      </c>
      <c r="G1376" s="25">
        <f t="shared" si="18"/>
        <v>-4.2459683277640603E-2</v>
      </c>
    </row>
    <row r="1377" spans="1:7">
      <c r="A1377" s="67">
        <v>277.05</v>
      </c>
      <c r="B1377" s="67">
        <v>280.98</v>
      </c>
      <c r="C1377" s="67">
        <v>267.64999999999998</v>
      </c>
      <c r="D1377" s="67">
        <v>271.05</v>
      </c>
      <c r="E1377" s="67">
        <v>839436</v>
      </c>
      <c r="F1377" s="67" t="s">
        <v>1397</v>
      </c>
      <c r="G1377" s="25">
        <f t="shared" si="18"/>
        <v>2.2136137244050946E-2</v>
      </c>
    </row>
    <row r="1378" spans="1:7">
      <c r="A1378" s="67">
        <v>269.32</v>
      </c>
      <c r="B1378" s="67">
        <v>272.51499999999999</v>
      </c>
      <c r="C1378" s="67">
        <v>257.745</v>
      </c>
      <c r="D1378" s="67">
        <v>260.29000000000002</v>
      </c>
      <c r="E1378" s="67">
        <v>721900</v>
      </c>
      <c r="F1378" s="67" t="s">
        <v>1398</v>
      </c>
      <c r="G1378" s="25">
        <f t="shared" si="18"/>
        <v>3.4692074224902836E-2</v>
      </c>
    </row>
    <row r="1379" spans="1:7">
      <c r="A1379" s="67">
        <v>261.02999999999997</v>
      </c>
      <c r="B1379" s="67">
        <v>261.45</v>
      </c>
      <c r="C1379" s="67">
        <v>252.9</v>
      </c>
      <c r="D1379" s="67">
        <v>254.72</v>
      </c>
      <c r="E1379" s="67">
        <v>662733</v>
      </c>
      <c r="F1379" s="67" t="s">
        <v>1399</v>
      </c>
      <c r="G1379" s="25">
        <f t="shared" si="18"/>
        <v>2.4772298994974795E-2</v>
      </c>
    </row>
    <row r="1380" spans="1:7">
      <c r="A1380" s="67">
        <v>252</v>
      </c>
      <c r="B1380" s="67">
        <v>257.22000000000003</v>
      </c>
      <c r="C1380" s="67">
        <v>249.7</v>
      </c>
      <c r="D1380" s="67">
        <v>254.54</v>
      </c>
      <c r="E1380" s="67">
        <v>649143</v>
      </c>
      <c r="F1380" s="67" t="s">
        <v>1400</v>
      </c>
      <c r="G1380" s="25">
        <f t="shared" si="18"/>
        <v>-9.9787852596840976E-3</v>
      </c>
    </row>
    <row r="1381" spans="1:7">
      <c r="A1381" s="67">
        <v>259.92</v>
      </c>
      <c r="B1381" s="67">
        <v>265.58</v>
      </c>
      <c r="C1381" s="67">
        <v>252.62</v>
      </c>
      <c r="D1381" s="67">
        <v>263.45</v>
      </c>
      <c r="E1381" s="67">
        <v>935183</v>
      </c>
      <c r="F1381" s="67" t="s">
        <v>1401</v>
      </c>
      <c r="G1381" s="25">
        <f t="shared" si="18"/>
        <v>-1.3399126969064201E-2</v>
      </c>
    </row>
    <row r="1382" spans="1:7">
      <c r="A1382" s="67">
        <v>265.66000000000003</v>
      </c>
      <c r="B1382" s="67">
        <v>272.25990000000002</v>
      </c>
      <c r="C1382" s="67">
        <v>262.85000000000002</v>
      </c>
      <c r="D1382" s="67">
        <v>271.58</v>
      </c>
      <c r="E1382" s="67">
        <v>1233465</v>
      </c>
      <c r="F1382" s="67" t="s">
        <v>1402</v>
      </c>
      <c r="G1382" s="25">
        <f t="shared" si="18"/>
        <v>-2.1798365122615682E-2</v>
      </c>
    </row>
    <row r="1383" spans="1:7">
      <c r="A1383" s="67">
        <v>269.54000000000002</v>
      </c>
      <c r="B1383" s="67">
        <v>273.88</v>
      </c>
      <c r="C1383" s="67">
        <v>260.95499999999998</v>
      </c>
      <c r="D1383" s="67">
        <v>262</v>
      </c>
      <c r="E1383" s="67">
        <v>587090</v>
      </c>
      <c r="F1383" s="67" t="s">
        <v>1403</v>
      </c>
      <c r="G1383" s="25">
        <f t="shared" si="18"/>
        <v>2.8778625954198445E-2</v>
      </c>
    </row>
    <row r="1384" spans="1:7">
      <c r="A1384" s="67">
        <v>261.88</v>
      </c>
      <c r="B1384" s="67">
        <v>262.20999999999998</v>
      </c>
      <c r="C1384" s="67">
        <v>252.29</v>
      </c>
      <c r="D1384" s="67">
        <v>254.26</v>
      </c>
      <c r="E1384" s="67">
        <v>510028</v>
      </c>
      <c r="F1384" s="67" t="s">
        <v>1404</v>
      </c>
      <c r="G1384" s="25">
        <f t="shared" si="18"/>
        <v>2.9969322740501791E-2</v>
      </c>
    </row>
    <row r="1385" spans="1:7">
      <c r="A1385" s="67">
        <v>259.76</v>
      </c>
      <c r="B1385" s="67">
        <v>259.79000000000002</v>
      </c>
      <c r="C1385" s="67">
        <v>245.82</v>
      </c>
      <c r="D1385" s="67">
        <v>249.9</v>
      </c>
      <c r="E1385" s="67">
        <v>299051</v>
      </c>
      <c r="F1385" s="67" t="s">
        <v>1405</v>
      </c>
      <c r="G1385" s="25">
        <f t="shared" si="18"/>
        <v>3.9455782312925125E-2</v>
      </c>
    </row>
    <row r="1386" spans="1:7">
      <c r="A1386" s="67">
        <v>245.42</v>
      </c>
      <c r="B1386" s="67">
        <v>254.49</v>
      </c>
      <c r="C1386" s="67">
        <v>244.16</v>
      </c>
      <c r="D1386" s="67">
        <v>252.03</v>
      </c>
      <c r="E1386" s="67">
        <v>430217</v>
      </c>
      <c r="F1386" s="67" t="s">
        <v>1406</v>
      </c>
      <c r="G1386" s="25">
        <f t="shared" si="18"/>
        <v>-2.6227036463913111E-2</v>
      </c>
    </row>
    <row r="1387" spans="1:7">
      <c r="A1387" s="67">
        <v>247.56</v>
      </c>
      <c r="B1387" s="67">
        <v>254.5</v>
      </c>
      <c r="C1387" s="67">
        <v>240.26499999999999</v>
      </c>
      <c r="D1387" s="67">
        <v>242.75</v>
      </c>
      <c r="E1387" s="67">
        <v>488930</v>
      </c>
      <c r="F1387" s="67" t="s">
        <v>1407</v>
      </c>
      <c r="G1387" s="25">
        <f t="shared" si="18"/>
        <v>1.9814624098867251E-2</v>
      </c>
    </row>
    <row r="1388" spans="1:7">
      <c r="A1388" s="67">
        <v>235.95</v>
      </c>
      <c r="B1388" s="67">
        <v>250</v>
      </c>
      <c r="C1388" s="67">
        <v>233.55</v>
      </c>
      <c r="D1388" s="67">
        <v>250</v>
      </c>
      <c r="E1388" s="67">
        <v>532070</v>
      </c>
      <c r="F1388" s="67" t="s">
        <v>1408</v>
      </c>
      <c r="G1388" s="25">
        <f t="shared" si="18"/>
        <v>-5.6200000000000028E-2</v>
      </c>
    </row>
    <row r="1389" spans="1:7">
      <c r="A1389" s="67">
        <v>252</v>
      </c>
      <c r="B1389" s="67">
        <v>253.01</v>
      </c>
      <c r="C1389" s="67">
        <v>231.44</v>
      </c>
      <c r="D1389" s="67">
        <v>244.69</v>
      </c>
      <c r="E1389" s="67">
        <v>531372</v>
      </c>
      <c r="F1389" s="67" t="s">
        <v>1409</v>
      </c>
      <c r="G1389" s="25">
        <f t="shared" si="18"/>
        <v>2.987453512607785E-2</v>
      </c>
    </row>
    <row r="1390" spans="1:7">
      <c r="A1390" s="67">
        <v>242.36</v>
      </c>
      <c r="B1390" s="67">
        <v>254.101</v>
      </c>
      <c r="C1390" s="67">
        <v>240.06</v>
      </c>
      <c r="D1390" s="67">
        <v>250.32</v>
      </c>
      <c r="E1390" s="67">
        <v>610205</v>
      </c>
      <c r="F1390" s="67" t="s">
        <v>1410</v>
      </c>
      <c r="G1390" s="25">
        <f t="shared" si="18"/>
        <v>-3.1799296899967966E-2</v>
      </c>
    </row>
    <row r="1391" spans="1:7">
      <c r="A1391" s="67">
        <v>253.1</v>
      </c>
      <c r="B1391" s="67">
        <v>265.8</v>
      </c>
      <c r="C1391" s="67">
        <v>249.3</v>
      </c>
      <c r="D1391" s="67">
        <v>263.92</v>
      </c>
      <c r="E1391" s="67">
        <v>489851</v>
      </c>
      <c r="F1391" s="67" t="s">
        <v>1411</v>
      </c>
      <c r="G1391" s="25">
        <f t="shared" si="18"/>
        <v>-4.0997271900576004E-2</v>
      </c>
    </row>
    <row r="1392" spans="1:7">
      <c r="A1392" s="67">
        <v>265.91000000000003</v>
      </c>
      <c r="B1392" s="67">
        <v>271.87</v>
      </c>
      <c r="C1392" s="67">
        <v>259.27999999999997</v>
      </c>
      <c r="D1392" s="67">
        <v>270.29000000000002</v>
      </c>
      <c r="E1392" s="67">
        <v>295317</v>
      </c>
      <c r="F1392" s="67" t="s">
        <v>1412</v>
      </c>
      <c r="G1392" s="25">
        <f t="shared" si="18"/>
        <v>-1.6204817048355413E-2</v>
      </c>
    </row>
    <row r="1393" spans="1:7">
      <c r="A1393" s="67">
        <v>270.26</v>
      </c>
      <c r="B1393" s="67">
        <v>271.935</v>
      </c>
      <c r="C1393" s="67">
        <v>259.7</v>
      </c>
      <c r="D1393" s="67">
        <v>263.98</v>
      </c>
      <c r="E1393" s="67">
        <v>421626</v>
      </c>
      <c r="F1393" s="67" t="s">
        <v>1413</v>
      </c>
      <c r="G1393" s="25">
        <f t="shared" si="18"/>
        <v>2.3789681036441968E-2</v>
      </c>
    </row>
    <row r="1394" spans="1:7">
      <c r="A1394" s="67">
        <v>259.10000000000002</v>
      </c>
      <c r="B1394" s="67">
        <v>270.27</v>
      </c>
      <c r="C1394" s="67">
        <v>258.30500000000001</v>
      </c>
      <c r="D1394" s="67">
        <v>265.81</v>
      </c>
      <c r="E1394" s="67">
        <v>698365</v>
      </c>
      <c r="F1394" s="67" t="s">
        <v>1414</v>
      </c>
      <c r="G1394" s="25">
        <f t="shared" si="18"/>
        <v>-2.5243595049095124E-2</v>
      </c>
    </row>
    <row r="1395" spans="1:7">
      <c r="A1395" s="67">
        <v>262.67</v>
      </c>
      <c r="B1395" s="67">
        <v>273.92</v>
      </c>
      <c r="C1395" s="67">
        <v>258.36</v>
      </c>
      <c r="D1395" s="67">
        <v>262.36</v>
      </c>
      <c r="E1395" s="67">
        <v>479038</v>
      </c>
      <c r="F1395" s="67" t="s">
        <v>1415</v>
      </c>
      <c r="G1395" s="25">
        <f t="shared" si="18"/>
        <v>1.181582558316796E-3</v>
      </c>
    </row>
    <row r="1396" spans="1:7">
      <c r="A1396" s="67">
        <v>262.36</v>
      </c>
      <c r="B1396" s="67">
        <v>282</v>
      </c>
      <c r="C1396" s="67">
        <v>260.58499999999998</v>
      </c>
      <c r="D1396" s="67">
        <v>260.76</v>
      </c>
      <c r="E1396" s="67">
        <v>798781</v>
      </c>
      <c r="F1396" s="67" t="s">
        <v>1416</v>
      </c>
      <c r="G1396" s="25">
        <f t="shared" si="18"/>
        <v>6.1359104157079347E-3</v>
      </c>
    </row>
    <row r="1397" spans="1:7">
      <c r="A1397" s="67">
        <v>260.74</v>
      </c>
      <c r="B1397" s="67">
        <v>263.51499999999999</v>
      </c>
      <c r="C1397" s="67">
        <v>244.02</v>
      </c>
      <c r="D1397" s="67">
        <v>252.76</v>
      </c>
      <c r="E1397" s="67">
        <v>508299</v>
      </c>
      <c r="F1397" s="67" t="s">
        <v>1417</v>
      </c>
      <c r="G1397" s="25">
        <f t="shared" si="18"/>
        <v>3.1571451178984189E-2</v>
      </c>
    </row>
    <row r="1398" spans="1:7">
      <c r="A1398" s="67">
        <v>256.51</v>
      </c>
      <c r="B1398" s="67">
        <v>276.185</v>
      </c>
      <c r="C1398" s="67">
        <v>255.29</v>
      </c>
      <c r="D1398" s="67">
        <v>274.12</v>
      </c>
      <c r="E1398" s="67">
        <v>612366</v>
      </c>
      <c r="F1398" s="67" t="s">
        <v>1418</v>
      </c>
      <c r="G1398" s="25">
        <f t="shared" si="18"/>
        <v>-6.4241937837443475E-2</v>
      </c>
    </row>
    <row r="1399" spans="1:7">
      <c r="A1399" s="67">
        <v>274.02999999999997</v>
      </c>
      <c r="B1399" s="67">
        <v>280.89999999999998</v>
      </c>
      <c r="C1399" s="67">
        <v>272.52499999999998</v>
      </c>
      <c r="D1399" s="67">
        <v>276.04000000000002</v>
      </c>
      <c r="E1399" s="67">
        <v>225255</v>
      </c>
      <c r="F1399" s="67" t="s">
        <v>1419</v>
      </c>
      <c r="G1399" s="25">
        <f t="shared" si="18"/>
        <v>-7.2815533980584712E-3</v>
      </c>
    </row>
    <row r="1400" spans="1:7">
      <c r="A1400" s="67">
        <v>273.31</v>
      </c>
      <c r="B1400" s="67">
        <v>278.61</v>
      </c>
      <c r="C1400" s="67">
        <v>272.42</v>
      </c>
      <c r="D1400" s="67">
        <v>276.24</v>
      </c>
      <c r="E1400" s="67">
        <v>305590</v>
      </c>
      <c r="F1400" s="67" t="s">
        <v>1420</v>
      </c>
      <c r="G1400" s="25">
        <f t="shared" ref="G1400:G1463" si="19">A1400/D1400-1</f>
        <v>-1.0606718795250547E-2</v>
      </c>
    </row>
    <row r="1401" spans="1:7">
      <c r="A1401" s="67">
        <v>279.69</v>
      </c>
      <c r="B1401" s="67">
        <v>281.755</v>
      </c>
      <c r="C1401" s="67">
        <v>273.39</v>
      </c>
      <c r="D1401" s="67">
        <v>281.55</v>
      </c>
      <c r="E1401" s="67">
        <v>304741</v>
      </c>
      <c r="F1401" s="67" t="s">
        <v>1421</v>
      </c>
      <c r="G1401" s="25">
        <f t="shared" si="19"/>
        <v>-6.6062866275973242E-3</v>
      </c>
    </row>
    <row r="1402" spans="1:7">
      <c r="A1402" s="67">
        <v>282.22000000000003</v>
      </c>
      <c r="B1402" s="67">
        <v>292.20999999999998</v>
      </c>
      <c r="C1402" s="67">
        <v>276.1508</v>
      </c>
      <c r="D1402" s="67">
        <v>291.95999999999998</v>
      </c>
      <c r="E1402" s="67">
        <v>364935</v>
      </c>
      <c r="F1402" s="67" t="s">
        <v>1422</v>
      </c>
      <c r="G1402" s="25">
        <f t="shared" si="19"/>
        <v>-3.3360734347170684E-2</v>
      </c>
    </row>
    <row r="1403" spans="1:7">
      <c r="A1403" s="67">
        <v>289.77</v>
      </c>
      <c r="B1403" s="67">
        <v>290.63</v>
      </c>
      <c r="C1403" s="67">
        <v>282.935</v>
      </c>
      <c r="D1403" s="67">
        <v>285.14</v>
      </c>
      <c r="E1403" s="67">
        <v>175949</v>
      </c>
      <c r="F1403" s="67" t="s">
        <v>1423</v>
      </c>
      <c r="G1403" s="25">
        <f t="shared" si="19"/>
        <v>1.6237637651679959E-2</v>
      </c>
    </row>
    <row r="1404" spans="1:7">
      <c r="A1404" s="67">
        <v>287.11</v>
      </c>
      <c r="B1404" s="67">
        <v>287.60000000000002</v>
      </c>
      <c r="C1404" s="67">
        <v>280.29000000000002</v>
      </c>
      <c r="D1404" s="67">
        <v>283.99</v>
      </c>
      <c r="E1404" s="67">
        <v>153478</v>
      </c>
      <c r="F1404" s="67" t="s">
        <v>1424</v>
      </c>
      <c r="G1404" s="25">
        <f t="shared" si="19"/>
        <v>1.0986302334589304E-2</v>
      </c>
    </row>
    <row r="1405" spans="1:7">
      <c r="A1405" s="67">
        <v>280.14999999999998</v>
      </c>
      <c r="B1405" s="67">
        <v>286.26</v>
      </c>
      <c r="C1405" s="67">
        <v>279.63499999999999</v>
      </c>
      <c r="D1405" s="67">
        <v>284</v>
      </c>
      <c r="E1405" s="67">
        <v>206003</v>
      </c>
      <c r="F1405" s="67" t="s">
        <v>1425</v>
      </c>
      <c r="G1405" s="25">
        <f t="shared" si="19"/>
        <v>-1.3556338028169135E-2</v>
      </c>
    </row>
    <row r="1406" spans="1:7">
      <c r="A1406" s="67">
        <v>282.02999999999997</v>
      </c>
      <c r="B1406" s="67">
        <v>283.77</v>
      </c>
      <c r="C1406" s="67">
        <v>277.63499999999999</v>
      </c>
      <c r="D1406" s="67">
        <v>280.67</v>
      </c>
      <c r="E1406" s="67">
        <v>212055</v>
      </c>
      <c r="F1406" s="67" t="s">
        <v>1426</v>
      </c>
      <c r="G1406" s="25">
        <f t="shared" si="19"/>
        <v>4.8455481526346045E-3</v>
      </c>
    </row>
    <row r="1407" spans="1:7">
      <c r="A1407" s="67">
        <v>280.89</v>
      </c>
      <c r="B1407" s="67">
        <v>285.79000000000002</v>
      </c>
      <c r="C1407" s="67">
        <v>279.55</v>
      </c>
      <c r="D1407" s="67">
        <v>282.89999999999998</v>
      </c>
      <c r="E1407" s="67">
        <v>183860</v>
      </c>
      <c r="F1407" s="67" t="s">
        <v>1427</v>
      </c>
      <c r="G1407" s="25">
        <f t="shared" si="19"/>
        <v>-7.1049840933191666E-3</v>
      </c>
    </row>
    <row r="1408" spans="1:7">
      <c r="A1408" s="67">
        <v>281.17</v>
      </c>
      <c r="B1408" s="67">
        <v>283.57499999999999</v>
      </c>
      <c r="C1408" s="67">
        <v>278.45999999999998</v>
      </c>
      <c r="D1408" s="67">
        <v>279</v>
      </c>
      <c r="E1408" s="67">
        <v>206475</v>
      </c>
      <c r="F1408" s="67" t="s">
        <v>1428</v>
      </c>
      <c r="G1408" s="25">
        <f t="shared" si="19"/>
        <v>7.7777777777778834E-3</v>
      </c>
    </row>
    <row r="1409" spans="1:7">
      <c r="A1409" s="67">
        <v>278</v>
      </c>
      <c r="B1409" s="67">
        <v>281.62</v>
      </c>
      <c r="C1409" s="67">
        <v>275.44</v>
      </c>
      <c r="D1409" s="67">
        <v>275.44</v>
      </c>
      <c r="E1409" s="67">
        <v>172523</v>
      </c>
      <c r="F1409" s="67" t="s">
        <v>1429</v>
      </c>
      <c r="G1409" s="25">
        <f t="shared" si="19"/>
        <v>9.2942201568400051E-3</v>
      </c>
    </row>
    <row r="1410" spans="1:7">
      <c r="A1410" s="67">
        <v>274.39999999999998</v>
      </c>
      <c r="B1410" s="67">
        <v>277.10000000000002</v>
      </c>
      <c r="C1410" s="67">
        <v>270.01</v>
      </c>
      <c r="D1410" s="67">
        <v>275.64</v>
      </c>
      <c r="E1410" s="67">
        <v>139956</v>
      </c>
      <c r="F1410" s="67" t="s">
        <v>1430</v>
      </c>
      <c r="G1410" s="25">
        <f t="shared" si="19"/>
        <v>-4.4986213902191707E-3</v>
      </c>
    </row>
    <row r="1411" spans="1:7">
      <c r="A1411" s="67">
        <v>274.83999999999997</v>
      </c>
      <c r="B1411" s="67">
        <v>277.19529999999997</v>
      </c>
      <c r="C1411" s="67">
        <v>268.27999999999997</v>
      </c>
      <c r="D1411" s="67">
        <v>268.94</v>
      </c>
      <c r="E1411" s="67">
        <v>308460</v>
      </c>
      <c r="F1411" s="67" t="s">
        <v>1431</v>
      </c>
      <c r="G1411" s="25">
        <f t="shared" si="19"/>
        <v>2.1937978731315422E-2</v>
      </c>
    </row>
    <row r="1412" spans="1:7">
      <c r="A1412" s="67">
        <v>263.75</v>
      </c>
      <c r="B1412" s="67">
        <v>274.20999999999998</v>
      </c>
      <c r="C1412" s="67">
        <v>263.3</v>
      </c>
      <c r="D1412" s="67">
        <v>272.52</v>
      </c>
      <c r="E1412" s="67">
        <v>400368</v>
      </c>
      <c r="F1412" s="67" t="s">
        <v>1432</v>
      </c>
      <c r="G1412" s="25">
        <f t="shared" si="19"/>
        <v>-3.2181124321150723E-2</v>
      </c>
    </row>
    <row r="1413" spans="1:7">
      <c r="A1413" s="67">
        <v>267.18</v>
      </c>
      <c r="B1413" s="67">
        <v>276.75</v>
      </c>
      <c r="C1413" s="67">
        <v>263.98</v>
      </c>
      <c r="D1413" s="67">
        <v>270</v>
      </c>
      <c r="E1413" s="67">
        <v>406221</v>
      </c>
      <c r="F1413" s="67" t="s">
        <v>1433</v>
      </c>
      <c r="G1413" s="25">
        <f t="shared" si="19"/>
        <v>-1.0444444444444367E-2</v>
      </c>
    </row>
    <row r="1414" spans="1:7">
      <c r="A1414" s="67">
        <v>275.02999999999997</v>
      </c>
      <c r="B1414" s="67">
        <v>277</v>
      </c>
      <c r="C1414" s="67">
        <v>258</v>
      </c>
      <c r="D1414" s="67">
        <v>259.82</v>
      </c>
      <c r="E1414" s="67">
        <v>425879</v>
      </c>
      <c r="F1414" s="67" t="s">
        <v>1434</v>
      </c>
      <c r="G1414" s="25">
        <f t="shared" si="19"/>
        <v>5.8540528057886121E-2</v>
      </c>
    </row>
    <row r="1415" spans="1:7">
      <c r="A1415" s="67">
        <v>260</v>
      </c>
      <c r="B1415" s="67">
        <v>281.75349999999997</v>
      </c>
      <c r="C1415" s="67">
        <v>259.18</v>
      </c>
      <c r="D1415" s="67">
        <v>280.73</v>
      </c>
      <c r="E1415" s="67">
        <v>715999</v>
      </c>
      <c r="F1415" s="67" t="s">
        <v>1435</v>
      </c>
      <c r="G1415" s="25">
        <f t="shared" si="19"/>
        <v>-7.3843194528550593E-2</v>
      </c>
    </row>
    <row r="1416" spans="1:7">
      <c r="A1416" s="67">
        <v>284.58</v>
      </c>
      <c r="B1416" s="67">
        <v>295.08</v>
      </c>
      <c r="C1416" s="67">
        <v>277.93</v>
      </c>
      <c r="D1416" s="67">
        <v>290.29000000000002</v>
      </c>
      <c r="E1416" s="67">
        <v>430004</v>
      </c>
      <c r="F1416" s="67" t="s">
        <v>1436</v>
      </c>
      <c r="G1416" s="25">
        <f t="shared" si="19"/>
        <v>-1.9669985187226735E-2</v>
      </c>
    </row>
    <row r="1417" spans="1:7">
      <c r="A1417" s="67">
        <v>288.91000000000003</v>
      </c>
      <c r="B1417" s="67">
        <v>298.39</v>
      </c>
      <c r="C1417" s="67">
        <v>286.14999999999998</v>
      </c>
      <c r="D1417" s="67">
        <v>292.58499999999998</v>
      </c>
      <c r="E1417" s="67">
        <v>403351</v>
      </c>
      <c r="F1417" s="67" t="s">
        <v>1437</v>
      </c>
      <c r="G1417" s="25">
        <f t="shared" si="19"/>
        <v>-1.2560452518071474E-2</v>
      </c>
    </row>
    <row r="1418" spans="1:7">
      <c r="A1418" s="67">
        <v>290.3</v>
      </c>
      <c r="B1418" s="67">
        <v>292.29000000000002</v>
      </c>
      <c r="C1418" s="67">
        <v>285.7</v>
      </c>
      <c r="D1418" s="67">
        <v>290.62</v>
      </c>
      <c r="E1418" s="67">
        <v>249544</v>
      </c>
      <c r="F1418" s="67" t="s">
        <v>1438</v>
      </c>
      <c r="G1418" s="25">
        <f t="shared" si="19"/>
        <v>-1.1010942123734768E-3</v>
      </c>
    </row>
    <row r="1419" spans="1:7">
      <c r="A1419" s="67">
        <v>290.62</v>
      </c>
      <c r="B1419" s="67">
        <v>296.81</v>
      </c>
      <c r="C1419" s="67">
        <v>288.33</v>
      </c>
      <c r="D1419" s="67">
        <v>295.44</v>
      </c>
      <c r="E1419" s="67">
        <v>481339</v>
      </c>
      <c r="F1419" s="67" t="s">
        <v>1439</v>
      </c>
      <c r="G1419" s="25">
        <f t="shared" si="19"/>
        <v>-1.6314649336582665E-2</v>
      </c>
    </row>
    <row r="1420" spans="1:7">
      <c r="A1420" s="67">
        <v>293.05</v>
      </c>
      <c r="B1420" s="67">
        <v>298.43</v>
      </c>
      <c r="C1420" s="67">
        <v>285.18</v>
      </c>
      <c r="D1420" s="67">
        <v>285.18</v>
      </c>
      <c r="E1420" s="67">
        <v>533182</v>
      </c>
      <c r="F1420" s="67" t="s">
        <v>1440</v>
      </c>
      <c r="G1420" s="25">
        <f t="shared" si="19"/>
        <v>2.7596605652570272E-2</v>
      </c>
    </row>
    <row r="1421" spans="1:7">
      <c r="A1421" s="67">
        <v>284.45999999999998</v>
      </c>
      <c r="B1421" s="67">
        <v>289.44659999999999</v>
      </c>
      <c r="C1421" s="67">
        <v>281.07</v>
      </c>
      <c r="D1421" s="67">
        <v>285.31</v>
      </c>
      <c r="E1421" s="67">
        <v>410298</v>
      </c>
      <c r="F1421" s="67" t="s">
        <v>1441</v>
      </c>
      <c r="G1421" s="25">
        <f t="shared" si="19"/>
        <v>-2.9792155900599804E-3</v>
      </c>
    </row>
    <row r="1422" spans="1:7">
      <c r="A1422" s="67">
        <v>281.2</v>
      </c>
      <c r="B1422" s="67">
        <v>288.52999999999997</v>
      </c>
      <c r="C1422" s="67">
        <v>274.11</v>
      </c>
      <c r="D1422" s="67">
        <v>285.27999999999997</v>
      </c>
      <c r="E1422" s="67">
        <v>768195</v>
      </c>
      <c r="F1422" s="67" t="s">
        <v>1442</v>
      </c>
      <c r="G1422" s="25">
        <f t="shared" si="19"/>
        <v>-1.4301738642736872E-2</v>
      </c>
    </row>
    <row r="1423" spans="1:7">
      <c r="A1423" s="67">
        <v>284.14</v>
      </c>
      <c r="B1423" s="67">
        <v>285.3</v>
      </c>
      <c r="C1423" s="67">
        <v>269.01</v>
      </c>
      <c r="D1423" s="67">
        <v>269.39</v>
      </c>
      <c r="E1423" s="67">
        <v>960703</v>
      </c>
      <c r="F1423" s="67" t="s">
        <v>1443</v>
      </c>
      <c r="G1423" s="25">
        <f t="shared" si="19"/>
        <v>5.4753331601024469E-2</v>
      </c>
    </row>
    <row r="1424" spans="1:7">
      <c r="A1424" s="67">
        <v>270.39999999999998</v>
      </c>
      <c r="B1424" s="67">
        <v>274.07</v>
      </c>
      <c r="C1424" s="67">
        <v>260</v>
      </c>
      <c r="D1424" s="67">
        <v>267.24</v>
      </c>
      <c r="E1424" s="67">
        <v>898306</v>
      </c>
      <c r="F1424" s="67" t="s">
        <v>1444</v>
      </c>
      <c r="G1424" s="25">
        <f t="shared" si="19"/>
        <v>1.1824577159107896E-2</v>
      </c>
    </row>
    <row r="1425" spans="1:7">
      <c r="A1425" s="67">
        <v>265.82</v>
      </c>
      <c r="B1425" s="67">
        <v>268.54000000000002</v>
      </c>
      <c r="C1425" s="67">
        <v>254</v>
      </c>
      <c r="D1425" s="67">
        <v>254.23</v>
      </c>
      <c r="E1425" s="67">
        <v>551347</v>
      </c>
      <c r="F1425" s="67" t="s">
        <v>1445</v>
      </c>
      <c r="G1425" s="25">
        <f t="shared" si="19"/>
        <v>4.5588640207685938E-2</v>
      </c>
    </row>
    <row r="1426" spans="1:7">
      <c r="A1426" s="67">
        <v>254.65</v>
      </c>
      <c r="B1426" s="67">
        <v>268.20999999999998</v>
      </c>
      <c r="C1426" s="67">
        <v>253.39</v>
      </c>
      <c r="D1426" s="67">
        <v>263.38</v>
      </c>
      <c r="E1426" s="67">
        <v>395489</v>
      </c>
      <c r="F1426" s="67" t="s">
        <v>1446</v>
      </c>
      <c r="G1426" s="25">
        <f t="shared" si="19"/>
        <v>-3.314602475510664E-2</v>
      </c>
    </row>
    <row r="1427" spans="1:7">
      <c r="A1427" s="67">
        <v>265.75</v>
      </c>
      <c r="B1427" s="67">
        <v>267.2</v>
      </c>
      <c r="C1427" s="67">
        <v>259.20999999999998</v>
      </c>
      <c r="D1427" s="67">
        <v>259.20999999999998</v>
      </c>
      <c r="E1427" s="67">
        <v>346485</v>
      </c>
      <c r="F1427" s="67" t="s">
        <v>1447</v>
      </c>
      <c r="G1427" s="25">
        <f t="shared" si="19"/>
        <v>2.5230508082249914E-2</v>
      </c>
    </row>
    <row r="1428" spans="1:7">
      <c r="A1428" s="67">
        <v>259.20999999999998</v>
      </c>
      <c r="B1428" s="67">
        <v>260.52</v>
      </c>
      <c r="C1428" s="67">
        <v>252.38</v>
      </c>
      <c r="D1428" s="67">
        <v>252.38</v>
      </c>
      <c r="E1428" s="67">
        <v>344342</v>
      </c>
      <c r="F1428" s="67" t="s">
        <v>1448</v>
      </c>
      <c r="G1428" s="25">
        <f t="shared" si="19"/>
        <v>2.7062366273080229E-2</v>
      </c>
    </row>
    <row r="1429" spans="1:7">
      <c r="A1429" s="67">
        <v>252.37</v>
      </c>
      <c r="B1429" s="67">
        <v>255.20750000000001</v>
      </c>
      <c r="C1429" s="67">
        <v>249.95</v>
      </c>
      <c r="D1429" s="67">
        <v>250.65</v>
      </c>
      <c r="E1429" s="67">
        <v>341092</v>
      </c>
      <c r="F1429" s="67" t="s">
        <v>1449</v>
      </c>
      <c r="G1429" s="25">
        <f t="shared" si="19"/>
        <v>6.8621583881907089E-3</v>
      </c>
    </row>
    <row r="1430" spans="1:7">
      <c r="A1430" s="67">
        <v>253.66</v>
      </c>
      <c r="B1430" s="67">
        <v>255.38</v>
      </c>
      <c r="C1430" s="67">
        <v>249.21</v>
      </c>
      <c r="D1430" s="67">
        <v>253.06</v>
      </c>
      <c r="E1430" s="67">
        <v>275090</v>
      </c>
      <c r="F1430" s="67" t="s">
        <v>1450</v>
      </c>
      <c r="G1430" s="25">
        <f t="shared" si="19"/>
        <v>2.3709792144155362E-3</v>
      </c>
    </row>
    <row r="1431" spans="1:7">
      <c r="A1431" s="67">
        <v>251.62</v>
      </c>
      <c r="B1431" s="67">
        <v>258.29000000000002</v>
      </c>
      <c r="C1431" s="67">
        <v>244.53</v>
      </c>
      <c r="D1431" s="67">
        <v>257.76</v>
      </c>
      <c r="E1431" s="67">
        <v>352265</v>
      </c>
      <c r="F1431" s="67" t="s">
        <v>1451</v>
      </c>
      <c r="G1431" s="25">
        <f t="shared" si="19"/>
        <v>-2.3820608317814962E-2</v>
      </c>
    </row>
    <row r="1432" spans="1:7">
      <c r="A1432" s="67">
        <v>255.63</v>
      </c>
      <c r="B1432" s="67">
        <v>261.27</v>
      </c>
      <c r="C1432" s="67">
        <v>255.01</v>
      </c>
      <c r="D1432" s="67">
        <v>261.27</v>
      </c>
      <c r="E1432" s="67">
        <v>354052</v>
      </c>
      <c r="F1432" s="67" t="s">
        <v>1452</v>
      </c>
      <c r="G1432" s="25">
        <f t="shared" si="19"/>
        <v>-2.1586864163508968E-2</v>
      </c>
    </row>
    <row r="1433" spans="1:7">
      <c r="A1433" s="67">
        <v>260.55</v>
      </c>
      <c r="B1433" s="67">
        <v>264.29000000000002</v>
      </c>
      <c r="C1433" s="67">
        <v>255.3</v>
      </c>
      <c r="D1433" s="67">
        <v>262.27</v>
      </c>
      <c r="E1433" s="67">
        <v>381148</v>
      </c>
      <c r="F1433" s="67" t="s">
        <v>1453</v>
      </c>
      <c r="G1433" s="25">
        <f t="shared" si="19"/>
        <v>-6.5581271209058656E-3</v>
      </c>
    </row>
    <row r="1434" spans="1:7">
      <c r="A1434" s="67">
        <v>260.64999999999998</v>
      </c>
      <c r="B1434" s="67">
        <v>261.01</v>
      </c>
      <c r="C1434" s="67">
        <v>252.24</v>
      </c>
      <c r="D1434" s="67">
        <v>257.81</v>
      </c>
      <c r="E1434" s="67">
        <v>272746</v>
      </c>
      <c r="F1434" s="67" t="s">
        <v>1454</v>
      </c>
      <c r="G1434" s="25">
        <f t="shared" si="19"/>
        <v>1.1015864396260788E-2</v>
      </c>
    </row>
    <row r="1435" spans="1:7">
      <c r="A1435" s="67">
        <v>255.95</v>
      </c>
      <c r="B1435" s="67">
        <v>259.685</v>
      </c>
      <c r="C1435" s="67">
        <v>253</v>
      </c>
      <c r="D1435" s="67">
        <v>257.27999999999997</v>
      </c>
      <c r="E1435" s="67">
        <v>266212</v>
      </c>
      <c r="F1435" s="67" t="s">
        <v>1455</v>
      </c>
      <c r="G1435" s="25">
        <f t="shared" si="19"/>
        <v>-5.1694651741293063E-3</v>
      </c>
    </row>
    <row r="1436" spans="1:7">
      <c r="A1436" s="67">
        <v>257.27999999999997</v>
      </c>
      <c r="B1436" s="67">
        <v>261.35000000000002</v>
      </c>
      <c r="C1436" s="67">
        <v>253.09</v>
      </c>
      <c r="D1436" s="67">
        <v>259.92</v>
      </c>
      <c r="E1436" s="67">
        <v>167211</v>
      </c>
      <c r="F1436" s="67" t="s">
        <v>1456</v>
      </c>
      <c r="G1436" s="25">
        <f t="shared" si="19"/>
        <v>-1.0156971375808066E-2</v>
      </c>
    </row>
    <row r="1437" spans="1:7">
      <c r="A1437" s="67">
        <v>260.98</v>
      </c>
      <c r="B1437" s="67">
        <v>262.66000000000003</v>
      </c>
      <c r="C1437" s="67">
        <v>254</v>
      </c>
      <c r="D1437" s="67">
        <v>255.53</v>
      </c>
      <c r="E1437" s="67">
        <v>570450</v>
      </c>
      <c r="F1437" s="67" t="s">
        <v>1457</v>
      </c>
      <c r="G1437" s="25">
        <f t="shared" si="19"/>
        <v>2.1328219778499635E-2</v>
      </c>
    </row>
    <row r="1438" spans="1:7">
      <c r="A1438" s="67">
        <v>254.46</v>
      </c>
      <c r="B1438" s="67">
        <v>255.85</v>
      </c>
      <c r="C1438" s="67">
        <v>237.68</v>
      </c>
      <c r="D1438" s="67">
        <v>238.23</v>
      </c>
      <c r="E1438" s="67">
        <v>694174</v>
      </c>
      <c r="F1438" s="67" t="s">
        <v>1458</v>
      </c>
      <c r="G1438" s="25">
        <f t="shared" si="19"/>
        <v>6.8127439869034134E-2</v>
      </c>
    </row>
    <row r="1439" spans="1:7">
      <c r="A1439" s="67">
        <v>237.41</v>
      </c>
      <c r="B1439" s="67">
        <v>243.33</v>
      </c>
      <c r="C1439" s="67">
        <v>234.94</v>
      </c>
      <c r="D1439" s="67">
        <v>241.22</v>
      </c>
      <c r="E1439" s="67">
        <v>568881</v>
      </c>
      <c r="F1439" s="67" t="s">
        <v>1459</v>
      </c>
      <c r="G1439" s="25">
        <f t="shared" si="19"/>
        <v>-1.5794710223032915E-2</v>
      </c>
    </row>
    <row r="1440" spans="1:7">
      <c r="A1440" s="67">
        <v>240.65</v>
      </c>
      <c r="B1440" s="67">
        <v>246.0017</v>
      </c>
      <c r="C1440" s="67">
        <v>237.38</v>
      </c>
      <c r="D1440" s="67">
        <v>244.86</v>
      </c>
      <c r="E1440" s="67">
        <v>906355</v>
      </c>
      <c r="F1440" s="67" t="s">
        <v>1460</v>
      </c>
      <c r="G1440" s="25">
        <f t="shared" si="19"/>
        <v>-1.7193498325573819E-2</v>
      </c>
    </row>
    <row r="1441" spans="1:7">
      <c r="A1441" s="67">
        <v>240.92</v>
      </c>
      <c r="B1441" s="67">
        <v>241.86</v>
      </c>
      <c r="C1441" s="67">
        <v>233.98</v>
      </c>
      <c r="D1441" s="67">
        <v>238.93</v>
      </c>
      <c r="E1441" s="67">
        <v>698424</v>
      </c>
      <c r="F1441" s="67" t="s">
        <v>1461</v>
      </c>
      <c r="G1441" s="25">
        <f t="shared" si="19"/>
        <v>8.3287992298999303E-3</v>
      </c>
    </row>
    <row r="1442" spans="1:7">
      <c r="A1442" s="67">
        <v>238.3</v>
      </c>
      <c r="B1442" s="67">
        <v>243.11</v>
      </c>
      <c r="C1442" s="67">
        <v>236.01</v>
      </c>
      <c r="D1442" s="67">
        <v>239.34</v>
      </c>
      <c r="E1442" s="67">
        <v>945716</v>
      </c>
      <c r="F1442" s="67" t="s">
        <v>1462</v>
      </c>
      <c r="G1442" s="25">
        <f t="shared" si="19"/>
        <v>-4.3452828612016159E-3</v>
      </c>
    </row>
    <row r="1443" spans="1:7">
      <c r="A1443" s="67">
        <v>241.76</v>
      </c>
      <c r="B1443" s="67">
        <v>245.56</v>
      </c>
      <c r="C1443" s="67">
        <v>235.71</v>
      </c>
      <c r="D1443" s="67">
        <v>240.66</v>
      </c>
      <c r="E1443" s="67">
        <v>506664</v>
      </c>
      <c r="F1443" s="67" t="s">
        <v>1463</v>
      </c>
      <c r="G1443" s="25">
        <f t="shared" si="19"/>
        <v>4.5707637330674178E-3</v>
      </c>
    </row>
    <row r="1444" spans="1:7">
      <c r="A1444" s="67">
        <v>239.05</v>
      </c>
      <c r="B1444" s="67">
        <v>245.67</v>
      </c>
      <c r="C1444" s="67">
        <v>238.24</v>
      </c>
      <c r="D1444" s="67">
        <v>240.42</v>
      </c>
      <c r="E1444" s="67">
        <v>666841</v>
      </c>
      <c r="F1444" s="67" t="s">
        <v>1464</v>
      </c>
      <c r="G1444" s="25">
        <f t="shared" si="19"/>
        <v>-5.698361201231128E-3</v>
      </c>
    </row>
    <row r="1445" spans="1:7">
      <c r="A1445" s="67">
        <v>238.96</v>
      </c>
      <c r="B1445" s="67">
        <v>248.19</v>
      </c>
      <c r="C1445" s="67">
        <v>237.42</v>
      </c>
      <c r="D1445" s="67">
        <v>246.96</v>
      </c>
      <c r="E1445" s="67">
        <v>464474</v>
      </c>
      <c r="F1445" s="67" t="s">
        <v>1465</v>
      </c>
      <c r="G1445" s="25">
        <f t="shared" si="19"/>
        <v>-3.2393909944930299E-2</v>
      </c>
    </row>
    <row r="1446" spans="1:7">
      <c r="A1446" s="67">
        <v>246.97</v>
      </c>
      <c r="B1446" s="67">
        <v>250.59</v>
      </c>
      <c r="C1446" s="67">
        <v>241.91</v>
      </c>
      <c r="D1446" s="67">
        <v>243.64</v>
      </c>
      <c r="E1446" s="67">
        <v>457016</v>
      </c>
      <c r="F1446" s="67" t="s">
        <v>1466</v>
      </c>
      <c r="G1446" s="25">
        <f t="shared" si="19"/>
        <v>1.3667706452142658E-2</v>
      </c>
    </row>
    <row r="1447" spans="1:7">
      <c r="A1447" s="67">
        <v>243.88</v>
      </c>
      <c r="B1447" s="67">
        <v>247.51990000000001</v>
      </c>
      <c r="C1447" s="67">
        <v>238.09</v>
      </c>
      <c r="D1447" s="67">
        <v>245.36</v>
      </c>
      <c r="E1447" s="67">
        <v>637901</v>
      </c>
      <c r="F1447" s="67" t="s">
        <v>1467</v>
      </c>
      <c r="G1447" s="25">
        <f t="shared" si="19"/>
        <v>-6.0319530485817285E-3</v>
      </c>
    </row>
    <row r="1448" spans="1:7">
      <c r="A1448" s="67">
        <v>245.65</v>
      </c>
      <c r="B1448" s="67">
        <v>251.68</v>
      </c>
      <c r="C1448" s="67">
        <v>243.99</v>
      </c>
      <c r="D1448" s="67">
        <v>251.39</v>
      </c>
      <c r="E1448" s="67">
        <v>491518</v>
      </c>
      <c r="F1448" s="67" t="s">
        <v>1468</v>
      </c>
      <c r="G1448" s="25">
        <f t="shared" si="19"/>
        <v>-2.2833048251720389E-2</v>
      </c>
    </row>
    <row r="1449" spans="1:7">
      <c r="A1449" s="67">
        <v>249.69</v>
      </c>
      <c r="B1449" s="67">
        <v>260</v>
      </c>
      <c r="C1449" s="67">
        <v>248.59</v>
      </c>
      <c r="D1449" s="67">
        <v>260</v>
      </c>
      <c r="E1449" s="67">
        <v>414703</v>
      </c>
      <c r="F1449" s="67" t="s">
        <v>1469</v>
      </c>
      <c r="G1449" s="25">
        <f t="shared" si="19"/>
        <v>-3.9653846153846151E-2</v>
      </c>
    </row>
    <row r="1450" spans="1:7">
      <c r="A1450" s="67">
        <v>258.88</v>
      </c>
      <c r="B1450" s="67">
        <v>261.58</v>
      </c>
      <c r="C1450" s="67">
        <v>253.73</v>
      </c>
      <c r="D1450" s="67">
        <v>255.81</v>
      </c>
      <c r="E1450" s="67">
        <v>263452</v>
      </c>
      <c r="F1450" s="67" t="s">
        <v>1470</v>
      </c>
      <c r="G1450" s="25">
        <f t="shared" si="19"/>
        <v>1.2001094562370529E-2</v>
      </c>
    </row>
    <row r="1451" spans="1:7">
      <c r="A1451" s="67">
        <v>255.54</v>
      </c>
      <c r="B1451" s="67">
        <v>257.63</v>
      </c>
      <c r="C1451" s="67">
        <v>253.29</v>
      </c>
      <c r="D1451" s="67">
        <v>254.73</v>
      </c>
      <c r="E1451" s="67">
        <v>424325</v>
      </c>
      <c r="F1451" s="67" t="s">
        <v>1471</v>
      </c>
      <c r="G1451" s="25">
        <f t="shared" si="19"/>
        <v>3.1798374749734126E-3</v>
      </c>
    </row>
    <row r="1452" spans="1:7">
      <c r="A1452" s="67">
        <v>255.07</v>
      </c>
      <c r="B1452" s="67">
        <v>263.22000000000003</v>
      </c>
      <c r="C1452" s="67">
        <v>255.04</v>
      </c>
      <c r="D1452" s="67">
        <v>261.62</v>
      </c>
      <c r="E1452" s="67">
        <v>311316</v>
      </c>
      <c r="F1452" s="67" t="s">
        <v>1472</v>
      </c>
      <c r="G1452" s="25">
        <f t="shared" si="19"/>
        <v>-2.503631220854674E-2</v>
      </c>
    </row>
    <row r="1453" spans="1:7">
      <c r="A1453" s="67">
        <v>262.57</v>
      </c>
      <c r="B1453" s="67">
        <v>264.57</v>
      </c>
      <c r="C1453" s="67">
        <v>253.71</v>
      </c>
      <c r="D1453" s="67">
        <v>259.76</v>
      </c>
      <c r="E1453" s="67">
        <v>327933</v>
      </c>
      <c r="F1453" s="67" t="s">
        <v>1473</v>
      </c>
      <c r="G1453" s="25">
        <f t="shared" si="19"/>
        <v>1.0817677856483021E-2</v>
      </c>
    </row>
    <row r="1454" spans="1:7">
      <c r="A1454" s="67">
        <v>257.70999999999998</v>
      </c>
      <c r="B1454" s="67">
        <v>258.64999999999998</v>
      </c>
      <c r="C1454" s="67">
        <v>247.24</v>
      </c>
      <c r="D1454" s="67">
        <v>254.6</v>
      </c>
      <c r="E1454" s="67">
        <v>558728</v>
      </c>
      <c r="F1454" s="67" t="s">
        <v>1474</v>
      </c>
      <c r="G1454" s="25">
        <f t="shared" si="19"/>
        <v>1.2215239591516047E-2</v>
      </c>
    </row>
    <row r="1455" spans="1:7">
      <c r="A1455" s="67">
        <v>251.48</v>
      </c>
      <c r="B1455" s="67">
        <v>252.79</v>
      </c>
      <c r="C1455" s="67">
        <v>246.91</v>
      </c>
      <c r="D1455" s="67">
        <v>250.59</v>
      </c>
      <c r="E1455" s="67">
        <v>172832</v>
      </c>
      <c r="F1455" s="67" t="s">
        <v>1475</v>
      </c>
      <c r="G1455" s="25">
        <f t="shared" si="19"/>
        <v>3.5516181810926195E-3</v>
      </c>
    </row>
    <row r="1456" spans="1:7">
      <c r="A1456" s="67">
        <v>248.86</v>
      </c>
      <c r="B1456" s="67">
        <v>256.76</v>
      </c>
      <c r="C1456" s="67">
        <v>247.61</v>
      </c>
      <c r="D1456" s="67">
        <v>252.13</v>
      </c>
      <c r="E1456" s="67">
        <v>392465</v>
      </c>
      <c r="F1456" s="67" t="s">
        <v>1476</v>
      </c>
      <c r="G1456" s="25">
        <f t="shared" si="19"/>
        <v>-1.2969499861182676E-2</v>
      </c>
    </row>
    <row r="1457" spans="1:7">
      <c r="A1457" s="67">
        <v>253.61</v>
      </c>
      <c r="B1457" s="67">
        <v>268.2</v>
      </c>
      <c r="C1457" s="67">
        <v>251.83500000000001</v>
      </c>
      <c r="D1457" s="67">
        <v>267.82</v>
      </c>
      <c r="E1457" s="67">
        <v>528081</v>
      </c>
      <c r="F1457" s="67" t="s">
        <v>1477</v>
      </c>
      <c r="G1457" s="25">
        <f t="shared" si="19"/>
        <v>-5.3058024046001018E-2</v>
      </c>
    </row>
    <row r="1458" spans="1:7">
      <c r="A1458" s="67">
        <v>265.89</v>
      </c>
      <c r="B1458" s="67">
        <v>268.8</v>
      </c>
      <c r="C1458" s="67">
        <v>261.27999999999997</v>
      </c>
      <c r="D1458" s="67">
        <v>267.33999999999997</v>
      </c>
      <c r="E1458" s="67">
        <v>353220</v>
      </c>
      <c r="F1458" s="67" t="s">
        <v>1478</v>
      </c>
      <c r="G1458" s="25">
        <f t="shared" si="19"/>
        <v>-5.4238048926460447E-3</v>
      </c>
    </row>
    <row r="1459" spans="1:7">
      <c r="A1459" s="67">
        <v>265.24</v>
      </c>
      <c r="B1459" s="67">
        <v>269.41500000000002</v>
      </c>
      <c r="C1459" s="67">
        <v>259.56</v>
      </c>
      <c r="D1459" s="67">
        <v>263.8</v>
      </c>
      <c r="E1459" s="67">
        <v>381886</v>
      </c>
      <c r="F1459" s="67" t="s">
        <v>1479</v>
      </c>
      <c r="G1459" s="25">
        <f t="shared" si="19"/>
        <v>5.4586808188021863E-3</v>
      </c>
    </row>
    <row r="1460" spans="1:7">
      <c r="A1460" s="67">
        <v>264.24</v>
      </c>
      <c r="B1460" s="67">
        <v>265.125</v>
      </c>
      <c r="C1460" s="67">
        <v>255.92</v>
      </c>
      <c r="D1460" s="67">
        <v>259.27</v>
      </c>
      <c r="E1460" s="67">
        <v>235147</v>
      </c>
      <c r="F1460" s="67" t="s">
        <v>1480</v>
      </c>
      <c r="G1460" s="25">
        <f t="shared" si="19"/>
        <v>1.9169205847186399E-2</v>
      </c>
    </row>
    <row r="1461" spans="1:7">
      <c r="A1461" s="67">
        <v>259.27</v>
      </c>
      <c r="B1461" s="67">
        <v>262.89</v>
      </c>
      <c r="C1461" s="67">
        <v>254.43</v>
      </c>
      <c r="D1461" s="67">
        <v>258.89999999999998</v>
      </c>
      <c r="E1461" s="67">
        <v>272025</v>
      </c>
      <c r="F1461" s="67" t="s">
        <v>1481</v>
      </c>
      <c r="G1461" s="25">
        <f t="shared" si="19"/>
        <v>1.4291232135958953E-3</v>
      </c>
    </row>
    <row r="1462" spans="1:7">
      <c r="A1462" s="67">
        <v>259.61</v>
      </c>
      <c r="B1462" s="67">
        <v>261.88</v>
      </c>
      <c r="C1462" s="67">
        <v>245.28</v>
      </c>
      <c r="D1462" s="67">
        <v>252.16</v>
      </c>
      <c r="E1462" s="67">
        <v>312074</v>
      </c>
      <c r="F1462" s="67" t="s">
        <v>1482</v>
      </c>
      <c r="G1462" s="25">
        <f t="shared" si="19"/>
        <v>2.9544733502538056E-2</v>
      </c>
    </row>
    <row r="1463" spans="1:7">
      <c r="A1463" s="67">
        <v>253.04</v>
      </c>
      <c r="B1463" s="67">
        <v>258</v>
      </c>
      <c r="C1463" s="67">
        <v>251.21</v>
      </c>
      <c r="D1463" s="67">
        <v>256.88</v>
      </c>
      <c r="E1463" s="67">
        <v>523346</v>
      </c>
      <c r="F1463" s="67" t="s">
        <v>1483</v>
      </c>
      <c r="G1463" s="25">
        <f t="shared" si="19"/>
        <v>-1.4948614138897587E-2</v>
      </c>
    </row>
    <row r="1464" spans="1:7">
      <c r="A1464" s="67">
        <v>256</v>
      </c>
      <c r="B1464" s="67">
        <v>265.47000000000003</v>
      </c>
      <c r="C1464" s="67">
        <v>252.77</v>
      </c>
      <c r="D1464" s="67">
        <v>260.98</v>
      </c>
      <c r="E1464" s="67">
        <v>373632</v>
      </c>
      <c r="F1464" s="67" t="s">
        <v>1484</v>
      </c>
      <c r="G1464" s="25">
        <f t="shared" ref="G1464:G1502" si="20">A1464/D1464-1</f>
        <v>-1.9081921986359163E-2</v>
      </c>
    </row>
    <row r="1465" spans="1:7">
      <c r="A1465" s="67">
        <v>260.64999999999998</v>
      </c>
      <c r="B1465" s="67">
        <v>268.33</v>
      </c>
      <c r="C1465" s="67">
        <v>257.26</v>
      </c>
      <c r="D1465" s="67">
        <v>258.2</v>
      </c>
      <c r="E1465" s="67">
        <v>444232</v>
      </c>
      <c r="F1465" s="67" t="s">
        <v>1485</v>
      </c>
      <c r="G1465" s="25">
        <f t="shared" si="20"/>
        <v>9.4887683965918512E-3</v>
      </c>
    </row>
    <row r="1466" spans="1:7">
      <c r="A1466" s="67">
        <v>256.74</v>
      </c>
      <c r="B1466" s="67">
        <v>262.58</v>
      </c>
      <c r="C1466" s="67">
        <v>253.48</v>
      </c>
      <c r="D1466" s="67">
        <v>259.27</v>
      </c>
      <c r="E1466" s="67">
        <v>526431</v>
      </c>
      <c r="F1466" s="67" t="s">
        <v>1486</v>
      </c>
      <c r="G1466" s="25">
        <f t="shared" si="20"/>
        <v>-9.7581671616460142E-3</v>
      </c>
    </row>
    <row r="1467" spans="1:7">
      <c r="A1467" s="67">
        <v>260</v>
      </c>
      <c r="B1467" s="67">
        <v>262.05</v>
      </c>
      <c r="C1467" s="67">
        <v>244.42</v>
      </c>
      <c r="D1467" s="67">
        <v>249.03</v>
      </c>
      <c r="E1467" s="67">
        <v>476377</v>
      </c>
      <c r="F1467" s="67" t="s">
        <v>1487</v>
      </c>
      <c r="G1467" s="25">
        <f t="shared" si="20"/>
        <v>4.4050917560133351E-2</v>
      </c>
    </row>
    <row r="1468" spans="1:7">
      <c r="A1468" s="67">
        <v>255.33</v>
      </c>
      <c r="B1468" s="67">
        <v>264.435</v>
      </c>
      <c r="C1468" s="67">
        <v>249.94</v>
      </c>
      <c r="D1468" s="67">
        <v>258.56</v>
      </c>
      <c r="E1468" s="67">
        <v>493930</v>
      </c>
      <c r="F1468" s="67" t="s">
        <v>1488</v>
      </c>
      <c r="G1468" s="25">
        <f t="shared" si="20"/>
        <v>-1.2492264851485135E-2</v>
      </c>
    </row>
    <row r="1469" spans="1:7">
      <c r="A1469" s="67">
        <v>257.01</v>
      </c>
      <c r="B1469" s="67">
        <v>259.3</v>
      </c>
      <c r="C1469" s="67">
        <v>248.9442</v>
      </c>
      <c r="D1469" s="67">
        <v>252.81</v>
      </c>
      <c r="E1469" s="67">
        <v>463430</v>
      </c>
      <c r="F1469" s="67" t="s">
        <v>1489</v>
      </c>
      <c r="G1469" s="25">
        <f t="shared" si="20"/>
        <v>1.6613266880265876E-2</v>
      </c>
    </row>
    <row r="1470" spans="1:7">
      <c r="A1470" s="67">
        <v>255.68</v>
      </c>
      <c r="B1470" s="67">
        <v>259.39</v>
      </c>
      <c r="C1470" s="67">
        <v>240</v>
      </c>
      <c r="D1470" s="67">
        <v>240.92</v>
      </c>
      <c r="E1470" s="67">
        <v>842538</v>
      </c>
      <c r="F1470" s="67" t="s">
        <v>1490</v>
      </c>
      <c r="G1470" s="25">
        <f t="shared" si="20"/>
        <v>6.1265150257346912E-2</v>
      </c>
    </row>
    <row r="1471" spans="1:7">
      <c r="A1471" s="67">
        <v>231.43</v>
      </c>
      <c r="B1471" s="67">
        <v>239.44</v>
      </c>
      <c r="C1471" s="67">
        <v>229.95</v>
      </c>
      <c r="D1471" s="67">
        <v>230</v>
      </c>
      <c r="E1471" s="67">
        <v>608321</v>
      </c>
      <c r="F1471" s="67" t="s">
        <v>1491</v>
      </c>
      <c r="G1471" s="25">
        <f t="shared" si="20"/>
        <v>6.2173913043479523E-3</v>
      </c>
    </row>
    <row r="1472" spans="1:7">
      <c r="A1472" s="67">
        <v>223.1</v>
      </c>
      <c r="B1472" s="67">
        <v>227.12</v>
      </c>
      <c r="C1472" s="67">
        <v>217.5</v>
      </c>
      <c r="D1472" s="67">
        <v>217.86</v>
      </c>
      <c r="E1472" s="67">
        <v>578971</v>
      </c>
      <c r="F1472" s="67" t="s">
        <v>1492</v>
      </c>
      <c r="G1472" s="25">
        <f t="shared" si="20"/>
        <v>2.4052143578444873E-2</v>
      </c>
    </row>
    <row r="1473" spans="1:7">
      <c r="A1473" s="67">
        <v>215.97</v>
      </c>
      <c r="B1473" s="67">
        <v>225.85</v>
      </c>
      <c r="C1473" s="67">
        <v>214.93</v>
      </c>
      <c r="D1473" s="67">
        <v>224.79</v>
      </c>
      <c r="E1473" s="67">
        <v>747647</v>
      </c>
      <c r="F1473" s="67" t="s">
        <v>1493</v>
      </c>
      <c r="G1473" s="25">
        <f t="shared" si="20"/>
        <v>-3.9236620846123005E-2</v>
      </c>
    </row>
    <row r="1474" spans="1:7">
      <c r="A1474" s="67">
        <v>222.25</v>
      </c>
      <c r="B1474" s="67">
        <v>230.12</v>
      </c>
      <c r="C1474" s="67">
        <v>221.33</v>
      </c>
      <c r="D1474" s="67">
        <v>228.53</v>
      </c>
      <c r="E1474" s="67">
        <v>441006</v>
      </c>
      <c r="F1474" s="67" t="s">
        <v>1494</v>
      </c>
      <c r="G1474" s="25">
        <f t="shared" si="20"/>
        <v>-2.7479980746510257E-2</v>
      </c>
    </row>
    <row r="1475" spans="1:7">
      <c r="A1475" s="67">
        <v>228.72</v>
      </c>
      <c r="B1475" s="67">
        <v>233</v>
      </c>
      <c r="C1475" s="67">
        <v>227.39</v>
      </c>
      <c r="D1475" s="67">
        <v>230</v>
      </c>
      <c r="E1475" s="67">
        <v>383140</v>
      </c>
      <c r="F1475" s="67" t="s">
        <v>1495</v>
      </c>
      <c r="G1475" s="25">
        <f t="shared" si="20"/>
        <v>-5.5652173913043335E-3</v>
      </c>
    </row>
    <row r="1476" spans="1:7">
      <c r="A1476" s="67">
        <v>228.41</v>
      </c>
      <c r="B1476" s="67">
        <v>243.76</v>
      </c>
      <c r="C1476" s="67">
        <v>227.63</v>
      </c>
      <c r="D1476" s="67">
        <v>243.32</v>
      </c>
      <c r="E1476" s="67">
        <v>624030</v>
      </c>
      <c r="F1476" s="67" t="s">
        <v>1496</v>
      </c>
      <c r="G1476" s="25">
        <f t="shared" si="20"/>
        <v>-6.127733026467197E-2</v>
      </c>
    </row>
    <row r="1477" spans="1:7">
      <c r="A1477" s="67">
        <v>246.04</v>
      </c>
      <c r="B1477" s="67">
        <v>253.2</v>
      </c>
      <c r="C1477" s="67">
        <v>244.51</v>
      </c>
      <c r="D1477" s="67">
        <v>251.62</v>
      </c>
      <c r="E1477" s="67">
        <v>285836</v>
      </c>
      <c r="F1477" s="67" t="s">
        <v>1497</v>
      </c>
      <c r="G1477" s="25">
        <f t="shared" si="20"/>
        <v>-2.2176297591606442E-2</v>
      </c>
    </row>
    <row r="1478" spans="1:7">
      <c r="A1478" s="67">
        <v>253.53</v>
      </c>
      <c r="B1478" s="67">
        <v>254.41</v>
      </c>
      <c r="C1478" s="67">
        <v>246.09</v>
      </c>
      <c r="D1478" s="67">
        <v>246.58</v>
      </c>
      <c r="E1478" s="67">
        <v>303552</v>
      </c>
      <c r="F1478" s="67" t="s">
        <v>1498</v>
      </c>
      <c r="G1478" s="25">
        <f t="shared" si="20"/>
        <v>2.8185578716846349E-2</v>
      </c>
    </row>
    <row r="1479" spans="1:7">
      <c r="A1479" s="67">
        <v>249.39</v>
      </c>
      <c r="B1479" s="67">
        <v>251.02</v>
      </c>
      <c r="C1479" s="67">
        <v>246.42</v>
      </c>
      <c r="D1479" s="67">
        <v>246.42</v>
      </c>
      <c r="E1479" s="67">
        <v>164598</v>
      </c>
      <c r="F1479" s="67" t="s">
        <v>1499</v>
      </c>
      <c r="G1479" s="25">
        <f t="shared" si="20"/>
        <v>1.2052593133674128E-2</v>
      </c>
    </row>
    <row r="1480" spans="1:7">
      <c r="A1480" s="67">
        <v>245.25</v>
      </c>
      <c r="B1480" s="67">
        <v>248</v>
      </c>
      <c r="C1480" s="67">
        <v>239.33009999999999</v>
      </c>
      <c r="D1480" s="67">
        <v>242.95</v>
      </c>
      <c r="E1480" s="67">
        <v>234513</v>
      </c>
      <c r="F1480" s="67" t="s">
        <v>1500</v>
      </c>
      <c r="G1480" s="25">
        <f t="shared" si="20"/>
        <v>9.4669685120396529E-3</v>
      </c>
    </row>
    <row r="1481" spans="1:7">
      <c r="A1481" s="67">
        <v>241.14</v>
      </c>
      <c r="B1481" s="67">
        <v>247.125</v>
      </c>
      <c r="C1481" s="67">
        <v>237.6</v>
      </c>
      <c r="D1481" s="67">
        <v>245.6</v>
      </c>
      <c r="E1481" s="67">
        <v>246447</v>
      </c>
      <c r="F1481" s="67" t="s">
        <v>1501</v>
      </c>
      <c r="G1481" s="25">
        <f t="shared" si="20"/>
        <v>-1.815960912052117E-2</v>
      </c>
    </row>
    <row r="1482" spans="1:7">
      <c r="A1482" s="67">
        <v>245.83</v>
      </c>
      <c r="B1482" s="67">
        <v>253</v>
      </c>
      <c r="C1482" s="67">
        <v>245.26</v>
      </c>
      <c r="D1482" s="67">
        <v>248.89</v>
      </c>
      <c r="E1482" s="67">
        <v>191607</v>
      </c>
      <c r="F1482" s="67" t="s">
        <v>1502</v>
      </c>
      <c r="G1482" s="25">
        <f t="shared" si="20"/>
        <v>-1.2294587970589355E-2</v>
      </c>
    </row>
    <row r="1483" spans="1:7">
      <c r="A1483" s="67">
        <v>248.52</v>
      </c>
      <c r="B1483" s="67">
        <v>253.72</v>
      </c>
      <c r="C1483" s="67">
        <v>247.43</v>
      </c>
      <c r="D1483" s="67">
        <v>249.38</v>
      </c>
      <c r="E1483" s="67">
        <v>235857</v>
      </c>
      <c r="F1483" s="67" t="s">
        <v>1503</v>
      </c>
      <c r="G1483" s="25">
        <f t="shared" si="20"/>
        <v>-3.4485524099766574E-3</v>
      </c>
    </row>
    <row r="1484" spans="1:7">
      <c r="A1484" s="67">
        <v>248.33</v>
      </c>
      <c r="B1484" s="67">
        <v>254.75</v>
      </c>
      <c r="C1484" s="67">
        <v>247.78</v>
      </c>
      <c r="D1484" s="67">
        <v>250.65</v>
      </c>
      <c r="E1484" s="67">
        <v>253059</v>
      </c>
      <c r="F1484" s="67" t="s">
        <v>1504</v>
      </c>
      <c r="G1484" s="25">
        <f t="shared" si="20"/>
        <v>-9.255934570117641E-3</v>
      </c>
    </row>
    <row r="1485" spans="1:7">
      <c r="A1485" s="67">
        <v>250.64</v>
      </c>
      <c r="B1485" s="67">
        <v>252.035</v>
      </c>
      <c r="C1485" s="67">
        <v>243.77</v>
      </c>
      <c r="D1485" s="67">
        <v>245.5</v>
      </c>
      <c r="E1485" s="67">
        <v>171537</v>
      </c>
      <c r="F1485" s="67" t="s">
        <v>1505</v>
      </c>
      <c r="G1485" s="25">
        <f t="shared" si="20"/>
        <v>2.0936863543788098E-2</v>
      </c>
    </row>
    <row r="1486" spans="1:7">
      <c r="A1486" s="67">
        <v>247.92</v>
      </c>
      <c r="B1486" s="67">
        <v>255.39</v>
      </c>
      <c r="C1486" s="67">
        <v>245.96</v>
      </c>
      <c r="D1486" s="67">
        <v>250.51</v>
      </c>
      <c r="E1486" s="67">
        <v>252306</v>
      </c>
      <c r="F1486" s="67" t="s">
        <v>1506</v>
      </c>
      <c r="G1486" s="25">
        <f t="shared" si="20"/>
        <v>-1.0338908626402188E-2</v>
      </c>
    </row>
    <row r="1487" spans="1:7">
      <c r="A1487" s="67">
        <v>248.75</v>
      </c>
      <c r="B1487" s="67">
        <v>251.36</v>
      </c>
      <c r="C1487" s="67">
        <v>244.52</v>
      </c>
      <c r="D1487" s="67">
        <v>246.09</v>
      </c>
      <c r="E1487" s="67">
        <v>262690</v>
      </c>
      <c r="F1487" s="67" t="s">
        <v>1507</v>
      </c>
      <c r="G1487" s="25">
        <f t="shared" si="20"/>
        <v>1.0809053598276996E-2</v>
      </c>
    </row>
    <row r="1488" spans="1:7">
      <c r="A1488" s="67">
        <v>245.98</v>
      </c>
      <c r="B1488" s="67">
        <v>252.72</v>
      </c>
      <c r="C1488" s="67">
        <v>245</v>
      </c>
      <c r="D1488" s="67">
        <v>252.72</v>
      </c>
      <c r="E1488" s="67">
        <v>191696</v>
      </c>
      <c r="F1488" s="67" t="s">
        <v>1508</v>
      </c>
      <c r="G1488" s="25">
        <f t="shared" si="20"/>
        <v>-2.6669832225387768E-2</v>
      </c>
    </row>
    <row r="1489" spans="1:7">
      <c r="A1489" s="67">
        <v>248.59</v>
      </c>
      <c r="B1489" s="67">
        <v>252.74</v>
      </c>
      <c r="C1489" s="67">
        <v>244.43</v>
      </c>
      <c r="D1489" s="67">
        <v>249.53</v>
      </c>
      <c r="E1489" s="67">
        <v>278907</v>
      </c>
      <c r="F1489" s="67" t="s">
        <v>1509</v>
      </c>
      <c r="G1489" s="25">
        <f t="shared" si="20"/>
        <v>-3.7670821143750421E-3</v>
      </c>
    </row>
    <row r="1490" spans="1:7">
      <c r="A1490" s="67">
        <v>247.71</v>
      </c>
      <c r="B1490" s="67">
        <v>247.89</v>
      </c>
      <c r="C1490" s="67">
        <v>244.25</v>
      </c>
      <c r="D1490" s="67">
        <v>245</v>
      </c>
      <c r="E1490" s="67">
        <v>262841</v>
      </c>
      <c r="F1490" s="67" t="s">
        <v>1510</v>
      </c>
      <c r="G1490" s="25">
        <f t="shared" si="20"/>
        <v>1.1061224489795851E-2</v>
      </c>
    </row>
    <row r="1491" spans="1:7">
      <c r="A1491" s="67">
        <v>244.35</v>
      </c>
      <c r="B1491" s="67">
        <v>244.79</v>
      </c>
      <c r="C1491" s="67">
        <v>234.15</v>
      </c>
      <c r="D1491" s="67">
        <v>234.15</v>
      </c>
      <c r="E1491" s="67">
        <v>409294</v>
      </c>
      <c r="F1491" s="67" t="s">
        <v>1511</v>
      </c>
      <c r="G1491" s="25">
        <f t="shared" si="20"/>
        <v>4.356181934657255E-2</v>
      </c>
    </row>
    <row r="1492" spans="1:7">
      <c r="A1492" s="67">
        <v>230.74</v>
      </c>
      <c r="B1492" s="67">
        <v>238.09</v>
      </c>
      <c r="C1492" s="67">
        <v>228.64</v>
      </c>
      <c r="D1492" s="67">
        <v>237.61</v>
      </c>
      <c r="E1492" s="67">
        <v>408476</v>
      </c>
      <c r="F1492" s="67" t="s">
        <v>1512</v>
      </c>
      <c r="G1492" s="25">
        <f t="shared" si="20"/>
        <v>-2.8912924540212992E-2</v>
      </c>
    </row>
    <row r="1493" spans="1:7">
      <c r="A1493" s="67">
        <v>235.35</v>
      </c>
      <c r="B1493" s="67">
        <v>236.71</v>
      </c>
      <c r="C1493" s="67">
        <v>230.85</v>
      </c>
      <c r="D1493" s="67">
        <v>233.9</v>
      </c>
      <c r="E1493" s="67">
        <v>298038</v>
      </c>
      <c r="F1493" s="67" t="s">
        <v>1513</v>
      </c>
      <c r="G1493" s="25">
        <f t="shared" si="20"/>
        <v>6.1992304403590826E-3</v>
      </c>
    </row>
    <row r="1494" spans="1:7">
      <c r="A1494" s="67">
        <v>231.76</v>
      </c>
      <c r="B1494" s="67">
        <v>238.06</v>
      </c>
      <c r="C1494" s="67">
        <v>228.38</v>
      </c>
      <c r="D1494" s="67">
        <v>233.47</v>
      </c>
      <c r="E1494" s="67">
        <v>207184</v>
      </c>
      <c r="F1494" s="67" t="s">
        <v>1514</v>
      </c>
      <c r="G1494" s="25">
        <f t="shared" si="20"/>
        <v>-7.3242814922688249E-3</v>
      </c>
    </row>
    <row r="1495" spans="1:7">
      <c r="A1495" s="67">
        <v>237.56</v>
      </c>
      <c r="B1495" s="67">
        <v>240.14</v>
      </c>
      <c r="C1495" s="67">
        <v>234.98</v>
      </c>
      <c r="D1495" s="67">
        <v>239.98</v>
      </c>
      <c r="E1495" s="67">
        <v>248609</v>
      </c>
      <c r="F1495" s="67" t="s">
        <v>1515</v>
      </c>
      <c r="G1495" s="25">
        <f t="shared" si="20"/>
        <v>-1.0084173681140007E-2</v>
      </c>
    </row>
    <row r="1496" spans="1:7">
      <c r="A1496" s="67">
        <v>236.59</v>
      </c>
      <c r="B1496" s="67">
        <v>242.125</v>
      </c>
      <c r="C1496" s="67">
        <v>231.49</v>
      </c>
      <c r="D1496" s="67">
        <v>232.23</v>
      </c>
      <c r="E1496" s="67">
        <v>475363</v>
      </c>
      <c r="F1496" s="67" t="s">
        <v>1516</v>
      </c>
      <c r="G1496" s="25">
        <f t="shared" si="20"/>
        <v>1.8774490806528155E-2</v>
      </c>
    </row>
    <row r="1497" spans="1:7">
      <c r="A1497" s="67">
        <v>231.97</v>
      </c>
      <c r="B1497" s="67">
        <v>237</v>
      </c>
      <c r="C1497" s="67">
        <v>228.69</v>
      </c>
      <c r="D1497" s="67">
        <v>229.44</v>
      </c>
      <c r="E1497" s="67">
        <v>442516</v>
      </c>
      <c r="F1497" s="67" t="s">
        <v>1517</v>
      </c>
      <c r="G1497" s="25">
        <f t="shared" si="20"/>
        <v>1.1026847977684717E-2</v>
      </c>
    </row>
    <row r="1498" spans="1:7">
      <c r="A1498" s="67">
        <v>227.38</v>
      </c>
      <c r="B1498" s="67">
        <v>228.19</v>
      </c>
      <c r="C1498" s="67">
        <v>220.98</v>
      </c>
      <c r="D1498" s="67">
        <v>227.92</v>
      </c>
      <c r="E1498" s="67">
        <v>327135</v>
      </c>
      <c r="F1498" s="67" t="s">
        <v>1518</v>
      </c>
      <c r="G1498" s="25">
        <f t="shared" si="20"/>
        <v>-2.3692523692523393E-3</v>
      </c>
    </row>
    <row r="1499" spans="1:7">
      <c r="A1499" s="67">
        <v>223.96</v>
      </c>
      <c r="B1499" s="67">
        <v>224.92</v>
      </c>
      <c r="C1499" s="67">
        <v>214.21</v>
      </c>
      <c r="D1499" s="67">
        <v>216.56</v>
      </c>
      <c r="E1499" s="67">
        <v>291571</v>
      </c>
      <c r="F1499" s="67" t="s">
        <v>1519</v>
      </c>
      <c r="G1499" s="25">
        <f t="shared" si="20"/>
        <v>3.4170668636867463E-2</v>
      </c>
    </row>
    <row r="1500" spans="1:7">
      <c r="A1500" s="67">
        <v>216.55</v>
      </c>
      <c r="B1500" s="67">
        <v>225.58</v>
      </c>
      <c r="C1500" s="67">
        <v>213.51</v>
      </c>
      <c r="D1500" s="67">
        <v>224.24</v>
      </c>
      <c r="E1500" s="67">
        <v>448119</v>
      </c>
      <c r="F1500" s="67" t="s">
        <v>1520</v>
      </c>
      <c r="G1500" s="25">
        <f t="shared" si="20"/>
        <v>-3.4293613985016069E-2</v>
      </c>
    </row>
    <row r="1501" spans="1:7">
      <c r="A1501" s="67">
        <v>227.65</v>
      </c>
      <c r="B1501" s="67">
        <v>232.59</v>
      </c>
      <c r="C1501" s="67">
        <v>225.02</v>
      </c>
      <c r="D1501" s="67">
        <v>229.11</v>
      </c>
      <c r="E1501" s="67">
        <v>412323</v>
      </c>
      <c r="F1501" s="67" t="s">
        <v>1521</v>
      </c>
      <c r="G1501" s="25">
        <f t="shared" si="20"/>
        <v>-6.3724848326132122E-3</v>
      </c>
    </row>
    <row r="1502" spans="1:7">
      <c r="A1502" s="67">
        <v>230.56</v>
      </c>
      <c r="B1502" s="67">
        <v>231.16</v>
      </c>
      <c r="C1502" s="67">
        <v>220.2</v>
      </c>
      <c r="D1502" s="67">
        <v>224.87</v>
      </c>
      <c r="E1502" s="67">
        <v>425913</v>
      </c>
      <c r="F1502" s="67" t="s">
        <v>1522</v>
      </c>
      <c r="G1502" s="25">
        <f t="shared" si="20"/>
        <v>2.5303508693911958E-2</v>
      </c>
    </row>
    <row r="1503" spans="1:7">
      <c r="A1503" s="67">
        <v>224.57</v>
      </c>
      <c r="B1503" s="67">
        <v>226.8614</v>
      </c>
      <c r="C1503" s="67">
        <v>218.64500000000001</v>
      </c>
      <c r="D1503" s="67">
        <v>222.09</v>
      </c>
      <c r="E1503" s="67">
        <v>359561</v>
      </c>
      <c r="F1503" s="67" t="s">
        <v>1523</v>
      </c>
      <c r="G1503" s="25">
        <f>A1503/D1503-1</f>
        <v>1.1166644153271177E-2</v>
      </c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</sheetData>
  <sortState xmlns:xlrd2="http://schemas.microsoft.com/office/spreadsheetml/2017/richdata2" ref="I272:I328">
    <sortCondition ref="I27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2025-09-23T01:24:32Z</dcterms:modified>
</cp:coreProperties>
</file>