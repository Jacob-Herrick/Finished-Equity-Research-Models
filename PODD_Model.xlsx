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4AA7E894-8596-46B1-8BC1-6DEE1310EAE0}" xr6:coauthVersionLast="47" xr6:coauthVersionMax="47" xr10:uidLastSave="{00000000-0000-0000-0000-000000000000}"/>
  <bookViews>
    <workbookView xWindow="1560" yWindow="1560" windowWidth="16050" windowHeight="1329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Economics" sheetId="7" r:id="rId5"/>
    <sheet name="Management" sheetId="6" r:id="rId6"/>
    <sheet name="Table Formatting" sheetId="4" r:id="rId7"/>
  </sheets>
  <externalReferences>
    <externalReference r:id="rId8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5" i="2" l="1"/>
  <c r="CH35" i="2"/>
  <c r="DA55" i="2"/>
  <c r="U241" i="3"/>
  <c r="T242" i="3" l="1"/>
  <c r="U242" i="3" s="1"/>
  <c r="T240" i="3"/>
  <c r="S206" i="3"/>
  <c r="S204" i="3"/>
  <c r="S203" i="3"/>
  <c r="S202" i="3"/>
  <c r="S201" i="3"/>
  <c r="S200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DA54" i="2"/>
  <c r="CV60" i="2"/>
  <c r="CV57" i="2"/>
  <c r="CV59" i="2" s="1"/>
  <c r="CV71" i="2"/>
  <c r="CT54" i="2"/>
  <c r="CS54" i="2"/>
  <c r="CH36" i="2"/>
  <c r="CH65" i="2"/>
  <c r="T239" i="3" l="1"/>
  <c r="U240" i="3"/>
  <c r="T243" i="3"/>
  <c r="CV54" i="2"/>
  <c r="CV58" i="2"/>
  <c r="CI65" i="2"/>
  <c r="CJ35" i="2" s="1"/>
  <c r="T244" i="3" l="1"/>
  <c r="U243" i="3"/>
  <c r="T238" i="3"/>
  <c r="U239" i="3"/>
  <c r="CJ65" i="2"/>
  <c r="CK35" i="2" s="1"/>
  <c r="T237" i="3" l="1"/>
  <c r="U238" i="3"/>
  <c r="T245" i="3"/>
  <c r="U244" i="3"/>
  <c r="CK65" i="2"/>
  <c r="CL35" i="2" s="1"/>
  <c r="T246" i="3" l="1"/>
  <c r="U245" i="3"/>
  <c r="T236" i="3"/>
  <c r="U237" i="3"/>
  <c r="T235" i="3" l="1"/>
  <c r="U236" i="3"/>
  <c r="T247" i="3"/>
  <c r="U246" i="3"/>
  <c r="CL65" i="2"/>
  <c r="CM35" i="2" s="1"/>
  <c r="T248" i="3" l="1"/>
  <c r="U247" i="3"/>
  <c r="T234" i="3"/>
  <c r="U235" i="3"/>
  <c r="T233" i="3" l="1"/>
  <c r="U234" i="3"/>
  <c r="T249" i="3"/>
  <c r="U248" i="3"/>
  <c r="CM65" i="2"/>
  <c r="CN35" i="2" s="1"/>
  <c r="T250" i="3" l="1"/>
  <c r="U249" i="3"/>
  <c r="T232" i="3"/>
  <c r="U233" i="3"/>
  <c r="T231" i="3" l="1"/>
  <c r="U232" i="3"/>
  <c r="T251" i="3"/>
  <c r="U250" i="3"/>
  <c r="CN65" i="2"/>
  <c r="CO35" i="2" s="1"/>
  <c r="T252" i="3" l="1"/>
  <c r="U251" i="3"/>
  <c r="T230" i="3"/>
  <c r="U231" i="3"/>
  <c r="T229" i="3" l="1"/>
  <c r="U230" i="3"/>
  <c r="T253" i="3"/>
  <c r="U252" i="3"/>
  <c r="CO65" i="2"/>
  <c r="CP35" i="2" s="1"/>
  <c r="T254" i="3" l="1"/>
  <c r="U253" i="3"/>
  <c r="T228" i="3"/>
  <c r="U229" i="3"/>
  <c r="T227" i="3" l="1"/>
  <c r="U228" i="3"/>
  <c r="T255" i="3"/>
  <c r="U254" i="3"/>
  <c r="CP65" i="2"/>
  <c r="CQ35" i="2" s="1"/>
  <c r="T256" i="3" l="1"/>
  <c r="U255" i="3"/>
  <c r="T226" i="3"/>
  <c r="U227" i="3"/>
  <c r="T225" i="3" l="1"/>
  <c r="U226" i="3"/>
  <c r="T257" i="3"/>
  <c r="U256" i="3"/>
  <c r="CQ65" i="2"/>
  <c r="T258" i="3" l="1"/>
  <c r="U257" i="3"/>
  <c r="T224" i="3"/>
  <c r="U225" i="3"/>
  <c r="T223" i="3" l="1"/>
  <c r="U224" i="3"/>
  <c r="T259" i="3"/>
  <c r="U258" i="3"/>
  <c r="T260" i="3" l="1"/>
  <c r="U259" i="3"/>
  <c r="T222" i="3"/>
  <c r="U223" i="3"/>
  <c r="T221" i="3" l="1"/>
  <c r="U222" i="3"/>
  <c r="T261" i="3"/>
  <c r="U260" i="3"/>
  <c r="T262" i="3" l="1"/>
  <c r="U261" i="3"/>
  <c r="T220" i="3"/>
  <c r="U221" i="3"/>
  <c r="T219" i="3" l="1"/>
  <c r="U220" i="3"/>
  <c r="T263" i="3"/>
  <c r="U262" i="3"/>
  <c r="T264" i="3" l="1"/>
  <c r="U263" i="3"/>
  <c r="T218" i="3"/>
  <c r="U219" i="3"/>
  <c r="T217" i="3" l="1"/>
  <c r="U218" i="3"/>
  <c r="T265" i="3"/>
  <c r="U264" i="3"/>
  <c r="T266" i="3" l="1"/>
  <c r="U265" i="3"/>
  <c r="T216" i="3"/>
  <c r="U217" i="3"/>
  <c r="T215" i="3" l="1"/>
  <c r="U216" i="3"/>
  <c r="T267" i="3"/>
  <c r="U266" i="3"/>
  <c r="T268" i="3" l="1"/>
  <c r="U267" i="3"/>
  <c r="T214" i="3"/>
  <c r="U215" i="3"/>
  <c r="T213" i="3" l="1"/>
  <c r="U214" i="3"/>
  <c r="T269" i="3"/>
  <c r="U268" i="3"/>
  <c r="T270" i="3" l="1"/>
  <c r="U269" i="3"/>
  <c r="U213" i="3"/>
  <c r="T212" i="3"/>
  <c r="T211" i="3" l="1"/>
  <c r="U211" i="3" s="1"/>
  <c r="U212" i="3"/>
  <c r="T271" i="3"/>
  <c r="U271" i="3" s="1"/>
  <c r="U270" i="3"/>
  <c r="BB40" i="2" l="1"/>
  <c r="AX40" i="2"/>
  <c r="AX38" i="2"/>
  <c r="AX37" i="2"/>
  <c r="AX36" i="2"/>
  <c r="AX35" i="2"/>
  <c r="AX33" i="2"/>
  <c r="AX32" i="2"/>
  <c r="AX30" i="2"/>
  <c r="BC63" i="2"/>
  <c r="BC53" i="2"/>
  <c r="BC60" i="2" s="1"/>
  <c r="BD63" i="2"/>
  <c r="BD67" i="2" s="1"/>
  <c r="BD69" i="2" s="1"/>
  <c r="BD59" i="2"/>
  <c r="BD60" i="2" s="1"/>
  <c r="BD53" i="2"/>
  <c r="BB63" i="2"/>
  <c r="BB59" i="2"/>
  <c r="BB53" i="2"/>
  <c r="BB60" i="2" s="1"/>
  <c r="BE63" i="2"/>
  <c r="BE67" i="2" s="1"/>
  <c r="BE69" i="2" s="1"/>
  <c r="BE59" i="2"/>
  <c r="BE53" i="2"/>
  <c r="BE60" i="2" s="1"/>
  <c r="BG63" i="2"/>
  <c r="BG53" i="2"/>
  <c r="BG60" i="2" s="1"/>
  <c r="BH53" i="2"/>
  <c r="BH60" i="2" s="1"/>
  <c r="BF63" i="2"/>
  <c r="BF67" i="2" s="1"/>
  <c r="BF69" i="2" s="1"/>
  <c r="BF59" i="2"/>
  <c r="BF55" i="2"/>
  <c r="BF53" i="2"/>
  <c r="BF60" i="2"/>
  <c r="BI63" i="2"/>
  <c r="BI67" i="2" s="1"/>
  <c r="BI69" i="2" s="1"/>
  <c r="BI59" i="2"/>
  <c r="BI55" i="2"/>
  <c r="BI53" i="2"/>
  <c r="BB38" i="2"/>
  <c r="BB37" i="2"/>
  <c r="BB36" i="2"/>
  <c r="BB35" i="2"/>
  <c r="BB33" i="2"/>
  <c r="BB32" i="2"/>
  <c r="BB30" i="2"/>
  <c r="BF40" i="2"/>
  <c r="BF38" i="2"/>
  <c r="BF37" i="2"/>
  <c r="BF36" i="2"/>
  <c r="BF35" i="2"/>
  <c r="BF33" i="2"/>
  <c r="BF32" i="2"/>
  <c r="BF30" i="2"/>
  <c r="BJ40" i="2"/>
  <c r="BJ38" i="2"/>
  <c r="BJ37" i="2"/>
  <c r="BJ36" i="2"/>
  <c r="BJ35" i="2"/>
  <c r="BJ33" i="2"/>
  <c r="BJ32" i="2"/>
  <c r="BJ30" i="2"/>
  <c r="BK67" i="2"/>
  <c r="BK69" i="2" s="1"/>
  <c r="BJ67" i="2"/>
  <c r="BJ69" i="2" s="1"/>
  <c r="BH67" i="2"/>
  <c r="BH69" i="2" s="1"/>
  <c r="BG67" i="2"/>
  <c r="BG69" i="2" s="1"/>
  <c r="BC67" i="2"/>
  <c r="BC69" i="2" s="1"/>
  <c r="BB67" i="2"/>
  <c r="BB69" i="2" s="1"/>
  <c r="BK60" i="2"/>
  <c r="BJ60" i="2"/>
  <c r="AT5" i="2"/>
  <c r="AT4" i="2"/>
  <c r="AX5" i="2"/>
  <c r="AX4" i="2"/>
  <c r="BI60" i="2" l="1"/>
  <c r="BB5" i="2" l="1"/>
  <c r="BB4" i="2"/>
  <c r="BF5" i="2"/>
  <c r="BF4" i="2"/>
  <c r="BJ5" i="2"/>
  <c r="BJ4" i="2"/>
  <c r="BK9" i="2"/>
  <c r="BI9" i="2"/>
  <c r="BH9" i="2"/>
  <c r="BG9" i="2"/>
  <c r="BE9" i="2"/>
  <c r="BD9" i="2"/>
  <c r="BC9" i="2"/>
  <c r="BA9" i="2"/>
  <c r="AZ9" i="2"/>
  <c r="AY9" i="2"/>
  <c r="AW9" i="2"/>
  <c r="AV9" i="2"/>
  <c r="AU9" i="2"/>
  <c r="BK8" i="2"/>
  <c r="BI8" i="2"/>
  <c r="BH8" i="2"/>
  <c r="BG8" i="2"/>
  <c r="BE8" i="2"/>
  <c r="BD8" i="2"/>
  <c r="BC8" i="2"/>
  <c r="BA8" i="2"/>
  <c r="AZ8" i="2"/>
  <c r="AY8" i="2"/>
  <c r="AW8" i="2"/>
  <c r="AV8" i="2"/>
  <c r="AU8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AN88" i="2"/>
  <c r="AM88" i="2"/>
  <c r="H88" i="2"/>
  <c r="G88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T88" i="2" s="1"/>
  <c r="AS83" i="2"/>
  <c r="AS88" i="2" s="1"/>
  <c r="AR83" i="2"/>
  <c r="AR88" i="2" s="1"/>
  <c r="AQ83" i="2"/>
  <c r="AQ88" i="2" s="1"/>
  <c r="AP83" i="2"/>
  <c r="AP88" i="2" s="1"/>
  <c r="AO83" i="2"/>
  <c r="AO88" i="2" s="1"/>
  <c r="AN83" i="2"/>
  <c r="AM83" i="2"/>
  <c r="AL83" i="2"/>
  <c r="AL88" i="2" s="1"/>
  <c r="AK83" i="2"/>
  <c r="AK88" i="2" s="1"/>
  <c r="AJ83" i="2"/>
  <c r="AJ88" i="2" s="1"/>
  <c r="AI83" i="2"/>
  <c r="AI88" i="2" s="1"/>
  <c r="AH83" i="2"/>
  <c r="AH88" i="2" s="1"/>
  <c r="AG83" i="2"/>
  <c r="AG88" i="2" s="1"/>
  <c r="AF83" i="2"/>
  <c r="AF88" i="2" s="1"/>
  <c r="AE83" i="2"/>
  <c r="AE88" i="2" s="1"/>
  <c r="AD83" i="2"/>
  <c r="AD88" i="2" s="1"/>
  <c r="AC83" i="2"/>
  <c r="AC88" i="2" s="1"/>
  <c r="AB83" i="2"/>
  <c r="AB88" i="2" s="1"/>
  <c r="AA83" i="2"/>
  <c r="AA88" i="2" s="1"/>
  <c r="Z83" i="2"/>
  <c r="Z88" i="2" s="1"/>
  <c r="Y83" i="2"/>
  <c r="Y88" i="2" s="1"/>
  <c r="X83" i="2"/>
  <c r="X88" i="2" s="1"/>
  <c r="W83" i="2"/>
  <c r="W88" i="2" s="1"/>
  <c r="V83" i="2"/>
  <c r="V88" i="2" s="1"/>
  <c r="U83" i="2"/>
  <c r="U88" i="2" s="1"/>
  <c r="T83" i="2"/>
  <c r="T88" i="2" s="1"/>
  <c r="S83" i="2"/>
  <c r="S88" i="2" s="1"/>
  <c r="R83" i="2"/>
  <c r="R88" i="2" s="1"/>
  <c r="Q83" i="2"/>
  <c r="Q88" i="2" s="1"/>
  <c r="P83" i="2"/>
  <c r="P88" i="2" s="1"/>
  <c r="O83" i="2"/>
  <c r="O88" i="2" s="1"/>
  <c r="N83" i="2"/>
  <c r="N88" i="2" s="1"/>
  <c r="M83" i="2"/>
  <c r="M88" i="2" s="1"/>
  <c r="L83" i="2"/>
  <c r="L88" i="2" s="1"/>
  <c r="K83" i="2"/>
  <c r="K88" i="2" s="1"/>
  <c r="J83" i="2"/>
  <c r="J88" i="2" s="1"/>
  <c r="I83" i="2"/>
  <c r="I88" i="2" s="1"/>
  <c r="H83" i="2"/>
  <c r="G83" i="2"/>
  <c r="F83" i="2"/>
  <c r="F88" i="2" s="1"/>
  <c r="E83" i="2"/>
  <c r="E88" i="2" s="1"/>
  <c r="D83" i="2"/>
  <c r="D88" i="2" s="1"/>
  <c r="C83" i="2"/>
  <c r="C88" i="2" s="1"/>
  <c r="BL83" i="2"/>
  <c r="CD84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CG68" i="2"/>
  <c r="CF68" i="2"/>
  <c r="CE68" i="2"/>
  <c r="CG66" i="2"/>
  <c r="CF66" i="2"/>
  <c r="CE66" i="2"/>
  <c r="CG65" i="2"/>
  <c r="CF65" i="2"/>
  <c r="CE65" i="2"/>
  <c r="CG64" i="2"/>
  <c r="CF64" i="2"/>
  <c r="CE64" i="2"/>
  <c r="CG63" i="2"/>
  <c r="CF63" i="2"/>
  <c r="CE63" i="2"/>
  <c r="CG62" i="2"/>
  <c r="CF62" i="2"/>
  <c r="CE62" i="2"/>
  <c r="CG59" i="2"/>
  <c r="CF59" i="2"/>
  <c r="CE59" i="2"/>
  <c r="CG58" i="2"/>
  <c r="CF58" i="2"/>
  <c r="CE58" i="2"/>
  <c r="CG57" i="2"/>
  <c r="CF57" i="2"/>
  <c r="CE57" i="2"/>
  <c r="CG56" i="2"/>
  <c r="CF56" i="2"/>
  <c r="CE56" i="2"/>
  <c r="CG55" i="2"/>
  <c r="CF55" i="2"/>
  <c r="CE55" i="2"/>
  <c r="CG54" i="2"/>
  <c r="CF54" i="2"/>
  <c r="CE54" i="2"/>
  <c r="CG53" i="2"/>
  <c r="CF53" i="2"/>
  <c r="CE53" i="2"/>
  <c r="CG42" i="2"/>
  <c r="CG84" i="2" s="1"/>
  <c r="CF42" i="2"/>
  <c r="CF84" i="2" s="1"/>
  <c r="CE42" i="2"/>
  <c r="CE84" i="2" s="1"/>
  <c r="CD42" i="2"/>
  <c r="CC42" i="2"/>
  <c r="CC84" i="2" s="1"/>
  <c r="CB42" i="2"/>
  <c r="CB84" i="2" s="1"/>
  <c r="CA42" i="2"/>
  <c r="CA84" i="2" s="1"/>
  <c r="BZ42" i="2"/>
  <c r="BZ84" i="2" s="1"/>
  <c r="BY42" i="2"/>
  <c r="BY84" i="2" s="1"/>
  <c r="BX42" i="2"/>
  <c r="BX84" i="2" s="1"/>
  <c r="BW42" i="2"/>
  <c r="BW84" i="2" s="1"/>
  <c r="BV42" i="2"/>
  <c r="BV84" i="2" s="1"/>
  <c r="BU42" i="2"/>
  <c r="BU84" i="2" s="1"/>
  <c r="BT42" i="2"/>
  <c r="BT84" i="2" s="1"/>
  <c r="BS42" i="2"/>
  <c r="BS84" i="2" s="1"/>
  <c r="CC40" i="2"/>
  <c r="CB40" i="2"/>
  <c r="CA40" i="2"/>
  <c r="BZ40" i="2"/>
  <c r="BY40" i="2"/>
  <c r="BX40" i="2"/>
  <c r="BW40" i="2"/>
  <c r="BV40" i="2"/>
  <c r="BU40" i="2"/>
  <c r="BT40" i="2"/>
  <c r="BS40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CF37" i="2"/>
  <c r="CC37" i="2"/>
  <c r="CB37" i="2"/>
  <c r="CA37" i="2"/>
  <c r="BZ37" i="2"/>
  <c r="BY37" i="2"/>
  <c r="BX37" i="2"/>
  <c r="BW37" i="2"/>
  <c r="BV37" i="2"/>
  <c r="BU37" i="2"/>
  <c r="BT37" i="2"/>
  <c r="BS37" i="2"/>
  <c r="CC36" i="2"/>
  <c r="CB36" i="2"/>
  <c r="CA36" i="2"/>
  <c r="BZ36" i="2"/>
  <c r="BY36" i="2"/>
  <c r="BX36" i="2"/>
  <c r="BW36" i="2"/>
  <c r="BV36" i="2"/>
  <c r="BU36" i="2"/>
  <c r="BT36" i="2"/>
  <c r="BS36" i="2"/>
  <c r="CC35" i="2"/>
  <c r="CB35" i="2"/>
  <c r="CA35" i="2"/>
  <c r="BZ35" i="2"/>
  <c r="BY35" i="2"/>
  <c r="BX35" i="2"/>
  <c r="BW35" i="2"/>
  <c r="BV35" i="2"/>
  <c r="BU35" i="2"/>
  <c r="BT35" i="2"/>
  <c r="BS35" i="2"/>
  <c r="CC33" i="2"/>
  <c r="CB33" i="2"/>
  <c r="CA33" i="2"/>
  <c r="BZ33" i="2"/>
  <c r="BY33" i="2"/>
  <c r="BX33" i="2"/>
  <c r="BW33" i="2"/>
  <c r="BV33" i="2"/>
  <c r="BU33" i="2"/>
  <c r="BT33" i="2"/>
  <c r="BS33" i="2"/>
  <c r="CC32" i="2"/>
  <c r="CB32" i="2"/>
  <c r="CA32" i="2"/>
  <c r="BZ32" i="2"/>
  <c r="BY32" i="2"/>
  <c r="BX32" i="2"/>
  <c r="BW32" i="2"/>
  <c r="BV32" i="2"/>
  <c r="BU32" i="2"/>
  <c r="BT32" i="2"/>
  <c r="BS32" i="2"/>
  <c r="CD40" i="2"/>
  <c r="CD37" i="2"/>
  <c r="CD36" i="2"/>
  <c r="CD35" i="2"/>
  <c r="CD33" i="2"/>
  <c r="CD32" i="2"/>
  <c r="CF40" i="2"/>
  <c r="CE40" i="2"/>
  <c r="CE38" i="2"/>
  <c r="CE37" i="2"/>
  <c r="CE36" i="2"/>
  <c r="CE35" i="2"/>
  <c r="CE33" i="2"/>
  <c r="CE32" i="2"/>
  <c r="CF38" i="2"/>
  <c r="CF36" i="2"/>
  <c r="CF35" i="2"/>
  <c r="CF33" i="2"/>
  <c r="CF32" i="2"/>
  <c r="CG40" i="2"/>
  <c r="CG38" i="2"/>
  <c r="CG37" i="2"/>
  <c r="CG36" i="2"/>
  <c r="CG35" i="2"/>
  <c r="CG33" i="2"/>
  <c r="CG32" i="2"/>
  <c r="AX9" i="2"/>
  <c r="CF76" i="2" l="1"/>
  <c r="CG76" i="2"/>
  <c r="CE76" i="2"/>
  <c r="BB9" i="2"/>
  <c r="AX6" i="2"/>
  <c r="AX13" i="2" s="1"/>
  <c r="AX8" i="2"/>
  <c r="BB8" i="2"/>
  <c r="BF9" i="2"/>
  <c r="BF8" i="2"/>
  <c r="BJ9" i="2"/>
  <c r="BJ8" i="2"/>
  <c r="BB6" i="2"/>
  <c r="AT6" i="2"/>
  <c r="BF6" i="2"/>
  <c r="C3" i="2" a="1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X45" i="2"/>
  <c r="R45" i="2"/>
  <c r="AF31" i="2"/>
  <c r="AF34" i="2" s="1"/>
  <c r="AF48" i="2" s="1"/>
  <c r="AE31" i="2"/>
  <c r="X31" i="2"/>
  <c r="X34" i="2" s="1"/>
  <c r="X48" i="2" s="1"/>
  <c r="W31" i="2"/>
  <c r="P31" i="2"/>
  <c r="P34" i="2" s="1"/>
  <c r="P48" i="2" s="1"/>
  <c r="O31" i="2"/>
  <c r="H31" i="2"/>
  <c r="H34" i="2" s="1"/>
  <c r="H48" i="2" s="1"/>
  <c r="G31" i="2"/>
  <c r="AL31" i="2"/>
  <c r="AL45" i="2" s="1"/>
  <c r="AK31" i="2"/>
  <c r="AK45" i="2" s="1"/>
  <c r="AH31" i="2"/>
  <c r="AH45" i="2" s="1"/>
  <c r="AG31" i="2"/>
  <c r="AG45" i="2" s="1"/>
  <c r="AD31" i="2"/>
  <c r="AD45" i="2" s="1"/>
  <c r="AC31" i="2"/>
  <c r="AC45" i="2" s="1"/>
  <c r="Z31" i="2"/>
  <c r="Z45" i="2" s="1"/>
  <c r="Y31" i="2"/>
  <c r="Y45" i="2" s="1"/>
  <c r="V31" i="2"/>
  <c r="V45" i="2" s="1"/>
  <c r="U31" i="2"/>
  <c r="U45" i="2" s="1"/>
  <c r="R31" i="2"/>
  <c r="Q31" i="2"/>
  <c r="Q45" i="2" s="1"/>
  <c r="N31" i="2"/>
  <c r="N45" i="2" s="1"/>
  <c r="M31" i="2"/>
  <c r="M45" i="2" s="1"/>
  <c r="J31" i="2"/>
  <c r="J45" i="2" s="1"/>
  <c r="I31" i="2"/>
  <c r="I45" i="2" s="1"/>
  <c r="F31" i="2"/>
  <c r="F45" i="2" s="1"/>
  <c r="E31" i="2"/>
  <c r="E45" i="2" s="1"/>
  <c r="BK84" i="2"/>
  <c r="BK85" i="2" s="1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L84" i="2"/>
  <c r="BK18" i="2"/>
  <c r="BK26" i="2" s="1"/>
  <c r="BL18" i="2"/>
  <c r="BL26" i="2" s="1"/>
  <c r="BK76" i="2"/>
  <c r="BJ76" i="2"/>
  <c r="BI76" i="2"/>
  <c r="BH76" i="2"/>
  <c r="BG76" i="2"/>
  <c r="BF76" i="2"/>
  <c r="BE76" i="2"/>
  <c r="BD76" i="2"/>
  <c r="BC76" i="2"/>
  <c r="BB76" i="2"/>
  <c r="BK73" i="2"/>
  <c r="BJ73" i="2"/>
  <c r="BI73" i="2"/>
  <c r="BH73" i="2"/>
  <c r="BG73" i="2"/>
  <c r="BF73" i="2"/>
  <c r="BE73" i="2"/>
  <c r="BD73" i="2"/>
  <c r="BC73" i="2"/>
  <c r="BB73" i="2"/>
  <c r="BK72" i="2"/>
  <c r="BJ72" i="2"/>
  <c r="BI72" i="2"/>
  <c r="BH72" i="2"/>
  <c r="BG72" i="2"/>
  <c r="BF72" i="2"/>
  <c r="BE72" i="2"/>
  <c r="BD72" i="2"/>
  <c r="BC72" i="2"/>
  <c r="BB72" i="2"/>
  <c r="BK71" i="2"/>
  <c r="BJ71" i="2"/>
  <c r="BI71" i="2"/>
  <c r="BH71" i="2"/>
  <c r="BG71" i="2"/>
  <c r="BF71" i="2"/>
  <c r="BE71" i="2"/>
  <c r="BD71" i="2"/>
  <c r="BC71" i="2"/>
  <c r="BB71" i="2"/>
  <c r="CG60" i="2"/>
  <c r="CF60" i="2"/>
  <c r="CE60" i="2"/>
  <c r="BL76" i="2"/>
  <c r="BL73" i="2"/>
  <c r="BL72" i="2"/>
  <c r="BL71" i="2"/>
  <c r="C7" i="1"/>
  <c r="BL67" i="2"/>
  <c r="BL69" i="2" s="1"/>
  <c r="BL60" i="2"/>
  <c r="BL9" i="2"/>
  <c r="BL8" i="2"/>
  <c r="BL6" i="2"/>
  <c r="BL29" i="2" s="1"/>
  <c r="C5" i="1"/>
  <c r="BK6" i="2"/>
  <c r="CG30" i="2"/>
  <c r="CG5" i="2"/>
  <c r="CH5" i="2" s="1"/>
  <c r="CG4" i="2"/>
  <c r="CG83" i="2"/>
  <c r="CF83" i="2"/>
  <c r="CE83" i="2"/>
  <c r="CD83" i="2"/>
  <c r="CC83" i="2"/>
  <c r="CB83" i="2"/>
  <c r="AE34" i="2" l="1"/>
  <c r="AE39" i="2" s="1"/>
  <c r="BZ31" i="2"/>
  <c r="BL46" i="2"/>
  <c r="BL87" i="2"/>
  <c r="CF69" i="2"/>
  <c r="CF67" i="2"/>
  <c r="G34" i="2"/>
  <c r="BT31" i="2"/>
  <c r="O34" i="2"/>
  <c r="O39" i="2" s="1"/>
  <c r="BV31" i="2"/>
  <c r="AF45" i="2"/>
  <c r="BK13" i="2"/>
  <c r="BK12" i="2"/>
  <c r="CE69" i="2"/>
  <c r="CE67" i="2"/>
  <c r="W34" i="2"/>
  <c r="W39" i="2" s="1"/>
  <c r="BX31" i="2"/>
  <c r="CG69" i="2"/>
  <c r="CG67" i="2"/>
  <c r="AT13" i="2"/>
  <c r="AT12" i="2"/>
  <c r="AX12" i="2"/>
  <c r="AX10" i="2"/>
  <c r="BB10" i="2"/>
  <c r="BB13" i="2"/>
  <c r="BB12" i="2"/>
  <c r="BF10" i="2"/>
  <c r="BF13" i="2"/>
  <c r="BF12" i="2"/>
  <c r="CH4" i="2"/>
  <c r="CH6" i="2" s="1"/>
  <c r="CH29" i="2" s="1"/>
  <c r="BK25" i="2"/>
  <c r="BS83" i="2"/>
  <c r="BU83" i="2"/>
  <c r="BW83" i="2"/>
  <c r="BY83" i="2"/>
  <c r="CA83" i="2"/>
  <c r="BT83" i="2"/>
  <c r="BV83" i="2"/>
  <c r="BX83" i="2"/>
  <c r="BZ83" i="2"/>
  <c r="BK27" i="2"/>
  <c r="H45" i="2"/>
  <c r="P45" i="2"/>
  <c r="BL47" i="2"/>
  <c r="G45" i="2"/>
  <c r="O45" i="2"/>
  <c r="W45" i="2"/>
  <c r="AE45" i="2"/>
  <c r="I34" i="2"/>
  <c r="I48" i="2" s="1"/>
  <c r="Q34" i="2"/>
  <c r="Q48" i="2" s="1"/>
  <c r="Y34" i="2"/>
  <c r="Y48" i="2" s="1"/>
  <c r="AG34" i="2"/>
  <c r="AG48" i="2" s="1"/>
  <c r="J34" i="2"/>
  <c r="J48" i="2" s="1"/>
  <c r="R34" i="2"/>
  <c r="R48" i="2" s="1"/>
  <c r="Z34" i="2"/>
  <c r="Z48" i="2" s="1"/>
  <c r="AH34" i="2"/>
  <c r="AH48" i="2" s="1"/>
  <c r="P39" i="2"/>
  <c r="P49" i="2" s="1"/>
  <c r="X39" i="2"/>
  <c r="X49" i="2" s="1"/>
  <c r="E34" i="2"/>
  <c r="E48" i="2" s="1"/>
  <c r="M34" i="2"/>
  <c r="M48" i="2" s="1"/>
  <c r="U34" i="2"/>
  <c r="U48" i="2" s="1"/>
  <c r="AC34" i="2"/>
  <c r="AC48" i="2" s="1"/>
  <c r="AK34" i="2"/>
  <c r="AK48" i="2" s="1"/>
  <c r="H39" i="2"/>
  <c r="H49" i="2" s="1"/>
  <c r="F34" i="2"/>
  <c r="F48" i="2" s="1"/>
  <c r="N34" i="2"/>
  <c r="N48" i="2" s="1"/>
  <c r="V34" i="2"/>
  <c r="V48" i="2" s="1"/>
  <c r="AD34" i="2"/>
  <c r="AD48" i="2" s="1"/>
  <c r="AL34" i="2"/>
  <c r="AL48" i="2" s="1"/>
  <c r="AF39" i="2"/>
  <c r="AF49" i="2" s="1"/>
  <c r="C31" i="2"/>
  <c r="K31" i="2"/>
  <c r="S31" i="2"/>
  <c r="AA31" i="2"/>
  <c r="AI31" i="2"/>
  <c r="D31" i="2"/>
  <c r="D45" i="2" s="1"/>
  <c r="L31" i="2"/>
  <c r="L45" i="2" s="1"/>
  <c r="T31" i="2"/>
  <c r="T45" i="2" s="1"/>
  <c r="AB31" i="2"/>
  <c r="AB45" i="2" s="1"/>
  <c r="AJ31" i="2"/>
  <c r="AJ45" i="2" s="1"/>
  <c r="BL25" i="2"/>
  <c r="BL27" i="2"/>
  <c r="BL74" i="2"/>
  <c r="BL75" i="2"/>
  <c r="BL12" i="2"/>
  <c r="BL13" i="2"/>
  <c r="BL31" i="2"/>
  <c r="BL45" i="2" s="1"/>
  <c r="BL89" i="2"/>
  <c r="BL88" i="2"/>
  <c r="BL85" i="2"/>
  <c r="C8" i="1"/>
  <c r="BK29" i="2"/>
  <c r="DA62" i="2"/>
  <c r="DA60" i="2"/>
  <c r="CH31" i="2" l="1"/>
  <c r="CH30" i="2"/>
  <c r="CH32" i="2"/>
  <c r="CH33" i="2"/>
  <c r="G48" i="2"/>
  <c r="BT34" i="2"/>
  <c r="K45" i="2"/>
  <c r="BU31" i="2"/>
  <c r="W49" i="2"/>
  <c r="C45" i="2"/>
  <c r="BS31" i="2"/>
  <c r="AE49" i="2"/>
  <c r="G39" i="2"/>
  <c r="S45" i="2"/>
  <c r="BW31" i="2"/>
  <c r="W48" i="2"/>
  <c r="BX34" i="2"/>
  <c r="O48" i="2"/>
  <c r="BV34" i="2"/>
  <c r="AI45" i="2"/>
  <c r="CA31" i="2"/>
  <c r="AA45" i="2"/>
  <c r="BY31" i="2"/>
  <c r="O49" i="2"/>
  <c r="AE48" i="2"/>
  <c r="BZ34" i="2"/>
  <c r="BK88" i="2"/>
  <c r="BK87" i="2"/>
  <c r="BK89" i="2"/>
  <c r="BK46" i="2"/>
  <c r="BK47" i="2"/>
  <c r="AD39" i="2"/>
  <c r="AD49" i="2" s="1"/>
  <c r="P41" i="2"/>
  <c r="P50" i="2" s="1"/>
  <c r="H41" i="2"/>
  <c r="H50" i="2" s="1"/>
  <c r="T34" i="2"/>
  <c r="T48" i="2" s="1"/>
  <c r="R39" i="2"/>
  <c r="R49" i="2" s="1"/>
  <c r="L34" i="2"/>
  <c r="L48" i="2" s="1"/>
  <c r="V39" i="2"/>
  <c r="V49" i="2" s="1"/>
  <c r="M39" i="2"/>
  <c r="M49" i="2" s="1"/>
  <c r="J39" i="2"/>
  <c r="J49" i="2" s="1"/>
  <c r="Q39" i="2"/>
  <c r="Q49" i="2" s="1"/>
  <c r="AB34" i="2"/>
  <c r="AB48" i="2" s="1"/>
  <c r="Y39" i="2"/>
  <c r="Y49" i="2" s="1"/>
  <c r="AI34" i="2"/>
  <c r="AF41" i="2"/>
  <c r="AF50" i="2" s="1"/>
  <c r="N39" i="2"/>
  <c r="N49" i="2" s="1"/>
  <c r="O41" i="2"/>
  <c r="C34" i="2"/>
  <c r="U39" i="2"/>
  <c r="U49" i="2" s="1"/>
  <c r="D34" i="2"/>
  <c r="D48" i="2" s="1"/>
  <c r="AK39" i="2"/>
  <c r="AK49" i="2" s="1"/>
  <c r="E39" i="2"/>
  <c r="E49" i="2" s="1"/>
  <c r="AH39" i="2"/>
  <c r="AH49" i="2" s="1"/>
  <c r="I39" i="2"/>
  <c r="I49" i="2" s="1"/>
  <c r="W41" i="2"/>
  <c r="AE41" i="2"/>
  <c r="F39" i="2"/>
  <c r="F49" i="2" s="1"/>
  <c r="X41" i="2"/>
  <c r="X50" i="2" s="1"/>
  <c r="AA34" i="2"/>
  <c r="S34" i="2"/>
  <c r="AJ34" i="2"/>
  <c r="AJ48" i="2" s="1"/>
  <c r="K34" i="2"/>
  <c r="AL39" i="2"/>
  <c r="AL49" i="2" s="1"/>
  <c r="AC39" i="2"/>
  <c r="AC49" i="2" s="1"/>
  <c r="Z39" i="2"/>
  <c r="Z49" i="2" s="1"/>
  <c r="AG39" i="2"/>
  <c r="AG49" i="2" s="1"/>
  <c r="BK75" i="2"/>
  <c r="BK74" i="2"/>
  <c r="BL34" i="2"/>
  <c r="BL48" i="2" s="1"/>
  <c r="BK31" i="2"/>
  <c r="BK45" i="2" s="1"/>
  <c r="CG52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BV85" i="2" s="1"/>
  <c r="N85" i="2"/>
  <c r="M85" i="2"/>
  <c r="L85" i="2"/>
  <c r="K85" i="2"/>
  <c r="J85" i="2"/>
  <c r="I85" i="2"/>
  <c r="H85" i="2"/>
  <c r="G85" i="2"/>
  <c r="BT85" i="2" s="1"/>
  <c r="F85" i="2"/>
  <c r="E85" i="2"/>
  <c r="D85" i="2"/>
  <c r="C85" i="2"/>
  <c r="BJ85" i="2"/>
  <c r="BI6" i="2"/>
  <c r="BH6" i="2"/>
  <c r="BG6" i="2"/>
  <c r="BF29" i="2"/>
  <c r="BE6" i="2"/>
  <c r="BD6" i="2"/>
  <c r="BC6" i="2"/>
  <c r="BB29" i="2"/>
  <c r="BA6" i="2"/>
  <c r="AZ6" i="2"/>
  <c r="AY6" i="2"/>
  <c r="AX29" i="2"/>
  <c r="AW6" i="2"/>
  <c r="AV6" i="2"/>
  <c r="AU6" i="2"/>
  <c r="AS6" i="2"/>
  <c r="AR6" i="2"/>
  <c r="AQ6" i="2"/>
  <c r="BJ6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G187" i="3"/>
  <c r="CE52" i="2"/>
  <c r="CF52" i="2"/>
  <c r="CA29" i="2"/>
  <c r="CA88" i="2" s="1"/>
  <c r="BZ29" i="2"/>
  <c r="BZ88" i="2" s="1"/>
  <c r="BY29" i="2"/>
  <c r="BX29" i="2"/>
  <c r="BW29" i="2"/>
  <c r="BV29" i="2"/>
  <c r="BV45" i="2" s="1"/>
  <c r="BU29" i="2"/>
  <c r="BU88" i="2" s="1"/>
  <c r="BT29" i="2"/>
  <c r="BT45" i="2" s="1"/>
  <c r="BS29" i="2"/>
  <c r="BS88" i="2" s="1"/>
  <c r="CF5" i="2"/>
  <c r="CI5" i="2" s="1"/>
  <c r="CJ5" i="2" s="1"/>
  <c r="CK5" i="2" s="1"/>
  <c r="CL5" i="2" s="1"/>
  <c r="CM5" i="2" s="1"/>
  <c r="CN5" i="2" s="1"/>
  <c r="CO5" i="2" s="1"/>
  <c r="CP5" i="2" s="1"/>
  <c r="CQ5" i="2" s="1"/>
  <c r="CE5" i="2"/>
  <c r="CD5" i="2"/>
  <c r="CC5" i="2"/>
  <c r="CC4" i="2"/>
  <c r="CE4" i="2"/>
  <c r="CF4" i="2"/>
  <c r="CD4" i="2"/>
  <c r="BT3" i="2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O187" i="3"/>
  <c r="S205" i="3" s="1"/>
  <c r="CH34" i="2" l="1"/>
  <c r="BX48" i="2"/>
  <c r="BX85" i="2"/>
  <c r="BY45" i="2"/>
  <c r="BW89" i="2"/>
  <c r="BW47" i="2"/>
  <c r="BW87" i="2"/>
  <c r="BW46" i="2"/>
  <c r="G49" i="2"/>
  <c r="BT39" i="2"/>
  <c r="BT49" i="2" s="1"/>
  <c r="CG73" i="2"/>
  <c r="CG72" i="2"/>
  <c r="CG71" i="2"/>
  <c r="AE50" i="2"/>
  <c r="C48" i="2"/>
  <c r="BS34" i="2"/>
  <c r="BS48" i="2" s="1"/>
  <c r="BZ48" i="2"/>
  <c r="BZ45" i="2"/>
  <c r="BT88" i="2"/>
  <c r="BX39" i="2"/>
  <c r="BX49" i="2" s="1"/>
  <c r="BX89" i="2"/>
  <c r="BX47" i="2"/>
  <c r="BX46" i="2"/>
  <c r="BX87" i="2"/>
  <c r="BY87" i="2"/>
  <c r="BY46" i="2"/>
  <c r="BY89" i="2"/>
  <c r="BY47" i="2"/>
  <c r="BG13" i="2"/>
  <c r="BG12" i="2"/>
  <c r="BK10" i="2"/>
  <c r="BZ85" i="2"/>
  <c r="CB85" i="2"/>
  <c r="CD85" i="2"/>
  <c r="K48" i="2"/>
  <c r="BU34" i="2"/>
  <c r="BU48" i="2" s="1"/>
  <c r="W50" i="2"/>
  <c r="O50" i="2"/>
  <c r="BX88" i="2"/>
  <c r="BW88" i="2"/>
  <c r="BZ47" i="2"/>
  <c r="BZ46" i="2"/>
  <c r="BZ89" i="2"/>
  <c r="BZ87" i="2"/>
  <c r="BH13" i="2"/>
  <c r="BH12" i="2"/>
  <c r="CA45" i="2"/>
  <c r="BW45" i="2"/>
  <c r="BY88" i="2"/>
  <c r="BU45" i="2"/>
  <c r="S48" i="2"/>
  <c r="BW34" i="2"/>
  <c r="BW48" i="2" s="1"/>
  <c r="BV88" i="2"/>
  <c r="BZ39" i="2"/>
  <c r="BZ49" i="2" s="1"/>
  <c r="BS47" i="2"/>
  <c r="BS87" i="2"/>
  <c r="BS89" i="2"/>
  <c r="BS46" i="2"/>
  <c r="CA46" i="2"/>
  <c r="CA87" i="2"/>
  <c r="CA47" i="2"/>
  <c r="CA89" i="2"/>
  <c r="BT87" i="2"/>
  <c r="BT89" i="2"/>
  <c r="BT46" i="2"/>
  <c r="BT47" i="2"/>
  <c r="CF73" i="2"/>
  <c r="CF71" i="2"/>
  <c r="CF72" i="2"/>
  <c r="AA48" i="2"/>
  <c r="BY34" i="2"/>
  <c r="BY48" i="2" s="1"/>
  <c r="AI48" i="2"/>
  <c r="CA34" i="2"/>
  <c r="CA48" i="2" s="1"/>
  <c r="BV39" i="2"/>
  <c r="BV49" i="2" s="1"/>
  <c r="BV48" i="2"/>
  <c r="BT48" i="2"/>
  <c r="BV87" i="2"/>
  <c r="BV46" i="2"/>
  <c r="BV47" i="2"/>
  <c r="BV89" i="2"/>
  <c r="BU87" i="2"/>
  <c r="BU47" i="2"/>
  <c r="BU46" i="2"/>
  <c r="BU89" i="2"/>
  <c r="CE73" i="2"/>
  <c r="CE71" i="2"/>
  <c r="CE72" i="2"/>
  <c r="G41" i="2"/>
  <c r="BX45" i="2"/>
  <c r="BS45" i="2"/>
  <c r="AQ13" i="2"/>
  <c r="AQ12" i="2"/>
  <c r="AU12" i="2"/>
  <c r="AU13" i="2"/>
  <c r="AU10" i="2"/>
  <c r="AR12" i="2"/>
  <c r="AR13" i="2"/>
  <c r="AV12" i="2"/>
  <c r="AV10" i="2"/>
  <c r="AV13" i="2"/>
  <c r="AS13" i="2"/>
  <c r="AS12" i="2"/>
  <c r="AX89" i="2"/>
  <c r="AX87" i="2"/>
  <c r="AX88" i="2"/>
  <c r="AW10" i="2"/>
  <c r="AW13" i="2"/>
  <c r="AW12" i="2"/>
  <c r="BA29" i="2"/>
  <c r="BA46" i="2" s="1"/>
  <c r="BA10" i="2"/>
  <c r="BA13" i="2"/>
  <c r="BA12" i="2"/>
  <c r="AY12" i="2"/>
  <c r="AY13" i="2"/>
  <c r="AY10" i="2"/>
  <c r="BC12" i="2"/>
  <c r="BC13" i="2"/>
  <c r="BG10" i="2"/>
  <c r="BC10" i="2"/>
  <c r="AZ29" i="2"/>
  <c r="AZ10" i="2"/>
  <c r="AZ13" i="2"/>
  <c r="AZ12" i="2"/>
  <c r="BH10" i="2"/>
  <c r="BD13" i="2"/>
  <c r="BD10" i="2"/>
  <c r="BD12" i="2"/>
  <c r="BE29" i="2"/>
  <c r="BE46" i="2" s="1"/>
  <c r="BE13" i="2"/>
  <c r="BE12" i="2"/>
  <c r="BE10" i="2"/>
  <c r="BI29" i="2"/>
  <c r="BI75" i="2" s="1"/>
  <c r="BI12" i="2"/>
  <c r="BI10" i="2"/>
  <c r="BI13" i="2"/>
  <c r="BB89" i="2"/>
  <c r="BB88" i="2"/>
  <c r="BB87" i="2"/>
  <c r="BF88" i="2"/>
  <c r="BF87" i="2"/>
  <c r="BF89" i="2"/>
  <c r="CI4" i="2"/>
  <c r="CJ4" i="2" s="1"/>
  <c r="CK4" i="2" s="1"/>
  <c r="CL4" i="2" s="1"/>
  <c r="CM4" i="2" s="1"/>
  <c r="CN4" i="2" s="1"/>
  <c r="CO4" i="2" s="1"/>
  <c r="CP4" i="2" s="1"/>
  <c r="CQ4" i="2" s="1"/>
  <c r="CQ6" i="2" s="1"/>
  <c r="CQ29" i="2" s="1"/>
  <c r="BJ10" i="2"/>
  <c r="BJ13" i="2"/>
  <c r="BJ12" i="2"/>
  <c r="CF85" i="2"/>
  <c r="CG85" i="2"/>
  <c r="BS85" i="2"/>
  <c r="BU85" i="2"/>
  <c r="BW85" i="2"/>
  <c r="BY85" i="2"/>
  <c r="CA85" i="2"/>
  <c r="CC85" i="2"/>
  <c r="CE85" i="2"/>
  <c r="BE47" i="2"/>
  <c r="AZ47" i="2"/>
  <c r="AZ46" i="2"/>
  <c r="BA47" i="2"/>
  <c r="AX47" i="2"/>
  <c r="AX46" i="2"/>
  <c r="BB47" i="2"/>
  <c r="BB46" i="2"/>
  <c r="BF46" i="2"/>
  <c r="BF47" i="2"/>
  <c r="K39" i="2"/>
  <c r="T39" i="2"/>
  <c r="T49" i="2" s="1"/>
  <c r="W80" i="2"/>
  <c r="W43" i="2"/>
  <c r="Z41" i="2"/>
  <c r="Z50" i="2" s="1"/>
  <c r="AJ39" i="2"/>
  <c r="AJ49" i="2" s="1"/>
  <c r="D39" i="2"/>
  <c r="D49" i="2" s="1"/>
  <c r="AB39" i="2"/>
  <c r="AB49" i="2" s="1"/>
  <c r="M41" i="2"/>
  <c r="M50" i="2" s="1"/>
  <c r="X80" i="2"/>
  <c r="X43" i="2"/>
  <c r="I41" i="2"/>
  <c r="I50" i="2" s="1"/>
  <c r="N41" i="2"/>
  <c r="N50" i="2" s="1"/>
  <c r="V41" i="2"/>
  <c r="V50" i="2" s="1"/>
  <c r="H43" i="2"/>
  <c r="H80" i="2"/>
  <c r="S39" i="2"/>
  <c r="L39" i="2"/>
  <c r="L49" i="2" s="1"/>
  <c r="AG41" i="2"/>
  <c r="AG50" i="2" s="1"/>
  <c r="AK41" i="2"/>
  <c r="AK50" i="2" s="1"/>
  <c r="AC41" i="2"/>
  <c r="AC50" i="2" s="1"/>
  <c r="F41" i="2"/>
  <c r="F50" i="2" s="1"/>
  <c r="AH41" i="2"/>
  <c r="AH50" i="2" s="1"/>
  <c r="U41" i="2"/>
  <c r="U50" i="2" s="1"/>
  <c r="AF80" i="2"/>
  <c r="AF43" i="2"/>
  <c r="Q41" i="2"/>
  <c r="Q50" i="2" s="1"/>
  <c r="P43" i="2"/>
  <c r="P80" i="2"/>
  <c r="Y41" i="2"/>
  <c r="Y50" i="2" s="1"/>
  <c r="AA39" i="2"/>
  <c r="C39" i="2"/>
  <c r="AI39" i="2"/>
  <c r="R41" i="2"/>
  <c r="R50" i="2" s="1"/>
  <c r="O80" i="2"/>
  <c r="O43" i="2"/>
  <c r="AL41" i="2"/>
  <c r="AL50" i="2" s="1"/>
  <c r="AE80" i="2"/>
  <c r="AE43" i="2"/>
  <c r="E41" i="2"/>
  <c r="E50" i="2" s="1"/>
  <c r="J41" i="2"/>
  <c r="J50" i="2" s="1"/>
  <c r="AD41" i="2"/>
  <c r="AD50" i="2" s="1"/>
  <c r="BE74" i="2"/>
  <c r="BE75" i="2"/>
  <c r="BB74" i="2"/>
  <c r="BB75" i="2"/>
  <c r="BF74" i="2"/>
  <c r="BF75" i="2"/>
  <c r="BK34" i="2"/>
  <c r="BK48" i="2" s="1"/>
  <c r="BL39" i="2"/>
  <c r="BL49" i="2" s="1"/>
  <c r="BH29" i="2"/>
  <c r="BL10" i="2"/>
  <c r="BA31" i="2"/>
  <c r="BA45" i="2" s="1"/>
  <c r="AX31" i="2"/>
  <c r="AX45" i="2" s="1"/>
  <c r="BF31" i="2"/>
  <c r="AP31" i="2"/>
  <c r="AP45" i="2" s="1"/>
  <c r="AZ31" i="2"/>
  <c r="AZ45" i="2" s="1"/>
  <c r="AM31" i="2"/>
  <c r="CD9" i="2"/>
  <c r="AN31" i="2"/>
  <c r="AN45" i="2" s="1"/>
  <c r="BB31" i="2"/>
  <c r="BG29" i="2"/>
  <c r="CG6" i="2"/>
  <c r="CD6" i="2"/>
  <c r="CD13" i="2" s="1"/>
  <c r="CF6" i="2"/>
  <c r="CF13" i="2" s="1"/>
  <c r="CG8" i="2"/>
  <c r="CG9" i="2"/>
  <c r="CE9" i="2"/>
  <c r="CE6" i="2"/>
  <c r="CE13" i="2" s="1"/>
  <c r="CI3" i="2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AU29" i="2"/>
  <c r="BD29" i="2"/>
  <c r="AV29" i="2"/>
  <c r="CC6" i="2"/>
  <c r="CC13" i="2" s="1"/>
  <c r="BC29" i="2"/>
  <c r="AW29" i="2"/>
  <c r="CF9" i="2"/>
  <c r="CB29" i="2"/>
  <c r="AY29" i="2"/>
  <c r="AO31" i="2"/>
  <c r="AO45" i="2" s="1"/>
  <c r="BJ29" i="2"/>
  <c r="BE31" i="2"/>
  <c r="BE45" i="2" s="1"/>
  <c r="CD8" i="2"/>
  <c r="CE8" i="2"/>
  <c r="CF8" i="2"/>
  <c r="X222" i="3"/>
  <c r="CQ31" i="2" l="1"/>
  <c r="CQ33" i="2"/>
  <c r="CQ30" i="2"/>
  <c r="CQ32" i="2"/>
  <c r="CH48" i="2"/>
  <c r="CX54" i="2"/>
  <c r="CX55" i="2" s="1"/>
  <c r="CH39" i="2"/>
  <c r="CH40" i="2" s="1"/>
  <c r="CH41" i="2" s="1"/>
  <c r="CV64" i="2"/>
  <c r="CV66" i="2" s="1"/>
  <c r="CV73" i="2" s="1"/>
  <c r="DA56" i="2"/>
  <c r="BI74" i="2"/>
  <c r="BI31" i="2"/>
  <c r="BI45" i="2" s="1"/>
  <c r="G50" i="2"/>
  <c r="BT41" i="2"/>
  <c r="BZ41" i="2"/>
  <c r="AI49" i="2"/>
  <c r="CA39" i="2"/>
  <c r="CA49" i="2" s="1"/>
  <c r="S49" i="2"/>
  <c r="BW39" i="2"/>
  <c r="BW49" i="2" s="1"/>
  <c r="BV41" i="2"/>
  <c r="CB87" i="2"/>
  <c r="CB89" i="2"/>
  <c r="CB46" i="2"/>
  <c r="CB47" i="2"/>
  <c r="CB88" i="2"/>
  <c r="C49" i="2"/>
  <c r="BS39" i="2"/>
  <c r="BS49" i="2" s="1"/>
  <c r="G43" i="2"/>
  <c r="BI47" i="2"/>
  <c r="BH89" i="2"/>
  <c r="BH87" i="2"/>
  <c r="BH88" i="2"/>
  <c r="AA49" i="2"/>
  <c r="BY39" i="2"/>
  <c r="BY49" i="2" s="1"/>
  <c r="G80" i="2"/>
  <c r="K49" i="2"/>
  <c r="BU39" i="2"/>
  <c r="BU49" i="2" s="1"/>
  <c r="BI46" i="2"/>
  <c r="BX41" i="2"/>
  <c r="AM45" i="2"/>
  <c r="CB31" i="2"/>
  <c r="CB45" i="2" s="1"/>
  <c r="AU89" i="2"/>
  <c r="AU88" i="2"/>
  <c r="AU87" i="2"/>
  <c r="AV87" i="2"/>
  <c r="AV88" i="2"/>
  <c r="AV89" i="2"/>
  <c r="CC12" i="2"/>
  <c r="CD12" i="2"/>
  <c r="AW88" i="2"/>
  <c r="AW89" i="2"/>
  <c r="AW87" i="2"/>
  <c r="BA88" i="2"/>
  <c r="BA87" i="2"/>
  <c r="BA89" i="2"/>
  <c r="AY87" i="2"/>
  <c r="AY88" i="2"/>
  <c r="AY89" i="2"/>
  <c r="BC88" i="2"/>
  <c r="BC87" i="2"/>
  <c r="BC89" i="2"/>
  <c r="AZ88" i="2"/>
  <c r="AZ87" i="2"/>
  <c r="AZ89" i="2"/>
  <c r="BD87" i="2"/>
  <c r="BD88" i="2"/>
  <c r="BD89" i="2"/>
  <c r="BE87" i="2"/>
  <c r="BE88" i="2"/>
  <c r="BE89" i="2"/>
  <c r="BI89" i="2"/>
  <c r="BI88" i="2"/>
  <c r="BI87" i="2"/>
  <c r="CE12" i="2"/>
  <c r="BB45" i="2"/>
  <c r="CF12" i="2"/>
  <c r="BF45" i="2"/>
  <c r="BJ88" i="2"/>
  <c r="BJ89" i="2"/>
  <c r="BJ87" i="2"/>
  <c r="BG89" i="2"/>
  <c r="BG87" i="2"/>
  <c r="BG88" i="2"/>
  <c r="CH10" i="2"/>
  <c r="CG13" i="2"/>
  <c r="CG12" i="2"/>
  <c r="AV46" i="2"/>
  <c r="AV47" i="2"/>
  <c r="AY46" i="2"/>
  <c r="AY47" i="2"/>
  <c r="AW46" i="2"/>
  <c r="AW47" i="2"/>
  <c r="BC47" i="2"/>
  <c r="BC46" i="2"/>
  <c r="BD46" i="2"/>
  <c r="BD47" i="2"/>
  <c r="AU46" i="2"/>
  <c r="AU47" i="2"/>
  <c r="BG46" i="2"/>
  <c r="BG47" i="2"/>
  <c r="BH47" i="2"/>
  <c r="BH46" i="2"/>
  <c r="BJ46" i="2"/>
  <c r="BJ47" i="2"/>
  <c r="AD43" i="2"/>
  <c r="AD80" i="2"/>
  <c r="Z80" i="2"/>
  <c r="Z43" i="2"/>
  <c r="AB41" i="2"/>
  <c r="AB50" i="2" s="1"/>
  <c r="AK43" i="2"/>
  <c r="AK80" i="2"/>
  <c r="J80" i="2"/>
  <c r="J43" i="2"/>
  <c r="C41" i="2"/>
  <c r="AH80" i="2"/>
  <c r="AH43" i="2"/>
  <c r="AG80" i="2"/>
  <c r="AG43" i="2"/>
  <c r="BZ43" i="2" s="1"/>
  <c r="I80" i="2"/>
  <c r="I43" i="2"/>
  <c r="Q80" i="2"/>
  <c r="Q43" i="2"/>
  <c r="BV43" i="2" s="1"/>
  <c r="F43" i="2"/>
  <c r="F80" i="2"/>
  <c r="D41" i="2"/>
  <c r="D50" i="2" s="1"/>
  <c r="AL43" i="2"/>
  <c r="AL80" i="2"/>
  <c r="E43" i="2"/>
  <c r="E80" i="2"/>
  <c r="AA41" i="2"/>
  <c r="L41" i="2"/>
  <c r="L50" i="2" s="1"/>
  <c r="T41" i="2"/>
  <c r="T50" i="2" s="1"/>
  <c r="M43" i="2"/>
  <c r="M80" i="2"/>
  <c r="AI41" i="2"/>
  <c r="AJ41" i="2"/>
  <c r="AJ50" i="2" s="1"/>
  <c r="N43" i="2"/>
  <c r="N80" i="2"/>
  <c r="U43" i="2"/>
  <c r="U80" i="2"/>
  <c r="R80" i="2"/>
  <c r="R43" i="2"/>
  <c r="Y80" i="2"/>
  <c r="Y43" i="2"/>
  <c r="BX43" i="2" s="1"/>
  <c r="AC43" i="2"/>
  <c r="AC80" i="2"/>
  <c r="S41" i="2"/>
  <c r="V43" i="2"/>
  <c r="V80" i="2"/>
  <c r="K41" i="2"/>
  <c r="BF34" i="2"/>
  <c r="BA34" i="2"/>
  <c r="BA48" i="2" s="1"/>
  <c r="AT46" i="2"/>
  <c r="AT47" i="2"/>
  <c r="AZ34" i="2"/>
  <c r="AZ48" i="2" s="1"/>
  <c r="BH31" i="2"/>
  <c r="BH45" i="2" s="1"/>
  <c r="BH74" i="2"/>
  <c r="BH75" i="2"/>
  <c r="BD75" i="2"/>
  <c r="BD74" i="2"/>
  <c r="AR31" i="2"/>
  <c r="AR45" i="2" s="1"/>
  <c r="BK39" i="2"/>
  <c r="BK49" i="2" s="1"/>
  <c r="BJ74" i="2"/>
  <c r="BJ75" i="2"/>
  <c r="BG74" i="2"/>
  <c r="BG75" i="2"/>
  <c r="BB34" i="2"/>
  <c r="AX34" i="2"/>
  <c r="AX48" i="2" s="1"/>
  <c r="BC75" i="2"/>
  <c r="BC74" i="2"/>
  <c r="BE34" i="2"/>
  <c r="BE48" i="2" s="1"/>
  <c r="BI34" i="2"/>
  <c r="BI48" i="2" s="1"/>
  <c r="AP34" i="2"/>
  <c r="AP48" i="2" s="1"/>
  <c r="AM34" i="2"/>
  <c r="AN34" i="2"/>
  <c r="AN48" i="2" s="1"/>
  <c r="AO34" i="2"/>
  <c r="AO48" i="2" s="1"/>
  <c r="BL41" i="2"/>
  <c r="CD29" i="2"/>
  <c r="CF10" i="2"/>
  <c r="CE10" i="2"/>
  <c r="BJ31" i="2"/>
  <c r="BJ45" i="2" s="1"/>
  <c r="AT31" i="2"/>
  <c r="BG31" i="2"/>
  <c r="CG29" i="2"/>
  <c r="BC31" i="2"/>
  <c r="BC45" i="2" s="1"/>
  <c r="CC29" i="2"/>
  <c r="CG10" i="2"/>
  <c r="AV31" i="2"/>
  <c r="AV45" i="2" s="1"/>
  <c r="AU31" i="2"/>
  <c r="AU45" i="2" s="1"/>
  <c r="AW31" i="2"/>
  <c r="AS31" i="2"/>
  <c r="AS45" i="2" s="1"/>
  <c r="BD31" i="2"/>
  <c r="BD45" i="2" s="1"/>
  <c r="CD10" i="2"/>
  <c r="CF29" i="2"/>
  <c r="AY31" i="2"/>
  <c r="AY45" i="2" s="1"/>
  <c r="CE29" i="2"/>
  <c r="AQ31" i="2"/>
  <c r="CM6" i="2"/>
  <c r="CM29" i="2" s="1"/>
  <c r="CN6" i="2"/>
  <c r="CN29" i="2" s="1"/>
  <c r="CP6" i="2"/>
  <c r="CP29" i="2" s="1"/>
  <c r="CJ6" i="2"/>
  <c r="CJ29" i="2" s="1"/>
  <c r="CO6" i="2"/>
  <c r="CO29" i="2" s="1"/>
  <c r="CK6" i="2"/>
  <c r="CK29" i="2" s="1"/>
  <c r="CI6" i="2"/>
  <c r="CL6" i="2"/>
  <c r="CL29" i="2" s="1"/>
  <c r="X212" i="3"/>
  <c r="X211" i="3"/>
  <c r="X214" i="3"/>
  <c r="X221" i="3"/>
  <c r="X213" i="3"/>
  <c r="X224" i="3"/>
  <c r="X220" i="3"/>
  <c r="X216" i="3"/>
  <c r="X219" i="3"/>
  <c r="X223" i="3"/>
  <c r="X218" i="3"/>
  <c r="X215" i="3"/>
  <c r="X217" i="3"/>
  <c r="CH52" i="2" l="1"/>
  <c r="CH50" i="2"/>
  <c r="CL31" i="2"/>
  <c r="CL32" i="2"/>
  <c r="CL33" i="2"/>
  <c r="CL30" i="2"/>
  <c r="CM31" i="2"/>
  <c r="CM33" i="2"/>
  <c r="CM30" i="2"/>
  <c r="CM32" i="2"/>
  <c r="CP31" i="2"/>
  <c r="CP33" i="2"/>
  <c r="CP30" i="2"/>
  <c r="CP32" i="2"/>
  <c r="CN31" i="2"/>
  <c r="CN33" i="2"/>
  <c r="CN30" i="2"/>
  <c r="CN32" i="2"/>
  <c r="CK32" i="2"/>
  <c r="CK33" i="2"/>
  <c r="CK31" i="2"/>
  <c r="CK34" i="2" s="1"/>
  <c r="CK48" i="2" s="1"/>
  <c r="CK30" i="2"/>
  <c r="CJ33" i="2"/>
  <c r="CJ30" i="2"/>
  <c r="CJ32" i="2"/>
  <c r="CJ31" i="2"/>
  <c r="CI10" i="2"/>
  <c r="CI29" i="2"/>
  <c r="CO31" i="2"/>
  <c r="CO33" i="2"/>
  <c r="CO30" i="2"/>
  <c r="CO32" i="2"/>
  <c r="CQ34" i="2"/>
  <c r="CQ48" i="2" s="1"/>
  <c r="DA57" i="2"/>
  <c r="AM48" i="2"/>
  <c r="CB34" i="2"/>
  <c r="CB48" i="2" s="1"/>
  <c r="K50" i="2"/>
  <c r="BU41" i="2"/>
  <c r="CF31" i="2"/>
  <c r="CF45" i="2" s="1"/>
  <c r="BX80" i="2"/>
  <c r="BX50" i="2"/>
  <c r="AI50" i="2"/>
  <c r="CA41" i="2"/>
  <c r="S50" i="2"/>
  <c r="BW41" i="2"/>
  <c r="BZ80" i="2"/>
  <c r="BZ50" i="2"/>
  <c r="CC87" i="2"/>
  <c r="CC47" i="2"/>
  <c r="CC46" i="2"/>
  <c r="CC89" i="2"/>
  <c r="CC88" i="2"/>
  <c r="AA50" i="2"/>
  <c r="BY41" i="2"/>
  <c r="C50" i="2"/>
  <c r="BS41" i="2"/>
  <c r="CE31" i="2"/>
  <c r="BT43" i="2"/>
  <c r="BV80" i="2"/>
  <c r="BV50" i="2"/>
  <c r="BT80" i="2"/>
  <c r="BT50" i="2"/>
  <c r="AQ45" i="2"/>
  <c r="CC31" i="2"/>
  <c r="CC45" i="2" s="1"/>
  <c r="AW45" i="2"/>
  <c r="CD31" i="2"/>
  <c r="CD45" i="2" s="1"/>
  <c r="CD88" i="2"/>
  <c r="CD47" i="2"/>
  <c r="CD89" i="2"/>
  <c r="CD87" i="2"/>
  <c r="CD46" i="2"/>
  <c r="BB48" i="2"/>
  <c r="CE47" i="2"/>
  <c r="CE87" i="2"/>
  <c r="CE89" i="2"/>
  <c r="CE74" i="2"/>
  <c r="CE46" i="2"/>
  <c r="CE88" i="2"/>
  <c r="CE75" i="2"/>
  <c r="CE45" i="2"/>
  <c r="BF48" i="2"/>
  <c r="CF47" i="2"/>
  <c r="CF88" i="2"/>
  <c r="CF75" i="2"/>
  <c r="CF89" i="2"/>
  <c r="CF87" i="2"/>
  <c r="CF74" i="2"/>
  <c r="CF46" i="2"/>
  <c r="CG89" i="2"/>
  <c r="CG74" i="2"/>
  <c r="CG46" i="2"/>
  <c r="CG88" i="2"/>
  <c r="CG75" i="2"/>
  <c r="CG87" i="2"/>
  <c r="CG47" i="2"/>
  <c r="BG45" i="2"/>
  <c r="CG31" i="2"/>
  <c r="CG45" i="2" s="1"/>
  <c r="BL80" i="2"/>
  <c r="BL50" i="2"/>
  <c r="C80" i="2"/>
  <c r="C43" i="2"/>
  <c r="BS43" i="2" s="1"/>
  <c r="AB80" i="2"/>
  <c r="AB43" i="2"/>
  <c r="S80" i="2"/>
  <c r="S43" i="2"/>
  <c r="T80" i="2"/>
  <c r="T43" i="2"/>
  <c r="AJ80" i="2"/>
  <c r="AJ43" i="2"/>
  <c r="L80" i="2"/>
  <c r="L43" i="2"/>
  <c r="K80" i="2"/>
  <c r="K43" i="2"/>
  <c r="BU43" i="2" s="1"/>
  <c r="AI80" i="2"/>
  <c r="AI43" i="2"/>
  <c r="AA80" i="2"/>
  <c r="AA43" i="2"/>
  <c r="BY43" i="2" s="1"/>
  <c r="D80" i="2"/>
  <c r="D43" i="2"/>
  <c r="BG34" i="2"/>
  <c r="BI39" i="2"/>
  <c r="BI49" i="2" s="1"/>
  <c r="BF39" i="2"/>
  <c r="BL77" i="2"/>
  <c r="BL78" i="2"/>
  <c r="BK41" i="2"/>
  <c r="BC34" i="2"/>
  <c r="BC48" i="2" s="1"/>
  <c r="AT34" i="2"/>
  <c r="AT45" i="2"/>
  <c r="AR34" i="2"/>
  <c r="AR48" i="2" s="1"/>
  <c r="AZ39" i="2"/>
  <c r="AZ49" i="2" s="1"/>
  <c r="AW34" i="2"/>
  <c r="AX39" i="2"/>
  <c r="AX49" i="2" s="1"/>
  <c r="BJ34" i="2"/>
  <c r="BJ48" i="2" s="1"/>
  <c r="BA39" i="2"/>
  <c r="BA49" i="2" s="1"/>
  <c r="AV34" i="2"/>
  <c r="AV48" i="2" s="1"/>
  <c r="AY34" i="2"/>
  <c r="AY48" i="2" s="1"/>
  <c r="AU34" i="2"/>
  <c r="AU48" i="2" s="1"/>
  <c r="AQ34" i="2"/>
  <c r="AS34" i="2"/>
  <c r="AS48" i="2" s="1"/>
  <c r="BD34" i="2"/>
  <c r="BD48" i="2" s="1"/>
  <c r="BE39" i="2"/>
  <c r="BE49" i="2" s="1"/>
  <c r="BB39" i="2"/>
  <c r="BH34" i="2"/>
  <c r="BH48" i="2" s="1"/>
  <c r="AN39" i="2"/>
  <c r="AN49" i="2" s="1"/>
  <c r="AO39" i="2"/>
  <c r="AO49" i="2" s="1"/>
  <c r="AM39" i="2"/>
  <c r="AP39" i="2"/>
  <c r="AP49" i="2" s="1"/>
  <c r="BL43" i="2"/>
  <c r="CK10" i="2"/>
  <c r="CL10" i="2"/>
  <c r="CM10" i="2"/>
  <c r="CN10" i="2"/>
  <c r="CP10" i="2"/>
  <c r="CO10" i="2"/>
  <c r="CQ10" i="2"/>
  <c r="CJ10" i="2"/>
  <c r="CN34" i="2" l="1"/>
  <c r="CN48" i="2" s="1"/>
  <c r="CM34" i="2"/>
  <c r="CM48" i="2" s="1"/>
  <c r="CO34" i="2"/>
  <c r="CO48" i="2" s="1"/>
  <c r="CI31" i="2"/>
  <c r="CI33" i="2"/>
  <c r="CI30" i="2"/>
  <c r="CI32" i="2"/>
  <c r="CP34" i="2"/>
  <c r="CP48" i="2" s="1"/>
  <c r="CL34" i="2"/>
  <c r="CL48" i="2" s="1"/>
  <c r="CJ34" i="2"/>
  <c r="CJ48" i="2" s="1"/>
  <c r="CI36" i="2"/>
  <c r="CA43" i="2"/>
  <c r="BY80" i="2"/>
  <c r="BY50" i="2"/>
  <c r="AM49" i="2"/>
  <c r="CB39" i="2"/>
  <c r="CB49" i="2" s="1"/>
  <c r="BU80" i="2"/>
  <c r="BU50" i="2"/>
  <c r="BS80" i="2"/>
  <c r="BS50" i="2"/>
  <c r="AQ48" i="2"/>
  <c r="CC34" i="2"/>
  <c r="CC48" i="2" s="1"/>
  <c r="BW80" i="2"/>
  <c r="BW50" i="2"/>
  <c r="BW43" i="2"/>
  <c r="CA80" i="2"/>
  <c r="CA50" i="2"/>
  <c r="AW48" i="2"/>
  <c r="CD34" i="2"/>
  <c r="CD48" i="2" s="1"/>
  <c r="CE34" i="2"/>
  <c r="CE48" i="2" s="1"/>
  <c r="CF34" i="2"/>
  <c r="CF48" i="2" s="1"/>
  <c r="BB49" i="2"/>
  <c r="BF49" i="2"/>
  <c r="BG48" i="2"/>
  <c r="CG34" i="2"/>
  <c r="CG48" i="2" s="1"/>
  <c r="BK80" i="2"/>
  <c r="BK50" i="2"/>
  <c r="AU39" i="2"/>
  <c r="AU49" i="2" s="1"/>
  <c r="AR39" i="2"/>
  <c r="AR49" i="2" s="1"/>
  <c r="AY39" i="2"/>
  <c r="AY49" i="2" s="1"/>
  <c r="AT39" i="2"/>
  <c r="AT48" i="2"/>
  <c r="BF41" i="2"/>
  <c r="BE41" i="2"/>
  <c r="BD39" i="2"/>
  <c r="BD49" i="2" s="1"/>
  <c r="AS39" i="2"/>
  <c r="AS49" i="2" s="1"/>
  <c r="AV39" i="2"/>
  <c r="AV49" i="2" s="1"/>
  <c r="AW39" i="2"/>
  <c r="BC39" i="2"/>
  <c r="BC49" i="2" s="1"/>
  <c r="BI41" i="2"/>
  <c r="BJ39" i="2"/>
  <c r="BJ49" i="2" s="1"/>
  <c r="AX41" i="2"/>
  <c r="BH39" i="2"/>
  <c r="BH49" i="2" s="1"/>
  <c r="BB41" i="2"/>
  <c r="AQ39" i="2"/>
  <c r="BA41" i="2"/>
  <c r="AZ41" i="2"/>
  <c r="BK43" i="2"/>
  <c r="BK78" i="2"/>
  <c r="BK77" i="2"/>
  <c r="BG39" i="2"/>
  <c r="AP41" i="2"/>
  <c r="AO41" i="2"/>
  <c r="AM41" i="2"/>
  <c r="AN41" i="2"/>
  <c r="CI34" i="2" l="1"/>
  <c r="CI48" i="2" s="1"/>
  <c r="CB41" i="2"/>
  <c r="AQ49" i="2"/>
  <c r="CC39" i="2"/>
  <c r="CC49" i="2" s="1"/>
  <c r="AW49" i="2"/>
  <c r="CD39" i="2"/>
  <c r="CD49" i="2" s="1"/>
  <c r="CE39" i="2"/>
  <c r="CE49" i="2" s="1"/>
  <c r="CF39" i="2"/>
  <c r="CF49" i="2" s="1"/>
  <c r="BG49" i="2"/>
  <c r="CG39" i="2"/>
  <c r="CG49" i="2" s="1"/>
  <c r="BA80" i="2"/>
  <c r="BA50" i="2"/>
  <c r="AZ80" i="2"/>
  <c r="AZ50" i="2"/>
  <c r="BE80" i="2"/>
  <c r="BE50" i="2"/>
  <c r="AX80" i="2"/>
  <c r="AX50" i="2"/>
  <c r="BB80" i="2"/>
  <c r="BB50" i="2"/>
  <c r="BF80" i="2"/>
  <c r="BF50" i="2"/>
  <c r="BI80" i="2"/>
  <c r="BI50" i="2"/>
  <c r="AN80" i="2"/>
  <c r="AN50" i="2"/>
  <c r="AO80" i="2"/>
  <c r="AO50" i="2"/>
  <c r="AM80" i="2"/>
  <c r="AM50" i="2"/>
  <c r="AP80" i="2"/>
  <c r="AP50" i="2"/>
  <c r="AT41" i="2"/>
  <c r="AT80" i="2" s="1"/>
  <c r="AT49" i="2"/>
  <c r="AZ43" i="2"/>
  <c r="BH41" i="2"/>
  <c r="BC41" i="2"/>
  <c r="BD41" i="2"/>
  <c r="AY41" i="2"/>
  <c r="CE41" i="2" s="1"/>
  <c r="AS41" i="2"/>
  <c r="BB43" i="2"/>
  <c r="BB78" i="2"/>
  <c r="BB77" i="2"/>
  <c r="BG41" i="2"/>
  <c r="BA43" i="2"/>
  <c r="AX43" i="2"/>
  <c r="AW41" i="2"/>
  <c r="BE43" i="2"/>
  <c r="BE78" i="2"/>
  <c r="BE77" i="2"/>
  <c r="AR41" i="2"/>
  <c r="BI43" i="2"/>
  <c r="BI78" i="2"/>
  <c r="BI77" i="2"/>
  <c r="AQ41" i="2"/>
  <c r="BJ41" i="2"/>
  <c r="AV41" i="2"/>
  <c r="BF43" i="2"/>
  <c r="BF78" i="2"/>
  <c r="BF77" i="2"/>
  <c r="AU41" i="2"/>
  <c r="AO43" i="2"/>
  <c r="AN43" i="2"/>
  <c r="AM43" i="2"/>
  <c r="AP43" i="2"/>
  <c r="CI39" i="2" l="1"/>
  <c r="CI40" i="2" s="1"/>
  <c r="CI41" i="2" s="1"/>
  <c r="CB43" i="2"/>
  <c r="CC41" i="2"/>
  <c r="CB80" i="2"/>
  <c r="CB50" i="2"/>
  <c r="CD41" i="2"/>
  <c r="CD50" i="2" s="1"/>
  <c r="CE50" i="2"/>
  <c r="CE77" i="2"/>
  <c r="CF41" i="2"/>
  <c r="CF78" i="2" s="1"/>
  <c r="CE78" i="2"/>
  <c r="CE80" i="2"/>
  <c r="CG41" i="2"/>
  <c r="AV80" i="2"/>
  <c r="AV50" i="2"/>
  <c r="AW80" i="2"/>
  <c r="AW50" i="2"/>
  <c r="BC80" i="2"/>
  <c r="BC50" i="2"/>
  <c r="AY80" i="2"/>
  <c r="AY50" i="2"/>
  <c r="BD80" i="2"/>
  <c r="BD50" i="2"/>
  <c r="BG80" i="2"/>
  <c r="BG50" i="2"/>
  <c r="BH80" i="2"/>
  <c r="BH50" i="2"/>
  <c r="BJ80" i="2"/>
  <c r="BJ50" i="2"/>
  <c r="AU80" i="2"/>
  <c r="AU50" i="2"/>
  <c r="AQ80" i="2"/>
  <c r="AQ50" i="2"/>
  <c r="AR80" i="2"/>
  <c r="AR50" i="2"/>
  <c r="AS80" i="2"/>
  <c r="AS50" i="2"/>
  <c r="AR43" i="2"/>
  <c r="BJ43" i="2"/>
  <c r="BJ78" i="2"/>
  <c r="BJ77" i="2"/>
  <c r="BG43" i="2"/>
  <c r="BG78" i="2"/>
  <c r="BG77" i="2"/>
  <c r="AY43" i="2"/>
  <c r="CE43" i="2" s="1"/>
  <c r="BH43" i="2"/>
  <c r="BH78" i="2"/>
  <c r="BH77" i="2"/>
  <c r="AU43" i="2"/>
  <c r="BC43" i="2"/>
  <c r="BC78" i="2"/>
  <c r="BC77" i="2"/>
  <c r="AQ43" i="2"/>
  <c r="AS43" i="2"/>
  <c r="AV43" i="2"/>
  <c r="AW43" i="2"/>
  <c r="BD43" i="2"/>
  <c r="BD78" i="2"/>
  <c r="BD77" i="2"/>
  <c r="AT43" i="2"/>
  <c r="AT50" i="2"/>
  <c r="CI50" i="2" l="1"/>
  <c r="CI52" i="2"/>
  <c r="CD80" i="2"/>
  <c r="CF77" i="2"/>
  <c r="CC43" i="2"/>
  <c r="CF50" i="2"/>
  <c r="CF80" i="2"/>
  <c r="CC80" i="2"/>
  <c r="CC50" i="2"/>
  <c r="CF43" i="2"/>
  <c r="CG43" i="2"/>
  <c r="CD43" i="2"/>
  <c r="CG80" i="2"/>
  <c r="CG50" i="2"/>
  <c r="CG78" i="2"/>
  <c r="CG77" i="2"/>
  <c r="CJ36" i="2" l="1"/>
  <c r="CJ39" i="2" s="1"/>
  <c r="CJ40" i="2" s="1"/>
  <c r="CJ41" i="2" s="1"/>
  <c r="CJ52" i="2" s="1"/>
  <c r="CK36" i="2" l="1"/>
  <c r="CK39" i="2" s="1"/>
  <c r="CK40" i="2" s="1"/>
  <c r="CK41" i="2" s="1"/>
  <c r="CK50" i="2" s="1"/>
  <c r="CJ50" i="2"/>
  <c r="CK52" i="2" l="1"/>
  <c r="CL36" i="2" l="1"/>
  <c r="CL39" i="2" s="1"/>
  <c r="CL40" i="2" s="1"/>
  <c r="CL41" i="2" s="1"/>
  <c r="CL52" i="2" s="1"/>
  <c r="CM36" i="2" l="1"/>
  <c r="CM39" i="2" s="1"/>
  <c r="CM40" i="2" s="1"/>
  <c r="CM41" i="2" s="1"/>
  <c r="CM50" i="2" s="1"/>
  <c r="CL50" i="2"/>
  <c r="CM52" i="2" l="1"/>
  <c r="CN36" i="2"/>
  <c r="CN39" i="2" s="1"/>
  <c r="CN40" i="2" s="1"/>
  <c r="CN41" i="2" s="1"/>
  <c r="CN52" i="2" s="1"/>
  <c r="CO36" i="2" l="1"/>
  <c r="CO39" i="2" s="1"/>
  <c r="CO40" i="2" s="1"/>
  <c r="CO41" i="2" s="1"/>
  <c r="CO50" i="2" s="1"/>
  <c r="CN50" i="2"/>
  <c r="CO52" i="2" l="1"/>
  <c r="CP36" i="2" s="1"/>
  <c r="CP39" i="2" s="1"/>
  <c r="CP40" i="2" s="1"/>
  <c r="CP41" i="2" s="1"/>
  <c r="CP50" i="2" s="1"/>
  <c r="CP52" i="2" l="1"/>
  <c r="CQ36" i="2" l="1"/>
  <c r="CQ39" i="2" s="1"/>
  <c r="CQ40" i="2" s="1"/>
  <c r="CQ41" i="2" s="1"/>
  <c r="CQ52" i="2" s="1"/>
  <c r="CQ50" i="2" l="1"/>
  <c r="CR41" i="2"/>
  <c r="CS41" i="2" s="1"/>
  <c r="CT41" i="2" s="1"/>
  <c r="CU41" i="2" s="1"/>
  <c r="CV41" i="2" s="1"/>
  <c r="CW41" i="2" s="1"/>
  <c r="CX41" i="2" s="1"/>
  <c r="CY41" i="2" s="1"/>
  <c r="CZ41" i="2" s="1"/>
  <c r="DA41" i="2" s="1"/>
  <c r="DB41" i="2" s="1"/>
  <c r="DC41" i="2" s="1"/>
  <c r="DD41" i="2" s="1"/>
  <c r="DE41" i="2" s="1"/>
  <c r="DF41" i="2" s="1"/>
  <c r="DG41" i="2" s="1"/>
  <c r="DH41" i="2" s="1"/>
  <c r="DI41" i="2" s="1"/>
  <c r="DJ41" i="2" s="1"/>
  <c r="DK41" i="2" s="1"/>
  <c r="DL41" i="2" s="1"/>
  <c r="DM41" i="2" s="1"/>
  <c r="DN41" i="2" s="1"/>
  <c r="DO41" i="2" s="1"/>
  <c r="DP41" i="2" s="1"/>
  <c r="DQ41" i="2" s="1"/>
  <c r="DR41" i="2" s="1"/>
  <c r="DS41" i="2" s="1"/>
  <c r="DT41" i="2" s="1"/>
  <c r="DU41" i="2" s="1"/>
  <c r="DV41" i="2" s="1"/>
  <c r="DW41" i="2" s="1"/>
  <c r="DX41" i="2" s="1"/>
  <c r="DY41" i="2" s="1"/>
  <c r="DZ41" i="2" s="1"/>
  <c r="EA41" i="2" s="1"/>
  <c r="EB41" i="2" s="1"/>
  <c r="EC41" i="2" s="1"/>
  <c r="ED41" i="2" s="1"/>
  <c r="EE41" i="2" s="1"/>
  <c r="EF41" i="2" l="1"/>
  <c r="EG41" i="2" s="1"/>
  <c r="EH41" i="2" s="1"/>
  <c r="EI41" i="2" s="1"/>
  <c r="EJ41" i="2" s="1"/>
  <c r="EK41" i="2" s="1"/>
  <c r="EL41" i="2" s="1"/>
  <c r="EM41" i="2" s="1"/>
  <c r="EN41" i="2" s="1"/>
  <c r="EO41" i="2" s="1"/>
  <c r="DA59" i="2"/>
  <c r="DA61" i="2" s="1"/>
  <c r="DA63" i="2" l="1"/>
  <c r="DB63" i="2"/>
  <c r="CZ64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<sst xmlns="http://schemas.openxmlformats.org/spreadsheetml/2006/main" count="2264" uniqueCount="1217">
  <si>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</si>
  <si>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</si>
  <si>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</si>
  <si>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</si>
  <si>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</si>
  <si>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</si>
  <si>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</si>
  <si>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</si>
  <si>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</si>
  <si>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</si>
  <si>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</si>
  <si>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</si>
  <si>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</si>
  <si>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</si>
  <si>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</si>
  <si>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</si>
  <si>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</si>
  <si>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</si>
  <si>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</si>
  <si>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</si>
  <si>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</si>
  <si>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</si>
  <si>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</si>
  <si>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</si>
  <si>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</si>
  <si>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</si>
  <si>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</si>
  <si>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</si>
  <si>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</si>
  <si>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</si>
  <si>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</si>
  <si>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</si>
  <si>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</si>
  <si>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</si>
  <si>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</si>
  <si>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</si>
  <si>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</si>
  <si>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</si>
  <si>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</si>
  <si>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</si>
  <si>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</si>
  <si>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</si>
  <si>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</si>
  <si>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</si>
  <si>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</si>
  <si>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</si>
  <si>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</si>
  <si>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</si>
  <si>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</si>
  <si>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</si>
  <si>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</si>
  <si>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</si>
  <si>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</si>
  <si>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U.S. % of Revenues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</si>
  <si>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</si>
  <si>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</si>
  <si>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</si>
  <si>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</si>
  <si>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</si>
  <si>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</si>
  <si>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</si>
  <si>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</si>
  <si>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</si>
  <si>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</si>
  <si>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</si>
  <si>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</si>
  <si>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</si>
  <si>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</si>
  <si>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</si>
  <si>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</si>
  <si>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</si>
  <si>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</si>
  <si>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</si>
  <si>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</si>
  <si>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</si>
  <si>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</si>
  <si>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</si>
  <si>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</si>
  <si>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</si>
  <si>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</si>
  <si>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</si>
  <si>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</si>
  <si>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</si>
  <si>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</si>
  <si>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</si>
  <si>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</si>
  <si>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</si>
  <si>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</si>
  <si>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</si>
  <si>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</si>
  <si>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</si>
  <si>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</si>
  <si>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</si>
  <si>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</si>
  <si>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</si>
  <si>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</si>
  <si>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</si>
  <si>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</si>
  <si>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</si>
  <si>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</si>
  <si>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</si>
  <si>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</si>
  <si>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</si>
  <si>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</si>
  <si>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</si>
  <si>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</si>
  <si>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</si>
  <si>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</si>
  <si>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</si>
  <si>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</si>
  <si>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NPV</t>
  </si>
  <si>
    <t>FV</t>
  </si>
  <si>
    <t>CP</t>
  </si>
  <si>
    <t>Change Δ</t>
  </si>
  <si>
    <t>VOO Historical Returns</t>
  </si>
  <si>
    <t>Cost of Equity</t>
  </si>
  <si>
    <t>Capital Structure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</si>
  <si>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</si>
  <si>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</si>
  <si>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</si>
  <si>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</si>
  <si>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</si>
  <si>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</si>
  <si>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</si>
  <si>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</si>
  <si>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</si>
  <si>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</si>
  <si>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</si>
  <si>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</si>
  <si>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</si>
  <si>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</si>
  <si>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</si>
  <si>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</si>
  <si>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</si>
  <si>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</si>
  <si>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CFFO Margin</t>
  </si>
  <si>
    <t>FCF Margin</t>
  </si>
  <si>
    <t>CapEx as % of Revenue</t>
  </si>
  <si>
    <t>Q1 2026</t>
  </si>
  <si>
    <t>Master</t>
  </si>
  <si>
    <t>PODD</t>
  </si>
  <si>
    <t>Insulet Corporation (PODD)</t>
  </si>
  <si>
    <t>Founder(s): John Brooks, Amparo Diaz, and Duane DeSisto</t>
  </si>
  <si>
    <t>Registered Exchange: NASDAQ</t>
  </si>
  <si>
    <t>Founded: 2000</t>
  </si>
  <si>
    <t>Address: 100 Nagog Park, Acton, MA 01720 U.S.</t>
  </si>
  <si>
    <t>https://www.sec.gov/edgar/browse/?CIK=1145197&amp;owner=exclude</t>
  </si>
  <si>
    <t>Headquarters: Acton, MA</t>
  </si>
  <si>
    <t>https://www.insulet.com/</t>
  </si>
  <si>
    <t>Current CEO: Ashley McEvoy</t>
  </si>
  <si>
    <t>https://investor.insulet.com/overview/default.aspx</t>
  </si>
  <si>
    <t>(978) 600 - 7000</t>
  </si>
  <si>
    <t>Industry: Medical Devices</t>
  </si>
  <si>
    <t>https://stockanalysis.com/stocks/podd/company/</t>
  </si>
  <si>
    <t>Sector: Healthcare</t>
  </si>
  <si>
    <t>https://www.macrotrends.net/stocks/charts/PODD/insulet/income-statement?freq=A</t>
  </si>
  <si>
    <t>IPO: May 15, 2007</t>
  </si>
  <si>
    <t>https://www.gurufocus.com/term/wacc/PODD</t>
  </si>
  <si>
    <t>Fiscal Year: [January - December]</t>
  </si>
  <si>
    <t>Insulet Corporation develops, manufactures, and sells insulin delivery systems for people with insulin-dependent diabetes in the United States and internationally</t>
  </si>
  <si>
    <t>It also provides pods for Amgen for use in the Neulasta Onpro kit, which is a delivery system to help reduce the risk of infection after intense chemotherapy</t>
  </si>
  <si>
    <t>The Company sells its products to end-users through the pharmacy channel; and independent distributors</t>
  </si>
  <si>
    <t>Insulet Corporation was incorporated in 2000 and is headquartered in Acton, Massachusetts</t>
  </si>
  <si>
    <t>Employees: 5,700</t>
  </si>
  <si>
    <r>
      <t xml:space="preserve">The Company offers Omnipod platform products comprising </t>
    </r>
    <r>
      <rPr>
        <b/>
        <sz val="11"/>
        <color theme="1"/>
        <rFont val="Calibre"/>
      </rPr>
      <t>Omnipod 5 automated insulin delivery system</t>
    </r>
    <r>
      <rPr>
        <sz val="11"/>
        <color theme="1"/>
        <rFont val="Calibre"/>
      </rPr>
      <t xml:space="preserve">, which includes a proprietary AID algorithm embedded in the pod that </t>
    </r>
    <r>
      <rPr>
        <b/>
        <sz val="11"/>
        <color theme="1"/>
        <rFont val="Calibre"/>
      </rPr>
      <t xml:space="preserve">integrates with a third-party continuous glucose monitor </t>
    </r>
    <r>
      <rPr>
        <sz val="11"/>
        <color theme="1"/>
        <rFont val="Calibre"/>
      </rPr>
      <t>to obtain glucose values through wireless Bluetooth communication</t>
    </r>
  </si>
  <si>
    <t>The Company also offers Omnipod DASH insulin management system that features a Bluetooth enabled pod that is controlled by a smartphone-like personal diabetes manager with a color touch screen user interface</t>
  </si>
  <si>
    <t>R&amp;D</t>
  </si>
  <si>
    <t>SG&amp;A</t>
  </si>
  <si>
    <t>OI</t>
  </si>
  <si>
    <t>Interest Expenses</t>
  </si>
  <si>
    <t>Interest Income</t>
  </si>
  <si>
    <t>Loss on Extinguishment of Debt</t>
  </si>
  <si>
    <t>Other Income</t>
  </si>
  <si>
    <t>Pretax Income</t>
  </si>
  <si>
    <t>Taxes</t>
  </si>
  <si>
    <t>A/R</t>
  </si>
  <si>
    <t>Inventories</t>
  </si>
  <si>
    <t>Other ST Expenses</t>
  </si>
  <si>
    <t>PP&amp;E</t>
  </si>
  <si>
    <t>Intangibles</t>
  </si>
  <si>
    <t>Goodwill</t>
  </si>
  <si>
    <t>Other LT Assets</t>
  </si>
  <si>
    <t>A/P</t>
  </si>
  <si>
    <t>ST Expenses &amp; Other Liabilities</t>
  </si>
  <si>
    <t>ST Debt</t>
  </si>
  <si>
    <t>LT Debt</t>
  </si>
  <si>
    <t>Other LT Liabilities</t>
  </si>
  <si>
    <t>10/14/2026</t>
  </si>
  <si>
    <t>Omnipod Products</t>
  </si>
  <si>
    <t xml:space="preserve">Drug Delivery </t>
  </si>
  <si>
    <t>Malaysia</t>
  </si>
  <si>
    <t xml:space="preserve">U.S. </t>
  </si>
  <si>
    <t xml:space="preserve">Other </t>
  </si>
  <si>
    <t>U.S. Growth Y/y</t>
  </si>
  <si>
    <t>Malaysia Growth Y/y</t>
  </si>
  <si>
    <t>Other Growth Y/y</t>
  </si>
  <si>
    <t>Ttl Revenues Growth Y/y</t>
  </si>
  <si>
    <t>Malaysia % of Revenues</t>
  </si>
  <si>
    <t>Other % of Revenues</t>
  </si>
  <si>
    <t>Omnipod Products Growth Y/y</t>
  </si>
  <si>
    <t>Drug Delivery Growth Y/y</t>
  </si>
  <si>
    <t>Omnipod Products % of Revenues</t>
  </si>
  <si>
    <t>Drug Delivery % of Revenues</t>
  </si>
  <si>
    <t>https://seekingalpha.com/symbol/PODD/earnings/transcripts</t>
  </si>
  <si>
    <t>Mkt Cap</t>
  </si>
  <si>
    <t>Discount (Cost of Equity)</t>
  </si>
  <si>
    <t>Fri, 09 Oct 2026 00:00:00 GMT</t>
  </si>
  <si>
    <t>Thu, 08 Oct 2026 00:00:00 GMT</t>
  </si>
  <si>
    <t>Wed, 07 Oct 2026 00:00:00 GMT</t>
  </si>
  <si>
    <t>Tue, 06 Oct 2026 00:00:00 GMT</t>
  </si>
  <si>
    <t>Mon, 05 Oct 2026 00:00:00 GMT</t>
  </si>
  <si>
    <t>Fri, 02 Oct 2026 00:00:00 GMT</t>
  </si>
  <si>
    <t>Thu, 01 Oct 2026 00:00:00 GMT</t>
  </si>
  <si>
    <t>Wed, 30 Sep 2026 00:00:00 GMT</t>
  </si>
  <si>
    <t>Tue, 29 Sep 2026 00:00:00 GMT</t>
  </si>
  <si>
    <t>Mon, 28 Sep 2026 00:00:00 GMT</t>
  </si>
  <si>
    <t>Fri, 25 Sep 2026 00:00:00 GMT</t>
  </si>
  <si>
    <t>Thu, 24 Sep 2026 00:00:00 GMT</t>
  </si>
  <si>
    <t>Wed, 23 Sep 2026 00:00:00 GMT</t>
  </si>
  <si>
    <t>Tue, 22 Sep 2026 00:00:00 GMT</t>
  </si>
  <si>
    <t>Mon, 21 Sep 2026 00:00:00 GMT</t>
  </si>
  <si>
    <t>Fri, 18 Sep 2026 00:00:00 GMT</t>
  </si>
  <si>
    <t>Thu, 17 Sep 2026 00:00:00 GMT</t>
  </si>
  <si>
    <t>Wed, 16 Sep 2026 00:00:00 GMT</t>
  </si>
  <si>
    <t>Tue, 15 Sep 2026 00:00:00 GMT</t>
  </si>
  <si>
    <t>Mon, 14 Sep 2026 00:00:00 GMT</t>
  </si>
  <si>
    <t>Fri, 11 Sep 2026 00:00:00 GMT</t>
  </si>
  <si>
    <t>Thu, 10 Sep 2026 00:00:00 GMT</t>
  </si>
  <si>
    <t>Wed, 09 Sep 2026 00:00:00 GMT</t>
  </si>
  <si>
    <t>Tue, 08 Sep 2026 00:00:00 GMT</t>
  </si>
  <si>
    <t>Fri, 04 Sep 2026 00:00:00 GMT</t>
  </si>
  <si>
    <t>Thu, 03 Sep 2026 00:00:00 GMT</t>
  </si>
  <si>
    <t>Wed, 02 Sep 2026 00:00:00 GMT</t>
  </si>
  <si>
    <t>Tue, 01 Sep 2026 00:00:00 GMT</t>
  </si>
  <si>
    <t>Mon, 31 Aug 2026 00:00:00 GMT</t>
  </si>
  <si>
    <t>Fri, 28 Aug 2026 00:00:00 GMT</t>
  </si>
  <si>
    <t>Thu, 27 Aug 2026 00:00:00 GMT</t>
  </si>
  <si>
    <t>Wed, 26 Aug 2026 00:00:00 GMT</t>
  </si>
  <si>
    <t>Tue, 25 Aug 2026 00:00:00 GMT</t>
  </si>
  <si>
    <t>Mon, 24 Aug 2026 00:00:00 GMT</t>
  </si>
  <si>
    <t>Fri, 21 Aug 2026 00:00:00 GMT</t>
  </si>
  <si>
    <t>Thu, 20 Aug 2026 00:00:00 GMT</t>
  </si>
  <si>
    <t>Wed, 19 Aug 2026 00:00:00 GMT</t>
  </si>
  <si>
    <t>Tue, 18 Aug 2026 00:00:00 GMT</t>
  </si>
  <si>
    <t>Mon, 17 Aug 2026 00:00:00 GMT</t>
  </si>
  <si>
    <t>Fri, 14 Aug 2026 00:00:00 GMT</t>
  </si>
  <si>
    <t>Thu, 13 Aug 2026 00:00:00 GMT</t>
  </si>
  <si>
    <t>Wed, 12 Aug 2026 00:00:00 GMT</t>
  </si>
  <si>
    <t>Tue, 11 Aug 2026 00:00:00 GMT</t>
  </si>
  <si>
    <t>Mon, 10 Aug 2026 00:00:00 GMT</t>
  </si>
  <si>
    <t>Fri, 07 Aug 2026 00:00:00 GMT</t>
  </si>
  <si>
    <t>Thu, 06 Aug 2026 00:00:00 GMT</t>
  </si>
  <si>
    <t>Wed, 05 Aug 2026 00:00:00 GMT</t>
  </si>
  <si>
    <t>Tue, 04 Aug 2026 00:00:00 GMT</t>
  </si>
  <si>
    <t>Mon, 03 Aug 2026 00:00:00 GMT</t>
  </si>
  <si>
    <t>Fri, 31 Jul 2026 00:00:00 GMT</t>
  </si>
  <si>
    <t>Thu, 30 Jul 2026 00:00:00 GMT</t>
  </si>
  <si>
    <t>Wed, 29 Jul 2026 00:00:00 GMT</t>
  </si>
  <si>
    <t>Tue, 28 Jul 2026 00:00:00 GMT</t>
  </si>
  <si>
    <t>Mon, 27 Jul 2026 00:00:00 GMT</t>
  </si>
  <si>
    <t>Fri, 24 Jul 2026 00:00:00 GMT</t>
  </si>
  <si>
    <t>Thu, 23 Jul 2026 00:00:00 GMT</t>
  </si>
  <si>
    <t>Wed, 22 Jul 2026 00:00:00 GMT</t>
  </si>
  <si>
    <t>Tue, 21 Jul 2026 00:00:00 GMT</t>
  </si>
  <si>
    <t>Mon, 20 Jul 2026 00:00:00 GMT</t>
  </si>
  <si>
    <t>Fri, 17 Jul 2026 00:00:00 GMT</t>
  </si>
  <si>
    <t>Thu, 16 Jul 2026 00:00:00 GMT</t>
  </si>
  <si>
    <t>Wed, 15 Jul 2026 00:00:00 GMT</t>
  </si>
  <si>
    <t>Tue, 14 Jul 2026 00:00:00 GMT</t>
  </si>
  <si>
    <t>Mon, 13 Jul 2026 00:00:00 GMT</t>
  </si>
  <si>
    <t>Fri, 10 Jul 2026 00:00:00 GMT</t>
  </si>
  <si>
    <t>Thu, 09 Jul 2026 00:00:00 GMT</t>
  </si>
  <si>
    <t>Wed, 08 Jul 2026 00:00:00 GMT</t>
  </si>
  <si>
    <t>Tue, 07 Jul 2026 00:00:00 GMT</t>
  </si>
  <si>
    <t>Mon, 06 Jul 2026 00:00:00 GMT</t>
  </si>
  <si>
    <t>Thu, 02 Jul 2026 00:00:00 GMT</t>
  </si>
  <si>
    <t>Wed, 01 Jul 2026 00:00:00 GMT</t>
  </si>
  <si>
    <t>Tue, 30 Jun 2026 00:00:00 GMT</t>
  </si>
  <si>
    <t>Mon, 29 Jun 2026 00:00:00 GMT</t>
  </si>
  <si>
    <t>Fri, 26 Jun 2026 00:00:00 GMT</t>
  </si>
  <si>
    <t>Thu, 25 Jun 2026 00:00:00 GMT</t>
  </si>
  <si>
    <t>Wed, 24 Jun 2026 00:00:00 GMT</t>
  </si>
  <si>
    <t>Tue, 23 Jun 2026 00:00:00 GMT</t>
  </si>
  <si>
    <t>Mon, 22 Jun 2026 00:00:00 GMT</t>
  </si>
  <si>
    <t>Thu, 18 Jun 2026 00:00:00 GMT</t>
  </si>
  <si>
    <t>Wed, 17 Jun 2026 00:00:00 GMT</t>
  </si>
  <si>
    <t>Tue, 16 Jun 2026 00:00:00 GMT</t>
  </si>
  <si>
    <t>Mon, 15 Jun 2026 00:00:00 GMT</t>
  </si>
  <si>
    <t>Fri, 12 Jun 2026 00:00:00 GMT</t>
  </si>
  <si>
    <t>Thu, 11 Jun 2026 00:00:00 GMT</t>
  </si>
  <si>
    <t>Wed, 10 Jun 2026 00:00:00 GMT</t>
  </si>
  <si>
    <t>Tue, 09 Jun 2026 00:00:00 GMT</t>
  </si>
  <si>
    <t>Mon, 08 Jun 2026 00:00:00 GMT</t>
  </si>
  <si>
    <t>Fri, 05 Jun 2026 00:00:00 GMT</t>
  </si>
  <si>
    <t>Thu, 04 Jun 2026 00:00:00 GMT</t>
  </si>
  <si>
    <t>Wed, 03 Jun 2026 00:00:00 GMT</t>
  </si>
  <si>
    <t>Tue, 02 Jun 2026 00:00:00 GMT</t>
  </si>
  <si>
    <t>Mon, 01 Jun 2026 00:00:00 GMT</t>
  </si>
  <si>
    <t>Fri, 29 May 2026 00:00:00 GMT</t>
  </si>
  <si>
    <t>Thu, 28 May 2026 00:00:00 GMT</t>
  </si>
  <si>
    <t>Wed, 27 May 2026 00:00:00 GMT</t>
  </si>
  <si>
    <t>Tue, 26 May 2026 00:00:00 GMT</t>
  </si>
  <si>
    <t>Fri, 22 May 2026 00:00:00 GMT</t>
  </si>
  <si>
    <t>Thu, 21 May 2026 00:00:00 GMT</t>
  </si>
  <si>
    <t>Wed, 20 May 2026 00:00:00 GMT</t>
  </si>
  <si>
    <t>Tue, 19 May 2026 00:00:00 GMT</t>
  </si>
  <si>
    <t>Mon, 18 May 2026 00:00:00 GMT</t>
  </si>
  <si>
    <t>Fri, 15 May 2026 00:00:00 GMT</t>
  </si>
  <si>
    <t>Thu, 14 May 2026 00:00:00 GMT</t>
  </si>
  <si>
    <t>Wed, 13 May 2026 00:00:00 GMT</t>
  </si>
  <si>
    <t>Tue, 12 May 2026 00:00:00 GMT</t>
  </si>
  <si>
    <t>Mon, 11 May 2026 00:00:00 GMT</t>
  </si>
  <si>
    <t>Fri, 08 May 2026 00:00:00 GMT</t>
  </si>
  <si>
    <t>Thu, 07 May 2026 00:00:00 GMT</t>
  </si>
  <si>
    <t>Wed, 06 May 2026 00:00:00 GMT</t>
  </si>
  <si>
    <t>Tue, 05 May 2026 00:00:00 GMT</t>
  </si>
  <si>
    <t>Mon, 04 May 2026 00:00:00 GMT</t>
  </si>
  <si>
    <t>Fri, 01 May 2026 00:00:00 GMT</t>
  </si>
  <si>
    <t>Thu, 30 Apr 2026 00:00:00 GMT</t>
  </si>
  <si>
    <t>Wed, 29 Apr 2026 00:00:00 GMT</t>
  </si>
  <si>
    <t>Tue, 28 Apr 2026 00:00:00 GMT</t>
  </si>
  <si>
    <t>Mon, 27 Apr 2026 00:00:00 GMT</t>
  </si>
  <si>
    <t>Fri, 24 Apr 2026 00:00:00 GMT</t>
  </si>
  <si>
    <t>Thu, 23 Apr 2026 00:00:00 GMT</t>
  </si>
  <si>
    <t>Wed, 22 Apr 2026 00:00:00 GMT</t>
  </si>
  <si>
    <t>Tue, 21 Apr 2026 00:00:00 GMT</t>
  </si>
  <si>
    <t>Mon, 20 Apr 2026 00:00:00 GMT</t>
  </si>
  <si>
    <t>Fri, 17 Apr 2026 00:00:00 GMT</t>
  </si>
  <si>
    <t>Thu, 16 Apr 2026 00:00:00 GMT</t>
  </si>
  <si>
    <t>Wed, 15 Apr 2026 00:00:00 GMT</t>
  </si>
  <si>
    <t>Tue, 14 Apr 2026 00:00:00 GMT</t>
  </si>
  <si>
    <t>Mon, 13 Apr 2026 00:00:00 GMT</t>
  </si>
  <si>
    <t>Fri, 10 Apr 2026 00:00:00 GMT</t>
  </si>
  <si>
    <t>Thu, 09 Apr 2026 00:00:00 GMT</t>
  </si>
  <si>
    <t>Wed, 08 Apr 2026 00:00:00 GMT</t>
  </si>
  <si>
    <t>Tue, 07 Apr 2026 00:00:00 GMT</t>
  </si>
  <si>
    <t>Mon, 06 Apr 2026 00:00:00 GMT</t>
  </si>
  <si>
    <t>Thu, 02 Apr 2026 00:00:00 GMT</t>
  </si>
  <si>
    <t>Wed, 01 Apr 2026 00:00:00 GMT</t>
  </si>
  <si>
    <t>Tue, 31 Mar 2026 00:00:00 GMT</t>
  </si>
  <si>
    <t>Mon, 30 Mar 2026 00:00:00 GMT</t>
  </si>
  <si>
    <t>Fri, 27 Mar 2026 00:00:00 GMT</t>
  </si>
  <si>
    <t>Thu, 26 Mar 2026 00:00:00 GMT</t>
  </si>
  <si>
    <t>Wed, 25 Mar 2026 00:00:00 GMT</t>
  </si>
  <si>
    <t>Tue, 24 Mar 2026 00:00:00 GMT</t>
  </si>
  <si>
    <t>Mon, 23 Mar 2026 00:00:00 GMT</t>
  </si>
  <si>
    <t>Fri, 20 Mar 2026 00:00:00 GMT</t>
  </si>
  <si>
    <t>Thu, 19 Mar 2026 00:00:00 GMT</t>
  </si>
  <si>
    <t>Wed, 18 Mar 2026 00:00:00 GMT</t>
  </si>
  <si>
    <t>Tue, 17 Mar 2026 00:00:00 GMT</t>
  </si>
  <si>
    <t>Mon, 16 Mar 2026 00:00:00 GMT</t>
  </si>
  <si>
    <t>Fri, 13 Mar 2026 00:00:00 GMT</t>
  </si>
  <si>
    <t>Thu, 12 Mar 2026 00:00:00 GMT</t>
  </si>
  <si>
    <t>Wed, 11 Mar 2026 00:00:00 GMT</t>
  </si>
  <si>
    <t>Tue, 10 Mar 2026 00:00:00 GMT</t>
  </si>
  <si>
    <t>Mon, 09 Mar 2026 00:00:00 GMT</t>
  </si>
  <si>
    <t>Fri, 06 Mar 2026 00:00:00 GMT</t>
  </si>
  <si>
    <t>Thu, 05 Mar 2026 00:00:00 GMT</t>
  </si>
  <si>
    <t>Wed, 04 Mar 2026 00:00:00 GMT</t>
  </si>
  <si>
    <t>Tue, 03 Mar 2026 00:00:00 GMT</t>
  </si>
  <si>
    <t>Mon, 02 Mar 2026 00:00:00 GMT</t>
  </si>
  <si>
    <t>Fri, 27 Feb 2026 00:00:00 GMT</t>
  </si>
  <si>
    <t>Thu, 26 Feb 2026 00:00:00 GMT</t>
  </si>
  <si>
    <t>Wed, 25 Feb 2026 00:00:00 GMT</t>
  </si>
  <si>
    <t>Tue, 24 Feb 2026 00:00:00 GMT</t>
  </si>
  <si>
    <t>Mon, 23 Feb 2026 00:00:00 GMT</t>
  </si>
  <si>
    <t>Fri, 20 Feb 2026 00:00:00 GMT</t>
  </si>
  <si>
    <t>Thu, 19 Feb 2026 00:00:00 GMT</t>
  </si>
  <si>
    <t>Wed, 18 Feb 2026 00:00:00 GMT</t>
  </si>
  <si>
    <t>Tue, 17 Feb 2026 00:00:00 GMT</t>
  </si>
  <si>
    <t>Fri, 13 Feb 2026 00:00:00 GMT</t>
  </si>
  <si>
    <t>Thu, 12 Feb 2026 00:00:00 GMT</t>
  </si>
  <si>
    <t>Wed, 11 Feb 2026 00:00:00 GMT</t>
  </si>
  <si>
    <t>Tue, 10 Feb 2026 00:00:00 GMT</t>
  </si>
  <si>
    <t>Mon, 09 Feb 2026 00:00:00 GMT</t>
  </si>
  <si>
    <t>Fri, 06 Feb 2026 00:00:00 GMT</t>
  </si>
  <si>
    <t>Thu, 05 Feb 2026 00:00:00 GMT</t>
  </si>
  <si>
    <t>Wed, 04 Feb 2026 00:00:00 GMT</t>
  </si>
  <si>
    <t>Tue, 03 Feb 2026 00:00:00 GMT</t>
  </si>
  <si>
    <t>Mon, 02 Feb 2026 00:00:00 GMT</t>
  </si>
  <si>
    <t>Fri, 30 Jan 2026 00:00:00 GMT</t>
  </si>
  <si>
    <t>Thu, 29 Jan 2026 00:00:00 GMT</t>
  </si>
  <si>
    <t>Wed, 28 Jan 2026 00:00:00 GMT</t>
  </si>
  <si>
    <t>Tue, 27 Jan 2026 00:00:00 GMT</t>
  </si>
  <si>
    <t>Mon, 26 Jan 2026 00:00:00 GMT</t>
  </si>
  <si>
    <t>Fri, 23 Jan 2026 00:00:00 GMT</t>
  </si>
  <si>
    <t>Thu, 22 Jan 2026 00:00:00 GMT</t>
  </si>
  <si>
    <t>Wed, 21 Jan 2026 00:00:00 GMT</t>
  </si>
  <si>
    <t>Tue, 20 Jan 2026 00:00:00 GMT</t>
  </si>
  <si>
    <t>Fri, 16 Jan 2026 00:00:00 GMT</t>
  </si>
  <si>
    <t>Thu, 15 Jan 2026 00:00:00 GMT</t>
  </si>
  <si>
    <t>Wed, 14 Jan 2026 00:00:00 GMT</t>
  </si>
  <si>
    <t>Tue, 13 Jan 2026 00:00:00 GMT</t>
  </si>
  <si>
    <t>Mon, 12 Jan 2026 00:00:00 GMT</t>
  </si>
  <si>
    <t>Fri, 09 Jan 2026 00:00:00 GMT</t>
  </si>
  <si>
    <t>Thu, 08 Jan 2026 00:00:00 GMT</t>
  </si>
  <si>
    <t>Wed, 07 Jan 2026 00:00:00 GMT</t>
  </si>
  <si>
    <t>Tue, 06 Jan 2026 00:00:00 GMT</t>
  </si>
  <si>
    <t>Mon, 05 Jan 2026 00:00:00 GMT</t>
  </si>
  <si>
    <t>Fri, 02 Jan 2026 00:00:00 GMT</t>
  </si>
  <si>
    <t>Wed, 31 Dec 2025 00:00:00 GMT</t>
  </si>
  <si>
    <t>Tue, 30 Dec 2025 00:00:00 GMT</t>
  </si>
  <si>
    <t>Mon, 29 Dec 2025 00:00:00 GMT</t>
  </si>
  <si>
    <t>Fri, 26 Dec 2025 00:00:00 GMT</t>
  </si>
  <si>
    <t>Wed, 24 Dec 2025 00:00:00 GMT</t>
  </si>
  <si>
    <t>Tue, 23 Dec 2025 00:00:00 GMT</t>
  </si>
  <si>
    <t>Mon, 22 Dec 2025 00:00:00 GMT</t>
  </si>
  <si>
    <t>Fri, 19 Dec 2025 00:00:00 GMT</t>
  </si>
  <si>
    <t>Thu, 18 Dec 2025 00:00:00 GMT</t>
  </si>
  <si>
    <t>Wed, 17 Dec 2025 00:00:00 GMT</t>
  </si>
  <si>
    <t>Tue, 16 Dec 2025 00:00:00 GMT</t>
  </si>
  <si>
    <t>Mon, 15 Dec 2025 00:00:00 GMT</t>
  </si>
  <si>
    <t>Fri, 12 Dec 2025 00:00:00 GMT</t>
  </si>
  <si>
    <t>Thu, 11 Dec 2025 00:00:00 GMT</t>
  </si>
  <si>
    <t>Wed, 10 Dec 2025 00:00:00 GMT</t>
  </si>
  <si>
    <t>Tue, 09 Dec 2025 00:00:00 GMT</t>
  </si>
  <si>
    <t>Mon, 08 Dec 2025 00:00:00 GMT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</si>
  <si>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</si>
  <si>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</si>
  <si>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</si>
  <si>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</si>
  <si>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</si>
  <si>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</si>
  <si>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</si>
  <si>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</si>
  <si>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</si>
  <si>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</si>
  <si>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</si>
  <si>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</si>
  <si>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</si>
  <si>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</si>
  <si>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</si>
  <si>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</si>
  <si>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</si>
  <si>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</si>
  <si>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</si>
  <si>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</si>
  <si>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</si>
  <si>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</si>
  <si>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</si>
  <si>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</si>
  <si>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</si>
  <si>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</si>
  <si>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</si>
  <si>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</si>
  <si>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</si>
  <si>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</si>
  <si>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</si>
  <si>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</si>
  <si>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t>Tue, 21 Oct 2025 00:00:00 GMT</t>
  </si>
  <si>
    <t>Mon, 20 Oct 2025 00:00:00 GMT</t>
  </si>
  <si>
    <t>Fri, 17 Oct 2025 00:00:00 GMT</t>
  </si>
  <si>
    <t>Thu, 16 Oct 2025 00:00:00 GMT</t>
  </si>
  <si>
    <t>Wed, 15 Oct 2025 00:00:00 GMT</t>
  </si>
  <si>
    <t>Tue, 14 Oct 2025 00:00:00 GMT</t>
  </si>
  <si>
    <t>Mon, 13 Oct 2025 00:00:00 GMT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</si>
  <si>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</si>
  <si>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</si>
  <si>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</si>
  <si>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</si>
  <si>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</si>
  <si>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</si>
  <si>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</si>
  <si>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</si>
  <si>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</si>
  <si>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</si>
  <si>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</si>
  <si>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</si>
  <si>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</si>
  <si>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</si>
  <si>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</si>
  <si>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</si>
  <si>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</si>
  <si>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</si>
  <si>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</si>
  <si>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</si>
  <si>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</si>
  <si>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</si>
  <si>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</si>
  <si>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</si>
  <si>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</si>
  <si>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</si>
  <si>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</si>
  <si>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</si>
  <si>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</si>
  <si>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</si>
  <si>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</si>
  <si>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</si>
  <si>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</si>
  <si>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</si>
  <si>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</si>
  <si>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</si>
  <si>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</si>
  <si>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</si>
  <si>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</si>
  <si>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</si>
  <si>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</si>
  <si>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</si>
  <si>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</si>
  <si>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</si>
  <si>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</si>
  <si>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</si>
  <si>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</si>
  <si>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</si>
  <si>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</si>
  <si>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</si>
  <si>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</si>
  <si>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</si>
  <si>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</si>
  <si>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</si>
  <si>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</si>
  <si>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</si>
  <si>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</si>
  <si>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</si>
  <si>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</si>
  <si>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</si>
  <si>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</si>
  <si>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</si>
  <si>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</si>
  <si>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</si>
  <si>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</si>
  <si>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</si>
  <si>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</si>
  <si>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</si>
  <si>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</si>
  <si>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</si>
  <si>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</si>
  <si>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</si>
  <si>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</si>
  <si>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</si>
  <si>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</si>
  <si>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</si>
  <si>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</si>
  <si>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</si>
  <si>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</si>
  <si>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</si>
  <si>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</si>
  <si>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</si>
  <si>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</si>
  <si>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</si>
  <si>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</si>
  <si>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</si>
  <si>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</si>
  <si>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</si>
  <si>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</si>
  <si>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</si>
  <si>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</si>
  <si>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</si>
  <si>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</si>
  <si>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</si>
  <si>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</si>
  <si>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</si>
  <si>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</si>
  <si>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</si>
  <si>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</si>
  <si>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</si>
  <si>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</si>
  <si>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</si>
  <si>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</si>
  <si>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</si>
  <si>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</si>
  <si>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</si>
  <si>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</si>
  <si>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</si>
  <si>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</si>
  <si>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</si>
  <si>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</si>
  <si>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</si>
  <si>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</si>
  <si>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</si>
  <si>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</si>
  <si>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</si>
  <si>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</si>
  <si>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</si>
  <si>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</si>
  <si>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</si>
  <si>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</si>
  <si>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</si>
  <si>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</si>
  <si>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</si>
  <si>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</si>
  <si>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</si>
  <si>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</si>
  <si>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</si>
  <si>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</si>
  <si>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</si>
  <si>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</si>
  <si>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</si>
  <si>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</si>
  <si>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</si>
  <si>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</si>
  <si>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</si>
  <si>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</si>
  <si>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</si>
  <si>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</si>
  <si>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</si>
  <si>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</si>
  <si>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</si>
  <si>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</si>
  <si>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</si>
  <si>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</si>
  <si>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</si>
  <si>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</si>
  <si>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</si>
  <si>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</si>
  <si>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</si>
  <si>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</si>
  <si>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</si>
  <si>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</si>
  <si>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</si>
  <si>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</si>
  <si>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</si>
  <si>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</si>
  <si>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</si>
  <si>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</si>
  <si>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</si>
  <si>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</si>
  <si>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</si>
  <si>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</si>
  <si>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</si>
  <si>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</si>
  <si>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</si>
  <si>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</si>
  <si>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</si>
  <si>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</si>
  <si>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</si>
  <si>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</si>
  <si>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</si>
  <si>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</si>
  <si>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</si>
  <si>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</si>
  <si>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</si>
  <si>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</si>
  <si>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</si>
  <si>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</si>
  <si>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</si>
  <si>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</si>
  <si>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</si>
  <si>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</si>
  <si>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</si>
  <si>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</si>
  <si>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</si>
  <si>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</si>
  <si>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</si>
  <si>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</si>
  <si>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</si>
  <si>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</si>
  <si>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</si>
  <si>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</si>
  <si>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</si>
  <si>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</si>
  <si>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</si>
  <si>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</si>
  <si>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</si>
  <si>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</si>
  <si>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</si>
  <si>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</si>
  <si>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</si>
  <si>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</si>
  <si>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</si>
  <si>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</si>
  <si>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</si>
  <si>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</si>
  <si>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</si>
  <si>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</si>
  <si>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</si>
  <si>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</si>
  <si>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</si>
  <si>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</si>
  <si>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</si>
  <si>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</si>
  <si>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</si>
  <si>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</si>
  <si>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</si>
  <si>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</si>
  <si>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</si>
  <si>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</si>
  <si>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</si>
  <si>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</si>
  <si>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</si>
  <si>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</si>
  <si>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</si>
  <si>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</si>
  <si>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</si>
  <si>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</si>
  <si>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</si>
  <si>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</si>
  <si>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</si>
  <si>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</si>
  <si>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</si>
  <si>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</si>
  <si>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</si>
  <si>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</si>
  <si>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</si>
  <si>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</si>
  <si>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</si>
  <si>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</si>
  <si>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</si>
  <si>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</si>
  <si>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</si>
  <si>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</si>
  <si>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</si>
  <si>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</si>
  <si>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</si>
  <si>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</si>
  <si>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</si>
  <si>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</si>
  <si>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</si>
  <si>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</si>
  <si>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</si>
  <si>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</si>
  <si>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</si>
  <si>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</si>
  <si>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</si>
  <si>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</si>
  <si>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</si>
  <si>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</si>
  <si>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</si>
  <si>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</si>
  <si>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</si>
  <si>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</si>
  <si>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</si>
  <si>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</si>
  <si>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</si>
  <si>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</si>
  <si>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</si>
  <si>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</si>
  <si>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</si>
  <si>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</si>
  <si>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</si>
  <si>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</si>
  <si>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</si>
  <si>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</si>
  <si>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</si>
  <si>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</si>
  <si>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</si>
  <si>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</si>
  <si>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</si>
  <si>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</si>
  <si>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</si>
  <si>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</si>
  <si>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</si>
  <si>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</si>
  <si>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</si>
  <si>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</si>
  <si>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</si>
  <si>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</si>
  <si>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</si>
  <si>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</si>
  <si>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</si>
  <si>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</si>
  <si>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</si>
  <si>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</si>
  <si>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</si>
  <si>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</si>
  <si>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</si>
  <si>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</si>
  <si>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</si>
  <si>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</si>
  <si>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</si>
  <si>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</si>
  <si>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</si>
  <si>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</si>
  <si>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</si>
  <si>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</si>
  <si>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</si>
  <si>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</si>
  <si>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</si>
  <si>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</si>
  <si>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</si>
  <si>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</si>
  <si>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</si>
  <si>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</si>
  <si>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</si>
  <si>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</si>
  <si>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</si>
  <si>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</si>
  <si>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</si>
  <si>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</si>
  <si>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</si>
  <si>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</si>
  <si>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</si>
  <si>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</si>
  <si>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</si>
  <si>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</si>
  <si>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</si>
  <si>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</si>
  <si>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</si>
  <si>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</si>
  <si>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</si>
  <si>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</si>
  <si>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</si>
  <si>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</si>
  <si>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</si>
  <si>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</si>
  <si>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</si>
  <si>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</si>
  <si>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</si>
  <si>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</si>
  <si>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</si>
  <si>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</si>
  <si>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</si>
  <si>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</si>
  <si>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</si>
  <si>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</si>
  <si>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</si>
  <si>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</si>
  <si>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</si>
  <si>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</si>
  <si>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</si>
  <si>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</si>
  <si>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</si>
  <si>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</si>
  <si>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</si>
  <si>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</si>
  <si>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</si>
  <si>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</si>
  <si>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</si>
  <si>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</si>
  <si>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</si>
  <si>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</si>
  <si>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</si>
  <si>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</si>
  <si>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</si>
  <si>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</si>
  <si>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</si>
  <si>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</si>
  <si>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</si>
  <si>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</si>
  <si>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</si>
  <si>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</si>
  <si>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</si>
  <si>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</si>
  <si>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</si>
  <si>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</si>
  <si>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</si>
  <si>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</si>
  <si>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</si>
  <si>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</si>
  <si>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</si>
  <si>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</si>
  <si>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</si>
  <si>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</si>
  <si>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</si>
  <si>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</si>
  <si>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</si>
  <si>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</si>
  <si>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</si>
  <si>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</si>
  <si>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</si>
  <si>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</si>
  <si>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</si>
  <si>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</si>
  <si>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</si>
  <si>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</si>
  <si>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</si>
  <si>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</si>
  <si>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</si>
  <si>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</si>
  <si>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</si>
  <si>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</si>
  <si>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</si>
  <si>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</si>
  <si>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</si>
  <si>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</si>
  <si>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</si>
  <si>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</si>
  <si>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</si>
  <si>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</si>
  <si>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</si>
  <si>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</si>
  <si>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</si>
  <si>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</si>
  <si>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</si>
  <si>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</si>
  <si>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</si>
  <si>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</si>
  <si>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</si>
  <si>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</si>
  <si>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</si>
  <si>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</si>
  <si>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</si>
  <si>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</si>
  <si>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</si>
  <si>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</si>
  <si>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</si>
  <si>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</si>
  <si>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</si>
  <si>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</si>
  <si>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</si>
  <si>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</si>
  <si>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</si>
  <si>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</si>
  <si>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</si>
  <si>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</si>
  <si>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</si>
  <si>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</si>
  <si>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</si>
  <si>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</si>
  <si>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</si>
  <si>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</si>
  <si>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</si>
  <si>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</si>
  <si>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</si>
  <si>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</si>
  <si>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</si>
  <si>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</si>
  <si>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</si>
  <si>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</si>
  <si>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</si>
  <si>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</si>
  <si>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</si>
  <si>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</si>
  <si>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</si>
  <si>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</si>
  <si>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</si>
  <si>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</si>
  <si>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</si>
  <si>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</si>
  <si>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</si>
  <si>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</si>
  <si>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</si>
  <si>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</si>
  <si>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</si>
  <si>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</si>
  <si>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</si>
  <si>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</si>
  <si>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</si>
  <si>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</si>
  <si>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</si>
  <si>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</si>
  <si>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</si>
  <si>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</si>
  <si>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</si>
  <si>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</si>
  <si>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</si>
  <si>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</si>
  <si>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</si>
  <si>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</si>
  <si>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</si>
  <si>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</si>
  <si>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</si>
  <si>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</si>
  <si>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</si>
  <si>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</si>
  <si>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</si>
  <si>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</si>
  <si>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</si>
  <si>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</si>
  <si>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</si>
  <si>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</si>
  <si>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</si>
  <si>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</si>
  <si>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</si>
  <si>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</si>
  <si>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</si>
  <si>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</si>
  <si>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</si>
  <si>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</si>
  <si>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</si>
  <si>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</si>
  <si>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</si>
  <si>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</si>
  <si>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</si>
  <si>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</si>
  <si>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</si>
  <si>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</si>
  <si>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</si>
  <si>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</si>
  <si>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</si>
  <si>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</si>
  <si>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</si>
  <si>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</si>
  <si>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</si>
  <si>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</si>
  <si>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</si>
  <si>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</si>
  <si>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</si>
  <si>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</si>
  <si>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</si>
  <si>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</si>
  <si>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</si>
  <si>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</si>
  <si>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</si>
  <si>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</si>
  <si>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</si>
  <si>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</si>
  <si>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</si>
  <si>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</si>
  <si>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</si>
  <si>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</si>
  <si>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</si>
  <si>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</si>
  <si>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</si>
  <si>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</si>
  <si>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</si>
  <si>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</si>
  <si>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</si>
  <si>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</si>
  <si>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</si>
  <si>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</si>
  <si>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</si>
  <si>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</si>
  <si>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</si>
  <si>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</si>
  <si>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</si>
  <si>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</si>
  <si>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</si>
  <si>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</si>
  <si>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</si>
  <si>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</si>
  <si>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</si>
  <si>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</si>
  <si>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</si>
  <si>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</si>
  <si>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</si>
  <si>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</si>
  <si>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</si>
  <si>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</si>
  <si>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</si>
  <si>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</si>
  <si>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</si>
  <si>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</si>
  <si>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</si>
  <si>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</si>
  <si>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</si>
  <si>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</si>
  <si>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</si>
  <si>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</si>
  <si>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</si>
  <si>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</si>
  <si>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</si>
  <si>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</si>
  <si>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</si>
  <si>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</si>
  <si>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</si>
  <si>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</si>
  <si>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</si>
  <si>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</si>
  <si>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</si>
  <si>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</si>
  <si>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</si>
  <si>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</si>
  <si>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</si>
  <si>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</si>
  <si>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</si>
  <si>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</si>
  <si>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</si>
  <si>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</si>
  <si>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</si>
  <si>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</si>
  <si>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</si>
  <si>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</si>
  <si>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</si>
  <si>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</si>
  <si>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</si>
  <si>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</si>
  <si>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</si>
  <si>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</si>
  <si>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</si>
  <si>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</si>
  <si>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</si>
  <si>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</si>
  <si>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</si>
  <si>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</si>
  <si>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</si>
  <si>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</si>
  <si>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</si>
  <si>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</si>
  <si>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</si>
  <si>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</si>
  <si>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</si>
  <si>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</si>
  <si>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</si>
  <si>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</si>
  <si>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</si>
  <si>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</si>
  <si>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</si>
  <si>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</si>
  <si>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</si>
  <si>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</si>
  <si>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</si>
  <si>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</si>
  <si>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</si>
  <si>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</si>
  <si>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</si>
  <si>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</si>
  <si>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</si>
  <si>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</si>
  <si>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</si>
  <si>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</si>
  <si>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</si>
  <si>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</si>
  <si>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</si>
  <si>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</si>
  <si>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</si>
  <si>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</si>
  <si>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</si>
  <si>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</si>
  <si>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</si>
  <si>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</si>
  <si>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</si>
  <si>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</si>
  <si>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</si>
  <si>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</si>
  <si>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</si>
  <si>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</si>
  <si>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</si>
  <si>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</si>
  <si>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</si>
  <si>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</si>
  <si>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</si>
  <si>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</si>
  <si>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</si>
  <si>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</si>
  <si>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</si>
  <si>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</si>
  <si>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</si>
  <si>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</si>
  <si>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</si>
  <si>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</si>
  <si>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</si>
  <si>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</si>
  <si>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</si>
  <si>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</si>
  <si>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</si>
  <si>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</si>
  <si>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</si>
  <si>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</si>
  <si>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</si>
  <si>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</si>
  <si>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</si>
  <si>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</si>
  <si>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</si>
  <si>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</si>
  <si>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</si>
  <si>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</si>
  <si>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</si>
  <si>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</si>
  <si>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</si>
  <si>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</si>
  <si>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</si>
  <si>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</si>
  <si>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</si>
  <si>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</si>
  <si>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</si>
  <si>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</si>
  <si>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</si>
  <si>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</si>
  <si>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</si>
  <si>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</si>
  <si>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</si>
  <si>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</si>
  <si>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</si>
  <si>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</si>
  <si>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</si>
  <si>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</si>
  <si>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</si>
  <si>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</si>
  <si>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</si>
  <si>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</si>
  <si>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</si>
  <si>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</si>
  <si>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</si>
  <si>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</si>
  <si>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</si>
  <si>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</si>
  <si>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</si>
  <si>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</si>
  <si>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</si>
  <si>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</si>
  <si>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</si>
  <si>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</si>
  <si>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</si>
  <si>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</si>
  <si>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</si>
  <si>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</si>
  <si>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</si>
  <si>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</si>
  <si>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</si>
  <si>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</si>
  <si>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</si>
  <si>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</si>
  <si>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</si>
  <si>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</si>
  <si>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</si>
  <si>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</si>
  <si>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</si>
  <si>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</si>
  <si>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</si>
  <si>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</si>
  <si>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</si>
  <si>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</si>
  <si>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</si>
  <si>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</si>
  <si>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</si>
  <si>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</si>
  <si>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</si>
  <si>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</si>
  <si>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</si>
  <si>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</si>
  <si>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</si>
  <si>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</si>
  <si>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</si>
  <si>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</si>
  <si>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</si>
  <si>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</si>
  <si>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</si>
  <si>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</si>
  <si>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r>
      <rPr>
        <i/>
        <sz val="11"/>
        <color theme="1"/>
        <rFont val="Calibre"/>
      </rPr>
      <t xml:space="preserve">1003 </t>
    </r>
    <r>
      <rPr>
        <sz val="11"/>
        <color theme="1"/>
        <rFont val="Calibre"/>
      </rPr>
      <t xml:space="preserve">Trading Days? (From: </t>
    </r>
    <r>
      <rPr>
        <i/>
        <sz val="11"/>
        <color theme="1"/>
        <rFont val="Calibre"/>
      </rPr>
      <t>10/11/2022 - 10/11/2026</t>
    </r>
    <r>
      <rPr>
        <sz val="11"/>
        <color theme="1"/>
        <rFont val="Calibre"/>
      </rPr>
      <t>)</t>
    </r>
  </si>
  <si>
    <t>PODD Historical Returns</t>
  </si>
  <si>
    <t>More</t>
  </si>
  <si>
    <t xml:space="preserve">Institutional Ownership Snapshot </t>
  </si>
  <si>
    <t xml:space="preserve">General Notes/Observations </t>
  </si>
  <si>
    <t xml:space="preserve">Financial Stmts. Notes/Observations </t>
  </si>
  <si>
    <t>Revenue Breakdown by Segment</t>
  </si>
  <si>
    <t>Q2'26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</si>
</sst>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u/>
      <sz val="11"/>
      <color rgb="FF00B0F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65" fontId="2" fillId="0" borderId="0" xfId="1" applyNumberFormat="1" applyFont="1"/>
    <xf numFmtId="0" fontId="17" fillId="0" borderId="0" xfId="2" applyFont="1"/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43" fontId="2" fillId="0" borderId="0" xfId="3" applyFont="1"/>
    <xf numFmtId="164" fontId="3" fillId="0" borderId="0" xfId="0" applyNumberFormat="1" applyFont="1"/>
    <xf numFmtId="164" fontId="2" fillId="0" borderId="0" xfId="0" applyNumberFormat="1" applyFont="1"/>
    <xf numFmtId="1" fontId="13" fillId="0" borderId="0" xfId="0" applyNumberFormat="1" applyFont="1"/>
    <xf numFmtId="164" fontId="13" fillId="0" borderId="0" xfId="0" applyNumberFormat="1" applyFont="1"/>
    <xf numFmtId="164" fontId="12" fillId="0" borderId="0" xfId="0" applyNumberFormat="1" applyFont="1"/>
    <xf numFmtId="165" fontId="13" fillId="0" borderId="0" xfId="1" applyNumberFormat="1" applyFont="1"/>
    <xf numFmtId="43" fontId="13" fillId="0" borderId="0" xfId="3" applyFont="1"/>
    <xf numFmtId="0" fontId="18" fillId="0" borderId="0" xfId="4"/>
    <xf numFmtId="4" fontId="18" fillId="0" borderId="0" xfId="4" applyNumberFormat="1"/>
    <xf numFmtId="3" fontId="18" fillId="0" borderId="0" xfId="4" applyNumberForma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65" fontId="3" fillId="0" borderId="0" xfId="1" applyNumberFormat="1" applyFont="1"/>
    <xf numFmtId="165" fontId="13" fillId="0" borderId="0" xfId="0" applyNumberFormat="1" applyFont="1"/>
    <xf numFmtId="165" fontId="12" fillId="0" borderId="0" xfId="0" applyNumberFormat="1" applyFont="1"/>
    <xf numFmtId="0" fontId="13" fillId="0" borderId="0" xfId="0" applyFont="1" applyAlignment="1">
      <alignment horizontal="center"/>
    </xf>
  </cellXfs>
  <cellStyles count="5">
    <cellStyle name="Comma" xfId="3" builtinId="3"/>
    <cellStyle name="Hyperlink" xfId="2" builtinId="8"/>
    <cellStyle name="Normal" xfId="0" builtinId="0"/>
    <cellStyle name="Normal 2" xfId="4" xr:uid="{8980C96D-2BEF-471F-919D-4D24DC0EDD23}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(PODD)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Model!$B$4</c:f>
              <c:strCache>
                <c:ptCount val="1"/>
                <c:pt idx="0">
                  <c:v>Omnipod Products</c:v>
                </c:pt>
              </c:strCache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Model!$AQ$1:$BL$1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Model!$AQ$4:$BL$4</c:f>
              <c:numCache>
                <c:formatCode>0.0</c:formatCode>
                <c:ptCount val="22"/>
                <c:pt idx="0">
                  <c:v>233.2</c:v>
                </c:pt>
                <c:pt idx="1">
                  <c:v>242.1</c:v>
                </c:pt>
                <c:pt idx="2">
                  <c:v>260.3</c:v>
                </c:pt>
                <c:pt idx="3">
                  <c:v>275.80000000000007</c:v>
                </c:pt>
                <c:pt idx="4">
                  <c:v>269.5</c:v>
                </c:pt>
                <c:pt idx="5">
                  <c:v>285.8</c:v>
                </c:pt>
                <c:pt idx="6">
                  <c:v>326.10000000000002</c:v>
                </c:pt>
                <c:pt idx="7">
                  <c:v>366.4</c:v>
                </c:pt>
                <c:pt idx="8">
                  <c:v>357.6</c:v>
                </c:pt>
                <c:pt idx="9">
                  <c:v>380.5</c:v>
                </c:pt>
                <c:pt idx="10">
                  <c:v>422</c:v>
                </c:pt>
                <c:pt idx="11">
                  <c:v>501</c:v>
                </c:pt>
                <c:pt idx="12">
                  <c:v>433</c:v>
                </c:pt>
                <c:pt idx="13">
                  <c:v>480.4</c:v>
                </c:pt>
                <c:pt idx="14">
                  <c:v>533.5</c:v>
                </c:pt>
                <c:pt idx="15">
                  <c:v>585.79999999999995</c:v>
                </c:pt>
                <c:pt idx="16">
                  <c:v>554</c:v>
                </c:pt>
                <c:pt idx="17">
                  <c:v>639</c:v>
                </c:pt>
                <c:pt idx="18">
                  <c:v>699.2</c:v>
                </c:pt>
                <c:pt idx="19">
                  <c:v>781.8</c:v>
                </c:pt>
                <c:pt idx="20">
                  <c:v>758.4</c:v>
                </c:pt>
                <c:pt idx="21">
                  <c:v>795.9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1"/>
          <c:tx>
            <c:strRef>
              <c:f>Model!$B$5</c:f>
              <c:strCache>
                <c:ptCount val="1"/>
                <c:pt idx="0">
                  <c:v>Drug Delivery </c:v>
                </c:pt>
              </c:strCache>
            </c:strRef>
          </c:tx>
          <c:spPr>
            <a:solidFill>
              <a:srgbClr val="5B9BD5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Model!$AQ$1:$BL$1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Model!$AQ$5:$BL$5</c:f>
              <c:numCache>
                <c:formatCode>0.0</c:formatCode>
                <c:ptCount val="22"/>
                <c:pt idx="0">
                  <c:v>19.100000000000001</c:v>
                </c:pt>
                <c:pt idx="1">
                  <c:v>21.1</c:v>
                </c:pt>
                <c:pt idx="2">
                  <c:v>15.3</c:v>
                </c:pt>
                <c:pt idx="3">
                  <c:v>31.900000000000006</c:v>
                </c:pt>
                <c:pt idx="4">
                  <c:v>25.9</c:v>
                </c:pt>
                <c:pt idx="5">
                  <c:v>13.6</c:v>
                </c:pt>
                <c:pt idx="6">
                  <c:v>14.7</c:v>
                </c:pt>
                <c:pt idx="7">
                  <c:v>3.2999999999999972</c:v>
                </c:pt>
                <c:pt idx="8">
                  <c:v>0.5</c:v>
                </c:pt>
                <c:pt idx="9">
                  <c:v>16</c:v>
                </c:pt>
                <c:pt idx="10">
                  <c:v>10.7</c:v>
                </c:pt>
                <c:pt idx="11">
                  <c:v>8.8000000000000007</c:v>
                </c:pt>
                <c:pt idx="12">
                  <c:v>8.6999999999999993</c:v>
                </c:pt>
                <c:pt idx="13">
                  <c:v>8.1</c:v>
                </c:pt>
                <c:pt idx="14">
                  <c:v>10.3</c:v>
                </c:pt>
                <c:pt idx="15">
                  <c:v>11.8</c:v>
                </c:pt>
                <c:pt idx="16">
                  <c:v>14.9</c:v>
                </c:pt>
                <c:pt idx="17">
                  <c:v>10.199999999999999</c:v>
                </c:pt>
                <c:pt idx="18">
                  <c:v>7.1</c:v>
                </c:pt>
                <c:pt idx="19">
                  <c:v>1.8999999999999986</c:v>
                </c:pt>
                <c:pt idx="20">
                  <c:v>3.3</c:v>
                </c:pt>
                <c:pt idx="21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(PODD)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Model!$AQ$41:$BL$41</c:f>
              <c:numCache>
                <c:formatCode>0.0</c:formatCode>
                <c:ptCount val="22"/>
                <c:pt idx="0">
                  <c:v>1.1379786002407855E-14</c:v>
                </c:pt>
                <c:pt idx="1">
                  <c:v>-25.000000000000021</c:v>
                </c:pt>
                <c:pt idx="2">
                  <c:v>12.600000000000017</c:v>
                </c:pt>
                <c:pt idx="3">
                  <c:v>29.199999999999992</c:v>
                </c:pt>
                <c:pt idx="4">
                  <c:v>27.800000000000004</c:v>
                </c:pt>
                <c:pt idx="5">
                  <c:v>-34.999999999999957</c:v>
                </c:pt>
                <c:pt idx="6">
                  <c:v>-5.199999999999994</c:v>
                </c:pt>
                <c:pt idx="7">
                  <c:v>17.00000000000006</c:v>
                </c:pt>
                <c:pt idx="8">
                  <c:v>25.400000000000045</c:v>
                </c:pt>
                <c:pt idx="9">
                  <c:v>29.699999999999992</c:v>
                </c:pt>
                <c:pt idx="10">
                  <c:v>55.399999999999956</c:v>
                </c:pt>
                <c:pt idx="11">
                  <c:v>95.799999999999955</c:v>
                </c:pt>
                <c:pt idx="12">
                  <c:v>58.299999999999976</c:v>
                </c:pt>
                <c:pt idx="13">
                  <c:v>-86.400000000000034</c:v>
                </c:pt>
                <c:pt idx="14">
                  <c:v>88.099999999999952</c:v>
                </c:pt>
                <c:pt idx="15">
                  <c:v>358.2999999999999</c:v>
                </c:pt>
                <c:pt idx="16">
                  <c:v>35.399999999999991</c:v>
                </c:pt>
                <c:pt idx="17">
                  <c:v>22.500000000000036</c:v>
                </c:pt>
                <c:pt idx="18">
                  <c:v>87.600000000000094</c:v>
                </c:pt>
                <c:pt idx="19">
                  <c:v>101.59999999999977</c:v>
                </c:pt>
                <c:pt idx="20">
                  <c:v>91.100000000000023</c:v>
                </c:pt>
                <c:pt idx="21">
                  <c:v>94.999999999999929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Model!$AQ$83:$BL$83</c:f>
              <c:numCache>
                <c:formatCode>0.0</c:formatCode>
                <c:ptCount val="22"/>
                <c:pt idx="0">
                  <c:v>-67.900000000000006</c:v>
                </c:pt>
                <c:pt idx="1">
                  <c:v>-1.6999999999999993</c:v>
                </c:pt>
                <c:pt idx="2">
                  <c:v>-53.1</c:v>
                </c:pt>
                <c:pt idx="3">
                  <c:v>-68.099999999999994</c:v>
                </c:pt>
                <c:pt idx="4">
                  <c:v>-29.6</c:v>
                </c:pt>
                <c:pt idx="5">
                  <c:v>6.1999999999999993</c:v>
                </c:pt>
                <c:pt idx="6">
                  <c:v>22.800000000000004</c:v>
                </c:pt>
                <c:pt idx="7">
                  <c:v>-16.200000000000003</c:v>
                </c:pt>
                <c:pt idx="8">
                  <c:v>-11.5</c:v>
                </c:pt>
                <c:pt idx="9">
                  <c:v>25.9</c:v>
                </c:pt>
                <c:pt idx="10">
                  <c:v>34.4</c:v>
                </c:pt>
                <c:pt idx="11">
                  <c:v>12.899999999999999</c:v>
                </c:pt>
                <c:pt idx="12">
                  <c:v>63.599999999999994</c:v>
                </c:pt>
                <c:pt idx="13">
                  <c:v>62.000000000000007</c:v>
                </c:pt>
                <c:pt idx="14">
                  <c:v>79</c:v>
                </c:pt>
                <c:pt idx="15">
                  <c:v>91.800000000000011</c:v>
                </c:pt>
                <c:pt idx="16">
                  <c:v>48.2</c:v>
                </c:pt>
                <c:pt idx="17">
                  <c:v>173.20000000000002</c:v>
                </c:pt>
                <c:pt idx="18">
                  <c:v>94.6</c:v>
                </c:pt>
                <c:pt idx="19">
                  <c:v>42.5</c:v>
                </c:pt>
                <c:pt idx="20">
                  <c:v>86</c:v>
                </c:pt>
                <c:pt idx="21">
                  <c:v>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Model!$AQ$1:$BL$1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Model!$AQ$29:$BL$29</c:f>
              <c:numCache>
                <c:formatCode>0.0</c:formatCode>
                <c:ptCount val="22"/>
                <c:pt idx="0">
                  <c:v>252.3</c:v>
                </c:pt>
                <c:pt idx="1">
                  <c:v>263.2</c:v>
                </c:pt>
                <c:pt idx="2">
                  <c:v>275.60000000000002</c:v>
                </c:pt>
                <c:pt idx="3">
                  <c:v>307.7</c:v>
                </c:pt>
                <c:pt idx="4">
                  <c:v>295.39999999999998</c:v>
                </c:pt>
                <c:pt idx="5">
                  <c:v>299.40000000000003</c:v>
                </c:pt>
                <c:pt idx="6">
                  <c:v>340.8</c:v>
                </c:pt>
                <c:pt idx="7">
                  <c:v>369.7</c:v>
                </c:pt>
                <c:pt idx="8">
                  <c:v>358.1</c:v>
                </c:pt>
                <c:pt idx="9">
                  <c:v>396.5</c:v>
                </c:pt>
                <c:pt idx="10">
                  <c:v>432.7</c:v>
                </c:pt>
                <c:pt idx="11">
                  <c:v>509.8</c:v>
                </c:pt>
                <c:pt idx="12">
                  <c:v>441.7</c:v>
                </c:pt>
                <c:pt idx="13">
                  <c:v>488.5</c:v>
                </c:pt>
                <c:pt idx="14">
                  <c:v>543.79999999999995</c:v>
                </c:pt>
                <c:pt idx="15">
                  <c:v>597.59999999999991</c:v>
                </c:pt>
                <c:pt idx="16">
                  <c:v>568.9</c:v>
                </c:pt>
                <c:pt idx="17">
                  <c:v>649.20000000000005</c:v>
                </c:pt>
                <c:pt idx="18">
                  <c:v>706.30000000000007</c:v>
                </c:pt>
                <c:pt idx="19">
                  <c:v>783.69999999999993</c:v>
                </c:pt>
                <c:pt idx="20">
                  <c:v>761.69999999999993</c:v>
                </c:pt>
                <c:pt idx="21">
                  <c:v>801.69999999999993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(PODD) 1-Day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Analysis'!$Q$209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301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Analysis'!$Q$211:$Q$267</c:f>
              <c:numCache>
                <c:formatCode>0.00%</c:formatCode>
                <c:ptCount val="57"/>
                <c:pt idx="0">
                  <c:v>-7.0000000000000021E-2</c:v>
                </c:pt>
                <c:pt idx="1">
                  <c:v>-6.7500000000000018E-2</c:v>
                </c:pt>
                <c:pt idx="2">
                  <c:v>-6.5000000000000016E-2</c:v>
                </c:pt>
                <c:pt idx="3">
                  <c:v>-6.2500000000000014E-2</c:v>
                </c:pt>
                <c:pt idx="4">
                  <c:v>-6.0000000000000019E-2</c:v>
                </c:pt>
                <c:pt idx="5">
                  <c:v>-5.7500000000000016E-2</c:v>
                </c:pt>
                <c:pt idx="6">
                  <c:v>-5.5000000000000014E-2</c:v>
                </c:pt>
                <c:pt idx="7">
                  <c:v>-5.2500000000000012E-2</c:v>
                </c:pt>
                <c:pt idx="8">
                  <c:v>-5.000000000000001E-2</c:v>
                </c:pt>
                <c:pt idx="9">
                  <c:v>-4.7500000000000007E-2</c:v>
                </c:pt>
                <c:pt idx="10">
                  <c:v>-4.5000000000000005E-2</c:v>
                </c:pt>
                <c:pt idx="11">
                  <c:v>-4.2500000000000003E-2</c:v>
                </c:pt>
                <c:pt idx="12">
                  <c:v>-0.04</c:v>
                </c:pt>
                <c:pt idx="13">
                  <c:v>-3.7499999999999999E-2</c:v>
                </c:pt>
                <c:pt idx="14">
                  <c:v>-3.4999999999999996E-2</c:v>
                </c:pt>
                <c:pt idx="15">
                  <c:v>-3.2499999999999994E-2</c:v>
                </c:pt>
                <c:pt idx="16">
                  <c:v>-2.9999999999999995E-2</c:v>
                </c:pt>
                <c:pt idx="17">
                  <c:v>-2.7499999999999997E-2</c:v>
                </c:pt>
                <c:pt idx="18">
                  <c:v>-2.4999999999999998E-2</c:v>
                </c:pt>
                <c:pt idx="19">
                  <c:v>-2.2499999999999999E-2</c:v>
                </c:pt>
                <c:pt idx="20">
                  <c:v>-0.02</c:v>
                </c:pt>
                <c:pt idx="21">
                  <c:v>-1.7500000000000002E-2</c:v>
                </c:pt>
                <c:pt idx="22">
                  <c:v>-1.5000000000000001E-2</c:v>
                </c:pt>
                <c:pt idx="23">
                  <c:v>-1.2500000000000001E-2</c:v>
                </c:pt>
                <c:pt idx="24">
                  <c:v>-0.01</c:v>
                </c:pt>
                <c:pt idx="25">
                  <c:v>-7.4999999999999997E-3</c:v>
                </c:pt>
                <c:pt idx="26">
                  <c:v>-5.0000000000000001E-3</c:v>
                </c:pt>
                <c:pt idx="27">
                  <c:v>-2.5000000000000001E-3</c:v>
                </c:pt>
                <c:pt idx="28">
                  <c:v>0</c:v>
                </c:pt>
                <c:pt idx="29">
                  <c:v>2.5000000000000001E-3</c:v>
                </c:pt>
                <c:pt idx="30">
                  <c:v>5.0000000000000001E-3</c:v>
                </c:pt>
                <c:pt idx="31">
                  <c:v>7.4999999999999997E-3</c:v>
                </c:pt>
                <c:pt idx="32">
                  <c:v>0.01</c:v>
                </c:pt>
                <c:pt idx="33">
                  <c:v>1.2500000000000001E-2</c:v>
                </c:pt>
                <c:pt idx="34">
                  <c:v>1.5000000000000001E-2</c:v>
                </c:pt>
                <c:pt idx="35">
                  <c:v>1.7500000000000002E-2</c:v>
                </c:pt>
                <c:pt idx="36">
                  <c:v>0.02</c:v>
                </c:pt>
                <c:pt idx="37">
                  <c:v>2.2499999999999999E-2</c:v>
                </c:pt>
                <c:pt idx="38">
                  <c:v>2.4999999999999998E-2</c:v>
                </c:pt>
                <c:pt idx="39">
                  <c:v>2.7499999999999997E-2</c:v>
                </c:pt>
                <c:pt idx="40">
                  <c:v>2.9999999999999995E-2</c:v>
                </c:pt>
                <c:pt idx="41">
                  <c:v>3.2499999999999994E-2</c:v>
                </c:pt>
                <c:pt idx="42">
                  <c:v>3.4999999999999996E-2</c:v>
                </c:pt>
                <c:pt idx="43">
                  <c:v>3.7499999999999999E-2</c:v>
                </c:pt>
                <c:pt idx="44">
                  <c:v>0.04</c:v>
                </c:pt>
                <c:pt idx="45">
                  <c:v>4.2500000000000003E-2</c:v>
                </c:pt>
                <c:pt idx="46">
                  <c:v>4.5000000000000005E-2</c:v>
                </c:pt>
                <c:pt idx="47">
                  <c:v>4.7500000000000007E-2</c:v>
                </c:pt>
                <c:pt idx="48">
                  <c:v>5.000000000000001E-2</c:v>
                </c:pt>
                <c:pt idx="49">
                  <c:v>5.2500000000000012E-2</c:v>
                </c:pt>
                <c:pt idx="50">
                  <c:v>5.5000000000000014E-2</c:v>
                </c:pt>
                <c:pt idx="51">
                  <c:v>5.7500000000000016E-2</c:v>
                </c:pt>
                <c:pt idx="52">
                  <c:v>6.0000000000000019E-2</c:v>
                </c:pt>
                <c:pt idx="53">
                  <c:v>6.2500000000000014E-2</c:v>
                </c:pt>
                <c:pt idx="54">
                  <c:v>6.5000000000000016E-2</c:v>
                </c:pt>
                <c:pt idx="55">
                  <c:v>6.7500000000000018E-2</c:v>
                </c:pt>
                <c:pt idx="56">
                  <c:v>7.0000000000000021E-2</c:v>
                </c:pt>
              </c:numCache>
            </c:numRef>
          </c:xVal>
          <c:yVal>
            <c:numRef>
              <c:f>'Notes | Quant Analysis'!$R$211:$R$267</c:f>
              <c:numCache>
                <c:formatCode>General</c:formatCode>
                <c:ptCount val="57"/>
                <c:pt idx="0">
                  <c:v>7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10</c:v>
                </c:pt>
                <c:pt idx="15">
                  <c:v>8</c:v>
                </c:pt>
                <c:pt idx="16">
                  <c:v>12</c:v>
                </c:pt>
                <c:pt idx="17">
                  <c:v>15</c:v>
                </c:pt>
                <c:pt idx="18">
                  <c:v>11</c:v>
                </c:pt>
                <c:pt idx="19">
                  <c:v>16</c:v>
                </c:pt>
                <c:pt idx="20">
                  <c:v>21</c:v>
                </c:pt>
                <c:pt idx="21">
                  <c:v>23</c:v>
                </c:pt>
                <c:pt idx="22">
                  <c:v>43</c:v>
                </c:pt>
                <c:pt idx="23">
                  <c:v>39</c:v>
                </c:pt>
                <c:pt idx="24">
                  <c:v>41</c:v>
                </c:pt>
                <c:pt idx="25">
                  <c:v>55</c:v>
                </c:pt>
                <c:pt idx="26">
                  <c:v>53</c:v>
                </c:pt>
                <c:pt idx="27">
                  <c:v>58</c:v>
                </c:pt>
                <c:pt idx="28">
                  <c:v>63</c:v>
                </c:pt>
                <c:pt idx="29">
                  <c:v>54</c:v>
                </c:pt>
                <c:pt idx="30">
                  <c:v>56</c:v>
                </c:pt>
                <c:pt idx="31">
                  <c:v>69</c:v>
                </c:pt>
                <c:pt idx="32">
                  <c:v>48</c:v>
                </c:pt>
                <c:pt idx="33">
                  <c:v>43</c:v>
                </c:pt>
                <c:pt idx="34">
                  <c:v>41</c:v>
                </c:pt>
                <c:pt idx="35">
                  <c:v>30</c:v>
                </c:pt>
                <c:pt idx="36">
                  <c:v>24</c:v>
                </c:pt>
                <c:pt idx="37">
                  <c:v>19</c:v>
                </c:pt>
                <c:pt idx="38">
                  <c:v>23</c:v>
                </c:pt>
                <c:pt idx="39">
                  <c:v>16</c:v>
                </c:pt>
                <c:pt idx="40">
                  <c:v>12</c:v>
                </c:pt>
                <c:pt idx="41">
                  <c:v>11</c:v>
                </c:pt>
                <c:pt idx="42">
                  <c:v>7</c:v>
                </c:pt>
                <c:pt idx="43">
                  <c:v>2</c:v>
                </c:pt>
                <c:pt idx="44">
                  <c:v>8</c:v>
                </c:pt>
                <c:pt idx="45">
                  <c:v>7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Analysis'!$T$209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Analysis'!$T$211:$T$271</c:f>
              <c:numCache>
                <c:formatCode>0.00%</c:formatCode>
                <c:ptCount val="61"/>
                <c:pt idx="0">
                  <c:v>-7.5000000000000025E-2</c:v>
                </c:pt>
                <c:pt idx="1">
                  <c:v>-7.2500000000000023E-2</c:v>
                </c:pt>
                <c:pt idx="2">
                  <c:v>-7.0000000000000021E-2</c:v>
                </c:pt>
                <c:pt idx="3">
                  <c:v>-6.7500000000000018E-2</c:v>
                </c:pt>
                <c:pt idx="4">
                  <c:v>-6.5000000000000016E-2</c:v>
                </c:pt>
                <c:pt idx="5">
                  <c:v>-6.2500000000000014E-2</c:v>
                </c:pt>
                <c:pt idx="6">
                  <c:v>-6.0000000000000019E-2</c:v>
                </c:pt>
                <c:pt idx="7">
                  <c:v>-5.7500000000000016E-2</c:v>
                </c:pt>
                <c:pt idx="8">
                  <c:v>-5.5000000000000014E-2</c:v>
                </c:pt>
                <c:pt idx="9">
                  <c:v>-5.2500000000000012E-2</c:v>
                </c:pt>
                <c:pt idx="10">
                  <c:v>-5.000000000000001E-2</c:v>
                </c:pt>
                <c:pt idx="11">
                  <c:v>-4.7500000000000007E-2</c:v>
                </c:pt>
                <c:pt idx="12">
                  <c:v>-4.5000000000000005E-2</c:v>
                </c:pt>
                <c:pt idx="13">
                  <c:v>-4.2500000000000003E-2</c:v>
                </c:pt>
                <c:pt idx="14">
                  <c:v>-0.04</c:v>
                </c:pt>
                <c:pt idx="15">
                  <c:v>-3.7499999999999999E-2</c:v>
                </c:pt>
                <c:pt idx="16">
                  <c:v>-3.4999999999999996E-2</c:v>
                </c:pt>
                <c:pt idx="17">
                  <c:v>-3.2499999999999994E-2</c:v>
                </c:pt>
                <c:pt idx="18">
                  <c:v>-2.9999999999999995E-2</c:v>
                </c:pt>
                <c:pt idx="19">
                  <c:v>-2.7499999999999997E-2</c:v>
                </c:pt>
                <c:pt idx="20">
                  <c:v>-2.4999999999999998E-2</c:v>
                </c:pt>
                <c:pt idx="21">
                  <c:v>-2.2499999999999999E-2</c:v>
                </c:pt>
                <c:pt idx="22">
                  <c:v>-0.02</c:v>
                </c:pt>
                <c:pt idx="23">
                  <c:v>-1.7500000000000002E-2</c:v>
                </c:pt>
                <c:pt idx="24">
                  <c:v>-1.5000000000000001E-2</c:v>
                </c:pt>
                <c:pt idx="25">
                  <c:v>-1.2500000000000001E-2</c:v>
                </c:pt>
                <c:pt idx="26">
                  <c:v>-0.01</c:v>
                </c:pt>
                <c:pt idx="27">
                  <c:v>-7.4999999999999997E-3</c:v>
                </c:pt>
                <c:pt idx="28">
                  <c:v>-5.0000000000000001E-3</c:v>
                </c:pt>
                <c:pt idx="29">
                  <c:v>-2.5000000000000001E-3</c:v>
                </c:pt>
                <c:pt idx="30">
                  <c:v>0</c:v>
                </c:pt>
                <c:pt idx="31">
                  <c:v>2.5000000000000001E-3</c:v>
                </c:pt>
                <c:pt idx="32">
                  <c:v>5.0000000000000001E-3</c:v>
                </c:pt>
                <c:pt idx="33">
                  <c:v>7.4999999999999997E-3</c:v>
                </c:pt>
                <c:pt idx="34">
                  <c:v>0.01</c:v>
                </c:pt>
                <c:pt idx="35">
                  <c:v>1.2500000000000001E-2</c:v>
                </c:pt>
                <c:pt idx="36">
                  <c:v>1.5000000000000001E-2</c:v>
                </c:pt>
                <c:pt idx="37">
                  <c:v>1.7500000000000002E-2</c:v>
                </c:pt>
                <c:pt idx="38">
                  <c:v>0.02</c:v>
                </c:pt>
                <c:pt idx="39">
                  <c:v>2.2499999999999999E-2</c:v>
                </c:pt>
                <c:pt idx="40">
                  <c:v>2.4999999999999998E-2</c:v>
                </c:pt>
                <c:pt idx="41">
                  <c:v>2.7499999999999997E-2</c:v>
                </c:pt>
                <c:pt idx="42">
                  <c:v>2.9999999999999995E-2</c:v>
                </c:pt>
                <c:pt idx="43">
                  <c:v>3.2499999999999994E-2</c:v>
                </c:pt>
                <c:pt idx="44">
                  <c:v>3.4999999999999996E-2</c:v>
                </c:pt>
                <c:pt idx="45">
                  <c:v>3.7499999999999999E-2</c:v>
                </c:pt>
                <c:pt idx="46">
                  <c:v>0.04</c:v>
                </c:pt>
                <c:pt idx="47">
                  <c:v>4.2500000000000003E-2</c:v>
                </c:pt>
                <c:pt idx="48">
                  <c:v>4.5000000000000005E-2</c:v>
                </c:pt>
                <c:pt idx="49">
                  <c:v>4.7500000000000007E-2</c:v>
                </c:pt>
                <c:pt idx="50">
                  <c:v>5.000000000000001E-2</c:v>
                </c:pt>
                <c:pt idx="51">
                  <c:v>5.2500000000000012E-2</c:v>
                </c:pt>
                <c:pt idx="52">
                  <c:v>5.5000000000000014E-2</c:v>
                </c:pt>
                <c:pt idx="53">
                  <c:v>5.7500000000000016E-2</c:v>
                </c:pt>
                <c:pt idx="54">
                  <c:v>6.0000000000000019E-2</c:v>
                </c:pt>
                <c:pt idx="55">
                  <c:v>6.2500000000000014E-2</c:v>
                </c:pt>
                <c:pt idx="56">
                  <c:v>6.5000000000000016E-2</c:v>
                </c:pt>
                <c:pt idx="57">
                  <c:v>6.7500000000000018E-2</c:v>
                </c:pt>
                <c:pt idx="58">
                  <c:v>7.0000000000000021E-2</c:v>
                </c:pt>
                <c:pt idx="59">
                  <c:v>7.2500000000000023E-2</c:v>
                </c:pt>
                <c:pt idx="60">
                  <c:v>7.5000000000000025E-2</c:v>
                </c:pt>
              </c:numCache>
            </c:numRef>
          </c:xVal>
          <c:yVal>
            <c:numRef>
              <c:f>'Notes | Quant Analysis'!$U$211:$U$271</c:f>
              <c:numCache>
                <c:formatCode>General</c:formatCode>
                <c:ptCount val="61"/>
                <c:pt idx="0">
                  <c:v>4.1135155165814653E-2</c:v>
                </c:pt>
                <c:pt idx="1">
                  <c:v>6.1784757139094315E-2</c:v>
                </c:pt>
                <c:pt idx="2">
                  <c:v>9.1512953708418845E-2</c:v>
                </c:pt>
                <c:pt idx="3">
                  <c:v>0.13366473054624112</c:v>
                </c:pt>
                <c:pt idx="4">
                  <c:v>0.1925236587545886</c:v>
                </c:pt>
                <c:pt idx="5">
                  <c:v>0.27345408206952698</c:v>
                </c:pt>
                <c:pt idx="6">
                  <c:v>0.38301672651180912</c:v>
                </c:pt>
                <c:pt idx="7">
                  <c:v>0.5290346218302957</c:v>
                </c:pt>
                <c:pt idx="8">
                  <c:v>0.72058210764091157</c:v>
                </c:pt>
                <c:pt idx="9">
                  <c:v>0.96786743728387781</c:v>
                </c:pt>
                <c:pt idx="10">
                  <c:v>1.2819801729556262</c:v>
                </c:pt>
                <c:pt idx="11">
                  <c:v>1.6744792230590144</c:v>
                </c:pt>
                <c:pt idx="12">
                  <c:v>2.1568067943868261</c:v>
                </c:pt>
                <c:pt idx="13">
                  <c:v>2.7395280266775548</c:v>
                </c:pt>
                <c:pt idx="14">
                  <c:v>3.431415255675422</c:v>
                </c:pt>
                <c:pt idx="15">
                  <c:v>4.2384184625952415</c:v>
                </c:pt>
                <c:pt idx="16">
                  <c:v>5.1625873487975369</c:v>
                </c:pt>
                <c:pt idx="17">
                  <c:v>6.201032648664774</c:v>
                </c:pt>
                <c:pt idx="18">
                  <c:v>7.3450312542241845</c:v>
                </c:pt>
                <c:pt idx="19">
                  <c:v>8.5793878870003795</c:v>
                </c:pt>
                <c:pt idx="20">
                  <c:v>9.8821623326966073</c:v>
                </c:pt>
                <c:pt idx="21">
                  <c:v>11.224853694445896</c:v>
                </c:pt>
                <c:pt idx="22">
                  <c:v>12.573101442276107</c:v>
                </c:pt>
                <c:pt idx="23">
                  <c:v>13.887919006572245</c:v>
                </c:pt>
                <c:pt idx="24">
                  <c:v>15.127423161628137</c:v>
                </c:pt>
                <c:pt idx="25">
                  <c:v>16.248967173359148</c:v>
                </c:pt>
                <c:pt idx="26">
                  <c:v>17.211534512062318</c:v>
                </c:pt>
                <c:pt idx="27">
                  <c:v>17.978209949511839</c:v>
                </c:pt>
                <c:pt idx="28">
                  <c:v>18.518522291662162</c:v>
                </c:pt>
                <c:pt idx="29">
                  <c:v>18.810452136932735</c:v>
                </c:pt>
                <c:pt idx="30">
                  <c:v>18.841920436327786</c:v>
                </c:pt>
                <c:pt idx="31">
                  <c:v>18.611617634950029</c:v>
                </c:pt>
                <c:pt idx="32">
                  <c:v>18.129094080675682</c:v>
                </c:pt>
                <c:pt idx="33">
                  <c:v>17.414103002031656</c:v>
                </c:pt>
                <c:pt idx="34">
                  <c:v>16.495259044535366</c:v>
                </c:pt>
                <c:pt idx="35">
                  <c:v>15.408139313378282</c:v>
                </c:pt>
                <c:pt idx="36">
                  <c:v>14.193002454515554</c:v>
                </c:pt>
                <c:pt idx="37">
                  <c:v>12.892329135347687</c:v>
                </c:pt>
                <c:pt idx="38">
                  <c:v>11.548391963762434</c:v>
                </c:pt>
                <c:pt idx="39">
                  <c:v>10.201045212430323</c:v>
                </c:pt>
                <c:pt idx="40">
                  <c:v>8.8858883905885779</c:v>
                </c:pt>
                <c:pt idx="41">
                  <c:v>7.632908579209909</c:v>
                </c:pt>
                <c:pt idx="42">
                  <c:v>6.465651503362877</c:v>
                </c:pt>
                <c:pt idx="43">
                  <c:v>5.4009175747373925</c:v>
                </c:pt>
                <c:pt idx="44">
                  <c:v>4.4489326508278495</c:v>
                </c:pt>
                <c:pt idx="45">
                  <c:v>3.613908381669114</c:v>
                </c:pt>
                <c:pt idx="46">
                  <c:v>2.8948860291904936</c:v>
                </c:pt>
                <c:pt idx="47">
                  <c:v>2.2867507356336136</c:v>
                </c:pt>
                <c:pt idx="48">
                  <c:v>1.7813087845801057</c:v>
                </c:pt>
                <c:pt idx="49">
                  <c:v>1.3683355708245384</c:v>
                </c:pt>
                <c:pt idx="50">
                  <c:v>1.036523252649473</c:v>
                </c:pt>
                <c:pt idx="51">
                  <c:v>0.77428082936888942</c:v>
                </c:pt>
                <c:pt idx="52">
                  <c:v>0.57036253294893624</c:v>
                </c:pt>
                <c:pt idx="53">
                  <c:v>0.4143205709978881</c:v>
                </c:pt>
                <c:pt idx="54">
                  <c:v>0.29679393995149594</c:v>
                </c:pt>
                <c:pt idx="55">
                  <c:v>0.20965565776108025</c:v>
                </c:pt>
                <c:pt idx="56">
                  <c:v>0.14604650534171715</c:v>
                </c:pt>
                <c:pt idx="57">
                  <c:v>0.10032490963809799</c:v>
                </c:pt>
                <c:pt idx="58">
                  <c:v>6.7960945150056504E-2</c:v>
                </c:pt>
                <c:pt idx="59">
                  <c:v>4.5398663523431367E-2</c:v>
                </c:pt>
                <c:pt idx="60">
                  <c:v>2.9906097919919106E-2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Analysis'!$W$211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2752332053903764E-2"/>
                  <c:y val="-2.96672723601857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81522712144013"/>
                      <c:h val="7.74484151019584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Analysis'!$X$211:$X$212</c:f>
              <c:numCache>
                <c:formatCode>0.00%</c:formatCode>
                <c:ptCount val="2"/>
                <c:pt idx="0">
                  <c:v>-9.5086781574553383E-4</c:v>
                </c:pt>
                <c:pt idx="1">
                  <c:v>-9.5086781574553383E-4</c:v>
                </c:pt>
              </c:numCache>
            </c:numRef>
          </c:xVal>
          <c:yVal>
            <c:numRef>
              <c:f>'Notes | Quant Analysis'!$Y$211:$Y$212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Analysis'!$W$213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Analysis'!$X$213:$X$214</c:f>
              <c:numCache>
                <c:formatCode>0.00%</c:formatCode>
                <c:ptCount val="2"/>
                <c:pt idx="0">
                  <c:v>-6.440608264060442E-2</c:v>
                </c:pt>
                <c:pt idx="1">
                  <c:v>-6.440608264060442E-2</c:v>
                </c:pt>
              </c:numCache>
            </c:numRef>
          </c:xVal>
          <c:yVal>
            <c:numRef>
              <c:f>'Notes | Quant Analysis'!$Y$213:$Y$214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Analysis'!$W$215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Analysis'!$X$215:$X$216</c:f>
              <c:numCache>
                <c:formatCode>0.00%</c:formatCode>
                <c:ptCount val="2"/>
                <c:pt idx="0">
                  <c:v>-4.3254344365651461E-2</c:v>
                </c:pt>
                <c:pt idx="1">
                  <c:v>-4.3254344365651461E-2</c:v>
                </c:pt>
              </c:numCache>
            </c:numRef>
          </c:xVal>
          <c:yVal>
            <c:numRef>
              <c:f>'Notes | Quant Analysis'!$Y$215:$Y$216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Analysis'!$W$217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Analysis'!$X$217:$X$218</c:f>
              <c:numCache>
                <c:formatCode>0.00%</c:formatCode>
                <c:ptCount val="2"/>
                <c:pt idx="0">
                  <c:v>-2.2102606090698498E-2</c:v>
                </c:pt>
                <c:pt idx="1">
                  <c:v>-2.2102606090698498E-2</c:v>
                </c:pt>
              </c:numCache>
            </c:numRef>
          </c:xVal>
          <c:yVal>
            <c:numRef>
              <c:f>'Notes | Quant Analysis'!$Y$217:$Y$218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Analysis'!$W$219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Analysis'!$X$219:$X$220</c:f>
              <c:numCache>
                <c:formatCode>0.00%</c:formatCode>
                <c:ptCount val="2"/>
                <c:pt idx="0">
                  <c:v>2.0200870459207428E-2</c:v>
                </c:pt>
                <c:pt idx="1">
                  <c:v>2.0200870459207428E-2</c:v>
                </c:pt>
              </c:numCache>
            </c:numRef>
          </c:xVal>
          <c:yVal>
            <c:numRef>
              <c:f>'Notes | Quant Analysis'!$Y$219:$Y$220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Analysis'!$W$221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Analysis'!$X$221:$X$222</c:f>
              <c:numCache>
                <c:formatCode>0.00%</c:formatCode>
                <c:ptCount val="2"/>
                <c:pt idx="0">
                  <c:v>4.1352608734160391E-2</c:v>
                </c:pt>
                <c:pt idx="1">
                  <c:v>4.1352608734160391E-2</c:v>
                </c:pt>
              </c:numCache>
            </c:numRef>
          </c:xVal>
          <c:yVal>
            <c:numRef>
              <c:f>'Notes | Quant Analysis'!$Y$221:$Y$222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Analysis'!$W$223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Analysis'!$X$223:$X$224</c:f>
              <c:numCache>
                <c:formatCode>0.00%</c:formatCode>
                <c:ptCount val="2"/>
                <c:pt idx="0">
                  <c:v>6.2504347009113351E-2</c:v>
                </c:pt>
                <c:pt idx="1">
                  <c:v>6.2504347009113351E-2</c:v>
                </c:pt>
              </c:numCache>
            </c:numRef>
          </c:xVal>
          <c:yVal>
            <c:numRef>
              <c:f>'Notes | Quant Analysis'!$Y$223:$Y$224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8.0000000000000016E-2"/>
          <c:min val="-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(PODD)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Model!$BS$41:$CG$41</c:f>
              <c:numCache>
                <c:formatCode>0.0</c:formatCode>
                <c:ptCount val="15"/>
                <c:pt idx="0">
                  <c:v>-45.704000000000001</c:v>
                </c:pt>
                <c:pt idx="1">
                  <c:v>-51.867000000000004</c:v>
                </c:pt>
                <c:pt idx="2">
                  <c:v>-44.974000000000004</c:v>
                </c:pt>
                <c:pt idx="3">
                  <c:v>-47.936999999999998</c:v>
                </c:pt>
                <c:pt idx="4">
                  <c:v>-61.60199999999999</c:v>
                </c:pt>
                <c:pt idx="5">
                  <c:v>-27.209999999999994</c:v>
                </c:pt>
                <c:pt idx="6">
                  <c:v>-26.799999999999976</c:v>
                </c:pt>
                <c:pt idx="7">
                  <c:v>3.2999999999999776</c:v>
                </c:pt>
                <c:pt idx="8">
                  <c:v>11.6</c:v>
                </c:pt>
                <c:pt idx="9">
                  <c:v>6.7999999999999687</c:v>
                </c:pt>
                <c:pt idx="10">
                  <c:v>16.799999999999997</c:v>
                </c:pt>
                <c:pt idx="11">
                  <c:v>4.6000000000001133</c:v>
                </c:pt>
                <c:pt idx="12">
                  <c:v>206.29999999999995</c:v>
                </c:pt>
                <c:pt idx="13">
                  <c:v>418.29999999999978</c:v>
                </c:pt>
                <c:pt idx="14">
                  <c:v>247.09999999999988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Model!$BS$83:$CG$83</c:f>
              <c:numCache>
                <c:formatCode>0.0</c:formatCode>
                <c:ptCount val="15"/>
                <c:pt idx="0">
                  <c:v>-36.566000000000003</c:v>
                </c:pt>
                <c:pt idx="1">
                  <c:v>-40.049999999999997</c:v>
                </c:pt>
                <c:pt idx="2">
                  <c:v>-3.9590000000000001</c:v>
                </c:pt>
                <c:pt idx="3">
                  <c:v>-2.5689999999999991</c:v>
                </c:pt>
                <c:pt idx="4">
                  <c:v>-23.159999999999997</c:v>
                </c:pt>
                <c:pt idx="5">
                  <c:v>-6.2040000000000006</c:v>
                </c:pt>
                <c:pt idx="6">
                  <c:v>-32.499999999999986</c:v>
                </c:pt>
                <c:pt idx="7">
                  <c:v>-121.5</c:v>
                </c:pt>
                <c:pt idx="8">
                  <c:v>-65.3</c:v>
                </c:pt>
                <c:pt idx="9">
                  <c:v>-82.5</c:v>
                </c:pt>
                <c:pt idx="10">
                  <c:v>-190.8</c:v>
                </c:pt>
                <c:pt idx="11">
                  <c:v>-16.8</c:v>
                </c:pt>
                <c:pt idx="12">
                  <c:v>61.699999999999996</c:v>
                </c:pt>
                <c:pt idx="13">
                  <c:v>296.39999999999998</c:v>
                </c:pt>
                <c:pt idx="14">
                  <c:v>358.5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/>
          </c:spPr>
          <c:marker>
            <c:symbol val="none"/>
          </c:marker>
          <c:cat>
            <c:numRef>
              <c:f>Model!$BS$3:$CG$3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Model!$BS$29:$CG$29</c:f>
              <c:numCache>
                <c:formatCode>0.0</c:formatCode>
                <c:ptCount val="15"/>
                <c:pt idx="0">
                  <c:v>152.255</c:v>
                </c:pt>
                <c:pt idx="1">
                  <c:v>211.369</c:v>
                </c:pt>
                <c:pt idx="2">
                  <c:v>247.084</c:v>
                </c:pt>
                <c:pt idx="3">
                  <c:v>231.321</c:v>
                </c:pt>
                <c:pt idx="4">
                  <c:v>263.89300000000003</c:v>
                </c:pt>
                <c:pt idx="5">
                  <c:v>366.98899999999998</c:v>
                </c:pt>
                <c:pt idx="6">
                  <c:v>463.80000000000007</c:v>
                </c:pt>
                <c:pt idx="7">
                  <c:v>563.79999999999995</c:v>
                </c:pt>
                <c:pt idx="8">
                  <c:v>738.19999999999993</c:v>
                </c:pt>
                <c:pt idx="9">
                  <c:v>904.4</c:v>
                </c:pt>
                <c:pt idx="10">
                  <c:v>1098.8</c:v>
                </c:pt>
                <c:pt idx="11">
                  <c:v>1305.3</c:v>
                </c:pt>
                <c:pt idx="12">
                  <c:v>1697.1</c:v>
                </c:pt>
                <c:pt idx="13">
                  <c:v>2071.6</c:v>
                </c:pt>
                <c:pt idx="14">
                  <c:v>2708.1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(PODD)</a:t>
            </a:r>
            <a:r>
              <a:rPr lang="en-US" baseline="0"/>
              <a:t> Customer Mix Chart: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2492641934959"/>
          <c:y val="0.17644407257262365"/>
          <c:w val="0.82176439166326731"/>
          <c:h val="0.737995088510377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Model!$B$12</c:f>
              <c:strCache>
                <c:ptCount val="1"/>
                <c:pt idx="0">
                  <c:v>Omnipod Products % of Revenues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Model!$AQ$1:$BL$1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Model!$AQ$12:$BL$12</c:f>
              <c:numCache>
                <c:formatCode>0.0%</c:formatCode>
                <c:ptCount val="22"/>
                <c:pt idx="0">
                  <c:v>0.9242964724534285</c:v>
                </c:pt>
                <c:pt idx="1">
                  <c:v>0.91983282674772038</c:v>
                </c:pt>
                <c:pt idx="2">
                  <c:v>0.9444847605224963</c:v>
                </c:pt>
                <c:pt idx="3">
                  <c:v>0.89632759181020483</c:v>
                </c:pt>
                <c:pt idx="4">
                  <c:v>0.91232227488151663</c:v>
                </c:pt>
                <c:pt idx="5">
                  <c:v>0.95457581830327309</c:v>
                </c:pt>
                <c:pt idx="6">
                  <c:v>0.95686619718309862</c:v>
                </c:pt>
                <c:pt idx="7">
                  <c:v>0.99107384365701923</c:v>
                </c:pt>
                <c:pt idx="8">
                  <c:v>0.99860374197151636</c:v>
                </c:pt>
                <c:pt idx="9">
                  <c:v>0.95964691046658257</c:v>
                </c:pt>
                <c:pt idx="10">
                  <c:v>0.9752715507279871</c:v>
                </c:pt>
                <c:pt idx="11">
                  <c:v>0.98273832875637501</c:v>
                </c:pt>
                <c:pt idx="12">
                  <c:v>0.9803033733303147</c:v>
                </c:pt>
                <c:pt idx="13">
                  <c:v>0.98341862845445238</c:v>
                </c:pt>
                <c:pt idx="14">
                  <c:v>0.98105921294593612</c:v>
                </c:pt>
                <c:pt idx="15">
                  <c:v>0.98025435073627853</c:v>
                </c:pt>
                <c:pt idx="16">
                  <c:v>0.97380910529091236</c:v>
                </c:pt>
                <c:pt idx="17">
                  <c:v>0.98428835489833633</c:v>
                </c:pt>
                <c:pt idx="18">
                  <c:v>0.98994761432818912</c:v>
                </c:pt>
                <c:pt idx="19">
                  <c:v>0.99757560290927649</c:v>
                </c:pt>
                <c:pt idx="20">
                  <c:v>0.99566758566364721</c:v>
                </c:pt>
                <c:pt idx="21">
                  <c:v>0.99276537358114014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E-444D-8805-E34312DE5FF5}"/>
            </c:ext>
          </c:extLst>
        </c:ser>
        <c:ser>
          <c:idx val="1"/>
          <c:order val="1"/>
          <c:tx>
            <c:strRef>
              <c:f>Model!$B$13</c:f>
              <c:strCache>
                <c:ptCount val="1"/>
                <c:pt idx="0">
                  <c:v>Drug Delivery % of Revenues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Model!$AQ$1:$BL$1</c:f>
              <c:strCache>
                <c:ptCount val="21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  <c:pt idx="20">
                  <c:v>Q1 2026</c:v>
                </c:pt>
              </c:strCache>
            </c:strRef>
          </c:cat>
          <c:val>
            <c:numRef>
              <c:f>Model!$AQ$13:$BL$13</c:f>
              <c:numCache>
                <c:formatCode>0.0%</c:formatCode>
                <c:ptCount val="22"/>
                <c:pt idx="0">
                  <c:v>7.5703527546571558E-2</c:v>
                </c:pt>
                <c:pt idx="1">
                  <c:v>8.016717325227965E-2</c:v>
                </c:pt>
                <c:pt idx="2">
                  <c:v>5.5515239477503628E-2</c:v>
                </c:pt>
                <c:pt idx="3">
                  <c:v>0.10367240818979526</c:v>
                </c:pt>
                <c:pt idx="4">
                  <c:v>8.7677725118483416E-2</c:v>
                </c:pt>
                <c:pt idx="5">
                  <c:v>4.5424181696726781E-2</c:v>
                </c:pt>
                <c:pt idx="6">
                  <c:v>4.3133802816901406E-2</c:v>
                </c:pt>
                <c:pt idx="7">
                  <c:v>8.9261563429807872E-3</c:v>
                </c:pt>
                <c:pt idx="8">
                  <c:v>1.3962580284836636E-3</c:v>
                </c:pt>
                <c:pt idx="9">
                  <c:v>4.0353089533417402E-2</c:v>
                </c:pt>
                <c:pt idx="10">
                  <c:v>2.472844927201294E-2</c:v>
                </c:pt>
                <c:pt idx="11">
                  <c:v>1.7261671243624953E-2</c:v>
                </c:pt>
                <c:pt idx="12">
                  <c:v>1.9696626669685306E-2</c:v>
                </c:pt>
                <c:pt idx="13">
                  <c:v>1.6581371545547594E-2</c:v>
                </c:pt>
                <c:pt idx="14">
                  <c:v>1.8940787054063997E-2</c:v>
                </c:pt>
                <c:pt idx="15">
                  <c:v>1.9745649263721556E-2</c:v>
                </c:pt>
                <c:pt idx="16">
                  <c:v>2.6190894709087715E-2</c:v>
                </c:pt>
                <c:pt idx="17">
                  <c:v>1.5711645101663584E-2</c:v>
                </c:pt>
                <c:pt idx="18">
                  <c:v>1.0052385671810844E-2</c:v>
                </c:pt>
                <c:pt idx="19">
                  <c:v>2.4243970907234895E-3</c:v>
                </c:pt>
                <c:pt idx="20">
                  <c:v>4.3324143363528949E-3</c:v>
                </c:pt>
                <c:pt idx="21">
                  <c:v>7.2346264188599234E-3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E-444D-8805-E34312DE5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7718351"/>
        <c:axId val="1852422639"/>
      </c:barChart>
      <c:catAx>
        <c:axId val="185771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22639"/>
        <c:crosses val="autoZero"/>
        <c:auto val="1"/>
        <c:lblAlgn val="ctr"/>
        <c:lblOffset val="100"/>
        <c:noMultiLvlLbl val="0"/>
      </c:catAx>
      <c:valAx>
        <c:axId val="1852422639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00871452550721"/>
          <c:y val="8.7475275455283039E-2"/>
          <c:w val="0.66562845214696642"/>
          <c:h val="8.2905937059580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9524</xdr:rowOff>
    </xdr:from>
    <xdr:to>
      <xdr:col>9</xdr:col>
      <xdr:colOff>1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2CF95-DA41-4ABB-B173-AEF36A597A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092" b="5060"/>
        <a:stretch>
          <a:fillRect/>
        </a:stretch>
      </xdr:blipFill>
      <xdr:spPr>
        <a:xfrm>
          <a:off x="3609975" y="390524"/>
          <a:ext cx="1819276" cy="1076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607518</xdr:colOff>
      <xdr:row>0</xdr:row>
      <xdr:rowOff>0</xdr:rowOff>
    </xdr:from>
    <xdr:to>
      <xdr:col>63</xdr:col>
      <xdr:colOff>607518</xdr:colOff>
      <xdr:row>93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0680554" y="0"/>
          <a:ext cx="0" cy="168347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0</xdr:colOff>
      <xdr:row>0</xdr:row>
      <xdr:rowOff>0</xdr:rowOff>
    </xdr:from>
    <xdr:to>
      <xdr:col>85</xdr:col>
      <xdr:colOff>0</xdr:colOff>
      <xdr:row>92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458273" y="0"/>
          <a:ext cx="0" cy="211004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69</xdr:row>
      <xdr:rowOff>0</xdr:rowOff>
    </xdr:from>
    <xdr:to>
      <xdr:col>39</xdr:col>
      <xdr:colOff>0</xdr:colOff>
      <xdr:row>100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65F3C6-E3BA-4823-97B1-522A94E05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13608</xdr:colOff>
      <xdr:row>2</xdr:row>
      <xdr:rowOff>13607</xdr:rowOff>
    </xdr:from>
    <xdr:to>
      <xdr:col>26</xdr:col>
      <xdr:colOff>0</xdr:colOff>
      <xdr:row>31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78CFE8-499C-3290-E238-112C7884E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715" y="381000"/>
          <a:ext cx="6109606" cy="511628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13607</xdr:rowOff>
    </xdr:from>
    <xdr:to>
      <xdr:col>36</xdr:col>
      <xdr:colOff>612320</xdr:colOff>
      <xdr:row>31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5C0EE7-802E-C5F7-0F1A-0806B25A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27321" y="381000"/>
          <a:ext cx="6735535" cy="5116286"/>
        </a:xfrm>
        <a:prstGeom prst="rect">
          <a:avLst/>
        </a:prstGeom>
      </xdr:spPr>
    </xdr:pic>
    <xdr:clientData/>
  </xdr:twoCellAnchor>
  <xdr:twoCellAnchor editAs="oneCell">
    <xdr:from>
      <xdr:col>16</xdr:col>
      <xdr:colOff>13606</xdr:colOff>
      <xdr:row>36</xdr:row>
      <xdr:rowOff>13607</xdr:rowOff>
    </xdr:from>
    <xdr:to>
      <xdr:col>25</xdr:col>
      <xdr:colOff>0</xdr:colOff>
      <xdr:row>64</xdr:row>
      <xdr:rowOff>30336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60B16E-4E89-2CE1-3AFE-A0747D15B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713" y="6422571"/>
          <a:ext cx="5497287" cy="49833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edgar/browse/?CIK=1145197&amp;owner=exclude" TargetMode="External"/><Relationship Id="rId2" Type="http://schemas.openxmlformats.org/officeDocument/2006/relationships/hyperlink" Target="000%20Med-Devices%20Master%20List%20000.xlsx" TargetMode="External"/><Relationship Id="rId1" Type="http://schemas.openxmlformats.org/officeDocument/2006/relationships/hyperlink" Target="https://app.godelterminal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ule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topLeftCell="B1" zoomScale="70" zoomScaleNormal="70" workbookViewId="0">
      <selection activeCell="D7" sqref="D7"/>
    </sheetView>
  </sheetViews>
  <sheetFormatPr defaultColWidth="9.140625" defaultRowHeight="14.25"/>
  <cols>
    <col min="1" max="1" width="3.42578125" style="1" customWidth="1"/>
    <col min="2" max="3" width="11.5703125" style="1" customWidth="1"/>
    <col min="4" max="4" width="9.140625" style="1" customWidth="1"/>
    <col min="5" max="16384" width="9.140625" style="1"/>
  </cols>
  <sheetData>
    <row r="1" spans="1:17" ht="15">
      <c r="A1" s="75" t="s">
        <v>139</v>
      </c>
    </row>
    <row r="2" spans="1:17" ht="15">
      <c r="B2" s="2" t="s">
        <v>140</v>
      </c>
    </row>
    <row r="3" spans="1:17">
      <c r="B3" s="1" t="s">
        <v>0</v>
      </c>
      <c r="C3" s="76">
        <v>133.93</v>
      </c>
      <c r="D3" s="42" t="s">
        <v>187</v>
      </c>
    </row>
    <row r="4" spans="1:17">
      <c r="B4" s="1" t="s">
        <v>1</v>
      </c>
      <c r="C4" s="77">
        <v>96.298000000000002</v>
      </c>
      <c r="D4" s="1" t="s">
        <v>1216</v>
      </c>
    </row>
    <row r="5" spans="1:17">
      <c r="B5" s="1" t="s">
        <v>2</v>
      </c>
      <c r="C5" s="78">
        <f>C3*C4</f>
        <v>12897.191140000001</v>
      </c>
    </row>
    <row r="6" spans="1:17">
      <c r="B6" s="1" t="s">
        <v>3</v>
      </c>
      <c r="C6" s="78">
        <v>534.9</v>
      </c>
      <c r="D6" s="1" t="s">
        <v>1216</v>
      </c>
    </row>
    <row r="7" spans="1:17">
      <c r="B7" s="1" t="s">
        <v>4</v>
      </c>
      <c r="C7" s="78">
        <f>18.9+929.5</f>
        <v>948.4</v>
      </c>
      <c r="D7" s="1" t="s">
        <v>1216</v>
      </c>
    </row>
    <row r="8" spans="1:17">
      <c r="B8" s="1" t="s">
        <v>5</v>
      </c>
      <c r="C8" s="78">
        <f>C5-C6+C7</f>
        <v>13310.691140000001</v>
      </c>
    </row>
    <row r="10" spans="1:17" ht="15">
      <c r="B10" s="2" t="s">
        <v>141</v>
      </c>
    </row>
    <row r="12" spans="1:17" ht="15">
      <c r="B12" s="1" t="s">
        <v>142</v>
      </c>
      <c r="G12" s="1" t="s">
        <v>143</v>
      </c>
      <c r="M12" s="1" t="s">
        <v>95</v>
      </c>
      <c r="P12" s="2"/>
    </row>
    <row r="13" spans="1:17" ht="15">
      <c r="B13" s="1" t="s">
        <v>144</v>
      </c>
      <c r="G13" s="1" t="s">
        <v>145</v>
      </c>
      <c r="M13" s="1" t="s">
        <v>7</v>
      </c>
      <c r="P13" s="75" t="s">
        <v>146</v>
      </c>
    </row>
    <row r="14" spans="1:17" ht="15">
      <c r="B14" s="1" t="s">
        <v>147</v>
      </c>
      <c r="G14" s="1" t="s">
        <v>6</v>
      </c>
      <c r="M14" s="1" t="s">
        <v>99</v>
      </c>
      <c r="P14" s="75" t="s">
        <v>148</v>
      </c>
    </row>
    <row r="15" spans="1:17">
      <c r="B15" s="1" t="s">
        <v>149</v>
      </c>
      <c r="G15" s="1" t="s">
        <v>92</v>
      </c>
      <c r="N15" s="1" t="s">
        <v>98</v>
      </c>
      <c r="Q15" s="43" t="s">
        <v>150</v>
      </c>
    </row>
    <row r="16" spans="1:17">
      <c r="B16" s="1" t="s">
        <v>163</v>
      </c>
      <c r="G16" s="1" t="s">
        <v>86</v>
      </c>
      <c r="H16" s="1" t="s">
        <v>151</v>
      </c>
      <c r="J16" s="1" t="s">
        <v>87</v>
      </c>
      <c r="M16" s="1" t="s">
        <v>89</v>
      </c>
      <c r="P16" s="43" t="s">
        <v>203</v>
      </c>
    </row>
    <row r="17" spans="1:16">
      <c r="B17" s="1" t="s">
        <v>152</v>
      </c>
      <c r="M17" s="1" t="s">
        <v>90</v>
      </c>
      <c r="P17" s="43" t="s">
        <v>153</v>
      </c>
    </row>
    <row r="18" spans="1:16">
      <c r="B18" s="1" t="s">
        <v>154</v>
      </c>
      <c r="M18" s="1" t="s">
        <v>100</v>
      </c>
      <c r="P18" s="43" t="s">
        <v>155</v>
      </c>
    </row>
    <row r="19" spans="1:16">
      <c r="B19" s="1" t="s">
        <v>156</v>
      </c>
      <c r="M19" s="1" t="s">
        <v>101</v>
      </c>
      <c r="P19" s="43" t="s">
        <v>157</v>
      </c>
    </row>
    <row r="20" spans="1:16">
      <c r="B20" s="1" t="s">
        <v>158</v>
      </c>
      <c r="M20" s="1" t="s">
        <v>8</v>
      </c>
      <c r="P20" s="43" t="s">
        <v>91</v>
      </c>
    </row>
    <row r="21" spans="1:16" ht="15">
      <c r="M21" s="2"/>
    </row>
    <row r="22" spans="1:16" ht="15">
      <c r="A22" s="2" t="s">
        <v>9</v>
      </c>
    </row>
    <row r="23" spans="1:16">
      <c r="B23" s="1" t="s">
        <v>159</v>
      </c>
    </row>
    <row r="24" spans="1:16" ht="15">
      <c r="B24" s="1" t="s">
        <v>164</v>
      </c>
    </row>
    <row r="25" spans="1:16">
      <c r="C25" s="1" t="s">
        <v>165</v>
      </c>
    </row>
    <row r="26" spans="1:16">
      <c r="C26" s="1" t="s">
        <v>160</v>
      </c>
    </row>
    <row r="27" spans="1:16">
      <c r="B27" s="1" t="s">
        <v>161</v>
      </c>
    </row>
    <row r="28" spans="1:16">
      <c r="B28" s="1" t="s">
        <v>162</v>
      </c>
    </row>
    <row r="30" spans="1:16" ht="15">
      <c r="A30" s="2" t="s">
        <v>93</v>
      </c>
    </row>
  </sheetData>
  <hyperlinks>
    <hyperlink ref="P20" r:id="rId1" xr:uid="{01F4B053-E2FA-435C-BB33-04EFDF6C36EE}"/>
    <hyperlink ref="A1" r:id="rId2" xr:uid="{1A75EF11-C61B-4C07-BFB5-4DA977ED976C}"/>
    <hyperlink ref="P13" r:id="rId3" xr:uid="{03536C8B-8F2B-4D69-820A-BDC04A5613EB}"/>
    <hyperlink ref="P14" r:id="rId4" xr:uid="{3C07370A-6AA9-481C-B5FA-C1B5EF1813A5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R89"/>
  <sheetViews>
    <sheetView zoomScale="85" zoomScaleNormal="85" workbookViewId="0">
      <pane xSplit="2" ySplit="3" topLeftCell="CB39" activePane="bottomRight" state="frozen"/>
      <selection pane="topRight" activeCell="C1" sqref="C1"/>
      <selection pane="bottomLeft" activeCell="A4" sqref="A4"/>
      <selection pane="bottomRight" activeCell="DA52" sqref="DA52"/>
    </sheetView>
  </sheetViews>
  <sheetFormatPr defaultColWidth="9.140625" defaultRowHeight="14.25"/>
  <cols>
    <col min="1" max="1" width="3.140625" style="1" customWidth="1"/>
    <col min="2" max="2" width="37.7109375" style="1" customWidth="1"/>
    <col min="3" max="64" width="9.140625" style="1"/>
    <col min="65" max="66" width="9.140625" style="35"/>
    <col min="67" max="85" width="9.140625" style="1"/>
    <col min="86" max="147" width="9.140625" style="35"/>
    <col min="148" max="16384" width="9.140625" style="1"/>
  </cols>
  <sheetData>
    <row r="1" spans="2:148" ht="15">
      <c r="B1" s="1" t="s">
        <v>49</v>
      </c>
      <c r="AM1" s="33" t="s">
        <v>43</v>
      </c>
      <c r="AQ1" s="33" t="s">
        <v>44</v>
      </c>
      <c r="AU1" s="33" t="s">
        <v>45</v>
      </c>
      <c r="AY1" s="33" t="s">
        <v>46</v>
      </c>
      <c r="BC1" s="33" t="s">
        <v>47</v>
      </c>
      <c r="BG1" s="33" t="s">
        <v>48</v>
      </c>
      <c r="BK1" s="33" t="s">
        <v>138</v>
      </c>
    </row>
    <row r="2" spans="2:148">
      <c r="B2" s="1" t="s">
        <v>50</v>
      </c>
    </row>
    <row r="3" spans="2:148" ht="15">
      <c r="B3" s="2" t="s">
        <v>51</v>
      </c>
      <c r="C3" s="2" t="str" cm="1">
        <f t="array" ref="C3:BN3">"Q"&amp;MOD(_xlfn.SEQUENCE(1,64)-1,4)+1&amp;" "&amp;(2011+INT((_xlfn.SEQUENCE(1,64)-1)/4))</f>
        <v>Q1 2011</v>
      </c>
      <c r="D3" s="33" t="str">
        <v>Q2 2011</v>
      </c>
      <c r="E3" s="33" t="str">
        <v>Q3 2011</v>
      </c>
      <c r="F3" s="33" t="str">
        <v>Q4 2011</v>
      </c>
      <c r="G3" s="33" t="str">
        <v>Q1 2012</v>
      </c>
      <c r="H3" s="33" t="str">
        <v>Q2 2012</v>
      </c>
      <c r="I3" s="33" t="str">
        <v>Q3 2012</v>
      </c>
      <c r="J3" s="33" t="str">
        <v>Q4 2012</v>
      </c>
      <c r="K3" s="33" t="str">
        <v>Q1 2013</v>
      </c>
      <c r="L3" s="33" t="str">
        <v>Q2 2013</v>
      </c>
      <c r="M3" s="33" t="str">
        <v>Q3 2013</v>
      </c>
      <c r="N3" s="33" t="str">
        <v>Q4 2013</v>
      </c>
      <c r="O3" s="33" t="str">
        <v>Q1 2014</v>
      </c>
      <c r="P3" s="33" t="str">
        <v>Q2 2014</v>
      </c>
      <c r="Q3" s="33" t="str">
        <v>Q3 2014</v>
      </c>
      <c r="R3" s="33" t="str">
        <v>Q4 2014</v>
      </c>
      <c r="S3" s="33" t="str">
        <v>Q1 2015</v>
      </c>
      <c r="T3" s="33" t="str">
        <v>Q2 2015</v>
      </c>
      <c r="U3" s="33" t="str">
        <v>Q3 2015</v>
      </c>
      <c r="V3" s="33" t="str">
        <v>Q4 2015</v>
      </c>
      <c r="W3" s="33" t="str">
        <v>Q1 2016</v>
      </c>
      <c r="X3" s="33" t="str">
        <v>Q2 2016</v>
      </c>
      <c r="Y3" s="33" t="str">
        <v>Q3 2016</v>
      </c>
      <c r="Z3" s="33" t="str">
        <v>Q4 2016</v>
      </c>
      <c r="AA3" s="33" t="str">
        <v>Q1 2017</v>
      </c>
      <c r="AB3" s="33" t="str">
        <v>Q2 2017</v>
      </c>
      <c r="AC3" s="33" t="str">
        <v>Q3 2017</v>
      </c>
      <c r="AD3" s="33" t="str">
        <v>Q4 2017</v>
      </c>
      <c r="AE3" s="33" t="str">
        <v>Q1 2018</v>
      </c>
      <c r="AF3" s="33" t="str">
        <v>Q2 2018</v>
      </c>
      <c r="AG3" s="33" t="str">
        <v>Q3 2018</v>
      </c>
      <c r="AH3" s="33" t="str">
        <v>Q4 2018</v>
      </c>
      <c r="AI3" s="33" t="str">
        <v>Q1 2019</v>
      </c>
      <c r="AJ3" s="33" t="str">
        <v>Q2 2019</v>
      </c>
      <c r="AK3" s="33" t="str">
        <v>Q3 2019</v>
      </c>
      <c r="AL3" s="33" t="str">
        <v>Q4 2019</v>
      </c>
      <c r="AM3" s="33" t="str">
        <v>Q1 2020</v>
      </c>
      <c r="AN3" s="33" t="str">
        <v>Q2 2020</v>
      </c>
      <c r="AO3" s="33" t="str">
        <v>Q3 2020</v>
      </c>
      <c r="AP3" s="33" t="str">
        <v>Q4 2020</v>
      </c>
      <c r="AQ3" s="33" t="str">
        <v>Q1 2021</v>
      </c>
      <c r="AR3" s="33" t="str">
        <v>Q2 2021</v>
      </c>
      <c r="AS3" s="33" t="str">
        <v>Q3 2021</v>
      </c>
      <c r="AT3" s="33" t="str">
        <v>Q4 2021</v>
      </c>
      <c r="AU3" s="33" t="str">
        <v>Q1 2022</v>
      </c>
      <c r="AV3" s="33" t="str">
        <v>Q2 2022</v>
      </c>
      <c r="AW3" s="33" t="str">
        <v>Q3 2022</v>
      </c>
      <c r="AX3" s="33" t="str">
        <v>Q4 2022</v>
      </c>
      <c r="AY3" s="33" t="str">
        <v>Q1 2023</v>
      </c>
      <c r="AZ3" s="33" t="str">
        <v>Q2 2023</v>
      </c>
      <c r="BA3" s="33" t="str">
        <v>Q3 2023</v>
      </c>
      <c r="BB3" s="33" t="str">
        <v>Q4 2023</v>
      </c>
      <c r="BC3" s="33" t="str">
        <v>Q1 2024</v>
      </c>
      <c r="BD3" s="33" t="str">
        <v>Q2 2024</v>
      </c>
      <c r="BE3" s="33" t="str">
        <v>Q3 2024</v>
      </c>
      <c r="BF3" s="33" t="str">
        <v>Q4 2024</v>
      </c>
      <c r="BG3" s="33" t="str">
        <v>Q1 2025</v>
      </c>
      <c r="BH3" s="2" t="str">
        <v>Q2 2025</v>
      </c>
      <c r="BI3" s="2" t="str">
        <v>Q3 2025</v>
      </c>
      <c r="BJ3" s="2" t="str">
        <v>Q4 2025</v>
      </c>
      <c r="BK3" s="2" t="str">
        <v>Q1 2026</v>
      </c>
      <c r="BL3" s="2" t="str">
        <v>Q2 2026</v>
      </c>
      <c r="BM3" s="34" t="str">
        <v>Q3 2026</v>
      </c>
      <c r="BN3" s="34" t="str">
        <v>Q4 2026</v>
      </c>
      <c r="BS3" s="2">
        <v>2011</v>
      </c>
      <c r="BT3" s="2">
        <f t="shared" ref="BT3:ED3" si="0">BS3+1</f>
        <v>2012</v>
      </c>
      <c r="BU3" s="2">
        <f t="shared" si="0"/>
        <v>2013</v>
      </c>
      <c r="BV3" s="2">
        <f t="shared" si="0"/>
        <v>2014</v>
      </c>
      <c r="BW3" s="2">
        <f t="shared" si="0"/>
        <v>2015</v>
      </c>
      <c r="BX3" s="2">
        <f t="shared" si="0"/>
        <v>2016</v>
      </c>
      <c r="BY3" s="2">
        <f t="shared" si="0"/>
        <v>2017</v>
      </c>
      <c r="BZ3" s="2">
        <f t="shared" si="0"/>
        <v>2018</v>
      </c>
      <c r="CA3" s="2">
        <f t="shared" si="0"/>
        <v>2019</v>
      </c>
      <c r="CB3" s="2">
        <f t="shared" si="0"/>
        <v>2020</v>
      </c>
      <c r="CC3" s="2">
        <f t="shared" si="0"/>
        <v>2021</v>
      </c>
      <c r="CD3" s="2">
        <f t="shared" si="0"/>
        <v>2022</v>
      </c>
      <c r="CE3" s="2">
        <f t="shared" si="0"/>
        <v>2023</v>
      </c>
      <c r="CF3" s="2">
        <f t="shared" si="0"/>
        <v>2024</v>
      </c>
      <c r="CG3" s="2">
        <f t="shared" si="0"/>
        <v>2025</v>
      </c>
      <c r="CH3" s="34">
        <f>CG3+1</f>
        <v>2026</v>
      </c>
      <c r="CI3" s="34">
        <f t="shared" si="0"/>
        <v>2027</v>
      </c>
      <c r="CJ3" s="34">
        <f t="shared" si="0"/>
        <v>2028</v>
      </c>
      <c r="CK3" s="34">
        <f t="shared" si="0"/>
        <v>2029</v>
      </c>
      <c r="CL3" s="34">
        <f t="shared" si="0"/>
        <v>2030</v>
      </c>
      <c r="CM3" s="34">
        <f t="shared" si="0"/>
        <v>2031</v>
      </c>
      <c r="CN3" s="34">
        <f t="shared" si="0"/>
        <v>2032</v>
      </c>
      <c r="CO3" s="34">
        <f t="shared" si="0"/>
        <v>2033</v>
      </c>
      <c r="CP3" s="34">
        <f t="shared" si="0"/>
        <v>2034</v>
      </c>
      <c r="CQ3" s="34">
        <f t="shared" si="0"/>
        <v>2035</v>
      </c>
      <c r="CR3" s="34">
        <f t="shared" si="0"/>
        <v>2036</v>
      </c>
      <c r="CS3" s="34">
        <f t="shared" si="0"/>
        <v>2037</v>
      </c>
      <c r="CT3" s="34">
        <f t="shared" si="0"/>
        <v>2038</v>
      </c>
      <c r="CU3" s="34">
        <f t="shared" si="0"/>
        <v>2039</v>
      </c>
      <c r="CV3" s="34">
        <f t="shared" si="0"/>
        <v>2040</v>
      </c>
      <c r="CW3" s="34">
        <f t="shared" si="0"/>
        <v>2041</v>
      </c>
      <c r="CX3" s="34">
        <f t="shared" si="0"/>
        <v>2042</v>
      </c>
      <c r="CY3" s="34">
        <f t="shared" si="0"/>
        <v>2043</v>
      </c>
      <c r="CZ3" s="34">
        <f t="shared" si="0"/>
        <v>2044</v>
      </c>
      <c r="DA3" s="34">
        <f t="shared" si="0"/>
        <v>2045</v>
      </c>
      <c r="DB3" s="34">
        <f t="shared" si="0"/>
        <v>2046</v>
      </c>
      <c r="DC3" s="34">
        <f t="shared" si="0"/>
        <v>2047</v>
      </c>
      <c r="DD3" s="34">
        <f t="shared" si="0"/>
        <v>2048</v>
      </c>
      <c r="DE3" s="34">
        <f t="shared" si="0"/>
        <v>2049</v>
      </c>
      <c r="DF3" s="34">
        <f t="shared" si="0"/>
        <v>2050</v>
      </c>
      <c r="DG3" s="34">
        <f t="shared" si="0"/>
        <v>2051</v>
      </c>
      <c r="DH3" s="34">
        <f t="shared" si="0"/>
        <v>2052</v>
      </c>
      <c r="DI3" s="34">
        <f t="shared" si="0"/>
        <v>2053</v>
      </c>
      <c r="DJ3" s="34">
        <f t="shared" si="0"/>
        <v>2054</v>
      </c>
      <c r="DK3" s="34">
        <f t="shared" si="0"/>
        <v>2055</v>
      </c>
      <c r="DL3" s="34">
        <f t="shared" si="0"/>
        <v>2056</v>
      </c>
      <c r="DM3" s="34">
        <f t="shared" si="0"/>
        <v>2057</v>
      </c>
      <c r="DN3" s="34">
        <f t="shared" si="0"/>
        <v>2058</v>
      </c>
      <c r="DO3" s="34">
        <f t="shared" si="0"/>
        <v>2059</v>
      </c>
      <c r="DP3" s="34">
        <f t="shared" si="0"/>
        <v>2060</v>
      </c>
      <c r="DQ3" s="34">
        <f t="shared" si="0"/>
        <v>2061</v>
      </c>
      <c r="DR3" s="34">
        <f t="shared" si="0"/>
        <v>2062</v>
      </c>
      <c r="DS3" s="34">
        <f t="shared" si="0"/>
        <v>2063</v>
      </c>
      <c r="DT3" s="34">
        <f t="shared" si="0"/>
        <v>2064</v>
      </c>
      <c r="DU3" s="34">
        <f t="shared" si="0"/>
        <v>2065</v>
      </c>
      <c r="DV3" s="34">
        <f t="shared" si="0"/>
        <v>2066</v>
      </c>
      <c r="DW3" s="34">
        <f t="shared" si="0"/>
        <v>2067</v>
      </c>
      <c r="DX3" s="34">
        <f t="shared" si="0"/>
        <v>2068</v>
      </c>
      <c r="DY3" s="34">
        <f t="shared" si="0"/>
        <v>2069</v>
      </c>
      <c r="DZ3" s="34">
        <f t="shared" si="0"/>
        <v>2070</v>
      </c>
      <c r="EA3" s="34">
        <f t="shared" si="0"/>
        <v>2071</v>
      </c>
      <c r="EB3" s="34">
        <f t="shared" si="0"/>
        <v>2072</v>
      </c>
      <c r="EC3" s="34">
        <f t="shared" si="0"/>
        <v>2073</v>
      </c>
      <c r="ED3" s="34">
        <f t="shared" si="0"/>
        <v>2074</v>
      </c>
      <c r="EE3" s="34">
        <f t="shared" ref="EE3:EO3" si="1">ED3+1</f>
        <v>2075</v>
      </c>
      <c r="EF3" s="34">
        <f t="shared" si="1"/>
        <v>2076</v>
      </c>
      <c r="EG3" s="34">
        <f t="shared" si="1"/>
        <v>2077</v>
      </c>
      <c r="EH3" s="34">
        <f t="shared" si="1"/>
        <v>2078</v>
      </c>
      <c r="EI3" s="34">
        <f t="shared" si="1"/>
        <v>2079</v>
      </c>
      <c r="EJ3" s="34">
        <f t="shared" si="1"/>
        <v>2080</v>
      </c>
      <c r="EK3" s="34">
        <f t="shared" si="1"/>
        <v>2081</v>
      </c>
      <c r="EL3" s="34">
        <f t="shared" si="1"/>
        <v>2082</v>
      </c>
      <c r="EM3" s="34">
        <f t="shared" si="1"/>
        <v>2083</v>
      </c>
      <c r="EN3" s="34">
        <f t="shared" si="1"/>
        <v>2084</v>
      </c>
      <c r="EO3" s="34">
        <f t="shared" si="1"/>
        <v>2085</v>
      </c>
      <c r="EP3" s="34"/>
      <c r="EQ3" s="34"/>
      <c r="ER3" s="2"/>
    </row>
    <row r="4" spans="2:148">
      <c r="B4" s="36" t="s">
        <v>188</v>
      </c>
      <c r="AQ4" s="81">
        <v>233.2</v>
      </c>
      <c r="AR4" s="81">
        <v>242.1</v>
      </c>
      <c r="AS4" s="81">
        <v>260.3</v>
      </c>
      <c r="AT4" s="81">
        <f>1011.4-SUM(AQ4:AS4)</f>
        <v>275.80000000000007</v>
      </c>
      <c r="AU4" s="81">
        <v>269.5</v>
      </c>
      <c r="AV4" s="81">
        <v>285.8</v>
      </c>
      <c r="AW4" s="81">
        <v>326.10000000000002</v>
      </c>
      <c r="AX4" s="81">
        <f>1247.8-SUM(AU4:AW4)</f>
        <v>366.4</v>
      </c>
      <c r="AY4" s="81">
        <v>357.6</v>
      </c>
      <c r="AZ4" s="81">
        <v>380.5</v>
      </c>
      <c r="BA4" s="81">
        <v>422</v>
      </c>
      <c r="BB4" s="81">
        <f>1661.1-SUM(AY4:BA4)</f>
        <v>501</v>
      </c>
      <c r="BC4" s="81">
        <v>433</v>
      </c>
      <c r="BD4" s="81">
        <v>480.4</v>
      </c>
      <c r="BE4" s="81">
        <v>533.5</v>
      </c>
      <c r="BF4" s="81">
        <f>2032.7-SUM(BC4:BE4)</f>
        <v>585.79999999999995</v>
      </c>
      <c r="BG4" s="81">
        <v>554</v>
      </c>
      <c r="BH4" s="81">
        <v>639</v>
      </c>
      <c r="BI4" s="81">
        <v>699.2</v>
      </c>
      <c r="BJ4" s="81">
        <f>2674-SUM(BG4:BI4)</f>
        <v>781.8</v>
      </c>
      <c r="BK4" s="81">
        <v>758.4</v>
      </c>
      <c r="BL4" s="81">
        <v>795.9</v>
      </c>
      <c r="CC4" s="1">
        <f>SUM(AQ4:AT4)</f>
        <v>1011.4</v>
      </c>
      <c r="CD4" s="1">
        <f>SUM(AU4:AX4)</f>
        <v>1247.8</v>
      </c>
      <c r="CE4" s="1">
        <f>SUM(AY4:BB4)</f>
        <v>1661.1</v>
      </c>
      <c r="CF4" s="1">
        <f>SUM(BC4:BF4)</f>
        <v>2032.7</v>
      </c>
      <c r="CG4" s="1">
        <f>SUM(BG4:BJ4)</f>
        <v>2674</v>
      </c>
      <c r="CH4" s="83">
        <f t="shared" ref="CH4:CQ4" si="2">CG4*(1+CH8)</f>
        <v>3262.2799999999997</v>
      </c>
      <c r="CI4" s="83">
        <f t="shared" si="2"/>
        <v>3718.9992000000002</v>
      </c>
      <c r="CJ4" s="83">
        <f t="shared" si="2"/>
        <v>4128.0891120000006</v>
      </c>
      <c r="CK4" s="83">
        <f t="shared" si="2"/>
        <v>4499.6171320800013</v>
      </c>
      <c r="CL4" s="83">
        <f t="shared" si="2"/>
        <v>4859.5865026464016</v>
      </c>
      <c r="CM4" s="83">
        <f t="shared" si="2"/>
        <v>5199.75755783165</v>
      </c>
      <c r="CN4" s="83">
        <f t="shared" si="2"/>
        <v>5511.7430113015489</v>
      </c>
      <c r="CO4" s="83">
        <f t="shared" si="2"/>
        <v>5787.3301618666264</v>
      </c>
      <c r="CP4" s="83">
        <f t="shared" si="2"/>
        <v>6018.8233683412918</v>
      </c>
      <c r="CQ4" s="83">
        <f t="shared" si="2"/>
        <v>6199.3880693915307</v>
      </c>
    </row>
    <row r="5" spans="2:148">
      <c r="B5" s="36" t="s">
        <v>189</v>
      </c>
      <c r="AQ5" s="81">
        <v>19.100000000000001</v>
      </c>
      <c r="AR5" s="81">
        <v>21.1</v>
      </c>
      <c r="AS5" s="81">
        <v>15.3</v>
      </c>
      <c r="AT5" s="81">
        <f>87.4-SUM(AQ5:AS5)</f>
        <v>31.900000000000006</v>
      </c>
      <c r="AU5" s="81">
        <v>25.9</v>
      </c>
      <c r="AV5" s="81">
        <v>13.6</v>
      </c>
      <c r="AW5" s="81">
        <v>14.7</v>
      </c>
      <c r="AX5" s="81">
        <f>57.5-SUM(AU5:AW5)</f>
        <v>3.2999999999999972</v>
      </c>
      <c r="AY5" s="81">
        <v>0.5</v>
      </c>
      <c r="AZ5" s="81">
        <v>16</v>
      </c>
      <c r="BA5" s="81">
        <v>10.7</v>
      </c>
      <c r="BB5" s="81">
        <f>36-SUM(AY5:BA5)</f>
        <v>8.8000000000000007</v>
      </c>
      <c r="BC5" s="81">
        <v>8.6999999999999993</v>
      </c>
      <c r="BD5" s="81">
        <v>8.1</v>
      </c>
      <c r="BE5" s="81">
        <v>10.3</v>
      </c>
      <c r="BF5" s="81">
        <f>38.9-SUM(BC5:BE5)</f>
        <v>11.8</v>
      </c>
      <c r="BG5" s="81">
        <v>14.9</v>
      </c>
      <c r="BH5" s="81">
        <v>10.199999999999999</v>
      </c>
      <c r="BI5" s="81">
        <v>7.1</v>
      </c>
      <c r="BJ5" s="81">
        <f>34.1-SUM(BG5:BI5)</f>
        <v>1.8999999999999986</v>
      </c>
      <c r="BK5" s="81">
        <v>3.3</v>
      </c>
      <c r="BL5" s="81">
        <v>5.8</v>
      </c>
      <c r="CC5" s="1">
        <f t="shared" ref="CC5:CC6" si="3">SUM(AQ5:AT5)</f>
        <v>87.4</v>
      </c>
      <c r="CD5" s="1">
        <f t="shared" ref="CD5:CD6" si="4">SUM(AU5:AX5)</f>
        <v>57.5</v>
      </c>
      <c r="CE5" s="1">
        <f t="shared" ref="CE5:CE6" si="5">SUM(AY5:BB5)</f>
        <v>36</v>
      </c>
      <c r="CF5" s="1">
        <f t="shared" ref="CF5:CF6" si="6">SUM(BC5:BF5)</f>
        <v>38.9</v>
      </c>
      <c r="CG5" s="1">
        <f t="shared" ref="CG5:CG6" si="7">SUM(BG5:BJ5)</f>
        <v>34.1</v>
      </c>
      <c r="CH5" s="83">
        <f t="shared" ref="CH5:CQ5" si="8">CG5*(1+CH9)</f>
        <v>13.64</v>
      </c>
      <c r="CI5" s="83">
        <f t="shared" si="8"/>
        <v>10.912000000000001</v>
      </c>
      <c r="CJ5" s="83">
        <f t="shared" si="8"/>
        <v>8.7296000000000014</v>
      </c>
      <c r="CK5" s="83">
        <f t="shared" si="8"/>
        <v>9.6025600000000022</v>
      </c>
      <c r="CL5" s="83">
        <f t="shared" si="8"/>
        <v>10.178713600000004</v>
      </c>
      <c r="CM5" s="83">
        <f t="shared" si="8"/>
        <v>10.585862144000004</v>
      </c>
      <c r="CN5" s="83">
        <f t="shared" si="8"/>
        <v>10.956367319040003</v>
      </c>
      <c r="CO5" s="83">
        <f t="shared" si="8"/>
        <v>11.285058338611204</v>
      </c>
      <c r="CP5" s="83">
        <f t="shared" si="8"/>
        <v>11.567184797076484</v>
      </c>
      <c r="CQ5" s="83">
        <f t="shared" si="8"/>
        <v>11.798528493018013</v>
      </c>
    </row>
    <row r="6" spans="2:148" s="2" customFormat="1" ht="15">
      <c r="B6" s="33" t="s">
        <v>52</v>
      </c>
      <c r="AQ6" s="80">
        <f t="shared" ref="AQ6:BL6" si="9">SUM(AQ4:AQ5)</f>
        <v>252.29999999999998</v>
      </c>
      <c r="AR6" s="80">
        <f t="shared" si="9"/>
        <v>263.2</v>
      </c>
      <c r="AS6" s="80">
        <f t="shared" si="9"/>
        <v>275.60000000000002</v>
      </c>
      <c r="AT6" s="80">
        <f t="shared" si="9"/>
        <v>307.70000000000005</v>
      </c>
      <c r="AU6" s="80">
        <f t="shared" si="9"/>
        <v>295.39999999999998</v>
      </c>
      <c r="AV6" s="80">
        <f t="shared" si="9"/>
        <v>299.40000000000003</v>
      </c>
      <c r="AW6" s="80">
        <f t="shared" si="9"/>
        <v>340.8</v>
      </c>
      <c r="AX6" s="80">
        <f t="shared" si="9"/>
        <v>369.7</v>
      </c>
      <c r="AY6" s="80">
        <f t="shared" si="9"/>
        <v>358.1</v>
      </c>
      <c r="AZ6" s="80">
        <f t="shared" si="9"/>
        <v>396.5</v>
      </c>
      <c r="BA6" s="80">
        <f t="shared" si="9"/>
        <v>432.7</v>
      </c>
      <c r="BB6" s="80">
        <f t="shared" si="9"/>
        <v>509.8</v>
      </c>
      <c r="BC6" s="80">
        <f t="shared" si="9"/>
        <v>441.7</v>
      </c>
      <c r="BD6" s="80">
        <f t="shared" si="9"/>
        <v>488.5</v>
      </c>
      <c r="BE6" s="80">
        <f t="shared" si="9"/>
        <v>543.79999999999995</v>
      </c>
      <c r="BF6" s="80">
        <f t="shared" si="9"/>
        <v>597.59999999999991</v>
      </c>
      <c r="BG6" s="80">
        <f t="shared" si="9"/>
        <v>568.9</v>
      </c>
      <c r="BH6" s="80">
        <f t="shared" si="9"/>
        <v>649.20000000000005</v>
      </c>
      <c r="BI6" s="80">
        <f t="shared" si="9"/>
        <v>706.30000000000007</v>
      </c>
      <c r="BJ6" s="80">
        <f t="shared" si="9"/>
        <v>783.69999999999993</v>
      </c>
      <c r="BK6" s="80">
        <f t="shared" si="9"/>
        <v>761.69999999999993</v>
      </c>
      <c r="BL6" s="80">
        <f t="shared" si="9"/>
        <v>801.69999999999993</v>
      </c>
      <c r="BM6" s="34"/>
      <c r="BN6" s="34"/>
      <c r="CC6" s="2">
        <f t="shared" si="3"/>
        <v>1098.8000000000002</v>
      </c>
      <c r="CD6" s="2">
        <f t="shared" si="4"/>
        <v>1305.3</v>
      </c>
      <c r="CE6" s="2">
        <f t="shared" si="5"/>
        <v>1697.1</v>
      </c>
      <c r="CF6" s="2">
        <f t="shared" si="6"/>
        <v>2071.6</v>
      </c>
      <c r="CG6" s="2">
        <f t="shared" si="7"/>
        <v>2708.1</v>
      </c>
      <c r="CH6" s="84">
        <f t="shared" ref="CH6:CQ6" si="10">SUM(CH4:CH5)</f>
        <v>3275.9199999999996</v>
      </c>
      <c r="CI6" s="84">
        <f t="shared" si="10"/>
        <v>3729.9112</v>
      </c>
      <c r="CJ6" s="84">
        <f t="shared" si="10"/>
        <v>4136.8187120000002</v>
      </c>
      <c r="CK6" s="84">
        <f t="shared" si="10"/>
        <v>4509.2196920800016</v>
      </c>
      <c r="CL6" s="84">
        <f t="shared" si="10"/>
        <v>4869.7652162464019</v>
      </c>
      <c r="CM6" s="84">
        <f t="shared" si="10"/>
        <v>5210.3434199756502</v>
      </c>
      <c r="CN6" s="84">
        <f t="shared" si="10"/>
        <v>5522.6993786205885</v>
      </c>
      <c r="CO6" s="84">
        <f t="shared" si="10"/>
        <v>5798.6152202052381</v>
      </c>
      <c r="CP6" s="84">
        <f t="shared" si="10"/>
        <v>6030.390553138368</v>
      </c>
      <c r="CQ6" s="84">
        <f t="shared" si="10"/>
        <v>6211.186597884549</v>
      </c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</row>
    <row r="7" spans="2:148">
      <c r="B7" s="36"/>
    </row>
    <row r="8" spans="2:148">
      <c r="B8" s="36" t="s">
        <v>199</v>
      </c>
      <c r="AQ8" s="74"/>
      <c r="AR8" s="74"/>
      <c r="AS8" s="74"/>
      <c r="AT8" s="74"/>
      <c r="AU8" s="74">
        <f t="shared" ref="AU8:BK8" si="11">AU4/AQ4-1</f>
        <v>0.15566037735849059</v>
      </c>
      <c r="AV8" s="74">
        <f t="shared" si="11"/>
        <v>0.18050392399834791</v>
      </c>
      <c r="AW8" s="74">
        <f t="shared" si="11"/>
        <v>0.25278524779101041</v>
      </c>
      <c r="AX8" s="74">
        <f t="shared" si="11"/>
        <v>0.32849891225525707</v>
      </c>
      <c r="AY8" s="74">
        <f t="shared" si="11"/>
        <v>0.32690166975881274</v>
      </c>
      <c r="AZ8" s="74">
        <f t="shared" si="11"/>
        <v>0.33135059482155338</v>
      </c>
      <c r="BA8" s="74">
        <f t="shared" si="11"/>
        <v>0.29408157007053037</v>
      </c>
      <c r="BB8" s="74">
        <f t="shared" si="11"/>
        <v>0.36735807860262026</v>
      </c>
      <c r="BC8" s="74">
        <f t="shared" si="11"/>
        <v>0.21085011185682312</v>
      </c>
      <c r="BD8" s="74">
        <f t="shared" si="11"/>
        <v>0.26254927726675414</v>
      </c>
      <c r="BE8" s="74">
        <f t="shared" si="11"/>
        <v>0.26421800947867302</v>
      </c>
      <c r="BF8" s="74">
        <f t="shared" si="11"/>
        <v>0.16926147704590799</v>
      </c>
      <c r="BG8" s="74">
        <f t="shared" si="11"/>
        <v>0.27944572748267893</v>
      </c>
      <c r="BH8" s="74">
        <f t="shared" si="11"/>
        <v>0.33014154870940882</v>
      </c>
      <c r="BI8" s="74">
        <f t="shared" si="11"/>
        <v>0.31059044048734785</v>
      </c>
      <c r="BJ8" s="74">
        <f t="shared" si="11"/>
        <v>0.33458518265619674</v>
      </c>
      <c r="BK8" s="74">
        <f t="shared" si="11"/>
        <v>0.36895306859205768</v>
      </c>
      <c r="BL8" s="74">
        <f>BL4/BH4-1</f>
        <v>0.24553990610328635</v>
      </c>
      <c r="CC8" s="74"/>
      <c r="CD8" s="74">
        <f t="shared" ref="CD8:CG10" si="12">CD4/CC4-1</f>
        <v>0.23373541625469652</v>
      </c>
      <c r="CE8" s="74">
        <f t="shared" si="12"/>
        <v>0.33122295239621735</v>
      </c>
      <c r="CF8" s="74">
        <f t="shared" si="12"/>
        <v>0.22370718198783957</v>
      </c>
      <c r="CG8" s="74">
        <f t="shared" si="12"/>
        <v>0.31549171053278879</v>
      </c>
      <c r="CH8" s="94">
        <v>0.22</v>
      </c>
      <c r="CI8" s="94">
        <v>0.14000000000000001</v>
      </c>
      <c r="CJ8" s="94">
        <v>0.11</v>
      </c>
      <c r="CK8" s="94">
        <v>0.09</v>
      </c>
      <c r="CL8" s="94">
        <v>0.08</v>
      </c>
      <c r="CM8" s="94">
        <v>7.0000000000000007E-2</v>
      </c>
      <c r="CN8" s="94">
        <v>0.06</v>
      </c>
      <c r="CO8" s="94">
        <v>0.05</v>
      </c>
      <c r="CP8" s="94">
        <v>0.04</v>
      </c>
      <c r="CQ8" s="94">
        <v>0.03</v>
      </c>
    </row>
    <row r="9" spans="2:148">
      <c r="B9" s="36" t="s">
        <v>200</v>
      </c>
      <c r="AQ9" s="74"/>
      <c r="AR9" s="74"/>
      <c r="AS9" s="74"/>
      <c r="AT9" s="74"/>
      <c r="AU9" s="74">
        <f t="shared" ref="AU9:BK9" si="13">AU5/AQ5-1</f>
        <v>0.35602094240837689</v>
      </c>
      <c r="AV9" s="74">
        <f t="shared" si="13"/>
        <v>-0.35545023696682465</v>
      </c>
      <c r="AW9" s="74">
        <f t="shared" si="13"/>
        <v>-3.9215686274509887E-2</v>
      </c>
      <c r="AX9" s="74">
        <f t="shared" si="13"/>
        <v>-0.89655172413793116</v>
      </c>
      <c r="AY9" s="74">
        <f t="shared" si="13"/>
        <v>-0.98069498069498073</v>
      </c>
      <c r="AZ9" s="74">
        <f t="shared" si="13"/>
        <v>0.17647058823529416</v>
      </c>
      <c r="BA9" s="74">
        <f t="shared" si="13"/>
        <v>-0.27210884353741494</v>
      </c>
      <c r="BB9" s="74">
        <f t="shared" si="13"/>
        <v>1.6666666666666692</v>
      </c>
      <c r="BC9" s="74">
        <f t="shared" si="13"/>
        <v>16.399999999999999</v>
      </c>
      <c r="BD9" s="74">
        <f t="shared" si="13"/>
        <v>-0.49375000000000002</v>
      </c>
      <c r="BE9" s="74">
        <f t="shared" si="13"/>
        <v>-3.7383177570093351E-2</v>
      </c>
      <c r="BF9" s="74">
        <f t="shared" si="13"/>
        <v>0.34090909090909083</v>
      </c>
      <c r="BG9" s="74">
        <f t="shared" si="13"/>
        <v>0.71264367816091978</v>
      </c>
      <c r="BH9" s="74">
        <f t="shared" si="13"/>
        <v>0.2592592592592593</v>
      </c>
      <c r="BI9" s="74">
        <f t="shared" si="13"/>
        <v>-0.31067961165048552</v>
      </c>
      <c r="BJ9" s="74">
        <f t="shared" si="13"/>
        <v>-0.83898305084745772</v>
      </c>
      <c r="BK9" s="74">
        <f t="shared" si="13"/>
        <v>-0.77852348993288589</v>
      </c>
      <c r="BL9" s="74">
        <f>BL5/BH5-1</f>
        <v>-0.43137254901960786</v>
      </c>
      <c r="CC9" s="74"/>
      <c r="CD9" s="74">
        <f t="shared" si="12"/>
        <v>-0.3421052631578948</v>
      </c>
      <c r="CE9" s="74">
        <f t="shared" si="12"/>
        <v>-0.37391304347826082</v>
      </c>
      <c r="CF9" s="74">
        <f t="shared" si="12"/>
        <v>8.0555555555555491E-2</v>
      </c>
      <c r="CG9" s="74">
        <f t="shared" si="12"/>
        <v>-0.12339331619537264</v>
      </c>
      <c r="CH9" s="94">
        <v>-0.6</v>
      </c>
      <c r="CI9" s="94">
        <v>-0.2</v>
      </c>
      <c r="CJ9" s="94">
        <v>-0.2</v>
      </c>
      <c r="CK9" s="94">
        <v>0.1</v>
      </c>
      <c r="CL9" s="94">
        <v>0.06</v>
      </c>
      <c r="CM9" s="94">
        <v>0.04</v>
      </c>
      <c r="CN9" s="94">
        <v>3.5000000000000003E-2</v>
      </c>
      <c r="CO9" s="94">
        <v>0.03</v>
      </c>
      <c r="CP9" s="94">
        <v>2.5000000000000001E-2</v>
      </c>
      <c r="CQ9" s="94">
        <v>0.02</v>
      </c>
    </row>
    <row r="10" spans="2:148" s="2" customFormat="1" ht="15">
      <c r="B10" s="33" t="s">
        <v>102</v>
      </c>
      <c r="AM10" s="1"/>
      <c r="AN10" s="1"/>
      <c r="AO10" s="1"/>
      <c r="AP10" s="1"/>
      <c r="AQ10" s="74"/>
      <c r="AR10" s="74"/>
      <c r="AS10" s="74"/>
      <c r="AT10" s="74"/>
      <c r="AU10" s="74">
        <f t="shared" ref="AU10:BK10" si="14">AU6/AQ6-1</f>
        <v>0.17082837891399127</v>
      </c>
      <c r="AV10" s="74">
        <f t="shared" si="14"/>
        <v>0.13753799392097288</v>
      </c>
      <c r="AW10" s="74">
        <f t="shared" si="14"/>
        <v>0.2365747460087082</v>
      </c>
      <c r="AX10" s="74">
        <f t="shared" si="14"/>
        <v>0.20149496262593414</v>
      </c>
      <c r="AY10" s="74">
        <f t="shared" si="14"/>
        <v>0.21225457007447557</v>
      </c>
      <c r="AZ10" s="74">
        <f t="shared" si="14"/>
        <v>0.32431529726118891</v>
      </c>
      <c r="BA10" s="74">
        <f t="shared" si="14"/>
        <v>0.2696596244131455</v>
      </c>
      <c r="BB10" s="74">
        <f t="shared" si="14"/>
        <v>0.37895591019745756</v>
      </c>
      <c r="BC10" s="74">
        <f t="shared" si="14"/>
        <v>0.23345434236246843</v>
      </c>
      <c r="BD10" s="74">
        <f t="shared" si="14"/>
        <v>0.23203026481715017</v>
      </c>
      <c r="BE10" s="74">
        <f t="shared" si="14"/>
        <v>0.25675987982435866</v>
      </c>
      <c r="BF10" s="74">
        <f t="shared" si="14"/>
        <v>0.17222440172616693</v>
      </c>
      <c r="BG10" s="74">
        <f t="shared" si="14"/>
        <v>0.28797826579126107</v>
      </c>
      <c r="BH10" s="74">
        <f t="shared" si="14"/>
        <v>0.32896622313203694</v>
      </c>
      <c r="BI10" s="74">
        <f t="shared" si="14"/>
        <v>0.29882309672673801</v>
      </c>
      <c r="BJ10" s="74">
        <f t="shared" si="14"/>
        <v>0.31141231593038832</v>
      </c>
      <c r="BK10" s="74">
        <f t="shared" si="14"/>
        <v>0.33889963086658459</v>
      </c>
      <c r="BL10" s="74">
        <f>BL6/BH6-1</f>
        <v>0.23490449784349954</v>
      </c>
      <c r="BM10" s="34"/>
      <c r="BN10" s="34"/>
      <c r="CC10" s="93"/>
      <c r="CD10" s="93">
        <f t="shared" si="12"/>
        <v>0.18793228977065857</v>
      </c>
      <c r="CE10" s="93">
        <f t="shared" si="12"/>
        <v>0.30016088255573425</v>
      </c>
      <c r="CF10" s="93">
        <f t="shared" si="12"/>
        <v>0.22067055565376226</v>
      </c>
      <c r="CG10" s="93">
        <f t="shared" si="12"/>
        <v>0.30725043444680433</v>
      </c>
      <c r="CH10" s="95">
        <f t="shared" ref="CH10:CQ10" si="15">CH6/CG6-1</f>
        <v>0.20967467966470954</v>
      </c>
      <c r="CI10" s="95">
        <f t="shared" si="15"/>
        <v>0.13858433661383684</v>
      </c>
      <c r="CJ10" s="95">
        <f t="shared" si="15"/>
        <v>0.10909308296669384</v>
      </c>
      <c r="CK10" s="95">
        <f t="shared" si="15"/>
        <v>9.0021102205844361E-2</v>
      </c>
      <c r="CL10" s="95">
        <f t="shared" si="15"/>
        <v>7.995740921642458E-2</v>
      </c>
      <c r="CM10" s="95">
        <f t="shared" si="15"/>
        <v>6.9937294429107011E-2</v>
      </c>
      <c r="CN10" s="95">
        <f t="shared" si="15"/>
        <v>5.9949207464409016E-2</v>
      </c>
      <c r="CO10" s="95">
        <f t="shared" si="15"/>
        <v>4.9960322420005587E-2</v>
      </c>
      <c r="CP10" s="95">
        <f t="shared" si="15"/>
        <v>3.9970807534445596E-2</v>
      </c>
      <c r="CQ10" s="95">
        <f t="shared" si="15"/>
        <v>2.9980818514663277E-2</v>
      </c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</row>
    <row r="11" spans="2:148"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CC11" s="74"/>
      <c r="CD11" s="74"/>
      <c r="CE11" s="74"/>
      <c r="CF11" s="74"/>
      <c r="CG11" s="74"/>
    </row>
    <row r="12" spans="2:148">
      <c r="B12" s="36" t="s">
        <v>201</v>
      </c>
      <c r="AQ12" s="74">
        <f t="shared" ref="AQ12:BK12" si="16">AQ4/AQ6</f>
        <v>0.9242964724534285</v>
      </c>
      <c r="AR12" s="74">
        <f t="shared" si="16"/>
        <v>0.91983282674772038</v>
      </c>
      <c r="AS12" s="74">
        <f t="shared" si="16"/>
        <v>0.9444847605224963</v>
      </c>
      <c r="AT12" s="74">
        <f t="shared" si="16"/>
        <v>0.89632759181020483</v>
      </c>
      <c r="AU12" s="74">
        <f t="shared" si="16"/>
        <v>0.91232227488151663</v>
      </c>
      <c r="AV12" s="74">
        <f t="shared" si="16"/>
        <v>0.95457581830327309</v>
      </c>
      <c r="AW12" s="74">
        <f t="shared" si="16"/>
        <v>0.95686619718309862</v>
      </c>
      <c r="AX12" s="74">
        <f t="shared" si="16"/>
        <v>0.99107384365701923</v>
      </c>
      <c r="AY12" s="74">
        <f t="shared" si="16"/>
        <v>0.99860374197151636</v>
      </c>
      <c r="AZ12" s="74">
        <f t="shared" si="16"/>
        <v>0.95964691046658257</v>
      </c>
      <c r="BA12" s="74">
        <f t="shared" si="16"/>
        <v>0.9752715507279871</v>
      </c>
      <c r="BB12" s="74">
        <f t="shared" si="16"/>
        <v>0.98273832875637501</v>
      </c>
      <c r="BC12" s="74">
        <f t="shared" si="16"/>
        <v>0.9803033733303147</v>
      </c>
      <c r="BD12" s="74">
        <f t="shared" si="16"/>
        <v>0.98341862845445238</v>
      </c>
      <c r="BE12" s="74">
        <f t="shared" si="16"/>
        <v>0.98105921294593612</v>
      </c>
      <c r="BF12" s="74">
        <f t="shared" si="16"/>
        <v>0.98025435073627853</v>
      </c>
      <c r="BG12" s="74">
        <f t="shared" si="16"/>
        <v>0.97380910529091236</v>
      </c>
      <c r="BH12" s="74">
        <f t="shared" si="16"/>
        <v>0.98428835489833633</v>
      </c>
      <c r="BI12" s="74">
        <f t="shared" si="16"/>
        <v>0.98994761432818912</v>
      </c>
      <c r="BJ12" s="74">
        <f t="shared" si="16"/>
        <v>0.99757560290927649</v>
      </c>
      <c r="BK12" s="74">
        <f t="shared" si="16"/>
        <v>0.99566758566364721</v>
      </c>
      <c r="BL12" s="74">
        <f>BL4/BL6</f>
        <v>0.99276537358114014</v>
      </c>
      <c r="CC12" s="74">
        <f t="shared" ref="CC12:CG12" si="17">CC4/CC6</f>
        <v>0.92045868219876215</v>
      </c>
      <c r="CD12" s="74">
        <f t="shared" si="17"/>
        <v>0.95594882402512837</v>
      </c>
      <c r="CE12" s="74">
        <f t="shared" si="17"/>
        <v>0.97878734311472515</v>
      </c>
      <c r="CF12" s="74">
        <f t="shared" si="17"/>
        <v>0.98122224367638544</v>
      </c>
      <c r="CG12" s="74">
        <f t="shared" si="17"/>
        <v>0.98740814593257265</v>
      </c>
    </row>
    <row r="13" spans="2:148">
      <c r="B13" s="36" t="s">
        <v>202</v>
      </c>
      <c r="AQ13" s="74">
        <f t="shared" ref="AQ13:BK13" si="18">AQ5/AQ6</f>
        <v>7.5703527546571558E-2</v>
      </c>
      <c r="AR13" s="74">
        <f t="shared" si="18"/>
        <v>8.016717325227965E-2</v>
      </c>
      <c r="AS13" s="74">
        <f t="shared" si="18"/>
        <v>5.5515239477503628E-2</v>
      </c>
      <c r="AT13" s="74">
        <f t="shared" si="18"/>
        <v>0.10367240818979526</v>
      </c>
      <c r="AU13" s="74">
        <f t="shared" si="18"/>
        <v>8.7677725118483416E-2</v>
      </c>
      <c r="AV13" s="74">
        <f t="shared" si="18"/>
        <v>4.5424181696726781E-2</v>
      </c>
      <c r="AW13" s="74">
        <f t="shared" si="18"/>
        <v>4.3133802816901406E-2</v>
      </c>
      <c r="AX13" s="74">
        <f t="shared" si="18"/>
        <v>8.9261563429807872E-3</v>
      </c>
      <c r="AY13" s="74">
        <f t="shared" si="18"/>
        <v>1.3962580284836636E-3</v>
      </c>
      <c r="AZ13" s="74">
        <f t="shared" si="18"/>
        <v>4.0353089533417402E-2</v>
      </c>
      <c r="BA13" s="74">
        <f t="shared" si="18"/>
        <v>2.472844927201294E-2</v>
      </c>
      <c r="BB13" s="74">
        <f t="shared" si="18"/>
        <v>1.7261671243624953E-2</v>
      </c>
      <c r="BC13" s="74">
        <f t="shared" si="18"/>
        <v>1.9696626669685306E-2</v>
      </c>
      <c r="BD13" s="74">
        <f t="shared" si="18"/>
        <v>1.6581371545547594E-2</v>
      </c>
      <c r="BE13" s="74">
        <f t="shared" si="18"/>
        <v>1.8940787054063997E-2</v>
      </c>
      <c r="BF13" s="74">
        <f t="shared" si="18"/>
        <v>1.9745649263721556E-2</v>
      </c>
      <c r="BG13" s="74">
        <f t="shared" si="18"/>
        <v>2.6190894709087715E-2</v>
      </c>
      <c r="BH13" s="74">
        <f t="shared" si="18"/>
        <v>1.5711645101663584E-2</v>
      </c>
      <c r="BI13" s="74">
        <f t="shared" si="18"/>
        <v>1.0052385671810844E-2</v>
      </c>
      <c r="BJ13" s="74">
        <f t="shared" si="18"/>
        <v>2.4243970907234895E-3</v>
      </c>
      <c r="BK13" s="74">
        <f t="shared" si="18"/>
        <v>4.3324143363528949E-3</v>
      </c>
      <c r="BL13" s="74">
        <f>BL5/BL6</f>
        <v>7.2346264188599234E-3</v>
      </c>
      <c r="CC13" s="74">
        <f t="shared" ref="CC13:CG13" si="19">CC5/CC6</f>
        <v>7.9541317801237701E-2</v>
      </c>
      <c r="CD13" s="74">
        <f t="shared" si="19"/>
        <v>4.4051175974871681E-2</v>
      </c>
      <c r="CE13" s="74">
        <f t="shared" si="19"/>
        <v>2.1212656885274881E-2</v>
      </c>
      <c r="CF13" s="74">
        <f t="shared" si="19"/>
        <v>1.8777756323614597E-2</v>
      </c>
      <c r="CG13" s="74">
        <f t="shared" si="19"/>
        <v>1.2591854067427348E-2</v>
      </c>
    </row>
    <row r="15" spans="2:148">
      <c r="B15" s="1" t="s">
        <v>191</v>
      </c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>
        <v>469.3</v>
      </c>
      <c r="BL15" s="81">
        <v>470.3</v>
      </c>
    </row>
    <row r="16" spans="2:148">
      <c r="B16" s="1" t="s">
        <v>190</v>
      </c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>
        <v>224.7</v>
      </c>
      <c r="BL16" s="81">
        <v>234.1</v>
      </c>
    </row>
    <row r="17" spans="2:147">
      <c r="B17" s="1" t="s">
        <v>192</v>
      </c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>
        <v>136.4</v>
      </c>
      <c r="BL17" s="81">
        <v>154.19999999999999</v>
      </c>
    </row>
    <row r="18" spans="2:147" ht="15">
      <c r="B18" s="33" t="s">
        <v>52</v>
      </c>
      <c r="AM18" s="2"/>
      <c r="AN18" s="2"/>
      <c r="AO18" s="2"/>
      <c r="AP18" s="2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>
        <f t="shared" ref="BK18" si="20">SUM(BK15:BK17)</f>
        <v>830.4</v>
      </c>
      <c r="BL18" s="80">
        <f>SUM(BL15:BL17)</f>
        <v>858.59999999999991</v>
      </c>
    </row>
    <row r="20" spans="2:147">
      <c r="B20" s="1" t="s">
        <v>193</v>
      </c>
    </row>
    <row r="21" spans="2:147">
      <c r="B21" s="1" t="s">
        <v>194</v>
      </c>
    </row>
    <row r="22" spans="2:147">
      <c r="B22" s="1" t="s">
        <v>195</v>
      </c>
    </row>
    <row r="23" spans="2:147" ht="15">
      <c r="B23" s="33" t="s">
        <v>196</v>
      </c>
    </row>
    <row r="25" spans="2:147">
      <c r="B25" s="1" t="s">
        <v>53</v>
      </c>
      <c r="BK25" s="74">
        <f t="shared" ref="BK25" si="21">BK15/BK18</f>
        <v>0.56514932562620424</v>
      </c>
      <c r="BL25" s="74">
        <f>BL15/BL18</f>
        <v>0.54775215467039373</v>
      </c>
    </row>
    <row r="26" spans="2:147">
      <c r="B26" s="1" t="s">
        <v>197</v>
      </c>
      <c r="BK26" s="74">
        <f t="shared" ref="BK26" si="22">BK16/BK18</f>
        <v>0.27059248554913296</v>
      </c>
      <c r="BL26" s="74">
        <f>BL16/BL18</f>
        <v>0.27265315630095505</v>
      </c>
    </row>
    <row r="27" spans="2:147">
      <c r="B27" s="1" t="s">
        <v>198</v>
      </c>
      <c r="BK27" s="74">
        <f t="shared" ref="BK27" si="23">BK17/BK18</f>
        <v>0.16425818882466284</v>
      </c>
      <c r="BL27" s="74">
        <f>BL17/BL18</f>
        <v>0.17959468902865131</v>
      </c>
    </row>
    <row r="29" spans="2:147" s="2" customFormat="1" ht="15">
      <c r="B29" s="2" t="s">
        <v>51</v>
      </c>
      <c r="C29" s="80">
        <v>28.257999999999999</v>
      </c>
      <c r="D29" s="80">
        <v>32.210999999999999</v>
      </c>
      <c r="E29" s="80">
        <v>44.594000000000001</v>
      </c>
      <c r="F29" s="80">
        <v>47.192</v>
      </c>
      <c r="G29" s="80">
        <v>47.753999999999998</v>
      </c>
      <c r="H29" s="80">
        <v>51.034999999999997</v>
      </c>
      <c r="I29" s="80">
        <v>54.752000000000002</v>
      </c>
      <c r="J29" s="80">
        <v>57.828000000000003</v>
      </c>
      <c r="K29" s="80">
        <v>57.356000000000002</v>
      </c>
      <c r="L29" s="80">
        <v>60.091999999999999</v>
      </c>
      <c r="M29" s="80">
        <v>61.103000000000002</v>
      </c>
      <c r="N29" s="80">
        <v>68.533000000000001</v>
      </c>
      <c r="O29" s="80">
        <v>69.161000000000001</v>
      </c>
      <c r="P29" s="80">
        <v>72.013000000000005</v>
      </c>
      <c r="Q29" s="80">
        <v>74.984999999999999</v>
      </c>
      <c r="R29" s="80">
        <v>15.162000000000001</v>
      </c>
      <c r="S29" s="80">
        <v>48.148000000000003</v>
      </c>
      <c r="T29" s="80">
        <v>60.551000000000002</v>
      </c>
      <c r="U29" s="80">
        <v>71.393000000000001</v>
      </c>
      <c r="V29" s="80">
        <v>83.801000000000002</v>
      </c>
      <c r="W29" s="80">
        <v>81.212999999999994</v>
      </c>
      <c r="X29" s="80">
        <v>87.33</v>
      </c>
      <c r="Y29" s="80">
        <v>94.870999999999995</v>
      </c>
      <c r="Z29" s="80">
        <v>103.575</v>
      </c>
      <c r="AA29" s="80">
        <v>101.71299999999999</v>
      </c>
      <c r="AB29" s="80">
        <v>109.756</v>
      </c>
      <c r="AC29" s="80">
        <v>121.77500000000001</v>
      </c>
      <c r="AD29" s="80">
        <v>130.55600000000001</v>
      </c>
      <c r="AE29" s="80">
        <v>123.578</v>
      </c>
      <c r="AF29" s="80">
        <v>124.262</v>
      </c>
      <c r="AG29" s="80">
        <v>151.07599999999999</v>
      </c>
      <c r="AH29" s="80">
        <v>164.88399999999999</v>
      </c>
      <c r="AI29" s="80">
        <v>159.6</v>
      </c>
      <c r="AJ29" s="80">
        <v>177.1</v>
      </c>
      <c r="AK29" s="80">
        <v>192.1</v>
      </c>
      <c r="AL29" s="80">
        <v>209.4</v>
      </c>
      <c r="AM29" s="80">
        <v>198</v>
      </c>
      <c r="AN29" s="80">
        <v>226.3</v>
      </c>
      <c r="AO29" s="80">
        <v>234</v>
      </c>
      <c r="AP29" s="80">
        <v>246.1</v>
      </c>
      <c r="AQ29" s="80">
        <v>252.3</v>
      </c>
      <c r="AR29" s="80">
        <v>263.2</v>
      </c>
      <c r="AS29" s="80">
        <v>275.60000000000002</v>
      </c>
      <c r="AT29" s="80">
        <v>307.7</v>
      </c>
      <c r="AU29" s="80">
        <f t="shared" ref="AU29:BL29" si="24">AU6</f>
        <v>295.39999999999998</v>
      </c>
      <c r="AV29" s="80">
        <f t="shared" si="24"/>
        <v>299.40000000000003</v>
      </c>
      <c r="AW29" s="80">
        <f t="shared" si="24"/>
        <v>340.8</v>
      </c>
      <c r="AX29" s="80">
        <f t="shared" si="24"/>
        <v>369.7</v>
      </c>
      <c r="AY29" s="80">
        <f t="shared" si="24"/>
        <v>358.1</v>
      </c>
      <c r="AZ29" s="80">
        <f t="shared" si="24"/>
        <v>396.5</v>
      </c>
      <c r="BA29" s="80">
        <f t="shared" si="24"/>
        <v>432.7</v>
      </c>
      <c r="BB29" s="80">
        <f t="shared" si="24"/>
        <v>509.8</v>
      </c>
      <c r="BC29" s="80">
        <f t="shared" si="24"/>
        <v>441.7</v>
      </c>
      <c r="BD29" s="80">
        <f t="shared" si="24"/>
        <v>488.5</v>
      </c>
      <c r="BE29" s="80">
        <f t="shared" si="24"/>
        <v>543.79999999999995</v>
      </c>
      <c r="BF29" s="80">
        <f t="shared" si="24"/>
        <v>597.59999999999991</v>
      </c>
      <c r="BG29" s="80">
        <f t="shared" si="24"/>
        <v>568.9</v>
      </c>
      <c r="BH29" s="80">
        <f t="shared" si="24"/>
        <v>649.20000000000005</v>
      </c>
      <c r="BI29" s="80">
        <f t="shared" si="24"/>
        <v>706.30000000000007</v>
      </c>
      <c r="BJ29" s="80">
        <f t="shared" si="24"/>
        <v>783.69999999999993</v>
      </c>
      <c r="BK29" s="80">
        <f t="shared" si="24"/>
        <v>761.69999999999993</v>
      </c>
      <c r="BL29" s="80">
        <f t="shared" si="24"/>
        <v>801.69999999999993</v>
      </c>
      <c r="BM29" s="34"/>
      <c r="BN29" s="34"/>
      <c r="BS29" s="80">
        <f>SUM(C29:F29)</f>
        <v>152.255</v>
      </c>
      <c r="BT29" s="80">
        <f>SUM(G29:J29)</f>
        <v>211.369</v>
      </c>
      <c r="BU29" s="80">
        <f>SUM(K29:N29)</f>
        <v>247.084</v>
      </c>
      <c r="BV29" s="80">
        <f>SUM(O29:R29)</f>
        <v>231.321</v>
      </c>
      <c r="BW29" s="80">
        <f>SUM(S29:V29)</f>
        <v>263.89300000000003</v>
      </c>
      <c r="BX29" s="80">
        <f>SUM(W29:Z29)</f>
        <v>366.98899999999998</v>
      </c>
      <c r="BY29" s="80">
        <f>SUM(AA29:AD29)</f>
        <v>463.80000000000007</v>
      </c>
      <c r="BZ29" s="80">
        <f>SUM(AE29:AH29)</f>
        <v>563.79999999999995</v>
      </c>
      <c r="CA29" s="80">
        <f>SUM(AI29:AL29)</f>
        <v>738.19999999999993</v>
      </c>
      <c r="CB29" s="80">
        <f>SUM(AM29:AP29)</f>
        <v>904.4</v>
      </c>
      <c r="CC29" s="80">
        <f>SUM(AQ29:AT29)</f>
        <v>1098.8</v>
      </c>
      <c r="CD29" s="80">
        <f>SUM(AU29:AX29)</f>
        <v>1305.3</v>
      </c>
      <c r="CE29" s="80">
        <f>SUM(AY29:BB29)</f>
        <v>1697.1</v>
      </c>
      <c r="CF29" s="80">
        <f>SUM(BC29:BF29)</f>
        <v>2071.6</v>
      </c>
      <c r="CG29" s="80">
        <f t="shared" ref="CG29:CG30" si="25">SUM(BG29:BJ29)</f>
        <v>2708.1</v>
      </c>
      <c r="CH29" s="84">
        <f>CH6</f>
        <v>3275.9199999999996</v>
      </c>
      <c r="CI29" s="84">
        <f t="shared" ref="CI29:CQ29" si="26">CI6</f>
        <v>3729.9112</v>
      </c>
      <c r="CJ29" s="84">
        <f t="shared" si="26"/>
        <v>4136.8187120000002</v>
      </c>
      <c r="CK29" s="84">
        <f t="shared" si="26"/>
        <v>4509.2196920800016</v>
      </c>
      <c r="CL29" s="84">
        <f t="shared" si="26"/>
        <v>4869.7652162464019</v>
      </c>
      <c r="CM29" s="84">
        <f t="shared" si="26"/>
        <v>5210.3434199756502</v>
      </c>
      <c r="CN29" s="84">
        <f t="shared" si="26"/>
        <v>5522.6993786205885</v>
      </c>
      <c r="CO29" s="84">
        <f t="shared" si="26"/>
        <v>5798.6152202052381</v>
      </c>
      <c r="CP29" s="84">
        <f t="shared" si="26"/>
        <v>6030.390553138368</v>
      </c>
      <c r="CQ29" s="84">
        <f t="shared" si="26"/>
        <v>6211.186597884549</v>
      </c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</row>
    <row r="30" spans="2:147">
      <c r="B30" s="1" t="s">
        <v>54</v>
      </c>
      <c r="C30" s="81">
        <v>14.725</v>
      </c>
      <c r="D30" s="81">
        <v>17.672999999999998</v>
      </c>
      <c r="E30" s="81">
        <v>26.033000000000001</v>
      </c>
      <c r="F30" s="81">
        <v>27.111999999999998</v>
      </c>
      <c r="G30" s="81">
        <v>27.457999999999998</v>
      </c>
      <c r="H30" s="81">
        <v>28.704000000000001</v>
      </c>
      <c r="I30" s="81">
        <v>30.361999999999998</v>
      </c>
      <c r="J30" s="81">
        <v>32.509</v>
      </c>
      <c r="K30" s="81">
        <v>32.201000000000001</v>
      </c>
      <c r="L30" s="81">
        <v>33.259</v>
      </c>
      <c r="M30" s="81">
        <v>33.707999999999998</v>
      </c>
      <c r="N30" s="81">
        <v>35.515000000000001</v>
      </c>
      <c r="O30" s="81">
        <v>36.353000000000002</v>
      </c>
      <c r="P30" s="81">
        <v>36.247999999999998</v>
      </c>
      <c r="Q30" s="81">
        <v>36.942999999999998</v>
      </c>
      <c r="R30" s="81">
        <v>-5.3490000000000002</v>
      </c>
      <c r="S30" s="81">
        <v>18.954999999999998</v>
      </c>
      <c r="T30" s="81">
        <v>30.036000000000001</v>
      </c>
      <c r="U30" s="81">
        <v>39.823</v>
      </c>
      <c r="V30" s="81">
        <v>41.808</v>
      </c>
      <c r="W30" s="81">
        <v>37.161999999999999</v>
      </c>
      <c r="X30" s="81">
        <v>36.872999999999998</v>
      </c>
      <c r="Y30" s="81">
        <v>39.229999999999997</v>
      </c>
      <c r="Z30" s="81">
        <v>42.637999999999998</v>
      </c>
      <c r="AA30" s="81">
        <v>42.314999999999998</v>
      </c>
      <c r="AB30" s="81">
        <v>45.116999999999997</v>
      </c>
      <c r="AC30" s="81">
        <v>48.151000000000003</v>
      </c>
      <c r="AD30" s="81">
        <v>51.017000000000003</v>
      </c>
      <c r="AE30" s="81">
        <v>47.762999999999998</v>
      </c>
      <c r="AF30" s="81">
        <v>42.19</v>
      </c>
      <c r="AG30" s="81">
        <v>49.106999999999999</v>
      </c>
      <c r="AH30" s="81">
        <v>54.54</v>
      </c>
      <c r="AI30" s="81">
        <v>52.9</v>
      </c>
      <c r="AJ30" s="81">
        <v>60.7</v>
      </c>
      <c r="AK30" s="81">
        <v>69</v>
      </c>
      <c r="AL30" s="81">
        <v>75.3</v>
      </c>
      <c r="AM30" s="81">
        <v>71.099999999999994</v>
      </c>
      <c r="AN30" s="81">
        <v>83.8</v>
      </c>
      <c r="AO30" s="81">
        <v>82.2</v>
      </c>
      <c r="AP30" s="81">
        <v>85</v>
      </c>
      <c r="AQ30" s="81">
        <v>84.8</v>
      </c>
      <c r="AR30" s="81">
        <v>80.5</v>
      </c>
      <c r="AS30" s="81">
        <v>86.9</v>
      </c>
      <c r="AT30" s="81">
        <v>94.5</v>
      </c>
      <c r="AU30" s="81">
        <v>85.7</v>
      </c>
      <c r="AV30" s="81">
        <v>109.1</v>
      </c>
      <c r="AW30" s="81">
        <v>152.5</v>
      </c>
      <c r="AX30" s="81">
        <f>499.7-SUM(AU30:AW30)</f>
        <v>152.39999999999998</v>
      </c>
      <c r="AY30" s="81">
        <v>117.6</v>
      </c>
      <c r="AZ30" s="81">
        <v>131.6</v>
      </c>
      <c r="BA30" s="81">
        <v>139.4</v>
      </c>
      <c r="BB30" s="81">
        <f>537.2-SUM(AY30:BA30)</f>
        <v>148.60000000000002</v>
      </c>
      <c r="BC30" s="81">
        <v>134.9</v>
      </c>
      <c r="BD30" s="81">
        <v>157.6</v>
      </c>
      <c r="BE30" s="81">
        <v>166.8</v>
      </c>
      <c r="BF30" s="81">
        <f>625.9-SUM(BC30:BE30)</f>
        <v>166.59999999999997</v>
      </c>
      <c r="BG30" s="81">
        <v>159.9</v>
      </c>
      <c r="BH30" s="81">
        <v>196.9</v>
      </c>
      <c r="BI30" s="81">
        <v>196.2</v>
      </c>
      <c r="BJ30" s="81">
        <f>768.2-SUM(BG30:BI30)</f>
        <v>215.20000000000005</v>
      </c>
      <c r="BK30" s="81">
        <v>232.7</v>
      </c>
      <c r="BL30" s="81">
        <v>239.1</v>
      </c>
      <c r="BS30" s="81">
        <f>SUM(C30:F30)</f>
        <v>85.542999999999992</v>
      </c>
      <c r="BT30" s="81">
        <f>SUM(G30:J30)</f>
        <v>119.033</v>
      </c>
      <c r="BU30" s="81">
        <f>SUM(K30:N30)</f>
        <v>134.68299999999999</v>
      </c>
      <c r="BV30" s="81">
        <f>SUM(O30:R30)</f>
        <v>104.19499999999999</v>
      </c>
      <c r="BW30" s="81">
        <f>SUM(S30:V30)</f>
        <v>130.62199999999999</v>
      </c>
      <c r="BX30" s="81">
        <f>SUM(W30:Z30)</f>
        <v>155.90299999999999</v>
      </c>
      <c r="BY30" s="81">
        <f>SUM(AA30:AD30)</f>
        <v>186.6</v>
      </c>
      <c r="BZ30" s="81">
        <f>SUM(AE30:AH30)</f>
        <v>193.6</v>
      </c>
      <c r="CA30" s="81">
        <f>SUM(AI30:AL30)</f>
        <v>257.89999999999998</v>
      </c>
      <c r="CB30" s="81">
        <f>SUM(AM30:AP30)</f>
        <v>322.09999999999997</v>
      </c>
      <c r="CC30" s="81">
        <f>SUM(AQ30:AT30)</f>
        <v>346.70000000000005</v>
      </c>
      <c r="CD30" s="81">
        <f>SUM(AU30:AX30)</f>
        <v>499.7</v>
      </c>
      <c r="CE30" s="81">
        <f>SUM(AY30:BB30)</f>
        <v>537.20000000000005</v>
      </c>
      <c r="CF30" s="81">
        <f>SUM(BC30:BF30)</f>
        <v>625.9</v>
      </c>
      <c r="CG30" s="81">
        <f t="shared" si="25"/>
        <v>768.2</v>
      </c>
      <c r="CH30" s="83">
        <f>CH29*(1-CH45)</f>
        <v>929.27208891842974</v>
      </c>
      <c r="CI30" s="83">
        <f t="shared" ref="CI30:CQ30" si="27">CI29*(1-CI45)</f>
        <v>1100.3238040000001</v>
      </c>
      <c r="CJ30" s="83">
        <f t="shared" si="27"/>
        <v>1261.7297071600003</v>
      </c>
      <c r="CK30" s="83">
        <f t="shared" si="27"/>
        <v>1352.7659076240006</v>
      </c>
      <c r="CL30" s="83">
        <f t="shared" si="27"/>
        <v>1448.7551518333046</v>
      </c>
      <c r="CM30" s="83">
        <f t="shared" si="27"/>
        <v>1537.0513088928171</v>
      </c>
      <c r="CN30" s="83">
        <f t="shared" si="27"/>
        <v>1615.389568246522</v>
      </c>
      <c r="CO30" s="83">
        <f t="shared" si="27"/>
        <v>1681.5984138595193</v>
      </c>
      <c r="CP30" s="83">
        <f t="shared" si="27"/>
        <v>1748.813260410127</v>
      </c>
      <c r="CQ30" s="83">
        <f t="shared" si="27"/>
        <v>1801.2441133865195</v>
      </c>
    </row>
    <row r="31" spans="2:147">
      <c r="B31" s="1" t="s">
        <v>55</v>
      </c>
      <c r="C31" s="81">
        <f t="shared" ref="C31:AL31" si="28">C29-C30</f>
        <v>13.532999999999999</v>
      </c>
      <c r="D31" s="81">
        <f t="shared" si="28"/>
        <v>14.538</v>
      </c>
      <c r="E31" s="81">
        <f t="shared" si="28"/>
        <v>18.561</v>
      </c>
      <c r="F31" s="81">
        <f t="shared" si="28"/>
        <v>20.080000000000002</v>
      </c>
      <c r="G31" s="81">
        <f t="shared" si="28"/>
        <v>20.295999999999999</v>
      </c>
      <c r="H31" s="81">
        <f t="shared" si="28"/>
        <v>22.330999999999996</v>
      </c>
      <c r="I31" s="81">
        <f t="shared" si="28"/>
        <v>24.390000000000004</v>
      </c>
      <c r="J31" s="81">
        <f t="shared" si="28"/>
        <v>25.319000000000003</v>
      </c>
      <c r="K31" s="81">
        <f t="shared" si="28"/>
        <v>25.155000000000001</v>
      </c>
      <c r="L31" s="81">
        <f t="shared" si="28"/>
        <v>26.832999999999998</v>
      </c>
      <c r="M31" s="81">
        <f t="shared" si="28"/>
        <v>27.395000000000003</v>
      </c>
      <c r="N31" s="81">
        <f t="shared" si="28"/>
        <v>33.018000000000001</v>
      </c>
      <c r="O31" s="81">
        <f t="shared" si="28"/>
        <v>32.808</v>
      </c>
      <c r="P31" s="81">
        <f t="shared" si="28"/>
        <v>35.765000000000008</v>
      </c>
      <c r="Q31" s="81">
        <f t="shared" si="28"/>
        <v>38.042000000000002</v>
      </c>
      <c r="R31" s="81">
        <f t="shared" si="28"/>
        <v>20.511000000000003</v>
      </c>
      <c r="S31" s="81">
        <f t="shared" si="28"/>
        <v>29.193000000000005</v>
      </c>
      <c r="T31" s="81">
        <f t="shared" si="28"/>
        <v>30.515000000000001</v>
      </c>
      <c r="U31" s="81">
        <f t="shared" si="28"/>
        <v>31.57</v>
      </c>
      <c r="V31" s="81">
        <f t="shared" si="28"/>
        <v>41.993000000000002</v>
      </c>
      <c r="W31" s="81">
        <f t="shared" si="28"/>
        <v>44.050999999999995</v>
      </c>
      <c r="X31" s="81">
        <f t="shared" si="28"/>
        <v>50.457000000000001</v>
      </c>
      <c r="Y31" s="81">
        <f t="shared" si="28"/>
        <v>55.640999999999998</v>
      </c>
      <c r="Z31" s="81">
        <f t="shared" si="28"/>
        <v>60.937000000000005</v>
      </c>
      <c r="AA31" s="81">
        <f t="shared" si="28"/>
        <v>59.397999999999996</v>
      </c>
      <c r="AB31" s="81">
        <f t="shared" si="28"/>
        <v>64.63900000000001</v>
      </c>
      <c r="AC31" s="81">
        <f t="shared" si="28"/>
        <v>73.623999999999995</v>
      </c>
      <c r="AD31" s="81">
        <f t="shared" si="28"/>
        <v>79.539000000000016</v>
      </c>
      <c r="AE31" s="81">
        <f t="shared" si="28"/>
        <v>75.814999999999998</v>
      </c>
      <c r="AF31" s="81">
        <f t="shared" si="28"/>
        <v>82.072000000000003</v>
      </c>
      <c r="AG31" s="81">
        <f t="shared" si="28"/>
        <v>101.96899999999999</v>
      </c>
      <c r="AH31" s="81">
        <f t="shared" si="28"/>
        <v>110.34399999999999</v>
      </c>
      <c r="AI31" s="81">
        <f t="shared" si="28"/>
        <v>106.69999999999999</v>
      </c>
      <c r="AJ31" s="81">
        <f t="shared" si="28"/>
        <v>116.39999999999999</v>
      </c>
      <c r="AK31" s="81">
        <f t="shared" si="28"/>
        <v>123.1</v>
      </c>
      <c r="AL31" s="81">
        <f t="shared" si="28"/>
        <v>134.10000000000002</v>
      </c>
      <c r="AM31" s="81">
        <f t="shared" ref="AM31:BF31" si="29">AM29-AM30</f>
        <v>126.9</v>
      </c>
      <c r="AN31" s="81">
        <f t="shared" si="29"/>
        <v>142.5</v>
      </c>
      <c r="AO31" s="81">
        <f t="shared" si="29"/>
        <v>151.80000000000001</v>
      </c>
      <c r="AP31" s="81">
        <f t="shared" si="29"/>
        <v>161.1</v>
      </c>
      <c r="AQ31" s="81">
        <f t="shared" si="29"/>
        <v>167.5</v>
      </c>
      <c r="AR31" s="81">
        <f t="shared" si="29"/>
        <v>182.7</v>
      </c>
      <c r="AS31" s="81">
        <f t="shared" si="29"/>
        <v>188.70000000000002</v>
      </c>
      <c r="AT31" s="81">
        <f t="shared" si="29"/>
        <v>213.2</v>
      </c>
      <c r="AU31" s="81">
        <f t="shared" si="29"/>
        <v>209.7</v>
      </c>
      <c r="AV31" s="81">
        <f t="shared" si="29"/>
        <v>190.30000000000004</v>
      </c>
      <c r="AW31" s="81">
        <f t="shared" si="29"/>
        <v>188.3</v>
      </c>
      <c r="AX31" s="81">
        <f t="shared" si="29"/>
        <v>217.3</v>
      </c>
      <c r="AY31" s="81">
        <f t="shared" si="29"/>
        <v>240.50000000000003</v>
      </c>
      <c r="AZ31" s="81">
        <f t="shared" si="29"/>
        <v>264.89999999999998</v>
      </c>
      <c r="BA31" s="81">
        <f t="shared" si="29"/>
        <v>293.29999999999995</v>
      </c>
      <c r="BB31" s="81">
        <f t="shared" si="29"/>
        <v>361.2</v>
      </c>
      <c r="BC31" s="81">
        <f t="shared" si="29"/>
        <v>306.79999999999995</v>
      </c>
      <c r="BD31" s="81">
        <f t="shared" si="29"/>
        <v>330.9</v>
      </c>
      <c r="BE31" s="81">
        <f t="shared" si="29"/>
        <v>376.99999999999994</v>
      </c>
      <c r="BF31" s="81">
        <f t="shared" si="29"/>
        <v>430.99999999999994</v>
      </c>
      <c r="BG31" s="81">
        <f>BG29-BG30</f>
        <v>409</v>
      </c>
      <c r="BH31" s="81">
        <f t="shared" ref="BH31:BJ31" si="30">BH29-BH30</f>
        <v>452.30000000000007</v>
      </c>
      <c r="BI31" s="81">
        <f t="shared" si="30"/>
        <v>510.10000000000008</v>
      </c>
      <c r="BJ31" s="81">
        <f t="shared" si="30"/>
        <v>568.49999999999989</v>
      </c>
      <c r="BK31" s="81">
        <f t="shared" ref="BK31:BL31" si="31">BK29-BK30</f>
        <v>529</v>
      </c>
      <c r="BL31" s="81">
        <f t="shared" si="31"/>
        <v>562.59999999999991</v>
      </c>
      <c r="BS31" s="81">
        <f t="shared" ref="BS31:BS43" si="32">SUM(C31:F31)</f>
        <v>66.712000000000003</v>
      </c>
      <c r="BT31" s="81">
        <f t="shared" ref="BT31:BT43" si="33">SUM(G31:J31)</f>
        <v>92.335999999999999</v>
      </c>
      <c r="BU31" s="81">
        <f t="shared" ref="BU31:BU43" si="34">SUM(K31:N31)</f>
        <v>112.40100000000001</v>
      </c>
      <c r="BV31" s="81">
        <f t="shared" ref="BV31:BV43" si="35">SUM(O31:R31)</f>
        <v>127.126</v>
      </c>
      <c r="BW31" s="81">
        <f t="shared" ref="BW31:BW43" si="36">SUM(S31:V31)</f>
        <v>133.27100000000002</v>
      </c>
      <c r="BX31" s="81">
        <f t="shared" ref="BX31:BX43" si="37">SUM(W31:Z31)</f>
        <v>211.08600000000001</v>
      </c>
      <c r="BY31" s="81">
        <f t="shared" ref="BY31:BY43" si="38">SUM(AA31:AD31)</f>
        <v>277.20000000000005</v>
      </c>
      <c r="BZ31" s="81">
        <f t="shared" ref="BZ31:BZ43" si="39">SUM(AE31:AH31)</f>
        <v>370.2</v>
      </c>
      <c r="CA31" s="81">
        <f t="shared" ref="CA31:CA43" si="40">SUM(AI31:AL31)</f>
        <v>480.29999999999995</v>
      </c>
      <c r="CB31" s="81">
        <f t="shared" ref="CB31:CB43" si="41">SUM(AM31:AP31)</f>
        <v>582.29999999999995</v>
      </c>
      <c r="CC31" s="81">
        <f t="shared" ref="CC31:CC43" si="42">SUM(AQ31:AT31)</f>
        <v>752.09999999999991</v>
      </c>
      <c r="CD31" s="81">
        <f t="shared" ref="CD31:CD43" si="43">SUM(AU31:AX31)</f>
        <v>805.59999999999991</v>
      </c>
      <c r="CE31" s="81">
        <f t="shared" ref="CE31:CE43" si="44">SUM(AY31:BB31)</f>
        <v>1159.8999999999999</v>
      </c>
      <c r="CF31" s="81">
        <f t="shared" ref="CF31:CF43" si="45">SUM(BC31:BF31)</f>
        <v>1445.6999999999998</v>
      </c>
      <c r="CG31" s="81">
        <f t="shared" ref="CG31:CG43" si="46">SUM(BG31:BJ31)</f>
        <v>1939.9</v>
      </c>
      <c r="CH31" s="83">
        <f>CH29*CH45</f>
        <v>2346.6479110815699</v>
      </c>
      <c r="CI31" s="83">
        <f t="shared" ref="CI31:CQ31" si="47">CI29*CI45</f>
        <v>2629.5873959999999</v>
      </c>
      <c r="CJ31" s="83">
        <f t="shared" si="47"/>
        <v>2875.0890048400001</v>
      </c>
      <c r="CK31" s="83">
        <f t="shared" si="47"/>
        <v>3156.4537844560009</v>
      </c>
      <c r="CL31" s="83">
        <f t="shared" si="47"/>
        <v>3421.0100644130976</v>
      </c>
      <c r="CM31" s="83">
        <f t="shared" si="47"/>
        <v>3673.2921110828333</v>
      </c>
      <c r="CN31" s="83">
        <f t="shared" si="47"/>
        <v>3907.3098103740663</v>
      </c>
      <c r="CO31" s="83">
        <f t="shared" si="47"/>
        <v>4117.0168063457186</v>
      </c>
      <c r="CP31" s="83">
        <f t="shared" si="47"/>
        <v>4281.5772927282414</v>
      </c>
      <c r="CQ31" s="83">
        <f t="shared" si="47"/>
        <v>4409.9424844980294</v>
      </c>
    </row>
    <row r="32" spans="2:147">
      <c r="B32" s="1" t="s">
        <v>166</v>
      </c>
      <c r="C32" s="81">
        <v>4.5890000000000004</v>
      </c>
      <c r="D32" s="81">
        <v>6.8319999999999999</v>
      </c>
      <c r="E32" s="81">
        <v>4.6379999999999999</v>
      </c>
      <c r="F32" s="81">
        <v>5.8040000000000003</v>
      </c>
      <c r="G32" s="81">
        <v>5.4320000000000004</v>
      </c>
      <c r="H32" s="81">
        <v>6.5209999999999999</v>
      </c>
      <c r="I32" s="81">
        <v>6.5590000000000002</v>
      </c>
      <c r="J32" s="81">
        <v>5.8470000000000004</v>
      </c>
      <c r="K32" s="81">
        <v>4.3959999999999999</v>
      </c>
      <c r="L32" s="81">
        <v>5.1740000000000004</v>
      </c>
      <c r="M32" s="81">
        <v>5.7709999999999999</v>
      </c>
      <c r="N32" s="81">
        <v>6.4240000000000004</v>
      </c>
      <c r="O32" s="81">
        <v>6.7789999999999999</v>
      </c>
      <c r="P32" s="81">
        <v>6.6769999999999996</v>
      </c>
      <c r="Q32" s="81">
        <v>7.1580000000000004</v>
      </c>
      <c r="R32" s="81">
        <v>7.2859999999999996</v>
      </c>
      <c r="S32" s="81">
        <v>8.2070000000000007</v>
      </c>
      <c r="T32" s="81">
        <v>12.069000000000001</v>
      </c>
      <c r="U32" s="81">
        <v>10.035</v>
      </c>
      <c r="V32" s="81">
        <v>12.897</v>
      </c>
      <c r="W32" s="81">
        <v>12.989000000000001</v>
      </c>
      <c r="X32" s="81">
        <v>12.952999999999999</v>
      </c>
      <c r="Y32" s="81">
        <v>13.734</v>
      </c>
      <c r="Z32" s="81">
        <v>16.033999999999999</v>
      </c>
      <c r="AA32" s="81">
        <v>17.5</v>
      </c>
      <c r="AB32" s="81">
        <v>18.029</v>
      </c>
      <c r="AC32" s="81">
        <v>20.140999999999998</v>
      </c>
      <c r="AD32" s="81">
        <v>20.03</v>
      </c>
      <c r="AE32" s="81">
        <v>20.266999999999999</v>
      </c>
      <c r="AF32" s="81">
        <v>18.800999999999998</v>
      </c>
      <c r="AG32" s="81">
        <v>22.335999999999999</v>
      </c>
      <c r="AH32" s="81">
        <v>33.396000000000001</v>
      </c>
      <c r="AI32" s="81">
        <v>32.5</v>
      </c>
      <c r="AJ32" s="81">
        <v>33</v>
      </c>
      <c r="AK32" s="81">
        <v>31.3</v>
      </c>
      <c r="AL32" s="81">
        <v>35.5</v>
      </c>
      <c r="AM32" s="81">
        <v>35.5</v>
      </c>
      <c r="AN32" s="81">
        <v>34.200000000000003</v>
      </c>
      <c r="AO32" s="81">
        <v>38.799999999999997</v>
      </c>
      <c r="AP32" s="81">
        <v>38.299999999999997</v>
      </c>
      <c r="AQ32" s="81">
        <v>40.700000000000003</v>
      </c>
      <c r="AR32" s="81">
        <v>40.1</v>
      </c>
      <c r="AS32" s="81">
        <v>37.5</v>
      </c>
      <c r="AT32" s="81">
        <v>41.8</v>
      </c>
      <c r="AU32" s="81">
        <v>43.1</v>
      </c>
      <c r="AV32" s="81">
        <v>42.6</v>
      </c>
      <c r="AW32" s="81">
        <v>45</v>
      </c>
      <c r="AX32" s="81">
        <f>180.2-SUM(AU32:AW32)</f>
        <v>49.5</v>
      </c>
      <c r="AY32" s="81">
        <v>50.1</v>
      </c>
      <c r="AZ32" s="81">
        <v>55.1</v>
      </c>
      <c r="BA32" s="81">
        <v>57.8</v>
      </c>
      <c r="BB32" s="81">
        <f>205-SUM(AY32:BA32)</f>
        <v>42</v>
      </c>
      <c r="BC32" s="81">
        <v>50.2</v>
      </c>
      <c r="BD32" s="81">
        <v>53.9</v>
      </c>
      <c r="BE32" s="81">
        <v>54.9</v>
      </c>
      <c r="BF32" s="81">
        <f>219.6-SUM(BC32:BE32)</f>
        <v>60.599999999999994</v>
      </c>
      <c r="BG32" s="81">
        <v>59.6</v>
      </c>
      <c r="BH32" s="81">
        <v>73.400000000000006</v>
      </c>
      <c r="BI32" s="81">
        <v>77.2</v>
      </c>
      <c r="BJ32" s="81">
        <f>301.1-SUM(BG32:BI32)</f>
        <v>90.900000000000034</v>
      </c>
      <c r="BK32" s="81">
        <v>89.7</v>
      </c>
      <c r="BL32" s="81">
        <v>88.1</v>
      </c>
      <c r="BS32" s="81">
        <f t="shared" si="32"/>
        <v>21.863</v>
      </c>
      <c r="BT32" s="81">
        <f t="shared" si="33"/>
        <v>24.359000000000002</v>
      </c>
      <c r="BU32" s="81">
        <f t="shared" si="34"/>
        <v>21.765000000000001</v>
      </c>
      <c r="BV32" s="81">
        <f t="shared" si="35"/>
        <v>27.9</v>
      </c>
      <c r="BW32" s="81">
        <f t="shared" si="36"/>
        <v>43.208000000000006</v>
      </c>
      <c r="BX32" s="81">
        <f t="shared" si="37"/>
        <v>55.71</v>
      </c>
      <c r="BY32" s="81">
        <f t="shared" si="38"/>
        <v>75.699999999999989</v>
      </c>
      <c r="BZ32" s="81">
        <f t="shared" si="39"/>
        <v>94.8</v>
      </c>
      <c r="CA32" s="81">
        <f t="shared" si="40"/>
        <v>132.30000000000001</v>
      </c>
      <c r="CB32" s="81">
        <f t="shared" si="41"/>
        <v>146.80000000000001</v>
      </c>
      <c r="CC32" s="81">
        <f t="shared" si="42"/>
        <v>160.10000000000002</v>
      </c>
      <c r="CD32" s="81">
        <f t="shared" si="43"/>
        <v>180.2</v>
      </c>
      <c r="CE32" s="81">
        <f t="shared" si="44"/>
        <v>205</v>
      </c>
      <c r="CF32" s="81">
        <f t="shared" si="45"/>
        <v>219.6</v>
      </c>
      <c r="CG32" s="81">
        <f t="shared" si="46"/>
        <v>301.10000000000002</v>
      </c>
      <c r="CH32" s="83">
        <f>CH29*CH46</f>
        <v>364.23304604704407</v>
      </c>
      <c r="CI32" s="83">
        <f t="shared" ref="CI32:CQ32" si="48">CI29*CI46</f>
        <v>428.93978800000002</v>
      </c>
      <c r="CJ32" s="83">
        <f t="shared" si="48"/>
        <v>486.07619865999999</v>
      </c>
      <c r="CK32" s="83">
        <f t="shared" si="48"/>
        <v>518.56026458920019</v>
      </c>
      <c r="CL32" s="83">
        <f t="shared" si="48"/>
        <v>547.84858682772028</v>
      </c>
      <c r="CM32" s="83">
        <f t="shared" si="48"/>
        <v>573.1377761973215</v>
      </c>
      <c r="CN32" s="83">
        <f t="shared" si="48"/>
        <v>601.97423226964418</v>
      </c>
      <c r="CO32" s="83">
        <f t="shared" si="48"/>
        <v>626.25044378216569</v>
      </c>
      <c r="CP32" s="83">
        <f t="shared" si="48"/>
        <v>645.25178918580536</v>
      </c>
      <c r="CQ32" s="83">
        <f t="shared" si="48"/>
        <v>658.38577937576213</v>
      </c>
    </row>
    <row r="33" spans="2:147">
      <c r="B33" s="1" t="s">
        <v>167</v>
      </c>
      <c r="C33" s="81">
        <v>16.216999999999999</v>
      </c>
      <c r="D33" s="81">
        <v>22.621000000000002</v>
      </c>
      <c r="E33" s="81">
        <v>23.691000000000003</v>
      </c>
      <c r="F33" s="81">
        <v>24.786999999999999</v>
      </c>
      <c r="G33" s="81">
        <v>25.759</v>
      </c>
      <c r="H33" s="81">
        <v>26.329000000000001</v>
      </c>
      <c r="I33" s="81">
        <v>26.302</v>
      </c>
      <c r="J33" s="81">
        <v>25.558</v>
      </c>
      <c r="K33" s="81">
        <v>26.965000000000003</v>
      </c>
      <c r="L33" s="81">
        <v>27.481000000000002</v>
      </c>
      <c r="M33" s="81">
        <v>38.936999999999998</v>
      </c>
      <c r="N33" s="81">
        <v>26.387999999999998</v>
      </c>
      <c r="O33" s="81">
        <v>27.915000000000003</v>
      </c>
      <c r="P33" s="81">
        <v>34.368000000000002</v>
      </c>
      <c r="Q33" s="81">
        <v>33.76</v>
      </c>
      <c r="R33" s="81">
        <v>12.057000000000002</v>
      </c>
      <c r="S33" s="81">
        <v>28.252000000000002</v>
      </c>
      <c r="T33" s="81">
        <v>32.504999999999995</v>
      </c>
      <c r="U33" s="81">
        <v>36.33</v>
      </c>
      <c r="V33" s="81">
        <v>41.712000000000003</v>
      </c>
      <c r="W33" s="81">
        <v>38.760999999999996</v>
      </c>
      <c r="X33" s="81">
        <v>38.791999999999994</v>
      </c>
      <c r="Y33" s="81">
        <v>39.488999999999997</v>
      </c>
      <c r="Z33" s="81">
        <v>49.038000000000004</v>
      </c>
      <c r="AA33" s="81">
        <v>47.206000000000003</v>
      </c>
      <c r="AB33" s="81">
        <v>49.968000000000004</v>
      </c>
      <c r="AC33" s="81">
        <v>51.436000000000007</v>
      </c>
      <c r="AD33" s="81">
        <v>60.289999999999992</v>
      </c>
      <c r="AE33" s="81">
        <v>55.548000000000002</v>
      </c>
      <c r="AF33" s="81">
        <v>58.945999999999998</v>
      </c>
      <c r="AG33" s="81">
        <v>72.768000000000001</v>
      </c>
      <c r="AH33" s="81">
        <v>60.738000000000014</v>
      </c>
      <c r="AI33" s="81">
        <v>66.900000000000006</v>
      </c>
      <c r="AJ33" s="81">
        <v>75.8</v>
      </c>
      <c r="AK33" s="81">
        <v>74.8</v>
      </c>
      <c r="AL33" s="81">
        <v>80.5</v>
      </c>
      <c r="AM33" s="81">
        <v>83.9</v>
      </c>
      <c r="AN33" s="81">
        <v>80.8</v>
      </c>
      <c r="AO33" s="81">
        <v>89.2</v>
      </c>
      <c r="AP33" s="81">
        <v>130.10000000000002</v>
      </c>
      <c r="AQ33" s="81">
        <v>110.49999999999999</v>
      </c>
      <c r="AR33" s="81">
        <v>116.30000000000001</v>
      </c>
      <c r="AS33" s="81">
        <v>117.5</v>
      </c>
      <c r="AT33" s="81">
        <v>121.7</v>
      </c>
      <c r="AU33" s="81">
        <v>128.69999999999999</v>
      </c>
      <c r="AV33" s="81">
        <v>174.4</v>
      </c>
      <c r="AW33" s="81">
        <v>140.4</v>
      </c>
      <c r="AX33" s="81">
        <f>587.8-SUM(AU33:AW33)</f>
        <v>144.29999999999995</v>
      </c>
      <c r="AY33" s="81">
        <v>162.69999999999999</v>
      </c>
      <c r="AZ33" s="81">
        <v>178.7</v>
      </c>
      <c r="BA33" s="81">
        <v>180.7</v>
      </c>
      <c r="BB33" s="81">
        <f>734.8-SUM(AY33:BA33)</f>
        <v>212.70000000000005</v>
      </c>
      <c r="BC33" s="81">
        <v>199.7</v>
      </c>
      <c r="BD33" s="81">
        <v>222.4</v>
      </c>
      <c r="BE33" s="81">
        <v>234.1</v>
      </c>
      <c r="BF33" s="81">
        <f>917.2-SUM(BC33:BE33)</f>
        <v>261</v>
      </c>
      <c r="BG33" s="81">
        <v>260.7</v>
      </c>
      <c r="BH33" s="81">
        <v>257.7</v>
      </c>
      <c r="BI33" s="81">
        <v>315.2</v>
      </c>
      <c r="BJ33" s="81">
        <f>1165-SUM(BG33:BI33)</f>
        <v>331.40000000000009</v>
      </c>
      <c r="BK33" s="81">
        <v>317.2</v>
      </c>
      <c r="BL33" s="81">
        <v>344.8</v>
      </c>
      <c r="BS33" s="81">
        <f t="shared" si="32"/>
        <v>87.316000000000003</v>
      </c>
      <c r="BT33" s="81">
        <f t="shared" si="33"/>
        <v>103.94800000000001</v>
      </c>
      <c r="BU33" s="81">
        <f t="shared" si="34"/>
        <v>119.77100000000002</v>
      </c>
      <c r="BV33" s="81">
        <f t="shared" si="35"/>
        <v>108.10000000000001</v>
      </c>
      <c r="BW33" s="81">
        <f t="shared" si="36"/>
        <v>138.79899999999998</v>
      </c>
      <c r="BX33" s="81">
        <f t="shared" si="37"/>
        <v>166.08</v>
      </c>
      <c r="BY33" s="81">
        <f t="shared" si="38"/>
        <v>208.9</v>
      </c>
      <c r="BZ33" s="81">
        <f t="shared" si="39"/>
        <v>248</v>
      </c>
      <c r="CA33" s="81">
        <f t="shared" si="40"/>
        <v>298</v>
      </c>
      <c r="CB33" s="81">
        <f t="shared" si="41"/>
        <v>384</v>
      </c>
      <c r="CC33" s="81">
        <f t="shared" si="42"/>
        <v>466</v>
      </c>
      <c r="CD33" s="81">
        <f t="shared" si="43"/>
        <v>587.79999999999995</v>
      </c>
      <c r="CE33" s="81">
        <f t="shared" si="44"/>
        <v>734.8</v>
      </c>
      <c r="CF33" s="81">
        <f t="shared" si="45"/>
        <v>917.2</v>
      </c>
      <c r="CG33" s="81">
        <f t="shared" si="46"/>
        <v>1165</v>
      </c>
      <c r="CH33" s="83">
        <f>CH29*CH47</f>
        <v>1409.2710018093867</v>
      </c>
      <c r="CI33" s="83">
        <f t="shared" ref="CI33:CQ33" si="49">CI29*CI47</f>
        <v>1566.5627039999999</v>
      </c>
      <c r="CJ33" s="83">
        <f t="shared" si="49"/>
        <v>1716.7797654799999</v>
      </c>
      <c r="CK33" s="83">
        <f t="shared" si="49"/>
        <v>1860.0531229830005</v>
      </c>
      <c r="CL33" s="83">
        <f t="shared" si="49"/>
        <v>1996.6037386610246</v>
      </c>
      <c r="CM33" s="83">
        <f t="shared" si="49"/>
        <v>2123.2149436400773</v>
      </c>
      <c r="CN33" s="83">
        <f t="shared" si="49"/>
        <v>2236.6932483413384</v>
      </c>
      <c r="CO33" s="83">
        <f t="shared" si="49"/>
        <v>2333.9426261326084</v>
      </c>
      <c r="CP33" s="83">
        <f t="shared" si="49"/>
        <v>2421.201807085055</v>
      </c>
      <c r="CQ33" s="83">
        <f t="shared" si="49"/>
        <v>2484.4746391538197</v>
      </c>
    </row>
    <row r="34" spans="2:147">
      <c r="B34" s="1" t="s">
        <v>168</v>
      </c>
      <c r="C34" s="81">
        <f t="shared" ref="C34:AL34" si="50">C31-SUM(C32:C33)</f>
        <v>-7.2729999999999979</v>
      </c>
      <c r="D34" s="81">
        <f t="shared" si="50"/>
        <v>-14.915000000000003</v>
      </c>
      <c r="E34" s="81">
        <f t="shared" si="50"/>
        <v>-9.7680000000000007</v>
      </c>
      <c r="F34" s="81">
        <f t="shared" si="50"/>
        <v>-10.510999999999999</v>
      </c>
      <c r="G34" s="81">
        <f t="shared" si="50"/>
        <v>-10.895000000000003</v>
      </c>
      <c r="H34" s="81">
        <f t="shared" si="50"/>
        <v>-10.519000000000005</v>
      </c>
      <c r="I34" s="81">
        <f t="shared" si="50"/>
        <v>-8.470999999999993</v>
      </c>
      <c r="J34" s="81">
        <f t="shared" si="50"/>
        <v>-6.0859999999999985</v>
      </c>
      <c r="K34" s="81">
        <f t="shared" si="50"/>
        <v>-6.2060000000000031</v>
      </c>
      <c r="L34" s="81">
        <f t="shared" si="50"/>
        <v>-5.8220000000000027</v>
      </c>
      <c r="M34" s="81">
        <f t="shared" si="50"/>
        <v>-17.312999999999995</v>
      </c>
      <c r="N34" s="81">
        <f t="shared" si="50"/>
        <v>0.20600000000000307</v>
      </c>
      <c r="O34" s="81">
        <f t="shared" si="50"/>
        <v>-1.8860000000000028</v>
      </c>
      <c r="P34" s="81">
        <f t="shared" si="50"/>
        <v>-5.279999999999994</v>
      </c>
      <c r="Q34" s="81">
        <f t="shared" si="50"/>
        <v>-2.8759999999999977</v>
      </c>
      <c r="R34" s="81">
        <f t="shared" si="50"/>
        <v>1.1679999999999993</v>
      </c>
      <c r="S34" s="81">
        <f t="shared" si="50"/>
        <v>-7.2659999999999982</v>
      </c>
      <c r="T34" s="81">
        <f t="shared" si="50"/>
        <v>-14.058999999999997</v>
      </c>
      <c r="U34" s="81">
        <f t="shared" si="50"/>
        <v>-14.794999999999995</v>
      </c>
      <c r="V34" s="81">
        <f t="shared" si="50"/>
        <v>-12.616</v>
      </c>
      <c r="W34" s="81">
        <f t="shared" si="50"/>
        <v>-7.6990000000000052</v>
      </c>
      <c r="X34" s="81">
        <f t="shared" si="50"/>
        <v>-1.2879999999999896</v>
      </c>
      <c r="Y34" s="81">
        <f t="shared" si="50"/>
        <v>2.4179999999999993</v>
      </c>
      <c r="Z34" s="81">
        <f t="shared" si="50"/>
        <v>-4.134999999999998</v>
      </c>
      <c r="AA34" s="81">
        <f t="shared" si="50"/>
        <v>-5.3080000000000069</v>
      </c>
      <c r="AB34" s="81">
        <f t="shared" si="50"/>
        <v>-3.3579999999999899</v>
      </c>
      <c r="AC34" s="81">
        <f t="shared" si="50"/>
        <v>2.046999999999997</v>
      </c>
      <c r="AD34" s="81">
        <f t="shared" si="50"/>
        <v>-0.78099999999997749</v>
      </c>
      <c r="AE34" s="81">
        <f t="shared" si="50"/>
        <v>0</v>
      </c>
      <c r="AF34" s="81">
        <f t="shared" si="50"/>
        <v>4.3250000000000028</v>
      </c>
      <c r="AG34" s="81">
        <f t="shared" si="50"/>
        <v>6.8649999999999949</v>
      </c>
      <c r="AH34" s="81">
        <f t="shared" si="50"/>
        <v>16.20999999999998</v>
      </c>
      <c r="AI34" s="81">
        <f t="shared" si="50"/>
        <v>7.2999999999999829</v>
      </c>
      <c r="AJ34" s="81">
        <f t="shared" si="50"/>
        <v>7.5999999999999943</v>
      </c>
      <c r="AK34" s="81">
        <f t="shared" si="50"/>
        <v>17</v>
      </c>
      <c r="AL34" s="81">
        <f t="shared" si="50"/>
        <v>18.100000000000023</v>
      </c>
      <c r="AM34" s="81">
        <f>AM31-SUM(AM32:AM33)</f>
        <v>7.5</v>
      </c>
      <c r="AN34" s="81">
        <f t="shared" ref="AN34:BL34" si="51">AN31-SUM(AN32:AN33)</f>
        <v>27.5</v>
      </c>
      <c r="AO34" s="81">
        <f t="shared" si="51"/>
        <v>23.800000000000011</v>
      </c>
      <c r="AP34" s="81">
        <f t="shared" si="51"/>
        <v>-7.3000000000000398</v>
      </c>
      <c r="AQ34" s="81">
        <f t="shared" si="51"/>
        <v>16.300000000000011</v>
      </c>
      <c r="AR34" s="81">
        <f t="shared" si="51"/>
        <v>26.299999999999983</v>
      </c>
      <c r="AS34" s="81">
        <f t="shared" si="51"/>
        <v>33.700000000000017</v>
      </c>
      <c r="AT34" s="81">
        <f t="shared" si="51"/>
        <v>49.699999999999989</v>
      </c>
      <c r="AU34" s="81">
        <f t="shared" si="51"/>
        <v>37.900000000000006</v>
      </c>
      <c r="AV34" s="81">
        <f t="shared" si="51"/>
        <v>-26.69999999999996</v>
      </c>
      <c r="AW34" s="81">
        <f t="shared" si="51"/>
        <v>2.9000000000000057</v>
      </c>
      <c r="AX34" s="81">
        <f t="shared" si="51"/>
        <v>23.500000000000057</v>
      </c>
      <c r="AY34" s="81">
        <f t="shared" si="51"/>
        <v>27.700000000000045</v>
      </c>
      <c r="AZ34" s="81">
        <f t="shared" si="51"/>
        <v>31.099999999999994</v>
      </c>
      <c r="BA34" s="81">
        <f t="shared" si="51"/>
        <v>54.799999999999955</v>
      </c>
      <c r="BB34" s="81">
        <f t="shared" si="51"/>
        <v>106.49999999999994</v>
      </c>
      <c r="BC34" s="81">
        <f t="shared" si="51"/>
        <v>56.899999999999977</v>
      </c>
      <c r="BD34" s="81">
        <f t="shared" si="51"/>
        <v>54.599999999999966</v>
      </c>
      <c r="BE34" s="81">
        <f t="shared" si="51"/>
        <v>87.999999999999943</v>
      </c>
      <c r="BF34" s="81">
        <f t="shared" si="51"/>
        <v>109.39999999999992</v>
      </c>
      <c r="BG34" s="81">
        <f t="shared" si="51"/>
        <v>88.699999999999989</v>
      </c>
      <c r="BH34" s="81">
        <f t="shared" si="51"/>
        <v>121.20000000000005</v>
      </c>
      <c r="BI34" s="81">
        <f t="shared" si="51"/>
        <v>117.7000000000001</v>
      </c>
      <c r="BJ34" s="81">
        <f t="shared" si="51"/>
        <v>146.19999999999976</v>
      </c>
      <c r="BK34" s="81">
        <f t="shared" si="51"/>
        <v>122.10000000000002</v>
      </c>
      <c r="BL34" s="81">
        <f t="shared" si="51"/>
        <v>129.69999999999993</v>
      </c>
      <c r="BS34" s="81">
        <f t="shared" si="32"/>
        <v>-42.466999999999999</v>
      </c>
      <c r="BT34" s="81">
        <f t="shared" si="33"/>
        <v>-35.971000000000004</v>
      </c>
      <c r="BU34" s="81">
        <f t="shared" si="34"/>
        <v>-29.134999999999998</v>
      </c>
      <c r="BV34" s="81">
        <f t="shared" si="35"/>
        <v>-8.8739999999999952</v>
      </c>
      <c r="BW34" s="81">
        <f t="shared" si="36"/>
        <v>-48.73599999999999</v>
      </c>
      <c r="BX34" s="81">
        <f t="shared" si="37"/>
        <v>-10.703999999999994</v>
      </c>
      <c r="BY34" s="81">
        <f t="shared" si="38"/>
        <v>-7.3999999999999773</v>
      </c>
      <c r="BZ34" s="81">
        <f t="shared" si="39"/>
        <v>27.399999999999977</v>
      </c>
      <c r="CA34" s="81">
        <f t="shared" si="40"/>
        <v>50</v>
      </c>
      <c r="CB34" s="81">
        <f t="shared" si="41"/>
        <v>51.499999999999972</v>
      </c>
      <c r="CC34" s="81">
        <f t="shared" si="42"/>
        <v>126</v>
      </c>
      <c r="CD34" s="81">
        <f t="shared" si="43"/>
        <v>37.600000000000108</v>
      </c>
      <c r="CE34" s="81">
        <f t="shared" si="44"/>
        <v>220.09999999999994</v>
      </c>
      <c r="CF34" s="81">
        <f t="shared" si="45"/>
        <v>308.89999999999981</v>
      </c>
      <c r="CG34" s="81">
        <f t="shared" si="46"/>
        <v>473.7999999999999</v>
      </c>
      <c r="CH34" s="83">
        <f>CH31-SUM(CH32:CH33)</f>
        <v>573.14386322513906</v>
      </c>
      <c r="CI34" s="83">
        <f t="shared" ref="CI34:CQ34" si="52">CI31-SUM(CI32:CI33)</f>
        <v>634.08490399999982</v>
      </c>
      <c r="CJ34" s="83">
        <f t="shared" si="52"/>
        <v>672.2330407000004</v>
      </c>
      <c r="CK34" s="83">
        <f t="shared" si="52"/>
        <v>777.84039688380017</v>
      </c>
      <c r="CL34" s="83">
        <f t="shared" si="52"/>
        <v>876.55773892435263</v>
      </c>
      <c r="CM34" s="83">
        <f t="shared" si="52"/>
        <v>976.93939124543476</v>
      </c>
      <c r="CN34" s="83">
        <f t="shared" si="52"/>
        <v>1068.6423297630836</v>
      </c>
      <c r="CO34" s="83">
        <f t="shared" si="52"/>
        <v>1156.8237364309443</v>
      </c>
      <c r="CP34" s="83">
        <f t="shared" si="52"/>
        <v>1215.1236964573809</v>
      </c>
      <c r="CQ34" s="83">
        <f t="shared" si="52"/>
        <v>1267.0820659684478</v>
      </c>
    </row>
    <row r="35" spans="2:147">
      <c r="B35" s="1" t="s">
        <v>169</v>
      </c>
      <c r="C35" s="79">
        <v>0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0</v>
      </c>
      <c r="AD35" s="79">
        <v>0</v>
      </c>
      <c r="AE35" s="79">
        <v>0</v>
      </c>
      <c r="AF35" s="79">
        <v>0</v>
      </c>
      <c r="AG35" s="79">
        <v>0</v>
      </c>
      <c r="AH35" s="79">
        <v>0</v>
      </c>
      <c r="AI35" s="79">
        <v>0</v>
      </c>
      <c r="AJ35" s="79">
        <v>0</v>
      </c>
      <c r="AK35" s="79">
        <v>0</v>
      </c>
      <c r="AL35" s="79">
        <v>0</v>
      </c>
      <c r="AM35" s="79">
        <v>0</v>
      </c>
      <c r="AN35" s="79">
        <v>0</v>
      </c>
      <c r="AO35" s="79">
        <v>0</v>
      </c>
      <c r="AP35" s="79">
        <v>0</v>
      </c>
      <c r="AQ35" s="79">
        <v>0</v>
      </c>
      <c r="AR35" s="79">
        <v>0</v>
      </c>
      <c r="AS35" s="79">
        <v>0</v>
      </c>
      <c r="AT35" s="79">
        <v>0</v>
      </c>
      <c r="AU35" s="81">
        <v>-8.9</v>
      </c>
      <c r="AV35" s="81">
        <v>-8.3000000000000007</v>
      </c>
      <c r="AW35" s="81">
        <v>-6.8</v>
      </c>
      <c r="AX35" s="81">
        <f>-26.7-SUM(AU35:AW35)</f>
        <v>-2.6999999999999957</v>
      </c>
      <c r="AY35" s="81">
        <v>-9.4</v>
      </c>
      <c r="AZ35" s="81">
        <v>-9.6999999999999993</v>
      </c>
      <c r="BA35" s="81">
        <v>-10.4</v>
      </c>
      <c r="BB35" s="81">
        <f>-36.2-SUM(AY35:BA35)</f>
        <v>-6.7000000000000028</v>
      </c>
      <c r="BC35" s="81">
        <v>-10.7</v>
      </c>
      <c r="BD35" s="81">
        <v>-11</v>
      </c>
      <c r="BE35" s="81">
        <v>-12.4</v>
      </c>
      <c r="BF35" s="81">
        <f>-42.7-SUM(BC35:BE35)</f>
        <v>-8.6000000000000014</v>
      </c>
      <c r="BG35" s="81">
        <v>-9.1999999999999993</v>
      </c>
      <c r="BH35" s="81">
        <v>-19.600000000000001</v>
      </c>
      <c r="BI35" s="81">
        <v>-15.6</v>
      </c>
      <c r="BJ35" s="81">
        <f>-59.4-SUM(BG35:BI35)</f>
        <v>-15</v>
      </c>
      <c r="BK35" s="81">
        <v>-14.7</v>
      </c>
      <c r="BL35" s="81">
        <v>-13.5</v>
      </c>
      <c r="BS35" s="81">
        <f t="shared" si="32"/>
        <v>0</v>
      </c>
      <c r="BT35" s="81">
        <f t="shared" si="33"/>
        <v>0</v>
      </c>
      <c r="BU35" s="81">
        <f t="shared" si="34"/>
        <v>0</v>
      </c>
      <c r="BV35" s="81">
        <f t="shared" si="35"/>
        <v>0</v>
      </c>
      <c r="BW35" s="81">
        <f t="shared" si="36"/>
        <v>0</v>
      </c>
      <c r="BX35" s="81">
        <f t="shared" si="37"/>
        <v>0</v>
      </c>
      <c r="BY35" s="81">
        <f t="shared" si="38"/>
        <v>0</v>
      </c>
      <c r="BZ35" s="81">
        <f t="shared" si="39"/>
        <v>0</v>
      </c>
      <c r="CA35" s="81">
        <f t="shared" si="40"/>
        <v>0</v>
      </c>
      <c r="CB35" s="81">
        <f t="shared" si="41"/>
        <v>0</v>
      </c>
      <c r="CC35" s="81">
        <f t="shared" si="42"/>
        <v>0</v>
      </c>
      <c r="CD35" s="81">
        <f t="shared" si="43"/>
        <v>-26.7</v>
      </c>
      <c r="CE35" s="81">
        <f t="shared" si="44"/>
        <v>-36.200000000000003</v>
      </c>
      <c r="CF35" s="81">
        <f t="shared" si="45"/>
        <v>-42.7</v>
      </c>
      <c r="CG35" s="81">
        <f t="shared" si="46"/>
        <v>-59.4</v>
      </c>
      <c r="CH35" s="83">
        <f>CG65*(-$CV$69)</f>
        <v>-104.79949999999999</v>
      </c>
      <c r="CI35" s="83">
        <f t="shared" ref="CI35:CQ35" si="53">CH65*(-$CV$69)</f>
        <v>-97.9875325</v>
      </c>
      <c r="CJ35" s="83">
        <f t="shared" si="53"/>
        <v>-91.618342887499992</v>
      </c>
      <c r="CK35" s="83">
        <f t="shared" si="53"/>
        <v>-85.663150599812496</v>
      </c>
      <c r="CL35" s="83">
        <f t="shared" si="53"/>
        <v>-80.095045810824686</v>
      </c>
      <c r="CM35" s="83">
        <f t="shared" si="53"/>
        <v>-74.888867833121068</v>
      </c>
      <c r="CN35" s="83">
        <f t="shared" si="53"/>
        <v>-70.021091423968201</v>
      </c>
      <c r="CO35" s="83">
        <f t="shared" si="53"/>
        <v>-65.469720481410263</v>
      </c>
      <c r="CP35" s="83">
        <f t="shared" si="53"/>
        <v>-61.214188650118601</v>
      </c>
      <c r="CQ35" s="83">
        <f t="shared" si="53"/>
        <v>-57.235266387860889</v>
      </c>
    </row>
    <row r="36" spans="2:147">
      <c r="B36" s="1" t="s">
        <v>170</v>
      </c>
      <c r="C36" s="79">
        <v>0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9">
        <v>0</v>
      </c>
      <c r="K36" s="79">
        <v>0</v>
      </c>
      <c r="L36" s="79">
        <v>0</v>
      </c>
      <c r="M36" s="79">
        <v>0</v>
      </c>
      <c r="N36" s="79">
        <v>0</v>
      </c>
      <c r="O36" s="79">
        <v>0</v>
      </c>
      <c r="P36" s="79">
        <v>0</v>
      </c>
      <c r="Q36" s="79">
        <v>0</v>
      </c>
      <c r="R36" s="79">
        <v>0</v>
      </c>
      <c r="S36" s="79">
        <v>0</v>
      </c>
      <c r="T36" s="79">
        <v>0</v>
      </c>
      <c r="U36" s="79">
        <v>0</v>
      </c>
      <c r="V36" s="79">
        <v>0</v>
      </c>
      <c r="W36" s="79">
        <v>0</v>
      </c>
      <c r="X36" s="79">
        <v>0</v>
      </c>
      <c r="Y36" s="79">
        <v>0</v>
      </c>
      <c r="Z36" s="79">
        <v>0</v>
      </c>
      <c r="AA36" s="79">
        <v>0</v>
      </c>
      <c r="AB36" s="79">
        <v>0</v>
      </c>
      <c r="AC36" s="79">
        <v>0</v>
      </c>
      <c r="AD36" s="79">
        <v>0</v>
      </c>
      <c r="AE36" s="79">
        <v>0</v>
      </c>
      <c r="AF36" s="79">
        <v>0</v>
      </c>
      <c r="AG36" s="79">
        <v>0</v>
      </c>
      <c r="AH36" s="79">
        <v>0</v>
      </c>
      <c r="AI36" s="79">
        <v>0</v>
      </c>
      <c r="AJ36" s="79">
        <v>0</v>
      </c>
      <c r="AK36" s="79">
        <v>0</v>
      </c>
      <c r="AL36" s="79">
        <v>0</v>
      </c>
      <c r="AM36" s="79">
        <v>0</v>
      </c>
      <c r="AN36" s="79">
        <v>0</v>
      </c>
      <c r="AO36" s="79">
        <v>0</v>
      </c>
      <c r="AP36" s="79">
        <v>0</v>
      </c>
      <c r="AQ36" s="79">
        <v>0</v>
      </c>
      <c r="AR36" s="79">
        <v>0</v>
      </c>
      <c r="AS36" s="79">
        <v>0</v>
      </c>
      <c r="AT36" s="79">
        <v>0</v>
      </c>
      <c r="AU36" s="79">
        <v>0</v>
      </c>
      <c r="AV36" s="79">
        <v>0</v>
      </c>
      <c r="AW36" s="79">
        <v>0</v>
      </c>
      <c r="AX36" s="79">
        <f>0-SUM(AU36:AW36)</f>
        <v>0</v>
      </c>
      <c r="AY36" s="81">
        <v>6.5</v>
      </c>
      <c r="AZ36" s="81">
        <v>7.3</v>
      </c>
      <c r="BA36" s="81">
        <v>8.6</v>
      </c>
      <c r="BB36" s="81">
        <f>28.6-SUM(AY36:BA36)</f>
        <v>6.2000000000000028</v>
      </c>
      <c r="BC36" s="81">
        <v>9.4</v>
      </c>
      <c r="BD36" s="81">
        <v>9.3000000000000007</v>
      </c>
      <c r="BE36" s="81">
        <v>10.5</v>
      </c>
      <c r="BF36" s="81">
        <f>39.5-SUM(BC36:BE36)</f>
        <v>10.299999999999997</v>
      </c>
      <c r="BG36" s="81">
        <v>10.3</v>
      </c>
      <c r="BH36" s="81">
        <v>10.1</v>
      </c>
      <c r="BI36" s="81">
        <v>8.6</v>
      </c>
      <c r="BJ36" s="81">
        <f>34.7-SUM(BG36:BI36)</f>
        <v>5.7000000000000028</v>
      </c>
      <c r="BK36" s="81">
        <v>4.9000000000000004</v>
      </c>
      <c r="BL36" s="81">
        <v>3.6</v>
      </c>
      <c r="BS36" s="81">
        <f t="shared" si="32"/>
        <v>0</v>
      </c>
      <c r="BT36" s="81">
        <f t="shared" si="33"/>
        <v>0</v>
      </c>
      <c r="BU36" s="81">
        <f t="shared" si="34"/>
        <v>0</v>
      </c>
      <c r="BV36" s="81">
        <f t="shared" si="35"/>
        <v>0</v>
      </c>
      <c r="BW36" s="81">
        <f t="shared" si="36"/>
        <v>0</v>
      </c>
      <c r="BX36" s="81">
        <f t="shared" si="37"/>
        <v>0</v>
      </c>
      <c r="BY36" s="81">
        <f t="shared" si="38"/>
        <v>0</v>
      </c>
      <c r="BZ36" s="81">
        <f t="shared" si="39"/>
        <v>0</v>
      </c>
      <c r="CA36" s="81">
        <f t="shared" si="40"/>
        <v>0</v>
      </c>
      <c r="CB36" s="81">
        <f t="shared" si="41"/>
        <v>0</v>
      </c>
      <c r="CC36" s="81">
        <f t="shared" si="42"/>
        <v>0</v>
      </c>
      <c r="CD36" s="81">
        <f t="shared" si="43"/>
        <v>0</v>
      </c>
      <c r="CE36" s="81">
        <f t="shared" si="44"/>
        <v>28.6</v>
      </c>
      <c r="CF36" s="81">
        <f t="shared" si="45"/>
        <v>39.5</v>
      </c>
      <c r="CG36" s="81">
        <f t="shared" si="46"/>
        <v>34.700000000000003</v>
      </c>
      <c r="CH36" s="83">
        <f>CG52*$DA$52</f>
        <v>141.14099999999999</v>
      </c>
      <c r="CI36" s="83">
        <f t="shared" ref="CI36:CQ36" si="54">CH52*$DA$52</f>
        <v>194.10527806426458</v>
      </c>
      <c r="CJ36" s="83">
        <f t="shared" si="54"/>
        <v>257.55988831139916</v>
      </c>
      <c r="CK36" s="83">
        <f t="shared" si="54"/>
        <v>330.397259845566</v>
      </c>
      <c r="CL36" s="83">
        <f t="shared" si="54"/>
        <v>419.25898442822421</v>
      </c>
      <c r="CM36" s="83">
        <f t="shared" si="54"/>
        <v>524.90519820660245</v>
      </c>
      <c r="CN36" s="83">
        <f t="shared" si="54"/>
        <v>648.9076504152863</v>
      </c>
      <c r="CO36" s="83">
        <f t="shared" si="54"/>
        <v>792.07791084804387</v>
      </c>
      <c r="CP36" s="83">
        <f t="shared" si="54"/>
        <v>955.74814528675336</v>
      </c>
      <c r="CQ36" s="83">
        <f t="shared" si="54"/>
        <v>1139.0773953406233</v>
      </c>
    </row>
    <row r="37" spans="2:147">
      <c r="B37" s="1" t="s">
        <v>171</v>
      </c>
      <c r="C37" s="79">
        <v>0</v>
      </c>
      <c r="D37" s="79">
        <v>0</v>
      </c>
      <c r="E37" s="79">
        <v>0</v>
      </c>
      <c r="F37" s="79">
        <v>0</v>
      </c>
      <c r="G37" s="79">
        <v>0</v>
      </c>
      <c r="H37" s="79">
        <v>0</v>
      </c>
      <c r="I37" s="79">
        <v>0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0</v>
      </c>
      <c r="X37" s="79">
        <v>0</v>
      </c>
      <c r="Y37" s="79">
        <v>0</v>
      </c>
      <c r="Z37" s="79">
        <v>0</v>
      </c>
      <c r="AA37" s="79">
        <v>0</v>
      </c>
      <c r="AB37" s="79">
        <v>0</v>
      </c>
      <c r="AC37" s="79">
        <v>0</v>
      </c>
      <c r="AD37" s="79">
        <v>0</v>
      </c>
      <c r="AE37" s="79">
        <v>0</v>
      </c>
      <c r="AF37" s="79">
        <v>0</v>
      </c>
      <c r="AG37" s="79">
        <v>0</v>
      </c>
      <c r="AH37" s="79">
        <v>0</v>
      </c>
      <c r="AI37" s="79">
        <v>0</v>
      </c>
      <c r="AJ37" s="79">
        <v>0</v>
      </c>
      <c r="AK37" s="79">
        <v>0</v>
      </c>
      <c r="AL37" s="79">
        <v>0</v>
      </c>
      <c r="AM37" s="79">
        <v>0</v>
      </c>
      <c r="AN37" s="79">
        <v>0</v>
      </c>
      <c r="AO37" s="79">
        <v>0</v>
      </c>
      <c r="AP37" s="79">
        <v>0</v>
      </c>
      <c r="AQ37" s="79">
        <v>0</v>
      </c>
      <c r="AR37" s="79">
        <v>0</v>
      </c>
      <c r="AS37" s="79">
        <v>0</v>
      </c>
      <c r="AT37" s="79">
        <v>0</v>
      </c>
      <c r="AU37" s="79">
        <v>0</v>
      </c>
      <c r="AV37" s="79">
        <v>0</v>
      </c>
      <c r="AW37" s="79">
        <v>0</v>
      </c>
      <c r="AX37" s="79">
        <f>0-SUM(AU37:AW37)</f>
        <v>0</v>
      </c>
      <c r="AY37" s="79">
        <v>0</v>
      </c>
      <c r="AZ37" s="79">
        <v>0</v>
      </c>
      <c r="BA37" s="79">
        <v>0</v>
      </c>
      <c r="BB37" s="79">
        <f>0-SUM(AY37:BA37)</f>
        <v>0</v>
      </c>
      <c r="BC37" s="79">
        <v>0</v>
      </c>
      <c r="BD37" s="79">
        <v>0</v>
      </c>
      <c r="BE37" s="79">
        <v>0</v>
      </c>
      <c r="BF37" s="79">
        <f>0-SUM(BC37:BE37)</f>
        <v>0</v>
      </c>
      <c r="BG37" s="81">
        <v>-39.5</v>
      </c>
      <c r="BH37" s="81">
        <v>-84.4</v>
      </c>
      <c r="BI37" s="79">
        <v>0</v>
      </c>
      <c r="BJ37" s="79">
        <f>-123.9-SUM(BG37:BI37)</f>
        <v>0</v>
      </c>
      <c r="BK37" s="79">
        <v>0</v>
      </c>
      <c r="BL37" s="79">
        <v>0</v>
      </c>
      <c r="BS37" s="81">
        <f t="shared" si="32"/>
        <v>0</v>
      </c>
      <c r="BT37" s="81">
        <f t="shared" si="33"/>
        <v>0</v>
      </c>
      <c r="BU37" s="81">
        <f t="shared" si="34"/>
        <v>0</v>
      </c>
      <c r="BV37" s="81">
        <f t="shared" si="35"/>
        <v>0</v>
      </c>
      <c r="BW37" s="81">
        <f t="shared" si="36"/>
        <v>0</v>
      </c>
      <c r="BX37" s="81">
        <f t="shared" si="37"/>
        <v>0</v>
      </c>
      <c r="BY37" s="81">
        <f t="shared" si="38"/>
        <v>0</v>
      </c>
      <c r="BZ37" s="81">
        <f t="shared" si="39"/>
        <v>0</v>
      </c>
      <c r="CA37" s="81">
        <f t="shared" si="40"/>
        <v>0</v>
      </c>
      <c r="CB37" s="81">
        <f t="shared" si="41"/>
        <v>0</v>
      </c>
      <c r="CC37" s="81">
        <f t="shared" si="42"/>
        <v>0</v>
      </c>
      <c r="CD37" s="81">
        <f t="shared" si="43"/>
        <v>0</v>
      </c>
      <c r="CE37" s="81">
        <f t="shared" si="44"/>
        <v>0</v>
      </c>
      <c r="CF37" s="81">
        <f t="shared" si="45"/>
        <v>0</v>
      </c>
      <c r="CG37" s="81">
        <f t="shared" si="46"/>
        <v>-123.9</v>
      </c>
      <c r="CH37" s="86">
        <v>0</v>
      </c>
      <c r="CI37" s="86">
        <v>0</v>
      </c>
      <c r="CJ37" s="86">
        <v>0</v>
      </c>
      <c r="CK37" s="86">
        <v>0</v>
      </c>
      <c r="CL37" s="86">
        <v>0</v>
      </c>
      <c r="CM37" s="86">
        <v>0</v>
      </c>
      <c r="CN37" s="86">
        <v>0</v>
      </c>
      <c r="CO37" s="86">
        <v>0</v>
      </c>
      <c r="CP37" s="86">
        <v>0</v>
      </c>
      <c r="CQ37" s="86">
        <v>0</v>
      </c>
    </row>
    <row r="38" spans="2:147">
      <c r="B38" s="1" t="s">
        <v>172</v>
      </c>
      <c r="C38" s="81">
        <v>-2.5750000000000002</v>
      </c>
      <c r="D38" s="81">
        <v>-4.508</v>
      </c>
      <c r="E38" s="81">
        <v>-3.794</v>
      </c>
      <c r="F38" s="81">
        <v>-3.6989999999999998</v>
      </c>
      <c r="G38" s="81">
        <v>-3.839</v>
      </c>
      <c r="H38" s="81">
        <v>-3.8879999999999999</v>
      </c>
      <c r="I38" s="81">
        <v>-3.9180000000000001</v>
      </c>
      <c r="J38" s="81">
        <v>-4.0389999999999997</v>
      </c>
      <c r="K38" s="81">
        <v>-4.3280000000000003</v>
      </c>
      <c r="L38" s="81">
        <v>-4.5789999999999997</v>
      </c>
      <c r="M38" s="81">
        <v>-3.972</v>
      </c>
      <c r="N38" s="81">
        <v>-2.86</v>
      </c>
      <c r="O38" s="81">
        <v>-4.1929999999999996</v>
      </c>
      <c r="P38" s="81">
        <v>-23.779</v>
      </c>
      <c r="Q38" s="81">
        <v>-7.9480000000000004</v>
      </c>
      <c r="R38" s="81">
        <v>-3.0830000000000002</v>
      </c>
      <c r="S38" s="81">
        <v>-3.1520000000000001</v>
      </c>
      <c r="T38" s="81">
        <v>-3.1930000000000001</v>
      </c>
      <c r="U38" s="81">
        <v>-3.1459999999999999</v>
      </c>
      <c r="V38" s="81">
        <v>-3.1629999999999998</v>
      </c>
      <c r="W38" s="81">
        <v>-2.9260000000000002</v>
      </c>
      <c r="X38" s="81">
        <v>-2.9980000000000002</v>
      </c>
      <c r="Y38" s="81">
        <v>-5.3689999999999998</v>
      </c>
      <c r="Z38" s="81">
        <v>-4.8209999999999997</v>
      </c>
      <c r="AA38" s="81">
        <v>-4.5730000000000004</v>
      </c>
      <c r="AB38" s="81">
        <v>-4.3079999999999998</v>
      </c>
      <c r="AC38" s="81">
        <v>-4.1529999999999996</v>
      </c>
      <c r="AD38" s="81">
        <v>-6.1660000000000004</v>
      </c>
      <c r="AE38" s="81">
        <v>-6.2359999999999998</v>
      </c>
      <c r="AF38" s="81">
        <v>-5.6040000000000001</v>
      </c>
      <c r="AG38" s="81">
        <v>-5.0119999999999996</v>
      </c>
      <c r="AH38" s="81">
        <v>-5.3479999999999999</v>
      </c>
      <c r="AI38" s="81">
        <v>-2.6</v>
      </c>
      <c r="AJ38" s="81">
        <v>-5.7</v>
      </c>
      <c r="AK38" s="81">
        <v>-15.9</v>
      </c>
      <c r="AL38" s="81">
        <v>-11.3</v>
      </c>
      <c r="AM38" s="81">
        <v>-10.1</v>
      </c>
      <c r="AN38" s="81">
        <v>-10.1</v>
      </c>
      <c r="AO38" s="81">
        <v>-10.4</v>
      </c>
      <c r="AP38" s="81">
        <v>-11.2</v>
      </c>
      <c r="AQ38" s="81">
        <v>-16</v>
      </c>
      <c r="AR38" s="81">
        <v>-54.7</v>
      </c>
      <c r="AS38" s="81">
        <v>-18.5</v>
      </c>
      <c r="AT38" s="81">
        <v>-16.3</v>
      </c>
      <c r="AU38" s="81">
        <v>0.3</v>
      </c>
      <c r="AV38" s="81">
        <v>-1.1000000000000001</v>
      </c>
      <c r="AW38" s="81">
        <v>-1.8</v>
      </c>
      <c r="AX38" s="81">
        <f>-1.1-SUM(AU38:AW38)</f>
        <v>1.5</v>
      </c>
      <c r="AY38" s="81">
        <v>-0.2</v>
      </c>
      <c r="AZ38" s="81">
        <v>-0.2</v>
      </c>
      <c r="BA38" s="81">
        <v>0.7</v>
      </c>
      <c r="BB38" s="81">
        <f>2.2-SUM(AY38:BA38)</f>
        <v>1.9000000000000004</v>
      </c>
      <c r="BC38" s="81">
        <v>-0.7</v>
      </c>
      <c r="BD38" s="81">
        <v>-1.8</v>
      </c>
      <c r="BE38" s="81">
        <v>-3.4</v>
      </c>
      <c r="BF38" s="81">
        <f>-5.5-SUM(BC38:BE38)</f>
        <v>0.40000000000000036</v>
      </c>
      <c r="BG38" s="81">
        <v>-2.2000000000000002</v>
      </c>
      <c r="BH38" s="81">
        <v>1.1000000000000001</v>
      </c>
      <c r="BI38" s="81">
        <v>12.1</v>
      </c>
      <c r="BJ38" s="81">
        <f>14.3-SUM(BG38:BI38)</f>
        <v>3.3000000000000007</v>
      </c>
      <c r="BK38" s="81">
        <v>0.7</v>
      </c>
      <c r="BL38" s="81">
        <v>-1.1000000000000001</v>
      </c>
      <c r="BS38" s="81">
        <f t="shared" si="32"/>
        <v>-14.576000000000001</v>
      </c>
      <c r="BT38" s="81">
        <f t="shared" si="33"/>
        <v>-15.683999999999999</v>
      </c>
      <c r="BU38" s="81">
        <f t="shared" si="34"/>
        <v>-15.738999999999999</v>
      </c>
      <c r="BV38" s="81">
        <f t="shared" si="35"/>
        <v>-39.003</v>
      </c>
      <c r="BW38" s="81">
        <f t="shared" si="36"/>
        <v>-12.654</v>
      </c>
      <c r="BX38" s="81">
        <f t="shared" si="37"/>
        <v>-16.113999999999997</v>
      </c>
      <c r="BY38" s="81">
        <f t="shared" si="38"/>
        <v>-19.2</v>
      </c>
      <c r="BZ38" s="81">
        <f t="shared" si="39"/>
        <v>-22.2</v>
      </c>
      <c r="CA38" s="81">
        <f t="shared" si="40"/>
        <v>-35.5</v>
      </c>
      <c r="CB38" s="81">
        <f t="shared" si="41"/>
        <v>-41.8</v>
      </c>
      <c r="CC38" s="81">
        <f t="shared" si="42"/>
        <v>-105.5</v>
      </c>
      <c r="CD38" s="81">
        <f t="shared" si="43"/>
        <v>-1.1000000000000001</v>
      </c>
      <c r="CE38" s="81">
        <f t="shared" si="44"/>
        <v>2.2000000000000002</v>
      </c>
      <c r="CF38" s="81">
        <f t="shared" si="45"/>
        <v>-5.5</v>
      </c>
      <c r="CG38" s="81">
        <f t="shared" si="46"/>
        <v>14.3</v>
      </c>
      <c r="CH38" s="86">
        <v>0</v>
      </c>
      <c r="CI38" s="86">
        <v>0</v>
      </c>
      <c r="CJ38" s="86">
        <v>0</v>
      </c>
      <c r="CK38" s="86">
        <v>0</v>
      </c>
      <c r="CL38" s="86">
        <v>0</v>
      </c>
      <c r="CM38" s="86">
        <v>0</v>
      </c>
      <c r="CN38" s="86">
        <v>0</v>
      </c>
      <c r="CO38" s="86">
        <v>0</v>
      </c>
      <c r="CP38" s="86">
        <v>0</v>
      </c>
      <c r="CQ38" s="86">
        <v>0</v>
      </c>
    </row>
    <row r="39" spans="2:147">
      <c r="B39" s="1" t="s">
        <v>173</v>
      </c>
      <c r="C39" s="81">
        <f t="shared" ref="C39:AL39" si="55">C34+SUM(C35:C38)</f>
        <v>-9.847999999999999</v>
      </c>
      <c r="D39" s="81">
        <f t="shared" si="55"/>
        <v>-19.423000000000002</v>
      </c>
      <c r="E39" s="81">
        <f t="shared" si="55"/>
        <v>-13.562000000000001</v>
      </c>
      <c r="F39" s="81">
        <f t="shared" si="55"/>
        <v>-14.209999999999999</v>
      </c>
      <c r="G39" s="81">
        <f t="shared" si="55"/>
        <v>-14.734000000000004</v>
      </c>
      <c r="H39" s="81">
        <f t="shared" si="55"/>
        <v>-14.407000000000005</v>
      </c>
      <c r="I39" s="81">
        <f t="shared" si="55"/>
        <v>-12.388999999999992</v>
      </c>
      <c r="J39" s="81">
        <f t="shared" si="55"/>
        <v>-10.124999999999998</v>
      </c>
      <c r="K39" s="81">
        <f t="shared" si="55"/>
        <v>-10.534000000000002</v>
      </c>
      <c r="L39" s="81">
        <f t="shared" si="55"/>
        <v>-10.401000000000003</v>
      </c>
      <c r="M39" s="81">
        <f t="shared" si="55"/>
        <v>-21.284999999999997</v>
      </c>
      <c r="N39" s="81">
        <f t="shared" si="55"/>
        <v>-2.6539999999999968</v>
      </c>
      <c r="O39" s="81">
        <f t="shared" si="55"/>
        <v>-6.0790000000000024</v>
      </c>
      <c r="P39" s="81">
        <f t="shared" si="55"/>
        <v>-29.058999999999994</v>
      </c>
      <c r="Q39" s="81">
        <f t="shared" si="55"/>
        <v>-10.823999999999998</v>
      </c>
      <c r="R39" s="81">
        <f t="shared" si="55"/>
        <v>-1.9150000000000009</v>
      </c>
      <c r="S39" s="81">
        <f t="shared" si="55"/>
        <v>-10.417999999999999</v>
      </c>
      <c r="T39" s="81">
        <f t="shared" si="55"/>
        <v>-17.251999999999999</v>
      </c>
      <c r="U39" s="81">
        <f t="shared" si="55"/>
        <v>-17.940999999999995</v>
      </c>
      <c r="V39" s="81">
        <f t="shared" si="55"/>
        <v>-15.779</v>
      </c>
      <c r="W39" s="81">
        <f t="shared" si="55"/>
        <v>-10.625000000000005</v>
      </c>
      <c r="X39" s="81">
        <f t="shared" si="55"/>
        <v>-4.2859999999999898</v>
      </c>
      <c r="Y39" s="81">
        <f t="shared" si="55"/>
        <v>-2.9510000000000005</v>
      </c>
      <c r="Z39" s="81">
        <f t="shared" si="55"/>
        <v>-8.9559999999999977</v>
      </c>
      <c r="AA39" s="81">
        <f t="shared" si="55"/>
        <v>-9.8810000000000073</v>
      </c>
      <c r="AB39" s="81">
        <f t="shared" si="55"/>
        <v>-7.6659999999999897</v>
      </c>
      <c r="AC39" s="81">
        <f t="shared" si="55"/>
        <v>-2.1060000000000025</v>
      </c>
      <c r="AD39" s="81">
        <f t="shared" si="55"/>
        <v>-6.9469999999999779</v>
      </c>
      <c r="AE39" s="81">
        <f t="shared" si="55"/>
        <v>-6.2359999999999998</v>
      </c>
      <c r="AF39" s="81">
        <f t="shared" si="55"/>
        <v>-1.2789999999999973</v>
      </c>
      <c r="AG39" s="81">
        <f t="shared" si="55"/>
        <v>1.8529999999999953</v>
      </c>
      <c r="AH39" s="81">
        <f t="shared" si="55"/>
        <v>10.861999999999981</v>
      </c>
      <c r="AI39" s="81">
        <f t="shared" si="55"/>
        <v>4.6999999999999833</v>
      </c>
      <c r="AJ39" s="81">
        <f t="shared" si="55"/>
        <v>1.8999999999999941</v>
      </c>
      <c r="AK39" s="81">
        <f t="shared" si="55"/>
        <v>1.0999999999999996</v>
      </c>
      <c r="AL39" s="81">
        <f t="shared" si="55"/>
        <v>6.800000000000022</v>
      </c>
      <c r="AM39" s="81">
        <f>AM34+SUM(AM35:AM38)</f>
        <v>-2.5999999999999996</v>
      </c>
      <c r="AN39" s="81">
        <f t="shared" ref="AN39:BL39" si="56">AN34+SUM(AN35:AN38)</f>
        <v>17.399999999999999</v>
      </c>
      <c r="AO39" s="81">
        <f t="shared" si="56"/>
        <v>13.400000000000011</v>
      </c>
      <c r="AP39" s="81">
        <f t="shared" si="56"/>
        <v>-18.500000000000039</v>
      </c>
      <c r="AQ39" s="81">
        <f t="shared" si="56"/>
        <v>0.30000000000001137</v>
      </c>
      <c r="AR39" s="81">
        <f t="shared" si="56"/>
        <v>-28.40000000000002</v>
      </c>
      <c r="AS39" s="81">
        <f t="shared" si="56"/>
        <v>15.200000000000017</v>
      </c>
      <c r="AT39" s="81">
        <f t="shared" si="56"/>
        <v>33.399999999999991</v>
      </c>
      <c r="AU39" s="81">
        <f t="shared" si="56"/>
        <v>29.300000000000004</v>
      </c>
      <c r="AV39" s="81">
        <f t="shared" si="56"/>
        <v>-36.099999999999959</v>
      </c>
      <c r="AW39" s="81">
        <f t="shared" si="56"/>
        <v>-5.699999999999994</v>
      </c>
      <c r="AX39" s="81">
        <f t="shared" si="56"/>
        <v>22.300000000000061</v>
      </c>
      <c r="AY39" s="81">
        <f t="shared" si="56"/>
        <v>24.600000000000044</v>
      </c>
      <c r="AZ39" s="81">
        <f t="shared" si="56"/>
        <v>28.499999999999993</v>
      </c>
      <c r="BA39" s="81">
        <f t="shared" si="56"/>
        <v>53.699999999999953</v>
      </c>
      <c r="BB39" s="81">
        <f t="shared" si="56"/>
        <v>107.89999999999995</v>
      </c>
      <c r="BC39" s="81">
        <f t="shared" si="56"/>
        <v>54.899999999999977</v>
      </c>
      <c r="BD39" s="81">
        <f t="shared" si="56"/>
        <v>51.099999999999966</v>
      </c>
      <c r="BE39" s="81">
        <f t="shared" si="56"/>
        <v>82.699999999999946</v>
      </c>
      <c r="BF39" s="81">
        <f t="shared" si="56"/>
        <v>111.49999999999991</v>
      </c>
      <c r="BG39" s="81">
        <f t="shared" si="56"/>
        <v>48.099999999999987</v>
      </c>
      <c r="BH39" s="81">
        <f t="shared" si="56"/>
        <v>28.400000000000034</v>
      </c>
      <c r="BI39" s="81">
        <f t="shared" si="56"/>
        <v>122.8000000000001</v>
      </c>
      <c r="BJ39" s="81">
        <f t="shared" si="56"/>
        <v>140.19999999999976</v>
      </c>
      <c r="BK39" s="81">
        <f t="shared" si="56"/>
        <v>113.00000000000003</v>
      </c>
      <c r="BL39" s="81">
        <f t="shared" si="56"/>
        <v>118.69999999999993</v>
      </c>
      <c r="BS39" s="81">
        <f t="shared" si="32"/>
        <v>-57.042999999999999</v>
      </c>
      <c r="BT39" s="81">
        <f t="shared" si="33"/>
        <v>-51.655000000000001</v>
      </c>
      <c r="BU39" s="81">
        <f t="shared" si="34"/>
        <v>-44.873999999999995</v>
      </c>
      <c r="BV39" s="81">
        <f t="shared" si="35"/>
        <v>-47.876999999999995</v>
      </c>
      <c r="BW39" s="81">
        <f t="shared" si="36"/>
        <v>-61.389999999999986</v>
      </c>
      <c r="BX39" s="81">
        <f t="shared" si="37"/>
        <v>-26.817999999999991</v>
      </c>
      <c r="BY39" s="81">
        <f t="shared" si="38"/>
        <v>-26.599999999999977</v>
      </c>
      <c r="BZ39" s="81">
        <f t="shared" si="39"/>
        <v>5.1999999999999789</v>
      </c>
      <c r="CA39" s="81">
        <f t="shared" si="40"/>
        <v>14.5</v>
      </c>
      <c r="CB39" s="81">
        <f t="shared" si="41"/>
        <v>9.6999999999999709</v>
      </c>
      <c r="CC39" s="81">
        <f t="shared" si="42"/>
        <v>20.5</v>
      </c>
      <c r="CD39" s="81">
        <f t="shared" si="43"/>
        <v>9.8000000000001126</v>
      </c>
      <c r="CE39" s="81">
        <f t="shared" si="44"/>
        <v>214.69999999999993</v>
      </c>
      <c r="CF39" s="81">
        <f t="shared" si="45"/>
        <v>300.19999999999982</v>
      </c>
      <c r="CG39" s="81">
        <f t="shared" si="46"/>
        <v>339.49999999999989</v>
      </c>
      <c r="CH39" s="83">
        <f>CH34+SUM(CH35:CH38)</f>
        <v>609.48536322513905</v>
      </c>
      <c r="CI39" s="83">
        <f t="shared" ref="CI39:CQ39" si="57">CI34+SUM(CI35:CI38)</f>
        <v>730.20264956426445</v>
      </c>
      <c r="CJ39" s="83">
        <f t="shared" si="57"/>
        <v>838.17458612389964</v>
      </c>
      <c r="CK39" s="83">
        <f t="shared" si="57"/>
        <v>1022.5745061295537</v>
      </c>
      <c r="CL39" s="83">
        <f t="shared" si="57"/>
        <v>1215.7216775417521</v>
      </c>
      <c r="CM39" s="83">
        <f t="shared" si="57"/>
        <v>1426.9557216189162</v>
      </c>
      <c r="CN39" s="83">
        <f t="shared" si="57"/>
        <v>1647.5288887544016</v>
      </c>
      <c r="CO39" s="83">
        <f t="shared" si="57"/>
        <v>1883.4319267975779</v>
      </c>
      <c r="CP39" s="83">
        <f t="shared" si="57"/>
        <v>2109.6576530940156</v>
      </c>
      <c r="CQ39" s="83">
        <f t="shared" si="57"/>
        <v>2348.9241949212101</v>
      </c>
    </row>
    <row r="40" spans="2:147">
      <c r="B40" s="1" t="s">
        <v>174</v>
      </c>
      <c r="C40" s="81">
        <v>0</v>
      </c>
      <c r="D40" s="81">
        <v>-11.339</v>
      </c>
      <c r="E40" s="81">
        <v>0</v>
      </c>
      <c r="F40" s="81">
        <v>0</v>
      </c>
      <c r="G40" s="81">
        <v>4.5999999999999999E-2</v>
      </c>
      <c r="H40" s="81">
        <v>6.9000000000000006E-2</v>
      </c>
      <c r="I40" s="81">
        <v>2.8000000000000001E-2</v>
      </c>
      <c r="J40" s="81">
        <v>6.9000000000000006E-2</v>
      </c>
      <c r="K40" s="81">
        <v>0.13100000000000001</v>
      </c>
      <c r="L40" s="81">
        <v>0.11799999999999999</v>
      </c>
      <c r="M40" s="81">
        <v>5.0000000000000001E-3</v>
      </c>
      <c r="N40" s="81">
        <v>-0.154</v>
      </c>
      <c r="O40" s="81">
        <v>6.5000000000000002E-2</v>
      </c>
      <c r="P40" s="81">
        <v>5.1999999999999998E-2</v>
      </c>
      <c r="Q40" s="81">
        <v>2.1000000000000001E-2</v>
      </c>
      <c r="R40" s="81">
        <v>-7.8E-2</v>
      </c>
      <c r="S40" s="81">
        <v>2.4E-2</v>
      </c>
      <c r="T40" s="81">
        <v>1.4999999999999999E-2</v>
      </c>
      <c r="U40" s="81">
        <v>4.3999999999999997E-2</v>
      </c>
      <c r="V40" s="81">
        <v>0.129</v>
      </c>
      <c r="W40" s="81">
        <v>0.1</v>
      </c>
      <c r="X40" s="81">
        <v>0.1</v>
      </c>
      <c r="Y40" s="81">
        <v>0.1</v>
      </c>
      <c r="Z40" s="81">
        <v>9.1999999999999998E-2</v>
      </c>
      <c r="AA40" s="81">
        <v>9.6000000000000002E-2</v>
      </c>
      <c r="AB40" s="81">
        <v>0.10100000000000001</v>
      </c>
      <c r="AC40" s="81">
        <v>0.1</v>
      </c>
      <c r="AD40" s="81">
        <v>-9.7000000000000003E-2</v>
      </c>
      <c r="AE40" s="81">
        <v>0.33300000000000002</v>
      </c>
      <c r="AF40" s="81">
        <v>0.41199999999999998</v>
      </c>
      <c r="AG40" s="81">
        <v>0.19400000000000001</v>
      </c>
      <c r="AH40" s="81">
        <v>0.96099999999999997</v>
      </c>
      <c r="AI40" s="81">
        <v>0.3</v>
      </c>
      <c r="AJ40" s="81">
        <v>0.5</v>
      </c>
      <c r="AK40" s="81">
        <v>0.3</v>
      </c>
      <c r="AL40" s="81">
        <v>1.8</v>
      </c>
      <c r="AM40" s="81">
        <v>-0.5</v>
      </c>
      <c r="AN40" s="81">
        <v>3</v>
      </c>
      <c r="AO40" s="81">
        <v>1.8</v>
      </c>
      <c r="AP40" s="81">
        <v>-1.4</v>
      </c>
      <c r="AQ40" s="81">
        <v>0.3</v>
      </c>
      <c r="AR40" s="81">
        <v>-3.4</v>
      </c>
      <c r="AS40" s="81">
        <v>2.6</v>
      </c>
      <c r="AT40" s="81">
        <v>4.2</v>
      </c>
      <c r="AU40" s="81">
        <v>1.5</v>
      </c>
      <c r="AV40" s="81">
        <v>-1.1000000000000001</v>
      </c>
      <c r="AW40" s="81">
        <v>-0.5</v>
      </c>
      <c r="AX40" s="81">
        <f>5.2-SUM(AU40:AW40)</f>
        <v>5.3000000000000007</v>
      </c>
      <c r="AY40" s="81">
        <v>-0.8</v>
      </c>
      <c r="AZ40" s="81">
        <v>-1.2</v>
      </c>
      <c r="BA40" s="81">
        <v>-1.7</v>
      </c>
      <c r="BB40" s="81">
        <f>8.4-SUM(AY40:BA40)</f>
        <v>12.100000000000001</v>
      </c>
      <c r="BC40" s="81">
        <v>-3.4</v>
      </c>
      <c r="BD40" s="81">
        <v>137.5</v>
      </c>
      <c r="BE40" s="81">
        <v>-5.4</v>
      </c>
      <c r="BF40" s="81">
        <f>-118.1-SUM(BC40:BE40)</f>
        <v>-246.79999999999998</v>
      </c>
      <c r="BG40" s="81">
        <v>12.7</v>
      </c>
      <c r="BH40" s="81">
        <v>5.9</v>
      </c>
      <c r="BI40" s="81">
        <v>35.200000000000003</v>
      </c>
      <c r="BJ40" s="81">
        <f>92.4-SUM(BG40:BI40)</f>
        <v>38.6</v>
      </c>
      <c r="BK40" s="81">
        <v>21.9</v>
      </c>
      <c r="BL40" s="81">
        <v>23.7</v>
      </c>
      <c r="BS40" s="81">
        <f t="shared" si="32"/>
        <v>-11.339</v>
      </c>
      <c r="BT40" s="81">
        <f t="shared" si="33"/>
        <v>0.21200000000000002</v>
      </c>
      <c r="BU40" s="81">
        <f t="shared" si="34"/>
        <v>0.1</v>
      </c>
      <c r="BV40" s="81">
        <f t="shared" si="35"/>
        <v>5.9999999999999984E-2</v>
      </c>
      <c r="BW40" s="81">
        <f t="shared" si="36"/>
        <v>0.21199999999999999</v>
      </c>
      <c r="BX40" s="81">
        <f t="shared" si="37"/>
        <v>0.39200000000000002</v>
      </c>
      <c r="BY40" s="81">
        <f t="shared" si="38"/>
        <v>0.20000000000000004</v>
      </c>
      <c r="BZ40" s="81">
        <f t="shared" si="39"/>
        <v>1.9</v>
      </c>
      <c r="CA40" s="81">
        <f t="shared" si="40"/>
        <v>2.9000000000000004</v>
      </c>
      <c r="CB40" s="81">
        <f t="shared" si="41"/>
        <v>2.9</v>
      </c>
      <c r="CC40" s="81">
        <f t="shared" si="42"/>
        <v>3.7</v>
      </c>
      <c r="CD40" s="81">
        <f t="shared" si="43"/>
        <v>5.2000000000000011</v>
      </c>
      <c r="CE40" s="81">
        <f t="shared" si="44"/>
        <v>8.4000000000000021</v>
      </c>
      <c r="CF40" s="81">
        <f t="shared" si="45"/>
        <v>-118.1</v>
      </c>
      <c r="CG40" s="81">
        <f t="shared" si="46"/>
        <v>92.4</v>
      </c>
      <c r="CH40" s="83">
        <f>CH39*CH49</f>
        <v>127.99192627727919</v>
      </c>
      <c r="CI40" s="83">
        <f t="shared" ref="CI40:CQ40" si="58">CI39*CI49</f>
        <v>153.34255640849554</v>
      </c>
      <c r="CJ40" s="83">
        <f t="shared" si="58"/>
        <v>176.01666308601892</v>
      </c>
      <c r="CK40" s="83">
        <f t="shared" si="58"/>
        <v>214.74064628720626</v>
      </c>
      <c r="CL40" s="83">
        <f t="shared" si="58"/>
        <v>255.30155228376793</v>
      </c>
      <c r="CM40" s="83">
        <f t="shared" si="58"/>
        <v>299.66070153997237</v>
      </c>
      <c r="CN40" s="83">
        <f t="shared" si="58"/>
        <v>345.98106663842429</v>
      </c>
      <c r="CO40" s="83">
        <f t="shared" si="58"/>
        <v>395.52070462749134</v>
      </c>
      <c r="CP40" s="83">
        <f t="shared" si="58"/>
        <v>443.02810714974328</v>
      </c>
      <c r="CQ40" s="83">
        <f t="shared" si="58"/>
        <v>493.27408093345412</v>
      </c>
    </row>
    <row r="41" spans="2:147" s="2" customFormat="1" ht="15">
      <c r="B41" s="2" t="s">
        <v>69</v>
      </c>
      <c r="C41" s="80">
        <f t="shared" ref="C41:AL41" si="59">C39-C40</f>
        <v>-9.847999999999999</v>
      </c>
      <c r="D41" s="80">
        <f t="shared" si="59"/>
        <v>-8.0840000000000014</v>
      </c>
      <c r="E41" s="80">
        <f t="shared" si="59"/>
        <v>-13.562000000000001</v>
      </c>
      <c r="F41" s="80">
        <f t="shared" si="59"/>
        <v>-14.209999999999999</v>
      </c>
      <c r="G41" s="80">
        <f t="shared" si="59"/>
        <v>-14.780000000000003</v>
      </c>
      <c r="H41" s="80">
        <f t="shared" si="59"/>
        <v>-14.476000000000006</v>
      </c>
      <c r="I41" s="80">
        <f t="shared" si="59"/>
        <v>-12.416999999999993</v>
      </c>
      <c r="J41" s="80">
        <f t="shared" si="59"/>
        <v>-10.193999999999999</v>
      </c>
      <c r="K41" s="80">
        <f t="shared" si="59"/>
        <v>-10.665000000000003</v>
      </c>
      <c r="L41" s="80">
        <f t="shared" si="59"/>
        <v>-10.519000000000004</v>
      </c>
      <c r="M41" s="80">
        <f t="shared" si="59"/>
        <v>-21.289999999999996</v>
      </c>
      <c r="N41" s="80">
        <f t="shared" si="59"/>
        <v>-2.4999999999999969</v>
      </c>
      <c r="O41" s="80">
        <f t="shared" si="59"/>
        <v>-6.1440000000000028</v>
      </c>
      <c r="P41" s="80">
        <f t="shared" si="59"/>
        <v>-29.110999999999994</v>
      </c>
      <c r="Q41" s="80">
        <f t="shared" si="59"/>
        <v>-10.844999999999999</v>
      </c>
      <c r="R41" s="80">
        <f t="shared" si="59"/>
        <v>-1.8370000000000009</v>
      </c>
      <c r="S41" s="80">
        <f t="shared" si="59"/>
        <v>-10.441999999999998</v>
      </c>
      <c r="T41" s="80">
        <f t="shared" si="59"/>
        <v>-17.266999999999999</v>
      </c>
      <c r="U41" s="80">
        <f t="shared" si="59"/>
        <v>-17.984999999999996</v>
      </c>
      <c r="V41" s="80">
        <f t="shared" si="59"/>
        <v>-15.907999999999999</v>
      </c>
      <c r="W41" s="80">
        <f t="shared" si="59"/>
        <v>-10.725000000000005</v>
      </c>
      <c r="X41" s="80">
        <f t="shared" si="59"/>
        <v>-4.3859999999999895</v>
      </c>
      <c r="Y41" s="80">
        <f t="shared" si="59"/>
        <v>-3.0510000000000006</v>
      </c>
      <c r="Z41" s="80">
        <f t="shared" si="59"/>
        <v>-9.0479999999999983</v>
      </c>
      <c r="AA41" s="80">
        <f t="shared" si="59"/>
        <v>-9.9770000000000074</v>
      </c>
      <c r="AB41" s="80">
        <f t="shared" si="59"/>
        <v>-7.7669999999999897</v>
      </c>
      <c r="AC41" s="80">
        <f t="shared" si="59"/>
        <v>-2.2060000000000026</v>
      </c>
      <c r="AD41" s="80">
        <f t="shared" si="59"/>
        <v>-6.8499999999999774</v>
      </c>
      <c r="AE41" s="80">
        <f t="shared" si="59"/>
        <v>-6.569</v>
      </c>
      <c r="AF41" s="80">
        <f t="shared" si="59"/>
        <v>-1.6909999999999972</v>
      </c>
      <c r="AG41" s="80">
        <f t="shared" si="59"/>
        <v>1.6589999999999954</v>
      </c>
      <c r="AH41" s="80">
        <f t="shared" si="59"/>
        <v>9.9009999999999803</v>
      </c>
      <c r="AI41" s="80">
        <f t="shared" si="59"/>
        <v>4.3999999999999835</v>
      </c>
      <c r="AJ41" s="80">
        <f t="shared" si="59"/>
        <v>1.3999999999999941</v>
      </c>
      <c r="AK41" s="80">
        <f t="shared" si="59"/>
        <v>0.7999999999999996</v>
      </c>
      <c r="AL41" s="80">
        <f t="shared" si="59"/>
        <v>5.0000000000000222</v>
      </c>
      <c r="AM41" s="80">
        <f>AM39-AM40</f>
        <v>-2.0999999999999996</v>
      </c>
      <c r="AN41" s="80">
        <f t="shared" ref="AN41:BL41" si="60">AN39-AN40</f>
        <v>14.399999999999999</v>
      </c>
      <c r="AO41" s="80">
        <f t="shared" si="60"/>
        <v>11.60000000000001</v>
      </c>
      <c r="AP41" s="80">
        <f t="shared" si="60"/>
        <v>-17.100000000000041</v>
      </c>
      <c r="AQ41" s="80">
        <f t="shared" si="60"/>
        <v>1.1379786002407855E-14</v>
      </c>
      <c r="AR41" s="80">
        <f t="shared" si="60"/>
        <v>-25.000000000000021</v>
      </c>
      <c r="AS41" s="80">
        <f t="shared" si="60"/>
        <v>12.600000000000017</v>
      </c>
      <c r="AT41" s="80">
        <f t="shared" si="60"/>
        <v>29.199999999999992</v>
      </c>
      <c r="AU41" s="80">
        <f t="shared" si="60"/>
        <v>27.800000000000004</v>
      </c>
      <c r="AV41" s="80">
        <f t="shared" si="60"/>
        <v>-34.999999999999957</v>
      </c>
      <c r="AW41" s="80">
        <f t="shared" si="60"/>
        <v>-5.199999999999994</v>
      </c>
      <c r="AX41" s="80">
        <f t="shared" si="60"/>
        <v>17.00000000000006</v>
      </c>
      <c r="AY41" s="80">
        <f t="shared" si="60"/>
        <v>25.400000000000045</v>
      </c>
      <c r="AZ41" s="80">
        <f t="shared" si="60"/>
        <v>29.699999999999992</v>
      </c>
      <c r="BA41" s="80">
        <f t="shared" si="60"/>
        <v>55.399999999999956</v>
      </c>
      <c r="BB41" s="80">
        <f t="shared" si="60"/>
        <v>95.799999999999955</v>
      </c>
      <c r="BC41" s="80">
        <f t="shared" si="60"/>
        <v>58.299999999999976</v>
      </c>
      <c r="BD41" s="80">
        <f t="shared" si="60"/>
        <v>-86.400000000000034</v>
      </c>
      <c r="BE41" s="80">
        <f t="shared" si="60"/>
        <v>88.099999999999952</v>
      </c>
      <c r="BF41" s="80">
        <f t="shared" si="60"/>
        <v>358.2999999999999</v>
      </c>
      <c r="BG41" s="80">
        <f t="shared" si="60"/>
        <v>35.399999999999991</v>
      </c>
      <c r="BH41" s="80">
        <f t="shared" si="60"/>
        <v>22.500000000000036</v>
      </c>
      <c r="BI41" s="80">
        <f t="shared" si="60"/>
        <v>87.600000000000094</v>
      </c>
      <c r="BJ41" s="80">
        <f t="shared" si="60"/>
        <v>101.59999999999977</v>
      </c>
      <c r="BK41" s="80">
        <f t="shared" si="60"/>
        <v>91.100000000000023</v>
      </c>
      <c r="BL41" s="80">
        <f t="shared" si="60"/>
        <v>94.999999999999929</v>
      </c>
      <c r="BM41" s="34"/>
      <c r="BN41" s="34"/>
      <c r="BS41" s="80">
        <f t="shared" si="32"/>
        <v>-45.704000000000001</v>
      </c>
      <c r="BT41" s="80">
        <f t="shared" si="33"/>
        <v>-51.867000000000004</v>
      </c>
      <c r="BU41" s="80">
        <f t="shared" si="34"/>
        <v>-44.974000000000004</v>
      </c>
      <c r="BV41" s="80">
        <f t="shared" si="35"/>
        <v>-47.936999999999998</v>
      </c>
      <c r="BW41" s="80">
        <f t="shared" si="36"/>
        <v>-61.60199999999999</v>
      </c>
      <c r="BX41" s="80">
        <f t="shared" si="37"/>
        <v>-27.209999999999994</v>
      </c>
      <c r="BY41" s="80">
        <f t="shared" si="38"/>
        <v>-26.799999999999976</v>
      </c>
      <c r="BZ41" s="80">
        <f t="shared" si="39"/>
        <v>3.2999999999999776</v>
      </c>
      <c r="CA41" s="80">
        <f t="shared" si="40"/>
        <v>11.6</v>
      </c>
      <c r="CB41" s="80">
        <f t="shared" si="41"/>
        <v>6.7999999999999687</v>
      </c>
      <c r="CC41" s="80">
        <f t="shared" si="42"/>
        <v>16.799999999999997</v>
      </c>
      <c r="CD41" s="80">
        <f t="shared" si="43"/>
        <v>4.6000000000001133</v>
      </c>
      <c r="CE41" s="80">
        <f t="shared" si="44"/>
        <v>206.29999999999995</v>
      </c>
      <c r="CF41" s="80">
        <f t="shared" si="45"/>
        <v>418.29999999999978</v>
      </c>
      <c r="CG41" s="80">
        <f t="shared" si="46"/>
        <v>247.09999999999988</v>
      </c>
      <c r="CH41" s="84">
        <f>CH39-CH40</f>
        <v>481.49343694785989</v>
      </c>
      <c r="CI41" s="84">
        <f t="shared" ref="CI41:CQ41" si="61">CI39-CI40</f>
        <v>576.86009315576894</v>
      </c>
      <c r="CJ41" s="84">
        <f t="shared" si="61"/>
        <v>662.15792303788066</v>
      </c>
      <c r="CK41" s="84">
        <f t="shared" si="61"/>
        <v>807.83385984234747</v>
      </c>
      <c r="CL41" s="84">
        <f t="shared" si="61"/>
        <v>960.42012525798418</v>
      </c>
      <c r="CM41" s="84">
        <f t="shared" si="61"/>
        <v>1127.2950200789437</v>
      </c>
      <c r="CN41" s="84">
        <f t="shared" si="61"/>
        <v>1301.5478221159774</v>
      </c>
      <c r="CO41" s="84">
        <f t="shared" si="61"/>
        <v>1487.9112221700866</v>
      </c>
      <c r="CP41" s="84">
        <f t="shared" si="61"/>
        <v>1666.6295459442722</v>
      </c>
      <c r="CQ41" s="84">
        <f t="shared" si="61"/>
        <v>1855.650113987756</v>
      </c>
      <c r="CR41" s="84">
        <f>CQ41*(1+$DA$53)</f>
        <v>1874.2066151276335</v>
      </c>
      <c r="CS41" s="84">
        <f t="shared" ref="CS41:EO41" si="62">CR41*(1+$DA$53)</f>
        <v>1892.9486812789098</v>
      </c>
      <c r="CT41" s="84">
        <f t="shared" si="62"/>
        <v>1911.8781680916989</v>
      </c>
      <c r="CU41" s="84">
        <f t="shared" si="62"/>
        <v>1930.9969497726158</v>
      </c>
      <c r="CV41" s="84">
        <f t="shared" si="62"/>
        <v>1950.306919270342</v>
      </c>
      <c r="CW41" s="84">
        <f t="shared" si="62"/>
        <v>1969.8099884630453</v>
      </c>
      <c r="CX41" s="84">
        <f t="shared" si="62"/>
        <v>1989.5080883476758</v>
      </c>
      <c r="CY41" s="84">
        <f t="shared" si="62"/>
        <v>2009.4031692311526</v>
      </c>
      <c r="CZ41" s="84">
        <f t="shared" si="62"/>
        <v>2029.4972009234641</v>
      </c>
      <c r="DA41" s="84">
        <f t="shared" si="62"/>
        <v>2049.7921729326986</v>
      </c>
      <c r="DB41" s="84">
        <f t="shared" si="62"/>
        <v>2070.2900946620257</v>
      </c>
      <c r="DC41" s="84">
        <f t="shared" si="62"/>
        <v>2090.9929956086462</v>
      </c>
      <c r="DD41" s="84">
        <f t="shared" si="62"/>
        <v>2111.9029255647329</v>
      </c>
      <c r="DE41" s="84">
        <f t="shared" si="62"/>
        <v>2133.0219548203804</v>
      </c>
      <c r="DF41" s="84">
        <f t="shared" si="62"/>
        <v>2154.3521743685842</v>
      </c>
      <c r="DG41" s="84">
        <f t="shared" si="62"/>
        <v>2175.8956961122699</v>
      </c>
      <c r="DH41" s="84">
        <f t="shared" si="62"/>
        <v>2197.6546530733926</v>
      </c>
      <c r="DI41" s="84">
        <f t="shared" si="62"/>
        <v>2219.6311996041268</v>
      </c>
      <c r="DJ41" s="84">
        <f t="shared" si="62"/>
        <v>2241.8275116001682</v>
      </c>
      <c r="DK41" s="84">
        <f t="shared" si="62"/>
        <v>2264.2457867161697</v>
      </c>
      <c r="DL41" s="84">
        <f t="shared" si="62"/>
        <v>2286.8882445833315</v>
      </c>
      <c r="DM41" s="84">
        <f t="shared" si="62"/>
        <v>2309.7571270291646</v>
      </c>
      <c r="DN41" s="84">
        <f t="shared" si="62"/>
        <v>2332.8546982994562</v>
      </c>
      <c r="DO41" s="84">
        <f t="shared" si="62"/>
        <v>2356.183245282451</v>
      </c>
      <c r="DP41" s="84">
        <f t="shared" si="62"/>
        <v>2379.7450777352756</v>
      </c>
      <c r="DQ41" s="84">
        <f t="shared" si="62"/>
        <v>2403.5425285126285</v>
      </c>
      <c r="DR41" s="84">
        <f t="shared" si="62"/>
        <v>2427.5779537977546</v>
      </c>
      <c r="DS41" s="84">
        <f t="shared" si="62"/>
        <v>2451.8537333357322</v>
      </c>
      <c r="DT41" s="84">
        <f t="shared" si="62"/>
        <v>2476.3722706690896</v>
      </c>
      <c r="DU41" s="84">
        <f t="shared" si="62"/>
        <v>2501.1359933757803</v>
      </c>
      <c r="DV41" s="84">
        <f t="shared" si="62"/>
        <v>2526.1473533095382</v>
      </c>
      <c r="DW41" s="84">
        <f t="shared" si="62"/>
        <v>2551.4088268426335</v>
      </c>
      <c r="DX41" s="84">
        <f t="shared" si="62"/>
        <v>2576.9229151110599</v>
      </c>
      <c r="DY41" s="84">
        <f t="shared" si="62"/>
        <v>2602.6921442621706</v>
      </c>
      <c r="DZ41" s="84">
        <f t="shared" si="62"/>
        <v>2628.7190657047922</v>
      </c>
      <c r="EA41" s="84">
        <f t="shared" si="62"/>
        <v>2655.0062563618403</v>
      </c>
      <c r="EB41" s="84">
        <f t="shared" si="62"/>
        <v>2681.5563189254585</v>
      </c>
      <c r="EC41" s="84">
        <f t="shared" si="62"/>
        <v>2708.3718821147131</v>
      </c>
      <c r="ED41" s="84">
        <f t="shared" si="62"/>
        <v>2735.4556009358603</v>
      </c>
      <c r="EE41" s="84">
        <f t="shared" si="62"/>
        <v>2762.8101569452188</v>
      </c>
      <c r="EF41" s="84">
        <f t="shared" si="62"/>
        <v>2790.4382585146709</v>
      </c>
      <c r="EG41" s="84">
        <f t="shared" si="62"/>
        <v>2818.3426410998177</v>
      </c>
      <c r="EH41" s="84">
        <f t="shared" si="62"/>
        <v>2846.5260675108157</v>
      </c>
      <c r="EI41" s="84">
        <f t="shared" si="62"/>
        <v>2874.991328185924</v>
      </c>
      <c r="EJ41" s="84">
        <f t="shared" si="62"/>
        <v>2903.7412414677833</v>
      </c>
      <c r="EK41" s="84">
        <f t="shared" si="62"/>
        <v>2932.7786538824612</v>
      </c>
      <c r="EL41" s="84">
        <f t="shared" si="62"/>
        <v>2962.1064404212857</v>
      </c>
      <c r="EM41" s="84">
        <f t="shared" si="62"/>
        <v>2991.7275048254987</v>
      </c>
      <c r="EN41" s="84">
        <f t="shared" si="62"/>
        <v>3021.6447798737536</v>
      </c>
      <c r="EO41" s="84">
        <f t="shared" si="62"/>
        <v>3051.8612276724912</v>
      </c>
      <c r="EP41" s="34"/>
      <c r="EQ41" s="34"/>
    </row>
    <row r="42" spans="2:147">
      <c r="B42" s="1" t="s">
        <v>73</v>
      </c>
      <c r="C42" s="81">
        <v>45.58</v>
      </c>
      <c r="D42" s="81">
        <v>46.38</v>
      </c>
      <c r="E42" s="81">
        <v>47.32</v>
      </c>
      <c r="F42" s="81">
        <v>47.42</v>
      </c>
      <c r="G42" s="81">
        <v>47.61</v>
      </c>
      <c r="H42" s="81">
        <v>47.82</v>
      </c>
      <c r="I42" s="81">
        <v>48.04</v>
      </c>
      <c r="J42" s="81">
        <v>48.22</v>
      </c>
      <c r="K42" s="81">
        <v>53.05</v>
      </c>
      <c r="L42" s="81">
        <v>53.83</v>
      </c>
      <c r="M42" s="81">
        <v>54.46</v>
      </c>
      <c r="N42" s="81">
        <v>54.68</v>
      </c>
      <c r="O42" s="81">
        <v>55.09</v>
      </c>
      <c r="P42" s="81">
        <v>55.43</v>
      </c>
      <c r="Q42" s="81">
        <v>55.82</v>
      </c>
      <c r="R42" s="81">
        <v>56.17</v>
      </c>
      <c r="S42" s="81">
        <v>56.5</v>
      </c>
      <c r="T42" s="81">
        <v>56.81</v>
      </c>
      <c r="U42" s="81">
        <v>56.9</v>
      </c>
      <c r="V42" s="81">
        <v>56.93</v>
      </c>
      <c r="W42" s="81">
        <v>57.03</v>
      </c>
      <c r="X42" s="81">
        <v>57.2</v>
      </c>
      <c r="Y42" s="81">
        <v>57.34</v>
      </c>
      <c r="Z42" s="81">
        <v>57.44</v>
      </c>
      <c r="AA42" s="81">
        <v>57.69</v>
      </c>
      <c r="AB42" s="81">
        <v>57.98</v>
      </c>
      <c r="AC42" s="81">
        <v>58.1</v>
      </c>
      <c r="AD42" s="81">
        <v>58.24</v>
      </c>
      <c r="AE42" s="81">
        <v>58.48</v>
      </c>
      <c r="AF42" s="81">
        <v>58.83</v>
      </c>
      <c r="AG42" s="81">
        <v>59.02</v>
      </c>
      <c r="AH42" s="81">
        <v>59.1</v>
      </c>
      <c r="AI42" s="81">
        <v>59.36</v>
      </c>
      <c r="AJ42" s="81">
        <v>59.85</v>
      </c>
      <c r="AK42" s="81">
        <v>60.74</v>
      </c>
      <c r="AL42" s="81">
        <v>62.4</v>
      </c>
      <c r="AM42" s="81">
        <v>62.88</v>
      </c>
      <c r="AN42" s="81">
        <v>64.37</v>
      </c>
      <c r="AO42" s="81">
        <v>65.72</v>
      </c>
      <c r="AP42" s="81">
        <v>65.95</v>
      </c>
      <c r="AQ42" s="81">
        <v>66.11</v>
      </c>
      <c r="AR42" s="81">
        <v>66.7</v>
      </c>
      <c r="AS42" s="81">
        <v>68.87</v>
      </c>
      <c r="AT42" s="81">
        <v>69.069999999999993</v>
      </c>
      <c r="AU42" s="81">
        <v>69.25</v>
      </c>
      <c r="AV42" s="81">
        <v>69.36</v>
      </c>
      <c r="AW42" s="81">
        <v>69.42</v>
      </c>
      <c r="AX42" s="81">
        <v>69.47</v>
      </c>
      <c r="AY42" s="81">
        <v>69.58</v>
      </c>
      <c r="AZ42" s="81">
        <v>69.739999999999995</v>
      </c>
      <c r="BA42" s="81">
        <v>69.819999999999993</v>
      </c>
      <c r="BB42" s="81">
        <v>69.86</v>
      </c>
      <c r="BC42" s="81">
        <v>69.959999999999994</v>
      </c>
      <c r="BD42" s="81">
        <v>70.06</v>
      </c>
      <c r="BE42" s="81">
        <v>70.12</v>
      </c>
      <c r="BF42" s="81">
        <v>70.27</v>
      </c>
      <c r="BG42" s="81">
        <v>70.272000000000006</v>
      </c>
      <c r="BH42" s="81">
        <v>70.37</v>
      </c>
      <c r="BI42" s="81">
        <v>70.367000000000004</v>
      </c>
      <c r="BJ42" s="81">
        <v>70.25</v>
      </c>
      <c r="BK42" s="81">
        <v>69.98</v>
      </c>
      <c r="BL42" s="81">
        <v>69.3</v>
      </c>
      <c r="BS42" s="81">
        <f>AVERAGE(C42:F42)</f>
        <v>46.674999999999997</v>
      </c>
      <c r="BT42" s="81">
        <f>AVERAGE(G42:J42)</f>
        <v>47.922499999999999</v>
      </c>
      <c r="BU42" s="81">
        <f>AVERAGE(K42:N42)</f>
        <v>54.005000000000003</v>
      </c>
      <c r="BV42" s="81">
        <f>AVERAGE(O42:R42)</f>
        <v>55.627499999999998</v>
      </c>
      <c r="BW42" s="81">
        <f>AVERAGE(S42:V42)</f>
        <v>56.785000000000004</v>
      </c>
      <c r="BX42" s="81">
        <f>AVERAGE(W42:Z42)</f>
        <v>57.252499999999998</v>
      </c>
      <c r="BY42" s="81">
        <f>AVERAGE(AA42:AD42)</f>
        <v>58.002499999999998</v>
      </c>
      <c r="BZ42" s="81">
        <f>AVERAGE(AE42:AH42)</f>
        <v>58.857500000000002</v>
      </c>
      <c r="CA42" s="81">
        <f>AVERAGE(AI42:AL42)</f>
        <v>60.587500000000006</v>
      </c>
      <c r="CB42" s="81">
        <f>AVERAGE(AM42:AP42)</f>
        <v>64.73</v>
      </c>
      <c r="CC42" s="81">
        <f>AVERAGE(AQ42:AT42)</f>
        <v>67.6875</v>
      </c>
      <c r="CD42" s="81">
        <f>AVERAGE(AU42:AX42)</f>
        <v>69.375</v>
      </c>
      <c r="CE42" s="81">
        <f>AVERAGE(AY42:BB42)</f>
        <v>69.75</v>
      </c>
      <c r="CF42" s="81">
        <f>AVERAGE(BC42:BF42)</f>
        <v>70.102499999999992</v>
      </c>
      <c r="CG42" s="81">
        <f>AVERAGE(BG42:BJ42)</f>
        <v>70.314750000000004</v>
      </c>
    </row>
    <row r="43" spans="2:147">
      <c r="B43" s="1" t="s">
        <v>131</v>
      </c>
      <c r="C43" s="39">
        <f t="shared" ref="C43:AL43" si="63">C41/C42</f>
        <v>-0.21605967529618253</v>
      </c>
      <c r="D43" s="39">
        <f t="shared" si="63"/>
        <v>-0.1742992669253989</v>
      </c>
      <c r="E43" s="39">
        <f t="shared" si="63"/>
        <v>-0.28660185967878277</v>
      </c>
      <c r="F43" s="39">
        <f t="shared" si="63"/>
        <v>-0.29966258962463094</v>
      </c>
      <c r="G43" s="39">
        <f t="shared" si="63"/>
        <v>-0.31043898340684739</v>
      </c>
      <c r="H43" s="39">
        <f t="shared" si="63"/>
        <v>-0.30271852781263081</v>
      </c>
      <c r="I43" s="39">
        <f t="shared" si="63"/>
        <v>-0.25847210657785163</v>
      </c>
      <c r="J43" s="39">
        <f t="shared" si="63"/>
        <v>-0.21140605557859807</v>
      </c>
      <c r="K43" s="39">
        <f t="shared" si="63"/>
        <v>-0.20103675777568339</v>
      </c>
      <c r="L43" s="39">
        <f t="shared" si="63"/>
        <v>-0.19541148058703334</v>
      </c>
      <c r="M43" s="39">
        <f t="shared" si="63"/>
        <v>-0.39092912229159005</v>
      </c>
      <c r="N43" s="39">
        <f t="shared" si="63"/>
        <v>-4.5720555961960438E-2</v>
      </c>
      <c r="O43" s="39">
        <f t="shared" si="63"/>
        <v>-0.11152659284806685</v>
      </c>
      <c r="P43" s="39">
        <f t="shared" si="63"/>
        <v>-0.52518491791448663</v>
      </c>
      <c r="Q43" s="39">
        <f t="shared" si="63"/>
        <v>-0.19428520243640271</v>
      </c>
      <c r="R43" s="39">
        <f t="shared" si="63"/>
        <v>-3.2704290546555118E-2</v>
      </c>
      <c r="S43" s="39">
        <f t="shared" si="63"/>
        <v>-0.18481415929203537</v>
      </c>
      <c r="T43" s="39">
        <f t="shared" si="63"/>
        <v>-0.30394296778736135</v>
      </c>
      <c r="U43" s="39">
        <f t="shared" si="63"/>
        <v>-0.31608084358523719</v>
      </c>
      <c r="V43" s="39">
        <f t="shared" si="63"/>
        <v>-0.27943088002810468</v>
      </c>
      <c r="W43" s="39">
        <f t="shared" si="63"/>
        <v>-0.1880589163598107</v>
      </c>
      <c r="X43" s="39">
        <f t="shared" si="63"/>
        <v>-7.667832167832149E-2</v>
      </c>
      <c r="Y43" s="39">
        <f t="shared" si="63"/>
        <v>-5.320892919427974E-2</v>
      </c>
      <c r="Z43" s="39">
        <f t="shared" si="63"/>
        <v>-0.15752089136490249</v>
      </c>
      <c r="AA43" s="39">
        <f t="shared" si="63"/>
        <v>-0.17294158433004</v>
      </c>
      <c r="AB43" s="39">
        <f t="shared" si="63"/>
        <v>-0.1339599862021385</v>
      </c>
      <c r="AC43" s="39">
        <f t="shared" si="63"/>
        <v>-3.7969018932874396E-2</v>
      </c>
      <c r="AD43" s="39">
        <f t="shared" si="63"/>
        <v>-0.11761675824175785</v>
      </c>
      <c r="AE43" s="39">
        <f t="shared" si="63"/>
        <v>-0.11232900136798907</v>
      </c>
      <c r="AF43" s="39">
        <f t="shared" si="63"/>
        <v>-2.8743838177800393E-2</v>
      </c>
      <c r="AG43" s="39">
        <f t="shared" si="63"/>
        <v>2.8109115554049394E-2</v>
      </c>
      <c r="AH43" s="39">
        <f t="shared" si="63"/>
        <v>0.16752961082910287</v>
      </c>
      <c r="AI43" s="39">
        <f t="shared" si="63"/>
        <v>7.4123989218328565E-2</v>
      </c>
      <c r="AJ43" s="39">
        <f t="shared" si="63"/>
        <v>2.3391812865496978E-2</v>
      </c>
      <c r="AK43" s="39">
        <f t="shared" si="63"/>
        <v>1.3170892327955212E-2</v>
      </c>
      <c r="AL43" s="39">
        <f t="shared" si="63"/>
        <v>8.0128205128205482E-2</v>
      </c>
      <c r="AM43" s="39">
        <f>AM41/AM42</f>
        <v>-3.3396946564885489E-2</v>
      </c>
      <c r="AN43" s="39">
        <f t="shared" ref="AN43:BL43" si="64">AN41/AN42</f>
        <v>0.22370669566568274</v>
      </c>
      <c r="AO43" s="39">
        <f t="shared" si="64"/>
        <v>0.17650639074863073</v>
      </c>
      <c r="AP43" s="39">
        <f t="shared" si="64"/>
        <v>-0.25928733889310146</v>
      </c>
      <c r="AQ43" s="39">
        <f t="shared" si="64"/>
        <v>1.7213410985339365E-16</v>
      </c>
      <c r="AR43" s="39">
        <f t="shared" si="64"/>
        <v>-0.37481259370314873</v>
      </c>
      <c r="AS43" s="39">
        <f t="shared" si="64"/>
        <v>0.18295339044576764</v>
      </c>
      <c r="AT43" s="39">
        <f t="shared" si="64"/>
        <v>0.4227595193282177</v>
      </c>
      <c r="AU43" s="39">
        <f t="shared" si="64"/>
        <v>0.40144404332129968</v>
      </c>
      <c r="AV43" s="39">
        <f t="shared" si="64"/>
        <v>-0.50461361014994177</v>
      </c>
      <c r="AW43" s="39">
        <f t="shared" si="64"/>
        <v>-7.4906367041198407E-2</v>
      </c>
      <c r="AX43" s="39">
        <f t="shared" si="64"/>
        <v>0.2447099467396007</v>
      </c>
      <c r="AY43" s="39">
        <f t="shared" si="64"/>
        <v>0.36504742742167356</v>
      </c>
      <c r="AZ43" s="39">
        <f t="shared" si="64"/>
        <v>0.42586750788643524</v>
      </c>
      <c r="BA43" s="39">
        <f t="shared" si="64"/>
        <v>0.79346892008020564</v>
      </c>
      <c r="BB43" s="39">
        <f t="shared" si="64"/>
        <v>1.3713140566847974</v>
      </c>
      <c r="BC43" s="39">
        <f t="shared" si="64"/>
        <v>0.83333333333333304</v>
      </c>
      <c r="BD43" s="39">
        <f t="shared" si="64"/>
        <v>-1.2332286611475882</v>
      </c>
      <c r="BE43" s="39">
        <f t="shared" si="64"/>
        <v>1.2564175698802047</v>
      </c>
      <c r="BF43" s="39">
        <f t="shared" si="64"/>
        <v>5.0989042265547164</v>
      </c>
      <c r="BG43" s="39">
        <f t="shared" si="64"/>
        <v>0.50375683060109278</v>
      </c>
      <c r="BH43" s="39">
        <f t="shared" si="64"/>
        <v>0.31973852493960542</v>
      </c>
      <c r="BI43" s="39">
        <f t="shared" si="64"/>
        <v>1.244901729503888</v>
      </c>
      <c r="BJ43" s="39">
        <f t="shared" si="64"/>
        <v>1.4462633451957263</v>
      </c>
      <c r="BK43" s="39">
        <f t="shared" si="64"/>
        <v>1.3018005144326954</v>
      </c>
      <c r="BL43" s="39">
        <f t="shared" si="64"/>
        <v>1.3708513708513699</v>
      </c>
      <c r="BS43" s="39">
        <f t="shared" si="32"/>
        <v>-0.97662339152499511</v>
      </c>
      <c r="BT43" s="39">
        <f t="shared" si="33"/>
        <v>-1.0830356733759281</v>
      </c>
      <c r="BU43" s="39">
        <f t="shared" si="34"/>
        <v>-0.8330979166162672</v>
      </c>
      <c r="BV43" s="39">
        <f t="shared" si="35"/>
        <v>-0.86370100374551129</v>
      </c>
      <c r="BW43" s="39">
        <f t="shared" si="36"/>
        <v>-1.0842688506927387</v>
      </c>
      <c r="BX43" s="39">
        <f t="shared" si="37"/>
        <v>-0.47546705859731442</v>
      </c>
      <c r="BY43" s="39">
        <f t="shared" si="38"/>
        <v>-0.46248734770681077</v>
      </c>
      <c r="BZ43" s="39">
        <f t="shared" si="39"/>
        <v>5.4565886837362784E-2</v>
      </c>
      <c r="CA43" s="39">
        <f t="shared" si="40"/>
        <v>0.19081489953998623</v>
      </c>
      <c r="CB43" s="39">
        <f t="shared" si="41"/>
        <v>0.1075288009563265</v>
      </c>
      <c r="CC43" s="39">
        <f t="shared" si="42"/>
        <v>0.23090031607083678</v>
      </c>
      <c r="CD43" s="39">
        <f t="shared" si="43"/>
        <v>6.6634012869760201E-2</v>
      </c>
      <c r="CE43" s="39">
        <f t="shared" si="44"/>
        <v>2.9556979120731119</v>
      </c>
      <c r="CF43" s="39">
        <f t="shared" si="45"/>
        <v>5.9554264686206659</v>
      </c>
      <c r="CG43" s="39">
        <f t="shared" si="46"/>
        <v>3.5146604302403124</v>
      </c>
    </row>
    <row r="45" spans="2:147">
      <c r="B45" s="37" t="s">
        <v>56</v>
      </c>
      <c r="C45" s="74">
        <f t="shared" ref="C45:AS45" si="65">C31/C29</f>
        <v>0.47890862764526859</v>
      </c>
      <c r="D45" s="74">
        <f t="shared" si="65"/>
        <v>0.45133649995343211</v>
      </c>
      <c r="E45" s="74">
        <f t="shared" si="65"/>
        <v>0.4162219132618738</v>
      </c>
      <c r="F45" s="74">
        <f t="shared" si="65"/>
        <v>0.42549584675368712</v>
      </c>
      <c r="G45" s="74">
        <f t="shared" si="65"/>
        <v>0.4250115173598023</v>
      </c>
      <c r="H45" s="74">
        <f t="shared" si="65"/>
        <v>0.43756245713725872</v>
      </c>
      <c r="I45" s="74">
        <f t="shared" si="65"/>
        <v>0.44546317942723557</v>
      </c>
      <c r="J45" s="74">
        <f t="shared" si="65"/>
        <v>0.43783288372414747</v>
      </c>
      <c r="K45" s="74">
        <f t="shared" si="65"/>
        <v>0.4385766092475068</v>
      </c>
      <c r="L45" s="74">
        <f t="shared" si="65"/>
        <v>0.44653198429075414</v>
      </c>
      <c r="M45" s="74">
        <f t="shared" si="65"/>
        <v>0.44834132530317666</v>
      </c>
      <c r="N45" s="74">
        <f t="shared" si="65"/>
        <v>0.4817824989421155</v>
      </c>
      <c r="O45" s="74">
        <f t="shared" si="65"/>
        <v>0.47437139428290509</v>
      </c>
      <c r="P45" s="74">
        <f t="shared" si="65"/>
        <v>0.4966464388374322</v>
      </c>
      <c r="Q45" s="74">
        <f t="shared" si="65"/>
        <v>0.50732813229312534</v>
      </c>
      <c r="R45" s="74">
        <f t="shared" si="65"/>
        <v>1.3527898694103682</v>
      </c>
      <c r="S45" s="74">
        <f t="shared" si="65"/>
        <v>0.60631801944005992</v>
      </c>
      <c r="T45" s="74">
        <f t="shared" si="65"/>
        <v>0.50395534342950565</v>
      </c>
      <c r="U45" s="74">
        <f t="shared" si="65"/>
        <v>0.44220021570742229</v>
      </c>
      <c r="V45" s="74">
        <f t="shared" si="65"/>
        <v>0.50110380544384914</v>
      </c>
      <c r="W45" s="74">
        <f t="shared" si="65"/>
        <v>0.54241316045460697</v>
      </c>
      <c r="X45" s="74">
        <f t="shared" si="65"/>
        <v>0.57777396083819998</v>
      </c>
      <c r="Y45" s="74">
        <f t="shared" si="65"/>
        <v>0.58649113006081943</v>
      </c>
      <c r="Z45" s="74">
        <f t="shared" si="65"/>
        <v>0.58833695389814145</v>
      </c>
      <c r="AA45" s="74">
        <f t="shared" si="65"/>
        <v>0.5839764828488001</v>
      </c>
      <c r="AB45" s="74">
        <f t="shared" si="65"/>
        <v>0.58893363460767534</v>
      </c>
      <c r="AC45" s="74">
        <f t="shared" si="65"/>
        <v>0.60459043317593919</v>
      </c>
      <c r="AD45" s="74">
        <f t="shared" si="65"/>
        <v>0.6092328196329545</v>
      </c>
      <c r="AE45" s="74">
        <f t="shared" si="65"/>
        <v>0.61349916651831227</v>
      </c>
      <c r="AF45" s="74">
        <f t="shared" si="65"/>
        <v>0.66047544703932015</v>
      </c>
      <c r="AG45" s="74">
        <f t="shared" si="65"/>
        <v>0.67495167994916461</v>
      </c>
      <c r="AH45" s="74">
        <f t="shared" si="65"/>
        <v>0.66922199849591235</v>
      </c>
      <c r="AI45" s="74">
        <f t="shared" si="65"/>
        <v>0.66854636591478689</v>
      </c>
      <c r="AJ45" s="74">
        <f t="shared" si="65"/>
        <v>0.65725578769057025</v>
      </c>
      <c r="AK45" s="74">
        <f t="shared" si="65"/>
        <v>0.64081207704320664</v>
      </c>
      <c r="AL45" s="74">
        <f t="shared" si="65"/>
        <v>0.64040114613180521</v>
      </c>
      <c r="AM45" s="74">
        <f t="shared" si="65"/>
        <v>0.64090909090909098</v>
      </c>
      <c r="AN45" s="74">
        <f t="shared" si="65"/>
        <v>0.62969509500662835</v>
      </c>
      <c r="AO45" s="74">
        <f t="shared" si="65"/>
        <v>0.64871794871794874</v>
      </c>
      <c r="AP45" s="74">
        <f t="shared" si="65"/>
        <v>0.65461194636326692</v>
      </c>
      <c r="AQ45" s="74">
        <f t="shared" si="65"/>
        <v>0.66389219183511694</v>
      </c>
      <c r="AR45" s="74">
        <f t="shared" si="65"/>
        <v>0.69414893617021278</v>
      </c>
      <c r="AS45" s="74">
        <f t="shared" si="65"/>
        <v>0.68468795355587808</v>
      </c>
      <c r="AT45" s="74">
        <f t="shared" ref="AT45" si="66">AT31/AT29</f>
        <v>0.69288267793305169</v>
      </c>
      <c r="AU45" s="74">
        <f t="shared" ref="AU45:BL45" si="67">AU31/AU29</f>
        <v>0.70988490182802977</v>
      </c>
      <c r="AV45" s="74">
        <f t="shared" si="67"/>
        <v>0.63560454241816977</v>
      </c>
      <c r="AW45" s="74">
        <f t="shared" si="67"/>
        <v>0.55252347417840375</v>
      </c>
      <c r="AX45" s="74">
        <f t="shared" si="67"/>
        <v>0.58777387070597786</v>
      </c>
      <c r="AY45" s="74">
        <f t="shared" si="67"/>
        <v>0.67160011170064227</v>
      </c>
      <c r="AZ45" s="74">
        <f t="shared" si="67"/>
        <v>0.66809583858764177</v>
      </c>
      <c r="BA45" s="74">
        <f t="shared" si="67"/>
        <v>0.67783683845620513</v>
      </c>
      <c r="BB45" s="74">
        <f t="shared" si="67"/>
        <v>0.70851314240878771</v>
      </c>
      <c r="BC45" s="74">
        <f t="shared" si="67"/>
        <v>0.69458908761602889</v>
      </c>
      <c r="BD45" s="74">
        <f t="shared" si="67"/>
        <v>0.67737973387922201</v>
      </c>
      <c r="BE45" s="74">
        <f t="shared" si="67"/>
        <v>0.69326958440603159</v>
      </c>
      <c r="BF45" s="74">
        <f t="shared" si="67"/>
        <v>0.72121820615796517</v>
      </c>
      <c r="BG45" s="74">
        <f t="shared" si="67"/>
        <v>0.71893127087361575</v>
      </c>
      <c r="BH45" s="74">
        <f t="shared" si="67"/>
        <v>0.69670363524337653</v>
      </c>
      <c r="BI45" s="74">
        <f t="shared" si="67"/>
        <v>0.72221435650573418</v>
      </c>
      <c r="BJ45" s="74">
        <f t="shared" si="67"/>
        <v>0.7254051295138445</v>
      </c>
      <c r="BK45" s="74">
        <f t="shared" si="67"/>
        <v>0.69449914664566104</v>
      </c>
      <c r="BL45" s="74">
        <f t="shared" si="67"/>
        <v>0.70175876262941239</v>
      </c>
      <c r="BS45" s="74">
        <f t="shared" ref="BS45:CG45" si="68">BS31/BS29</f>
        <v>0.43815966634921683</v>
      </c>
      <c r="BT45" s="74">
        <f t="shared" si="68"/>
        <v>0.43684740903349117</v>
      </c>
      <c r="BU45" s="74">
        <f t="shared" si="68"/>
        <v>0.45491007106894826</v>
      </c>
      <c r="BV45" s="74">
        <f t="shared" si="68"/>
        <v>0.54956532264688462</v>
      </c>
      <c r="BW45" s="74">
        <f t="shared" si="68"/>
        <v>0.50501907970275828</v>
      </c>
      <c r="BX45" s="74">
        <f t="shared" si="68"/>
        <v>0.5751834523650573</v>
      </c>
      <c r="BY45" s="74">
        <f t="shared" si="68"/>
        <v>0.59767141009055624</v>
      </c>
      <c r="BZ45" s="74">
        <f t="shared" si="68"/>
        <v>0.65661582121319617</v>
      </c>
      <c r="CA45" s="74">
        <f t="shared" si="68"/>
        <v>0.65063668382552153</v>
      </c>
      <c r="CB45" s="74">
        <f t="shared" si="68"/>
        <v>0.64385227775320653</v>
      </c>
      <c r="CC45" s="74">
        <f t="shared" si="68"/>
        <v>0.68447397160538759</v>
      </c>
      <c r="CD45" s="74">
        <f t="shared" si="68"/>
        <v>0.61717612809315858</v>
      </c>
      <c r="CE45" s="74">
        <f t="shared" si="68"/>
        <v>0.68346002003417594</v>
      </c>
      <c r="CF45" s="74">
        <f t="shared" si="68"/>
        <v>0.69786638347171259</v>
      </c>
      <c r="CG45" s="74">
        <f t="shared" si="68"/>
        <v>0.71633248402939331</v>
      </c>
      <c r="CH45" s="85">
        <v>0.71633248402939331</v>
      </c>
      <c r="CI45" s="85">
        <v>0.70499999999999996</v>
      </c>
      <c r="CJ45" s="85">
        <v>0.69499999999999995</v>
      </c>
      <c r="CK45" s="85">
        <v>0.7</v>
      </c>
      <c r="CL45" s="85">
        <v>0.70250000000000001</v>
      </c>
      <c r="CM45" s="85">
        <v>0.70499999999999996</v>
      </c>
      <c r="CN45" s="85">
        <v>0.70750000000000002</v>
      </c>
      <c r="CO45" s="85">
        <v>0.71</v>
      </c>
      <c r="CP45" s="85">
        <v>0.71</v>
      </c>
      <c r="CQ45" s="85">
        <v>0.71</v>
      </c>
    </row>
    <row r="46" spans="2:147">
      <c r="B46" s="37" t="s">
        <v>57</v>
      </c>
      <c r="C46" s="74">
        <f t="shared" ref="C46:AS46" si="69">C32/C29</f>
        <v>0.16239648948970206</v>
      </c>
      <c r="D46" s="74">
        <f t="shared" si="69"/>
        <v>0.21210145602433952</v>
      </c>
      <c r="E46" s="74">
        <f t="shared" si="69"/>
        <v>0.10400502309727766</v>
      </c>
      <c r="F46" s="74">
        <f t="shared" si="69"/>
        <v>0.12298694694015935</v>
      </c>
      <c r="G46" s="74">
        <f t="shared" si="69"/>
        <v>0.11374963353855176</v>
      </c>
      <c r="H46" s="74">
        <f t="shared" si="69"/>
        <v>0.12777505633388853</v>
      </c>
      <c r="I46" s="74">
        <f t="shared" si="69"/>
        <v>0.11979471069549971</v>
      </c>
      <c r="J46" s="74">
        <f t="shared" si="69"/>
        <v>0.10111018883585807</v>
      </c>
      <c r="K46" s="74">
        <f t="shared" si="69"/>
        <v>7.6644117441941551E-2</v>
      </c>
      <c r="L46" s="74">
        <f t="shared" si="69"/>
        <v>8.6101311322638624E-2</v>
      </c>
      <c r="M46" s="74">
        <f t="shared" si="69"/>
        <v>9.4447081158044607E-2</v>
      </c>
      <c r="N46" s="74">
        <f t="shared" si="69"/>
        <v>9.3735864474048997E-2</v>
      </c>
      <c r="O46" s="74">
        <f t="shared" si="69"/>
        <v>9.8017668917453477E-2</v>
      </c>
      <c r="P46" s="74">
        <f t="shared" si="69"/>
        <v>9.2719370113729452E-2</v>
      </c>
      <c r="Q46" s="74">
        <f t="shared" si="69"/>
        <v>9.5459091818363678E-2</v>
      </c>
      <c r="R46" s="74">
        <f t="shared" si="69"/>
        <v>0.48054346392296526</v>
      </c>
      <c r="S46" s="74">
        <f t="shared" si="69"/>
        <v>0.1704536013956966</v>
      </c>
      <c r="T46" s="74">
        <f t="shared" si="69"/>
        <v>0.19931958184010173</v>
      </c>
      <c r="U46" s="74">
        <f t="shared" si="69"/>
        <v>0.14055999887944196</v>
      </c>
      <c r="V46" s="74">
        <f t="shared" si="69"/>
        <v>0.15390031145213065</v>
      </c>
      <c r="W46" s="74">
        <f t="shared" si="69"/>
        <v>0.15993744843805796</v>
      </c>
      <c r="X46" s="74">
        <f t="shared" si="69"/>
        <v>0.14832245505553646</v>
      </c>
      <c r="Y46" s="74">
        <f t="shared" si="69"/>
        <v>0.14476499667970191</v>
      </c>
      <c r="Z46" s="74">
        <f t="shared" si="69"/>
        <v>0.15480569635529809</v>
      </c>
      <c r="AA46" s="74">
        <f t="shared" si="69"/>
        <v>0.17205273662167078</v>
      </c>
      <c r="AB46" s="74">
        <f t="shared" si="69"/>
        <v>0.16426436823499399</v>
      </c>
      <c r="AC46" s="74">
        <f t="shared" si="69"/>
        <v>0.16539519605830422</v>
      </c>
      <c r="AD46" s="74">
        <f t="shared" si="69"/>
        <v>0.15342075431232574</v>
      </c>
      <c r="AE46" s="74">
        <f t="shared" si="69"/>
        <v>0.16400168314748578</v>
      </c>
      <c r="AF46" s="74">
        <f t="shared" si="69"/>
        <v>0.15130128277349469</v>
      </c>
      <c r="AG46" s="74">
        <f t="shared" si="69"/>
        <v>0.14784611718605206</v>
      </c>
      <c r="AH46" s="74">
        <f t="shared" si="69"/>
        <v>0.20254239344023681</v>
      </c>
      <c r="AI46" s="74">
        <f t="shared" si="69"/>
        <v>0.20363408521303258</v>
      </c>
      <c r="AJ46" s="74">
        <f t="shared" si="69"/>
        <v>0.18633540372670809</v>
      </c>
      <c r="AK46" s="74">
        <f t="shared" si="69"/>
        <v>0.16293597084851641</v>
      </c>
      <c r="AL46" s="74">
        <f t="shared" si="69"/>
        <v>0.16953199617956063</v>
      </c>
      <c r="AM46" s="74">
        <f t="shared" si="69"/>
        <v>0.17929292929292928</v>
      </c>
      <c r="AN46" s="74">
        <f t="shared" si="69"/>
        <v>0.15112682280159082</v>
      </c>
      <c r="AO46" s="74">
        <f t="shared" si="69"/>
        <v>0.16581196581196581</v>
      </c>
      <c r="AP46" s="74">
        <f t="shared" si="69"/>
        <v>0.15562779357984557</v>
      </c>
      <c r="AQ46" s="74">
        <f t="shared" si="69"/>
        <v>0.16131589377724931</v>
      </c>
      <c r="AR46" s="74">
        <f t="shared" si="69"/>
        <v>0.15235562310030396</v>
      </c>
      <c r="AS46" s="74">
        <f t="shared" si="69"/>
        <v>0.13606676342525398</v>
      </c>
      <c r="AT46" s="74">
        <f t="shared" ref="AT46" si="70">AT32/AT29</f>
        <v>0.13584660383490413</v>
      </c>
      <c r="AU46" s="74">
        <f t="shared" ref="AU46:BL46" si="71">AU32/AU29</f>
        <v>0.14590385917400137</v>
      </c>
      <c r="AV46" s="74">
        <f t="shared" si="71"/>
        <v>0.14228456913827653</v>
      </c>
      <c r="AW46" s="74">
        <f t="shared" si="71"/>
        <v>0.13204225352112675</v>
      </c>
      <c r="AX46" s="74">
        <f t="shared" si="71"/>
        <v>0.13389234514471193</v>
      </c>
      <c r="AY46" s="74">
        <f t="shared" si="71"/>
        <v>0.13990505445406309</v>
      </c>
      <c r="AZ46" s="74">
        <f t="shared" si="71"/>
        <v>0.1389659520807062</v>
      </c>
      <c r="BA46" s="74">
        <f t="shared" si="71"/>
        <v>0.13357984746937832</v>
      </c>
      <c r="BB46" s="74">
        <f t="shared" si="71"/>
        <v>8.2385249117300899E-2</v>
      </c>
      <c r="BC46" s="74">
        <f t="shared" si="71"/>
        <v>0.1136517998641612</v>
      </c>
      <c r="BD46" s="74">
        <f t="shared" si="71"/>
        <v>0.11033776867963152</v>
      </c>
      <c r="BE46" s="74">
        <f t="shared" si="71"/>
        <v>0.10095623390952557</v>
      </c>
      <c r="BF46" s="74">
        <f t="shared" si="71"/>
        <v>0.10140562248995985</v>
      </c>
      <c r="BG46" s="74">
        <f t="shared" si="71"/>
        <v>0.10476357883635086</v>
      </c>
      <c r="BH46" s="74">
        <f t="shared" si="71"/>
        <v>0.1130622304374615</v>
      </c>
      <c r="BI46" s="74">
        <f t="shared" si="71"/>
        <v>0.10930199631884467</v>
      </c>
      <c r="BJ46" s="74">
        <f t="shared" si="71"/>
        <v>0.11598826081408707</v>
      </c>
      <c r="BK46" s="74">
        <f t="shared" si="71"/>
        <v>0.11776289877904689</v>
      </c>
      <c r="BL46" s="74">
        <f t="shared" si="71"/>
        <v>0.1098914806037171</v>
      </c>
      <c r="BS46" s="74">
        <f t="shared" ref="BS46:CG46" si="72">BS32/BS29</f>
        <v>0.14359462743423862</v>
      </c>
      <c r="BT46" s="74">
        <f t="shared" si="72"/>
        <v>0.1152439572501171</v>
      </c>
      <c r="BU46" s="74">
        <f t="shared" si="72"/>
        <v>8.8087452040601574E-2</v>
      </c>
      <c r="BV46" s="74">
        <f t="shared" si="72"/>
        <v>0.12061161762226516</v>
      </c>
      <c r="BW46" s="74">
        <f t="shared" si="72"/>
        <v>0.16373302815914026</v>
      </c>
      <c r="BX46" s="74">
        <f t="shared" si="72"/>
        <v>0.15180291507374882</v>
      </c>
      <c r="BY46" s="74">
        <f t="shared" si="72"/>
        <v>0.16321690383786111</v>
      </c>
      <c r="BZ46" s="74">
        <f t="shared" si="72"/>
        <v>0.16814473217452999</v>
      </c>
      <c r="CA46" s="74">
        <f t="shared" si="72"/>
        <v>0.17921972365212682</v>
      </c>
      <c r="CB46" s="74">
        <f t="shared" si="72"/>
        <v>0.16231755860238833</v>
      </c>
      <c r="CC46" s="74">
        <f t="shared" si="72"/>
        <v>0.1457044048052421</v>
      </c>
      <c r="CD46" s="74">
        <f t="shared" si="72"/>
        <v>0.13805255496820654</v>
      </c>
      <c r="CE46" s="74">
        <f t="shared" si="72"/>
        <v>0.12079429615225974</v>
      </c>
      <c r="CF46" s="74">
        <f t="shared" si="72"/>
        <v>0.10600502027418421</v>
      </c>
      <c r="CG46" s="74">
        <f t="shared" si="72"/>
        <v>0.11118496362763562</v>
      </c>
      <c r="CH46" s="85">
        <v>0.11118496362763562</v>
      </c>
      <c r="CI46" s="85">
        <v>0.115</v>
      </c>
      <c r="CJ46" s="85">
        <v>0.11749999999999999</v>
      </c>
      <c r="CK46" s="85">
        <v>0.115</v>
      </c>
      <c r="CL46" s="85">
        <v>0.1125</v>
      </c>
      <c r="CM46" s="85">
        <v>0.11</v>
      </c>
      <c r="CN46" s="85">
        <v>0.109</v>
      </c>
      <c r="CO46" s="85">
        <v>0.108</v>
      </c>
      <c r="CP46" s="85">
        <v>0.107</v>
      </c>
      <c r="CQ46" s="85">
        <v>0.106</v>
      </c>
    </row>
    <row r="47" spans="2:147">
      <c r="B47" s="37" t="s">
        <v>58</v>
      </c>
      <c r="C47" s="74">
        <f t="shared" ref="C47:AS47" si="73">C33/C29</f>
        <v>0.57389057965885759</v>
      </c>
      <c r="D47" s="74">
        <f t="shared" si="73"/>
        <v>0.70227562012976941</v>
      </c>
      <c r="E47" s="74">
        <f t="shared" si="73"/>
        <v>0.53125981073687045</v>
      </c>
      <c r="F47" s="74">
        <f t="shared" si="73"/>
        <v>0.52523732836073911</v>
      </c>
      <c r="G47" s="74">
        <f t="shared" si="73"/>
        <v>0.53941031117812122</v>
      </c>
      <c r="H47" s="74">
        <f t="shared" si="73"/>
        <v>0.51590085235622618</v>
      </c>
      <c r="I47" s="74">
        <f t="shared" si="73"/>
        <v>0.48038427819988311</v>
      </c>
      <c r="J47" s="74">
        <f t="shared" si="73"/>
        <v>0.44196582970187448</v>
      </c>
      <c r="K47" s="74">
        <f t="shared" si="73"/>
        <v>0.47013390055094501</v>
      </c>
      <c r="L47" s="74">
        <f t="shared" si="73"/>
        <v>0.45731544964387943</v>
      </c>
      <c r="M47" s="74">
        <f t="shared" si="73"/>
        <v>0.63723548761926574</v>
      </c>
      <c r="N47" s="74">
        <f t="shared" si="73"/>
        <v>0.38504078327229213</v>
      </c>
      <c r="O47" s="74">
        <f t="shared" si="73"/>
        <v>0.40362342938939577</v>
      </c>
      <c r="P47" s="74">
        <f t="shared" si="73"/>
        <v>0.47724716370655296</v>
      </c>
      <c r="Q47" s="74">
        <f t="shared" si="73"/>
        <v>0.45022337800893508</v>
      </c>
      <c r="R47" s="74">
        <f t="shared" si="73"/>
        <v>0.79521171349426212</v>
      </c>
      <c r="S47" s="74">
        <f t="shared" si="73"/>
        <v>0.58677411315111738</v>
      </c>
      <c r="T47" s="74">
        <f t="shared" si="73"/>
        <v>0.5368202011527472</v>
      </c>
      <c r="U47" s="74">
        <f t="shared" si="73"/>
        <v>0.50887341896264338</v>
      </c>
      <c r="V47" s="74">
        <f t="shared" si="73"/>
        <v>0.49775062350091293</v>
      </c>
      <c r="W47" s="74">
        <f t="shared" si="73"/>
        <v>0.477275805597626</v>
      </c>
      <c r="X47" s="74">
        <f t="shared" si="73"/>
        <v>0.4442001603114622</v>
      </c>
      <c r="Y47" s="74">
        <f t="shared" si="73"/>
        <v>0.41623889281234516</v>
      </c>
      <c r="Z47" s="74">
        <f t="shared" si="73"/>
        <v>0.47345401882693705</v>
      </c>
      <c r="AA47" s="74">
        <f t="shared" si="73"/>
        <v>0.46410979914071954</v>
      </c>
      <c r="AB47" s="74">
        <f t="shared" si="73"/>
        <v>0.45526440467947088</v>
      </c>
      <c r="AC47" s="74">
        <f t="shared" si="73"/>
        <v>0.42238554711558207</v>
      </c>
      <c r="AD47" s="74">
        <f t="shared" si="73"/>
        <v>0.46179417261558248</v>
      </c>
      <c r="AE47" s="74">
        <f t="shared" si="73"/>
        <v>0.44949748337082651</v>
      </c>
      <c r="AF47" s="74">
        <f t="shared" si="73"/>
        <v>0.47436867264328592</v>
      </c>
      <c r="AG47" s="74">
        <f t="shared" si="73"/>
        <v>0.48166485742275411</v>
      </c>
      <c r="AH47" s="74">
        <f t="shared" si="73"/>
        <v>0.36836806482132906</v>
      </c>
      <c r="AI47" s="74">
        <f t="shared" si="73"/>
        <v>0.41917293233082714</v>
      </c>
      <c r="AJ47" s="74">
        <f t="shared" si="73"/>
        <v>0.42800677583286278</v>
      </c>
      <c r="AK47" s="74">
        <f t="shared" si="73"/>
        <v>0.38938053097345132</v>
      </c>
      <c r="AL47" s="74">
        <f t="shared" si="73"/>
        <v>0.38443170964660933</v>
      </c>
      <c r="AM47" s="74">
        <f t="shared" si="73"/>
        <v>0.42373737373737375</v>
      </c>
      <c r="AN47" s="74">
        <f t="shared" si="73"/>
        <v>0.35704816615112678</v>
      </c>
      <c r="AO47" s="74">
        <f t="shared" si="73"/>
        <v>0.38119658119658123</v>
      </c>
      <c r="AP47" s="74">
        <f t="shared" si="73"/>
        <v>0.52864689150751742</v>
      </c>
      <c r="AQ47" s="74">
        <f t="shared" si="73"/>
        <v>0.437970669837495</v>
      </c>
      <c r="AR47" s="74">
        <f t="shared" si="73"/>
        <v>0.44186930091185417</v>
      </c>
      <c r="AS47" s="74">
        <f t="shared" si="73"/>
        <v>0.42634252539912915</v>
      </c>
      <c r="AT47" s="74">
        <f t="shared" ref="AT47" si="74">AT33/AT29</f>
        <v>0.39551511212219698</v>
      </c>
      <c r="AU47" s="74">
        <f t="shared" ref="AU47:BL47" si="75">AU33/AU29</f>
        <v>0.43568043331076506</v>
      </c>
      <c r="AV47" s="74">
        <f t="shared" si="75"/>
        <v>0.58249832999331996</v>
      </c>
      <c r="AW47" s="74">
        <f t="shared" si="75"/>
        <v>0.4119718309859155</v>
      </c>
      <c r="AX47" s="74">
        <f t="shared" si="75"/>
        <v>0.39031647281579646</v>
      </c>
      <c r="AY47" s="74">
        <f t="shared" si="75"/>
        <v>0.45434236246858412</v>
      </c>
      <c r="AZ47" s="74">
        <f t="shared" si="75"/>
        <v>0.45069356872635558</v>
      </c>
      <c r="BA47" s="74">
        <f t="shared" si="75"/>
        <v>0.4176103535937139</v>
      </c>
      <c r="BB47" s="74">
        <f t="shared" si="75"/>
        <v>0.41722244017261678</v>
      </c>
      <c r="BC47" s="74">
        <f t="shared" si="75"/>
        <v>0.4521168213719719</v>
      </c>
      <c r="BD47" s="74">
        <f t="shared" si="75"/>
        <v>0.45527123848515866</v>
      </c>
      <c r="BE47" s="74">
        <f t="shared" si="75"/>
        <v>0.43048915042294966</v>
      </c>
      <c r="BF47" s="74">
        <f t="shared" si="75"/>
        <v>0.43674698795180728</v>
      </c>
      <c r="BG47" s="74">
        <f t="shared" si="75"/>
        <v>0.45825276850061519</v>
      </c>
      <c r="BH47" s="74">
        <f t="shared" si="75"/>
        <v>0.39695009242144175</v>
      </c>
      <c r="BI47" s="74">
        <f t="shared" si="75"/>
        <v>0.44626929066968707</v>
      </c>
      <c r="BJ47" s="74">
        <f t="shared" si="75"/>
        <v>0.4228658925609291</v>
      </c>
      <c r="BK47" s="74">
        <f t="shared" si="75"/>
        <v>0.41643691742155708</v>
      </c>
      <c r="BL47" s="74">
        <f t="shared" si="75"/>
        <v>0.43008606710739683</v>
      </c>
      <c r="BS47" s="74">
        <f t="shared" ref="BS47:CG47" si="76">BS33/BS29</f>
        <v>0.57348527141965788</v>
      </c>
      <c r="BT47" s="74">
        <f t="shared" si="76"/>
        <v>0.49178450955438124</v>
      </c>
      <c r="BU47" s="74">
        <f t="shared" si="76"/>
        <v>0.48473798384355121</v>
      </c>
      <c r="BV47" s="74">
        <f t="shared" si="76"/>
        <v>0.46731598082318515</v>
      </c>
      <c r="BW47" s="74">
        <f t="shared" si="76"/>
        <v>0.52596696388308883</v>
      </c>
      <c r="BX47" s="74">
        <f t="shared" si="76"/>
        <v>0.45254762404322751</v>
      </c>
      <c r="BY47" s="74">
        <f t="shared" si="76"/>
        <v>0.45040965933592059</v>
      </c>
      <c r="BZ47" s="74">
        <f t="shared" si="76"/>
        <v>0.43987229514012066</v>
      </c>
      <c r="CA47" s="74">
        <f t="shared" si="76"/>
        <v>0.40368463830940127</v>
      </c>
      <c r="CB47" s="74">
        <f t="shared" si="76"/>
        <v>0.42459088898717384</v>
      </c>
      <c r="CC47" s="74">
        <f t="shared" si="76"/>
        <v>0.42409901710957409</v>
      </c>
      <c r="CD47" s="74">
        <f t="shared" si="76"/>
        <v>0.45031793457442731</v>
      </c>
      <c r="CE47" s="74">
        <f t="shared" si="76"/>
        <v>0.43297389664722175</v>
      </c>
      <c r="CF47" s="74">
        <f t="shared" si="76"/>
        <v>0.44274956555319561</v>
      </c>
      <c r="CG47" s="74">
        <f t="shared" si="76"/>
        <v>0.43019090875521587</v>
      </c>
      <c r="CH47" s="85">
        <v>0.43019090875521587</v>
      </c>
      <c r="CI47" s="85">
        <v>0.42</v>
      </c>
      <c r="CJ47" s="85">
        <v>0.41499999999999998</v>
      </c>
      <c r="CK47" s="85">
        <v>0.41249999999999998</v>
      </c>
      <c r="CL47" s="85">
        <v>0.41</v>
      </c>
      <c r="CM47" s="85">
        <v>0.40749999999999997</v>
      </c>
      <c r="CN47" s="85">
        <v>0.40500000000000003</v>
      </c>
      <c r="CO47" s="85">
        <v>0.40250000000000002</v>
      </c>
      <c r="CP47" s="85">
        <v>0.40150000000000002</v>
      </c>
      <c r="CQ47" s="85">
        <v>0.4</v>
      </c>
    </row>
    <row r="48" spans="2:147">
      <c r="B48" s="37" t="s">
        <v>59</v>
      </c>
      <c r="C48" s="74">
        <f t="shared" ref="C48:AS48" si="77">C34/C29</f>
        <v>-0.25737844150329103</v>
      </c>
      <c r="D48" s="74">
        <f t="shared" si="77"/>
        <v>-0.4630405762006769</v>
      </c>
      <c r="E48" s="74">
        <f t="shared" si="77"/>
        <v>-0.21904292057227431</v>
      </c>
      <c r="F48" s="74">
        <f t="shared" si="77"/>
        <v>-0.22272842854721137</v>
      </c>
      <c r="G48" s="74">
        <f t="shared" si="77"/>
        <v>-0.22814842735687071</v>
      </c>
      <c r="H48" s="74">
        <f t="shared" si="77"/>
        <v>-0.20611345155285601</v>
      </c>
      <c r="I48" s="74">
        <f t="shared" si="77"/>
        <v>-0.15471580946814714</v>
      </c>
      <c r="J48" s="74">
        <f t="shared" si="77"/>
        <v>-0.10524313481358509</v>
      </c>
      <c r="K48" s="74">
        <f t="shared" si="77"/>
        <v>-0.10820140874537978</v>
      </c>
      <c r="L48" s="74">
        <f t="shared" si="77"/>
        <v>-9.6884776675763881E-2</v>
      </c>
      <c r="M48" s="74">
        <f t="shared" si="77"/>
        <v>-0.28334124347413375</v>
      </c>
      <c r="N48" s="74">
        <f t="shared" si="77"/>
        <v>3.0058511957743433E-3</v>
      </c>
      <c r="O48" s="74">
        <f t="shared" si="77"/>
        <v>-2.7269704023944172E-2</v>
      </c>
      <c r="P48" s="74">
        <f t="shared" si="77"/>
        <v>-7.3320094982850234E-2</v>
      </c>
      <c r="Q48" s="74">
        <f t="shared" si="77"/>
        <v>-3.8354337534173472E-2</v>
      </c>
      <c r="R48" s="74">
        <f t="shared" si="77"/>
        <v>7.7034691993140697E-2</v>
      </c>
      <c r="S48" s="74">
        <f t="shared" si="77"/>
        <v>-0.15090969510675412</v>
      </c>
      <c r="T48" s="74">
        <f t="shared" si="77"/>
        <v>-0.23218443956334325</v>
      </c>
      <c r="U48" s="74">
        <f t="shared" si="77"/>
        <v>-0.20723320213466298</v>
      </c>
      <c r="V48" s="74">
        <f t="shared" si="77"/>
        <v>-0.15054712950919438</v>
      </c>
      <c r="W48" s="74">
        <f t="shared" si="77"/>
        <v>-9.4800093581076994E-2</v>
      </c>
      <c r="X48" s="74">
        <f t="shared" si="77"/>
        <v>-1.4748654528798691E-2</v>
      </c>
      <c r="Y48" s="74">
        <f t="shared" si="77"/>
        <v>2.5487240568772326E-2</v>
      </c>
      <c r="Z48" s="74">
        <f t="shared" si="77"/>
        <v>-3.9922761284093632E-2</v>
      </c>
      <c r="AA48" s="74">
        <f t="shared" si="77"/>
        <v>-5.218605291359027E-2</v>
      </c>
      <c r="AB48" s="74">
        <f t="shared" si="77"/>
        <v>-3.0595138306789515E-2</v>
      </c>
      <c r="AC48" s="74">
        <f t="shared" si="77"/>
        <v>1.680969000205294E-2</v>
      </c>
      <c r="AD48" s="74">
        <f t="shared" si="77"/>
        <v>-5.9821072949537164E-3</v>
      </c>
      <c r="AE48" s="74">
        <f t="shared" si="77"/>
        <v>0</v>
      </c>
      <c r="AF48" s="74">
        <f t="shared" si="77"/>
        <v>3.4805491622539493E-2</v>
      </c>
      <c r="AG48" s="74">
        <f t="shared" si="77"/>
        <v>4.5440705340358462E-2</v>
      </c>
      <c r="AH48" s="74">
        <f t="shared" si="77"/>
        <v>9.8311540234346462E-2</v>
      </c>
      <c r="AI48" s="74">
        <f t="shared" si="77"/>
        <v>4.5739348370927212E-2</v>
      </c>
      <c r="AJ48" s="74">
        <f t="shared" si="77"/>
        <v>4.2913608130999405E-2</v>
      </c>
      <c r="AK48" s="74">
        <f t="shared" si="77"/>
        <v>8.8495575221238937E-2</v>
      </c>
      <c r="AL48" s="74">
        <f t="shared" si="77"/>
        <v>8.6437440305635257E-2</v>
      </c>
      <c r="AM48" s="74">
        <f t="shared" si="77"/>
        <v>3.787878787878788E-2</v>
      </c>
      <c r="AN48" s="74">
        <f t="shared" si="77"/>
        <v>0.12152010605391073</v>
      </c>
      <c r="AO48" s="74">
        <f t="shared" si="77"/>
        <v>0.10170940170940176</v>
      </c>
      <c r="AP48" s="74">
        <f t="shared" si="77"/>
        <v>-2.9662738724096058E-2</v>
      </c>
      <c r="AQ48" s="74">
        <f t="shared" si="77"/>
        <v>6.4605628220372621E-2</v>
      </c>
      <c r="AR48" s="74">
        <f t="shared" si="77"/>
        <v>9.9924012158054645E-2</v>
      </c>
      <c r="AS48" s="74">
        <f t="shared" si="77"/>
        <v>0.12227866473149497</v>
      </c>
      <c r="AT48" s="74">
        <f t="shared" ref="AT48" si="78">AT34/AT29</f>
        <v>0.16152096197595056</v>
      </c>
      <c r="AU48" s="74">
        <f t="shared" ref="AU48:BL48" si="79">AU34/AU29</f>
        <v>0.1283006093432634</v>
      </c>
      <c r="AV48" s="74">
        <f t="shared" si="79"/>
        <v>-8.9178356713426707E-2</v>
      </c>
      <c r="AW48" s="74">
        <f t="shared" si="79"/>
        <v>8.5093896713615193E-3</v>
      </c>
      <c r="AX48" s="74">
        <f t="shared" si="79"/>
        <v>6.3565052745469461E-2</v>
      </c>
      <c r="AY48" s="74">
        <f t="shared" si="79"/>
        <v>7.7352694777995099E-2</v>
      </c>
      <c r="AZ48" s="74">
        <f t="shared" si="79"/>
        <v>7.8436317780580064E-2</v>
      </c>
      <c r="BA48" s="74">
        <f t="shared" si="79"/>
        <v>0.12664663739311291</v>
      </c>
      <c r="BB48" s="74">
        <f t="shared" si="79"/>
        <v>0.20890545311887002</v>
      </c>
      <c r="BC48" s="74">
        <f t="shared" si="79"/>
        <v>0.1288204663798958</v>
      </c>
      <c r="BD48" s="74">
        <f t="shared" si="79"/>
        <v>0.11177072671443186</v>
      </c>
      <c r="BE48" s="74">
        <f t="shared" si="79"/>
        <v>0.16182420007355636</v>
      </c>
      <c r="BF48" s="74">
        <f t="shared" si="79"/>
        <v>0.18306559571619802</v>
      </c>
      <c r="BG48" s="74">
        <f t="shared" si="79"/>
        <v>0.15591492353664965</v>
      </c>
      <c r="BH48" s="74">
        <f t="shared" si="79"/>
        <v>0.18669131238447326</v>
      </c>
      <c r="BI48" s="74">
        <f t="shared" si="79"/>
        <v>0.16664306951720245</v>
      </c>
      <c r="BJ48" s="74">
        <f t="shared" si="79"/>
        <v>0.18655097613882834</v>
      </c>
      <c r="BK48" s="74">
        <f t="shared" si="79"/>
        <v>0.16029933044505715</v>
      </c>
      <c r="BL48" s="74">
        <f t="shared" si="79"/>
        <v>0.16178121491829855</v>
      </c>
      <c r="BS48" s="74">
        <f t="shared" ref="BS48:CG48" si="80">BS34/BS29</f>
        <v>-0.27892023250467968</v>
      </c>
      <c r="BT48" s="74">
        <f t="shared" si="80"/>
        <v>-0.17018105777100712</v>
      </c>
      <c r="BU48" s="74">
        <f t="shared" si="80"/>
        <v>-0.11791536481520454</v>
      </c>
      <c r="BV48" s="74">
        <f t="shared" si="80"/>
        <v>-3.8362275798565611E-2</v>
      </c>
      <c r="BW48" s="74">
        <f t="shared" si="80"/>
        <v>-0.18468091233947087</v>
      </c>
      <c r="BX48" s="74">
        <f t="shared" si="80"/>
        <v>-2.916708675191898E-2</v>
      </c>
      <c r="BY48" s="74">
        <f t="shared" si="80"/>
        <v>-1.5955153083225478E-2</v>
      </c>
      <c r="BZ48" s="74">
        <f t="shared" si="80"/>
        <v>4.8598793898545545E-2</v>
      </c>
      <c r="CA48" s="74">
        <f t="shared" si="80"/>
        <v>6.77323218639935E-2</v>
      </c>
      <c r="CB48" s="74">
        <f t="shared" si="80"/>
        <v>5.6943830163644377E-2</v>
      </c>
      <c r="CC48" s="74">
        <f t="shared" si="80"/>
        <v>0.11467054969057154</v>
      </c>
      <c r="CD48" s="74">
        <f t="shared" si="80"/>
        <v>2.8805638550524867E-2</v>
      </c>
      <c r="CE48" s="74">
        <f t="shared" si="80"/>
        <v>0.12969182723469444</v>
      </c>
      <c r="CF48" s="74">
        <f t="shared" si="80"/>
        <v>0.1491117976443328</v>
      </c>
      <c r="CG48" s="74">
        <f t="shared" si="80"/>
        <v>0.17495661164654183</v>
      </c>
      <c r="CH48" s="85">
        <f>CH34/CH29</f>
        <v>0.17495661164654178</v>
      </c>
      <c r="CI48" s="85">
        <f t="shared" ref="CI48:CQ48" si="81">CI34/CI29</f>
        <v>0.16999999999999996</v>
      </c>
      <c r="CJ48" s="85">
        <f t="shared" si="81"/>
        <v>0.16250000000000009</v>
      </c>
      <c r="CK48" s="85">
        <f t="shared" si="81"/>
        <v>0.17249999999999999</v>
      </c>
      <c r="CL48" s="85">
        <f t="shared" si="81"/>
        <v>0.18000000000000005</v>
      </c>
      <c r="CM48" s="85">
        <f t="shared" si="81"/>
        <v>0.18750000000000006</v>
      </c>
      <c r="CN48" s="85">
        <f t="shared" si="81"/>
        <v>0.19349999999999995</v>
      </c>
      <c r="CO48" s="85">
        <f t="shared" si="81"/>
        <v>0.1994999999999999</v>
      </c>
      <c r="CP48" s="85">
        <f t="shared" si="81"/>
        <v>0.20149999999999996</v>
      </c>
      <c r="CQ48" s="85">
        <f t="shared" si="81"/>
        <v>0.20399999999999996</v>
      </c>
    </row>
    <row r="49" spans="2:106">
      <c r="B49" s="37" t="s">
        <v>60</v>
      </c>
      <c r="C49" s="74">
        <f t="shared" ref="C49:AS49" si="82">C40/C39</f>
        <v>0</v>
      </c>
      <c r="D49" s="74">
        <f t="shared" si="82"/>
        <v>0.58379241105905366</v>
      </c>
      <c r="E49" s="74">
        <f t="shared" si="82"/>
        <v>0</v>
      </c>
      <c r="F49" s="74">
        <f t="shared" si="82"/>
        <v>0</v>
      </c>
      <c r="G49" s="74">
        <f t="shared" si="82"/>
        <v>-3.1220306773449159E-3</v>
      </c>
      <c r="H49" s="74">
        <f t="shared" si="82"/>
        <v>-4.7893385159991659E-3</v>
      </c>
      <c r="I49" s="74">
        <f t="shared" si="82"/>
        <v>-2.2600694164177913E-3</v>
      </c>
      <c r="J49" s="74">
        <f t="shared" si="82"/>
        <v>-6.8148148148148169E-3</v>
      </c>
      <c r="K49" s="74">
        <f t="shared" si="82"/>
        <v>-1.2435921777102713E-2</v>
      </c>
      <c r="L49" s="74">
        <f t="shared" si="82"/>
        <v>-1.1345062974713965E-2</v>
      </c>
      <c r="M49" s="74">
        <f t="shared" si="82"/>
        <v>-2.3490721165139773E-4</v>
      </c>
      <c r="N49" s="74">
        <f t="shared" si="82"/>
        <v>5.8025621703089746E-2</v>
      </c>
      <c r="O49" s="74">
        <f t="shared" si="82"/>
        <v>-1.069254811646652E-2</v>
      </c>
      <c r="P49" s="74">
        <f t="shared" si="82"/>
        <v>-1.7894628170274272E-3</v>
      </c>
      <c r="Q49" s="74">
        <f t="shared" si="82"/>
        <v>-1.9401330376940138E-3</v>
      </c>
      <c r="R49" s="74">
        <f t="shared" si="82"/>
        <v>4.073107049608353E-2</v>
      </c>
      <c r="S49" s="74">
        <f t="shared" si="82"/>
        <v>-2.3037051257439049E-3</v>
      </c>
      <c r="T49" s="74">
        <f t="shared" si="82"/>
        <v>-8.694644099234871E-4</v>
      </c>
      <c r="U49" s="74">
        <f t="shared" si="82"/>
        <v>-2.4524831391784184E-3</v>
      </c>
      <c r="V49" s="74">
        <f t="shared" si="82"/>
        <v>-8.1754230306103053E-3</v>
      </c>
      <c r="W49" s="74">
        <f t="shared" si="82"/>
        <v>-9.4117647058823486E-3</v>
      </c>
      <c r="X49" s="74">
        <f t="shared" si="82"/>
        <v>-2.3331777881474624E-2</v>
      </c>
      <c r="Y49" s="74">
        <f t="shared" si="82"/>
        <v>-3.3886818027787188E-2</v>
      </c>
      <c r="Z49" s="74">
        <f t="shared" si="82"/>
        <v>-1.0272443054935241E-2</v>
      </c>
      <c r="AA49" s="74">
        <f t="shared" si="82"/>
        <v>-9.7156158283574472E-3</v>
      </c>
      <c r="AB49" s="74">
        <f t="shared" si="82"/>
        <v>-1.3175058700756605E-2</v>
      </c>
      <c r="AC49" s="74">
        <f t="shared" si="82"/>
        <v>-4.7483380816714098E-2</v>
      </c>
      <c r="AD49" s="74">
        <f t="shared" si="82"/>
        <v>1.3962861666906624E-2</v>
      </c>
      <c r="AE49" s="74">
        <f t="shared" si="82"/>
        <v>-5.3399615137908918E-2</v>
      </c>
      <c r="AF49" s="74">
        <f t="shared" si="82"/>
        <v>-0.32212666145426183</v>
      </c>
      <c r="AG49" s="74">
        <f t="shared" si="82"/>
        <v>0.10469508904479249</v>
      </c>
      <c r="AH49" s="74">
        <f t="shared" si="82"/>
        <v>8.8473577610016729E-2</v>
      </c>
      <c r="AI49" s="74">
        <f t="shared" si="82"/>
        <v>6.3829787234042784E-2</v>
      </c>
      <c r="AJ49" s="74">
        <f t="shared" si="82"/>
        <v>0.26315789473684292</v>
      </c>
      <c r="AK49" s="74">
        <f t="shared" si="82"/>
        <v>0.27272727272727282</v>
      </c>
      <c r="AL49" s="74">
        <f t="shared" si="82"/>
        <v>0.26470588235294035</v>
      </c>
      <c r="AM49" s="74">
        <f t="shared" si="82"/>
        <v>0.19230769230769235</v>
      </c>
      <c r="AN49" s="74">
        <f t="shared" si="82"/>
        <v>0.17241379310344829</v>
      </c>
      <c r="AO49" s="74">
        <f t="shared" si="82"/>
        <v>0.13432835820895511</v>
      </c>
      <c r="AP49" s="74">
        <f t="shared" si="82"/>
        <v>7.5675675675675513E-2</v>
      </c>
      <c r="AQ49" s="74">
        <f t="shared" si="82"/>
        <v>0.99999999999996203</v>
      </c>
      <c r="AR49" s="74">
        <f t="shared" si="82"/>
        <v>0.11971830985915484</v>
      </c>
      <c r="AS49" s="74">
        <f t="shared" si="82"/>
        <v>0.17105263157894718</v>
      </c>
      <c r="AT49" s="74">
        <f t="shared" ref="AT49" si="83">AT40/AT39</f>
        <v>0.12574850299401202</v>
      </c>
      <c r="AU49" s="74">
        <f t="shared" ref="AU49:BL49" si="84">AU40/AU39</f>
        <v>5.1194539249146749E-2</v>
      </c>
      <c r="AV49" s="74">
        <f t="shared" si="84"/>
        <v>3.0470914127423861E-2</v>
      </c>
      <c r="AW49" s="74">
        <f t="shared" si="84"/>
        <v>8.7719298245614127E-2</v>
      </c>
      <c r="AX49" s="74">
        <f t="shared" si="84"/>
        <v>0.23766816143497696</v>
      </c>
      <c r="AY49" s="74">
        <f t="shared" si="84"/>
        <v>-3.2520325203251974E-2</v>
      </c>
      <c r="AZ49" s="74">
        <f t="shared" si="84"/>
        <v>-4.2105263157894743E-2</v>
      </c>
      <c r="BA49" s="74">
        <f t="shared" si="84"/>
        <v>-3.1657355679702077E-2</v>
      </c>
      <c r="BB49" s="74">
        <f t="shared" si="84"/>
        <v>0.11214087117701582</v>
      </c>
      <c r="BC49" s="74">
        <f t="shared" si="84"/>
        <v>-6.1930783242258675E-2</v>
      </c>
      <c r="BD49" s="74">
        <f t="shared" si="84"/>
        <v>2.6908023483365966</v>
      </c>
      <c r="BE49" s="74">
        <f t="shared" si="84"/>
        <v>-6.5296251511487352E-2</v>
      </c>
      <c r="BF49" s="74">
        <f t="shared" si="84"/>
        <v>-2.2134529147982076</v>
      </c>
      <c r="BG49" s="74">
        <f t="shared" si="84"/>
        <v>0.2640332640332641</v>
      </c>
      <c r="BH49" s="74">
        <f t="shared" si="84"/>
        <v>0.20774647887323919</v>
      </c>
      <c r="BI49" s="74">
        <f t="shared" si="84"/>
        <v>0.28664495114006494</v>
      </c>
      <c r="BJ49" s="74">
        <f t="shared" si="84"/>
        <v>0.27532097004279649</v>
      </c>
      <c r="BK49" s="74">
        <f t="shared" si="84"/>
        <v>0.19380530973451321</v>
      </c>
      <c r="BL49" s="74">
        <f t="shared" si="84"/>
        <v>0.1996630160067398</v>
      </c>
      <c r="BS49" s="74">
        <f t="shared" ref="BS49:CG49" si="85">BS40/BS39</f>
        <v>0.19877986781901374</v>
      </c>
      <c r="BT49" s="74">
        <f t="shared" si="85"/>
        <v>-4.1041525505759371E-3</v>
      </c>
      <c r="BU49" s="74">
        <f t="shared" si="85"/>
        <v>-2.2284619155858629E-3</v>
      </c>
      <c r="BV49" s="74">
        <f t="shared" si="85"/>
        <v>-1.253211354094868E-3</v>
      </c>
      <c r="BW49" s="74">
        <f t="shared" si="85"/>
        <v>-3.453331161426943E-3</v>
      </c>
      <c r="BX49" s="74">
        <f t="shared" si="85"/>
        <v>-1.461704825117459E-2</v>
      </c>
      <c r="BY49" s="74">
        <f t="shared" si="85"/>
        <v>-7.5187969924812113E-3</v>
      </c>
      <c r="BZ49" s="74">
        <f t="shared" si="85"/>
        <v>0.36538461538461686</v>
      </c>
      <c r="CA49" s="74">
        <f t="shared" si="85"/>
        <v>0.2</v>
      </c>
      <c r="CB49" s="74">
        <f t="shared" si="85"/>
        <v>0.29896907216494933</v>
      </c>
      <c r="CC49" s="74">
        <f t="shared" si="85"/>
        <v>0.1804878048780488</v>
      </c>
      <c r="CD49" s="74">
        <f t="shared" si="85"/>
        <v>0.53061224489795322</v>
      </c>
      <c r="CE49" s="74">
        <f t="shared" si="85"/>
        <v>3.9124359571495133E-2</v>
      </c>
      <c r="CF49" s="74">
        <f t="shared" si="85"/>
        <v>-0.39340439706862113</v>
      </c>
      <c r="CG49" s="74">
        <f t="shared" si="85"/>
        <v>0.27216494845360834</v>
      </c>
      <c r="CH49" s="85">
        <v>0.21</v>
      </c>
      <c r="CI49" s="85">
        <v>0.21</v>
      </c>
      <c r="CJ49" s="85">
        <v>0.21</v>
      </c>
      <c r="CK49" s="85">
        <v>0.21</v>
      </c>
      <c r="CL49" s="85">
        <v>0.21</v>
      </c>
      <c r="CM49" s="85">
        <v>0.21</v>
      </c>
      <c r="CN49" s="85">
        <v>0.21</v>
      </c>
      <c r="CO49" s="85">
        <v>0.21</v>
      </c>
      <c r="CP49" s="85">
        <v>0.21</v>
      </c>
      <c r="CQ49" s="85">
        <v>0.21</v>
      </c>
    </row>
    <row r="50" spans="2:106">
      <c r="B50" s="37" t="s">
        <v>61</v>
      </c>
      <c r="C50" s="74">
        <f t="shared" ref="C50:AS50" si="86">C41/C29</f>
        <v>-0.34850307877415243</v>
      </c>
      <c r="D50" s="74">
        <f t="shared" si="86"/>
        <v>-0.25097016547142287</v>
      </c>
      <c r="E50" s="74">
        <f t="shared" si="86"/>
        <v>-0.30412163071265197</v>
      </c>
      <c r="F50" s="74">
        <f t="shared" si="86"/>
        <v>-0.30111035768774369</v>
      </c>
      <c r="G50" s="74">
        <f t="shared" si="86"/>
        <v>-0.30950286886962358</v>
      </c>
      <c r="H50" s="74">
        <f t="shared" si="86"/>
        <v>-0.2836484765357109</v>
      </c>
      <c r="I50" s="74">
        <f t="shared" si="86"/>
        <v>-0.22678623611922838</v>
      </c>
      <c r="J50" s="74">
        <f t="shared" si="86"/>
        <v>-0.17628138617970532</v>
      </c>
      <c r="K50" s="74">
        <f t="shared" si="86"/>
        <v>-0.18594392914429184</v>
      </c>
      <c r="L50" s="74">
        <f t="shared" si="86"/>
        <v>-0.17504825933568535</v>
      </c>
      <c r="M50" s="74">
        <f t="shared" si="86"/>
        <v>-0.34842806408850618</v>
      </c>
      <c r="N50" s="74">
        <f t="shared" si="86"/>
        <v>-3.6478776647746299E-2</v>
      </c>
      <c r="O50" s="74">
        <f t="shared" si="86"/>
        <v>-8.8836193808649419E-2</v>
      </c>
      <c r="P50" s="74">
        <f t="shared" si="86"/>
        <v>-0.40424645550108995</v>
      </c>
      <c r="Q50" s="74">
        <f t="shared" si="86"/>
        <v>-0.14462892578515701</v>
      </c>
      <c r="R50" s="74">
        <f t="shared" si="86"/>
        <v>-0.12115815855428048</v>
      </c>
      <c r="S50" s="74">
        <f t="shared" si="86"/>
        <v>-0.21687297499376917</v>
      </c>
      <c r="T50" s="74">
        <f t="shared" si="86"/>
        <v>-0.2851645720136744</v>
      </c>
      <c r="U50" s="74">
        <f t="shared" si="86"/>
        <v>-0.25191545389604014</v>
      </c>
      <c r="V50" s="74">
        <f t="shared" si="86"/>
        <v>-0.18983067027839762</v>
      </c>
      <c r="W50" s="74">
        <f t="shared" si="86"/>
        <v>-0.13206013815522152</v>
      </c>
      <c r="X50" s="74">
        <f t="shared" si="86"/>
        <v>-5.0223290965303896E-2</v>
      </c>
      <c r="Y50" s="74">
        <f t="shared" si="86"/>
        <v>-3.2159458633302072E-2</v>
      </c>
      <c r="Z50" s="74">
        <f t="shared" si="86"/>
        <v>-8.7356987690079629E-2</v>
      </c>
      <c r="AA50" s="74">
        <f t="shared" si="86"/>
        <v>-9.8089723044252036E-2</v>
      </c>
      <c r="AB50" s="74">
        <f t="shared" si="86"/>
        <v>-7.0766062903166935E-2</v>
      </c>
      <c r="AC50" s="74">
        <f t="shared" si="86"/>
        <v>-1.8115376719359495E-2</v>
      </c>
      <c r="AD50" s="74">
        <f t="shared" si="86"/>
        <v>-5.2467906492233041E-2</v>
      </c>
      <c r="AE50" s="74">
        <f t="shared" si="86"/>
        <v>-5.3156710741394095E-2</v>
      </c>
      <c r="AF50" s="74">
        <f t="shared" si="86"/>
        <v>-1.3608343660974369E-2</v>
      </c>
      <c r="AG50" s="74">
        <f t="shared" si="86"/>
        <v>1.0981227991209692E-2</v>
      </c>
      <c r="AH50" s="74">
        <f t="shared" si="86"/>
        <v>6.0048276363989114E-2</v>
      </c>
      <c r="AI50" s="74">
        <f t="shared" si="86"/>
        <v>2.7568922305764309E-2</v>
      </c>
      <c r="AJ50" s="74">
        <f t="shared" si="86"/>
        <v>7.9051383399209151E-3</v>
      </c>
      <c r="AK50" s="74">
        <f t="shared" si="86"/>
        <v>4.1644976574700659E-3</v>
      </c>
      <c r="AL50" s="74">
        <f t="shared" si="86"/>
        <v>2.3877745940783294E-2</v>
      </c>
      <c r="AM50" s="74">
        <f t="shared" si="86"/>
        <v>-1.0606060606060605E-2</v>
      </c>
      <c r="AN50" s="74">
        <f t="shared" si="86"/>
        <v>6.3632346442775073E-2</v>
      </c>
      <c r="AO50" s="74">
        <f t="shared" si="86"/>
        <v>4.9572649572649619E-2</v>
      </c>
      <c r="AP50" s="74">
        <f t="shared" si="86"/>
        <v>-6.9483949613978219E-2</v>
      </c>
      <c r="AQ50" s="74">
        <f t="shared" si="86"/>
        <v>4.5104185503003783E-17</v>
      </c>
      <c r="AR50" s="74">
        <f t="shared" si="86"/>
        <v>-9.4984802431611032E-2</v>
      </c>
      <c r="AS50" s="74">
        <f t="shared" si="86"/>
        <v>4.57184325108854E-2</v>
      </c>
      <c r="AT50" s="74">
        <f t="shared" ref="AT50" si="87">AT41/AT29</f>
        <v>9.4897627559310999E-2</v>
      </c>
      <c r="AU50" s="74">
        <f t="shared" ref="AU50:BL50" si="88">AU41/AU29</f>
        <v>9.4109681787406932E-2</v>
      </c>
      <c r="AV50" s="74">
        <f t="shared" si="88"/>
        <v>-0.11690046760187026</v>
      </c>
      <c r="AW50" s="74">
        <f t="shared" si="88"/>
        <v>-1.5258215962441297E-2</v>
      </c>
      <c r="AX50" s="74">
        <f t="shared" si="88"/>
        <v>4.5983229645658805E-2</v>
      </c>
      <c r="AY50" s="74">
        <f t="shared" si="88"/>
        <v>7.0929907846970244E-2</v>
      </c>
      <c r="AZ50" s="74">
        <f t="shared" si="88"/>
        <v>7.4905422446406036E-2</v>
      </c>
      <c r="BA50" s="74">
        <f t="shared" si="88"/>
        <v>0.12803327940836598</v>
      </c>
      <c r="BB50" s="74">
        <f t="shared" si="88"/>
        <v>0.18791683012946245</v>
      </c>
      <c r="BC50" s="74">
        <f t="shared" si="88"/>
        <v>0.13199003848766125</v>
      </c>
      <c r="BD50" s="74">
        <f t="shared" si="88"/>
        <v>-0.17686796315250775</v>
      </c>
      <c r="BE50" s="74">
        <f t="shared" si="88"/>
        <v>0.16200809121000359</v>
      </c>
      <c r="BF50" s="74">
        <f t="shared" si="88"/>
        <v>0.59956492637215519</v>
      </c>
      <c r="BG50" s="74">
        <f t="shared" si="88"/>
        <v>6.2225347161188244E-2</v>
      </c>
      <c r="BH50" s="74">
        <f t="shared" si="88"/>
        <v>3.4658040665434431E-2</v>
      </c>
      <c r="BI50" s="74">
        <f t="shared" si="88"/>
        <v>0.12402661758459591</v>
      </c>
      <c r="BJ50" s="74">
        <f t="shared" si="88"/>
        <v>0.1296414444302664</v>
      </c>
      <c r="BK50" s="74">
        <f t="shared" si="88"/>
        <v>0.1196008927399239</v>
      </c>
      <c r="BL50" s="74">
        <f t="shared" si="88"/>
        <v>0.1184981913433952</v>
      </c>
      <c r="BS50" s="74">
        <f t="shared" ref="BS50:CG50" si="89">BS41/BS29</f>
        <v>-0.30018061804210044</v>
      </c>
      <c r="BT50" s="74">
        <f t="shared" si="89"/>
        <v>-0.24538603106415796</v>
      </c>
      <c r="BU50" s="74">
        <f t="shared" si="89"/>
        <v>-0.182019070437584</v>
      </c>
      <c r="BV50" s="74">
        <f t="shared" si="89"/>
        <v>-0.20723150946087904</v>
      </c>
      <c r="BW50" s="74">
        <f t="shared" si="89"/>
        <v>-0.23343552121503786</v>
      </c>
      <c r="BX50" s="74">
        <f t="shared" si="89"/>
        <v>-7.4143911670377025E-2</v>
      </c>
      <c r="BY50" s="74">
        <f t="shared" si="89"/>
        <v>-5.7783527382492393E-2</v>
      </c>
      <c r="BZ50" s="74">
        <f t="shared" si="89"/>
        <v>5.8531394111386624E-3</v>
      </c>
      <c r="CA50" s="74">
        <f t="shared" si="89"/>
        <v>1.5713898672446491E-2</v>
      </c>
      <c r="CB50" s="74">
        <f t="shared" si="89"/>
        <v>7.5187969924811688E-3</v>
      </c>
      <c r="CC50" s="74">
        <f t="shared" si="89"/>
        <v>1.5289406625409535E-2</v>
      </c>
      <c r="CD50" s="74">
        <f t="shared" si="89"/>
        <v>3.5240940779898209E-3</v>
      </c>
      <c r="CE50" s="74">
        <f t="shared" si="89"/>
        <v>0.12156030876200576</v>
      </c>
      <c r="CF50" s="74">
        <f t="shared" si="89"/>
        <v>0.2019212203128016</v>
      </c>
      <c r="CG50" s="74">
        <f t="shared" si="89"/>
        <v>9.1244784166020415E-2</v>
      </c>
      <c r="CH50" s="85">
        <f>CH41/CH29</f>
        <v>0.1469796078499658</v>
      </c>
      <c r="CI50" s="85">
        <f t="shared" ref="CI50:CQ50" si="90">CI41/CI29</f>
        <v>0.15465786240588486</v>
      </c>
      <c r="CJ50" s="85">
        <f t="shared" si="90"/>
        <v>0.16006452521525932</v>
      </c>
      <c r="CK50" s="85">
        <f t="shared" si="90"/>
        <v>0.17915158608511086</v>
      </c>
      <c r="CL50" s="85">
        <f t="shared" si="90"/>
        <v>0.19722103276228842</v>
      </c>
      <c r="CM50" s="85">
        <f t="shared" si="90"/>
        <v>0.21635714370708639</v>
      </c>
      <c r="CN50" s="85">
        <f t="shared" si="90"/>
        <v>0.23567240091946967</v>
      </c>
      <c r="CO50" s="85">
        <f t="shared" si="90"/>
        <v>0.25659768163017083</v>
      </c>
      <c r="CP50" s="85">
        <f t="shared" si="90"/>
        <v>0.2763717426356268</v>
      </c>
      <c r="CQ50" s="85">
        <f t="shared" si="90"/>
        <v>0.29875935696727685</v>
      </c>
    </row>
    <row r="52" spans="2:106" ht="13.5" customHeight="1">
      <c r="B52" s="1" t="s">
        <v>62</v>
      </c>
      <c r="BB52" s="81">
        <v>704.2</v>
      </c>
      <c r="BC52" s="81">
        <v>751.2</v>
      </c>
      <c r="BD52" s="81">
        <v>821</v>
      </c>
      <c r="BE52" s="81">
        <v>902.6</v>
      </c>
      <c r="BF52" s="81">
        <v>953.4</v>
      </c>
      <c r="BG52" s="81">
        <v>1283.0999999999999</v>
      </c>
      <c r="BH52" s="81">
        <v>1121.5999999999999</v>
      </c>
      <c r="BI52" s="81">
        <v>757.4</v>
      </c>
      <c r="BJ52" s="81">
        <v>716.1</v>
      </c>
      <c r="BK52" s="81">
        <v>480.4</v>
      </c>
      <c r="BL52" s="81">
        <v>534.9</v>
      </c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>
        <f>BB52</f>
        <v>704.2</v>
      </c>
      <c r="CF52" s="81">
        <f>BF52</f>
        <v>953.4</v>
      </c>
      <c r="CG52" s="81">
        <f>BG52</f>
        <v>1283.0999999999999</v>
      </c>
      <c r="CH52" s="83">
        <f>CG52+CH41</f>
        <v>1764.5934369478598</v>
      </c>
      <c r="CI52" s="83">
        <f t="shared" ref="CI52:CQ52" si="91">CH52+CI41</f>
        <v>2341.4535301036285</v>
      </c>
      <c r="CJ52" s="83">
        <f t="shared" si="91"/>
        <v>3003.6114531415092</v>
      </c>
      <c r="CK52" s="83">
        <f t="shared" si="91"/>
        <v>3811.4453129838566</v>
      </c>
      <c r="CL52" s="83">
        <f t="shared" si="91"/>
        <v>4771.8654382418408</v>
      </c>
      <c r="CM52" s="83">
        <f t="shared" si="91"/>
        <v>5899.1604583207845</v>
      </c>
      <c r="CN52" s="83">
        <f t="shared" si="91"/>
        <v>7200.7082804367619</v>
      </c>
      <c r="CO52" s="83">
        <f t="shared" si="91"/>
        <v>8688.619502606849</v>
      </c>
      <c r="CP52" s="83">
        <f t="shared" si="91"/>
        <v>10355.249048551121</v>
      </c>
      <c r="CQ52" s="83">
        <f t="shared" si="91"/>
        <v>12210.899162538877</v>
      </c>
      <c r="CS52" s="68" t="s">
        <v>104</v>
      </c>
      <c r="CV52" s="44" t="s">
        <v>126</v>
      </c>
      <c r="CW52" s="45"/>
      <c r="CX52" s="69" t="s">
        <v>103</v>
      </c>
      <c r="CY52" s="45"/>
      <c r="CZ52" s="46" t="s">
        <v>105</v>
      </c>
      <c r="DA52" s="47">
        <v>0.11</v>
      </c>
      <c r="DB52" s="45"/>
    </row>
    <row r="53" spans="2:106" ht="13.5" customHeight="1">
      <c r="B53" s="1" t="s">
        <v>175</v>
      </c>
      <c r="BB53" s="81">
        <f>240.2+119.5</f>
        <v>359.7</v>
      </c>
      <c r="BC53" s="81">
        <f>234.1+86.4</f>
        <v>320.5</v>
      </c>
      <c r="BD53" s="81">
        <f>249+99.6</f>
        <v>348.6</v>
      </c>
      <c r="BE53" s="81">
        <f>261.7+113.9</f>
        <v>375.6</v>
      </c>
      <c r="BF53" s="81">
        <f>252.5+113</f>
        <v>365.5</v>
      </c>
      <c r="BG53" s="81">
        <f>283.1+119.2</f>
        <v>402.3</v>
      </c>
      <c r="BH53" s="81">
        <f>306.4+138.1</f>
        <v>444.5</v>
      </c>
      <c r="BI53" s="81">
        <f>306.5+155.7</f>
        <v>462.2</v>
      </c>
      <c r="BJ53" s="81">
        <v>516.9</v>
      </c>
      <c r="BK53" s="81">
        <v>544.70000000000005</v>
      </c>
      <c r="BL53" s="81">
        <v>588.70000000000005</v>
      </c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>
        <f t="shared" ref="CE53:CE60" si="92">BB53</f>
        <v>359.7</v>
      </c>
      <c r="CF53" s="81">
        <f t="shared" ref="CF53:CF60" si="93">BF53</f>
        <v>365.5</v>
      </c>
      <c r="CG53" s="81">
        <f t="shared" ref="CG53:CG60" si="94">BG53</f>
        <v>402.3</v>
      </c>
      <c r="CS53" s="45">
        <v>2024</v>
      </c>
      <c r="CT53" s="45">
        <v>2025</v>
      </c>
      <c r="CV53" s="44" t="s">
        <v>125</v>
      </c>
      <c r="CW53" s="45"/>
      <c r="CX53" s="45">
        <v>2025</v>
      </c>
      <c r="CY53" s="45"/>
      <c r="CZ53" s="46" t="s">
        <v>106</v>
      </c>
      <c r="DA53" s="47">
        <v>0.01</v>
      </c>
      <c r="DB53" s="45"/>
    </row>
    <row r="54" spans="2:106" ht="15.75" customHeight="1">
      <c r="B54" s="1" t="s">
        <v>176</v>
      </c>
      <c r="BB54" s="81">
        <v>402.6</v>
      </c>
      <c r="BC54" s="81">
        <v>430.6</v>
      </c>
      <c r="BD54" s="81">
        <v>430.9</v>
      </c>
      <c r="BE54" s="81">
        <v>444.9</v>
      </c>
      <c r="BF54" s="81">
        <v>430.4</v>
      </c>
      <c r="BG54" s="81">
        <v>440.8</v>
      </c>
      <c r="BH54" s="81">
        <v>446.9</v>
      </c>
      <c r="BI54" s="81">
        <v>446.3</v>
      </c>
      <c r="BJ54" s="81">
        <v>452.6</v>
      </c>
      <c r="BK54" s="81">
        <v>462.5</v>
      </c>
      <c r="BL54" s="81">
        <v>484.8</v>
      </c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>
        <f t="shared" si="92"/>
        <v>402.6</v>
      </c>
      <c r="CF54" s="81">
        <f t="shared" si="93"/>
        <v>430.4</v>
      </c>
      <c r="CG54" s="81">
        <f t="shared" si="94"/>
        <v>440.8</v>
      </c>
      <c r="CS54" s="49">
        <f>SUM(CF52:CF55)-CF62+CF56+CF58+CF57</f>
        <v>2744.7000000000003</v>
      </c>
      <c r="CT54" s="49">
        <f>SUM(CG52:CG55)-CG62+CG56+CG58+CG57</f>
        <v>3140.8</v>
      </c>
      <c r="CU54" s="49"/>
      <c r="CV54" s="49">
        <f>AVERAGE(CS54:CT54)</f>
        <v>2942.75</v>
      </c>
      <c r="CW54" s="45"/>
      <c r="CX54" s="48">
        <f>AVERAGE(CH34)*(1-CH49)</f>
        <v>452.78365194785988</v>
      </c>
      <c r="CY54" s="45"/>
      <c r="CZ54" s="46" t="s">
        <v>107</v>
      </c>
      <c r="DA54" s="47">
        <f>CV63</f>
        <v>5.1200000000000002E-2</v>
      </c>
      <c r="DB54" s="45"/>
    </row>
    <row r="55" spans="2:106" ht="13.5" customHeight="1">
      <c r="B55" s="1" t="s">
        <v>177</v>
      </c>
      <c r="BB55" s="81">
        <v>116.4</v>
      </c>
      <c r="BC55" s="81">
        <v>116.1</v>
      </c>
      <c r="BD55" s="81">
        <v>148.30000000000001</v>
      </c>
      <c r="BE55" s="81">
        <v>137.80000000000001</v>
      </c>
      <c r="BF55" s="81">
        <f>50.6+91.5</f>
        <v>142.1</v>
      </c>
      <c r="BG55" s="81">
        <v>202.2</v>
      </c>
      <c r="BH55" s="81">
        <v>266.7</v>
      </c>
      <c r="BI55" s="81">
        <f>72.6+120.8</f>
        <v>193.39999999999998</v>
      </c>
      <c r="BJ55" s="81">
        <v>228.3</v>
      </c>
      <c r="BK55" s="81">
        <v>221.9</v>
      </c>
      <c r="BL55" s="81">
        <v>240.6</v>
      </c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>
        <f t="shared" si="92"/>
        <v>116.4</v>
      </c>
      <c r="CF55" s="81">
        <f t="shared" si="93"/>
        <v>142.1</v>
      </c>
      <c r="CG55" s="81">
        <f t="shared" si="94"/>
        <v>202.2</v>
      </c>
      <c r="CT55" s="45"/>
      <c r="CU55" s="45"/>
      <c r="CV55" s="45"/>
      <c r="CW55" s="45"/>
      <c r="CX55" s="50">
        <f>CX54/CV54</f>
        <v>0.15386412435574204</v>
      </c>
      <c r="CY55" s="45"/>
      <c r="CZ55" s="46" t="s">
        <v>108</v>
      </c>
      <c r="DA55" s="47">
        <f>12.5%-DA54</f>
        <v>7.3800000000000004E-2</v>
      </c>
      <c r="DB55" s="45"/>
    </row>
    <row r="56" spans="2:106" ht="13.5" customHeight="1">
      <c r="B56" s="1" t="s">
        <v>178</v>
      </c>
      <c r="BB56" s="81">
        <v>664.9</v>
      </c>
      <c r="BC56" s="81">
        <v>667.7</v>
      </c>
      <c r="BD56" s="81">
        <v>677.9</v>
      </c>
      <c r="BE56" s="81">
        <v>702.9</v>
      </c>
      <c r="BF56" s="81">
        <v>723.1</v>
      </c>
      <c r="BG56" s="81">
        <v>718.7</v>
      </c>
      <c r="BH56" s="81">
        <v>720.4</v>
      </c>
      <c r="BI56" s="81">
        <v>724.1</v>
      </c>
      <c r="BJ56" s="81">
        <v>819.5</v>
      </c>
      <c r="BK56" s="81">
        <v>830.4</v>
      </c>
      <c r="BL56" s="81">
        <v>858.6</v>
      </c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>
        <f t="shared" si="92"/>
        <v>664.9</v>
      </c>
      <c r="CF56" s="81">
        <f t="shared" si="93"/>
        <v>723.1</v>
      </c>
      <c r="CG56" s="81">
        <f t="shared" si="94"/>
        <v>718.7</v>
      </c>
      <c r="CS56" s="51" t="s">
        <v>116</v>
      </c>
      <c r="CT56" s="45"/>
      <c r="CU56" s="45"/>
      <c r="CW56" s="45"/>
      <c r="CX56" s="45"/>
      <c r="CY56" s="45"/>
      <c r="CZ56" s="46" t="s">
        <v>109</v>
      </c>
      <c r="DA56" s="52">
        <f>'Notes | Quant Analysis'!S206</f>
        <v>0.45014703688436886</v>
      </c>
      <c r="DB56" s="45"/>
    </row>
    <row r="57" spans="2:106" ht="13.5" customHeight="1">
      <c r="B57" s="1" t="s">
        <v>179</v>
      </c>
      <c r="BB57" s="81">
        <v>98.7</v>
      </c>
      <c r="BC57" s="81">
        <v>98.5</v>
      </c>
      <c r="BD57" s="81">
        <v>98.5</v>
      </c>
      <c r="BE57" s="81">
        <v>99.6</v>
      </c>
      <c r="BF57" s="81">
        <v>98.5</v>
      </c>
      <c r="BG57" s="81">
        <v>99.8</v>
      </c>
      <c r="BH57" s="81">
        <v>102.3</v>
      </c>
      <c r="BI57" s="81">
        <v>105.1</v>
      </c>
      <c r="BJ57" s="81">
        <v>117.2</v>
      </c>
      <c r="BK57" s="81">
        <v>115.1</v>
      </c>
      <c r="BL57" s="81">
        <v>115.1</v>
      </c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>
        <f t="shared" si="92"/>
        <v>98.7</v>
      </c>
      <c r="CF57" s="81">
        <f t="shared" si="93"/>
        <v>98.5</v>
      </c>
      <c r="CG57" s="81">
        <f t="shared" si="94"/>
        <v>99.8</v>
      </c>
      <c r="CS57" s="58" t="s">
        <v>204</v>
      </c>
      <c r="CV57" s="48">
        <f>Main!C5</f>
        <v>12897.191140000001</v>
      </c>
      <c r="CW57" s="51"/>
      <c r="CY57" s="45"/>
      <c r="CZ57" s="46" t="s">
        <v>205</v>
      </c>
      <c r="DA57" s="47">
        <f>+DA54+(DA55*DA56)</f>
        <v>8.442085132206642E-2</v>
      </c>
      <c r="DB57" s="45"/>
    </row>
    <row r="58" spans="2:106" ht="13.5" customHeight="1">
      <c r="B58" s="1" t="s">
        <v>180</v>
      </c>
      <c r="BB58" s="81">
        <v>51.7</v>
      </c>
      <c r="BC58" s="81">
        <v>51.7</v>
      </c>
      <c r="BD58" s="81">
        <v>51.7</v>
      </c>
      <c r="BE58" s="81">
        <v>51.7</v>
      </c>
      <c r="BF58" s="81">
        <v>51.5</v>
      </c>
      <c r="BG58" s="81">
        <v>51.5</v>
      </c>
      <c r="BH58" s="81">
        <v>51.7</v>
      </c>
      <c r="BI58" s="81">
        <v>51.6</v>
      </c>
      <c r="BJ58" s="81">
        <v>51.6</v>
      </c>
      <c r="BK58" s="81">
        <v>51.6</v>
      </c>
      <c r="BL58" s="81">
        <v>51.6</v>
      </c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>
        <f t="shared" si="92"/>
        <v>51.7</v>
      </c>
      <c r="CF58" s="81">
        <f t="shared" si="93"/>
        <v>51.5</v>
      </c>
      <c r="CG58" s="81">
        <f t="shared" si="94"/>
        <v>51.5</v>
      </c>
      <c r="CS58" s="58" t="s">
        <v>117</v>
      </c>
      <c r="CV58" s="57">
        <f>Main!C7/(Main!C7+CV57)</f>
        <v>6.8498339320454613E-2</v>
      </c>
      <c r="CW58" s="45"/>
      <c r="CY58" s="45"/>
    </row>
    <row r="59" spans="2:106" ht="13.5" customHeight="1">
      <c r="B59" s="1" t="s">
        <v>181</v>
      </c>
      <c r="BB59" s="81">
        <f>1.8+188.2</f>
        <v>190</v>
      </c>
      <c r="BC59" s="81">
        <v>187.7</v>
      </c>
      <c r="BD59" s="81">
        <f>141.1+163.6</f>
        <v>304.7</v>
      </c>
      <c r="BE59" s="81">
        <f>144.4+165.9</f>
        <v>310.3</v>
      </c>
      <c r="BF59" s="81">
        <f>141.8+181.6</f>
        <v>323.39999999999998</v>
      </c>
      <c r="BG59" s="81">
        <v>318.89999999999998</v>
      </c>
      <c r="BH59" s="81">
        <v>315.10000000000002</v>
      </c>
      <c r="BI59" s="81">
        <f>100.9+188.3</f>
        <v>289.20000000000005</v>
      </c>
      <c r="BJ59" s="81">
        <v>288.3</v>
      </c>
      <c r="BK59" s="81">
        <v>280.60000000000002</v>
      </c>
      <c r="BL59" s="81">
        <v>290.8</v>
      </c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>
        <f t="shared" si="92"/>
        <v>190</v>
      </c>
      <c r="CF59" s="81">
        <f t="shared" si="93"/>
        <v>323.39999999999998</v>
      </c>
      <c r="CG59" s="81">
        <f t="shared" si="94"/>
        <v>318.89999999999998</v>
      </c>
      <c r="CS59" s="58" t="s">
        <v>118</v>
      </c>
      <c r="CV59" s="57">
        <f>CV57/(CV57+Main!C7)</f>
        <v>0.93150166067954543</v>
      </c>
      <c r="CW59" s="45"/>
      <c r="CX59" s="45"/>
      <c r="CY59" s="45"/>
      <c r="CZ59" s="46" t="s">
        <v>110</v>
      </c>
      <c r="DA59" s="48">
        <f>NPV(DA57,CH41:EE41)</f>
        <v>17062.720181568016</v>
      </c>
      <c r="DB59" s="45"/>
    </row>
    <row r="60" spans="2:106" ht="13.5" customHeight="1">
      <c r="B60" s="2" t="s">
        <v>127</v>
      </c>
      <c r="BB60" s="80">
        <f t="shared" ref="BB60:BK60" si="95">SUM(BB52:BB59)</f>
        <v>2588.1999999999998</v>
      </c>
      <c r="BC60" s="80">
        <f t="shared" si="95"/>
        <v>2624</v>
      </c>
      <c r="BD60" s="80">
        <f t="shared" si="95"/>
        <v>2881.5999999999995</v>
      </c>
      <c r="BE60" s="80">
        <f t="shared" si="95"/>
        <v>3025.3999999999996</v>
      </c>
      <c r="BF60" s="80">
        <f t="shared" si="95"/>
        <v>3087.9</v>
      </c>
      <c r="BG60" s="80">
        <f t="shared" si="95"/>
        <v>3517.2999999999997</v>
      </c>
      <c r="BH60" s="80">
        <f t="shared" si="95"/>
        <v>3469.2</v>
      </c>
      <c r="BI60" s="80">
        <f t="shared" si="95"/>
        <v>3029.2999999999993</v>
      </c>
      <c r="BJ60" s="80">
        <f t="shared" si="95"/>
        <v>3190.4999999999995</v>
      </c>
      <c r="BK60" s="80">
        <f t="shared" si="95"/>
        <v>2987.2</v>
      </c>
      <c r="BL60" s="80">
        <f>SUM(BL52:BL59)</f>
        <v>3165.1</v>
      </c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>
        <f t="shared" si="92"/>
        <v>2588.1999999999998</v>
      </c>
      <c r="CF60" s="80">
        <f t="shared" si="93"/>
        <v>3087.9</v>
      </c>
      <c r="CG60" s="80">
        <f t="shared" si="94"/>
        <v>3517.2999999999997</v>
      </c>
      <c r="CS60" s="59" t="s">
        <v>134</v>
      </c>
      <c r="CT60" s="34"/>
      <c r="CU60" s="34"/>
      <c r="CV60" s="60">
        <f>CG65/CG68</f>
        <v>1.2116179454422484</v>
      </c>
      <c r="CW60" s="45"/>
      <c r="CX60" s="45"/>
      <c r="CY60" s="45"/>
      <c r="CZ60" s="46" t="s">
        <v>73</v>
      </c>
      <c r="DA60" s="49">
        <f>Main!C4</f>
        <v>96.298000000000002</v>
      </c>
      <c r="DB60" s="61"/>
    </row>
    <row r="61" spans="2:106" ht="13.5" customHeight="1"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W61" s="51"/>
      <c r="CX61" s="51"/>
      <c r="CY61" s="51"/>
      <c r="CZ61" s="46" t="s">
        <v>111</v>
      </c>
      <c r="DA61" s="52">
        <f>DA59/DA60</f>
        <v>177.18665166013849</v>
      </c>
      <c r="DB61" s="44"/>
    </row>
    <row r="62" spans="2:106" ht="13.5" customHeight="1">
      <c r="B62" s="1" t="s">
        <v>182</v>
      </c>
      <c r="BB62" s="81">
        <v>19.2</v>
      </c>
      <c r="BC62" s="81">
        <v>75.900000000000006</v>
      </c>
      <c r="BD62" s="81">
        <v>76.8</v>
      </c>
      <c r="BE62" s="81">
        <v>40.299999999999997</v>
      </c>
      <c r="BF62" s="81">
        <v>19.8</v>
      </c>
      <c r="BG62" s="81">
        <v>57.6</v>
      </c>
      <c r="BH62" s="81">
        <v>96.1</v>
      </c>
      <c r="BI62" s="81">
        <v>48.2</v>
      </c>
      <c r="BJ62" s="81">
        <v>75</v>
      </c>
      <c r="BK62" s="81">
        <v>149.80000000000001</v>
      </c>
      <c r="BL62" s="81">
        <v>123.3</v>
      </c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>
        <f t="shared" ref="CE62:CE69" si="96">BB62</f>
        <v>19.2</v>
      </c>
      <c r="CF62" s="81">
        <f t="shared" ref="CF62:CF69" si="97">BF62</f>
        <v>19.8</v>
      </c>
      <c r="CG62" s="81">
        <f t="shared" ref="CG62:CG69" si="98">BG62</f>
        <v>57.6</v>
      </c>
      <c r="CS62" s="34" t="s">
        <v>115</v>
      </c>
      <c r="CV62" s="45"/>
      <c r="CW62" s="45"/>
      <c r="CX62" s="45"/>
      <c r="CY62" s="45"/>
      <c r="CZ62" s="46" t="s">
        <v>112</v>
      </c>
      <c r="DA62" s="52">
        <f>Main!C3</f>
        <v>133.93</v>
      </c>
      <c r="DB62" s="53"/>
    </row>
    <row r="63" spans="2:106" ht="13.5" customHeight="1">
      <c r="B63" s="1" t="s">
        <v>183</v>
      </c>
      <c r="BB63" s="81">
        <f>373.7+8.9</f>
        <v>382.59999999999997</v>
      </c>
      <c r="BC63" s="81">
        <f>308.6+9</f>
        <v>317.60000000000002</v>
      </c>
      <c r="BD63" s="81">
        <f>365+6.3</f>
        <v>371.3</v>
      </c>
      <c r="BE63" s="81">
        <f>414.2+9.7</f>
        <v>423.9</v>
      </c>
      <c r="BF63" s="81">
        <f>423.9+1</f>
        <v>424.9</v>
      </c>
      <c r="BG63" s="81">
        <f>378.6+1.1</f>
        <v>379.70000000000005</v>
      </c>
      <c r="BH63" s="81">
        <v>453.4</v>
      </c>
      <c r="BI63" s="81">
        <f>518.7+0.9</f>
        <v>519.6</v>
      </c>
      <c r="BJ63" s="81">
        <v>586.70000000000005</v>
      </c>
      <c r="BK63" s="81">
        <v>519</v>
      </c>
      <c r="BL63" s="81">
        <v>602</v>
      </c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>
        <f t="shared" si="96"/>
        <v>382.59999999999997</v>
      </c>
      <c r="CF63" s="81">
        <f t="shared" si="97"/>
        <v>424.9</v>
      </c>
      <c r="CG63" s="81">
        <f t="shared" si="98"/>
        <v>379.70000000000005</v>
      </c>
      <c r="CS63" s="62" t="s">
        <v>107</v>
      </c>
      <c r="CV63" s="57">
        <v>5.1200000000000002E-2</v>
      </c>
      <c r="CZ63" s="46" t="s">
        <v>113</v>
      </c>
      <c r="DA63" s="47">
        <f>DA61/DA62-1</f>
        <v>0.32297955394712519</v>
      </c>
      <c r="DB63" s="44" t="str">
        <f>IF(DA63&gt;0,"Upside","Downside")</f>
        <v>Upside</v>
      </c>
    </row>
    <row r="64" spans="2:106" ht="13.5" customHeight="1">
      <c r="B64" s="1" t="s">
        <v>184</v>
      </c>
      <c r="BB64" s="81">
        <v>49.4</v>
      </c>
      <c r="BC64" s="81">
        <v>38.9</v>
      </c>
      <c r="BD64" s="81">
        <v>37.9</v>
      </c>
      <c r="BE64" s="81">
        <v>42</v>
      </c>
      <c r="BF64" s="81">
        <v>83.8</v>
      </c>
      <c r="BG64" s="81">
        <v>83.1</v>
      </c>
      <c r="BH64" s="81">
        <v>460.7</v>
      </c>
      <c r="BI64" s="81">
        <v>79.900000000000006</v>
      </c>
      <c r="BJ64" s="81">
        <v>18.399999999999999</v>
      </c>
      <c r="BK64" s="81">
        <v>18.600000000000001</v>
      </c>
      <c r="BL64" s="81">
        <v>18.899999999999999</v>
      </c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>
        <f t="shared" si="96"/>
        <v>49.4</v>
      </c>
      <c r="CF64" s="81">
        <f t="shared" si="97"/>
        <v>83.8</v>
      </c>
      <c r="CG64" s="81">
        <f t="shared" si="98"/>
        <v>83.1</v>
      </c>
      <c r="CS64" s="62" t="s">
        <v>109</v>
      </c>
      <c r="CV64" s="52">
        <f>'Notes | Quant Analysis'!S206</f>
        <v>0.45014703688436886</v>
      </c>
      <c r="CZ64" s="96" t="str" cm="1">
        <f t="array" ref="CZ64">_xlfn.IFS(DA63&gt;=25%,"Strong Buy",DA63&gt;=10.00001%,"Buy",AND(DA63&lt;=10%,DA63&gt;=-4.9999%),"Hold",AND(DA63&lt;=-5%,DA63&gt;=-14.999999%),"Sell",DA63&lt;=-15%,"Strong Sell")</f>
        <v>Strong Buy</v>
      </c>
      <c r="DA64" s="96"/>
    </row>
    <row r="65" spans="2:147" ht="13.5" customHeight="1">
      <c r="B65" s="1" t="s">
        <v>185</v>
      </c>
      <c r="BB65" s="81">
        <v>1366.4</v>
      </c>
      <c r="BC65" s="81">
        <v>1362.6</v>
      </c>
      <c r="BD65" s="81">
        <v>1359.9</v>
      </c>
      <c r="BE65" s="81">
        <v>1356.3</v>
      </c>
      <c r="BF65" s="81">
        <v>1296.0999999999999</v>
      </c>
      <c r="BG65" s="81">
        <v>1612.3</v>
      </c>
      <c r="BH65" s="81">
        <v>939</v>
      </c>
      <c r="BI65" s="81">
        <v>934.9</v>
      </c>
      <c r="BJ65" s="81">
        <v>930.8</v>
      </c>
      <c r="BK65" s="81">
        <v>929.5</v>
      </c>
      <c r="BL65" s="81">
        <v>929.5</v>
      </c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>
        <f>BB65</f>
        <v>1366.4</v>
      </c>
      <c r="CF65" s="81">
        <f>BF65</f>
        <v>1296.0999999999999</v>
      </c>
      <c r="CG65" s="81">
        <f>BG65</f>
        <v>1612.3</v>
      </c>
      <c r="CH65" s="83">
        <f>CG65+CH35</f>
        <v>1507.5004999999999</v>
      </c>
      <c r="CI65" s="83">
        <f t="shared" ref="CI65:CQ65" si="99">CH65+CI35</f>
        <v>1409.5129674999998</v>
      </c>
      <c r="CJ65" s="83">
        <f t="shared" si="99"/>
        <v>1317.8946246124999</v>
      </c>
      <c r="CK65" s="83">
        <f t="shared" si="99"/>
        <v>1232.2314740126874</v>
      </c>
      <c r="CL65" s="83">
        <f t="shared" si="99"/>
        <v>1152.1364282018626</v>
      </c>
      <c r="CM65" s="83">
        <f t="shared" si="99"/>
        <v>1077.2475603687415</v>
      </c>
      <c r="CN65" s="83">
        <f t="shared" si="99"/>
        <v>1007.2264689447733</v>
      </c>
      <c r="CO65" s="83">
        <f t="shared" si="99"/>
        <v>941.75674846336301</v>
      </c>
      <c r="CP65" s="83">
        <f t="shared" si="99"/>
        <v>880.54255981324445</v>
      </c>
      <c r="CQ65" s="83">
        <f t="shared" si="99"/>
        <v>823.30729342538359</v>
      </c>
      <c r="CS65" s="58" t="s">
        <v>119</v>
      </c>
      <c r="CV65" s="57">
        <v>0.19</v>
      </c>
    </row>
    <row r="66" spans="2:147" ht="15">
      <c r="B66" s="1" t="s">
        <v>186</v>
      </c>
      <c r="BB66" s="81">
        <v>37.9</v>
      </c>
      <c r="BC66" s="81">
        <v>38.299999999999997</v>
      </c>
      <c r="BD66" s="81">
        <v>37.299999999999997</v>
      </c>
      <c r="BE66" s="81">
        <v>44.9</v>
      </c>
      <c r="BF66" s="81">
        <v>51.7</v>
      </c>
      <c r="BG66" s="81">
        <v>53.9</v>
      </c>
      <c r="BH66" s="81">
        <v>57.1</v>
      </c>
      <c r="BI66" s="81">
        <v>62.6</v>
      </c>
      <c r="BJ66" s="81">
        <v>64.400000000000006</v>
      </c>
      <c r="BK66" s="81">
        <v>67.7</v>
      </c>
      <c r="BL66" s="81">
        <v>69.2</v>
      </c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>
        <f>BB66</f>
        <v>37.9</v>
      </c>
      <c r="CF66" s="81">
        <f>BF66</f>
        <v>51.7</v>
      </c>
      <c r="CG66" s="81">
        <f>BG66</f>
        <v>53.9</v>
      </c>
      <c r="CS66" s="59" t="s">
        <v>120</v>
      </c>
      <c r="CT66" s="45"/>
      <c r="CU66" s="2"/>
      <c r="CV66" s="60">
        <f>(CV63+CV64)*(CV65-CV63)</f>
        <v>6.9586968719550404E-2</v>
      </c>
    </row>
    <row r="67" spans="2:147" s="2" customFormat="1" ht="15">
      <c r="B67" s="2" t="s">
        <v>128</v>
      </c>
      <c r="BB67" s="80">
        <f t="shared" ref="BB67:BK67" si="100">SUM(BB62:BB66)</f>
        <v>1855.5</v>
      </c>
      <c r="BC67" s="80">
        <f t="shared" si="100"/>
        <v>1833.3</v>
      </c>
      <c r="BD67" s="80">
        <f t="shared" si="100"/>
        <v>1883.2</v>
      </c>
      <c r="BE67" s="80">
        <f t="shared" si="100"/>
        <v>1907.4</v>
      </c>
      <c r="BF67" s="80">
        <f t="shared" si="100"/>
        <v>1876.3</v>
      </c>
      <c r="BG67" s="80">
        <f t="shared" si="100"/>
        <v>2186.6</v>
      </c>
      <c r="BH67" s="80">
        <f t="shared" si="100"/>
        <v>2006.3</v>
      </c>
      <c r="BI67" s="80">
        <f t="shared" si="100"/>
        <v>1645.1999999999998</v>
      </c>
      <c r="BJ67" s="80">
        <f t="shared" si="100"/>
        <v>1675.3000000000002</v>
      </c>
      <c r="BK67" s="80">
        <f t="shared" si="100"/>
        <v>1684.6000000000001</v>
      </c>
      <c r="BL67" s="80">
        <f>SUM(BL62:BL66)</f>
        <v>1742.8999999999999</v>
      </c>
      <c r="BM67" s="34"/>
      <c r="BN67" s="34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>
        <f t="shared" si="96"/>
        <v>1855.5</v>
      </c>
      <c r="CF67" s="80">
        <f t="shared" si="97"/>
        <v>1876.3</v>
      </c>
      <c r="CG67" s="80">
        <f t="shared" si="98"/>
        <v>2186.6</v>
      </c>
      <c r="CH67" s="34"/>
      <c r="CS67" s="82"/>
      <c r="CT67" s="35"/>
      <c r="CU67" s="35"/>
      <c r="CV67" s="35"/>
      <c r="CW67" s="35"/>
      <c r="CX67" s="63"/>
      <c r="CY67" s="35"/>
      <c r="CZ67" s="46"/>
      <c r="DA67" s="35"/>
      <c r="DB67" s="35"/>
      <c r="DC67" s="35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</row>
    <row r="68" spans="2:147" ht="15">
      <c r="B68" s="1" t="s">
        <v>129</v>
      </c>
      <c r="BB68" s="81">
        <v>732.7</v>
      </c>
      <c r="BC68" s="81">
        <v>790.7</v>
      </c>
      <c r="BD68" s="81">
        <v>998.4</v>
      </c>
      <c r="BE68" s="81">
        <v>1118</v>
      </c>
      <c r="BF68" s="81">
        <v>1211.5999999999999</v>
      </c>
      <c r="BG68" s="81">
        <v>1330.7</v>
      </c>
      <c r="BH68" s="81">
        <v>1462.9</v>
      </c>
      <c r="BI68" s="81">
        <v>1384.1</v>
      </c>
      <c r="BJ68" s="81">
        <v>1515.2</v>
      </c>
      <c r="BK68" s="81">
        <v>1302.5999999999999</v>
      </c>
      <c r="BL68" s="81">
        <v>1422.2</v>
      </c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>
        <f t="shared" si="96"/>
        <v>732.7</v>
      </c>
      <c r="CF68" s="81">
        <f t="shared" si="97"/>
        <v>1211.5999999999999</v>
      </c>
      <c r="CG68" s="81">
        <f t="shared" si="98"/>
        <v>1330.7</v>
      </c>
      <c r="CS68" s="34" t="s">
        <v>121</v>
      </c>
      <c r="CT68" s="64"/>
      <c r="CV68" s="56"/>
      <c r="CW68" s="34"/>
      <c r="CX68" s="71"/>
      <c r="CY68" s="60"/>
      <c r="CZ68" s="70"/>
      <c r="DA68" s="2"/>
      <c r="DB68" s="2"/>
      <c r="DC68" s="34"/>
    </row>
    <row r="69" spans="2:147" s="2" customFormat="1" ht="15">
      <c r="B69" s="2" t="s">
        <v>130</v>
      </c>
      <c r="BB69" s="80">
        <f t="shared" ref="BB69:BK69" si="101">BB67+BB68</f>
        <v>2588.1999999999998</v>
      </c>
      <c r="BC69" s="80">
        <f t="shared" si="101"/>
        <v>2624</v>
      </c>
      <c r="BD69" s="80">
        <f t="shared" si="101"/>
        <v>2881.6</v>
      </c>
      <c r="BE69" s="80">
        <f t="shared" si="101"/>
        <v>3025.4</v>
      </c>
      <c r="BF69" s="80">
        <f t="shared" si="101"/>
        <v>3087.8999999999996</v>
      </c>
      <c r="BG69" s="80">
        <f t="shared" si="101"/>
        <v>3517.3</v>
      </c>
      <c r="BH69" s="80">
        <f t="shared" si="101"/>
        <v>3469.2</v>
      </c>
      <c r="BI69" s="80">
        <f t="shared" si="101"/>
        <v>3029.2999999999997</v>
      </c>
      <c r="BJ69" s="80">
        <f t="shared" si="101"/>
        <v>3190.5</v>
      </c>
      <c r="BK69" s="80">
        <f t="shared" si="101"/>
        <v>2987.2</v>
      </c>
      <c r="BL69" s="80">
        <f>BL67+BL68</f>
        <v>3165.1</v>
      </c>
      <c r="BM69" s="34"/>
      <c r="BN69" s="34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>
        <f t="shared" si="96"/>
        <v>2588.1999999999998</v>
      </c>
      <c r="CF69" s="80">
        <f t="shared" si="97"/>
        <v>3087.8999999999996</v>
      </c>
      <c r="CG69" s="80">
        <f t="shared" si="98"/>
        <v>3517.3</v>
      </c>
      <c r="CH69" s="34"/>
      <c r="CS69" s="65" t="s">
        <v>121</v>
      </c>
      <c r="CT69" s="35"/>
      <c r="CU69" s="35"/>
      <c r="CV69" s="66">
        <v>6.5000000000000002E-2</v>
      </c>
      <c r="CW69" s="35"/>
      <c r="CX69" s="35"/>
      <c r="CY69" s="35"/>
      <c r="CZ69" s="46"/>
      <c r="DA69" s="35"/>
      <c r="DB69" s="35"/>
      <c r="DC69" s="35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</row>
    <row r="70" spans="2:147" ht="15">
      <c r="CS70" s="58" t="s">
        <v>122</v>
      </c>
      <c r="CV70" s="57">
        <v>0.23</v>
      </c>
      <c r="CW70" s="34"/>
      <c r="CX70" s="34"/>
      <c r="CY70" s="34"/>
      <c r="CZ70" s="70"/>
      <c r="DA70" s="34"/>
      <c r="DB70" s="34"/>
      <c r="DC70" s="34"/>
    </row>
    <row r="71" spans="2:147" ht="15">
      <c r="B71" s="1" t="s">
        <v>63</v>
      </c>
      <c r="BB71" s="72">
        <f t="shared" ref="BB71:BL71" si="102">SUM(BB52:BB55)/SUM(BB62:BB64)</f>
        <v>3.5082003546099298</v>
      </c>
      <c r="BC71" s="72">
        <f t="shared" si="102"/>
        <v>3.742830712303423</v>
      </c>
      <c r="BD71" s="72">
        <f t="shared" si="102"/>
        <v>3.5983539094650205</v>
      </c>
      <c r="BE71" s="72">
        <f t="shared" si="102"/>
        <v>3.6762149348083759</v>
      </c>
      <c r="BF71" s="72">
        <f t="shared" si="102"/>
        <v>3.5788079470198677</v>
      </c>
      <c r="BG71" s="72">
        <f t="shared" si="102"/>
        <v>4.4742505764796299</v>
      </c>
      <c r="BH71" s="72">
        <f t="shared" si="102"/>
        <v>2.2566818451791724</v>
      </c>
      <c r="BI71" s="72">
        <f t="shared" si="102"/>
        <v>2.8706191137872468</v>
      </c>
      <c r="BJ71" s="72">
        <f t="shared" si="102"/>
        <v>2.8141449786796056</v>
      </c>
      <c r="BK71" s="72">
        <f t="shared" si="102"/>
        <v>2.4869071864998546</v>
      </c>
      <c r="BL71" s="72">
        <f t="shared" si="102"/>
        <v>2.4845471647406612</v>
      </c>
      <c r="CC71" s="72"/>
      <c r="CD71" s="72"/>
      <c r="CE71" s="72">
        <f>SUM(CE52:CE55)/SUM(CE62:CE64)</f>
        <v>3.5082003546099298</v>
      </c>
      <c r="CF71" s="72">
        <f>SUM(CF52:CF55)/SUM(CF62:CF64)</f>
        <v>3.5788079470198677</v>
      </c>
      <c r="CG71" s="72">
        <f>SUM(CG52:CG55)/SUM(CG62:CG64)</f>
        <v>4.4742505764796299</v>
      </c>
      <c r="CS71" s="67" t="s">
        <v>123</v>
      </c>
      <c r="CV71" s="60">
        <f>CV69*(1-CV70)</f>
        <v>5.0050000000000004E-2</v>
      </c>
    </row>
    <row r="72" spans="2:147">
      <c r="B72" s="1" t="s">
        <v>64</v>
      </c>
      <c r="BB72" s="72">
        <f t="shared" ref="BB72:BL72" si="103">(SUM(BB52:BB55)-BB54)/SUM(BB62:BB64)</f>
        <v>2.6159131205673769</v>
      </c>
      <c r="BC72" s="72">
        <f t="shared" si="103"/>
        <v>2.7469935245143393</v>
      </c>
      <c r="BD72" s="72">
        <f t="shared" si="103"/>
        <v>2.7117283950617286</v>
      </c>
      <c r="BE72" s="72">
        <f t="shared" si="103"/>
        <v>2.7973133148952982</v>
      </c>
      <c r="BF72" s="72">
        <f t="shared" si="103"/>
        <v>2.7644276253547777</v>
      </c>
      <c r="BG72" s="72">
        <f t="shared" si="103"/>
        <v>3.6272098385857019</v>
      </c>
      <c r="BH72" s="72">
        <f t="shared" si="103"/>
        <v>1.8142941991684811</v>
      </c>
      <c r="BI72" s="72">
        <f t="shared" si="103"/>
        <v>2.1815655396016669</v>
      </c>
      <c r="BJ72" s="72">
        <f t="shared" si="103"/>
        <v>2.1486546096162322</v>
      </c>
      <c r="BK72" s="72">
        <f t="shared" si="103"/>
        <v>1.8140820482979343</v>
      </c>
      <c r="BL72" s="72">
        <f t="shared" si="103"/>
        <v>1.83310937919914</v>
      </c>
      <c r="CC72" s="72"/>
      <c r="CD72" s="72"/>
      <c r="CE72" s="72">
        <f>(SUM(CE52:CE55)-CE54)/SUM(CE62:CE64)</f>
        <v>2.6159131205673769</v>
      </c>
      <c r="CF72" s="72">
        <f>(SUM(CF52:CF55)-CF54)/SUM(CF62:CF64)</f>
        <v>2.7644276253547777</v>
      </c>
      <c r="CG72" s="72">
        <f>(SUM(CG52:CG55)-CG54)/SUM(CG62:CG64)</f>
        <v>3.6272098385857019</v>
      </c>
    </row>
    <row r="73" spans="2:147" ht="15">
      <c r="B73" s="1" t="s">
        <v>65</v>
      </c>
      <c r="BB73" s="72">
        <f t="shared" ref="BB73:BL73" si="104">SUM(BB52)/SUM(BB62:BB64)</f>
        <v>1.5607269503546102</v>
      </c>
      <c r="BC73" s="72">
        <f t="shared" si="104"/>
        <v>1.7372802960222018</v>
      </c>
      <c r="BD73" s="72">
        <f t="shared" si="104"/>
        <v>1.6893004115226338</v>
      </c>
      <c r="BE73" s="72">
        <f t="shared" si="104"/>
        <v>1.783089687870407</v>
      </c>
      <c r="BF73" s="72">
        <f t="shared" si="104"/>
        <v>1.8039735099337748</v>
      </c>
      <c r="BG73" s="72">
        <f t="shared" si="104"/>
        <v>2.465603382013835</v>
      </c>
      <c r="BH73" s="72">
        <f t="shared" si="104"/>
        <v>1.1102751930310828</v>
      </c>
      <c r="BI73" s="72">
        <f t="shared" si="104"/>
        <v>1.169368534815501</v>
      </c>
      <c r="BJ73" s="72">
        <f t="shared" si="104"/>
        <v>1.0529333921482136</v>
      </c>
      <c r="BK73" s="72">
        <f t="shared" si="104"/>
        <v>0.69886528949665405</v>
      </c>
      <c r="BL73" s="72">
        <f t="shared" si="104"/>
        <v>0.7187583982800323</v>
      </c>
      <c r="CC73" s="72"/>
      <c r="CD73" s="72"/>
      <c r="CE73" s="72">
        <f>SUM(CE52)/SUM(CE62:CE64)</f>
        <v>1.5607269503546102</v>
      </c>
      <c r="CF73" s="72">
        <f>SUM(CF52)/SUM(CF62:CF64)</f>
        <v>1.8039735099337748</v>
      </c>
      <c r="CG73" s="72">
        <f>SUM(CG52)/SUM(CG62:CG64)</f>
        <v>2.465603382013835</v>
      </c>
      <c r="CS73" s="34" t="s">
        <v>124</v>
      </c>
      <c r="CV73" s="60">
        <f>(CV59*CV66)+(CV58*CV71*(1-CV70))</f>
        <v>6.7460200173818125E-2</v>
      </c>
    </row>
    <row r="74" spans="2:147">
      <c r="B74" s="1" t="s">
        <v>132</v>
      </c>
      <c r="BB74" s="72">
        <f t="shared" ref="BB74:BL74" si="105">BB29/SUM(BB56)</f>
        <v>0.76673183937434208</v>
      </c>
      <c r="BC74" s="72">
        <f t="shared" si="105"/>
        <v>0.66152463681293983</v>
      </c>
      <c r="BD74" s="72">
        <f t="shared" si="105"/>
        <v>0.72060775925652754</v>
      </c>
      <c r="BE74" s="72">
        <f t="shared" si="105"/>
        <v>0.77365201308863274</v>
      </c>
      <c r="BF74" s="72">
        <f t="shared" si="105"/>
        <v>0.82644170930714966</v>
      </c>
      <c r="BG74" s="72">
        <f t="shared" si="105"/>
        <v>0.7915681090858494</v>
      </c>
      <c r="BH74" s="72">
        <f t="shared" si="105"/>
        <v>0.90116601887840098</v>
      </c>
      <c r="BI74" s="72">
        <f t="shared" si="105"/>
        <v>0.9754177599779037</v>
      </c>
      <c r="BJ74" s="72">
        <f t="shared" si="105"/>
        <v>0.95631482611348373</v>
      </c>
      <c r="BK74" s="72">
        <f t="shared" si="105"/>
        <v>0.91726878612716756</v>
      </c>
      <c r="BL74" s="72">
        <f t="shared" si="105"/>
        <v>0.93372932681108767</v>
      </c>
      <c r="CC74" s="72"/>
      <c r="CD74" s="72"/>
      <c r="CE74" s="72">
        <f>CE29/SUM(CE56)</f>
        <v>2.5524138968265904</v>
      </c>
      <c r="CF74" s="72">
        <f>CF29/SUM(CF56)</f>
        <v>2.8648872908311436</v>
      </c>
      <c r="CG74" s="72">
        <f>CG29/SUM(CG56)</f>
        <v>3.7680534298038122</v>
      </c>
    </row>
    <row r="75" spans="2:147">
      <c r="B75" s="1" t="s">
        <v>133</v>
      </c>
      <c r="BB75" s="72">
        <f t="shared" ref="BB75:BL75" si="106">BB29/BB60</f>
        <v>0.19697086778456072</v>
      </c>
      <c r="BC75" s="72">
        <f t="shared" si="106"/>
        <v>0.16833079268292683</v>
      </c>
      <c r="BD75" s="72">
        <f t="shared" si="106"/>
        <v>0.16952387562465301</v>
      </c>
      <c r="BE75" s="72">
        <f t="shared" si="106"/>
        <v>0.17974482713029682</v>
      </c>
      <c r="BF75" s="72">
        <f t="shared" si="106"/>
        <v>0.19352958321189154</v>
      </c>
      <c r="BG75" s="72">
        <f t="shared" si="106"/>
        <v>0.16174338270832742</v>
      </c>
      <c r="BH75" s="72">
        <f t="shared" si="106"/>
        <v>0.18713248011068837</v>
      </c>
      <c r="BI75" s="72">
        <f t="shared" si="106"/>
        <v>0.23315617469382374</v>
      </c>
      <c r="BJ75" s="72">
        <f t="shared" si="106"/>
        <v>0.24563548033223634</v>
      </c>
      <c r="BK75" s="72">
        <f t="shared" si="106"/>
        <v>0.25498794858061058</v>
      </c>
      <c r="BL75" s="72">
        <f t="shared" si="106"/>
        <v>0.25329373479510914</v>
      </c>
      <c r="CC75" s="72"/>
      <c r="CD75" s="72"/>
      <c r="CE75" s="72">
        <f>CE29/CE60</f>
        <v>0.65570666872730088</v>
      </c>
      <c r="CF75" s="72">
        <f>CF29/CF60</f>
        <v>0.67087664755983023</v>
      </c>
      <c r="CG75" s="72">
        <f>CG29/CG60</f>
        <v>0.76993716771387144</v>
      </c>
    </row>
    <row r="76" spans="2:147">
      <c r="B76" s="1" t="s">
        <v>66</v>
      </c>
      <c r="BB76" s="72">
        <f t="shared" ref="BB76:BL76" si="107">BB28/AVERAGE(AY54:BB54)</f>
        <v>0</v>
      </c>
      <c r="BC76" s="72">
        <f t="shared" si="107"/>
        <v>0</v>
      </c>
      <c r="BD76" s="72">
        <f t="shared" si="107"/>
        <v>0</v>
      </c>
      <c r="BE76" s="72">
        <f t="shared" si="107"/>
        <v>0</v>
      </c>
      <c r="BF76" s="72">
        <f t="shared" si="107"/>
        <v>0</v>
      </c>
      <c r="BG76" s="72">
        <f t="shared" si="107"/>
        <v>0</v>
      </c>
      <c r="BH76" s="72">
        <f t="shared" si="107"/>
        <v>0</v>
      </c>
      <c r="BI76" s="72">
        <f t="shared" si="107"/>
        <v>0</v>
      </c>
      <c r="BJ76" s="72">
        <f t="shared" si="107"/>
        <v>0</v>
      </c>
      <c r="BK76" s="72">
        <f t="shared" si="107"/>
        <v>0</v>
      </c>
      <c r="BL76" s="72">
        <f t="shared" si="107"/>
        <v>0</v>
      </c>
      <c r="CC76" s="72"/>
      <c r="CD76" s="72"/>
      <c r="CE76" s="72">
        <f>CE28/AVERAGE(CB54:CE54)</f>
        <v>0</v>
      </c>
      <c r="CF76" s="72">
        <f>CF28/AVERAGE(CC54:CF54)</f>
        <v>0</v>
      </c>
      <c r="CG76" s="72">
        <f>CG28/AVERAGE(CD54:CG54)</f>
        <v>0</v>
      </c>
    </row>
    <row r="77" spans="2:147">
      <c r="B77" s="1" t="s">
        <v>67</v>
      </c>
      <c r="BB77" s="73">
        <f t="shared" ref="BB77:BL77" si="108">BB41/BB60</f>
        <v>3.7014141101924102E-2</v>
      </c>
      <c r="BC77" s="73">
        <f t="shared" si="108"/>
        <v>2.2217987804878041E-2</v>
      </c>
      <c r="BD77" s="73">
        <f t="shared" si="108"/>
        <v>-2.9983342587451434E-2</v>
      </c>
      <c r="BE77" s="73">
        <f t="shared" si="108"/>
        <v>2.9120116348251457E-2</v>
      </c>
      <c r="BF77" s="73">
        <f t="shared" si="108"/>
        <v>0.11603355030927164</v>
      </c>
      <c r="BG77" s="73">
        <f t="shared" si="108"/>
        <v>1.0064538140050606E-2</v>
      </c>
      <c r="BH77" s="73">
        <f t="shared" si="108"/>
        <v>6.485645105499838E-3</v>
      </c>
      <c r="BI77" s="73">
        <f t="shared" si="108"/>
        <v>2.8917571716238114E-2</v>
      </c>
      <c r="BJ77" s="73">
        <f t="shared" si="108"/>
        <v>3.1844538473593413E-2</v>
      </c>
      <c r="BK77" s="73">
        <f t="shared" si="108"/>
        <v>3.0496786288162839E-2</v>
      </c>
      <c r="BL77" s="73">
        <f t="shared" si="108"/>
        <v>3.0014849451834042E-2</v>
      </c>
      <c r="CC77" s="73"/>
      <c r="CD77" s="73"/>
      <c r="CE77" s="73">
        <f>CE41/CE60</f>
        <v>7.9707905107796906E-2</v>
      </c>
      <c r="CF77" s="73">
        <f>CF41/CF60</f>
        <v>0.13546423135464225</v>
      </c>
      <c r="CG77" s="73">
        <f>CG41/CG60</f>
        <v>7.0252750689449264E-2</v>
      </c>
    </row>
    <row r="78" spans="2:147">
      <c r="B78" s="1" t="s">
        <v>68</v>
      </c>
      <c r="BB78" s="73">
        <f t="shared" ref="BB78:BL78" si="109">BB41/BB68</f>
        <v>0.13074928347208947</v>
      </c>
      <c r="BC78" s="73">
        <f t="shared" si="109"/>
        <v>7.3732136081952671E-2</v>
      </c>
      <c r="BD78" s="73">
        <f t="shared" si="109"/>
        <v>-8.6538461538461578E-2</v>
      </c>
      <c r="BE78" s="73">
        <f t="shared" si="109"/>
        <v>7.8801431127012475E-2</v>
      </c>
      <c r="BF78" s="73">
        <f t="shared" si="109"/>
        <v>0.29572466160448985</v>
      </c>
      <c r="BG78" s="73">
        <f t="shared" si="109"/>
        <v>2.6602540016532644E-2</v>
      </c>
      <c r="BH78" s="73">
        <f t="shared" si="109"/>
        <v>1.5380408777086633E-2</v>
      </c>
      <c r="BI78" s="73">
        <f t="shared" si="109"/>
        <v>6.3290224694747557E-2</v>
      </c>
      <c r="BJ78" s="73">
        <f t="shared" si="109"/>
        <v>6.7053854276662994E-2</v>
      </c>
      <c r="BK78" s="73">
        <f t="shared" si="109"/>
        <v>6.9937048978965174E-2</v>
      </c>
      <c r="BL78" s="73">
        <f t="shared" si="109"/>
        <v>6.6797918717479907E-2</v>
      </c>
      <c r="CC78" s="73"/>
      <c r="CD78" s="73"/>
      <c r="CE78" s="73">
        <f>CE41/CE68</f>
        <v>0.28156134843728664</v>
      </c>
      <c r="CF78" s="73">
        <f>CF41/CF68</f>
        <v>0.34524595576097705</v>
      </c>
      <c r="CG78" s="73">
        <f>CG41/CG68</f>
        <v>0.18569174118884788</v>
      </c>
    </row>
    <row r="80" spans="2:147">
      <c r="B80" s="1" t="s">
        <v>69</v>
      </c>
      <c r="C80" s="81">
        <f t="shared" ref="C80:AH80" si="110">C41</f>
        <v>-9.847999999999999</v>
      </c>
      <c r="D80" s="81">
        <f t="shared" si="110"/>
        <v>-8.0840000000000014</v>
      </c>
      <c r="E80" s="81">
        <f t="shared" si="110"/>
        <v>-13.562000000000001</v>
      </c>
      <c r="F80" s="81">
        <f t="shared" si="110"/>
        <v>-14.209999999999999</v>
      </c>
      <c r="G80" s="81">
        <f t="shared" si="110"/>
        <v>-14.780000000000003</v>
      </c>
      <c r="H80" s="81">
        <f t="shared" si="110"/>
        <v>-14.476000000000006</v>
      </c>
      <c r="I80" s="81">
        <f t="shared" si="110"/>
        <v>-12.416999999999993</v>
      </c>
      <c r="J80" s="81">
        <f t="shared" si="110"/>
        <v>-10.193999999999999</v>
      </c>
      <c r="K80" s="81">
        <f t="shared" si="110"/>
        <v>-10.665000000000003</v>
      </c>
      <c r="L80" s="81">
        <f t="shared" si="110"/>
        <v>-10.519000000000004</v>
      </c>
      <c r="M80" s="81">
        <f t="shared" si="110"/>
        <v>-21.289999999999996</v>
      </c>
      <c r="N80" s="81">
        <f t="shared" si="110"/>
        <v>-2.4999999999999969</v>
      </c>
      <c r="O80" s="81">
        <f t="shared" si="110"/>
        <v>-6.1440000000000028</v>
      </c>
      <c r="P80" s="81">
        <f t="shared" si="110"/>
        <v>-29.110999999999994</v>
      </c>
      <c r="Q80" s="81">
        <f t="shared" si="110"/>
        <v>-10.844999999999999</v>
      </c>
      <c r="R80" s="81">
        <f t="shared" si="110"/>
        <v>-1.8370000000000009</v>
      </c>
      <c r="S80" s="81">
        <f t="shared" si="110"/>
        <v>-10.441999999999998</v>
      </c>
      <c r="T80" s="81">
        <f t="shared" si="110"/>
        <v>-17.266999999999999</v>
      </c>
      <c r="U80" s="81">
        <f t="shared" si="110"/>
        <v>-17.984999999999996</v>
      </c>
      <c r="V80" s="81">
        <f t="shared" si="110"/>
        <v>-15.907999999999999</v>
      </c>
      <c r="W80" s="81">
        <f t="shared" si="110"/>
        <v>-10.725000000000005</v>
      </c>
      <c r="X80" s="81">
        <f t="shared" si="110"/>
        <v>-4.3859999999999895</v>
      </c>
      <c r="Y80" s="81">
        <f t="shared" si="110"/>
        <v>-3.0510000000000006</v>
      </c>
      <c r="Z80" s="81">
        <f t="shared" si="110"/>
        <v>-9.0479999999999983</v>
      </c>
      <c r="AA80" s="81">
        <f t="shared" si="110"/>
        <v>-9.9770000000000074</v>
      </c>
      <c r="AB80" s="81">
        <f t="shared" si="110"/>
        <v>-7.7669999999999897</v>
      </c>
      <c r="AC80" s="81">
        <f t="shared" si="110"/>
        <v>-2.2060000000000026</v>
      </c>
      <c r="AD80" s="81">
        <f t="shared" si="110"/>
        <v>-6.8499999999999774</v>
      </c>
      <c r="AE80" s="81">
        <f t="shared" si="110"/>
        <v>-6.569</v>
      </c>
      <c r="AF80" s="81">
        <f t="shared" si="110"/>
        <v>-1.6909999999999972</v>
      </c>
      <c r="AG80" s="81">
        <f t="shared" si="110"/>
        <v>1.6589999999999954</v>
      </c>
      <c r="AH80" s="81">
        <f t="shared" si="110"/>
        <v>9.9009999999999803</v>
      </c>
      <c r="AI80" s="81">
        <f t="shared" ref="AI80:BL80" si="111">AI41</f>
        <v>4.3999999999999835</v>
      </c>
      <c r="AJ80" s="81">
        <f t="shared" si="111"/>
        <v>1.3999999999999941</v>
      </c>
      <c r="AK80" s="81">
        <f t="shared" si="111"/>
        <v>0.7999999999999996</v>
      </c>
      <c r="AL80" s="81">
        <f t="shared" si="111"/>
        <v>5.0000000000000222</v>
      </c>
      <c r="AM80" s="81">
        <f t="shared" si="111"/>
        <v>-2.0999999999999996</v>
      </c>
      <c r="AN80" s="81">
        <f t="shared" si="111"/>
        <v>14.399999999999999</v>
      </c>
      <c r="AO80" s="81">
        <f t="shared" si="111"/>
        <v>11.60000000000001</v>
      </c>
      <c r="AP80" s="81">
        <f t="shared" si="111"/>
        <v>-17.100000000000041</v>
      </c>
      <c r="AQ80" s="81">
        <f t="shared" si="111"/>
        <v>1.1379786002407855E-14</v>
      </c>
      <c r="AR80" s="81">
        <f t="shared" si="111"/>
        <v>-25.000000000000021</v>
      </c>
      <c r="AS80" s="81">
        <f t="shared" si="111"/>
        <v>12.600000000000017</v>
      </c>
      <c r="AT80" s="81">
        <f t="shared" si="111"/>
        <v>29.199999999999992</v>
      </c>
      <c r="AU80" s="81">
        <f t="shared" si="111"/>
        <v>27.800000000000004</v>
      </c>
      <c r="AV80" s="81">
        <f t="shared" si="111"/>
        <v>-34.999999999999957</v>
      </c>
      <c r="AW80" s="81">
        <f t="shared" si="111"/>
        <v>-5.199999999999994</v>
      </c>
      <c r="AX80" s="81">
        <f t="shared" si="111"/>
        <v>17.00000000000006</v>
      </c>
      <c r="AY80" s="81">
        <f t="shared" si="111"/>
        <v>25.400000000000045</v>
      </c>
      <c r="AZ80" s="81">
        <f t="shared" si="111"/>
        <v>29.699999999999992</v>
      </c>
      <c r="BA80" s="81">
        <f t="shared" si="111"/>
        <v>55.399999999999956</v>
      </c>
      <c r="BB80" s="81">
        <f t="shared" si="111"/>
        <v>95.799999999999955</v>
      </c>
      <c r="BC80" s="81">
        <f t="shared" si="111"/>
        <v>58.299999999999976</v>
      </c>
      <c r="BD80" s="81">
        <f t="shared" si="111"/>
        <v>-86.400000000000034</v>
      </c>
      <c r="BE80" s="81">
        <f t="shared" si="111"/>
        <v>88.099999999999952</v>
      </c>
      <c r="BF80" s="81">
        <f t="shared" si="111"/>
        <v>358.2999999999999</v>
      </c>
      <c r="BG80" s="81">
        <f t="shared" si="111"/>
        <v>35.399999999999991</v>
      </c>
      <c r="BH80" s="81">
        <f t="shared" si="111"/>
        <v>22.500000000000036</v>
      </c>
      <c r="BI80" s="81">
        <f t="shared" si="111"/>
        <v>87.600000000000094</v>
      </c>
      <c r="BJ80" s="81">
        <f t="shared" si="111"/>
        <v>101.59999999999977</v>
      </c>
      <c r="BK80" s="81">
        <f t="shared" si="111"/>
        <v>91.100000000000023</v>
      </c>
      <c r="BL80" s="81">
        <f t="shared" si="111"/>
        <v>94.999999999999929</v>
      </c>
      <c r="BS80" s="81">
        <f>BS41</f>
        <v>-45.704000000000001</v>
      </c>
      <c r="BT80" s="81">
        <f t="shared" ref="BT80:CG80" si="112">BT41</f>
        <v>-51.867000000000004</v>
      </c>
      <c r="BU80" s="81">
        <f t="shared" si="112"/>
        <v>-44.974000000000004</v>
      </c>
      <c r="BV80" s="81">
        <f t="shared" si="112"/>
        <v>-47.936999999999998</v>
      </c>
      <c r="BW80" s="81">
        <f t="shared" si="112"/>
        <v>-61.60199999999999</v>
      </c>
      <c r="BX80" s="81">
        <f t="shared" si="112"/>
        <v>-27.209999999999994</v>
      </c>
      <c r="BY80" s="81">
        <f t="shared" si="112"/>
        <v>-26.799999999999976</v>
      </c>
      <c r="BZ80" s="81">
        <f t="shared" si="112"/>
        <v>3.2999999999999776</v>
      </c>
      <c r="CA80" s="81">
        <f t="shared" si="112"/>
        <v>11.6</v>
      </c>
      <c r="CB80" s="81">
        <f t="shared" si="112"/>
        <v>6.7999999999999687</v>
      </c>
      <c r="CC80" s="81">
        <f t="shared" si="112"/>
        <v>16.799999999999997</v>
      </c>
      <c r="CD80" s="81">
        <f t="shared" si="112"/>
        <v>4.6000000000001133</v>
      </c>
      <c r="CE80" s="81">
        <f t="shared" si="112"/>
        <v>206.29999999999995</v>
      </c>
      <c r="CF80" s="81">
        <f t="shared" si="112"/>
        <v>418.29999999999978</v>
      </c>
      <c r="CG80" s="81">
        <f t="shared" si="112"/>
        <v>247.09999999999988</v>
      </c>
    </row>
    <row r="81" spans="2:147" s="2" customFormat="1" ht="15">
      <c r="B81" s="2" t="s">
        <v>70</v>
      </c>
      <c r="C81" s="80">
        <v>-7.8659999999999997</v>
      </c>
      <c r="D81" s="80">
        <v>-9.0820000000000007</v>
      </c>
      <c r="E81" s="80">
        <v>-0.83599999999999997</v>
      </c>
      <c r="F81" s="80">
        <v>-7.6680000000000001</v>
      </c>
      <c r="G81" s="80">
        <v>-8.9030000000000005</v>
      </c>
      <c r="H81" s="80">
        <v>-11.114000000000001</v>
      </c>
      <c r="I81" s="80">
        <v>-3.4489999999999998</v>
      </c>
      <c r="J81" s="80">
        <v>-5.593</v>
      </c>
      <c r="K81" s="80">
        <v>-1.2</v>
      </c>
      <c r="L81" s="80">
        <v>4.3719999999999999</v>
      </c>
      <c r="M81" s="80">
        <v>3.694</v>
      </c>
      <c r="N81" s="80">
        <v>-3.5179999999999998</v>
      </c>
      <c r="O81" s="80">
        <v>-1.0169999999999999</v>
      </c>
      <c r="P81" s="80">
        <v>0.50800000000000001</v>
      </c>
      <c r="Q81" s="80">
        <v>4.8220000000000001</v>
      </c>
      <c r="R81" s="80">
        <v>4.6040000000000001</v>
      </c>
      <c r="S81" s="80">
        <v>-3.488</v>
      </c>
      <c r="T81" s="80">
        <v>0.78500000000000003</v>
      </c>
      <c r="U81" s="80">
        <v>8.7460000000000004</v>
      </c>
      <c r="V81" s="80">
        <v>-18.594999999999999</v>
      </c>
      <c r="W81" s="80">
        <v>-10.516999999999999</v>
      </c>
      <c r="X81" s="80">
        <v>3.681</v>
      </c>
      <c r="Y81" s="80">
        <v>2.677</v>
      </c>
      <c r="Z81" s="80">
        <v>20.07</v>
      </c>
      <c r="AA81" s="80">
        <v>-21.835000000000001</v>
      </c>
      <c r="AB81" s="80">
        <v>17.963999999999999</v>
      </c>
      <c r="AC81" s="80">
        <v>23.277999999999999</v>
      </c>
      <c r="AD81" s="80">
        <v>21.893000000000001</v>
      </c>
      <c r="AE81" s="80">
        <v>-4.266</v>
      </c>
      <c r="AF81" s="80">
        <v>-6.1289999999999996</v>
      </c>
      <c r="AG81" s="80">
        <v>15.855</v>
      </c>
      <c r="AH81" s="80">
        <v>30.44</v>
      </c>
      <c r="AI81" s="80">
        <v>6.5</v>
      </c>
      <c r="AJ81" s="80">
        <v>13.9</v>
      </c>
      <c r="AK81" s="80">
        <v>31.1</v>
      </c>
      <c r="AL81" s="80">
        <v>46.9</v>
      </c>
      <c r="AM81" s="80">
        <v>-3.6</v>
      </c>
      <c r="AN81" s="80">
        <v>26.4</v>
      </c>
      <c r="AO81" s="80">
        <v>44.2</v>
      </c>
      <c r="AP81" s="80">
        <v>17</v>
      </c>
      <c r="AQ81" s="80">
        <v>-35</v>
      </c>
      <c r="AR81" s="80">
        <v>18.2</v>
      </c>
      <c r="AS81" s="80">
        <v>-25.8</v>
      </c>
      <c r="AT81" s="80">
        <v>-25.5</v>
      </c>
      <c r="AU81" s="80">
        <v>-13.7</v>
      </c>
      <c r="AV81" s="80">
        <v>25.3</v>
      </c>
      <c r="AW81" s="80">
        <v>56.7</v>
      </c>
      <c r="AX81" s="80">
        <v>50.7</v>
      </c>
      <c r="AY81" s="80">
        <v>0.5</v>
      </c>
      <c r="AZ81" s="80">
        <v>44</v>
      </c>
      <c r="BA81" s="80">
        <v>56.8</v>
      </c>
      <c r="BB81" s="80">
        <v>44.5</v>
      </c>
      <c r="BC81" s="80">
        <v>87.6</v>
      </c>
      <c r="BD81" s="80">
        <v>86.9</v>
      </c>
      <c r="BE81" s="80">
        <v>108.1</v>
      </c>
      <c r="BF81" s="80">
        <v>147.80000000000001</v>
      </c>
      <c r="BG81" s="80">
        <v>63.9</v>
      </c>
      <c r="BH81" s="80">
        <v>196.4</v>
      </c>
      <c r="BI81" s="80">
        <v>125.7</v>
      </c>
      <c r="BJ81" s="80">
        <v>183.3</v>
      </c>
      <c r="BK81" s="80">
        <v>113.8</v>
      </c>
      <c r="BL81" s="80">
        <v>88.5</v>
      </c>
      <c r="BM81" s="34"/>
      <c r="BN81" s="34"/>
      <c r="BS81" s="80">
        <f t="shared" ref="BS81:BS83" si="113">SUM(C81:F81)</f>
        <v>-25.451999999999998</v>
      </c>
      <c r="BT81" s="80">
        <f t="shared" ref="BT81:BT83" si="114">SUM(G81:J81)</f>
        <v>-29.059000000000001</v>
      </c>
      <c r="BU81" s="80">
        <f t="shared" ref="BU81:BU83" si="115">SUM(K81:N81)</f>
        <v>3.3479999999999999</v>
      </c>
      <c r="BV81" s="80">
        <f t="shared" ref="BV81:BV83" si="116">SUM(O81:R81)</f>
        <v>8.9170000000000016</v>
      </c>
      <c r="BW81" s="80">
        <f t="shared" ref="BW81:BW83" si="117">SUM(S81:V81)</f>
        <v>-12.551999999999998</v>
      </c>
      <c r="BX81" s="80">
        <f t="shared" ref="BX81:BX83" si="118">SUM(W81:Z81)</f>
        <v>15.911000000000001</v>
      </c>
      <c r="BY81" s="80">
        <f t="shared" ref="BY81:BY83" si="119">SUM(AA81:AD81)</f>
        <v>41.3</v>
      </c>
      <c r="BZ81" s="80">
        <f t="shared" ref="BZ81:BZ83" si="120">SUM(AE81:AH81)</f>
        <v>35.900000000000006</v>
      </c>
      <c r="CA81" s="80">
        <f t="shared" ref="CA81:CA83" si="121">SUM(AI81:AL81)</f>
        <v>98.4</v>
      </c>
      <c r="CB81" s="80">
        <f t="shared" ref="CB81:CB83" si="122">SUM(AM81:AP81)</f>
        <v>84</v>
      </c>
      <c r="CC81" s="80">
        <f t="shared" ref="CC81:CC83" si="123">SUM(AQ81:AT81)</f>
        <v>-68.099999999999994</v>
      </c>
      <c r="CD81" s="80">
        <f t="shared" ref="CD81:CD83" si="124">SUM(AU81:AX81)</f>
        <v>119.00000000000001</v>
      </c>
      <c r="CE81" s="80">
        <f t="shared" ref="CE81:CE83" si="125">SUM(AY81:BB81)</f>
        <v>145.80000000000001</v>
      </c>
      <c r="CF81" s="80">
        <f t="shared" ref="CF81:CF83" si="126">SUM(BC81:BF81)</f>
        <v>430.40000000000003</v>
      </c>
      <c r="CG81" s="80">
        <f t="shared" ref="CG81:CG83" si="127">SUM(BG81:BJ81)</f>
        <v>569.29999999999995</v>
      </c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</row>
    <row r="82" spans="2:147">
      <c r="B82" s="1" t="s">
        <v>71</v>
      </c>
      <c r="C82" s="81">
        <v>-2.8969999999999998</v>
      </c>
      <c r="D82" s="81">
        <v>-2.6629999999999998</v>
      </c>
      <c r="E82" s="81">
        <v>-3.278</v>
      </c>
      <c r="F82" s="81">
        <v>-2.2759999999999998</v>
      </c>
      <c r="G82" s="81">
        <v>-1.6990000000000001</v>
      </c>
      <c r="H82" s="81">
        <v>-2.5499999999999998</v>
      </c>
      <c r="I82" s="81">
        <v>-4.6870000000000003</v>
      </c>
      <c r="J82" s="81">
        <v>-2.0550000000000002</v>
      </c>
      <c r="K82" s="81">
        <v>-1.069</v>
      </c>
      <c r="L82" s="81">
        <v>-1.6259999999999999</v>
      </c>
      <c r="M82" s="81">
        <v>-1.8220000000000001</v>
      </c>
      <c r="N82" s="81">
        <v>-2.79</v>
      </c>
      <c r="O82" s="81">
        <v>-2.157</v>
      </c>
      <c r="P82" s="81">
        <v>-3.5880000000000001</v>
      </c>
      <c r="Q82" s="81">
        <v>-3.1080000000000001</v>
      </c>
      <c r="R82" s="81">
        <v>-2.633</v>
      </c>
      <c r="S82" s="81">
        <v>-4.3460000000000001</v>
      </c>
      <c r="T82" s="81">
        <v>-0.255</v>
      </c>
      <c r="U82" s="81">
        <v>-2.5249999999999999</v>
      </c>
      <c r="V82" s="81">
        <v>-3.4820000000000002</v>
      </c>
      <c r="W82" s="81">
        <v>-3.16</v>
      </c>
      <c r="X82" s="81">
        <v>-2.7450000000000001</v>
      </c>
      <c r="Y82" s="81">
        <v>-13.3</v>
      </c>
      <c r="Z82" s="81">
        <v>-2.91</v>
      </c>
      <c r="AA82" s="81">
        <v>-25.678999999999998</v>
      </c>
      <c r="AB82" s="81">
        <v>-13.388999999999999</v>
      </c>
      <c r="AC82" s="81">
        <v>-8.7449999999999992</v>
      </c>
      <c r="AD82" s="81">
        <v>-25.986999999999998</v>
      </c>
      <c r="AE82" s="81">
        <v>-35.374000000000002</v>
      </c>
      <c r="AF82" s="81">
        <v>-52.356000000000002</v>
      </c>
      <c r="AG82" s="81">
        <v>-37.125</v>
      </c>
      <c r="AH82" s="81">
        <v>-32.545000000000002</v>
      </c>
      <c r="AI82" s="81">
        <v>-44.4</v>
      </c>
      <c r="AJ82" s="81">
        <v>-47.5</v>
      </c>
      <c r="AK82" s="81">
        <v>-22.7</v>
      </c>
      <c r="AL82" s="81">
        <v>-49.1</v>
      </c>
      <c r="AM82" s="81">
        <v>-26.9</v>
      </c>
      <c r="AN82" s="81">
        <v>-24.8</v>
      </c>
      <c r="AO82" s="81">
        <v>-26.5</v>
      </c>
      <c r="AP82" s="81">
        <v>-88.3</v>
      </c>
      <c r="AQ82" s="81">
        <v>-32.9</v>
      </c>
      <c r="AR82" s="81">
        <v>-19.899999999999999</v>
      </c>
      <c r="AS82" s="81">
        <v>-27.3</v>
      </c>
      <c r="AT82" s="81">
        <v>-42.6</v>
      </c>
      <c r="AU82" s="81">
        <v>-15.9</v>
      </c>
      <c r="AV82" s="81">
        <v>-19.100000000000001</v>
      </c>
      <c r="AW82" s="81">
        <v>-33.9</v>
      </c>
      <c r="AX82" s="81">
        <v>-66.900000000000006</v>
      </c>
      <c r="AY82" s="81">
        <v>-12</v>
      </c>
      <c r="AZ82" s="81">
        <v>-18.100000000000001</v>
      </c>
      <c r="BA82" s="81">
        <v>-22.4</v>
      </c>
      <c r="BB82" s="81">
        <v>-31.6</v>
      </c>
      <c r="BC82" s="81">
        <v>-24</v>
      </c>
      <c r="BD82" s="81">
        <v>-24.9</v>
      </c>
      <c r="BE82" s="81">
        <v>-29.1</v>
      </c>
      <c r="BF82" s="81">
        <v>-56</v>
      </c>
      <c r="BG82" s="81">
        <v>-15.7</v>
      </c>
      <c r="BH82" s="81">
        <v>-23.2</v>
      </c>
      <c r="BI82" s="81">
        <v>-31.1</v>
      </c>
      <c r="BJ82" s="81">
        <v>-140.80000000000001</v>
      </c>
      <c r="BK82" s="81">
        <v>-27.8</v>
      </c>
      <c r="BL82" s="81">
        <v>-37.299999999999997</v>
      </c>
      <c r="BS82" s="81">
        <f t="shared" si="113"/>
        <v>-11.113999999999999</v>
      </c>
      <c r="BT82" s="81">
        <f t="shared" si="114"/>
        <v>-10.991</v>
      </c>
      <c r="BU82" s="81">
        <f t="shared" si="115"/>
        <v>-7.3069999999999995</v>
      </c>
      <c r="BV82" s="81">
        <f t="shared" si="116"/>
        <v>-11.486000000000001</v>
      </c>
      <c r="BW82" s="81">
        <f t="shared" si="117"/>
        <v>-10.608000000000001</v>
      </c>
      <c r="BX82" s="81">
        <f t="shared" si="118"/>
        <v>-22.115000000000002</v>
      </c>
      <c r="BY82" s="81">
        <f t="shared" si="119"/>
        <v>-73.8</v>
      </c>
      <c r="BZ82" s="81">
        <f t="shared" si="120"/>
        <v>-157.4</v>
      </c>
      <c r="CA82" s="81">
        <f t="shared" si="121"/>
        <v>-163.70000000000002</v>
      </c>
      <c r="CB82" s="81">
        <f t="shared" si="122"/>
        <v>-166.5</v>
      </c>
      <c r="CC82" s="81">
        <f t="shared" si="123"/>
        <v>-122.69999999999999</v>
      </c>
      <c r="CD82" s="81">
        <f t="shared" si="124"/>
        <v>-135.80000000000001</v>
      </c>
      <c r="CE82" s="81">
        <f t="shared" si="125"/>
        <v>-84.1</v>
      </c>
      <c r="CF82" s="81">
        <f t="shared" si="126"/>
        <v>-134</v>
      </c>
      <c r="CG82" s="81">
        <f t="shared" si="127"/>
        <v>-210.8</v>
      </c>
    </row>
    <row r="83" spans="2:147" s="2" customFormat="1" ht="15">
      <c r="B83" s="2" t="s">
        <v>72</v>
      </c>
      <c r="C83" s="80">
        <f t="shared" ref="C83:BK83" si="128">C81+C82</f>
        <v>-10.763</v>
      </c>
      <c r="D83" s="80">
        <f t="shared" si="128"/>
        <v>-11.745000000000001</v>
      </c>
      <c r="E83" s="80">
        <f t="shared" si="128"/>
        <v>-4.1139999999999999</v>
      </c>
      <c r="F83" s="80">
        <f t="shared" si="128"/>
        <v>-9.9439999999999991</v>
      </c>
      <c r="G83" s="80">
        <f t="shared" si="128"/>
        <v>-10.602</v>
      </c>
      <c r="H83" s="80">
        <f t="shared" si="128"/>
        <v>-13.664000000000001</v>
      </c>
      <c r="I83" s="80">
        <f t="shared" si="128"/>
        <v>-8.1359999999999992</v>
      </c>
      <c r="J83" s="80">
        <f t="shared" si="128"/>
        <v>-7.6479999999999997</v>
      </c>
      <c r="K83" s="80">
        <f t="shared" si="128"/>
        <v>-2.2690000000000001</v>
      </c>
      <c r="L83" s="80">
        <f t="shared" si="128"/>
        <v>2.746</v>
      </c>
      <c r="M83" s="80">
        <f t="shared" si="128"/>
        <v>1.8719999999999999</v>
      </c>
      <c r="N83" s="80">
        <f t="shared" si="128"/>
        <v>-6.3079999999999998</v>
      </c>
      <c r="O83" s="80">
        <f t="shared" si="128"/>
        <v>-3.1739999999999999</v>
      </c>
      <c r="P83" s="80">
        <f t="shared" si="128"/>
        <v>-3.08</v>
      </c>
      <c r="Q83" s="80">
        <f t="shared" si="128"/>
        <v>1.714</v>
      </c>
      <c r="R83" s="80">
        <f t="shared" si="128"/>
        <v>1.9710000000000001</v>
      </c>
      <c r="S83" s="80">
        <f t="shared" si="128"/>
        <v>-7.8339999999999996</v>
      </c>
      <c r="T83" s="80">
        <f t="shared" si="128"/>
        <v>0.53</v>
      </c>
      <c r="U83" s="80">
        <f t="shared" si="128"/>
        <v>6.2210000000000001</v>
      </c>
      <c r="V83" s="80">
        <f t="shared" si="128"/>
        <v>-22.076999999999998</v>
      </c>
      <c r="W83" s="80">
        <f t="shared" si="128"/>
        <v>-13.677</v>
      </c>
      <c r="X83" s="80">
        <f t="shared" si="128"/>
        <v>0.93599999999999994</v>
      </c>
      <c r="Y83" s="80">
        <f t="shared" si="128"/>
        <v>-10.623000000000001</v>
      </c>
      <c r="Z83" s="80">
        <f t="shared" si="128"/>
        <v>17.16</v>
      </c>
      <c r="AA83" s="80">
        <f t="shared" si="128"/>
        <v>-47.513999999999996</v>
      </c>
      <c r="AB83" s="80">
        <f t="shared" si="128"/>
        <v>4.5749999999999993</v>
      </c>
      <c r="AC83" s="80">
        <f t="shared" si="128"/>
        <v>14.532999999999999</v>
      </c>
      <c r="AD83" s="80">
        <f t="shared" si="128"/>
        <v>-4.0939999999999976</v>
      </c>
      <c r="AE83" s="80">
        <f t="shared" si="128"/>
        <v>-39.64</v>
      </c>
      <c r="AF83" s="80">
        <f t="shared" si="128"/>
        <v>-58.484999999999999</v>
      </c>
      <c r="AG83" s="80">
        <f t="shared" si="128"/>
        <v>-21.27</v>
      </c>
      <c r="AH83" s="80">
        <f t="shared" si="128"/>
        <v>-2.1050000000000004</v>
      </c>
      <c r="AI83" s="80">
        <f t="shared" si="128"/>
        <v>-37.9</v>
      </c>
      <c r="AJ83" s="80">
        <f t="shared" si="128"/>
        <v>-33.6</v>
      </c>
      <c r="AK83" s="80">
        <f t="shared" si="128"/>
        <v>8.4000000000000021</v>
      </c>
      <c r="AL83" s="80">
        <f t="shared" si="128"/>
        <v>-2.2000000000000028</v>
      </c>
      <c r="AM83" s="80">
        <f t="shared" si="128"/>
        <v>-30.5</v>
      </c>
      <c r="AN83" s="80">
        <f t="shared" si="128"/>
        <v>1.5999999999999979</v>
      </c>
      <c r="AO83" s="80">
        <f t="shared" si="128"/>
        <v>17.700000000000003</v>
      </c>
      <c r="AP83" s="80">
        <f t="shared" si="128"/>
        <v>-71.3</v>
      </c>
      <c r="AQ83" s="80">
        <f t="shared" si="128"/>
        <v>-67.900000000000006</v>
      </c>
      <c r="AR83" s="80">
        <f t="shared" si="128"/>
        <v>-1.6999999999999993</v>
      </c>
      <c r="AS83" s="80">
        <f t="shared" si="128"/>
        <v>-53.1</v>
      </c>
      <c r="AT83" s="80">
        <f t="shared" si="128"/>
        <v>-68.099999999999994</v>
      </c>
      <c r="AU83" s="80">
        <f t="shared" si="128"/>
        <v>-29.6</v>
      </c>
      <c r="AV83" s="80">
        <f t="shared" si="128"/>
        <v>6.1999999999999993</v>
      </c>
      <c r="AW83" s="80">
        <f t="shared" si="128"/>
        <v>22.800000000000004</v>
      </c>
      <c r="AX83" s="80">
        <f t="shared" si="128"/>
        <v>-16.200000000000003</v>
      </c>
      <c r="AY83" s="80">
        <f t="shared" si="128"/>
        <v>-11.5</v>
      </c>
      <c r="AZ83" s="80">
        <f t="shared" si="128"/>
        <v>25.9</v>
      </c>
      <c r="BA83" s="80">
        <f t="shared" si="128"/>
        <v>34.4</v>
      </c>
      <c r="BB83" s="80">
        <f t="shared" si="128"/>
        <v>12.899999999999999</v>
      </c>
      <c r="BC83" s="80">
        <f t="shared" si="128"/>
        <v>63.599999999999994</v>
      </c>
      <c r="BD83" s="80">
        <f t="shared" si="128"/>
        <v>62.000000000000007</v>
      </c>
      <c r="BE83" s="80">
        <f t="shared" si="128"/>
        <v>79</v>
      </c>
      <c r="BF83" s="80">
        <f t="shared" si="128"/>
        <v>91.800000000000011</v>
      </c>
      <c r="BG83" s="80">
        <f t="shared" si="128"/>
        <v>48.2</v>
      </c>
      <c r="BH83" s="80">
        <f t="shared" si="128"/>
        <v>173.20000000000002</v>
      </c>
      <c r="BI83" s="80">
        <f t="shared" si="128"/>
        <v>94.6</v>
      </c>
      <c r="BJ83" s="80">
        <f t="shared" si="128"/>
        <v>42.5</v>
      </c>
      <c r="BK83" s="80">
        <f t="shared" si="128"/>
        <v>86</v>
      </c>
      <c r="BL83" s="80">
        <f>BL81+BL82</f>
        <v>51.2</v>
      </c>
      <c r="BM83" s="34"/>
      <c r="BN83" s="34"/>
      <c r="BS83" s="80">
        <f t="shared" si="113"/>
        <v>-36.566000000000003</v>
      </c>
      <c r="BT83" s="80">
        <f t="shared" si="114"/>
        <v>-40.049999999999997</v>
      </c>
      <c r="BU83" s="80">
        <f t="shared" si="115"/>
        <v>-3.9590000000000001</v>
      </c>
      <c r="BV83" s="80">
        <f t="shared" si="116"/>
        <v>-2.5689999999999991</v>
      </c>
      <c r="BW83" s="80">
        <f t="shared" si="117"/>
        <v>-23.159999999999997</v>
      </c>
      <c r="BX83" s="80">
        <f t="shared" si="118"/>
        <v>-6.2040000000000006</v>
      </c>
      <c r="BY83" s="80">
        <f t="shared" si="119"/>
        <v>-32.499999999999986</v>
      </c>
      <c r="BZ83" s="80">
        <f t="shared" si="120"/>
        <v>-121.5</v>
      </c>
      <c r="CA83" s="80">
        <f t="shared" si="121"/>
        <v>-65.3</v>
      </c>
      <c r="CB83" s="80">
        <f t="shared" si="122"/>
        <v>-82.5</v>
      </c>
      <c r="CC83" s="80">
        <f t="shared" si="123"/>
        <v>-190.8</v>
      </c>
      <c r="CD83" s="80">
        <f t="shared" si="124"/>
        <v>-16.8</v>
      </c>
      <c r="CE83" s="80">
        <f t="shared" si="125"/>
        <v>61.699999999999996</v>
      </c>
      <c r="CF83" s="80">
        <f t="shared" si="126"/>
        <v>296.39999999999998</v>
      </c>
      <c r="CG83" s="80">
        <f t="shared" si="127"/>
        <v>358.5</v>
      </c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</row>
    <row r="84" spans="2:147">
      <c r="B84" s="1" t="s">
        <v>73</v>
      </c>
      <c r="C84" s="81">
        <f t="shared" ref="C84:AH84" si="129">C42</f>
        <v>45.58</v>
      </c>
      <c r="D84" s="81">
        <f t="shared" si="129"/>
        <v>46.38</v>
      </c>
      <c r="E84" s="81">
        <f t="shared" si="129"/>
        <v>47.32</v>
      </c>
      <c r="F84" s="81">
        <f t="shared" si="129"/>
        <v>47.42</v>
      </c>
      <c r="G84" s="81">
        <f t="shared" si="129"/>
        <v>47.61</v>
      </c>
      <c r="H84" s="81">
        <f t="shared" si="129"/>
        <v>47.82</v>
      </c>
      <c r="I84" s="81">
        <f t="shared" si="129"/>
        <v>48.04</v>
      </c>
      <c r="J84" s="81">
        <f t="shared" si="129"/>
        <v>48.22</v>
      </c>
      <c r="K84" s="81">
        <f t="shared" si="129"/>
        <v>53.05</v>
      </c>
      <c r="L84" s="81">
        <f t="shared" si="129"/>
        <v>53.83</v>
      </c>
      <c r="M84" s="81">
        <f t="shared" si="129"/>
        <v>54.46</v>
      </c>
      <c r="N84" s="81">
        <f t="shared" si="129"/>
        <v>54.68</v>
      </c>
      <c r="O84" s="81">
        <f t="shared" si="129"/>
        <v>55.09</v>
      </c>
      <c r="P84" s="81">
        <f t="shared" si="129"/>
        <v>55.43</v>
      </c>
      <c r="Q84" s="81">
        <f t="shared" si="129"/>
        <v>55.82</v>
      </c>
      <c r="R84" s="81">
        <f t="shared" si="129"/>
        <v>56.17</v>
      </c>
      <c r="S84" s="81">
        <f t="shared" si="129"/>
        <v>56.5</v>
      </c>
      <c r="T84" s="81">
        <f t="shared" si="129"/>
        <v>56.81</v>
      </c>
      <c r="U84" s="81">
        <f t="shared" si="129"/>
        <v>56.9</v>
      </c>
      <c r="V84" s="81">
        <f t="shared" si="129"/>
        <v>56.93</v>
      </c>
      <c r="W84" s="81">
        <f t="shared" si="129"/>
        <v>57.03</v>
      </c>
      <c r="X84" s="81">
        <f t="shared" si="129"/>
        <v>57.2</v>
      </c>
      <c r="Y84" s="81">
        <f t="shared" si="129"/>
        <v>57.34</v>
      </c>
      <c r="Z84" s="81">
        <f t="shared" si="129"/>
        <v>57.44</v>
      </c>
      <c r="AA84" s="81">
        <f t="shared" si="129"/>
        <v>57.69</v>
      </c>
      <c r="AB84" s="81">
        <f t="shared" si="129"/>
        <v>57.98</v>
      </c>
      <c r="AC84" s="81">
        <f t="shared" si="129"/>
        <v>58.1</v>
      </c>
      <c r="AD84" s="81">
        <f t="shared" si="129"/>
        <v>58.24</v>
      </c>
      <c r="AE84" s="81">
        <f t="shared" si="129"/>
        <v>58.48</v>
      </c>
      <c r="AF84" s="81">
        <f t="shared" si="129"/>
        <v>58.83</v>
      </c>
      <c r="AG84" s="81">
        <f t="shared" si="129"/>
        <v>59.02</v>
      </c>
      <c r="AH84" s="81">
        <f t="shared" si="129"/>
        <v>59.1</v>
      </c>
      <c r="AI84" s="81">
        <f t="shared" ref="AI84:BL84" si="130">AI42</f>
        <v>59.36</v>
      </c>
      <c r="AJ84" s="81">
        <f t="shared" si="130"/>
        <v>59.85</v>
      </c>
      <c r="AK84" s="81">
        <f t="shared" si="130"/>
        <v>60.74</v>
      </c>
      <c r="AL84" s="81">
        <f t="shared" si="130"/>
        <v>62.4</v>
      </c>
      <c r="AM84" s="81">
        <f t="shared" si="130"/>
        <v>62.88</v>
      </c>
      <c r="AN84" s="81">
        <f t="shared" si="130"/>
        <v>64.37</v>
      </c>
      <c r="AO84" s="81">
        <f t="shared" si="130"/>
        <v>65.72</v>
      </c>
      <c r="AP84" s="81">
        <f t="shared" si="130"/>
        <v>65.95</v>
      </c>
      <c r="AQ84" s="81">
        <f t="shared" si="130"/>
        <v>66.11</v>
      </c>
      <c r="AR84" s="81">
        <f t="shared" si="130"/>
        <v>66.7</v>
      </c>
      <c r="AS84" s="81">
        <f t="shared" si="130"/>
        <v>68.87</v>
      </c>
      <c r="AT84" s="81">
        <f t="shared" si="130"/>
        <v>69.069999999999993</v>
      </c>
      <c r="AU84" s="81">
        <f t="shared" si="130"/>
        <v>69.25</v>
      </c>
      <c r="AV84" s="81">
        <f t="shared" si="130"/>
        <v>69.36</v>
      </c>
      <c r="AW84" s="81">
        <f t="shared" si="130"/>
        <v>69.42</v>
      </c>
      <c r="AX84" s="81">
        <f t="shared" si="130"/>
        <v>69.47</v>
      </c>
      <c r="AY84" s="81">
        <f t="shared" si="130"/>
        <v>69.58</v>
      </c>
      <c r="AZ84" s="81">
        <f t="shared" si="130"/>
        <v>69.739999999999995</v>
      </c>
      <c r="BA84" s="81">
        <f t="shared" si="130"/>
        <v>69.819999999999993</v>
      </c>
      <c r="BB84" s="81">
        <f t="shared" si="130"/>
        <v>69.86</v>
      </c>
      <c r="BC84" s="81">
        <f t="shared" si="130"/>
        <v>69.959999999999994</v>
      </c>
      <c r="BD84" s="81">
        <f t="shared" si="130"/>
        <v>70.06</v>
      </c>
      <c r="BE84" s="81">
        <f t="shared" si="130"/>
        <v>70.12</v>
      </c>
      <c r="BF84" s="81">
        <f t="shared" si="130"/>
        <v>70.27</v>
      </c>
      <c r="BG84" s="81">
        <f t="shared" si="130"/>
        <v>70.272000000000006</v>
      </c>
      <c r="BH84" s="81">
        <f t="shared" si="130"/>
        <v>70.37</v>
      </c>
      <c r="BI84" s="81">
        <f t="shared" si="130"/>
        <v>70.367000000000004</v>
      </c>
      <c r="BJ84" s="81">
        <f t="shared" si="130"/>
        <v>70.25</v>
      </c>
      <c r="BK84" s="81">
        <f t="shared" si="130"/>
        <v>69.98</v>
      </c>
      <c r="BL84" s="81">
        <f t="shared" si="130"/>
        <v>69.3</v>
      </c>
      <c r="BS84" s="81">
        <f>BS42</f>
        <v>46.674999999999997</v>
      </c>
      <c r="BT84" s="81">
        <f t="shared" ref="BT84:CG84" si="131">BT42</f>
        <v>47.922499999999999</v>
      </c>
      <c r="BU84" s="81">
        <f t="shared" si="131"/>
        <v>54.005000000000003</v>
      </c>
      <c r="BV84" s="81">
        <f t="shared" si="131"/>
        <v>55.627499999999998</v>
      </c>
      <c r="BW84" s="81">
        <f t="shared" si="131"/>
        <v>56.785000000000004</v>
      </c>
      <c r="BX84" s="81">
        <f t="shared" si="131"/>
        <v>57.252499999999998</v>
      </c>
      <c r="BY84" s="81">
        <f t="shared" si="131"/>
        <v>58.002499999999998</v>
      </c>
      <c r="BZ84" s="81">
        <f t="shared" si="131"/>
        <v>58.857500000000002</v>
      </c>
      <c r="CA84" s="81">
        <f t="shared" si="131"/>
        <v>60.587500000000006</v>
      </c>
      <c r="CB84" s="81">
        <f t="shared" si="131"/>
        <v>64.73</v>
      </c>
      <c r="CC84" s="81">
        <f t="shared" si="131"/>
        <v>67.6875</v>
      </c>
      <c r="CD84" s="81">
        <f t="shared" si="131"/>
        <v>69.375</v>
      </c>
      <c r="CE84" s="81">
        <f t="shared" si="131"/>
        <v>69.75</v>
      </c>
      <c r="CF84" s="81">
        <f t="shared" si="131"/>
        <v>70.102499999999992</v>
      </c>
      <c r="CG84" s="81">
        <f t="shared" si="131"/>
        <v>70.314750000000004</v>
      </c>
    </row>
    <row r="85" spans="2:147">
      <c r="B85" s="1" t="s">
        <v>74</v>
      </c>
      <c r="C85" s="39">
        <f t="shared" ref="C85:BB85" si="132">C83/C84</f>
        <v>-0.23613426941641072</v>
      </c>
      <c r="D85" s="39">
        <f t="shared" si="132"/>
        <v>-0.25323415265200516</v>
      </c>
      <c r="E85" s="39">
        <f t="shared" si="132"/>
        <v>-8.6939983093829248E-2</v>
      </c>
      <c r="F85" s="39">
        <f t="shared" si="132"/>
        <v>-0.20970054829185994</v>
      </c>
      <c r="G85" s="39">
        <f t="shared" si="132"/>
        <v>-0.2226843100189036</v>
      </c>
      <c r="H85" s="39">
        <f t="shared" si="132"/>
        <v>-0.28573818485989128</v>
      </c>
      <c r="I85" s="39">
        <f t="shared" si="132"/>
        <v>-0.1693588676103247</v>
      </c>
      <c r="J85" s="39">
        <f t="shared" si="132"/>
        <v>-0.15860638739112401</v>
      </c>
      <c r="K85" s="39">
        <f t="shared" si="132"/>
        <v>-4.277097078228087E-2</v>
      </c>
      <c r="L85" s="39">
        <f t="shared" si="132"/>
        <v>5.1012446591120197E-2</v>
      </c>
      <c r="M85" s="39">
        <f t="shared" si="132"/>
        <v>3.4373852368710975E-2</v>
      </c>
      <c r="N85" s="39">
        <f t="shared" si="132"/>
        <v>-0.11536210680321872</v>
      </c>
      <c r="O85" s="39">
        <f t="shared" si="132"/>
        <v>-5.7614812125612626E-2</v>
      </c>
      <c r="P85" s="39">
        <f t="shared" si="132"/>
        <v>-5.5565578206747249E-2</v>
      </c>
      <c r="Q85" s="39">
        <f t="shared" si="132"/>
        <v>3.0705840200644929E-2</v>
      </c>
      <c r="R85" s="39">
        <f t="shared" si="132"/>
        <v>3.5089905643581984E-2</v>
      </c>
      <c r="S85" s="39">
        <f t="shared" si="132"/>
        <v>-0.13865486725663717</v>
      </c>
      <c r="T85" s="39">
        <f t="shared" si="132"/>
        <v>9.329343425453265E-3</v>
      </c>
      <c r="U85" s="39">
        <f t="shared" si="132"/>
        <v>0.10933216168717048</v>
      </c>
      <c r="V85" s="39">
        <f t="shared" si="132"/>
        <v>-0.38779202529422097</v>
      </c>
      <c r="W85" s="39">
        <f t="shared" si="132"/>
        <v>-0.23982114676486058</v>
      </c>
      <c r="X85" s="39">
        <f t="shared" si="132"/>
        <v>1.6363636363636361E-2</v>
      </c>
      <c r="Y85" s="39">
        <f t="shared" si="132"/>
        <v>-0.18526334147192189</v>
      </c>
      <c r="Z85" s="39">
        <f t="shared" si="132"/>
        <v>0.29874651810584962</v>
      </c>
      <c r="AA85" s="39">
        <f t="shared" si="132"/>
        <v>-0.82360894435777432</v>
      </c>
      <c r="AB85" s="39">
        <f t="shared" si="132"/>
        <v>7.8906519489479118E-2</v>
      </c>
      <c r="AC85" s="39">
        <f t="shared" si="132"/>
        <v>0.25013769363166954</v>
      </c>
      <c r="AD85" s="39">
        <f t="shared" si="132"/>
        <v>-7.0295329670329629E-2</v>
      </c>
      <c r="AE85" s="39">
        <f t="shared" si="132"/>
        <v>-0.67783857729138175</v>
      </c>
      <c r="AF85" s="39">
        <f t="shared" si="132"/>
        <v>-0.99413564507904129</v>
      </c>
      <c r="AG85" s="39">
        <f t="shared" si="132"/>
        <v>-0.36038630972551677</v>
      </c>
      <c r="AH85" s="39">
        <f t="shared" si="132"/>
        <v>-3.56175972927242E-2</v>
      </c>
      <c r="AI85" s="39">
        <f t="shared" si="132"/>
        <v>-0.63847708894878707</v>
      </c>
      <c r="AJ85" s="39">
        <f t="shared" si="132"/>
        <v>-0.56140350877192979</v>
      </c>
      <c r="AK85" s="39">
        <f t="shared" si="132"/>
        <v>0.13829436944352982</v>
      </c>
      <c r="AL85" s="39">
        <f t="shared" si="132"/>
        <v>-3.5256410256410305E-2</v>
      </c>
      <c r="AM85" s="39">
        <f t="shared" si="132"/>
        <v>-0.4850508905852417</v>
      </c>
      <c r="AN85" s="39">
        <f t="shared" si="132"/>
        <v>2.4856299518409161E-2</v>
      </c>
      <c r="AO85" s="39">
        <f t="shared" si="132"/>
        <v>0.2693244065733415</v>
      </c>
      <c r="AP85" s="39">
        <f t="shared" si="132"/>
        <v>-1.0811220621683093</v>
      </c>
      <c r="AQ85" s="39">
        <f t="shared" si="132"/>
        <v>-1.0270760853123584</v>
      </c>
      <c r="AR85" s="39">
        <f t="shared" si="132"/>
        <v>-2.5487256371814083E-2</v>
      </c>
      <c r="AS85" s="39">
        <f t="shared" si="132"/>
        <v>-0.771017859735734</v>
      </c>
      <c r="AT85" s="39">
        <f t="shared" si="132"/>
        <v>-0.98595627624149418</v>
      </c>
      <c r="AU85" s="39">
        <f t="shared" si="132"/>
        <v>-0.42743682310469316</v>
      </c>
      <c r="AV85" s="39">
        <f t="shared" si="132"/>
        <v>8.9388696655132632E-2</v>
      </c>
      <c r="AW85" s="39">
        <f t="shared" si="132"/>
        <v>0.32843560933448579</v>
      </c>
      <c r="AX85" s="39">
        <f t="shared" si="132"/>
        <v>-0.23319418454008931</v>
      </c>
      <c r="AY85" s="39">
        <f t="shared" si="132"/>
        <v>-0.16527737855705663</v>
      </c>
      <c r="AZ85" s="39">
        <f t="shared" si="132"/>
        <v>0.37137940923429885</v>
      </c>
      <c r="BA85" s="39">
        <f t="shared" si="132"/>
        <v>0.49269550272128332</v>
      </c>
      <c r="BB85" s="39">
        <f t="shared" si="132"/>
        <v>0.18465502433438302</v>
      </c>
      <c r="BC85" s="39">
        <f t="shared" ref="BC85:BI85" si="133">BC83/BC84</f>
        <v>0.90909090909090906</v>
      </c>
      <c r="BD85" s="39">
        <f t="shared" si="133"/>
        <v>0.88495575221238942</v>
      </c>
      <c r="BE85" s="39">
        <f t="shared" si="133"/>
        <v>1.1266400456360524</v>
      </c>
      <c r="BF85" s="39">
        <f t="shared" si="133"/>
        <v>1.306389639960154</v>
      </c>
      <c r="BG85" s="39">
        <f t="shared" si="133"/>
        <v>0.68590619307832423</v>
      </c>
      <c r="BH85" s="39">
        <f t="shared" si="133"/>
        <v>2.461276111979537</v>
      </c>
      <c r="BI85" s="39">
        <f t="shared" si="133"/>
        <v>1.3443801782085352</v>
      </c>
      <c r="BJ85" s="39">
        <f>BJ83/BJ84</f>
        <v>0.604982206405694</v>
      </c>
      <c r="BK85" s="39">
        <f>BK83/BK84</f>
        <v>1.2289225492997999</v>
      </c>
      <c r="BL85" s="39">
        <f>BL83/BL84</f>
        <v>0.73881673881673893</v>
      </c>
      <c r="BM85" s="64"/>
      <c r="BN85" s="64"/>
      <c r="BO85" s="39"/>
      <c r="BP85" s="39"/>
      <c r="BQ85" s="39"/>
      <c r="BR85" s="39"/>
      <c r="BS85" s="39">
        <f t="shared" ref="BS85" si="134">SUM(C85:F85)</f>
        <v>-0.78600895345410504</v>
      </c>
      <c r="BT85" s="39">
        <f t="shared" ref="BT85" si="135">SUM(G85:J85)</f>
        <v>-0.83638774988024356</v>
      </c>
      <c r="BU85" s="39">
        <f t="shared" ref="BU85" si="136">SUM(K85:N85)</f>
        <v>-7.2746778625668418E-2</v>
      </c>
      <c r="BV85" s="39">
        <f t="shared" ref="BV85" si="137">SUM(O85:R85)</f>
        <v>-4.7384644488132968E-2</v>
      </c>
      <c r="BW85" s="39">
        <f t="shared" ref="BW85" si="138">SUM(S85:V85)</f>
        <v>-0.40778538743823439</v>
      </c>
      <c r="BX85" s="39">
        <f t="shared" ref="BX85" si="139">SUM(W85:Z85)</f>
        <v>-0.10997433376729648</v>
      </c>
      <c r="BY85" s="39">
        <f t="shared" ref="BY85" si="140">SUM(AA85:AD85)</f>
        <v>-0.56486006090695529</v>
      </c>
      <c r="BZ85" s="39">
        <f t="shared" ref="BZ85" si="141">SUM(AE85:AH85)</f>
        <v>-2.0679781293886643</v>
      </c>
      <c r="CA85" s="39">
        <f t="shared" ref="CA85" si="142">SUM(AI85:AL85)</f>
        <v>-1.0968426385335972</v>
      </c>
      <c r="CB85" s="39">
        <f t="shared" ref="CB85" si="143">SUM(AM85:AP85)</f>
        <v>-1.2719922466618003</v>
      </c>
      <c r="CC85" s="39">
        <f t="shared" ref="CC85" si="144">SUM(AQ85:AT85)</f>
        <v>-2.8095374776614008</v>
      </c>
      <c r="CD85" s="39">
        <f t="shared" ref="CD85" si="145">SUM(AU85:AX85)</f>
        <v>-0.24280670165516402</v>
      </c>
      <c r="CE85" s="39">
        <f t="shared" ref="CE85" si="146">SUM(AY85:BB85)</f>
        <v>0.88345255773290865</v>
      </c>
      <c r="CF85" s="39">
        <f t="shared" ref="CF85" si="147">SUM(BC85:BF85)</f>
        <v>4.227076346899505</v>
      </c>
      <c r="CG85" s="39">
        <f t="shared" ref="CG85" si="148">SUM(BG85:BJ85)</f>
        <v>5.0965446896720898</v>
      </c>
    </row>
    <row r="87" spans="2:147">
      <c r="B87" s="1" t="s">
        <v>135</v>
      </c>
      <c r="C87" s="74">
        <f t="shared" ref="C87:AH87" si="149">C81/C29</f>
        <v>-0.27836364923207585</v>
      </c>
      <c r="D87" s="74">
        <f t="shared" si="149"/>
        <v>-0.28195336996678155</v>
      </c>
      <c r="E87" s="74">
        <f t="shared" si="149"/>
        <v>-1.8746916625555006E-2</v>
      </c>
      <c r="F87" s="74">
        <f t="shared" si="149"/>
        <v>-0.1624851669774538</v>
      </c>
      <c r="G87" s="74">
        <f t="shared" si="149"/>
        <v>-0.1864346442182854</v>
      </c>
      <c r="H87" s="74">
        <f t="shared" si="149"/>
        <v>-0.21777211717448813</v>
      </c>
      <c r="I87" s="74">
        <f t="shared" si="149"/>
        <v>-6.2993132670952648E-2</v>
      </c>
      <c r="J87" s="74">
        <f t="shared" si="149"/>
        <v>-9.6717852943210891E-2</v>
      </c>
      <c r="K87" s="74">
        <f t="shared" si="149"/>
        <v>-2.0921961085152381E-2</v>
      </c>
      <c r="L87" s="74">
        <f t="shared" si="149"/>
        <v>7.2755108833122542E-2</v>
      </c>
      <c r="M87" s="74">
        <f t="shared" si="149"/>
        <v>6.0455296793938101E-2</v>
      </c>
      <c r="N87" s="74">
        <f t="shared" si="149"/>
        <v>-5.1332934498708647E-2</v>
      </c>
      <c r="O87" s="74">
        <f t="shared" si="149"/>
        <v>-1.4704819190005927E-2</v>
      </c>
      <c r="P87" s="74">
        <f t="shared" si="149"/>
        <v>7.0542818657742352E-3</v>
      </c>
      <c r="Q87" s="74">
        <f t="shared" si="149"/>
        <v>6.4306194572247788E-2</v>
      </c>
      <c r="R87" s="74">
        <f t="shared" si="149"/>
        <v>0.3036538715209075</v>
      </c>
      <c r="S87" s="74">
        <f t="shared" si="149"/>
        <v>-7.2443299825537918E-2</v>
      </c>
      <c r="T87" s="74">
        <f t="shared" si="149"/>
        <v>1.296427804660534E-2</v>
      </c>
      <c r="U87" s="74">
        <f t="shared" si="149"/>
        <v>0.12250500749373189</v>
      </c>
      <c r="V87" s="74">
        <f t="shared" si="149"/>
        <v>-0.22189472679323635</v>
      </c>
      <c r="W87" s="74">
        <f t="shared" si="149"/>
        <v>-0.12949897183948383</v>
      </c>
      <c r="X87" s="74">
        <f t="shared" si="149"/>
        <v>4.2150463758158709E-2</v>
      </c>
      <c r="Y87" s="74">
        <f t="shared" si="149"/>
        <v>2.8217263441936948E-2</v>
      </c>
      <c r="Z87" s="74">
        <f t="shared" si="149"/>
        <v>0.19377262853005067</v>
      </c>
      <c r="AA87" s="74">
        <f t="shared" si="149"/>
        <v>-0.2146726573790961</v>
      </c>
      <c r="AB87" s="74">
        <f t="shared" si="149"/>
        <v>0.16367214548635153</v>
      </c>
      <c r="AC87" s="74">
        <f t="shared" si="149"/>
        <v>0.19115582016013136</v>
      </c>
      <c r="AD87" s="74">
        <f t="shared" si="149"/>
        <v>0.16769049296853455</v>
      </c>
      <c r="AE87" s="74">
        <f t="shared" si="149"/>
        <v>-3.4520707569308452E-2</v>
      </c>
      <c r="AF87" s="74">
        <f t="shared" si="149"/>
        <v>-4.9323204197582522E-2</v>
      </c>
      <c r="AG87" s="74">
        <f t="shared" si="149"/>
        <v>0.10494717890333342</v>
      </c>
      <c r="AH87" s="74">
        <f t="shared" si="149"/>
        <v>0.1846146381698649</v>
      </c>
      <c r="AI87" s="74">
        <f t="shared" ref="AI87:BL87" si="150">AI81/AI29</f>
        <v>4.0726817042606521E-2</v>
      </c>
      <c r="AJ87" s="74">
        <f t="shared" si="150"/>
        <v>7.8486730660643711E-2</v>
      </c>
      <c r="AK87" s="74">
        <f t="shared" si="150"/>
        <v>0.16189484643414889</v>
      </c>
      <c r="AL87" s="74">
        <f t="shared" si="150"/>
        <v>0.22397325692454631</v>
      </c>
      <c r="AM87" s="74">
        <f t="shared" si="150"/>
        <v>-1.8181818181818181E-2</v>
      </c>
      <c r="AN87" s="74">
        <f t="shared" si="150"/>
        <v>0.1166593018117543</v>
      </c>
      <c r="AO87" s="74">
        <f t="shared" si="150"/>
        <v>0.18888888888888891</v>
      </c>
      <c r="AP87" s="74">
        <f t="shared" si="150"/>
        <v>6.9077610727346611E-2</v>
      </c>
      <c r="AQ87" s="74">
        <f t="shared" si="150"/>
        <v>-0.13872374157748713</v>
      </c>
      <c r="AR87" s="74">
        <f t="shared" si="150"/>
        <v>6.9148936170212769E-2</v>
      </c>
      <c r="AS87" s="74">
        <f t="shared" si="150"/>
        <v>-9.3613933236574742E-2</v>
      </c>
      <c r="AT87" s="74">
        <f t="shared" si="150"/>
        <v>-8.2872928176795577E-2</v>
      </c>
      <c r="AU87" s="74">
        <f t="shared" si="150"/>
        <v>-4.6377792823290458E-2</v>
      </c>
      <c r="AV87" s="74">
        <f t="shared" si="150"/>
        <v>8.4502338009352029E-2</v>
      </c>
      <c r="AW87" s="74">
        <f t="shared" si="150"/>
        <v>0.16637323943661972</v>
      </c>
      <c r="AX87" s="74">
        <f t="shared" si="150"/>
        <v>0.13713822017852315</v>
      </c>
      <c r="AY87" s="74">
        <f t="shared" si="150"/>
        <v>1.3962580284836636E-3</v>
      </c>
      <c r="AZ87" s="74">
        <f t="shared" si="150"/>
        <v>0.11097099621689786</v>
      </c>
      <c r="BA87" s="74">
        <f t="shared" si="150"/>
        <v>0.13126877744395654</v>
      </c>
      <c r="BB87" s="74">
        <f t="shared" si="150"/>
        <v>8.7289132993330715E-2</v>
      </c>
      <c r="BC87" s="74">
        <f t="shared" si="150"/>
        <v>0.19832465474303826</v>
      </c>
      <c r="BD87" s="74">
        <f t="shared" si="150"/>
        <v>0.17789150460593656</v>
      </c>
      <c r="BE87" s="74">
        <f t="shared" si="150"/>
        <v>0.19878631849944833</v>
      </c>
      <c r="BF87" s="74">
        <f t="shared" si="150"/>
        <v>0.24732262382864798</v>
      </c>
      <c r="BG87" s="74">
        <f t="shared" si="150"/>
        <v>0.11232202496044999</v>
      </c>
      <c r="BH87" s="74">
        <f t="shared" si="150"/>
        <v>0.3025261860751694</v>
      </c>
      <c r="BI87" s="74">
        <f t="shared" si="150"/>
        <v>0.17796970126008776</v>
      </c>
      <c r="BJ87" s="74">
        <f t="shared" si="150"/>
        <v>0.23389051933137683</v>
      </c>
      <c r="BK87" s="74">
        <f t="shared" si="150"/>
        <v>0.14940265196271499</v>
      </c>
      <c r="BL87" s="74">
        <f t="shared" si="150"/>
        <v>0.11039042035674193</v>
      </c>
      <c r="BS87" s="74">
        <f t="shared" ref="BS87:CG87" si="151">BS81/BS29</f>
        <v>-0.1671669239105448</v>
      </c>
      <c r="BT87" s="74">
        <f t="shared" si="151"/>
        <v>-0.1374799521216451</v>
      </c>
      <c r="BU87" s="74">
        <f t="shared" si="151"/>
        <v>1.3550047757038091E-2</v>
      </c>
      <c r="BV87" s="74">
        <f t="shared" si="151"/>
        <v>3.8548164671603539E-2</v>
      </c>
      <c r="BW87" s="74">
        <f t="shared" si="151"/>
        <v>-4.7564732675743564E-2</v>
      </c>
      <c r="BX87" s="74">
        <f t="shared" si="151"/>
        <v>4.3355522917580644E-2</v>
      </c>
      <c r="BY87" s="74">
        <f t="shared" si="151"/>
        <v>8.9047003018542459E-2</v>
      </c>
      <c r="BZ87" s="74">
        <f t="shared" si="151"/>
        <v>6.3675062078751343E-2</v>
      </c>
      <c r="CA87" s="74">
        <f t="shared" si="151"/>
        <v>0.13329720942833923</v>
      </c>
      <c r="CB87" s="74">
        <f t="shared" si="151"/>
        <v>9.2879256965944276E-2</v>
      </c>
      <c r="CC87" s="74">
        <f t="shared" si="151"/>
        <v>-6.1976701856570802E-2</v>
      </c>
      <c r="CD87" s="74">
        <f t="shared" si="151"/>
        <v>9.1166781582777925E-2</v>
      </c>
      <c r="CE87" s="74">
        <f t="shared" si="151"/>
        <v>8.5911260385363272E-2</v>
      </c>
      <c r="CF87" s="74">
        <f t="shared" si="151"/>
        <v>0.20776211623865615</v>
      </c>
      <c r="CG87" s="74">
        <f t="shared" si="151"/>
        <v>0.21022118828699088</v>
      </c>
    </row>
    <row r="88" spans="2:147">
      <c r="B88" s="1" t="s">
        <v>136</v>
      </c>
      <c r="C88" s="74">
        <f t="shared" ref="C88:AH88" si="152">C83/C29</f>
        <v>-0.38088328968787599</v>
      </c>
      <c r="D88" s="74">
        <f t="shared" si="152"/>
        <v>-0.36462699077954741</v>
      </c>
      <c r="E88" s="74">
        <f t="shared" si="152"/>
        <v>-9.225456339417859E-2</v>
      </c>
      <c r="F88" s="74">
        <f t="shared" si="152"/>
        <v>-0.21071368028479401</v>
      </c>
      <c r="G88" s="74">
        <f t="shared" si="152"/>
        <v>-0.22201281568036188</v>
      </c>
      <c r="H88" s="74">
        <f t="shared" si="152"/>
        <v>-0.26773782698148335</v>
      </c>
      <c r="I88" s="74">
        <f t="shared" si="152"/>
        <v>-0.14859731151373465</v>
      </c>
      <c r="J88" s="74">
        <f t="shared" si="152"/>
        <v>-0.13225427128726566</v>
      </c>
      <c r="K88" s="74">
        <f t="shared" si="152"/>
        <v>-3.9559941418508965E-2</v>
      </c>
      <c r="L88" s="74">
        <f t="shared" si="152"/>
        <v>4.5696598548891701E-2</v>
      </c>
      <c r="M88" s="74">
        <f t="shared" si="152"/>
        <v>3.0636793610788339E-2</v>
      </c>
      <c r="N88" s="74">
        <f t="shared" si="152"/>
        <v>-9.2043249237593563E-2</v>
      </c>
      <c r="O88" s="74">
        <f t="shared" si="152"/>
        <v>-4.5892916528101096E-2</v>
      </c>
      <c r="P88" s="74">
        <f t="shared" si="152"/>
        <v>-4.2770055406662684E-2</v>
      </c>
      <c r="Q88" s="74">
        <f t="shared" si="152"/>
        <v>2.2857904914316197E-2</v>
      </c>
      <c r="R88" s="74">
        <f t="shared" si="152"/>
        <v>0.12999604273842502</v>
      </c>
      <c r="S88" s="74">
        <f t="shared" si="152"/>
        <v>-0.16270665448201377</v>
      </c>
      <c r="T88" s="74">
        <f t="shared" si="152"/>
        <v>8.7529520569437341E-3</v>
      </c>
      <c r="U88" s="74">
        <f t="shared" si="152"/>
        <v>8.7137394422422368E-2</v>
      </c>
      <c r="V88" s="74">
        <f t="shared" si="152"/>
        <v>-0.26344554360926475</v>
      </c>
      <c r="W88" s="74">
        <f t="shared" si="152"/>
        <v>-0.16840899855934396</v>
      </c>
      <c r="X88" s="74">
        <f t="shared" si="152"/>
        <v>1.0717966334592923E-2</v>
      </c>
      <c r="Y88" s="74">
        <f t="shared" si="152"/>
        <v>-0.11197310031516482</v>
      </c>
      <c r="Z88" s="74">
        <f t="shared" si="152"/>
        <v>0.16567704561911659</v>
      </c>
      <c r="AA88" s="74">
        <f t="shared" si="152"/>
        <v>-0.46713792730526088</v>
      </c>
      <c r="AB88" s="74">
        <f t="shared" si="152"/>
        <v>4.1683370385218112E-2</v>
      </c>
      <c r="AC88" s="74">
        <f t="shared" si="152"/>
        <v>0.11934305070827345</v>
      </c>
      <c r="AD88" s="74">
        <f t="shared" si="152"/>
        <v>-3.1358191121051482E-2</v>
      </c>
      <c r="AE88" s="74">
        <f t="shared" si="152"/>
        <v>-0.32076906892812634</v>
      </c>
      <c r="AF88" s="74">
        <f t="shared" si="152"/>
        <v>-0.47065876937438639</v>
      </c>
      <c r="AG88" s="74">
        <f t="shared" si="152"/>
        <v>-0.14079006592708307</v>
      </c>
      <c r="AH88" s="74">
        <f t="shared" si="152"/>
        <v>-1.2766551029814903E-2</v>
      </c>
      <c r="AI88" s="74">
        <f t="shared" ref="AI88:BL88" si="153">AI83/AI29</f>
        <v>-0.237468671679198</v>
      </c>
      <c r="AJ88" s="74">
        <f t="shared" si="153"/>
        <v>-0.18972332015810278</v>
      </c>
      <c r="AK88" s="74">
        <f t="shared" si="153"/>
        <v>4.3727225403435724E-2</v>
      </c>
      <c r="AL88" s="74">
        <f t="shared" si="153"/>
        <v>-1.0506208213944617E-2</v>
      </c>
      <c r="AM88" s="74">
        <f t="shared" si="153"/>
        <v>-0.15404040404040403</v>
      </c>
      <c r="AN88" s="74">
        <f t="shared" si="153"/>
        <v>7.0702607158638874E-3</v>
      </c>
      <c r="AO88" s="74">
        <f t="shared" si="153"/>
        <v>7.564102564102565E-2</v>
      </c>
      <c r="AP88" s="74">
        <f t="shared" si="153"/>
        <v>-0.28971962616822428</v>
      </c>
      <c r="AQ88" s="74">
        <f t="shared" si="153"/>
        <v>-0.26912405866032502</v>
      </c>
      <c r="AR88" s="74">
        <f t="shared" si="153"/>
        <v>-6.4589665653495415E-3</v>
      </c>
      <c r="AS88" s="74">
        <f t="shared" si="153"/>
        <v>-0.19267053701015965</v>
      </c>
      <c r="AT88" s="74">
        <f t="shared" si="153"/>
        <v>-0.22131946701332467</v>
      </c>
      <c r="AU88" s="74">
        <f t="shared" si="153"/>
        <v>-0.10020311442112391</v>
      </c>
      <c r="AV88" s="74">
        <f t="shared" si="153"/>
        <v>2.0708082832331325E-2</v>
      </c>
      <c r="AW88" s="74">
        <f t="shared" si="153"/>
        <v>6.6901408450704233E-2</v>
      </c>
      <c r="AX88" s="74">
        <f t="shared" si="153"/>
        <v>-4.3819312956451188E-2</v>
      </c>
      <c r="AY88" s="74">
        <f t="shared" si="153"/>
        <v>-3.2113934655124264E-2</v>
      </c>
      <c r="AZ88" s="74">
        <f t="shared" si="153"/>
        <v>6.5321563682219419E-2</v>
      </c>
      <c r="BA88" s="74">
        <f t="shared" si="153"/>
        <v>7.9500808874508902E-2</v>
      </c>
      <c r="BB88" s="74">
        <f t="shared" si="153"/>
        <v>2.5304040800313846E-2</v>
      </c>
      <c r="BC88" s="74">
        <f t="shared" si="153"/>
        <v>0.14398913289563051</v>
      </c>
      <c r="BD88" s="74">
        <f t="shared" si="153"/>
        <v>0.12691914022517914</v>
      </c>
      <c r="BE88" s="74">
        <f t="shared" si="153"/>
        <v>0.14527399779330638</v>
      </c>
      <c r="BF88" s="74">
        <f t="shared" si="153"/>
        <v>0.15361445783132535</v>
      </c>
      <c r="BG88" s="74">
        <f t="shared" si="153"/>
        <v>8.4724907716646161E-2</v>
      </c>
      <c r="BH88" s="74">
        <f t="shared" si="153"/>
        <v>0.26678989525569935</v>
      </c>
      <c r="BI88" s="74">
        <f t="shared" si="153"/>
        <v>0.13393742035962053</v>
      </c>
      <c r="BJ88" s="74">
        <f t="shared" si="153"/>
        <v>5.4229934924078099E-2</v>
      </c>
      <c r="BK88" s="74">
        <f t="shared" si="153"/>
        <v>0.11290534331101484</v>
      </c>
      <c r="BL88" s="74">
        <f t="shared" si="153"/>
        <v>6.3864288387177254E-2</v>
      </c>
      <c r="BS88" s="74">
        <f t="shared" ref="BS88:CG88" si="154">BS83/BS29</f>
        <v>-0.24016288463433058</v>
      </c>
      <c r="BT88" s="74">
        <f t="shared" si="154"/>
        <v>-0.18947906268185022</v>
      </c>
      <c r="BU88" s="74">
        <f t="shared" si="154"/>
        <v>-1.6022891000631364E-2</v>
      </c>
      <c r="BV88" s="74">
        <f t="shared" si="154"/>
        <v>-1.1105779414752655E-2</v>
      </c>
      <c r="BW88" s="74">
        <f t="shared" si="154"/>
        <v>-8.7762843273599511E-2</v>
      </c>
      <c r="BX88" s="74">
        <f t="shared" si="154"/>
        <v>-1.6905138846123456E-2</v>
      </c>
      <c r="BY88" s="74">
        <f t="shared" si="154"/>
        <v>-7.0073307460112075E-2</v>
      </c>
      <c r="BZ88" s="74">
        <f t="shared" si="154"/>
        <v>-0.21550195104647041</v>
      </c>
      <c r="CA88" s="74">
        <f t="shared" si="154"/>
        <v>-8.8458412354375515E-2</v>
      </c>
      <c r="CB88" s="74">
        <f t="shared" si="154"/>
        <v>-9.1220698805838121E-2</v>
      </c>
      <c r="CC88" s="74">
        <f t="shared" si="154"/>
        <v>-0.17364397524572261</v>
      </c>
      <c r="CD88" s="74">
        <f t="shared" si="154"/>
        <v>-1.2870604458745117E-2</v>
      </c>
      <c r="CE88" s="74">
        <f t="shared" si="154"/>
        <v>3.6356136939485001E-2</v>
      </c>
      <c r="CF88" s="74">
        <f t="shared" si="154"/>
        <v>0.14307781424985519</v>
      </c>
      <c r="CG88" s="74">
        <f t="shared" si="154"/>
        <v>0.13238063587016727</v>
      </c>
    </row>
    <row r="89" spans="2:147">
      <c r="B89" s="1" t="s">
        <v>137</v>
      </c>
      <c r="C89" s="74">
        <f t="shared" ref="C89:AH89" si="155">C82/C29</f>
        <v>-0.10251964045580013</v>
      </c>
      <c r="D89" s="74">
        <f t="shared" si="155"/>
        <v>-8.267362081276583E-2</v>
      </c>
      <c r="E89" s="74">
        <f t="shared" si="155"/>
        <v>-7.3507646768623577E-2</v>
      </c>
      <c r="F89" s="74">
        <f t="shared" si="155"/>
        <v>-4.8228513307340223E-2</v>
      </c>
      <c r="G89" s="74">
        <f t="shared" si="155"/>
        <v>-3.557817146207648E-2</v>
      </c>
      <c r="H89" s="74">
        <f t="shared" si="155"/>
        <v>-4.9965709806995197E-2</v>
      </c>
      <c r="I89" s="74">
        <f t="shared" si="155"/>
        <v>-8.5604178842782E-2</v>
      </c>
      <c r="J89" s="74">
        <f t="shared" si="155"/>
        <v>-3.5536418344054785E-2</v>
      </c>
      <c r="K89" s="74">
        <f t="shared" si="155"/>
        <v>-1.8637980333356577E-2</v>
      </c>
      <c r="L89" s="74">
        <f t="shared" si="155"/>
        <v>-2.7058510284230845E-2</v>
      </c>
      <c r="M89" s="74">
        <f t="shared" si="155"/>
        <v>-2.9818503183149762E-2</v>
      </c>
      <c r="N89" s="74">
        <f t="shared" si="155"/>
        <v>-4.0710314738884916E-2</v>
      </c>
      <c r="O89" s="74">
        <f t="shared" si="155"/>
        <v>-3.1188097338095168E-2</v>
      </c>
      <c r="P89" s="74">
        <f t="shared" si="155"/>
        <v>-4.9824337272436917E-2</v>
      </c>
      <c r="Q89" s="74">
        <f t="shared" si="155"/>
        <v>-4.144828965793159E-2</v>
      </c>
      <c r="R89" s="74">
        <f t="shared" si="155"/>
        <v>-0.17365782878248251</v>
      </c>
      <c r="S89" s="74">
        <f t="shared" si="155"/>
        <v>-9.0263354656475864E-2</v>
      </c>
      <c r="T89" s="74">
        <f t="shared" si="155"/>
        <v>-4.2113259896616071E-3</v>
      </c>
      <c r="U89" s="74">
        <f t="shared" si="155"/>
        <v>-3.5367613071309513E-2</v>
      </c>
      <c r="V89" s="74">
        <f t="shared" si="155"/>
        <v>-4.1550816816028451E-2</v>
      </c>
      <c r="W89" s="74">
        <f t="shared" si="155"/>
        <v>-3.8910026719860123E-2</v>
      </c>
      <c r="X89" s="74">
        <f t="shared" si="155"/>
        <v>-3.1432497423565783E-2</v>
      </c>
      <c r="Y89" s="74">
        <f t="shared" si="155"/>
        <v>-0.14019036375710175</v>
      </c>
      <c r="Z89" s="74">
        <f t="shared" si="155"/>
        <v>-2.8095582910934107E-2</v>
      </c>
      <c r="AA89" s="74">
        <f t="shared" si="155"/>
        <v>-0.2524652699261648</v>
      </c>
      <c r="AB89" s="74">
        <f t="shared" si="155"/>
        <v>-0.12198877510113341</v>
      </c>
      <c r="AC89" s="74">
        <f t="shared" si="155"/>
        <v>-7.1812769451857925E-2</v>
      </c>
      <c r="AD89" s="74">
        <f t="shared" si="155"/>
        <v>-0.19904868408958604</v>
      </c>
      <c r="AE89" s="74">
        <f t="shared" si="155"/>
        <v>-0.28624836135881793</v>
      </c>
      <c r="AF89" s="74">
        <f t="shared" si="155"/>
        <v>-0.42133556517680387</v>
      </c>
      <c r="AG89" s="74">
        <f t="shared" si="155"/>
        <v>-0.24573724483041648</v>
      </c>
      <c r="AH89" s="74">
        <f t="shared" si="155"/>
        <v>-0.19738118919967981</v>
      </c>
      <c r="AI89" s="74">
        <f t="shared" ref="AI89:BL89" si="156">AI82/AI29</f>
        <v>-0.2781954887218045</v>
      </c>
      <c r="AJ89" s="74">
        <f t="shared" si="156"/>
        <v>-0.26821005081874649</v>
      </c>
      <c r="AK89" s="74">
        <f t="shared" si="156"/>
        <v>-0.11816762103071317</v>
      </c>
      <c r="AL89" s="74">
        <f t="shared" si="156"/>
        <v>-0.23447946513849094</v>
      </c>
      <c r="AM89" s="74">
        <f t="shared" si="156"/>
        <v>-0.13585858585858585</v>
      </c>
      <c r="AN89" s="74">
        <f t="shared" si="156"/>
        <v>-0.1095890410958904</v>
      </c>
      <c r="AO89" s="74">
        <f t="shared" si="156"/>
        <v>-0.11324786324786325</v>
      </c>
      <c r="AP89" s="74">
        <f t="shared" si="156"/>
        <v>-0.35879723689557091</v>
      </c>
      <c r="AQ89" s="74">
        <f t="shared" si="156"/>
        <v>-0.13040031708283789</v>
      </c>
      <c r="AR89" s="74">
        <f t="shared" si="156"/>
        <v>-7.560790273556231E-2</v>
      </c>
      <c r="AS89" s="74">
        <f t="shared" si="156"/>
        <v>-9.9056603773584898E-2</v>
      </c>
      <c r="AT89" s="74">
        <f t="shared" si="156"/>
        <v>-0.1384465388365291</v>
      </c>
      <c r="AU89" s="74">
        <f t="shared" si="156"/>
        <v>-5.3825321597833452E-2</v>
      </c>
      <c r="AV89" s="74">
        <f t="shared" si="156"/>
        <v>-6.3794255177020712E-2</v>
      </c>
      <c r="AW89" s="74">
        <f t="shared" si="156"/>
        <v>-9.9471830985915485E-2</v>
      </c>
      <c r="AX89" s="74">
        <f t="shared" si="156"/>
        <v>-0.18095753313497431</v>
      </c>
      <c r="AY89" s="74">
        <f t="shared" si="156"/>
        <v>-3.3510192683607928E-2</v>
      </c>
      <c r="AZ89" s="74">
        <f t="shared" si="156"/>
        <v>-4.5649432534678437E-2</v>
      </c>
      <c r="BA89" s="74">
        <f t="shared" si="156"/>
        <v>-5.1767968569447653E-2</v>
      </c>
      <c r="BB89" s="74">
        <f t="shared" si="156"/>
        <v>-6.1985092193016872E-2</v>
      </c>
      <c r="BC89" s="74">
        <f t="shared" si="156"/>
        <v>-5.4335521847407746E-2</v>
      </c>
      <c r="BD89" s="74">
        <f t="shared" si="156"/>
        <v>-5.0972364380757418E-2</v>
      </c>
      <c r="BE89" s="74">
        <f t="shared" si="156"/>
        <v>-5.3512320706141973E-2</v>
      </c>
      <c r="BF89" s="74">
        <f t="shared" si="156"/>
        <v>-9.3708165997322637E-2</v>
      </c>
      <c r="BG89" s="74">
        <f t="shared" si="156"/>
        <v>-2.7597117243803832E-2</v>
      </c>
      <c r="BH89" s="74">
        <f t="shared" si="156"/>
        <v>-3.5736290819470114E-2</v>
      </c>
      <c r="BI89" s="74">
        <f t="shared" si="156"/>
        <v>-4.4032280900467222E-2</v>
      </c>
      <c r="BJ89" s="74">
        <f t="shared" si="156"/>
        <v>-0.17966058440729873</v>
      </c>
      <c r="BK89" s="74">
        <f t="shared" si="156"/>
        <v>-3.6497308651700151E-2</v>
      </c>
      <c r="BL89" s="74">
        <f t="shared" si="156"/>
        <v>-4.6526131969564677E-2</v>
      </c>
      <c r="BS89" s="74">
        <f t="shared" ref="BS89:CG89" si="157">BS82/BS29</f>
        <v>-7.2995960723785752E-2</v>
      </c>
      <c r="BT89" s="74">
        <f t="shared" si="157"/>
        <v>-5.199911056020514E-2</v>
      </c>
      <c r="BU89" s="74">
        <f t="shared" si="157"/>
        <v>-2.9572938757669455E-2</v>
      </c>
      <c r="BV89" s="74">
        <f t="shared" si="157"/>
        <v>-4.9653944086356192E-2</v>
      </c>
      <c r="BW89" s="74">
        <f t="shared" si="157"/>
        <v>-4.0198110597855947E-2</v>
      </c>
      <c r="BX89" s="74">
        <f t="shared" si="157"/>
        <v>-6.02606617637041E-2</v>
      </c>
      <c r="BY89" s="74">
        <f t="shared" si="157"/>
        <v>-0.15912031047865458</v>
      </c>
      <c r="BZ89" s="74">
        <f t="shared" si="157"/>
        <v>-0.27917701312522175</v>
      </c>
      <c r="CA89" s="74">
        <f t="shared" si="157"/>
        <v>-0.22175562178271477</v>
      </c>
      <c r="CB89" s="74">
        <f t="shared" si="157"/>
        <v>-0.1840999557717824</v>
      </c>
      <c r="CC89" s="74">
        <f t="shared" si="157"/>
        <v>-0.11166727338915179</v>
      </c>
      <c r="CD89" s="74">
        <f t="shared" si="157"/>
        <v>-0.10403738604152303</v>
      </c>
      <c r="CE89" s="74">
        <f t="shared" si="157"/>
        <v>-4.9555123445878264E-2</v>
      </c>
      <c r="CF89" s="74">
        <f t="shared" si="157"/>
        <v>-6.468430198880093E-2</v>
      </c>
      <c r="CG89" s="74">
        <f t="shared" si="157"/>
        <v>-7.7840552416823611E-2</v>
      </c>
    </row>
  </sheetData>
  <mergeCells count="1">
    <mergeCell ref="CZ64:DA64"/>
  </mergeCells>
  <conditionalFormatting sqref="CZ6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Sell",CZ64)))</formula>
    </cfRule>
    <cfRule type="containsText" dxfId="3" priority="3" operator="containsText" text="Sell">
      <formula>NOT(ISERROR(SEARCH("Sell",CZ64)))</formula>
    </cfRule>
    <cfRule type="containsText" dxfId="2" priority="4" operator="containsText" text="Hold">
      <formula>NOT(ISERROR(SEARCH("Hold",CZ64)))</formula>
    </cfRule>
    <cfRule type="beginsWith" dxfId="1" priority="5" operator="beginsWith" text="Buy">
      <formula>LEFT(CZ64,LEN("Buy"))="Buy"</formula>
    </cfRule>
    <cfRule type="beginsWith" dxfId="0" priority="6" operator="beginsWith" text="Strong">
      <formula>LEFT(CZ64,LEN("Strong"))="Strong"</formula>
    </cfRule>
  </conditionalFormatting>
  <pageMargins left="0.7" right="0.7" top="0.75" bottom="0.75" header="0.3" footer="0.3"/>
  <ignoredErrors>
    <ignoredError sqref="CI10:CQ10 CD8:CF8 CD9:CF9 CG8:CG9 BI14:BK14 BS11:CF11 CG10:CG11 BK19 CD10:CF10 BS12:CB12" evalError="1"/>
    <ignoredError sqref="BS29:CG41 BS81:CG85 AX30:AX43 BS43:CG43" formulaRange="1"/>
    <ignoredError sqref="BS42:CG42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L1557"/>
  <sheetViews>
    <sheetView topLeftCell="P123" zoomScale="70" zoomScaleNormal="70" workbookViewId="0">
      <selection activeCell="AA52" sqref="AA52"/>
    </sheetView>
  </sheetViews>
  <sheetFormatPr defaultColWidth="9.140625" defaultRowHeight="14.25"/>
  <cols>
    <col min="1" max="7" width="9.140625" style="1" hidden="1" customWidth="1"/>
    <col min="8" max="8" width="3.140625" style="1" hidden="1" customWidth="1"/>
    <col min="9" max="15" width="9.140625" style="1" hidden="1" customWidth="1"/>
    <col min="16" max="16" width="3.140625" style="1" customWidth="1"/>
    <col min="17" max="39" width="9.140625" style="1"/>
    <col min="40" max="40" width="2.85546875" style="1" customWidth="1"/>
    <col min="41" max="16384" width="9.140625" style="1"/>
  </cols>
  <sheetData>
    <row r="1" spans="16:90">
      <c r="CL1" s="1">
        <v>0</v>
      </c>
    </row>
    <row r="2" spans="16:90" ht="15">
      <c r="P2" s="2" t="s">
        <v>94</v>
      </c>
      <c r="AO2" s="2" t="s">
        <v>1213</v>
      </c>
    </row>
    <row r="32" spans="17:18">
      <c r="Q32" s="1" t="s">
        <v>14</v>
      </c>
      <c r="R32" s="1" t="s">
        <v>15</v>
      </c>
    </row>
    <row r="33" spans="16:41">
      <c r="R33" s="1" t="s">
        <v>16</v>
      </c>
    </row>
    <row r="34" spans="16:41">
      <c r="R34" s="1" t="s">
        <v>17</v>
      </c>
    </row>
    <row r="35" spans="16:41" ht="15">
      <c r="AO35" s="2" t="s">
        <v>1214</v>
      </c>
    </row>
    <row r="36" spans="16:41" ht="15">
      <c r="P36" s="2" t="s">
        <v>1212</v>
      </c>
      <c r="AO36" s="2" t="s">
        <v>75</v>
      </c>
    </row>
    <row r="37" spans="16:41" ht="15">
      <c r="Q37" s="2"/>
    </row>
    <row r="65" spans="16:41">
      <c r="Q65" s="1" t="s">
        <v>14</v>
      </c>
      <c r="R65" s="1" t="s">
        <v>15</v>
      </c>
    </row>
    <row r="66" spans="16:41">
      <c r="R66" s="1" t="s">
        <v>16</v>
      </c>
    </row>
    <row r="67" spans="16:41">
      <c r="R67" s="1" t="s">
        <v>17</v>
      </c>
    </row>
    <row r="69" spans="16:41" ht="15">
      <c r="P69" s="2" t="s">
        <v>1215</v>
      </c>
      <c r="AO69" s="2" t="s">
        <v>76</v>
      </c>
    </row>
    <row r="101" spans="16:41">
      <c r="Q101" s="1" t="s">
        <v>14</v>
      </c>
      <c r="R101" s="1" t="s">
        <v>15</v>
      </c>
    </row>
    <row r="102" spans="16:41">
      <c r="R102" s="1" t="s">
        <v>16</v>
      </c>
    </row>
    <row r="103" spans="16:41">
      <c r="R103" s="1" t="s">
        <v>17</v>
      </c>
    </row>
    <row r="105" spans="16:41" ht="15">
      <c r="P105" s="2" t="s">
        <v>97</v>
      </c>
      <c r="AO105" s="2" t="s">
        <v>77</v>
      </c>
    </row>
    <row r="134" spans="16:41">
      <c r="Q134" s="1" t="s">
        <v>14</v>
      </c>
      <c r="R134" s="1" t="s">
        <v>15</v>
      </c>
    </row>
    <row r="135" spans="16:41">
      <c r="R135" s="1" t="s">
        <v>16</v>
      </c>
    </row>
    <row r="136" spans="16:41">
      <c r="R136" s="1" t="s">
        <v>17</v>
      </c>
    </row>
    <row r="138" spans="16:41" ht="15">
      <c r="P138" s="2" t="s">
        <v>96</v>
      </c>
      <c r="AO138" s="2" t="s">
        <v>78</v>
      </c>
    </row>
    <row r="154" ht="15" customHeight="1"/>
    <row r="167" spans="17:18">
      <c r="Q167" s="1" t="s">
        <v>14</v>
      </c>
      <c r="R167" s="1" t="s">
        <v>15</v>
      </c>
    </row>
    <row r="168" spans="17:18">
      <c r="R168" s="1" t="s">
        <v>16</v>
      </c>
    </row>
    <row r="169" spans="17:18">
      <c r="R169" s="1" t="s">
        <v>17</v>
      </c>
    </row>
    <row r="184" spans="1:15">
      <c r="A184" s="1" t="s">
        <v>114</v>
      </c>
      <c r="I184" s="1" t="s">
        <v>1210</v>
      </c>
    </row>
    <row r="185" spans="1:15">
      <c r="A185" s="1" t="s">
        <v>1209</v>
      </c>
      <c r="I185" s="1" t="s">
        <v>1209</v>
      </c>
    </row>
    <row r="186" spans="1:15">
      <c r="A186" s="24" t="s">
        <v>18</v>
      </c>
      <c r="B186" s="24" t="s">
        <v>19</v>
      </c>
      <c r="C186" s="24" t="s">
        <v>20</v>
      </c>
      <c r="D186" s="24" t="s">
        <v>21</v>
      </c>
      <c r="E186" s="24" t="s">
        <v>22</v>
      </c>
      <c r="F186" s="24" t="s">
        <v>23</v>
      </c>
      <c r="G186" s="24" t="s">
        <v>24</v>
      </c>
      <c r="I186" s="24" t="s">
        <v>18</v>
      </c>
      <c r="J186" s="24" t="s">
        <v>19</v>
      </c>
      <c r="K186" s="24" t="s">
        <v>20</v>
      </c>
      <c r="L186" s="24" t="s">
        <v>21</v>
      </c>
      <c r="M186" s="24" t="s">
        <v>22</v>
      </c>
      <c r="N186" s="24" t="s">
        <v>23</v>
      </c>
      <c r="O186" s="24" t="s">
        <v>24</v>
      </c>
    </row>
    <row r="187" spans="1:15">
      <c r="A187" s="88">
        <v>715.59</v>
      </c>
      <c r="B187" s="88">
        <v>716.43499999999995</v>
      </c>
      <c r="C187" s="88">
        <v>712.54</v>
      </c>
      <c r="D187" s="88">
        <v>713.54</v>
      </c>
      <c r="E187" s="89">
        <v>4345835.7269000001</v>
      </c>
      <c r="F187" s="87" t="s">
        <v>206</v>
      </c>
      <c r="G187" s="25">
        <f>A187/D187-1</f>
        <v>2.872999411385635E-3</v>
      </c>
      <c r="I187" s="88">
        <v>135.28</v>
      </c>
      <c r="J187" s="88">
        <v>137.16999999999999</v>
      </c>
      <c r="K187" s="88">
        <v>133.72</v>
      </c>
      <c r="L187" s="88">
        <v>134.19</v>
      </c>
      <c r="M187" s="89">
        <v>865360.19909999997</v>
      </c>
      <c r="N187" s="87" t="s">
        <v>206</v>
      </c>
      <c r="O187" s="25">
        <f>I187/L187-1</f>
        <v>8.1228109397124548E-3</v>
      </c>
    </row>
    <row r="188" spans="1:15">
      <c r="A188" s="88">
        <v>711.28</v>
      </c>
      <c r="B188" s="88">
        <v>714.27</v>
      </c>
      <c r="C188" s="88">
        <v>708.16</v>
      </c>
      <c r="D188" s="88">
        <v>712.25</v>
      </c>
      <c r="E188" s="89">
        <v>4763330.7484999998</v>
      </c>
      <c r="F188" s="87" t="s">
        <v>207</v>
      </c>
      <c r="G188" s="25">
        <f t="shared" ref="G188:G251" si="0">A188/D188-1</f>
        <v>-1.3618813618814229E-3</v>
      </c>
      <c r="I188" s="88">
        <v>134.47</v>
      </c>
      <c r="J188" s="88">
        <v>134.6</v>
      </c>
      <c r="K188" s="88">
        <v>132.85499999999999</v>
      </c>
      <c r="L188" s="88">
        <v>133.96</v>
      </c>
      <c r="M188" s="89">
        <v>1557440.6466000001</v>
      </c>
      <c r="N188" s="87" t="s">
        <v>207</v>
      </c>
      <c r="O188" s="25">
        <f t="shared" ref="O188:O251" si="1">I188/L188-1</f>
        <v>3.8071065989846442E-3</v>
      </c>
    </row>
    <row r="189" spans="1:15">
      <c r="A189" s="88">
        <v>714.34</v>
      </c>
      <c r="B189" s="88">
        <v>715.05499999999995</v>
      </c>
      <c r="C189" s="88">
        <v>711.06</v>
      </c>
      <c r="D189" s="88">
        <v>713.06</v>
      </c>
      <c r="E189" s="89">
        <v>4675948.0927999998</v>
      </c>
      <c r="F189" s="87" t="s">
        <v>208</v>
      </c>
      <c r="G189" s="25">
        <f t="shared" si="0"/>
        <v>1.7950803578943297E-3</v>
      </c>
      <c r="I189" s="88">
        <v>134.36000000000001</v>
      </c>
      <c r="J189" s="88">
        <v>137.1</v>
      </c>
      <c r="K189" s="88">
        <v>133.33000000000001</v>
      </c>
      <c r="L189" s="88">
        <v>134.94</v>
      </c>
      <c r="M189" s="89">
        <v>1032906.1176999999</v>
      </c>
      <c r="N189" s="87" t="s">
        <v>208</v>
      </c>
      <c r="O189" s="25">
        <f t="shared" si="1"/>
        <v>-4.2982066103451899E-3</v>
      </c>
    </row>
    <row r="190" spans="1:15">
      <c r="A190" s="88">
        <v>716.2</v>
      </c>
      <c r="B190" s="88">
        <v>718.47</v>
      </c>
      <c r="C190" s="88">
        <v>715.09</v>
      </c>
      <c r="D190" s="88">
        <v>715.21</v>
      </c>
      <c r="E190" s="89">
        <v>4568431.3262999998</v>
      </c>
      <c r="F190" s="87" t="s">
        <v>209</v>
      </c>
      <c r="G190" s="25">
        <f t="shared" si="0"/>
        <v>1.3842088337692182E-3</v>
      </c>
      <c r="I190" s="88">
        <v>134.72999999999999</v>
      </c>
      <c r="J190" s="88">
        <v>136.16</v>
      </c>
      <c r="K190" s="88">
        <v>133.72499999999999</v>
      </c>
      <c r="L190" s="88">
        <v>135.77000000000001</v>
      </c>
      <c r="M190" s="89">
        <v>1712375.2187999999</v>
      </c>
      <c r="N190" s="87" t="s">
        <v>209</v>
      </c>
      <c r="O190" s="25">
        <f t="shared" si="1"/>
        <v>-7.6600132577153701E-3</v>
      </c>
    </row>
    <row r="191" spans="1:15">
      <c r="A191" s="88">
        <v>712.32</v>
      </c>
      <c r="B191" s="88">
        <v>713.85829999999999</v>
      </c>
      <c r="C191" s="88">
        <v>707.42</v>
      </c>
      <c r="D191" s="88">
        <v>707.44</v>
      </c>
      <c r="E191" s="89">
        <v>6172916.9342999998</v>
      </c>
      <c r="F191" s="87" t="s">
        <v>210</v>
      </c>
      <c r="G191" s="25">
        <f t="shared" si="0"/>
        <v>6.8981115006219174E-3</v>
      </c>
      <c r="I191" s="88">
        <v>135.62</v>
      </c>
      <c r="J191" s="88">
        <v>135.81</v>
      </c>
      <c r="K191" s="88">
        <v>131.22499999999999</v>
      </c>
      <c r="L191" s="88">
        <v>131.69</v>
      </c>
      <c r="M191" s="89">
        <v>1940340.7071</v>
      </c>
      <c r="N191" s="87" t="s">
        <v>210</v>
      </c>
      <c r="O191" s="25">
        <f t="shared" si="1"/>
        <v>2.9842812666109886E-2</v>
      </c>
    </row>
    <row r="192" spans="1:15">
      <c r="A192" s="88">
        <v>707.54</v>
      </c>
      <c r="B192" s="88">
        <v>710.2</v>
      </c>
      <c r="C192" s="88">
        <v>705.12</v>
      </c>
      <c r="D192" s="88">
        <v>708.31</v>
      </c>
      <c r="E192" s="89">
        <v>6612533.0992000001</v>
      </c>
      <c r="F192" s="87" t="s">
        <v>211</v>
      </c>
      <c r="G192" s="25">
        <f t="shared" si="0"/>
        <v>-1.0870946337055987E-3</v>
      </c>
      <c r="I192" s="88">
        <v>131.69</v>
      </c>
      <c r="J192" s="88">
        <v>132.53</v>
      </c>
      <c r="K192" s="88">
        <v>128.01</v>
      </c>
      <c r="L192" s="88">
        <v>131.82499999999999</v>
      </c>
      <c r="M192" s="89">
        <v>3060814.3690999998</v>
      </c>
      <c r="N192" s="87" t="s">
        <v>211</v>
      </c>
      <c r="O192" s="25">
        <f t="shared" si="1"/>
        <v>-1.0240849611226066E-3</v>
      </c>
    </row>
    <row r="193" spans="1:21">
      <c r="A193" s="88">
        <v>702.35</v>
      </c>
      <c r="B193" s="88">
        <v>703.72500000000002</v>
      </c>
      <c r="C193" s="88">
        <v>697.47</v>
      </c>
      <c r="D193" s="88">
        <v>702.55499999999995</v>
      </c>
      <c r="E193" s="89">
        <v>8433749.3027999997</v>
      </c>
      <c r="F193" s="87" t="s">
        <v>212</v>
      </c>
      <c r="G193" s="25">
        <f t="shared" si="0"/>
        <v>-2.9179210168583936E-4</v>
      </c>
      <c r="I193" s="88">
        <v>130.79</v>
      </c>
      <c r="J193" s="88">
        <v>132.01499999999999</v>
      </c>
      <c r="K193" s="88">
        <v>128.745</v>
      </c>
      <c r="L193" s="88">
        <v>131.78</v>
      </c>
      <c r="M193" s="89">
        <v>3257419.9334</v>
      </c>
      <c r="N193" s="87" t="s">
        <v>212</v>
      </c>
      <c r="O193" s="25">
        <f t="shared" si="1"/>
        <v>-7.5125208681136035E-3</v>
      </c>
    </row>
    <row r="194" spans="1:21">
      <c r="A194" s="88">
        <v>700.86</v>
      </c>
      <c r="B194" s="88">
        <v>707.2</v>
      </c>
      <c r="C194" s="88">
        <v>700.56</v>
      </c>
      <c r="D194" s="88">
        <v>704.58</v>
      </c>
      <c r="E194" s="89">
        <v>9876125.1484999992</v>
      </c>
      <c r="F194" s="87" t="s">
        <v>213</v>
      </c>
      <c r="G194" s="25">
        <f t="shared" si="0"/>
        <v>-5.2797411223708401E-3</v>
      </c>
      <c r="I194" s="88">
        <v>130.47</v>
      </c>
      <c r="J194" s="88">
        <v>133.14500000000001</v>
      </c>
      <c r="K194" s="88">
        <v>130.1</v>
      </c>
      <c r="L194" s="88">
        <v>132.93</v>
      </c>
      <c r="M194" s="89">
        <v>1416042.2796</v>
      </c>
      <c r="N194" s="87" t="s">
        <v>213</v>
      </c>
      <c r="O194" s="25">
        <f t="shared" si="1"/>
        <v>-1.8505980591288718E-2</v>
      </c>
    </row>
    <row r="195" spans="1:21">
      <c r="A195" s="88">
        <v>702.46</v>
      </c>
      <c r="B195" s="88">
        <v>705</v>
      </c>
      <c r="C195" s="88">
        <v>700.74</v>
      </c>
      <c r="D195" s="88">
        <v>704.82</v>
      </c>
      <c r="E195" s="89">
        <v>7643258.5592</v>
      </c>
      <c r="F195" s="87" t="s">
        <v>214</v>
      </c>
      <c r="G195" s="25">
        <f t="shared" si="0"/>
        <v>-3.3483726341477782E-3</v>
      </c>
      <c r="I195" s="88">
        <v>132.84</v>
      </c>
      <c r="J195" s="88">
        <v>133.49</v>
      </c>
      <c r="K195" s="88">
        <v>130.80000000000001</v>
      </c>
      <c r="L195" s="88">
        <v>132.58000000000001</v>
      </c>
      <c r="M195" s="89">
        <v>1366136.5593000001</v>
      </c>
      <c r="N195" s="87" t="s">
        <v>214</v>
      </c>
      <c r="O195" s="25">
        <f t="shared" si="1"/>
        <v>1.9610801025795599E-3</v>
      </c>
    </row>
    <row r="196" spans="1:21">
      <c r="A196" s="88">
        <v>703.61</v>
      </c>
      <c r="B196" s="88">
        <v>707.33</v>
      </c>
      <c r="C196" s="88">
        <v>701.97</v>
      </c>
      <c r="D196" s="88">
        <v>706.29</v>
      </c>
      <c r="E196" s="89">
        <v>8539385.1866999995</v>
      </c>
      <c r="F196" s="87" t="s">
        <v>215</v>
      </c>
      <c r="G196" s="25">
        <f t="shared" si="0"/>
        <v>-3.7944753571478307E-3</v>
      </c>
      <c r="I196" s="88">
        <v>133.11000000000001</v>
      </c>
      <c r="J196" s="88">
        <v>135.4</v>
      </c>
      <c r="K196" s="88">
        <v>130.38499999999999</v>
      </c>
      <c r="L196" s="88">
        <v>134.44</v>
      </c>
      <c r="M196" s="89">
        <v>1724759.4476999999</v>
      </c>
      <c r="N196" s="87" t="s">
        <v>215</v>
      </c>
      <c r="O196" s="25">
        <f t="shared" si="1"/>
        <v>-9.8928890211245069E-3</v>
      </c>
    </row>
    <row r="197" spans="1:21">
      <c r="A197" s="88">
        <v>708.96740002961099</v>
      </c>
      <c r="B197" s="88">
        <v>709.82020764793049</v>
      </c>
      <c r="C197" s="88">
        <v>704.36423376230744</v>
      </c>
      <c r="D197" s="88">
        <v>706.6234258739961</v>
      </c>
      <c r="E197" s="89">
        <v>5482247.9407130741</v>
      </c>
      <c r="F197" s="87" t="s">
        <v>216</v>
      </c>
      <c r="G197" s="25">
        <f t="shared" si="0"/>
        <v>3.3171475354298874E-3</v>
      </c>
      <c r="I197" s="88">
        <v>136.13</v>
      </c>
      <c r="J197" s="88">
        <v>138.06</v>
      </c>
      <c r="K197" s="88">
        <v>134.47999999999999</v>
      </c>
      <c r="L197" s="88">
        <v>135.78</v>
      </c>
      <c r="M197" s="89">
        <v>1055965.7466</v>
      </c>
      <c r="N197" s="87" t="s">
        <v>216</v>
      </c>
      <c r="O197" s="25">
        <f t="shared" si="1"/>
        <v>2.57769921932538E-3</v>
      </c>
    </row>
    <row r="198" spans="1:21">
      <c r="A198" s="88">
        <v>705.17714394819097</v>
      </c>
      <c r="B198" s="88">
        <v>706.7680540665765</v>
      </c>
      <c r="C198" s="88">
        <v>701.54548016070419</v>
      </c>
      <c r="D198" s="88">
        <v>702.26463138036308</v>
      </c>
      <c r="E198" s="89">
        <v>9443877.9588237461</v>
      </c>
      <c r="F198" s="87" t="s">
        <v>217</v>
      </c>
      <c r="G198" s="25">
        <f t="shared" si="0"/>
        <v>4.1473148976662877E-3</v>
      </c>
      <c r="I198" s="88">
        <v>135.78</v>
      </c>
      <c r="J198" s="88">
        <v>139.3511</v>
      </c>
      <c r="K198" s="88">
        <v>134.55009999999999</v>
      </c>
      <c r="L198" s="88">
        <v>136.80000000000001</v>
      </c>
      <c r="M198" s="89">
        <v>1085511.8995000001</v>
      </c>
      <c r="N198" s="87" t="s">
        <v>217</v>
      </c>
      <c r="O198" s="25">
        <f t="shared" si="1"/>
        <v>-7.4561403508772717E-3</v>
      </c>
    </row>
    <row r="199" spans="1:21">
      <c r="A199" s="88">
        <v>705.78557979284005</v>
      </c>
      <c r="B199" s="88">
        <v>710.55332296894198</v>
      </c>
      <c r="C199" s="88">
        <v>704.55215066908102</v>
      </c>
      <c r="D199" s="88">
        <v>710.30895119527145</v>
      </c>
      <c r="E199" s="89">
        <v>13844441.704714816</v>
      </c>
      <c r="F199" s="87" t="s">
        <v>218</v>
      </c>
      <c r="G199" s="25">
        <f t="shared" si="0"/>
        <v>-6.3681745736411388E-3</v>
      </c>
      <c r="I199" s="88">
        <v>136.49</v>
      </c>
      <c r="J199" s="88">
        <v>139.82</v>
      </c>
      <c r="K199" s="88">
        <v>134.72999999999999</v>
      </c>
      <c r="L199" s="88">
        <v>139.07</v>
      </c>
      <c r="M199" s="89">
        <v>1021320.7097</v>
      </c>
      <c r="N199" s="87" t="s">
        <v>218</v>
      </c>
      <c r="O199" s="25">
        <f t="shared" si="1"/>
        <v>-1.8551808441791828E-2</v>
      </c>
    </row>
    <row r="200" spans="1:21">
      <c r="A200" s="88">
        <v>710.95229729330197</v>
      </c>
      <c r="B200" s="88">
        <v>712.46839972586997</v>
      </c>
      <c r="C200" s="88">
        <v>710.154348644582</v>
      </c>
      <c r="D200" s="88">
        <v>711.45101519875197</v>
      </c>
      <c r="E200" s="89">
        <v>20783008.039680563</v>
      </c>
      <c r="F200" s="87" t="s">
        <v>219</v>
      </c>
      <c r="G200" s="25">
        <f t="shared" si="0"/>
        <v>-7.0098698968146245E-4</v>
      </c>
      <c r="I200" s="88">
        <v>139.38</v>
      </c>
      <c r="J200" s="88">
        <v>142.04249999999999</v>
      </c>
      <c r="K200" s="88">
        <v>137.6</v>
      </c>
      <c r="L200" s="88">
        <v>141.93</v>
      </c>
      <c r="M200" s="89">
        <v>1246949.4328999999</v>
      </c>
      <c r="N200" s="87" t="s">
        <v>219</v>
      </c>
      <c r="O200" s="25">
        <f t="shared" si="1"/>
        <v>-1.796660325512589E-2</v>
      </c>
      <c r="Q200" s="26"/>
      <c r="R200" s="26" t="s">
        <v>25</v>
      </c>
      <c r="S200" s="27">
        <f>MIN(O187:O1189)</f>
        <v>-0.11815276093904992</v>
      </c>
    </row>
    <row r="201" spans="1:21">
      <c r="A201" s="88">
        <v>710.95229729330197</v>
      </c>
      <c r="B201" s="88">
        <v>712.24397666841753</v>
      </c>
      <c r="C201" s="88">
        <v>704.14978506296404</v>
      </c>
      <c r="D201" s="88">
        <v>704.37919529947101</v>
      </c>
      <c r="E201" s="89">
        <v>8882600.7463133484</v>
      </c>
      <c r="F201" s="87" t="s">
        <v>220</v>
      </c>
      <c r="G201" s="25">
        <f t="shared" si="0"/>
        <v>9.3317662385477007E-3</v>
      </c>
      <c r="I201" s="88">
        <v>140.53</v>
      </c>
      <c r="J201" s="88">
        <v>141.49</v>
      </c>
      <c r="K201" s="88">
        <v>138.59</v>
      </c>
      <c r="L201" s="88">
        <v>140.6</v>
      </c>
      <c r="M201" s="89">
        <v>1335831.6251999999</v>
      </c>
      <c r="N201" s="87" t="s">
        <v>220</v>
      </c>
      <c r="O201" s="25">
        <f t="shared" si="1"/>
        <v>-4.9786628733994309E-4</v>
      </c>
      <c r="Q201" s="26"/>
      <c r="R201" s="26" t="s">
        <v>26</v>
      </c>
      <c r="S201" s="27">
        <f>MAX(O187:O1189)</f>
        <v>8.545186157126472E-2</v>
      </c>
    </row>
    <row r="202" spans="1:21">
      <c r="A202" s="88">
        <v>699.98050337340192</v>
      </c>
      <c r="B202" s="88">
        <v>700.38945205587106</v>
      </c>
      <c r="C202" s="88">
        <v>696.70891391365001</v>
      </c>
      <c r="D202" s="88">
        <v>699.7810162112221</v>
      </c>
      <c r="E202" s="89">
        <v>9618703.4225722924</v>
      </c>
      <c r="F202" s="87" t="s">
        <v>221</v>
      </c>
      <c r="G202" s="25">
        <f t="shared" si="0"/>
        <v>2.8507084010342965E-4</v>
      </c>
      <c r="I202" s="88">
        <v>140.6</v>
      </c>
      <c r="J202" s="88">
        <v>142.16999999999999</v>
      </c>
      <c r="K202" s="88">
        <v>139.96</v>
      </c>
      <c r="L202" s="88">
        <v>141.25</v>
      </c>
      <c r="M202" s="89">
        <v>2506360.6137999999</v>
      </c>
      <c r="N202" s="87" t="s">
        <v>221</v>
      </c>
      <c r="O202" s="25">
        <f t="shared" si="1"/>
        <v>-4.6017699115045163E-3</v>
      </c>
      <c r="Q202" s="26"/>
      <c r="R202" s="26" t="s">
        <v>27</v>
      </c>
      <c r="S202" s="27">
        <f>AVERAGE(O187:O1189)</f>
        <v>-9.5086781574553383E-4</v>
      </c>
    </row>
    <row r="203" spans="1:21">
      <c r="A203" s="88">
        <v>699.23242651522696</v>
      </c>
      <c r="B203" s="88">
        <v>700.08024695449194</v>
      </c>
      <c r="C203" s="88">
        <v>696.81863185284897</v>
      </c>
      <c r="D203" s="88">
        <v>699.80096492744008</v>
      </c>
      <c r="E203" s="89">
        <v>9928828.2189949192</v>
      </c>
      <c r="F203" s="87" t="s">
        <v>222</v>
      </c>
      <c r="G203" s="25">
        <f t="shared" si="0"/>
        <v>-8.1242873432174623E-4</v>
      </c>
      <c r="I203" s="88">
        <v>141.55000000000001</v>
      </c>
      <c r="J203" s="88">
        <v>141.80000000000001</v>
      </c>
      <c r="K203" s="88">
        <v>138.51</v>
      </c>
      <c r="L203" s="88">
        <v>140.38</v>
      </c>
      <c r="M203" s="89">
        <v>1197295.8185000001</v>
      </c>
      <c r="N203" s="87" t="s">
        <v>222</v>
      </c>
      <c r="O203" s="25">
        <f t="shared" si="1"/>
        <v>8.3345205869782557E-3</v>
      </c>
      <c r="Q203" s="26"/>
      <c r="R203" s="26" t="s">
        <v>28</v>
      </c>
      <c r="S203" s="27">
        <f>MEDIAN(O187:O1189)</f>
        <v>-3.8705137227312836E-4</v>
      </c>
    </row>
    <row r="204" spans="1:21" ht="15">
      <c r="A204" s="88">
        <v>691.46240154831605</v>
      </c>
      <c r="B204" s="88">
        <v>698.30481121109005</v>
      </c>
      <c r="C204" s="88">
        <v>687.27317114253594</v>
      </c>
      <c r="D204" s="88">
        <v>696.37976009605291</v>
      </c>
      <c r="E204" s="89">
        <v>14204832.559616694</v>
      </c>
      <c r="F204" s="87" t="s">
        <v>223</v>
      </c>
      <c r="G204" s="25">
        <f t="shared" si="0"/>
        <v>-7.0613174441752635E-3</v>
      </c>
      <c r="I204" s="88">
        <v>140.6</v>
      </c>
      <c r="J204" s="88">
        <v>143.44999999999999</v>
      </c>
      <c r="K204" s="88">
        <v>138.11000000000001</v>
      </c>
      <c r="L204" s="88">
        <v>138.86000000000001</v>
      </c>
      <c r="M204" s="89">
        <v>1347087.21</v>
      </c>
      <c r="N204" s="87" t="s">
        <v>223</v>
      </c>
      <c r="O204" s="25">
        <f t="shared" si="1"/>
        <v>1.2530606366123909E-2</v>
      </c>
      <c r="Q204" s="26"/>
      <c r="R204" s="26" t="s">
        <v>29</v>
      </c>
      <c r="S204" s="27">
        <f>_xlfn.STDEV.P(O187:O1189)</f>
        <v>2.1151738274952963E-2</v>
      </c>
      <c r="U204" s="2"/>
    </row>
    <row r="205" spans="1:21" ht="15">
      <c r="A205" s="88">
        <v>694.41481154858002</v>
      </c>
      <c r="B205" s="88">
        <v>697.14778567044607</v>
      </c>
      <c r="C205" s="88">
        <v>693.30765779848105</v>
      </c>
      <c r="D205" s="88">
        <v>696.97822158259294</v>
      </c>
      <c r="E205" s="89">
        <v>9682716.0846426357</v>
      </c>
      <c r="F205" s="87" t="s">
        <v>224</v>
      </c>
      <c r="G205" s="25">
        <f t="shared" si="0"/>
        <v>-3.677891151594781E-3</v>
      </c>
      <c r="I205" s="88">
        <v>139.24</v>
      </c>
      <c r="J205" s="88">
        <v>140.28</v>
      </c>
      <c r="K205" s="88">
        <v>136.16</v>
      </c>
      <c r="L205" s="88">
        <v>137.59</v>
      </c>
      <c r="M205" s="89">
        <v>1495909.1788000001</v>
      </c>
      <c r="N205" s="87" t="s">
        <v>224</v>
      </c>
      <c r="O205" s="25">
        <f t="shared" si="1"/>
        <v>1.199215059233949E-2</v>
      </c>
      <c r="Q205" s="26"/>
      <c r="R205" s="28" t="s">
        <v>30</v>
      </c>
      <c r="S205" s="27">
        <f>3*S204</f>
        <v>6.3455214824858885E-2</v>
      </c>
      <c r="T205" s="26"/>
      <c r="U205" s="2" t="s">
        <v>88</v>
      </c>
    </row>
    <row r="206" spans="1:21" ht="15">
      <c r="A206" s="88">
        <v>697.50686256236997</v>
      </c>
      <c r="B206" s="88">
        <v>700.05032388016502</v>
      </c>
      <c r="C206" s="88">
        <v>694.93347817024801</v>
      </c>
      <c r="D206" s="88">
        <v>695.99076012980197</v>
      </c>
      <c r="E206" s="89">
        <v>6793476.3852982894</v>
      </c>
      <c r="F206" s="87" t="s">
        <v>225</v>
      </c>
      <c r="G206" s="25">
        <f t="shared" si="0"/>
        <v>2.1783370116654766E-3</v>
      </c>
      <c r="I206" s="88">
        <v>137.80000000000001</v>
      </c>
      <c r="J206" s="88">
        <v>137.98009999999999</v>
      </c>
      <c r="K206" s="88">
        <v>131.61000000000001</v>
      </c>
      <c r="L206" s="88">
        <v>134.22999999999999</v>
      </c>
      <c r="M206" s="89">
        <v>2342898.6919</v>
      </c>
      <c r="N206" s="87" t="s">
        <v>225</v>
      </c>
      <c r="O206" s="25">
        <f t="shared" si="1"/>
        <v>2.6596140952097391E-2</v>
      </c>
      <c r="Q206" s="26"/>
      <c r="R206" s="28" t="s">
        <v>31</v>
      </c>
      <c r="S206" s="55">
        <f>_xlfn.COVARIANCE.P(O187:O437,G187:G437)/_xlfn.VAR.P(G187:G437)</f>
        <v>0.45014703688436886</v>
      </c>
      <c r="T206" s="26"/>
      <c r="U206" s="2" t="s">
        <v>32</v>
      </c>
    </row>
    <row r="207" spans="1:21">
      <c r="A207" s="88">
        <v>700.7585033059039</v>
      </c>
      <c r="B207" s="88">
        <v>702.68894057431987</v>
      </c>
      <c r="C207" s="88">
        <v>700.13011874503695</v>
      </c>
      <c r="D207" s="88">
        <v>701.19737506269996</v>
      </c>
      <c r="E207" s="89">
        <v>5812878.2292951858</v>
      </c>
      <c r="F207" s="87" t="s">
        <v>226</v>
      </c>
      <c r="G207" s="25">
        <f t="shared" si="0"/>
        <v>-6.2588904694171887E-4</v>
      </c>
      <c r="I207" s="88">
        <v>131.96</v>
      </c>
      <c r="J207" s="88">
        <v>135.57499999999999</v>
      </c>
      <c r="K207" s="88">
        <v>131.24</v>
      </c>
      <c r="L207" s="88">
        <v>135.4</v>
      </c>
      <c r="M207" s="89">
        <v>1747977.9358000001</v>
      </c>
      <c r="N207" s="87" t="s">
        <v>226</v>
      </c>
      <c r="O207" s="25">
        <f t="shared" si="1"/>
        <v>-2.5406203840472652E-2</v>
      </c>
    </row>
    <row r="208" spans="1:21">
      <c r="A208" s="88">
        <v>694.86365766348501</v>
      </c>
      <c r="B208" s="88">
        <v>696.848554927176</v>
      </c>
      <c r="C208" s="88">
        <v>693.75859852858889</v>
      </c>
      <c r="D208" s="88">
        <v>694.99332431890195</v>
      </c>
      <c r="E208" s="89">
        <v>18360495.179309387</v>
      </c>
      <c r="F208" s="87" t="s">
        <v>227</v>
      </c>
      <c r="G208" s="25">
        <f t="shared" si="0"/>
        <v>-1.8657251930298546E-4</v>
      </c>
      <c r="I208" s="88">
        <v>134.68</v>
      </c>
      <c r="J208" s="88">
        <v>138.66</v>
      </c>
      <c r="K208" s="88">
        <v>134.11000000000001</v>
      </c>
      <c r="L208" s="88">
        <v>136.74</v>
      </c>
      <c r="M208" s="89">
        <v>1866957.8186999999</v>
      </c>
      <c r="N208" s="87" t="s">
        <v>227</v>
      </c>
      <c r="O208" s="25">
        <f t="shared" si="1"/>
        <v>-1.5065087026473578E-2</v>
      </c>
      <c r="Q208" s="29" t="s">
        <v>33</v>
      </c>
      <c r="R208" s="30">
        <v>1003</v>
      </c>
    </row>
    <row r="209" spans="1:25" ht="15" thickBot="1">
      <c r="A209" s="88">
        <v>699.07283678548299</v>
      </c>
      <c r="B209" s="88">
        <v>700.90811867753905</v>
      </c>
      <c r="C209" s="88">
        <v>697.69138818738656</v>
      </c>
      <c r="D209" s="88">
        <v>700.54904178561503</v>
      </c>
      <c r="E209" s="89">
        <v>4311927.8365584891</v>
      </c>
      <c r="F209" s="87" t="s">
        <v>228</v>
      </c>
      <c r="G209" s="25">
        <f t="shared" si="0"/>
        <v>-2.107211504235873E-3</v>
      </c>
      <c r="I209" s="88">
        <v>137.91999999999999</v>
      </c>
      <c r="J209" s="88">
        <v>142.6919</v>
      </c>
      <c r="K209" s="88">
        <v>137.25</v>
      </c>
      <c r="L209" s="88">
        <v>140.26</v>
      </c>
      <c r="M209" s="89">
        <v>2058782.8400999999</v>
      </c>
      <c r="N209" s="87" t="s">
        <v>228</v>
      </c>
      <c r="O209" s="25">
        <f t="shared" si="1"/>
        <v>-1.6683302438328829E-2</v>
      </c>
      <c r="Q209" s="1" t="s">
        <v>34</v>
      </c>
      <c r="T209" s="1" t="s">
        <v>35</v>
      </c>
      <c r="X209" s="1" t="s">
        <v>36</v>
      </c>
    </row>
    <row r="210" spans="1:25" ht="15" customHeight="1">
      <c r="A210" s="88">
        <v>702.26463138036308</v>
      </c>
      <c r="B210" s="88">
        <v>705.69581056985896</v>
      </c>
      <c r="C210" s="88">
        <v>701.56642631273303</v>
      </c>
      <c r="D210" s="88">
        <v>705.16716959008204</v>
      </c>
      <c r="E210" s="89">
        <v>7847676.9531034688</v>
      </c>
      <c r="F210" s="87" t="s">
        <v>229</v>
      </c>
      <c r="G210" s="25">
        <f t="shared" si="0"/>
        <v>-4.1160994653313132E-3</v>
      </c>
      <c r="I210" s="88">
        <v>142.28</v>
      </c>
      <c r="J210" s="88">
        <v>147.38999999999999</v>
      </c>
      <c r="K210" s="88">
        <v>139.27000000000001</v>
      </c>
      <c r="L210" s="88">
        <v>147.38999999999999</v>
      </c>
      <c r="M210" s="89">
        <v>2232006.7938000001</v>
      </c>
      <c r="N210" s="87" t="s">
        <v>229</v>
      </c>
      <c r="O210" s="25">
        <f t="shared" si="1"/>
        <v>-3.4669923332654728E-2</v>
      </c>
      <c r="Q210" s="92" t="s">
        <v>37</v>
      </c>
      <c r="R210" s="92" t="s">
        <v>38</v>
      </c>
      <c r="T210" s="31" t="s">
        <v>39</v>
      </c>
      <c r="U210" s="32" t="s">
        <v>40</v>
      </c>
      <c r="X210" s="31" t="s">
        <v>41</v>
      </c>
      <c r="Y210" s="32" t="s">
        <v>42</v>
      </c>
    </row>
    <row r="211" spans="1:25" ht="15" customHeight="1">
      <c r="A211" s="88">
        <v>706.19452847530897</v>
      </c>
      <c r="B211" s="88">
        <v>708.62827185390506</v>
      </c>
      <c r="C211" s="88">
        <v>705.08737472521</v>
      </c>
      <c r="D211" s="88">
        <v>707.90014371194798</v>
      </c>
      <c r="E211" s="89">
        <v>6833680.7221205411</v>
      </c>
      <c r="F211" s="87" t="s">
        <v>230</v>
      </c>
      <c r="G211" s="25">
        <f t="shared" si="0"/>
        <v>-2.4094008904920194E-3</v>
      </c>
      <c r="I211" s="88">
        <v>147.47999999999999</v>
      </c>
      <c r="J211" s="88">
        <v>150.56</v>
      </c>
      <c r="K211" s="88">
        <v>145.41999999999999</v>
      </c>
      <c r="L211" s="88">
        <v>149.32</v>
      </c>
      <c r="M211" s="89">
        <v>1058435.1909</v>
      </c>
      <c r="N211" s="87" t="s">
        <v>230</v>
      </c>
      <c r="O211" s="25">
        <f t="shared" si="1"/>
        <v>-1.2322528797214072E-2</v>
      </c>
      <c r="Q211" s="90">
        <v>-7.0000000000000021E-2</v>
      </c>
      <c r="R211">
        <v>7</v>
      </c>
      <c r="T211" s="54">
        <f t="shared" ref="T211:T212" si="2">T212-0.0025</f>
        <v>-7.5000000000000025E-2</v>
      </c>
      <c r="U211" s="1">
        <f>_xlfn.NORM.DIST(T211,$S$202,$S$204,FALSE)</f>
        <v>4.1135155165814653E-2</v>
      </c>
      <c r="W211" s="1" t="s">
        <v>79</v>
      </c>
      <c r="X211" s="54">
        <f>S202</f>
        <v>-9.5086781574553383E-4</v>
      </c>
      <c r="Y211" s="1">
        <v>0</v>
      </c>
    </row>
    <row r="212" spans="1:25" ht="15">
      <c r="A212" s="88">
        <v>708.89757952284799</v>
      </c>
      <c r="B212" s="88">
        <v>709.69054099251343</v>
      </c>
      <c r="C212" s="88">
        <v>703.70093894805893</v>
      </c>
      <c r="D212" s="88">
        <v>704.01014404943805</v>
      </c>
      <c r="E212" s="89">
        <v>8616616.3817048483</v>
      </c>
      <c r="F212" s="87" t="s">
        <v>231</v>
      </c>
      <c r="G212" s="25">
        <f t="shared" si="0"/>
        <v>6.9422799013911796E-3</v>
      </c>
      <c r="I212" s="88">
        <v>150.58000000000001</v>
      </c>
      <c r="J212" s="88">
        <v>150.99</v>
      </c>
      <c r="K212" s="88">
        <v>145.16</v>
      </c>
      <c r="L212" s="88">
        <v>148.13999999999999</v>
      </c>
      <c r="M212" s="89">
        <v>1157659.2098999999</v>
      </c>
      <c r="N212" s="87" t="s">
        <v>231</v>
      </c>
      <c r="O212" s="25">
        <f t="shared" si="1"/>
        <v>1.6470905899824695E-2</v>
      </c>
      <c r="Q212" s="90">
        <v>-6.7500000000000018E-2</v>
      </c>
      <c r="R212">
        <v>0</v>
      </c>
      <c r="T212" s="54">
        <f t="shared" si="2"/>
        <v>-7.2500000000000023E-2</v>
      </c>
      <c r="U212" s="1">
        <f t="shared" ref="U212:U271" si="3">_xlfn.NORM.DIST(T212,$S$202,$S$204,FALSE)</f>
        <v>6.1784757139094315E-2</v>
      </c>
      <c r="X212" s="54">
        <f>S202</f>
        <v>-9.5086781574553383E-4</v>
      </c>
      <c r="Y212" s="1">
        <v>19</v>
      </c>
    </row>
    <row r="213" spans="1:25" ht="15">
      <c r="A213" s="88">
        <v>701.60632374516899</v>
      </c>
      <c r="B213" s="88">
        <v>702.72345185337701</v>
      </c>
      <c r="C213" s="88">
        <v>698.38460607596198</v>
      </c>
      <c r="D213" s="88">
        <v>699.05288806926501</v>
      </c>
      <c r="E213" s="89">
        <v>7724754.4959787652</v>
      </c>
      <c r="F213" s="87" t="s">
        <v>232</v>
      </c>
      <c r="G213" s="25">
        <f t="shared" si="0"/>
        <v>3.6527074266961002E-3</v>
      </c>
      <c r="I213" s="88">
        <v>148.13999999999999</v>
      </c>
      <c r="J213" s="88">
        <v>151.5</v>
      </c>
      <c r="K213" s="88">
        <v>147.21</v>
      </c>
      <c r="L213" s="88">
        <v>148</v>
      </c>
      <c r="M213" s="89">
        <v>1093126.1935000001</v>
      </c>
      <c r="N213" s="87" t="s">
        <v>232</v>
      </c>
      <c r="O213" s="25">
        <f t="shared" si="1"/>
        <v>9.4594594594576975E-4</v>
      </c>
      <c r="Q213" s="90">
        <v>-6.5000000000000016E-2</v>
      </c>
      <c r="R213">
        <v>2</v>
      </c>
      <c r="T213" s="54">
        <f t="shared" ref="T213:T240" si="4">T214-0.0025</f>
        <v>-7.0000000000000021E-2</v>
      </c>
      <c r="U213" s="1">
        <f t="shared" si="3"/>
        <v>9.1512953708418845E-2</v>
      </c>
      <c r="W213" s="38" t="s">
        <v>80</v>
      </c>
      <c r="X213" s="54">
        <f>($S$204*-3)+$S$202</f>
        <v>-6.440608264060442E-2</v>
      </c>
      <c r="Y213" s="1">
        <v>0</v>
      </c>
    </row>
    <row r="214" spans="1:25" ht="15">
      <c r="A214" s="88">
        <v>698.48434965705201</v>
      </c>
      <c r="B214" s="88">
        <v>701.10760583971899</v>
      </c>
      <c r="C214" s="88">
        <v>696.34963753456384</v>
      </c>
      <c r="D214" s="88">
        <v>698.65391374490503</v>
      </c>
      <c r="E214" s="89">
        <v>6503579.9945329595</v>
      </c>
      <c r="F214" s="87" t="s">
        <v>233</v>
      </c>
      <c r="G214" s="25">
        <f t="shared" si="0"/>
        <v>-2.42701120708122E-4</v>
      </c>
      <c r="I214" s="88">
        <v>148.38</v>
      </c>
      <c r="J214" s="88">
        <v>151.16</v>
      </c>
      <c r="K214" s="88">
        <v>146.81</v>
      </c>
      <c r="L214" s="88">
        <v>149.79</v>
      </c>
      <c r="M214" s="89">
        <v>1288263.1924999999</v>
      </c>
      <c r="N214" s="87" t="s">
        <v>233</v>
      </c>
      <c r="O214" s="25">
        <f t="shared" si="1"/>
        <v>-9.4131784498296955E-3</v>
      </c>
      <c r="Q214" s="90">
        <v>-6.2500000000000014E-2</v>
      </c>
      <c r="R214">
        <v>1</v>
      </c>
      <c r="T214" s="54">
        <f t="shared" si="4"/>
        <v>-6.7500000000000018E-2</v>
      </c>
      <c r="U214" s="1">
        <f t="shared" si="3"/>
        <v>0.13366473054624112</v>
      </c>
      <c r="W214" s="39"/>
      <c r="X214" s="54">
        <f>($S$204*-3)+$S$202</f>
        <v>-6.440608264060442E-2</v>
      </c>
      <c r="Y214" s="1">
        <v>2</v>
      </c>
    </row>
    <row r="215" spans="1:25" ht="15">
      <c r="A215" s="88">
        <v>703.08252874530103</v>
      </c>
      <c r="B215" s="88">
        <v>704.12983634674606</v>
      </c>
      <c r="C215" s="88">
        <v>701.157477630264</v>
      </c>
      <c r="D215" s="88">
        <v>703.55132357642401</v>
      </c>
      <c r="E215" s="89">
        <v>5756351.8934810283</v>
      </c>
      <c r="F215" s="87" t="s">
        <v>234</v>
      </c>
      <c r="G215" s="25">
        <f t="shared" si="0"/>
        <v>-6.6632641488029165E-4</v>
      </c>
      <c r="I215" s="88">
        <v>148.66</v>
      </c>
      <c r="J215" s="88">
        <v>149.68</v>
      </c>
      <c r="K215" s="88">
        <v>142.005</v>
      </c>
      <c r="L215" s="88">
        <v>142.93</v>
      </c>
      <c r="M215" s="89">
        <v>6635039.9435999999</v>
      </c>
      <c r="N215" s="87" t="s">
        <v>234</v>
      </c>
      <c r="O215" s="25">
        <f t="shared" si="1"/>
        <v>4.0089554327292998E-2</v>
      </c>
      <c r="Q215" s="90">
        <v>-6.0000000000000019E-2</v>
      </c>
      <c r="R215">
        <v>0</v>
      </c>
      <c r="T215" s="54">
        <f t="shared" si="4"/>
        <v>-6.5000000000000016E-2</v>
      </c>
      <c r="U215" s="1">
        <f t="shared" si="3"/>
        <v>0.1925236587545886</v>
      </c>
      <c r="W215" s="38" t="s">
        <v>81</v>
      </c>
      <c r="X215" s="54">
        <f>($S$204*-2)+$S$202</f>
        <v>-4.3254344365651461E-2</v>
      </c>
      <c r="Y215" s="1">
        <v>0</v>
      </c>
    </row>
    <row r="216" spans="1:25" ht="15">
      <c r="A216" s="88">
        <v>705.42650290091603</v>
      </c>
      <c r="B216" s="88">
        <v>710.8417814054543</v>
      </c>
      <c r="C216" s="88">
        <v>704.449015806234</v>
      </c>
      <c r="D216" s="88">
        <v>707.57098989435099</v>
      </c>
      <c r="E216" s="89">
        <v>8105322.4741401756</v>
      </c>
      <c r="F216" s="87" t="s">
        <v>235</v>
      </c>
      <c r="G216" s="25">
        <f t="shared" si="0"/>
        <v>-3.0307729175770293E-3</v>
      </c>
      <c r="I216" s="88">
        <v>145.13</v>
      </c>
      <c r="J216" s="88">
        <v>146.66999999999999</v>
      </c>
      <c r="K216" s="88">
        <v>143.80500000000001</v>
      </c>
      <c r="L216" s="88">
        <v>144.19999999999999</v>
      </c>
      <c r="M216" s="89">
        <v>1043384.4419</v>
      </c>
      <c r="N216" s="87" t="s">
        <v>235</v>
      </c>
      <c r="O216" s="25">
        <f t="shared" si="1"/>
        <v>6.4493758668515699E-3</v>
      </c>
      <c r="Q216" s="90">
        <v>-5.7500000000000016E-2</v>
      </c>
      <c r="R216">
        <v>1</v>
      </c>
      <c r="T216" s="54">
        <f t="shared" si="4"/>
        <v>-6.2500000000000014E-2</v>
      </c>
      <c r="U216" s="1">
        <f t="shared" si="3"/>
        <v>0.27345408206952698</v>
      </c>
      <c r="W216" s="39"/>
      <c r="X216" s="54">
        <f>($S$204*-2)+$S$202</f>
        <v>-4.3254344365651461E-2</v>
      </c>
      <c r="Y216" s="1">
        <v>4</v>
      </c>
    </row>
    <row r="217" spans="1:25" ht="15">
      <c r="A217" s="88">
        <v>706.93263097537499</v>
      </c>
      <c r="B217" s="88">
        <v>708.13454112750958</v>
      </c>
      <c r="C217" s="88">
        <v>703.40210717911339</v>
      </c>
      <c r="D217" s="88">
        <v>704.57868246165094</v>
      </c>
      <c r="E217" s="89">
        <v>6773106.5507906759</v>
      </c>
      <c r="F217" s="87" t="s">
        <v>236</v>
      </c>
      <c r="G217" s="25">
        <f t="shared" si="0"/>
        <v>3.3409306473761724E-3</v>
      </c>
      <c r="I217" s="88">
        <v>143.41</v>
      </c>
      <c r="J217" s="88">
        <v>144.6</v>
      </c>
      <c r="K217" s="88">
        <v>140.97999999999999</v>
      </c>
      <c r="L217" s="88">
        <v>142.96</v>
      </c>
      <c r="M217" s="89">
        <v>1338314.8724</v>
      </c>
      <c r="N217" s="87" t="s">
        <v>236</v>
      </c>
      <c r="O217" s="25">
        <f t="shared" si="1"/>
        <v>3.1477336317851101E-3</v>
      </c>
      <c r="Q217" s="90">
        <v>-5.5000000000000014E-2</v>
      </c>
      <c r="R217">
        <v>3</v>
      </c>
      <c r="T217" s="54">
        <f t="shared" si="4"/>
        <v>-6.0000000000000019E-2</v>
      </c>
      <c r="U217" s="1">
        <f t="shared" si="3"/>
        <v>0.38301672651180912</v>
      </c>
      <c r="W217" s="40" t="s">
        <v>82</v>
      </c>
      <c r="X217" s="54">
        <f>($S$204*-1)+$S$202</f>
        <v>-2.2102606090698498E-2</v>
      </c>
      <c r="Y217" s="1">
        <v>0</v>
      </c>
    </row>
    <row r="218" spans="1:25" ht="15">
      <c r="A218" s="88">
        <v>702.39429803578003</v>
      </c>
      <c r="B218" s="88">
        <v>703.51142614398805</v>
      </c>
      <c r="C218" s="88">
        <v>700.42934948830703</v>
      </c>
      <c r="D218" s="88">
        <v>701.09763148160994</v>
      </c>
      <c r="E218" s="89">
        <v>7176219.4065815648</v>
      </c>
      <c r="F218" s="87" t="s">
        <v>237</v>
      </c>
      <c r="G218" s="25">
        <f t="shared" si="0"/>
        <v>1.849480722720287E-3</v>
      </c>
      <c r="I218" s="88">
        <v>143.38</v>
      </c>
      <c r="J218" s="88">
        <v>144.63999999999999</v>
      </c>
      <c r="K218" s="88">
        <v>141.22999999999999</v>
      </c>
      <c r="L218" s="88">
        <v>141.27000000000001</v>
      </c>
      <c r="M218" s="89">
        <v>1423995.6608</v>
      </c>
      <c r="N218" s="87" t="s">
        <v>237</v>
      </c>
      <c r="O218" s="25">
        <f t="shared" si="1"/>
        <v>1.4935938274226457E-2</v>
      </c>
      <c r="Q218" s="90">
        <v>-5.2500000000000012E-2</v>
      </c>
      <c r="R218">
        <v>3</v>
      </c>
      <c r="T218" s="54">
        <f t="shared" si="4"/>
        <v>-5.7500000000000016E-2</v>
      </c>
      <c r="U218" s="1">
        <f t="shared" si="3"/>
        <v>0.5290346218302957</v>
      </c>
      <c r="X218" s="54">
        <f>($S$204*-1)+$S$202</f>
        <v>-2.2102606090698498E-2</v>
      </c>
      <c r="Y218" s="1">
        <v>13</v>
      </c>
    </row>
    <row r="219" spans="1:25" ht="15">
      <c r="A219" s="88">
        <v>702.21475958981796</v>
      </c>
      <c r="B219" s="88">
        <v>703.02796900644478</v>
      </c>
      <c r="C219" s="88">
        <v>699.65134955580504</v>
      </c>
      <c r="D219" s="88">
        <v>702.47908007970648</v>
      </c>
      <c r="E219" s="89">
        <v>4335609.914885601</v>
      </c>
      <c r="F219" s="87" t="s">
        <v>238</v>
      </c>
      <c r="G219" s="25">
        <f t="shared" si="0"/>
        <v>-3.7626813008939664E-4</v>
      </c>
      <c r="I219" s="88">
        <v>143.05000000000001</v>
      </c>
      <c r="J219" s="88">
        <v>146.095</v>
      </c>
      <c r="K219" s="88">
        <v>141.78</v>
      </c>
      <c r="L219" s="88">
        <v>145.28</v>
      </c>
      <c r="M219" s="89">
        <v>1925455.3692000001</v>
      </c>
      <c r="N219" s="87" t="s">
        <v>238</v>
      </c>
      <c r="O219" s="25">
        <f t="shared" si="1"/>
        <v>-1.534966960352413E-2</v>
      </c>
      <c r="Q219" s="90">
        <v>-5.000000000000001E-2</v>
      </c>
      <c r="R219">
        <v>4</v>
      </c>
      <c r="T219" s="54">
        <f t="shared" si="4"/>
        <v>-5.5000000000000014E-2</v>
      </c>
      <c r="U219" s="1">
        <f t="shared" si="3"/>
        <v>0.72058210764091157</v>
      </c>
      <c r="W219" s="1" t="s">
        <v>83</v>
      </c>
      <c r="X219" s="54">
        <f>($S$204*1)+$S$202</f>
        <v>2.0200870459207428E-2</v>
      </c>
      <c r="Y219" s="1">
        <v>0</v>
      </c>
    </row>
    <row r="220" spans="1:25" ht="15" customHeight="1">
      <c r="A220" s="88">
        <v>700.03037516394704</v>
      </c>
      <c r="B220" s="88">
        <v>701.58627528536988</v>
      </c>
      <c r="C220" s="88">
        <v>698.73370860977695</v>
      </c>
      <c r="D220" s="88">
        <v>701.16745198837305</v>
      </c>
      <c r="E220" s="89">
        <v>7757366.3376076007</v>
      </c>
      <c r="F220" s="87" t="s">
        <v>239</v>
      </c>
      <c r="G220" s="25">
        <f t="shared" si="0"/>
        <v>-1.6216908260665575E-3</v>
      </c>
      <c r="I220" s="88">
        <v>145.41999999999999</v>
      </c>
      <c r="J220" s="88">
        <v>151.75</v>
      </c>
      <c r="K220" s="88">
        <v>145.15</v>
      </c>
      <c r="L220" s="88">
        <v>151.16999999999999</v>
      </c>
      <c r="M220" s="89">
        <v>1568557.5604000001</v>
      </c>
      <c r="N220" s="87" t="s">
        <v>239</v>
      </c>
      <c r="O220" s="25">
        <f t="shared" si="1"/>
        <v>-3.8036647482966202E-2</v>
      </c>
      <c r="Q220" s="90">
        <v>-4.7500000000000007E-2</v>
      </c>
      <c r="R220">
        <v>2</v>
      </c>
      <c r="T220" s="54">
        <f t="shared" si="4"/>
        <v>-5.2500000000000012E-2</v>
      </c>
      <c r="U220" s="1">
        <f t="shared" si="3"/>
        <v>0.96786743728387781</v>
      </c>
      <c r="X220" s="54">
        <f>($S$204*1)+$S$202</f>
        <v>2.0200870459207428E-2</v>
      </c>
      <c r="Y220" s="1">
        <v>13</v>
      </c>
    </row>
    <row r="221" spans="1:25" ht="15">
      <c r="A221" s="88">
        <v>701.90555448843907</v>
      </c>
      <c r="B221" s="88">
        <v>703.99019533321996</v>
      </c>
      <c r="C221" s="88">
        <v>700.63881100859601</v>
      </c>
      <c r="D221" s="88">
        <v>702.26463138036308</v>
      </c>
      <c r="E221" s="89">
        <v>10705588.617542185</v>
      </c>
      <c r="F221" s="87" t="s">
        <v>240</v>
      </c>
      <c r="G221" s="25">
        <f t="shared" si="0"/>
        <v>-5.1131279560279186E-4</v>
      </c>
      <c r="I221" s="88">
        <v>148.16</v>
      </c>
      <c r="J221" s="88">
        <v>150.19999999999999</v>
      </c>
      <c r="K221" s="88">
        <v>145.035</v>
      </c>
      <c r="L221" s="88">
        <v>146.87</v>
      </c>
      <c r="M221" s="89">
        <v>895453.89119999995</v>
      </c>
      <c r="N221" s="87" t="s">
        <v>240</v>
      </c>
      <c r="O221" s="25">
        <f t="shared" si="1"/>
        <v>8.7832777286034336E-3</v>
      </c>
      <c r="Q221" s="90">
        <v>-4.5000000000000005E-2</v>
      </c>
      <c r="R221">
        <v>4</v>
      </c>
      <c r="T221" s="54">
        <f t="shared" si="4"/>
        <v>-5.000000000000001E-2</v>
      </c>
      <c r="U221" s="1">
        <f t="shared" si="3"/>
        <v>1.2819801729556262</v>
      </c>
      <c r="W221" s="41" t="s">
        <v>84</v>
      </c>
      <c r="X221" s="54">
        <f>($S$204*2)+$S$202</f>
        <v>4.1352608734160391E-2</v>
      </c>
      <c r="Y221" s="1">
        <v>0</v>
      </c>
    </row>
    <row r="222" spans="1:25" ht="15">
      <c r="A222" s="88">
        <v>699.21247779900898</v>
      </c>
      <c r="B222" s="88">
        <v>704.26947736027205</v>
      </c>
      <c r="C222" s="88">
        <v>698.67595707632586</v>
      </c>
      <c r="D222" s="88">
        <v>702.24468266414499</v>
      </c>
      <c r="E222" s="89">
        <v>8480359.9772176575</v>
      </c>
      <c r="F222" s="87" t="s">
        <v>241</v>
      </c>
      <c r="G222" s="25">
        <f t="shared" si="0"/>
        <v>-4.3178751509126423E-3</v>
      </c>
      <c r="I222" s="88">
        <v>146.87</v>
      </c>
      <c r="J222" s="88">
        <v>152.685</v>
      </c>
      <c r="K222" s="88">
        <v>146.66999999999999</v>
      </c>
      <c r="L222" s="88">
        <v>151.74</v>
      </c>
      <c r="M222" s="89">
        <v>1212723.1762000001</v>
      </c>
      <c r="N222" s="87" t="s">
        <v>241</v>
      </c>
      <c r="O222" s="25">
        <f t="shared" si="1"/>
        <v>-3.2094371952023248E-2</v>
      </c>
      <c r="Q222" s="90">
        <v>-4.2500000000000003E-2</v>
      </c>
      <c r="R222">
        <v>6</v>
      </c>
      <c r="T222" s="54">
        <f t="shared" si="4"/>
        <v>-4.7500000000000007E-2</v>
      </c>
      <c r="U222" s="1">
        <f t="shared" si="3"/>
        <v>1.6744792230590144</v>
      </c>
      <c r="X222" s="54">
        <f>($S$204*2)+$S$202</f>
        <v>4.1352608734160391E-2</v>
      </c>
      <c r="Y222" s="1">
        <v>4</v>
      </c>
    </row>
    <row r="223" spans="1:25" ht="15">
      <c r="A223" s="88">
        <v>705.09734908331893</v>
      </c>
      <c r="B223" s="88">
        <v>708.27916932008998</v>
      </c>
      <c r="C223" s="88">
        <v>704.28443889743551</v>
      </c>
      <c r="D223" s="88">
        <v>706.37406692127104</v>
      </c>
      <c r="E223" s="89">
        <v>7039831.7362038074</v>
      </c>
      <c r="F223" s="87" t="s">
        <v>242</v>
      </c>
      <c r="G223" s="25">
        <f t="shared" si="0"/>
        <v>-1.8074245612055284E-3</v>
      </c>
      <c r="I223" s="88">
        <v>151.51</v>
      </c>
      <c r="J223" s="88">
        <v>155.16999999999999</v>
      </c>
      <c r="K223" s="88">
        <v>147.95500000000001</v>
      </c>
      <c r="L223" s="88">
        <v>148</v>
      </c>
      <c r="M223" s="89">
        <v>1311497.2185</v>
      </c>
      <c r="N223" s="87" t="s">
        <v>242</v>
      </c>
      <c r="O223" s="25">
        <f t="shared" si="1"/>
        <v>2.3716216216216113E-2</v>
      </c>
      <c r="Q223" s="90">
        <v>-0.04</v>
      </c>
      <c r="R223">
        <v>6</v>
      </c>
      <c r="T223" s="54">
        <f t="shared" si="4"/>
        <v>-4.5000000000000005E-2</v>
      </c>
      <c r="U223" s="1">
        <f t="shared" si="3"/>
        <v>2.1568067943868261</v>
      </c>
      <c r="W223" s="41" t="s">
        <v>85</v>
      </c>
      <c r="X223" s="54">
        <f>($S$204*3)+$S$202</f>
        <v>6.2504347009113351E-2</v>
      </c>
      <c r="Y223" s="1">
        <v>0</v>
      </c>
    </row>
    <row r="224" spans="1:25" ht="15">
      <c r="A224" s="88">
        <v>703.59122100885997</v>
      </c>
      <c r="B224" s="88">
        <v>705.53622084011499</v>
      </c>
      <c r="C224" s="88">
        <v>703.15234925206403</v>
      </c>
      <c r="D224" s="88">
        <v>704.79811834004897</v>
      </c>
      <c r="E224" s="89">
        <v>5292120.7156549674</v>
      </c>
      <c r="F224" s="87" t="s">
        <v>243</v>
      </c>
      <c r="G224" s="25">
        <f t="shared" si="0"/>
        <v>-1.7124014661552556E-3</v>
      </c>
      <c r="I224" s="88">
        <v>148.03</v>
      </c>
      <c r="J224" s="88">
        <v>149.33500000000001</v>
      </c>
      <c r="K224" s="88">
        <v>139.44999999999999</v>
      </c>
      <c r="L224" s="88">
        <v>139.91</v>
      </c>
      <c r="M224" s="89">
        <v>1622404.0512999999</v>
      </c>
      <c r="N224" s="87" t="s">
        <v>243</v>
      </c>
      <c r="O224" s="25">
        <f t="shared" si="1"/>
        <v>5.8037309699092265E-2</v>
      </c>
      <c r="Q224" s="90">
        <v>-3.7499999999999999E-2</v>
      </c>
      <c r="R224">
        <v>5</v>
      </c>
      <c r="T224" s="54">
        <f t="shared" si="4"/>
        <v>-4.2500000000000003E-2</v>
      </c>
      <c r="U224" s="1">
        <f t="shared" si="3"/>
        <v>2.7395280266775548</v>
      </c>
      <c r="W224" s="41"/>
      <c r="X224" s="54">
        <f>($S$204*3)+$S$202</f>
        <v>6.2504347009113351E-2</v>
      </c>
      <c r="Y224" s="1">
        <v>2</v>
      </c>
    </row>
    <row r="225" spans="1:21" ht="15">
      <c r="A225" s="88">
        <v>708.448733407943</v>
      </c>
      <c r="B225" s="88">
        <v>712.2140535940905</v>
      </c>
      <c r="C225" s="88">
        <v>708.27916932008998</v>
      </c>
      <c r="D225" s="88">
        <v>711.67045107715001</v>
      </c>
      <c r="E225" s="89">
        <v>5759776.8433000222</v>
      </c>
      <c r="F225" s="87" t="s">
        <v>244</v>
      </c>
      <c r="G225" s="25">
        <f t="shared" si="0"/>
        <v>-4.5269796776453708E-3</v>
      </c>
      <c r="I225" s="88">
        <v>139.69999999999999</v>
      </c>
      <c r="J225" s="88">
        <v>142.13</v>
      </c>
      <c r="K225" s="88">
        <v>138.27500000000001</v>
      </c>
      <c r="L225" s="88">
        <v>141.32</v>
      </c>
      <c r="M225" s="89">
        <v>1948953.8984999999</v>
      </c>
      <c r="N225" s="87" t="s">
        <v>244</v>
      </c>
      <c r="O225" s="25">
        <f t="shared" si="1"/>
        <v>-1.1463345598641372E-2</v>
      </c>
      <c r="Q225" s="90">
        <v>-3.4999999999999996E-2</v>
      </c>
      <c r="R225">
        <v>10</v>
      </c>
      <c r="T225" s="54">
        <f t="shared" si="4"/>
        <v>-0.04</v>
      </c>
      <c r="U225" s="1">
        <f t="shared" si="3"/>
        <v>3.431415255675422</v>
      </c>
    </row>
    <row r="226" spans="1:21" ht="15">
      <c r="A226" s="88">
        <v>711.78016901634896</v>
      </c>
      <c r="B226" s="88">
        <v>714.05432266520097</v>
      </c>
      <c r="C226" s="88">
        <v>710.97224600951995</v>
      </c>
      <c r="D226" s="88">
        <v>713.79498935436698</v>
      </c>
      <c r="E226" s="89">
        <v>4224899.2813859275</v>
      </c>
      <c r="F226" s="87" t="s">
        <v>245</v>
      </c>
      <c r="G226" s="25">
        <f t="shared" si="0"/>
        <v>-2.8226877017453189E-3</v>
      </c>
      <c r="I226" s="88">
        <v>143.34</v>
      </c>
      <c r="J226" s="88">
        <v>147.17070000000001</v>
      </c>
      <c r="K226" s="88">
        <v>143.02000000000001</v>
      </c>
      <c r="L226" s="88">
        <v>146.97999999999999</v>
      </c>
      <c r="M226" s="89">
        <v>779900.80180000002</v>
      </c>
      <c r="N226" s="87" t="s">
        <v>245</v>
      </c>
      <c r="O226" s="25">
        <f t="shared" si="1"/>
        <v>-2.476527418696417E-2</v>
      </c>
      <c r="Q226" s="90">
        <v>-3.2499999999999994E-2</v>
      </c>
      <c r="R226">
        <v>8</v>
      </c>
      <c r="T226" s="54">
        <f t="shared" si="4"/>
        <v>-3.7499999999999999E-2</v>
      </c>
      <c r="U226" s="1">
        <f t="shared" si="3"/>
        <v>4.2384184625952415</v>
      </c>
    </row>
    <row r="227" spans="1:21" ht="15">
      <c r="A227" s="88">
        <v>713.11673300295502</v>
      </c>
      <c r="B227" s="88">
        <v>714.55304057065098</v>
      </c>
      <c r="C227" s="88">
        <v>709.78031021549452</v>
      </c>
      <c r="D227" s="88">
        <v>710.47352810406994</v>
      </c>
      <c r="E227" s="89">
        <v>4562935.4456336983</v>
      </c>
      <c r="F227" s="87" t="s">
        <v>246</v>
      </c>
      <c r="G227" s="25">
        <f t="shared" si="0"/>
        <v>3.7203425522955857E-3</v>
      </c>
      <c r="I227" s="88">
        <v>146.44</v>
      </c>
      <c r="J227" s="88">
        <v>146.82499999999999</v>
      </c>
      <c r="K227" s="88">
        <v>143.12</v>
      </c>
      <c r="L227" s="88">
        <v>145.06</v>
      </c>
      <c r="M227" s="89">
        <v>1360928.2655</v>
      </c>
      <c r="N227" s="87" t="s">
        <v>246</v>
      </c>
      <c r="O227" s="25">
        <f t="shared" si="1"/>
        <v>9.513304839376735E-3</v>
      </c>
      <c r="Q227" s="90">
        <v>-2.9999999999999995E-2</v>
      </c>
      <c r="R227">
        <v>12</v>
      </c>
      <c r="T227" s="54">
        <f t="shared" si="4"/>
        <v>-3.4999999999999996E-2</v>
      </c>
      <c r="U227" s="1">
        <f t="shared" si="3"/>
        <v>5.1625873487975369</v>
      </c>
    </row>
    <row r="228" spans="1:21" ht="15">
      <c r="A228" s="88">
        <v>708.34898982685297</v>
      </c>
      <c r="B228" s="88">
        <v>710.43363067163398</v>
      </c>
      <c r="C228" s="88">
        <v>707.11216942133694</v>
      </c>
      <c r="D228" s="88">
        <v>710.29398965810799</v>
      </c>
      <c r="E228" s="89">
        <v>4883810.5144877145</v>
      </c>
      <c r="F228" s="87" t="s">
        <v>247</v>
      </c>
      <c r="G228" s="25">
        <f t="shared" si="0"/>
        <v>-2.7383025332808897E-3</v>
      </c>
      <c r="I228" s="88">
        <v>145.06</v>
      </c>
      <c r="J228" s="88">
        <v>145.59</v>
      </c>
      <c r="K228" s="88">
        <v>138.69999999999999</v>
      </c>
      <c r="L228" s="88">
        <v>142</v>
      </c>
      <c r="M228" s="89">
        <v>1570747.1137999999</v>
      </c>
      <c r="N228" s="87" t="s">
        <v>247</v>
      </c>
      <c r="O228" s="25">
        <f t="shared" si="1"/>
        <v>2.1549295774647925E-2</v>
      </c>
      <c r="Q228" s="90">
        <v>-2.7499999999999997E-2</v>
      </c>
      <c r="R228">
        <v>15</v>
      </c>
      <c r="T228" s="54">
        <f t="shared" si="4"/>
        <v>-3.2499999999999994E-2</v>
      </c>
      <c r="U228" s="1">
        <f t="shared" si="3"/>
        <v>6.201032648664774</v>
      </c>
    </row>
    <row r="229" spans="1:21" ht="15">
      <c r="A229" s="88">
        <v>706.603477157778</v>
      </c>
      <c r="B229" s="88">
        <v>710.17429736079998</v>
      </c>
      <c r="C229" s="88">
        <v>705.18711830630002</v>
      </c>
      <c r="D229" s="88">
        <v>710.13439992836402</v>
      </c>
      <c r="E229" s="89">
        <v>5023320.7228433192</v>
      </c>
      <c r="F229" s="87" t="s">
        <v>248</v>
      </c>
      <c r="G229" s="25">
        <f t="shared" si="0"/>
        <v>-4.9721894488454765E-3</v>
      </c>
      <c r="I229" s="88">
        <v>144.69999999999999</v>
      </c>
      <c r="J229" s="88">
        <v>145.16</v>
      </c>
      <c r="K229" s="88">
        <v>141</v>
      </c>
      <c r="L229" s="88">
        <v>142.44999999999999</v>
      </c>
      <c r="M229" s="89">
        <v>1249505.3940000001</v>
      </c>
      <c r="N229" s="87" t="s">
        <v>248</v>
      </c>
      <c r="O229" s="25">
        <f t="shared" si="1"/>
        <v>1.5795015795015743E-2</v>
      </c>
      <c r="Q229" s="90">
        <v>-2.4999999999999998E-2</v>
      </c>
      <c r="R229">
        <v>11</v>
      </c>
      <c r="T229" s="54">
        <f t="shared" si="4"/>
        <v>-2.9999999999999995E-2</v>
      </c>
      <c r="U229" s="1">
        <f t="shared" si="3"/>
        <v>7.3450312542241845</v>
      </c>
    </row>
    <row r="230" spans="1:21" ht="15">
      <c r="A230" s="88">
        <v>708.827759016085</v>
      </c>
      <c r="B230" s="88">
        <v>710.61097475881206</v>
      </c>
      <c r="C230" s="88">
        <v>707.68070783354995</v>
      </c>
      <c r="D230" s="88">
        <v>708.48863084037896</v>
      </c>
      <c r="E230" s="89">
        <v>6675037.2232900541</v>
      </c>
      <c r="F230" s="87" t="s">
        <v>249</v>
      </c>
      <c r="G230" s="25">
        <f t="shared" si="0"/>
        <v>4.7866424518883122E-4</v>
      </c>
      <c r="I230" s="88">
        <v>142.85</v>
      </c>
      <c r="J230" s="88">
        <v>143.94</v>
      </c>
      <c r="K230" s="88">
        <v>140.34</v>
      </c>
      <c r="L230" s="88">
        <v>140.55000000000001</v>
      </c>
      <c r="M230" s="89">
        <v>1505013.0088</v>
      </c>
      <c r="N230" s="87" t="s">
        <v>249</v>
      </c>
      <c r="O230" s="25">
        <f t="shared" si="1"/>
        <v>1.6364283173247784E-2</v>
      </c>
      <c r="Q230" s="90">
        <v>-2.2499999999999999E-2</v>
      </c>
      <c r="R230">
        <v>16</v>
      </c>
      <c r="T230" s="54">
        <f t="shared" si="4"/>
        <v>-2.7499999999999997E-2</v>
      </c>
      <c r="U230" s="1">
        <f t="shared" si="3"/>
        <v>8.5793878870003795</v>
      </c>
    </row>
    <row r="231" spans="1:21" ht="15">
      <c r="A231" s="88">
        <v>708.88760516473906</v>
      </c>
      <c r="B231" s="88">
        <v>709.54591279993303</v>
      </c>
      <c r="C231" s="88">
        <v>705.62599006309608</v>
      </c>
      <c r="D231" s="88">
        <v>706.91268225915701</v>
      </c>
      <c r="E231" s="89">
        <v>4665094.1327256085</v>
      </c>
      <c r="F231" s="87" t="s">
        <v>250</v>
      </c>
      <c r="G231" s="25">
        <f t="shared" si="0"/>
        <v>2.7937296290547753E-3</v>
      </c>
      <c r="I231" s="88">
        <v>141.16999999999999</v>
      </c>
      <c r="J231" s="88">
        <v>142.22</v>
      </c>
      <c r="K231" s="88">
        <v>136.46</v>
      </c>
      <c r="L231" s="88">
        <v>138</v>
      </c>
      <c r="M231" s="89">
        <v>1591344.9346</v>
      </c>
      <c r="N231" s="87" t="s">
        <v>250</v>
      </c>
      <c r="O231" s="25">
        <f t="shared" si="1"/>
        <v>2.2971014492753516E-2</v>
      </c>
      <c r="Q231" s="90">
        <v>-0.02</v>
      </c>
      <c r="R231">
        <v>21</v>
      </c>
      <c r="T231" s="54">
        <f t="shared" si="4"/>
        <v>-2.4999999999999998E-2</v>
      </c>
      <c r="U231" s="1">
        <f t="shared" si="3"/>
        <v>9.8821623326966073</v>
      </c>
    </row>
    <row r="232" spans="1:21" ht="15">
      <c r="A232" s="88">
        <v>704.58865681975999</v>
      </c>
      <c r="B232" s="88">
        <v>707.64270552915468</v>
      </c>
      <c r="C232" s="88">
        <v>703.621144083187</v>
      </c>
      <c r="D232" s="88">
        <v>706.11473361043693</v>
      </c>
      <c r="E232" s="89">
        <v>4680742.7225691155</v>
      </c>
      <c r="F232" s="87" t="s">
        <v>251</v>
      </c>
      <c r="G232" s="25">
        <f t="shared" si="0"/>
        <v>-2.1612306301469486E-3</v>
      </c>
      <c r="I232" s="88">
        <v>139.30000000000001</v>
      </c>
      <c r="J232" s="88">
        <v>139.47999999999999</v>
      </c>
      <c r="K232" s="88">
        <v>130.11000000000001</v>
      </c>
      <c r="L232" s="88">
        <v>130.9</v>
      </c>
      <c r="M232" s="89">
        <v>3249442.2941000001</v>
      </c>
      <c r="N232" s="87" t="s">
        <v>251</v>
      </c>
      <c r="O232" s="25">
        <f t="shared" si="1"/>
        <v>6.4171122994652441E-2</v>
      </c>
      <c r="Q232" s="90">
        <v>-1.7500000000000002E-2</v>
      </c>
      <c r="R232">
        <v>23</v>
      </c>
      <c r="T232" s="54">
        <f t="shared" si="4"/>
        <v>-2.2499999999999999E-2</v>
      </c>
      <c r="U232" s="1">
        <f t="shared" si="3"/>
        <v>11.224853694445896</v>
      </c>
    </row>
    <row r="233" spans="1:21" ht="15">
      <c r="A233" s="88">
        <v>705.78557979284005</v>
      </c>
      <c r="B233" s="88">
        <v>712.32875871234398</v>
      </c>
      <c r="C233" s="88">
        <v>705.50629776578808</v>
      </c>
      <c r="D233" s="88">
        <v>711.31137418522599</v>
      </c>
      <c r="E233" s="89">
        <v>5200806.9451800352</v>
      </c>
      <c r="F233" s="87" t="s">
        <v>252</v>
      </c>
      <c r="G233" s="25">
        <f t="shared" si="0"/>
        <v>-7.7684606108197052E-3</v>
      </c>
      <c r="I233" s="88">
        <v>133.26</v>
      </c>
      <c r="J233" s="88">
        <v>138.41</v>
      </c>
      <c r="K233" s="88">
        <v>126.4</v>
      </c>
      <c r="L233" s="88">
        <v>128</v>
      </c>
      <c r="M233" s="89">
        <v>7145732.9049000004</v>
      </c>
      <c r="N233" s="87" t="s">
        <v>252</v>
      </c>
      <c r="O233" s="25">
        <f t="shared" si="1"/>
        <v>4.1093749999999929E-2</v>
      </c>
      <c r="Q233" s="90">
        <v>-1.5000000000000001E-2</v>
      </c>
      <c r="R233">
        <v>43</v>
      </c>
      <c r="T233" s="54">
        <f t="shared" si="4"/>
        <v>-0.02</v>
      </c>
      <c r="U233" s="1">
        <f t="shared" si="3"/>
        <v>12.573101442276107</v>
      </c>
    </row>
    <row r="234" spans="1:21" ht="15">
      <c r="A234" s="88">
        <v>707.16204121188207</v>
      </c>
      <c r="B234" s="88">
        <v>709.08539668604055</v>
      </c>
      <c r="C234" s="88">
        <v>697.27745232586301</v>
      </c>
      <c r="D234" s="88">
        <v>697.36722154884399</v>
      </c>
      <c r="E234" s="89">
        <v>6527590.6302433321</v>
      </c>
      <c r="F234" s="87" t="s">
        <v>253</v>
      </c>
      <c r="G234" s="25">
        <f t="shared" si="0"/>
        <v>1.4045425939699152E-2</v>
      </c>
      <c r="I234" s="88">
        <v>166.82</v>
      </c>
      <c r="J234" s="88">
        <v>170.99</v>
      </c>
      <c r="K234" s="88">
        <v>164.31</v>
      </c>
      <c r="L234" s="88">
        <v>166.34</v>
      </c>
      <c r="M234" s="89">
        <v>1748114.7297</v>
      </c>
      <c r="N234" s="87" t="s">
        <v>253</v>
      </c>
      <c r="O234" s="25">
        <f t="shared" si="1"/>
        <v>2.8856558855356873E-3</v>
      </c>
      <c r="Q234" s="90">
        <v>-1.2500000000000001E-2</v>
      </c>
      <c r="R234">
        <v>39</v>
      </c>
      <c r="T234" s="54">
        <f t="shared" si="4"/>
        <v>-1.7500000000000002E-2</v>
      </c>
      <c r="U234" s="1">
        <f t="shared" si="3"/>
        <v>13.887919006572245</v>
      </c>
    </row>
    <row r="235" spans="1:21" ht="15">
      <c r="A235" s="88">
        <v>694.61429871075995</v>
      </c>
      <c r="B235" s="88">
        <v>695.52196529867899</v>
      </c>
      <c r="C235" s="88">
        <v>686.84427374384904</v>
      </c>
      <c r="D235" s="88">
        <v>687.06370962224707</v>
      </c>
      <c r="E235" s="89">
        <v>7262939.5601541065</v>
      </c>
      <c r="F235" s="87" t="s">
        <v>254</v>
      </c>
      <c r="G235" s="25">
        <f t="shared" si="0"/>
        <v>1.09896491151662E-2</v>
      </c>
      <c r="I235" s="88">
        <v>169.7</v>
      </c>
      <c r="J235" s="88">
        <v>172.10499999999999</v>
      </c>
      <c r="K235" s="88">
        <v>166.655</v>
      </c>
      <c r="L235" s="88">
        <v>168.56</v>
      </c>
      <c r="M235" s="89">
        <v>1408002.9332000001</v>
      </c>
      <c r="N235" s="87" t="s">
        <v>254</v>
      </c>
      <c r="O235" s="25">
        <f t="shared" si="1"/>
        <v>6.7631703844328594E-3</v>
      </c>
      <c r="Q235" s="90">
        <v>-0.01</v>
      </c>
      <c r="R235">
        <v>41</v>
      </c>
      <c r="T235" s="54">
        <f t="shared" si="4"/>
        <v>-1.5000000000000001E-2</v>
      </c>
      <c r="U235" s="1">
        <f t="shared" si="3"/>
        <v>15.127423161628137</v>
      </c>
    </row>
    <row r="236" spans="1:21" ht="15">
      <c r="A236" s="88">
        <v>684.88929955448498</v>
      </c>
      <c r="B236" s="88">
        <v>686.58494043301505</v>
      </c>
      <c r="C236" s="88">
        <v>676.32132593885399</v>
      </c>
      <c r="D236" s="88">
        <v>682.74481256105003</v>
      </c>
      <c r="E236" s="89">
        <v>7681264.3957377691</v>
      </c>
      <c r="F236" s="87" t="s">
        <v>255</v>
      </c>
      <c r="G236" s="25">
        <f t="shared" si="0"/>
        <v>3.1409788166543162E-3</v>
      </c>
      <c r="I236" s="88">
        <v>165.35</v>
      </c>
      <c r="J236" s="88">
        <v>168.36</v>
      </c>
      <c r="K236" s="88">
        <v>162.42500000000001</v>
      </c>
      <c r="L236" s="88">
        <v>164.57</v>
      </c>
      <c r="M236" s="89">
        <v>1313819.0422</v>
      </c>
      <c r="N236" s="87" t="s">
        <v>255</v>
      </c>
      <c r="O236" s="25">
        <f t="shared" si="1"/>
        <v>4.7396244759068118E-3</v>
      </c>
      <c r="Q236" s="90">
        <v>-7.4999999999999997E-3</v>
      </c>
      <c r="R236">
        <v>55</v>
      </c>
      <c r="T236" s="54">
        <f t="shared" si="4"/>
        <v>-1.2500000000000001E-2</v>
      </c>
      <c r="U236" s="1">
        <f t="shared" si="3"/>
        <v>16.248967173359148</v>
      </c>
    </row>
    <row r="237" spans="1:21" ht="15">
      <c r="A237" s="88">
        <v>680.04176151351101</v>
      </c>
      <c r="B237" s="88">
        <v>680.68640427809567</v>
      </c>
      <c r="C237" s="88">
        <v>673.47863387778898</v>
      </c>
      <c r="D237" s="88">
        <v>674.80522350628598</v>
      </c>
      <c r="E237" s="89">
        <v>6024552.5603075176</v>
      </c>
      <c r="F237" s="87" t="s">
        <v>256</v>
      </c>
      <c r="G237" s="25">
        <f t="shared" si="0"/>
        <v>7.7600733142164646E-3</v>
      </c>
      <c r="I237" s="88">
        <v>165.68</v>
      </c>
      <c r="J237" s="88">
        <v>168.38</v>
      </c>
      <c r="K237" s="88">
        <v>161.61859999999999</v>
      </c>
      <c r="L237" s="88">
        <v>165.68</v>
      </c>
      <c r="M237" s="89">
        <v>1213128.9663</v>
      </c>
      <c r="N237" s="87" t="s">
        <v>256</v>
      </c>
      <c r="O237" s="25">
        <f t="shared" si="1"/>
        <v>0</v>
      </c>
      <c r="Q237" s="90">
        <v>-5.0000000000000001E-3</v>
      </c>
      <c r="R237">
        <v>53</v>
      </c>
      <c r="T237" s="54">
        <f t="shared" si="4"/>
        <v>-0.01</v>
      </c>
      <c r="U237" s="1">
        <f t="shared" si="3"/>
        <v>17.211534512062318</v>
      </c>
    </row>
    <row r="238" spans="1:21" ht="15">
      <c r="A238" s="88">
        <v>668.91037786386698</v>
      </c>
      <c r="B238" s="88">
        <v>680.87960759466705</v>
      </c>
      <c r="C238" s="88">
        <v>668.43659585368948</v>
      </c>
      <c r="D238" s="88">
        <v>678.37604370930796</v>
      </c>
      <c r="E238" s="89">
        <v>7865612.4309602929</v>
      </c>
      <c r="F238" s="87" t="s">
        <v>257</v>
      </c>
      <c r="G238" s="25">
        <f t="shared" si="0"/>
        <v>-1.3953419984708559E-2</v>
      </c>
      <c r="I238" s="88">
        <v>170.62</v>
      </c>
      <c r="J238" s="88">
        <v>171.78</v>
      </c>
      <c r="K238" s="88">
        <v>165.25</v>
      </c>
      <c r="L238" s="88">
        <v>166.52</v>
      </c>
      <c r="M238" s="89">
        <v>1126110.4594000001</v>
      </c>
      <c r="N238" s="87" t="s">
        <v>257</v>
      </c>
      <c r="O238" s="25">
        <f t="shared" si="1"/>
        <v>2.462166706701896E-2</v>
      </c>
      <c r="Q238" s="90">
        <v>-2.5000000000000001E-3</v>
      </c>
      <c r="R238">
        <v>58</v>
      </c>
      <c r="T238" s="54">
        <f t="shared" si="4"/>
        <v>-7.4999999999999997E-3</v>
      </c>
      <c r="U238" s="1">
        <f t="shared" si="3"/>
        <v>17.978209949511839</v>
      </c>
    </row>
    <row r="239" spans="1:21" ht="15">
      <c r="A239" s="88">
        <v>679.21388979046401</v>
      </c>
      <c r="B239" s="88">
        <v>681.00428707102947</v>
      </c>
      <c r="C239" s="88">
        <v>674.74547710121305</v>
      </c>
      <c r="D239" s="88">
        <v>677.70776171600505</v>
      </c>
      <c r="E239" s="89">
        <v>5033988.0650258698</v>
      </c>
      <c r="F239" s="87" t="s">
        <v>258</v>
      </c>
      <c r="G239" s="25">
        <f t="shared" si="0"/>
        <v>2.2223857531826763E-3</v>
      </c>
      <c r="I239" s="88">
        <v>167.47</v>
      </c>
      <c r="J239" s="88">
        <v>172.91499999999999</v>
      </c>
      <c r="K239" s="88">
        <v>166.69</v>
      </c>
      <c r="L239" s="88">
        <v>167.22</v>
      </c>
      <c r="M239" s="89">
        <v>1296071.4219</v>
      </c>
      <c r="N239" s="87" t="s">
        <v>258</v>
      </c>
      <c r="O239" s="25">
        <f t="shared" si="1"/>
        <v>1.4950364788901549E-3</v>
      </c>
      <c r="Q239" s="90">
        <v>0</v>
      </c>
      <c r="R239">
        <v>63</v>
      </c>
      <c r="T239" s="54">
        <f t="shared" si="4"/>
        <v>-5.0000000000000001E-3</v>
      </c>
      <c r="U239" s="1">
        <f t="shared" si="3"/>
        <v>18.518522291662162</v>
      </c>
    </row>
    <row r="240" spans="1:21" ht="15">
      <c r="A240" s="88">
        <v>677.56812070247895</v>
      </c>
      <c r="B240" s="88">
        <v>683.4820173688862</v>
      </c>
      <c r="C240" s="88">
        <v>674.66059531370547</v>
      </c>
      <c r="D240" s="88">
        <v>682.93432536512103</v>
      </c>
      <c r="E240" s="89">
        <v>5221145.8172942158</v>
      </c>
      <c r="F240" s="87" t="s">
        <v>259</v>
      </c>
      <c r="G240" s="25">
        <f t="shared" si="0"/>
        <v>-7.8575705793864081E-3</v>
      </c>
      <c r="I240" s="88">
        <v>165</v>
      </c>
      <c r="J240" s="88">
        <v>168.77</v>
      </c>
      <c r="K240" s="88">
        <v>164</v>
      </c>
      <c r="L240" s="88">
        <v>165.62</v>
      </c>
      <c r="M240" s="89">
        <v>1115212.997</v>
      </c>
      <c r="N240" s="87" t="s">
        <v>259</v>
      </c>
      <c r="O240" s="25">
        <f t="shared" si="1"/>
        <v>-3.7435092380148083E-3</v>
      </c>
      <c r="Q240" s="90">
        <v>2.5000000000000001E-3</v>
      </c>
      <c r="R240">
        <v>54</v>
      </c>
      <c r="T240" s="54">
        <f t="shared" si="4"/>
        <v>-2.5000000000000001E-3</v>
      </c>
      <c r="U240" s="1">
        <f t="shared" si="3"/>
        <v>18.810452136932735</v>
      </c>
    </row>
    <row r="241" spans="1:21" ht="15">
      <c r="A241" s="88">
        <v>677.39855661462593</v>
      </c>
      <c r="B241" s="88">
        <v>681.79724854069491</v>
      </c>
      <c r="C241" s="88">
        <v>675.96224904693008</v>
      </c>
      <c r="D241" s="88">
        <v>677.05942843892001</v>
      </c>
      <c r="E241" s="89">
        <v>6302968.9782516705</v>
      </c>
      <c r="F241" s="87" t="s">
        <v>260</v>
      </c>
      <c r="G241" s="25">
        <f t="shared" si="0"/>
        <v>5.0088391278713118E-4</v>
      </c>
      <c r="I241" s="88">
        <v>163.26</v>
      </c>
      <c r="J241" s="88">
        <v>164.33</v>
      </c>
      <c r="K241" s="88">
        <v>158.31</v>
      </c>
      <c r="L241" s="88">
        <v>159.21</v>
      </c>
      <c r="M241" s="89">
        <v>1147569.2779999999</v>
      </c>
      <c r="N241" s="87" t="s">
        <v>260</v>
      </c>
      <c r="O241" s="25">
        <f t="shared" si="1"/>
        <v>2.5438100621820059E-2</v>
      </c>
      <c r="Q241" s="90">
        <v>5.0000000000000001E-3</v>
      </c>
      <c r="R241">
        <v>56</v>
      </c>
      <c r="T241" s="54">
        <v>0</v>
      </c>
      <c r="U241" s="1">
        <f t="shared" si="3"/>
        <v>18.841920436327786</v>
      </c>
    </row>
    <row r="242" spans="1:21" ht="15">
      <c r="A242" s="88">
        <v>676.86991563484901</v>
      </c>
      <c r="B242" s="88">
        <v>680.79931401188946</v>
      </c>
      <c r="C242" s="88">
        <v>674.02223639472948</v>
      </c>
      <c r="D242" s="88">
        <v>677.80750529709496</v>
      </c>
      <c r="E242" s="89">
        <v>4955511.6808369253</v>
      </c>
      <c r="F242" s="87" t="s">
        <v>261</v>
      </c>
      <c r="G242" s="25">
        <f t="shared" si="0"/>
        <v>-1.383268339342103E-3</v>
      </c>
      <c r="I242" s="88">
        <v>158.38</v>
      </c>
      <c r="J242" s="88">
        <v>160.29</v>
      </c>
      <c r="K242" s="88">
        <v>157.56</v>
      </c>
      <c r="L242" s="88">
        <v>159.47</v>
      </c>
      <c r="M242" s="89">
        <v>1141136.3107</v>
      </c>
      <c r="N242" s="87" t="s">
        <v>261</v>
      </c>
      <c r="O242" s="25">
        <f t="shared" si="1"/>
        <v>-6.8351414059071303E-3</v>
      </c>
      <c r="Q242" s="90">
        <v>7.4999999999999997E-3</v>
      </c>
      <c r="R242">
        <v>69</v>
      </c>
      <c r="T242" s="25">
        <f t="shared" ref="T242:T269" si="5">T241+0.0025</f>
        <v>2.5000000000000001E-3</v>
      </c>
      <c r="U242" s="1">
        <f t="shared" si="3"/>
        <v>18.611617634950029</v>
      </c>
    </row>
    <row r="243" spans="1:21" ht="15">
      <c r="A243" s="88">
        <v>685.26832516262698</v>
      </c>
      <c r="B243" s="88">
        <v>687.63224803445996</v>
      </c>
      <c r="C243" s="88">
        <v>684.26091499361803</v>
      </c>
      <c r="D243" s="88">
        <v>684.53022266256096</v>
      </c>
      <c r="E243" s="89">
        <v>3357712.487762053</v>
      </c>
      <c r="F243" s="87" t="s">
        <v>262</v>
      </c>
      <c r="G243" s="25">
        <f t="shared" si="0"/>
        <v>1.0782613763860027E-3</v>
      </c>
      <c r="I243" s="88">
        <v>158.93</v>
      </c>
      <c r="J243" s="88">
        <v>165.7</v>
      </c>
      <c r="K243" s="88">
        <v>157.44</v>
      </c>
      <c r="L243" s="88">
        <v>165.7</v>
      </c>
      <c r="M243" s="89">
        <v>1374454.3574999999</v>
      </c>
      <c r="N243" s="87" t="s">
        <v>262</v>
      </c>
      <c r="O243" s="25">
        <f t="shared" si="1"/>
        <v>-4.0856970428485129E-2</v>
      </c>
      <c r="Q243" s="90">
        <v>0.01</v>
      </c>
      <c r="R243">
        <v>48</v>
      </c>
      <c r="T243" s="25">
        <f t="shared" si="5"/>
        <v>5.0000000000000001E-3</v>
      </c>
      <c r="U243" s="1">
        <f t="shared" si="3"/>
        <v>18.129094080675682</v>
      </c>
    </row>
    <row r="244" spans="1:21" ht="15">
      <c r="A244" s="88">
        <v>686.10617124378302</v>
      </c>
      <c r="B244" s="88">
        <v>686.71959426748651</v>
      </c>
      <c r="C244" s="88">
        <v>682.27601772992693</v>
      </c>
      <c r="D244" s="88">
        <v>684.19109448685504</v>
      </c>
      <c r="E244" s="89">
        <v>4065141.6649472136</v>
      </c>
      <c r="F244" s="87" t="s">
        <v>263</v>
      </c>
      <c r="G244" s="25">
        <f t="shared" si="0"/>
        <v>2.7990378307456432E-3</v>
      </c>
      <c r="I244" s="88">
        <v>163.72</v>
      </c>
      <c r="J244" s="88">
        <v>165.79</v>
      </c>
      <c r="K244" s="88">
        <v>162.62</v>
      </c>
      <c r="L244" s="88">
        <v>163.28</v>
      </c>
      <c r="M244" s="89">
        <v>1143996.7501000001</v>
      </c>
      <c r="N244" s="87" t="s">
        <v>263</v>
      </c>
      <c r="O244" s="25">
        <f t="shared" si="1"/>
        <v>2.6947574718274581E-3</v>
      </c>
      <c r="Q244" s="90">
        <v>1.2500000000000001E-2</v>
      </c>
      <c r="R244">
        <v>43</v>
      </c>
      <c r="T244" s="25">
        <f t="shared" si="5"/>
        <v>7.4999999999999997E-3</v>
      </c>
      <c r="U244" s="1">
        <f t="shared" si="3"/>
        <v>17.414103002031656</v>
      </c>
    </row>
    <row r="245" spans="1:21" ht="15">
      <c r="A245" s="88">
        <v>680.46068455408908</v>
      </c>
      <c r="B245" s="88">
        <v>686.43532506138001</v>
      </c>
      <c r="C245" s="88">
        <v>679.82232563511309</v>
      </c>
      <c r="D245" s="88">
        <v>684.90924827070296</v>
      </c>
      <c r="E245" s="89">
        <v>5335666.9989599632</v>
      </c>
      <c r="F245" s="87" t="s">
        <v>264</v>
      </c>
      <c r="G245" s="25">
        <f t="shared" si="0"/>
        <v>-6.4951141013877001E-3</v>
      </c>
      <c r="I245" s="88">
        <v>167.37</v>
      </c>
      <c r="J245" s="88">
        <v>168.25</v>
      </c>
      <c r="K245" s="88">
        <v>161.9</v>
      </c>
      <c r="L245" s="88">
        <v>164.13</v>
      </c>
      <c r="M245" s="89">
        <v>1652180.4006000001</v>
      </c>
      <c r="N245" s="87" t="s">
        <v>264</v>
      </c>
      <c r="O245" s="25">
        <f t="shared" si="1"/>
        <v>1.9740449643575353E-2</v>
      </c>
      <c r="Q245" s="90">
        <v>1.5000000000000001E-2</v>
      </c>
      <c r="R245">
        <v>41</v>
      </c>
      <c r="T245" s="25">
        <f t="shared" si="5"/>
        <v>0.01</v>
      </c>
      <c r="U245" s="1">
        <f t="shared" si="3"/>
        <v>16.495259044535366</v>
      </c>
    </row>
    <row r="246" spans="1:21" ht="15">
      <c r="A246" s="88">
        <v>681.41822293255291</v>
      </c>
      <c r="B246" s="88">
        <v>685.10404748457177</v>
      </c>
      <c r="C246" s="88">
        <v>679.17399235802793</v>
      </c>
      <c r="D246" s="88">
        <v>680.37091533110799</v>
      </c>
      <c r="E246" s="89">
        <v>5642108.8555283593</v>
      </c>
      <c r="F246" s="87" t="s">
        <v>265</v>
      </c>
      <c r="G246" s="25">
        <f t="shared" si="0"/>
        <v>1.5393185949685861E-3</v>
      </c>
      <c r="I246" s="88">
        <v>164.06</v>
      </c>
      <c r="J246" s="88">
        <v>165.54</v>
      </c>
      <c r="K246" s="88">
        <v>159.00640000000001</v>
      </c>
      <c r="L246" s="88">
        <v>162.25</v>
      </c>
      <c r="M246" s="89">
        <v>1395466.0933000001</v>
      </c>
      <c r="N246" s="87" t="s">
        <v>265</v>
      </c>
      <c r="O246" s="25">
        <f t="shared" si="1"/>
        <v>1.1155624036979894E-2</v>
      </c>
      <c r="Q246" s="90">
        <v>1.7500000000000002E-2</v>
      </c>
      <c r="R246">
        <v>30</v>
      </c>
      <c r="T246" s="25">
        <f t="shared" si="5"/>
        <v>1.2500000000000001E-2</v>
      </c>
      <c r="U246" s="1">
        <f t="shared" si="3"/>
        <v>15.408139313378282</v>
      </c>
    </row>
    <row r="247" spans="1:21" ht="15">
      <c r="A247" s="88">
        <v>688.37035053452598</v>
      </c>
      <c r="B247" s="88">
        <v>691.77160664969495</v>
      </c>
      <c r="C247" s="88">
        <v>685.66729948698696</v>
      </c>
      <c r="D247" s="88">
        <v>690.20563242658204</v>
      </c>
      <c r="E247" s="89">
        <v>4734752.0055839214</v>
      </c>
      <c r="F247" s="87" t="s">
        <v>266</v>
      </c>
      <c r="G247" s="25">
        <f t="shared" si="0"/>
        <v>-2.6590363883349788E-3</v>
      </c>
      <c r="I247" s="88">
        <v>164.43</v>
      </c>
      <c r="J247" s="88">
        <v>169.85</v>
      </c>
      <c r="K247" s="88">
        <v>161.13499999999999</v>
      </c>
      <c r="L247" s="88">
        <v>161.13499999999999</v>
      </c>
      <c r="M247" s="89">
        <v>1497110.6427</v>
      </c>
      <c r="N247" s="87" t="s">
        <v>266</v>
      </c>
      <c r="O247" s="25">
        <f t="shared" si="1"/>
        <v>2.0448692090483167E-2</v>
      </c>
      <c r="Q247" s="90">
        <v>0.02</v>
      </c>
      <c r="R247">
        <v>24</v>
      </c>
      <c r="T247" s="25">
        <f t="shared" si="5"/>
        <v>1.5000000000000001E-2</v>
      </c>
      <c r="U247" s="1">
        <f t="shared" si="3"/>
        <v>14.193002454515554</v>
      </c>
    </row>
    <row r="248" spans="1:21" ht="15">
      <c r="A248" s="88">
        <v>692.02096560242001</v>
      </c>
      <c r="B248" s="88">
        <v>692.71917067004995</v>
      </c>
      <c r="C248" s="88">
        <v>687.81178648042203</v>
      </c>
      <c r="D248" s="88">
        <v>691.49232462264297</v>
      </c>
      <c r="E248" s="89">
        <v>4120626.0035835658</v>
      </c>
      <c r="F248" s="87" t="s">
        <v>267</v>
      </c>
      <c r="G248" s="25">
        <f t="shared" si="0"/>
        <v>7.6449291041003065E-4</v>
      </c>
      <c r="I248" s="88">
        <v>159.28</v>
      </c>
      <c r="J248" s="88">
        <v>163.78</v>
      </c>
      <c r="K248" s="88">
        <v>156.78</v>
      </c>
      <c r="L248" s="88">
        <v>158.375</v>
      </c>
      <c r="M248" s="89">
        <v>1331199.8093000001</v>
      </c>
      <c r="N248" s="87" t="s">
        <v>267</v>
      </c>
      <c r="O248" s="25">
        <f t="shared" si="1"/>
        <v>5.7142857142857828E-3</v>
      </c>
      <c r="Q248" s="90">
        <v>2.2499999999999999E-2</v>
      </c>
      <c r="R248">
        <v>19</v>
      </c>
      <c r="T248" s="25">
        <f t="shared" si="5"/>
        <v>1.7500000000000002E-2</v>
      </c>
      <c r="U248" s="1">
        <f t="shared" si="3"/>
        <v>12.892329135347687</v>
      </c>
    </row>
    <row r="249" spans="1:21" ht="15">
      <c r="A249" s="88">
        <v>689.32788891299003</v>
      </c>
      <c r="B249" s="88">
        <v>690.62455546716001</v>
      </c>
      <c r="C249" s="88">
        <v>686.43532506138001</v>
      </c>
      <c r="D249" s="88">
        <v>688.44017104128909</v>
      </c>
      <c r="E249" s="89">
        <v>4581788.9784570597</v>
      </c>
      <c r="F249" s="87" t="s">
        <v>268</v>
      </c>
      <c r="G249" s="25">
        <f t="shared" si="0"/>
        <v>1.289462627316329E-3</v>
      </c>
      <c r="I249" s="88">
        <v>159.12</v>
      </c>
      <c r="J249" s="88">
        <v>160.1</v>
      </c>
      <c r="K249" s="88">
        <v>153.84</v>
      </c>
      <c r="L249" s="88">
        <v>158.80000000000001</v>
      </c>
      <c r="M249" s="89">
        <v>1942091.4142</v>
      </c>
      <c r="N249" s="87" t="s">
        <v>268</v>
      </c>
      <c r="O249" s="25">
        <f t="shared" si="1"/>
        <v>2.01511335012583E-3</v>
      </c>
      <c r="Q249" s="90">
        <v>2.4999999999999998E-2</v>
      </c>
      <c r="R249">
        <v>23</v>
      </c>
      <c r="T249" s="25">
        <f t="shared" si="5"/>
        <v>0.02</v>
      </c>
      <c r="U249" s="1">
        <f t="shared" si="3"/>
        <v>11.548391963762434</v>
      </c>
    </row>
    <row r="250" spans="1:21" ht="15">
      <c r="A250" s="88">
        <v>686.73455580464997</v>
      </c>
      <c r="B250" s="88">
        <v>691.18311952126408</v>
      </c>
      <c r="C250" s="88">
        <v>685.77701742618592</v>
      </c>
      <c r="D250" s="88">
        <v>689.82660681844004</v>
      </c>
      <c r="E250" s="89">
        <v>6604827.383584369</v>
      </c>
      <c r="F250" s="87" t="s">
        <v>269</v>
      </c>
      <c r="G250" s="25">
        <f t="shared" si="0"/>
        <v>-4.4823597455176944E-3</v>
      </c>
      <c r="I250" s="88">
        <v>162.06</v>
      </c>
      <c r="J250" s="88">
        <v>164.45</v>
      </c>
      <c r="K250" s="88">
        <v>161.22999999999999</v>
      </c>
      <c r="L250" s="88">
        <v>161.47999999999999</v>
      </c>
      <c r="M250" s="89">
        <v>1616672.1851999999</v>
      </c>
      <c r="N250" s="87" t="s">
        <v>269</v>
      </c>
      <c r="O250" s="25">
        <f t="shared" si="1"/>
        <v>3.5917760713402025E-3</v>
      </c>
      <c r="Q250" s="90">
        <v>2.7499999999999997E-2</v>
      </c>
      <c r="R250">
        <v>16</v>
      </c>
      <c r="T250" s="25">
        <f t="shared" si="5"/>
        <v>2.2499999999999999E-2</v>
      </c>
      <c r="U250" s="1">
        <f t="shared" si="3"/>
        <v>10.201045212430323</v>
      </c>
    </row>
    <row r="251" spans="1:21" ht="15">
      <c r="A251" s="88">
        <v>692.08081175107407</v>
      </c>
      <c r="B251" s="88">
        <v>692.54960658219704</v>
      </c>
      <c r="C251" s="88">
        <v>685.86678664916701</v>
      </c>
      <c r="D251" s="88">
        <v>689.47750428462496</v>
      </c>
      <c r="E251" s="89">
        <v>4678890.4153030142</v>
      </c>
      <c r="F251" s="87" t="s">
        <v>270</v>
      </c>
      <c r="G251" s="25">
        <f t="shared" si="0"/>
        <v>3.7757685352624026E-3</v>
      </c>
      <c r="I251" s="88">
        <v>161.28</v>
      </c>
      <c r="J251" s="88">
        <v>161.82</v>
      </c>
      <c r="K251" s="88">
        <v>158.30000000000001</v>
      </c>
      <c r="L251" s="88">
        <v>159.21</v>
      </c>
      <c r="M251" s="89">
        <v>723083.97239999997</v>
      </c>
      <c r="N251" s="87" t="s">
        <v>270</v>
      </c>
      <c r="O251" s="25">
        <f t="shared" si="1"/>
        <v>1.3001695873374741E-2</v>
      </c>
      <c r="Q251" s="90">
        <v>2.9999999999999995E-2</v>
      </c>
      <c r="R251">
        <v>12</v>
      </c>
      <c r="T251" s="25">
        <f t="shared" si="5"/>
        <v>2.4999999999999998E-2</v>
      </c>
      <c r="U251" s="1">
        <f t="shared" si="3"/>
        <v>8.8858883905885779</v>
      </c>
    </row>
    <row r="252" spans="1:21" ht="15">
      <c r="A252" s="88">
        <v>688.918940230521</v>
      </c>
      <c r="B252" s="88">
        <v>689.41386787988961</v>
      </c>
      <c r="C252" s="88">
        <v>683.53278685166094</v>
      </c>
      <c r="D252" s="88">
        <v>685.18853029775505</v>
      </c>
      <c r="E252" s="89">
        <v>6412322.7891014963</v>
      </c>
      <c r="F252" s="87" t="s">
        <v>271</v>
      </c>
      <c r="G252" s="25">
        <f t="shared" ref="G252:G315" si="6">A252/D252-1</f>
        <v>5.4443554843874864E-3</v>
      </c>
      <c r="I252" s="88">
        <v>158.29</v>
      </c>
      <c r="J252" s="88">
        <v>158.63</v>
      </c>
      <c r="K252" s="88">
        <v>152.78</v>
      </c>
      <c r="L252" s="88">
        <v>156.4</v>
      </c>
      <c r="M252" s="89">
        <v>1069923.9356</v>
      </c>
      <c r="N252" s="87" t="s">
        <v>271</v>
      </c>
      <c r="O252" s="25">
        <f t="shared" ref="O252:O315" si="7">I252/L252-1</f>
        <v>1.2084398976982103E-2</v>
      </c>
      <c r="Q252" s="90">
        <v>3.2499999999999994E-2</v>
      </c>
      <c r="R252">
        <v>11</v>
      </c>
      <c r="T252" s="25">
        <f t="shared" si="5"/>
        <v>2.7499999999999997E-2</v>
      </c>
      <c r="U252" s="1">
        <f t="shared" si="3"/>
        <v>7.632908579209909</v>
      </c>
    </row>
    <row r="253" spans="1:21" ht="15">
      <c r="A253" s="88">
        <v>683.50286377733403</v>
      </c>
      <c r="B253" s="88">
        <v>684.08137654765608</v>
      </c>
      <c r="C253" s="88">
        <v>677.98704374305703</v>
      </c>
      <c r="D253" s="88">
        <v>681.34840242579003</v>
      </c>
      <c r="E253" s="89">
        <v>4817716.278067112</v>
      </c>
      <c r="F253" s="87" t="s">
        <v>272</v>
      </c>
      <c r="G253" s="25">
        <f t="shared" si="6"/>
        <v>3.1620553359683612E-3</v>
      </c>
      <c r="I253" s="88">
        <v>157.46</v>
      </c>
      <c r="J253" s="88">
        <v>160.47999999999999</v>
      </c>
      <c r="K253" s="88">
        <v>156.80000000000001</v>
      </c>
      <c r="L253" s="88">
        <v>160.47999999999999</v>
      </c>
      <c r="M253" s="89">
        <v>976821.77119999996</v>
      </c>
      <c r="N253" s="87" t="s">
        <v>272</v>
      </c>
      <c r="O253" s="25">
        <f t="shared" si="7"/>
        <v>-1.8818544366899226E-2</v>
      </c>
      <c r="Q253" s="90">
        <v>3.4999999999999996E-2</v>
      </c>
      <c r="R253">
        <v>7</v>
      </c>
      <c r="T253" s="25">
        <f t="shared" si="5"/>
        <v>2.9999999999999995E-2</v>
      </c>
      <c r="U253" s="1">
        <f t="shared" si="3"/>
        <v>6.465651503362877</v>
      </c>
    </row>
    <row r="254" spans="1:21" ht="15">
      <c r="A254" s="88">
        <v>685.31819695317199</v>
      </c>
      <c r="B254" s="88">
        <v>688.47009411561601</v>
      </c>
      <c r="C254" s="88">
        <v>683.23255867258013</v>
      </c>
      <c r="D254" s="88">
        <v>687.81178648042203</v>
      </c>
      <c r="E254" s="89">
        <v>4828423.4676258704</v>
      </c>
      <c r="F254" s="87" t="s">
        <v>273</v>
      </c>
      <c r="G254" s="25">
        <f t="shared" si="6"/>
        <v>-3.6253951680733643E-3</v>
      </c>
      <c r="I254" s="88">
        <v>161.55000000000001</v>
      </c>
      <c r="J254" s="88">
        <v>163.935</v>
      </c>
      <c r="K254" s="88">
        <v>158.85499999999999</v>
      </c>
      <c r="L254" s="88">
        <v>163.83000000000001</v>
      </c>
      <c r="M254" s="89">
        <v>934582.52749999997</v>
      </c>
      <c r="N254" s="87" t="s">
        <v>273</v>
      </c>
      <c r="O254" s="25">
        <f t="shared" si="7"/>
        <v>-1.3916865043032467E-2</v>
      </c>
      <c r="Q254" s="90">
        <v>3.7499999999999999E-2</v>
      </c>
      <c r="R254">
        <v>2</v>
      </c>
      <c r="T254" s="25">
        <f t="shared" si="5"/>
        <v>3.2499999999999994E-2</v>
      </c>
      <c r="U254" s="1">
        <f t="shared" si="3"/>
        <v>5.4009175747373925</v>
      </c>
    </row>
    <row r="255" spans="1:21" ht="15">
      <c r="A255" s="88">
        <v>688.84911972375801</v>
      </c>
      <c r="B255" s="88">
        <v>689.80167092316753</v>
      </c>
      <c r="C255" s="88">
        <v>685.23840208829995</v>
      </c>
      <c r="D255" s="88">
        <v>686.34555583839904</v>
      </c>
      <c r="E255" s="89">
        <v>5589993.0189683149</v>
      </c>
      <c r="F255" s="87" t="s">
        <v>274</v>
      </c>
      <c r="G255" s="25">
        <f t="shared" si="6"/>
        <v>3.6476726104837098E-3</v>
      </c>
      <c r="I255" s="88">
        <v>159.77000000000001</v>
      </c>
      <c r="J255" s="88">
        <v>164.4</v>
      </c>
      <c r="K255" s="88">
        <v>153.63999999999999</v>
      </c>
      <c r="L255" s="88">
        <v>163.69999999999999</v>
      </c>
      <c r="M255" s="89">
        <v>1365412.0645000001</v>
      </c>
      <c r="N255" s="87" t="s">
        <v>274</v>
      </c>
      <c r="O255" s="25">
        <f t="shared" si="7"/>
        <v>-2.4007330482589961E-2</v>
      </c>
      <c r="Q255" s="90">
        <v>0.04</v>
      </c>
      <c r="R255">
        <v>8</v>
      </c>
      <c r="T255" s="25">
        <f t="shared" si="5"/>
        <v>3.4999999999999996E-2</v>
      </c>
      <c r="U255" s="1">
        <f t="shared" si="3"/>
        <v>4.4489326508278495</v>
      </c>
    </row>
    <row r="256" spans="1:21" ht="15">
      <c r="A256" s="88">
        <v>683.08394073675606</v>
      </c>
      <c r="B256" s="88">
        <v>688.72942742645</v>
      </c>
      <c r="C256" s="88">
        <v>678.47080011134358</v>
      </c>
      <c r="D256" s="88">
        <v>685.21845337208197</v>
      </c>
      <c r="E256" s="89">
        <v>6998762.9653091291</v>
      </c>
      <c r="F256" s="87" t="s">
        <v>275</v>
      </c>
      <c r="G256" s="25">
        <f t="shared" si="6"/>
        <v>-3.1150834085416079E-3</v>
      </c>
      <c r="I256" s="88">
        <v>164.48</v>
      </c>
      <c r="J256" s="88">
        <v>167.82</v>
      </c>
      <c r="K256" s="88">
        <v>159.31</v>
      </c>
      <c r="L256" s="88">
        <v>160.81</v>
      </c>
      <c r="M256" s="89">
        <v>1495133.5031999999</v>
      </c>
      <c r="N256" s="87" t="s">
        <v>275</v>
      </c>
      <c r="O256" s="25">
        <f t="shared" si="7"/>
        <v>2.2821963808220769E-2</v>
      </c>
      <c r="Q256" s="90">
        <v>4.2500000000000003E-2</v>
      </c>
      <c r="R256">
        <v>7</v>
      </c>
      <c r="T256" s="25">
        <f t="shared" si="5"/>
        <v>3.7499999999999999E-2</v>
      </c>
      <c r="U256" s="1">
        <f t="shared" si="3"/>
        <v>3.613908381669114</v>
      </c>
    </row>
    <row r="257" spans="1:21" ht="15">
      <c r="A257" s="88">
        <v>683.70235093951408</v>
      </c>
      <c r="B257" s="88">
        <v>687.06370962224707</v>
      </c>
      <c r="C257" s="88">
        <v>680.55045377706995</v>
      </c>
      <c r="D257" s="88">
        <v>682.97422279755699</v>
      </c>
      <c r="E257" s="89">
        <v>8650055.3813231848</v>
      </c>
      <c r="F257" s="87" t="s">
        <v>276</v>
      </c>
      <c r="G257" s="25">
        <f t="shared" si="6"/>
        <v>1.0661136506362467E-3</v>
      </c>
      <c r="I257" s="88">
        <v>159.79</v>
      </c>
      <c r="J257" s="88">
        <v>160.44999999999999</v>
      </c>
      <c r="K257" s="88">
        <v>154.49</v>
      </c>
      <c r="L257" s="88">
        <v>157.69</v>
      </c>
      <c r="M257" s="89">
        <v>1553197.7401000001</v>
      </c>
      <c r="N257" s="87" t="s">
        <v>276</v>
      </c>
      <c r="O257" s="25">
        <f t="shared" si="7"/>
        <v>1.3317268057581266E-2</v>
      </c>
      <c r="Q257" s="90">
        <v>4.5000000000000005E-2</v>
      </c>
      <c r="R257">
        <v>2</v>
      </c>
      <c r="T257" s="25">
        <f t="shared" si="5"/>
        <v>0.04</v>
      </c>
      <c r="U257" s="1">
        <f t="shared" si="3"/>
        <v>2.8948860291904936</v>
      </c>
    </row>
    <row r="258" spans="1:21" ht="15">
      <c r="A258" s="88">
        <v>685.04888928422895</v>
      </c>
      <c r="B258" s="88">
        <v>685.76604563226613</v>
      </c>
      <c r="C258" s="88">
        <v>679.24381286479104</v>
      </c>
      <c r="D258" s="88">
        <v>679.57296668238803</v>
      </c>
      <c r="E258" s="89">
        <v>9879044.6329662669</v>
      </c>
      <c r="F258" s="87" t="s">
        <v>277</v>
      </c>
      <c r="G258" s="25">
        <f t="shared" si="6"/>
        <v>8.0578876298948998E-3</v>
      </c>
      <c r="I258" s="88">
        <v>152.25</v>
      </c>
      <c r="J258" s="88">
        <v>157.16999999999999</v>
      </c>
      <c r="K258" s="88">
        <v>152.16</v>
      </c>
      <c r="L258" s="88">
        <v>156.03</v>
      </c>
      <c r="M258" s="89">
        <v>1061909.8152999999</v>
      </c>
      <c r="N258" s="87" t="s">
        <v>277</v>
      </c>
      <c r="O258" s="25">
        <f t="shared" si="7"/>
        <v>-2.4226110363391617E-2</v>
      </c>
      <c r="Q258" s="90">
        <v>4.7500000000000007E-2</v>
      </c>
      <c r="R258">
        <v>4</v>
      </c>
      <c r="T258" s="25">
        <f t="shared" si="5"/>
        <v>4.2500000000000003E-2</v>
      </c>
      <c r="U258" s="1">
        <f t="shared" si="3"/>
        <v>2.2867507356336136</v>
      </c>
    </row>
    <row r="259" spans="1:21" ht="15">
      <c r="A259" s="88">
        <v>679.26376158100902</v>
      </c>
      <c r="B259" s="88">
        <v>679.81733845605856</v>
      </c>
      <c r="C259" s="88">
        <v>671.20448022893697</v>
      </c>
      <c r="D259" s="88">
        <v>675.27401833740896</v>
      </c>
      <c r="E259" s="89">
        <v>5663751.7172183972</v>
      </c>
      <c r="F259" s="87" t="s">
        <v>278</v>
      </c>
      <c r="G259" s="25">
        <f t="shared" si="6"/>
        <v>5.9083322255211179E-3</v>
      </c>
      <c r="I259" s="88">
        <v>157.74</v>
      </c>
      <c r="J259" s="88">
        <v>160.69999999999999</v>
      </c>
      <c r="K259" s="88">
        <v>156.72999999999999</v>
      </c>
      <c r="L259" s="88">
        <v>158.22</v>
      </c>
      <c r="M259" s="89">
        <v>1559926.6980000001</v>
      </c>
      <c r="N259" s="87" t="s">
        <v>278</v>
      </c>
      <c r="O259" s="25">
        <f t="shared" si="7"/>
        <v>-3.0337504740234333E-3</v>
      </c>
      <c r="Q259" s="90">
        <v>5.000000000000001E-2</v>
      </c>
      <c r="R259">
        <v>3</v>
      </c>
      <c r="T259" s="25">
        <f t="shared" si="5"/>
        <v>4.5000000000000005E-2</v>
      </c>
      <c r="U259" s="1">
        <f t="shared" si="3"/>
        <v>1.7813087845801057</v>
      </c>
    </row>
    <row r="260" spans="1:21" ht="15">
      <c r="A260" s="88">
        <v>668.54132661383403</v>
      </c>
      <c r="B260" s="88">
        <v>675.21915936780954</v>
      </c>
      <c r="C260" s="88">
        <v>666.38686526229003</v>
      </c>
      <c r="D260" s="88">
        <v>668.24209587056407</v>
      </c>
      <c r="E260" s="89">
        <v>5950907.8819259387</v>
      </c>
      <c r="F260" s="87" t="s">
        <v>279</v>
      </c>
      <c r="G260" s="25">
        <f t="shared" si="6"/>
        <v>4.4778792763744413E-4</v>
      </c>
      <c r="I260" s="88">
        <v>158.25</v>
      </c>
      <c r="J260" s="88">
        <v>160.91999999999999</v>
      </c>
      <c r="K260" s="88">
        <v>154.44999999999999</v>
      </c>
      <c r="L260" s="88">
        <v>154.44999999999999</v>
      </c>
      <c r="M260" s="89">
        <v>2669339.9029999999</v>
      </c>
      <c r="N260" s="87" t="s">
        <v>279</v>
      </c>
      <c r="O260" s="25">
        <f t="shared" si="7"/>
        <v>2.4603431531240005E-2</v>
      </c>
      <c r="Q260" s="90">
        <v>5.2500000000000012E-2</v>
      </c>
      <c r="R260">
        <v>3</v>
      </c>
      <c r="T260" s="25">
        <f t="shared" si="5"/>
        <v>4.7500000000000007E-2</v>
      </c>
      <c r="U260" s="1">
        <f t="shared" si="3"/>
        <v>1.3683355708245384</v>
      </c>
    </row>
    <row r="261" spans="1:21" ht="15">
      <c r="A261" s="88">
        <v>672.02018322258823</v>
      </c>
      <c r="B261" s="88">
        <v>677.81834762475421</v>
      </c>
      <c r="C261" s="88">
        <v>668.90727506156247</v>
      </c>
      <c r="D261" s="88">
        <v>677.42053188532611</v>
      </c>
      <c r="E261" s="89">
        <v>23415648.27321526</v>
      </c>
      <c r="F261" s="87" t="s">
        <v>280</v>
      </c>
      <c r="G261" s="25">
        <f t="shared" si="6"/>
        <v>-7.9719294124555029E-3</v>
      </c>
      <c r="I261" s="88">
        <v>153.82</v>
      </c>
      <c r="J261" s="88">
        <v>154.22999999999999</v>
      </c>
      <c r="K261" s="88">
        <v>148.02000000000001</v>
      </c>
      <c r="L261" s="88">
        <v>148.18</v>
      </c>
      <c r="M261" s="89">
        <v>2007363.5348</v>
      </c>
      <c r="N261" s="87" t="s">
        <v>280</v>
      </c>
      <c r="O261" s="25">
        <f t="shared" si="7"/>
        <v>3.8061816709407337E-2</v>
      </c>
      <c r="Q261" s="90">
        <v>5.5000000000000014E-2</v>
      </c>
      <c r="R261">
        <v>0</v>
      </c>
      <c r="T261" s="25">
        <f t="shared" si="5"/>
        <v>5.000000000000001E-2</v>
      </c>
      <c r="U261" s="1">
        <f t="shared" si="3"/>
        <v>1.036523252649473</v>
      </c>
    </row>
    <row r="262" spans="1:21" ht="15">
      <c r="A262" s="88">
        <v>672.00029243561676</v>
      </c>
      <c r="B262" s="88">
        <v>678.34545347949677</v>
      </c>
      <c r="C262" s="88">
        <v>670.00126834498997</v>
      </c>
      <c r="D262" s="88">
        <v>673.97942573927207</v>
      </c>
      <c r="E262" s="89">
        <v>9618278.8695581611</v>
      </c>
      <c r="F262" s="87" t="s">
        <v>281</v>
      </c>
      <c r="G262" s="25">
        <f t="shared" si="6"/>
        <v>-2.9364891984416941E-3</v>
      </c>
      <c r="I262" s="88">
        <v>148.88</v>
      </c>
      <c r="J262" s="88">
        <v>149.625</v>
      </c>
      <c r="K262" s="88">
        <v>144.82</v>
      </c>
      <c r="L262" s="88">
        <v>144.83000000000001</v>
      </c>
      <c r="M262" s="89">
        <v>1385238.1661</v>
      </c>
      <c r="N262" s="87" t="s">
        <v>281</v>
      </c>
      <c r="O262" s="25">
        <f t="shared" si="7"/>
        <v>2.7963819650624666E-2</v>
      </c>
      <c r="Q262" s="90">
        <v>5.7500000000000016E-2</v>
      </c>
      <c r="R262">
        <v>0</v>
      </c>
      <c r="T262" s="25">
        <f t="shared" si="5"/>
        <v>5.2500000000000012E-2</v>
      </c>
      <c r="U262" s="1">
        <f t="shared" si="3"/>
        <v>0.77428082936888942</v>
      </c>
    </row>
    <row r="263" spans="1:21" ht="15">
      <c r="A263" s="88">
        <v>672.64674301218759</v>
      </c>
      <c r="B263" s="88">
        <v>678.00611665376437</v>
      </c>
      <c r="C263" s="88">
        <v>671.33395107207446</v>
      </c>
      <c r="D263" s="88">
        <v>672.66166110241613</v>
      </c>
      <c r="E263" s="89">
        <v>17308363.329658005</v>
      </c>
      <c r="F263" s="87" t="s">
        <v>282</v>
      </c>
      <c r="G263" s="25">
        <f t="shared" si="6"/>
        <v>-2.2177702537873323E-5</v>
      </c>
      <c r="I263" s="88">
        <v>143.9</v>
      </c>
      <c r="J263" s="88">
        <v>145.74</v>
      </c>
      <c r="K263" s="88">
        <v>141.4</v>
      </c>
      <c r="L263" s="88">
        <v>143</v>
      </c>
      <c r="M263" s="89">
        <v>1852502.3869</v>
      </c>
      <c r="N263" s="87" t="s">
        <v>282</v>
      </c>
      <c r="O263" s="25">
        <f t="shared" si="7"/>
        <v>6.2937062937062915E-3</v>
      </c>
      <c r="Q263" s="90">
        <v>6.0000000000000019E-2</v>
      </c>
      <c r="R263">
        <v>2</v>
      </c>
      <c r="T263" s="25">
        <f t="shared" si="5"/>
        <v>5.5000000000000014E-2</v>
      </c>
      <c r="U263" s="1">
        <f t="shared" si="3"/>
        <v>0.57036253294893624</v>
      </c>
    </row>
    <row r="264" spans="1:21" ht="15">
      <c r="A264" s="88">
        <v>682.35344705423586</v>
      </c>
      <c r="B264" s="88">
        <v>687.72395953651665</v>
      </c>
      <c r="C264" s="88">
        <v>681.25945377080825</v>
      </c>
      <c r="D264" s="88">
        <v>685.40668285434731</v>
      </c>
      <c r="E264" s="89">
        <v>13399543.572563859</v>
      </c>
      <c r="F264" s="87" t="s">
        <v>283</v>
      </c>
      <c r="G264" s="25">
        <f t="shared" si="6"/>
        <v>-4.4546338349027437E-3</v>
      </c>
      <c r="I264" s="88">
        <v>138.97</v>
      </c>
      <c r="J264" s="88">
        <v>144.78</v>
      </c>
      <c r="K264" s="88">
        <v>138.79</v>
      </c>
      <c r="L264" s="88">
        <v>144.44999999999999</v>
      </c>
      <c r="M264" s="89">
        <v>1684704.8573</v>
      </c>
      <c r="N264" s="87" t="s">
        <v>283</v>
      </c>
      <c r="O264" s="25">
        <f t="shared" si="7"/>
        <v>-3.7937002422983701E-2</v>
      </c>
      <c r="Q264" s="90">
        <v>6.2500000000000014E-2</v>
      </c>
      <c r="R264">
        <v>1</v>
      </c>
      <c r="T264" s="25">
        <f t="shared" si="5"/>
        <v>5.7500000000000016E-2</v>
      </c>
      <c r="U264" s="1">
        <f t="shared" si="3"/>
        <v>0.4143205709978881</v>
      </c>
    </row>
    <row r="265" spans="1:21" ht="15">
      <c r="A265" s="88">
        <v>684.35247114486265</v>
      </c>
      <c r="B265" s="88">
        <v>685.93378870908975</v>
      </c>
      <c r="C265" s="88">
        <v>681.95563131480776</v>
      </c>
      <c r="D265" s="88">
        <v>685.53597296966154</v>
      </c>
      <c r="E265" s="89">
        <v>17814551.382371638</v>
      </c>
      <c r="F265" s="87" t="s">
        <v>284</v>
      </c>
      <c r="G265" s="25">
        <f t="shared" si="6"/>
        <v>-1.7263890903814749E-3</v>
      </c>
      <c r="I265" s="88">
        <v>145.76</v>
      </c>
      <c r="J265" s="88">
        <v>146.215</v>
      </c>
      <c r="K265" s="88">
        <v>142.10300000000001</v>
      </c>
      <c r="L265" s="88">
        <v>144.63999999999999</v>
      </c>
      <c r="M265" s="89">
        <v>2863931.7763</v>
      </c>
      <c r="N265" s="87" t="s">
        <v>284</v>
      </c>
      <c r="O265" s="25">
        <f t="shared" si="7"/>
        <v>7.7433628318583914E-3</v>
      </c>
      <c r="Q265" s="90">
        <v>6.5000000000000016E-2</v>
      </c>
      <c r="R265">
        <v>3</v>
      </c>
      <c r="T265" s="25">
        <f t="shared" si="5"/>
        <v>6.0000000000000019E-2</v>
      </c>
      <c r="U265" s="1">
        <f t="shared" si="3"/>
        <v>0.29679393995149594</v>
      </c>
    </row>
    <row r="266" spans="1:21" ht="15">
      <c r="A266" s="88">
        <v>677.68905750944009</v>
      </c>
      <c r="B266" s="88">
        <v>687.75379571697374</v>
      </c>
      <c r="C266" s="88">
        <v>675.92872286247029</v>
      </c>
      <c r="D266" s="88">
        <v>686.98800041857453</v>
      </c>
      <c r="E266" s="89">
        <v>15043100.550424442</v>
      </c>
      <c r="F266" s="87" t="s">
        <v>285</v>
      </c>
      <c r="G266" s="25">
        <f t="shared" si="6"/>
        <v>-1.3535815623371472E-2</v>
      </c>
      <c r="I266" s="88">
        <v>143.52000000000001</v>
      </c>
      <c r="J266" s="88">
        <v>150.82</v>
      </c>
      <c r="K266" s="88">
        <v>142.55000000000001</v>
      </c>
      <c r="L266" s="88">
        <v>147.96</v>
      </c>
      <c r="M266" s="89">
        <v>1205828.8766000001</v>
      </c>
      <c r="N266" s="87" t="s">
        <v>285</v>
      </c>
      <c r="O266" s="25">
        <f t="shared" si="7"/>
        <v>-3.0008110300081103E-2</v>
      </c>
      <c r="Q266" s="90">
        <v>6.7500000000000018E-2</v>
      </c>
      <c r="R266">
        <v>1</v>
      </c>
      <c r="T266" s="25">
        <f t="shared" si="5"/>
        <v>6.2500000000000014E-2</v>
      </c>
      <c r="U266" s="1">
        <f t="shared" si="3"/>
        <v>0.20965565776108025</v>
      </c>
    </row>
    <row r="267" spans="1:21" ht="15">
      <c r="A267" s="88">
        <v>685.98351567651832</v>
      </c>
      <c r="B267" s="88">
        <v>690.77719533662821</v>
      </c>
      <c r="C267" s="88">
        <v>685.67520847846151</v>
      </c>
      <c r="D267" s="88">
        <v>690.04123621868609</v>
      </c>
      <c r="E267" s="89">
        <v>13356562.333800968</v>
      </c>
      <c r="F267" s="87" t="s">
        <v>286</v>
      </c>
      <c r="G267" s="25">
        <f t="shared" si="6"/>
        <v>-5.8804029805572533E-3</v>
      </c>
      <c r="I267" s="88">
        <v>147.69</v>
      </c>
      <c r="J267" s="88">
        <v>150.88999999999999</v>
      </c>
      <c r="K267" s="88">
        <v>146.33320000000001</v>
      </c>
      <c r="L267" s="88">
        <v>149.69</v>
      </c>
      <c r="M267" s="89">
        <v>914158.43409999995</v>
      </c>
      <c r="N267" s="87" t="s">
        <v>286</v>
      </c>
      <c r="O267" s="25">
        <f t="shared" si="7"/>
        <v>-1.3360945954973613E-2</v>
      </c>
      <c r="Q267" s="90">
        <v>7.0000000000000021E-2</v>
      </c>
      <c r="R267">
        <v>1</v>
      </c>
      <c r="T267" s="25">
        <f t="shared" si="5"/>
        <v>6.5000000000000016E-2</v>
      </c>
      <c r="U267" s="1">
        <f t="shared" si="3"/>
        <v>0.14604650534171715</v>
      </c>
    </row>
    <row r="268" spans="1:21" ht="15.75" thickBot="1">
      <c r="A268" s="88">
        <v>690.04123621868609</v>
      </c>
      <c r="B268" s="88">
        <v>691.95075176794137</v>
      </c>
      <c r="C268" s="88">
        <v>687.48527009285976</v>
      </c>
      <c r="D268" s="88">
        <v>687.5250516668026</v>
      </c>
      <c r="E268" s="89">
        <v>14094112.851087499</v>
      </c>
      <c r="F268" s="87" t="s">
        <v>287</v>
      </c>
      <c r="G268" s="25">
        <f t="shared" si="6"/>
        <v>3.6597714451034324E-3</v>
      </c>
      <c r="I268" s="88">
        <v>148.13999999999999</v>
      </c>
      <c r="J268" s="88">
        <v>150.58000000000001</v>
      </c>
      <c r="K268" s="88">
        <v>147.46010000000001</v>
      </c>
      <c r="L268" s="88">
        <v>149.22999999999999</v>
      </c>
      <c r="M268" s="89">
        <v>1041094.2941000001</v>
      </c>
      <c r="N268" s="87" t="s">
        <v>287</v>
      </c>
      <c r="O268" s="25">
        <f t="shared" si="7"/>
        <v>-7.3041613616565693E-3</v>
      </c>
      <c r="Q268" s="91" t="s">
        <v>1211</v>
      </c>
      <c r="R268" s="91">
        <v>1</v>
      </c>
      <c r="T268" s="25">
        <f t="shared" si="5"/>
        <v>6.7500000000000018E-2</v>
      </c>
      <c r="U268" s="1">
        <f t="shared" si="3"/>
        <v>0.10032490963809799</v>
      </c>
    </row>
    <row r="269" spans="1:21">
      <c r="A269" s="88">
        <v>678.22610875766827</v>
      </c>
      <c r="B269" s="88">
        <v>680.70121883445574</v>
      </c>
      <c r="C269" s="88">
        <v>672.11963715744514</v>
      </c>
      <c r="D269" s="88">
        <v>677.355886827669</v>
      </c>
      <c r="E269" s="89">
        <v>6330869.3153768443</v>
      </c>
      <c r="F269" s="87" t="s">
        <v>288</v>
      </c>
      <c r="G269" s="25">
        <f t="shared" si="6"/>
        <v>1.2847336930588149E-3</v>
      </c>
      <c r="I269" s="88">
        <v>149.69999999999999</v>
      </c>
      <c r="J269" s="88">
        <v>150.6</v>
      </c>
      <c r="K269" s="88">
        <v>145.1431</v>
      </c>
      <c r="L269" s="88">
        <v>149.60499999999999</v>
      </c>
      <c r="M269" s="89">
        <v>992588.27780000004</v>
      </c>
      <c r="N269" s="87" t="s">
        <v>288</v>
      </c>
      <c r="O269" s="25">
        <f t="shared" si="7"/>
        <v>6.3500551452166931E-4</v>
      </c>
      <c r="T269" s="25">
        <f t="shared" si="5"/>
        <v>7.0000000000000021E-2</v>
      </c>
      <c r="U269" s="1">
        <f t="shared" si="3"/>
        <v>6.7960945150056504E-2</v>
      </c>
    </row>
    <row r="270" spans="1:21">
      <c r="A270" s="88">
        <v>674.52642238098588</v>
      </c>
      <c r="B270" s="88">
        <v>676.66468198041252</v>
      </c>
      <c r="C270" s="88">
        <v>662.36320614796841</v>
      </c>
      <c r="D270" s="88">
        <v>666.44081747710754</v>
      </c>
      <c r="E270" s="89">
        <v>19977996.368628435</v>
      </c>
      <c r="F270" s="87" t="s">
        <v>289</v>
      </c>
      <c r="G270" s="25">
        <f t="shared" si="6"/>
        <v>1.2132517534696241E-2</v>
      </c>
      <c r="I270" s="88">
        <v>149.19</v>
      </c>
      <c r="J270" s="88">
        <v>150.86000000000001</v>
      </c>
      <c r="K270" s="88">
        <v>147.34</v>
      </c>
      <c r="L270" s="88">
        <v>150.03</v>
      </c>
      <c r="M270" s="89">
        <v>1501319.0362</v>
      </c>
      <c r="N270" s="87" t="s">
        <v>289</v>
      </c>
      <c r="O270" s="25">
        <f t="shared" si="7"/>
        <v>-5.5988802239552715E-3</v>
      </c>
      <c r="T270" s="25">
        <f t="shared" ref="T270:T271" si="8">T269+0.0025</f>
        <v>7.2500000000000023E-2</v>
      </c>
      <c r="U270" s="1">
        <f t="shared" si="3"/>
        <v>4.5398663523431367E-2</v>
      </c>
    </row>
    <row r="271" spans="1:21">
      <c r="A271" s="88">
        <v>663.40747246396734</v>
      </c>
      <c r="B271" s="88">
        <v>675.16790026081389</v>
      </c>
      <c r="C271" s="88">
        <v>663.23840077471039</v>
      </c>
      <c r="D271" s="88">
        <v>670.63280083133236</v>
      </c>
      <c r="E271" s="89">
        <v>16398150.973655067</v>
      </c>
      <c r="F271" s="87" t="s">
        <v>290</v>
      </c>
      <c r="G271" s="25">
        <f t="shared" si="6"/>
        <v>-1.0773896472716982E-2</v>
      </c>
      <c r="I271" s="88">
        <v>150.71</v>
      </c>
      <c r="J271" s="88">
        <v>161.35</v>
      </c>
      <c r="K271" s="88">
        <v>149.285</v>
      </c>
      <c r="L271" s="88">
        <v>159</v>
      </c>
      <c r="M271" s="89">
        <v>1390135.2076999999</v>
      </c>
      <c r="N271" s="87" t="s">
        <v>290</v>
      </c>
      <c r="O271" s="25">
        <f t="shared" si="7"/>
        <v>-5.2138364779874213E-2</v>
      </c>
      <c r="T271" s="25">
        <f t="shared" si="8"/>
        <v>7.5000000000000025E-2</v>
      </c>
      <c r="U271" s="1">
        <f t="shared" si="3"/>
        <v>2.9906097919919106E-2</v>
      </c>
    </row>
    <row r="272" spans="1:21">
      <c r="A272" s="88">
        <v>673.99931652624355</v>
      </c>
      <c r="B272" s="88">
        <v>683.00984302429242</v>
      </c>
      <c r="C272" s="88">
        <v>660.69247949630471</v>
      </c>
      <c r="D272" s="88">
        <v>679.97649801115233</v>
      </c>
      <c r="E272" s="89">
        <v>13859820.889854478</v>
      </c>
      <c r="F272" s="87" t="s">
        <v>291</v>
      </c>
      <c r="G272" s="25">
        <f t="shared" si="6"/>
        <v>-8.7902765792513549E-3</v>
      </c>
      <c r="I272" s="88">
        <v>159.61000000000001</v>
      </c>
      <c r="J272" s="88">
        <v>160.87</v>
      </c>
      <c r="K272" s="88">
        <v>149.16999999999999</v>
      </c>
      <c r="L272" s="88">
        <v>150.93</v>
      </c>
      <c r="M272" s="89">
        <v>1819631.6676</v>
      </c>
      <c r="N272" s="87" t="s">
        <v>291</v>
      </c>
      <c r="O272" s="25">
        <f t="shared" si="7"/>
        <v>5.7510104021732067E-2</v>
      </c>
    </row>
    <row r="273" spans="1:15">
      <c r="A273" s="88">
        <v>675.96850443641301</v>
      </c>
      <c r="B273" s="88">
        <v>681.5478701818937</v>
      </c>
      <c r="C273" s="88">
        <v>674.99385587481402</v>
      </c>
      <c r="D273" s="88">
        <v>679.73780856749545</v>
      </c>
      <c r="E273" s="89">
        <v>8792759.6476389263</v>
      </c>
      <c r="F273" s="87" t="s">
        <v>292</v>
      </c>
      <c r="G273" s="25">
        <f t="shared" si="6"/>
        <v>-5.5452324169315004E-3</v>
      </c>
      <c r="I273" s="88">
        <v>151.51</v>
      </c>
      <c r="J273" s="88">
        <v>153.57</v>
      </c>
      <c r="K273" s="88">
        <v>150</v>
      </c>
      <c r="L273" s="88">
        <v>151.97499999999999</v>
      </c>
      <c r="M273" s="89">
        <v>1217337.8964</v>
      </c>
      <c r="N273" s="87" t="s">
        <v>292</v>
      </c>
      <c r="O273" s="25">
        <f t="shared" si="7"/>
        <v>-3.0597137687119469E-3</v>
      </c>
    </row>
    <row r="274" spans="1:15">
      <c r="A274" s="88">
        <v>674.29767833081462</v>
      </c>
      <c r="B274" s="88">
        <v>688.40024629354457</v>
      </c>
      <c r="C274" s="88">
        <v>672.55723447081618</v>
      </c>
      <c r="D274" s="88">
        <v>687.93281279971654</v>
      </c>
      <c r="E274" s="89">
        <v>10747916.965441236</v>
      </c>
      <c r="F274" s="87" t="s">
        <v>293</v>
      </c>
      <c r="G274" s="25">
        <f t="shared" si="6"/>
        <v>-1.9820444984169794E-2</v>
      </c>
      <c r="I274" s="88">
        <v>153.22</v>
      </c>
      <c r="J274" s="88">
        <v>154.71</v>
      </c>
      <c r="K274" s="88">
        <v>149.21</v>
      </c>
      <c r="L274" s="88">
        <v>149.22999999999999</v>
      </c>
      <c r="M274" s="89">
        <v>2306324.0292000002</v>
      </c>
      <c r="N274" s="87" t="s">
        <v>293</v>
      </c>
      <c r="O274" s="25">
        <f t="shared" si="7"/>
        <v>2.6737251222944458E-2</v>
      </c>
    </row>
    <row r="275" spans="1:15">
      <c r="A275" s="88">
        <v>692.25905896599818</v>
      </c>
      <c r="B275" s="88">
        <v>693.39283382336873</v>
      </c>
      <c r="C275" s="88">
        <v>687.12723592737439</v>
      </c>
      <c r="D275" s="88">
        <v>687.71401414303102</v>
      </c>
      <c r="E275" s="89">
        <v>6610989.7924604565</v>
      </c>
      <c r="F275" s="87" t="s">
        <v>294</v>
      </c>
      <c r="G275" s="25">
        <f t="shared" si="6"/>
        <v>6.6089169763841049E-3</v>
      </c>
      <c r="I275" s="88">
        <v>146.41</v>
      </c>
      <c r="J275" s="88">
        <v>151.14500000000001</v>
      </c>
      <c r="K275" s="88">
        <v>144.27010000000001</v>
      </c>
      <c r="L275" s="88">
        <v>146.97999999999999</v>
      </c>
      <c r="M275" s="89">
        <v>1408320.8236</v>
      </c>
      <c r="N275" s="87" t="s">
        <v>294</v>
      </c>
      <c r="O275" s="25">
        <f t="shared" si="7"/>
        <v>-3.8780786501564357E-3</v>
      </c>
    </row>
    <row r="276" spans="1:15">
      <c r="A276" s="88">
        <v>689.57380272485784</v>
      </c>
      <c r="B276" s="88">
        <v>693.84027707629059</v>
      </c>
      <c r="C276" s="88">
        <v>689.06658765708687</v>
      </c>
      <c r="D276" s="88">
        <v>693.27348910154024</v>
      </c>
      <c r="E276" s="89">
        <v>5914876.338231544</v>
      </c>
      <c r="F276" s="87" t="s">
        <v>295</v>
      </c>
      <c r="G276" s="25">
        <f t="shared" si="6"/>
        <v>-5.336546737820691E-3</v>
      </c>
      <c r="I276" s="88">
        <v>143.30000000000001</v>
      </c>
      <c r="J276" s="88">
        <v>145.33500000000001</v>
      </c>
      <c r="K276" s="88">
        <v>141.44999999999999</v>
      </c>
      <c r="L276" s="88">
        <v>144.47</v>
      </c>
      <c r="M276" s="89">
        <v>1140274.3515999999</v>
      </c>
      <c r="N276" s="87" t="s">
        <v>295</v>
      </c>
      <c r="O276" s="25">
        <f t="shared" si="7"/>
        <v>-8.0985671765763101E-3</v>
      </c>
    </row>
    <row r="277" spans="1:15">
      <c r="A277" s="88">
        <v>694.44704553285339</v>
      </c>
      <c r="B277" s="88">
        <v>695.33218555308122</v>
      </c>
      <c r="C277" s="88">
        <v>691.98058794839847</v>
      </c>
      <c r="D277" s="88">
        <v>692.25905896599818</v>
      </c>
      <c r="E277" s="89">
        <v>4724193.7123484621</v>
      </c>
      <c r="F277" s="87" t="s">
        <v>296</v>
      </c>
      <c r="G277" s="25">
        <f t="shared" si="6"/>
        <v>3.1606470706548873E-3</v>
      </c>
      <c r="I277" s="88">
        <v>142.43</v>
      </c>
      <c r="J277" s="88">
        <v>147.22499999999999</v>
      </c>
      <c r="K277" s="88">
        <v>141.06</v>
      </c>
      <c r="L277" s="88">
        <v>145.65</v>
      </c>
      <c r="M277" s="89">
        <v>1104354.5046000001</v>
      </c>
      <c r="N277" s="87" t="s">
        <v>296</v>
      </c>
      <c r="O277" s="25">
        <f t="shared" si="7"/>
        <v>-2.2107792653621727E-2</v>
      </c>
    </row>
    <row r="278" spans="1:15">
      <c r="A278" s="88">
        <v>693.49228775822564</v>
      </c>
      <c r="B278" s="88">
        <v>695.24267701170982</v>
      </c>
      <c r="C278" s="88">
        <v>690.15063554702886</v>
      </c>
      <c r="D278" s="88">
        <v>690.747359156171</v>
      </c>
      <c r="E278" s="89">
        <v>10003458.272314427</v>
      </c>
      <c r="F278" s="87" t="s">
        <v>297</v>
      </c>
      <c r="G278" s="25">
        <f t="shared" si="6"/>
        <v>3.9738531977999703E-3</v>
      </c>
      <c r="I278" s="88">
        <v>148.13</v>
      </c>
      <c r="J278" s="88">
        <v>150.41999999999999</v>
      </c>
      <c r="K278" s="88">
        <v>142.80000000000001</v>
      </c>
      <c r="L278" s="88">
        <v>146.51</v>
      </c>
      <c r="M278" s="89">
        <v>1315260.3030999999</v>
      </c>
      <c r="N278" s="87" t="s">
        <v>297</v>
      </c>
      <c r="O278" s="25">
        <f t="shared" si="7"/>
        <v>1.105726571565091E-2</v>
      </c>
    </row>
    <row r="279" spans="1:15">
      <c r="A279" s="88">
        <v>691.69217153731313</v>
      </c>
      <c r="B279" s="88">
        <v>693.19392595365457</v>
      </c>
      <c r="C279" s="88">
        <v>690.10090857960029</v>
      </c>
      <c r="D279" s="88">
        <v>691.20484725651352</v>
      </c>
      <c r="E279" s="89">
        <v>5066888.089891063</v>
      </c>
      <c r="F279" s="87" t="s">
        <v>298</v>
      </c>
      <c r="G279" s="25">
        <f t="shared" si="6"/>
        <v>7.0503597122306694E-4</v>
      </c>
      <c r="I279" s="88">
        <v>144.94</v>
      </c>
      <c r="J279" s="88">
        <v>145.13</v>
      </c>
      <c r="K279" s="88">
        <v>141.65</v>
      </c>
      <c r="L279" s="88">
        <v>142.11000000000001</v>
      </c>
      <c r="M279" s="89">
        <v>2076990.4010000001</v>
      </c>
      <c r="N279" s="87" t="s">
        <v>298</v>
      </c>
      <c r="O279" s="25">
        <f t="shared" si="7"/>
        <v>1.9914151009781111E-2</v>
      </c>
    </row>
    <row r="280" spans="1:15">
      <c r="A280" s="88">
        <v>690.12079936657165</v>
      </c>
      <c r="B280" s="88">
        <v>690.49872431902838</v>
      </c>
      <c r="C280" s="88">
        <v>685.08843026280488</v>
      </c>
      <c r="D280" s="88">
        <v>685.99346107000395</v>
      </c>
      <c r="E280" s="89">
        <v>8491219.4834100865</v>
      </c>
      <c r="F280" s="87" t="s">
        <v>299</v>
      </c>
      <c r="G280" s="25">
        <f t="shared" si="6"/>
        <v>6.016585479007297E-3</v>
      </c>
      <c r="I280" s="88">
        <v>142.65</v>
      </c>
      <c r="J280" s="88">
        <v>147.31</v>
      </c>
      <c r="K280" s="88">
        <v>140.63</v>
      </c>
      <c r="L280" s="88">
        <v>145.33000000000001</v>
      </c>
      <c r="M280" s="89">
        <v>2676655.7862999998</v>
      </c>
      <c r="N280" s="87" t="s">
        <v>299</v>
      </c>
      <c r="O280" s="25">
        <f t="shared" si="7"/>
        <v>-1.8440789926374546E-2</v>
      </c>
    </row>
    <row r="281" spans="1:15">
      <c r="A281" s="88">
        <v>686.19236893971811</v>
      </c>
      <c r="B281" s="88">
        <v>687.00789120554589</v>
      </c>
      <c r="C281" s="88">
        <v>684.16350866863422</v>
      </c>
      <c r="D281" s="88">
        <v>686.59018467914632</v>
      </c>
      <c r="E281" s="89">
        <v>7375641.7633382827</v>
      </c>
      <c r="F281" s="87" t="s">
        <v>300</v>
      </c>
      <c r="G281" s="25">
        <f t="shared" si="6"/>
        <v>-5.7940784518217825E-4</v>
      </c>
      <c r="I281" s="88">
        <v>146.01</v>
      </c>
      <c r="J281" s="88">
        <v>146.9</v>
      </c>
      <c r="K281" s="88">
        <v>141.02000000000001</v>
      </c>
      <c r="L281" s="88">
        <v>144</v>
      </c>
      <c r="M281" s="89">
        <v>2506808.7127</v>
      </c>
      <c r="N281" s="87" t="s">
        <v>300</v>
      </c>
      <c r="O281" s="25">
        <f t="shared" si="7"/>
        <v>1.3958333333333295E-2</v>
      </c>
    </row>
    <row r="282" spans="1:15">
      <c r="A282" s="88">
        <v>686.24209590714656</v>
      </c>
      <c r="B282" s="88">
        <v>687.73440219967665</v>
      </c>
      <c r="C282" s="88">
        <v>684.32263496440555</v>
      </c>
      <c r="D282" s="88">
        <v>685.88406174166118</v>
      </c>
      <c r="E282" s="89">
        <v>6639066.6588409934</v>
      </c>
      <c r="F282" s="87" t="s">
        <v>301</v>
      </c>
      <c r="G282" s="25">
        <f t="shared" si="6"/>
        <v>5.220039150293232E-4</v>
      </c>
      <c r="I282" s="88">
        <v>153.80000000000001</v>
      </c>
      <c r="J282" s="88">
        <v>156.5</v>
      </c>
      <c r="K282" s="88">
        <v>152.965</v>
      </c>
      <c r="L282" s="88">
        <v>154.88</v>
      </c>
      <c r="M282" s="89">
        <v>1252905.2039999999</v>
      </c>
      <c r="N282" s="87" t="s">
        <v>301</v>
      </c>
      <c r="O282" s="25">
        <f t="shared" si="7"/>
        <v>-6.9731404958676135E-3</v>
      </c>
    </row>
    <row r="283" spans="1:15">
      <c r="A283" s="88">
        <v>681.80645041252205</v>
      </c>
      <c r="B283" s="88">
        <v>684.81990463869079</v>
      </c>
      <c r="C283" s="88">
        <v>680.74219385561685</v>
      </c>
      <c r="D283" s="88">
        <v>682.35344705423586</v>
      </c>
      <c r="E283" s="89">
        <v>4287137.9216200598</v>
      </c>
      <c r="F283" s="87" t="s">
        <v>302</v>
      </c>
      <c r="G283" s="25">
        <f t="shared" si="6"/>
        <v>-8.0163241509989547E-4</v>
      </c>
      <c r="I283" s="88">
        <v>154.87</v>
      </c>
      <c r="J283" s="88">
        <v>155.89500000000001</v>
      </c>
      <c r="K283" s="88">
        <v>152.28</v>
      </c>
      <c r="L283" s="88">
        <v>154.55000000000001</v>
      </c>
      <c r="M283" s="89">
        <v>949126.40040000004</v>
      </c>
      <c r="N283" s="87" t="s">
        <v>302</v>
      </c>
      <c r="O283" s="25">
        <f t="shared" si="7"/>
        <v>2.0705273374312938E-3</v>
      </c>
    </row>
    <row r="284" spans="1:15">
      <c r="A284" s="88">
        <v>679.11124877789598</v>
      </c>
      <c r="B284" s="88">
        <v>681.08540938480849</v>
      </c>
      <c r="C284" s="88">
        <v>673.91975337835788</v>
      </c>
      <c r="D284" s="88">
        <v>675.37178082727087</v>
      </c>
      <c r="E284" s="89">
        <v>7328955.3834914351</v>
      </c>
      <c r="F284" s="87" t="s">
        <v>303</v>
      </c>
      <c r="G284" s="25">
        <f t="shared" si="6"/>
        <v>5.5369028685867683E-3</v>
      </c>
      <c r="I284" s="88">
        <v>156.88999999999999</v>
      </c>
      <c r="J284" s="88">
        <v>158.149</v>
      </c>
      <c r="K284" s="88">
        <v>153.53</v>
      </c>
      <c r="L284" s="88">
        <v>157.29</v>
      </c>
      <c r="M284" s="89">
        <v>1030504.9231</v>
      </c>
      <c r="N284" s="87" t="s">
        <v>303</v>
      </c>
      <c r="O284" s="25">
        <f t="shared" si="7"/>
        <v>-2.5430733040879838E-3</v>
      </c>
    </row>
    <row r="285" spans="1:15">
      <c r="A285" s="88">
        <v>677.84818380521142</v>
      </c>
      <c r="B285" s="88">
        <v>678.27583572509673</v>
      </c>
      <c r="C285" s="88">
        <v>671.05557950840955</v>
      </c>
      <c r="D285" s="88">
        <v>672.62685222521623</v>
      </c>
      <c r="E285" s="89">
        <v>5467375.9044481125</v>
      </c>
      <c r="F285" s="87" t="s">
        <v>304</v>
      </c>
      <c r="G285" s="25">
        <f t="shared" si="6"/>
        <v>7.762597586941089E-3</v>
      </c>
      <c r="I285" s="88">
        <v>156.59</v>
      </c>
      <c r="J285" s="88">
        <v>157.38</v>
      </c>
      <c r="K285" s="88">
        <v>150.07</v>
      </c>
      <c r="L285" s="88">
        <v>154.07</v>
      </c>
      <c r="M285" s="89">
        <v>1128603.3914000001</v>
      </c>
      <c r="N285" s="87" t="s">
        <v>304</v>
      </c>
      <c r="O285" s="25">
        <f t="shared" si="7"/>
        <v>1.6356201726487996E-2</v>
      </c>
    </row>
    <row r="286" spans="1:15">
      <c r="A286" s="88">
        <v>670.90629915218915</v>
      </c>
      <c r="B286" s="88">
        <v>674.44685923310021</v>
      </c>
      <c r="C286" s="88">
        <v>668.87743888110526</v>
      </c>
      <c r="D286" s="88">
        <v>671.87100232030252</v>
      </c>
      <c r="E286" s="89">
        <v>5625822.8939277111</v>
      </c>
      <c r="F286" s="87" t="s">
        <v>305</v>
      </c>
      <c r="G286" s="25">
        <f t="shared" si="6"/>
        <v>-1.4358458168037824E-3</v>
      </c>
      <c r="I286" s="88">
        <v>154.61000000000001</v>
      </c>
      <c r="J286" s="88">
        <v>158.32</v>
      </c>
      <c r="K286" s="88">
        <v>150.74</v>
      </c>
      <c r="L286" s="88">
        <v>153.22999999999999</v>
      </c>
      <c r="M286" s="89">
        <v>1390871.5656000001</v>
      </c>
      <c r="N286" s="87" t="s">
        <v>305</v>
      </c>
      <c r="O286" s="25">
        <f t="shared" si="7"/>
        <v>9.0060693075770804E-3</v>
      </c>
    </row>
    <row r="287" spans="1:15">
      <c r="A287" s="88">
        <v>675.2027091380138</v>
      </c>
      <c r="B287" s="88">
        <v>677.88796537915425</v>
      </c>
      <c r="C287" s="88">
        <v>670.56815577367513</v>
      </c>
      <c r="D287" s="88">
        <v>676.46577411069836</v>
      </c>
      <c r="E287" s="89">
        <v>7589447.639300487</v>
      </c>
      <c r="F287" s="87" t="s">
        <v>306</v>
      </c>
      <c r="G287" s="25">
        <f t="shared" si="6"/>
        <v>-1.8671528124908354E-3</v>
      </c>
      <c r="I287" s="88">
        <v>152.49</v>
      </c>
      <c r="J287" s="88">
        <v>154.06</v>
      </c>
      <c r="K287" s="88">
        <v>145.72999999999999</v>
      </c>
      <c r="L287" s="88">
        <v>146.91</v>
      </c>
      <c r="M287" s="89">
        <v>1563647.2915000001</v>
      </c>
      <c r="N287" s="87" t="s">
        <v>306</v>
      </c>
      <c r="O287" s="25">
        <f t="shared" si="7"/>
        <v>3.7982438227486259E-2</v>
      </c>
    </row>
    <row r="288" spans="1:15">
      <c r="A288" s="88">
        <v>675.72981499275625</v>
      </c>
      <c r="B288" s="88">
        <v>679.7875355349239</v>
      </c>
      <c r="C288" s="88">
        <v>674.73627018353432</v>
      </c>
      <c r="D288" s="88">
        <v>678.31561729903956</v>
      </c>
      <c r="E288" s="89">
        <v>6438468.0519716404</v>
      </c>
      <c r="F288" s="87" t="s">
        <v>307</v>
      </c>
      <c r="G288" s="25">
        <f t="shared" si="6"/>
        <v>-3.8120931323675222E-3</v>
      </c>
      <c r="I288" s="88">
        <v>147.46</v>
      </c>
      <c r="J288" s="88">
        <v>153.77500000000001</v>
      </c>
      <c r="K288" s="88">
        <v>147.08000000000001</v>
      </c>
      <c r="L288" s="88">
        <v>149.9</v>
      </c>
      <c r="M288" s="89">
        <v>1441821.5351</v>
      </c>
      <c r="N288" s="87" t="s">
        <v>307</v>
      </c>
      <c r="O288" s="25">
        <f t="shared" si="7"/>
        <v>-1.627751834556368E-2</v>
      </c>
    </row>
    <row r="289" spans="1:15">
      <c r="A289" s="88">
        <v>683.9745461924058</v>
      </c>
      <c r="B289" s="88">
        <v>685.33706509994749</v>
      </c>
      <c r="C289" s="88">
        <v>679.92677104372376</v>
      </c>
      <c r="D289" s="88">
        <v>680.00633419160943</v>
      </c>
      <c r="E289" s="89">
        <v>5367141.9009938678</v>
      </c>
      <c r="F289" s="87" t="s">
        <v>308</v>
      </c>
      <c r="G289" s="25">
        <f t="shared" si="6"/>
        <v>5.8355515254335799E-3</v>
      </c>
      <c r="I289" s="88">
        <v>148.68</v>
      </c>
      <c r="J289" s="88">
        <v>152.18</v>
      </c>
      <c r="K289" s="88">
        <v>146.69</v>
      </c>
      <c r="L289" s="88">
        <v>149</v>
      </c>
      <c r="M289" s="89">
        <v>1685322.0863000001</v>
      </c>
      <c r="N289" s="87" t="s">
        <v>308</v>
      </c>
      <c r="O289" s="25">
        <f t="shared" si="7"/>
        <v>-2.1476510067113264E-3</v>
      </c>
    </row>
    <row r="290" spans="1:15">
      <c r="A290" s="88">
        <v>678.68359685801056</v>
      </c>
      <c r="B290" s="88">
        <v>680.17540588086638</v>
      </c>
      <c r="C290" s="88">
        <v>672.50750750338773</v>
      </c>
      <c r="D290" s="88">
        <v>675.19276374452807</v>
      </c>
      <c r="E290" s="89">
        <v>4909318.4452860085</v>
      </c>
      <c r="F290" s="87" t="s">
        <v>309</v>
      </c>
      <c r="G290" s="25">
        <f t="shared" si="6"/>
        <v>5.1701281484755057E-3</v>
      </c>
      <c r="I290" s="88">
        <v>148.84</v>
      </c>
      <c r="J290" s="88">
        <v>159.34620000000001</v>
      </c>
      <c r="K290" s="88">
        <v>145.58500000000001</v>
      </c>
      <c r="L290" s="88">
        <v>156.11000000000001</v>
      </c>
      <c r="M290" s="89">
        <v>1990033.4287</v>
      </c>
      <c r="N290" s="87" t="s">
        <v>309</v>
      </c>
      <c r="O290" s="25">
        <f t="shared" si="7"/>
        <v>-4.6569726474921636E-2</v>
      </c>
    </row>
    <row r="291" spans="1:15">
      <c r="A291" s="88">
        <v>674.96401969435681</v>
      </c>
      <c r="B291" s="88">
        <v>675.55079791001344</v>
      </c>
      <c r="C291" s="88">
        <v>669.12607371824788</v>
      </c>
      <c r="D291" s="88">
        <v>673.77057247607229</v>
      </c>
      <c r="E291" s="89">
        <v>6053085.8534182142</v>
      </c>
      <c r="F291" s="87" t="s">
        <v>310</v>
      </c>
      <c r="G291" s="25">
        <f t="shared" si="6"/>
        <v>1.771296145954615E-3</v>
      </c>
      <c r="I291" s="88">
        <v>158.35</v>
      </c>
      <c r="J291" s="88">
        <v>160.07</v>
      </c>
      <c r="K291" s="88">
        <v>155.85</v>
      </c>
      <c r="L291" s="88">
        <v>157.69999999999999</v>
      </c>
      <c r="M291" s="89">
        <v>1340425.5024999999</v>
      </c>
      <c r="N291" s="87" t="s">
        <v>310</v>
      </c>
      <c r="O291" s="25">
        <f t="shared" si="7"/>
        <v>4.1217501585288918E-3</v>
      </c>
    </row>
    <row r="292" spans="1:15">
      <c r="A292" s="88">
        <v>675.8093781406418</v>
      </c>
      <c r="B292" s="88">
        <v>677.34096873744033</v>
      </c>
      <c r="C292" s="88">
        <v>673.38270213012981</v>
      </c>
      <c r="D292" s="88">
        <v>673.38270213012981</v>
      </c>
      <c r="E292" s="89">
        <v>5691574.1888302099</v>
      </c>
      <c r="F292" s="87" t="s">
        <v>311</v>
      </c>
      <c r="G292" s="25">
        <f t="shared" si="6"/>
        <v>3.6037100490340368E-3</v>
      </c>
      <c r="I292" s="88">
        <v>154.16999999999999</v>
      </c>
      <c r="J292" s="88">
        <v>155.38990000000001</v>
      </c>
      <c r="K292" s="88">
        <v>152.13</v>
      </c>
      <c r="L292" s="88">
        <v>153.34</v>
      </c>
      <c r="M292" s="89">
        <v>1498830.4672999999</v>
      </c>
      <c r="N292" s="87" t="s">
        <v>311</v>
      </c>
      <c r="O292" s="25">
        <f t="shared" si="7"/>
        <v>5.412808138776537E-3</v>
      </c>
    </row>
    <row r="293" spans="1:15">
      <c r="A293" s="88">
        <v>674.33745990475745</v>
      </c>
      <c r="B293" s="88">
        <v>674.82478418555695</v>
      </c>
      <c r="C293" s="88">
        <v>671.68203984407421</v>
      </c>
      <c r="D293" s="88">
        <v>672.01023782910249</v>
      </c>
      <c r="E293" s="89">
        <v>4333455.8999546627</v>
      </c>
      <c r="F293" s="87" t="s">
        <v>312</v>
      </c>
      <c r="G293" s="25">
        <f t="shared" si="6"/>
        <v>3.4630753292881344E-3</v>
      </c>
      <c r="I293" s="88">
        <v>154.16</v>
      </c>
      <c r="J293" s="88">
        <v>164.66</v>
      </c>
      <c r="K293" s="88">
        <v>154</v>
      </c>
      <c r="L293" s="88">
        <v>161.55000000000001</v>
      </c>
      <c r="M293" s="89">
        <v>1737279.9131</v>
      </c>
      <c r="N293" s="87" t="s">
        <v>312</v>
      </c>
      <c r="O293" s="25">
        <f t="shared" si="7"/>
        <v>-4.5744351593933863E-2</v>
      </c>
    </row>
    <row r="294" spans="1:15">
      <c r="A294" s="88">
        <v>668.86749348761953</v>
      </c>
      <c r="B294" s="88">
        <v>673.06454899252196</v>
      </c>
      <c r="C294" s="88">
        <v>667.25633974293532</v>
      </c>
      <c r="D294" s="88">
        <v>672.12958255093099</v>
      </c>
      <c r="E294" s="89">
        <v>6082581.6993514737</v>
      </c>
      <c r="F294" s="87" t="s">
        <v>313</v>
      </c>
      <c r="G294" s="25">
        <f t="shared" si="6"/>
        <v>-4.8533633215946947E-3</v>
      </c>
      <c r="I294" s="88">
        <v>160.4</v>
      </c>
      <c r="J294" s="88">
        <v>163.18</v>
      </c>
      <c r="K294" s="88">
        <v>152.52000000000001</v>
      </c>
      <c r="L294" s="88">
        <v>153.09</v>
      </c>
      <c r="M294" s="89">
        <v>2811876.818</v>
      </c>
      <c r="N294" s="87" t="s">
        <v>313</v>
      </c>
      <c r="O294" s="25">
        <f t="shared" si="7"/>
        <v>4.774968972499849E-2</v>
      </c>
    </row>
    <row r="295" spans="1:15">
      <c r="A295" s="88">
        <v>670.97591690658908</v>
      </c>
      <c r="B295" s="88">
        <v>671.65220366361712</v>
      </c>
      <c r="C295" s="88">
        <v>665.49600509596553</v>
      </c>
      <c r="D295" s="88">
        <v>665.79436690053672</v>
      </c>
      <c r="E295" s="89">
        <v>6432672.4269837653</v>
      </c>
      <c r="F295" s="87" t="s">
        <v>314</v>
      </c>
      <c r="G295" s="25">
        <f t="shared" si="6"/>
        <v>7.7825080289788406E-3</v>
      </c>
      <c r="I295" s="88">
        <v>151.28</v>
      </c>
      <c r="J295" s="88">
        <v>168.59</v>
      </c>
      <c r="K295" s="88">
        <v>148.30500000000001</v>
      </c>
      <c r="L295" s="88">
        <v>167.04</v>
      </c>
      <c r="M295" s="89">
        <v>4429378.4456000002</v>
      </c>
      <c r="N295" s="87" t="s">
        <v>314</v>
      </c>
      <c r="O295" s="25">
        <f t="shared" si="7"/>
        <v>-9.4348659003831381E-2</v>
      </c>
    </row>
    <row r="296" spans="1:15">
      <c r="A296" s="88">
        <v>661.6670286039689</v>
      </c>
      <c r="B296" s="88">
        <v>662.9102027896821</v>
      </c>
      <c r="C296" s="88">
        <v>659.70778608728506</v>
      </c>
      <c r="D296" s="88">
        <v>659.95642092442779</v>
      </c>
      <c r="E296" s="89">
        <v>4974776.3077562777</v>
      </c>
      <c r="F296" s="87" t="s">
        <v>315</v>
      </c>
      <c r="G296" s="25">
        <f t="shared" si="6"/>
        <v>2.5920009644651021E-3</v>
      </c>
      <c r="I296" s="88">
        <v>167.53</v>
      </c>
      <c r="J296" s="88">
        <v>170.98</v>
      </c>
      <c r="K296" s="88">
        <v>166.74</v>
      </c>
      <c r="L296" s="88">
        <v>170.86</v>
      </c>
      <c r="M296" s="89">
        <v>1473645.6465</v>
      </c>
      <c r="N296" s="87" t="s">
        <v>315</v>
      </c>
      <c r="O296" s="25">
        <f t="shared" si="7"/>
        <v>-1.948964064146097E-2</v>
      </c>
    </row>
    <row r="297" spans="1:15">
      <c r="A297" s="88">
        <v>656.51531477837364</v>
      </c>
      <c r="B297" s="88">
        <v>660.22494654854177</v>
      </c>
      <c r="C297" s="88">
        <v>653.80022235677609</v>
      </c>
      <c r="D297" s="88">
        <v>658.37510336020057</v>
      </c>
      <c r="E297" s="89">
        <v>5960001.3531085365</v>
      </c>
      <c r="F297" s="87" t="s">
        <v>316</v>
      </c>
      <c r="G297" s="25">
        <f t="shared" si="6"/>
        <v>-2.8248160848352022E-3</v>
      </c>
      <c r="I297" s="88">
        <v>171.39</v>
      </c>
      <c r="J297" s="88">
        <v>175.39</v>
      </c>
      <c r="K297" s="88">
        <v>171.01</v>
      </c>
      <c r="L297" s="88">
        <v>175.04</v>
      </c>
      <c r="M297" s="89">
        <v>1274695.0978000001</v>
      </c>
      <c r="N297" s="87" t="s">
        <v>316</v>
      </c>
      <c r="O297" s="25">
        <f t="shared" si="7"/>
        <v>-2.0852376599634348E-2</v>
      </c>
    </row>
    <row r="298" spans="1:15">
      <c r="A298" s="88">
        <v>658.9022092149429</v>
      </c>
      <c r="B298" s="88">
        <v>662.77593997762506</v>
      </c>
      <c r="C298" s="88">
        <v>658.76297370614304</v>
      </c>
      <c r="D298" s="88">
        <v>659.46909664362818</v>
      </c>
      <c r="E298" s="89">
        <v>4961324.2346741715</v>
      </c>
      <c r="F298" s="87" t="s">
        <v>317</v>
      </c>
      <c r="G298" s="25">
        <f t="shared" si="6"/>
        <v>-8.59611817400463E-4</v>
      </c>
      <c r="I298" s="88">
        <v>175.04</v>
      </c>
      <c r="J298" s="88">
        <v>178.04</v>
      </c>
      <c r="K298" s="88">
        <v>172.08</v>
      </c>
      <c r="L298" s="88">
        <v>174.19</v>
      </c>
      <c r="M298" s="89">
        <v>1281720.1477000001</v>
      </c>
      <c r="N298" s="87" t="s">
        <v>317</v>
      </c>
      <c r="O298" s="25">
        <f t="shared" si="7"/>
        <v>4.8797290315172326E-3</v>
      </c>
    </row>
    <row r="299" spans="1:15">
      <c r="A299" s="88">
        <v>656.97280287871615</v>
      </c>
      <c r="B299" s="88">
        <v>658.15630470351505</v>
      </c>
      <c r="C299" s="88">
        <v>649.57840282209429</v>
      </c>
      <c r="D299" s="88">
        <v>653.41235201083362</v>
      </c>
      <c r="E299" s="89">
        <v>5935099.1155695217</v>
      </c>
      <c r="F299" s="87" t="s">
        <v>318</v>
      </c>
      <c r="G299" s="25">
        <f t="shared" si="6"/>
        <v>5.4490106544902162E-3</v>
      </c>
      <c r="I299" s="88">
        <v>172.14</v>
      </c>
      <c r="J299" s="88">
        <v>172.79900000000001</v>
      </c>
      <c r="K299" s="88">
        <v>163.005</v>
      </c>
      <c r="L299" s="88">
        <v>164</v>
      </c>
      <c r="M299" s="89">
        <v>2516326.7648999998</v>
      </c>
      <c r="N299" s="87" t="s">
        <v>318</v>
      </c>
      <c r="O299" s="25">
        <f t="shared" si="7"/>
        <v>4.9634146341463348E-2</v>
      </c>
    </row>
    <row r="300" spans="1:15">
      <c r="A300" s="88">
        <v>650.66742340877897</v>
      </c>
      <c r="B300" s="88">
        <v>651.14848209168258</v>
      </c>
      <c r="C300" s="88">
        <v>647.70369615003881</v>
      </c>
      <c r="D300" s="88">
        <v>650.05080901266524</v>
      </c>
      <c r="E300" s="89">
        <v>6237160.3812517598</v>
      </c>
      <c r="F300" s="87" t="s">
        <v>319</v>
      </c>
      <c r="G300" s="25">
        <f t="shared" si="6"/>
        <v>9.4856338545334928E-4</v>
      </c>
      <c r="I300" s="88">
        <v>160.02000000000001</v>
      </c>
      <c r="J300" s="88">
        <v>182.905</v>
      </c>
      <c r="K300" s="88">
        <v>158.35</v>
      </c>
      <c r="L300" s="88">
        <v>181.46</v>
      </c>
      <c r="M300" s="89">
        <v>4045406.5123000001</v>
      </c>
      <c r="N300" s="87" t="s">
        <v>319</v>
      </c>
      <c r="O300" s="25">
        <f t="shared" si="7"/>
        <v>-0.11815276093904992</v>
      </c>
    </row>
    <row r="301" spans="1:15">
      <c r="A301" s="88">
        <v>650.68731419575045</v>
      </c>
      <c r="B301" s="88">
        <v>651.81114365963515</v>
      </c>
      <c r="C301" s="88">
        <v>648.44960066146677</v>
      </c>
      <c r="D301" s="88">
        <v>650.83649509803593</v>
      </c>
      <c r="E301" s="89">
        <v>5539921.383421571</v>
      </c>
      <c r="F301" s="87" t="s">
        <v>320</v>
      </c>
      <c r="G301" s="25">
        <f t="shared" si="6"/>
        <v>-2.2921410125131825E-4</v>
      </c>
      <c r="I301" s="88">
        <v>182.87</v>
      </c>
      <c r="J301" s="88">
        <v>191.75</v>
      </c>
      <c r="K301" s="88">
        <v>182.25</v>
      </c>
      <c r="L301" s="88">
        <v>189.46</v>
      </c>
      <c r="M301" s="89">
        <v>1184751.7751</v>
      </c>
      <c r="N301" s="87" t="s">
        <v>320</v>
      </c>
      <c r="O301" s="25">
        <f t="shared" si="7"/>
        <v>-3.4783067665998146E-2</v>
      </c>
    </row>
    <row r="302" spans="1:15">
      <c r="A302" s="88">
        <v>653.90962168511896</v>
      </c>
      <c r="B302" s="88">
        <v>654.30743742454706</v>
      </c>
      <c r="C302" s="88">
        <v>651.26414701792135</v>
      </c>
      <c r="D302" s="88">
        <v>652.08961467723486</v>
      </c>
      <c r="E302" s="89">
        <v>5311300.4697022615</v>
      </c>
      <c r="F302" s="87" t="s">
        <v>321</v>
      </c>
      <c r="G302" s="25">
        <f t="shared" si="6"/>
        <v>2.791038174691618E-3</v>
      </c>
      <c r="I302" s="88">
        <v>188.31</v>
      </c>
      <c r="J302" s="88">
        <v>192.11500000000001</v>
      </c>
      <c r="K302" s="88">
        <v>187.44</v>
      </c>
      <c r="L302" s="88">
        <v>188.76</v>
      </c>
      <c r="M302" s="89">
        <v>653939.15029999998</v>
      </c>
      <c r="N302" s="87" t="s">
        <v>321</v>
      </c>
      <c r="O302" s="25">
        <f t="shared" si="7"/>
        <v>-2.3839796567068916E-3</v>
      </c>
    </row>
    <row r="303" spans="1:15">
      <c r="A303" s="88">
        <v>652.83551918866272</v>
      </c>
      <c r="B303" s="88">
        <v>653.23333492809104</v>
      </c>
      <c r="C303" s="88">
        <v>648.26083709310808</v>
      </c>
      <c r="D303" s="88">
        <v>649.83201035597972</v>
      </c>
      <c r="E303" s="89">
        <v>4748929.650283305</v>
      </c>
      <c r="F303" s="87" t="s">
        <v>322</v>
      </c>
      <c r="G303" s="25">
        <f t="shared" si="6"/>
        <v>4.6219773492501837E-3</v>
      </c>
      <c r="I303" s="88">
        <v>189.56</v>
      </c>
      <c r="J303" s="88">
        <v>190.67500000000001</v>
      </c>
      <c r="K303" s="88">
        <v>186.25</v>
      </c>
      <c r="L303" s="88">
        <v>188.85</v>
      </c>
      <c r="M303" s="89">
        <v>1091608.8111</v>
      </c>
      <c r="N303" s="87" t="s">
        <v>322</v>
      </c>
      <c r="O303" s="25">
        <f t="shared" si="7"/>
        <v>3.7595975642044088E-3</v>
      </c>
    </row>
    <row r="304" spans="1:15">
      <c r="A304" s="88">
        <v>647.70369615003881</v>
      </c>
      <c r="B304" s="88">
        <v>651.32381937883554</v>
      </c>
      <c r="C304" s="88">
        <v>642.13427579804386</v>
      </c>
      <c r="D304" s="88">
        <v>648.6683993181523</v>
      </c>
      <c r="E304" s="89">
        <v>6049829.5016160915</v>
      </c>
      <c r="F304" s="87" t="s">
        <v>323</v>
      </c>
      <c r="G304" s="25">
        <f t="shared" si="6"/>
        <v>-1.4872054336662055E-3</v>
      </c>
      <c r="I304" s="88">
        <v>192.21</v>
      </c>
      <c r="J304" s="88">
        <v>194.27</v>
      </c>
      <c r="K304" s="88">
        <v>189.63</v>
      </c>
      <c r="L304" s="88">
        <v>193.21</v>
      </c>
      <c r="M304" s="89">
        <v>711840.42169999995</v>
      </c>
      <c r="N304" s="87" t="s">
        <v>323</v>
      </c>
      <c r="O304" s="25">
        <f t="shared" si="7"/>
        <v>-5.1757155426738199E-3</v>
      </c>
    </row>
    <row r="305" spans="1:15">
      <c r="A305" s="88">
        <v>650.32928003026495</v>
      </c>
      <c r="B305" s="88">
        <v>650.61769644135052</v>
      </c>
      <c r="C305" s="88">
        <v>647.53462446078186</v>
      </c>
      <c r="D305" s="88">
        <v>648.41976448100968</v>
      </c>
      <c r="E305" s="89">
        <v>4516534.5547728017</v>
      </c>
      <c r="F305" s="87" t="s">
        <v>324</v>
      </c>
      <c r="G305" s="25">
        <f t="shared" si="6"/>
        <v>2.9448756096810413E-3</v>
      </c>
      <c r="I305" s="88">
        <v>193.62</v>
      </c>
      <c r="J305" s="88">
        <v>195.16</v>
      </c>
      <c r="K305" s="88">
        <v>191.89</v>
      </c>
      <c r="L305" s="88">
        <v>192.67</v>
      </c>
      <c r="M305" s="89">
        <v>763791.86780000001</v>
      </c>
      <c r="N305" s="87" t="s">
        <v>324</v>
      </c>
      <c r="O305" s="25">
        <f t="shared" si="7"/>
        <v>4.9307105413403107E-3</v>
      </c>
    </row>
    <row r="306" spans="1:15">
      <c r="A306" s="88">
        <v>643.71559336227108</v>
      </c>
      <c r="B306" s="88">
        <v>650.28949845632224</v>
      </c>
      <c r="C306" s="88">
        <v>642.41314463138303</v>
      </c>
      <c r="D306" s="88">
        <v>649.37452225563743</v>
      </c>
      <c r="E306" s="89">
        <v>8503460.7723218799</v>
      </c>
      <c r="F306" s="87" t="s">
        <v>325</v>
      </c>
      <c r="G306" s="25">
        <f t="shared" si="6"/>
        <v>-8.7144301160904103E-3</v>
      </c>
      <c r="I306" s="88">
        <v>192.33</v>
      </c>
      <c r="J306" s="88">
        <v>201.49</v>
      </c>
      <c r="K306" s="88">
        <v>191.02</v>
      </c>
      <c r="L306" s="88">
        <v>200.77</v>
      </c>
      <c r="M306" s="89">
        <v>787162.02899999998</v>
      </c>
      <c r="N306" s="87" t="s">
        <v>325</v>
      </c>
      <c r="O306" s="25">
        <f t="shared" si="7"/>
        <v>-4.2038153110524501E-2</v>
      </c>
    </row>
    <row r="307" spans="1:15">
      <c r="A307" s="88">
        <v>647.98216716763852</v>
      </c>
      <c r="B307" s="88">
        <v>649.03637887712341</v>
      </c>
      <c r="C307" s="88">
        <v>645.62510891152647</v>
      </c>
      <c r="D307" s="88">
        <v>648.06173031552419</v>
      </c>
      <c r="E307" s="89">
        <v>6385417.708135739</v>
      </c>
      <c r="F307" s="87" t="s">
        <v>326</v>
      </c>
      <c r="G307" s="25">
        <f t="shared" si="6"/>
        <v>-1.2277094011847733E-4</v>
      </c>
      <c r="I307" s="88">
        <v>200.87</v>
      </c>
      <c r="J307" s="88">
        <v>204.95</v>
      </c>
      <c r="K307" s="88">
        <v>199.78</v>
      </c>
      <c r="L307" s="88">
        <v>201.63</v>
      </c>
      <c r="M307" s="89">
        <v>586968.2487</v>
      </c>
      <c r="N307" s="87" t="s">
        <v>326</v>
      </c>
      <c r="O307" s="25">
        <f t="shared" si="7"/>
        <v>-3.7692803650249962E-3</v>
      </c>
    </row>
    <row r="308" spans="1:15">
      <c r="A308" s="88">
        <v>649.21539595986599</v>
      </c>
      <c r="B308" s="88">
        <v>651.30392859186418</v>
      </c>
      <c r="C308" s="88">
        <v>645.31680171346966</v>
      </c>
      <c r="D308" s="88">
        <v>645.63505430501209</v>
      </c>
      <c r="E308" s="89">
        <v>7826716.5926497644</v>
      </c>
      <c r="F308" s="87" t="s">
        <v>327</v>
      </c>
      <c r="G308" s="25">
        <f t="shared" si="6"/>
        <v>5.5454573461906076E-3</v>
      </c>
      <c r="I308" s="88">
        <v>203.73</v>
      </c>
      <c r="J308" s="88">
        <v>205.95</v>
      </c>
      <c r="K308" s="88">
        <v>201.89</v>
      </c>
      <c r="L308" s="88">
        <v>204.14</v>
      </c>
      <c r="M308" s="89">
        <v>864170.13170000003</v>
      </c>
      <c r="N308" s="87" t="s">
        <v>327</v>
      </c>
      <c r="O308" s="25">
        <f t="shared" si="7"/>
        <v>-2.0084255902811377E-3</v>
      </c>
    </row>
    <row r="309" spans="1:15">
      <c r="A309" s="88">
        <v>641.33864431918755</v>
      </c>
      <c r="B309" s="88">
        <v>642.54203693095792</v>
      </c>
      <c r="C309" s="88">
        <v>638.64344268456136</v>
      </c>
      <c r="D309" s="88">
        <v>640.9905555471878</v>
      </c>
      <c r="E309" s="89">
        <v>5890210.8880055081</v>
      </c>
      <c r="F309" s="87" t="s">
        <v>328</v>
      </c>
      <c r="G309" s="25">
        <f t="shared" si="6"/>
        <v>5.4304820716533087E-4</v>
      </c>
      <c r="I309" s="88">
        <v>201.47</v>
      </c>
      <c r="J309" s="88">
        <v>205.3</v>
      </c>
      <c r="K309" s="88">
        <v>200.54</v>
      </c>
      <c r="L309" s="88">
        <v>202.13</v>
      </c>
      <c r="M309" s="89">
        <v>744240.36540000001</v>
      </c>
      <c r="N309" s="87" t="s">
        <v>328</v>
      </c>
      <c r="O309" s="25">
        <f t="shared" si="7"/>
        <v>-3.2652253500222717E-3</v>
      </c>
    </row>
    <row r="310" spans="1:15">
      <c r="A310" s="88">
        <v>639.93634383770313</v>
      </c>
      <c r="B310" s="88">
        <v>640.27448721621704</v>
      </c>
      <c r="C310" s="88">
        <v>634.74484843816492</v>
      </c>
      <c r="D310" s="88">
        <v>635.69960621279267</v>
      </c>
      <c r="E310" s="89">
        <v>5078177.898500585</v>
      </c>
      <c r="F310" s="87" t="s">
        <v>329</v>
      </c>
      <c r="G310" s="25">
        <f t="shared" si="6"/>
        <v>6.6646849919429485E-3</v>
      </c>
      <c r="I310" s="88">
        <v>202.5</v>
      </c>
      <c r="J310" s="88">
        <v>205.67</v>
      </c>
      <c r="K310" s="88">
        <v>201.06</v>
      </c>
      <c r="L310" s="88">
        <v>202.82</v>
      </c>
      <c r="M310" s="89">
        <v>802570.51489999995</v>
      </c>
      <c r="N310" s="87" t="s">
        <v>329</v>
      </c>
      <c r="O310" s="25">
        <f t="shared" si="7"/>
        <v>-1.5777536732077824E-3</v>
      </c>
    </row>
    <row r="311" spans="1:15">
      <c r="A311" s="88">
        <v>634.86419315999342</v>
      </c>
      <c r="B311" s="88">
        <v>635.03326484925037</v>
      </c>
      <c r="C311" s="88">
        <v>628.76766695325614</v>
      </c>
      <c r="D311" s="88">
        <v>628.77263964999895</v>
      </c>
      <c r="E311" s="89">
        <v>5026396.5040549859</v>
      </c>
      <c r="F311" s="87" t="s">
        <v>330</v>
      </c>
      <c r="G311" s="25">
        <f t="shared" si="6"/>
        <v>9.6880066432045719E-3</v>
      </c>
      <c r="I311" s="88">
        <v>201.49</v>
      </c>
      <c r="J311" s="88">
        <v>203.58590000000001</v>
      </c>
      <c r="K311" s="88">
        <v>198.8</v>
      </c>
      <c r="L311" s="88">
        <v>199.37</v>
      </c>
      <c r="M311" s="89">
        <v>733397.098</v>
      </c>
      <c r="N311" s="87" t="s">
        <v>330</v>
      </c>
      <c r="O311" s="25">
        <f t="shared" si="7"/>
        <v>1.0633495510859126E-2</v>
      </c>
    </row>
    <row r="312" spans="1:15">
      <c r="A312" s="88">
        <v>627.27585793040032</v>
      </c>
      <c r="B312" s="88">
        <v>627.45487501314301</v>
      </c>
      <c r="C312" s="88">
        <v>618.58358402389399</v>
      </c>
      <c r="D312" s="88">
        <v>619.3493793222932</v>
      </c>
      <c r="E312" s="89">
        <v>5128925.1582973367</v>
      </c>
      <c r="F312" s="87" t="s">
        <v>331</v>
      </c>
      <c r="G312" s="25">
        <f t="shared" si="6"/>
        <v>1.2798073063027049E-2</v>
      </c>
      <c r="I312" s="88">
        <v>197.81</v>
      </c>
      <c r="J312" s="88">
        <v>198.47</v>
      </c>
      <c r="K312" s="88">
        <v>194.61</v>
      </c>
      <c r="L312" s="88">
        <v>195.73</v>
      </c>
      <c r="M312" s="89">
        <v>665603.3639</v>
      </c>
      <c r="N312" s="87" t="s">
        <v>331</v>
      </c>
      <c r="O312" s="25">
        <f t="shared" si="7"/>
        <v>1.0626883972819856E-2</v>
      </c>
    </row>
    <row r="313" spans="1:15">
      <c r="A313" s="88">
        <v>621.18927711714878</v>
      </c>
      <c r="B313" s="88">
        <v>623.5662261602323</v>
      </c>
      <c r="C313" s="88">
        <v>620.31408249040669</v>
      </c>
      <c r="D313" s="88">
        <v>622.90485749343293</v>
      </c>
      <c r="E313" s="89">
        <v>4599410.7842738964</v>
      </c>
      <c r="F313" s="87" t="s">
        <v>332</v>
      </c>
      <c r="G313" s="25">
        <f t="shared" si="6"/>
        <v>-2.7541611783019615E-3</v>
      </c>
      <c r="I313" s="88">
        <v>196.93</v>
      </c>
      <c r="J313" s="88">
        <v>199.84</v>
      </c>
      <c r="K313" s="88">
        <v>195.28</v>
      </c>
      <c r="L313" s="88">
        <v>199.42</v>
      </c>
      <c r="M313" s="89">
        <v>708828.68530000001</v>
      </c>
      <c r="N313" s="87" t="s">
        <v>332</v>
      </c>
      <c r="O313" s="25">
        <f t="shared" si="7"/>
        <v>-1.2486210009026055E-2</v>
      </c>
    </row>
    <row r="314" spans="1:15">
      <c r="A314" s="88">
        <v>621.60698364354835</v>
      </c>
      <c r="B314" s="88">
        <v>622.75070389440441</v>
      </c>
      <c r="C314" s="88">
        <v>616.01767250458192</v>
      </c>
      <c r="D314" s="88">
        <v>616.95253949223832</v>
      </c>
      <c r="E314" s="89">
        <v>5500332.8753785351</v>
      </c>
      <c r="F314" s="87" t="s">
        <v>333</v>
      </c>
      <c r="G314" s="25">
        <f t="shared" si="6"/>
        <v>7.5442499274591679E-3</v>
      </c>
      <c r="I314" s="88">
        <v>199.42</v>
      </c>
      <c r="J314" s="88">
        <v>203.13</v>
      </c>
      <c r="K314" s="88">
        <v>197.54</v>
      </c>
      <c r="L314" s="88">
        <v>201.67</v>
      </c>
      <c r="M314" s="89">
        <v>813704.14930000005</v>
      </c>
      <c r="N314" s="87" t="s">
        <v>333</v>
      </c>
      <c r="O314" s="25">
        <f t="shared" si="7"/>
        <v>-1.1156840382803623E-2</v>
      </c>
    </row>
    <row r="315" spans="1:15">
      <c r="A315" s="88">
        <v>617.94707884080879</v>
      </c>
      <c r="B315" s="88">
        <v>619.09079909166496</v>
      </c>
      <c r="C315" s="88">
        <v>613.92913987258385</v>
      </c>
      <c r="D315" s="88">
        <v>618.39959424440838</v>
      </c>
      <c r="E315" s="89">
        <v>9819192.7761694994</v>
      </c>
      <c r="F315" s="87" t="s">
        <v>334</v>
      </c>
      <c r="G315" s="25">
        <f t="shared" si="6"/>
        <v>-7.3175242644285543E-4</v>
      </c>
      <c r="I315" s="88">
        <v>203.51</v>
      </c>
      <c r="J315" s="88">
        <v>208.64</v>
      </c>
      <c r="K315" s="88">
        <v>201.995</v>
      </c>
      <c r="L315" s="88">
        <v>205.92</v>
      </c>
      <c r="M315" s="89">
        <v>695473.58429999999</v>
      </c>
      <c r="N315" s="87" t="s">
        <v>334</v>
      </c>
      <c r="O315" s="25">
        <f t="shared" si="7"/>
        <v>-1.1703574203574152E-2</v>
      </c>
    </row>
    <row r="316" spans="1:15">
      <c r="A316" s="88">
        <v>602.73062680767976</v>
      </c>
      <c r="B316" s="88">
        <v>602.99915243179373</v>
      </c>
      <c r="C316" s="88">
        <v>595.23180011945806</v>
      </c>
      <c r="D316" s="88">
        <v>600.2840600101963</v>
      </c>
      <c r="E316" s="89">
        <v>6180055.1076578777</v>
      </c>
      <c r="F316" s="87" t="s">
        <v>335</v>
      </c>
      <c r="G316" s="25">
        <f t="shared" ref="G316:G379" si="9">A316/D316-1</f>
        <v>4.0756817654659105E-3</v>
      </c>
      <c r="I316" s="88">
        <v>202.46</v>
      </c>
      <c r="J316" s="88">
        <v>206.69</v>
      </c>
      <c r="K316" s="88">
        <v>198.1</v>
      </c>
      <c r="L316" s="88">
        <v>200.55</v>
      </c>
      <c r="M316" s="89">
        <v>930425.76500000001</v>
      </c>
      <c r="N316" s="87" t="s">
        <v>335</v>
      </c>
      <c r="O316" s="25">
        <f t="shared" ref="O316:O379" si="10">I316/L316-1</f>
        <v>9.52380952380949E-3</v>
      </c>
    </row>
    <row r="317" spans="1:15">
      <c r="A317" s="88">
        <v>602.36264724870864</v>
      </c>
      <c r="B317" s="88">
        <v>603.12844254710808</v>
      </c>
      <c r="C317" s="88">
        <v>599.31935684208293</v>
      </c>
      <c r="D317" s="88">
        <v>599.62766404013973</v>
      </c>
      <c r="E317" s="89">
        <v>6317133.831788755</v>
      </c>
      <c r="F317" s="87" t="s">
        <v>336</v>
      </c>
      <c r="G317" s="25">
        <f t="shared" si="9"/>
        <v>4.5611358057453533E-3</v>
      </c>
      <c r="I317" s="88">
        <v>203.5</v>
      </c>
      <c r="J317" s="88">
        <v>206.32</v>
      </c>
      <c r="K317" s="88">
        <v>202.745</v>
      </c>
      <c r="L317" s="88">
        <v>204.21</v>
      </c>
      <c r="M317" s="89">
        <v>1215112.5426</v>
      </c>
      <c r="N317" s="87" t="s">
        <v>336</v>
      </c>
      <c r="O317" s="25">
        <f t="shared" si="10"/>
        <v>-3.4768130845698186E-3</v>
      </c>
    </row>
    <row r="318" spans="1:15">
      <c r="A318" s="88">
        <v>599.69728179453966</v>
      </c>
      <c r="B318" s="88">
        <v>601.48745262196655</v>
      </c>
      <c r="C318" s="88">
        <v>589.79365896147442</v>
      </c>
      <c r="D318" s="88">
        <v>590.98511710106197</v>
      </c>
      <c r="E318" s="89">
        <v>12809464.146602983</v>
      </c>
      <c r="F318" s="87" t="s">
        <v>337</v>
      </c>
      <c r="G318" s="25">
        <f t="shared" si="9"/>
        <v>1.4741766656008348E-2</v>
      </c>
      <c r="I318" s="88">
        <v>204.31</v>
      </c>
      <c r="J318" s="88">
        <v>209.35499999999999</v>
      </c>
      <c r="K318" s="88">
        <v>202.44</v>
      </c>
      <c r="L318" s="88">
        <v>202.93</v>
      </c>
      <c r="M318" s="89">
        <v>886421.19330000004</v>
      </c>
      <c r="N318" s="87" t="s">
        <v>337</v>
      </c>
      <c r="O318" s="25">
        <f t="shared" si="10"/>
        <v>6.8003745133788929E-3</v>
      </c>
    </row>
    <row r="319" spans="1:15">
      <c r="A319" s="88">
        <v>599.011049644026</v>
      </c>
      <c r="B319" s="88">
        <v>602.04439465716621</v>
      </c>
      <c r="C319" s="88">
        <v>596.99213476642785</v>
      </c>
      <c r="D319" s="88">
        <v>597.77782085179854</v>
      </c>
      <c r="E319" s="89">
        <v>11343588.144215105</v>
      </c>
      <c r="F319" s="87" t="s">
        <v>338</v>
      </c>
      <c r="G319" s="25">
        <f t="shared" si="9"/>
        <v>2.0630219944763883E-3</v>
      </c>
      <c r="I319" s="88">
        <v>207.04</v>
      </c>
      <c r="J319" s="88">
        <v>212.715</v>
      </c>
      <c r="K319" s="88">
        <v>203.09</v>
      </c>
      <c r="L319" s="88">
        <v>210.18</v>
      </c>
      <c r="M319" s="89">
        <v>1167406.7202000001</v>
      </c>
      <c r="N319" s="87" t="s">
        <v>338</v>
      </c>
      <c r="O319" s="25">
        <f t="shared" si="10"/>
        <v>-1.4939575601865096E-2</v>
      </c>
    </row>
    <row r="320" spans="1:15">
      <c r="A320" s="88">
        <v>594.28698773831604</v>
      </c>
      <c r="B320" s="88">
        <v>595.57988889145781</v>
      </c>
      <c r="C320" s="88">
        <v>583.29732793661174</v>
      </c>
      <c r="D320" s="88">
        <v>584.14268638289673</v>
      </c>
      <c r="E320" s="89">
        <v>12407189.635016242</v>
      </c>
      <c r="F320" s="87" t="s">
        <v>339</v>
      </c>
      <c r="G320" s="25">
        <f t="shared" si="9"/>
        <v>1.7366136034732138E-2</v>
      </c>
      <c r="I320" s="88">
        <v>209.84</v>
      </c>
      <c r="J320" s="88">
        <v>212.92</v>
      </c>
      <c r="K320" s="88">
        <v>206.55</v>
      </c>
      <c r="L320" s="88">
        <v>210.81</v>
      </c>
      <c r="M320" s="89">
        <v>750965.87620000006</v>
      </c>
      <c r="N320" s="87" t="s">
        <v>339</v>
      </c>
      <c r="O320" s="25">
        <f t="shared" si="10"/>
        <v>-4.6012997485888052E-3</v>
      </c>
    </row>
    <row r="321" spans="1:15">
      <c r="A321" s="88">
        <v>577.75774376507388</v>
      </c>
      <c r="B321" s="88">
        <v>585.45547832300974</v>
      </c>
      <c r="C321" s="88">
        <v>575.3012315741048</v>
      </c>
      <c r="D321" s="88">
        <v>585.17700730541003</v>
      </c>
      <c r="E321" s="89">
        <v>11806944.07031532</v>
      </c>
      <c r="F321" s="87" t="s">
        <v>340</v>
      </c>
      <c r="G321" s="25">
        <f t="shared" si="9"/>
        <v>-1.2678665510970744E-2</v>
      </c>
      <c r="I321" s="88">
        <v>208.01</v>
      </c>
      <c r="J321" s="88">
        <v>210.57</v>
      </c>
      <c r="K321" s="88">
        <v>205.11</v>
      </c>
      <c r="L321" s="88">
        <v>205.86</v>
      </c>
      <c r="M321" s="89">
        <v>775094.81469999999</v>
      </c>
      <c r="N321" s="87" t="s">
        <v>340</v>
      </c>
      <c r="O321" s="25">
        <f t="shared" si="10"/>
        <v>1.0443991061886537E-2</v>
      </c>
    </row>
    <row r="322" spans="1:15">
      <c r="A322" s="88">
        <v>579.77665864267215</v>
      </c>
      <c r="B322" s="88">
        <v>587.60368331592213</v>
      </c>
      <c r="C322" s="88">
        <v>578.85173704850149</v>
      </c>
      <c r="D322" s="88">
        <v>587.45450241363653</v>
      </c>
      <c r="E322" s="89">
        <v>11667574.414806742</v>
      </c>
      <c r="F322" s="87" t="s">
        <v>341</v>
      </c>
      <c r="G322" s="25">
        <f t="shared" si="9"/>
        <v>-1.306968239994577E-2</v>
      </c>
      <c r="I322" s="88">
        <v>208.22</v>
      </c>
      <c r="J322" s="88">
        <v>218.04499999999999</v>
      </c>
      <c r="K322" s="88">
        <v>208.14</v>
      </c>
      <c r="L322" s="88">
        <v>216.83</v>
      </c>
      <c r="M322" s="89">
        <v>891786.97640000004</v>
      </c>
      <c r="N322" s="87" t="s">
        <v>341</v>
      </c>
      <c r="O322" s="25">
        <f t="shared" si="10"/>
        <v>-3.9708527417792849E-2</v>
      </c>
    </row>
    <row r="323" spans="1:15">
      <c r="A323" s="88">
        <v>589.80917378984429</v>
      </c>
      <c r="B323" s="88">
        <v>598.71698564102053</v>
      </c>
      <c r="C323" s="88">
        <v>589.5712355767912</v>
      </c>
      <c r="D323" s="88">
        <v>596.12940757406784</v>
      </c>
      <c r="E323" s="89">
        <v>7652288.4902455918</v>
      </c>
      <c r="F323" s="87" t="s">
        <v>342</v>
      </c>
      <c r="G323" s="25">
        <f t="shared" si="9"/>
        <v>-1.0602117097265107E-2</v>
      </c>
      <c r="I323" s="88">
        <v>218.11</v>
      </c>
      <c r="J323" s="88">
        <v>221.10499999999999</v>
      </c>
      <c r="K323" s="88">
        <v>215.62</v>
      </c>
      <c r="L323" s="88">
        <v>216</v>
      </c>
      <c r="M323" s="89">
        <v>1040253.5987</v>
      </c>
      <c r="N323" s="87" t="s">
        <v>342</v>
      </c>
      <c r="O323" s="25">
        <f t="shared" si="10"/>
        <v>9.7685185185185652E-3</v>
      </c>
    </row>
    <row r="324" spans="1:15">
      <c r="A324" s="88">
        <v>600.4569088239715</v>
      </c>
      <c r="B324" s="88">
        <v>604.20443567955817</v>
      </c>
      <c r="C324" s="88">
        <v>598.17666761554574</v>
      </c>
      <c r="D324" s="88">
        <v>602.18196086860655</v>
      </c>
      <c r="E324" s="89">
        <v>23433605.954244886</v>
      </c>
      <c r="F324" s="87" t="s">
        <v>343</v>
      </c>
      <c r="G324" s="25">
        <f t="shared" si="9"/>
        <v>-2.8646690813300957E-3</v>
      </c>
      <c r="I324" s="88">
        <v>216</v>
      </c>
      <c r="J324" s="88">
        <v>227.23500000000001</v>
      </c>
      <c r="K324" s="88">
        <v>215.26</v>
      </c>
      <c r="L324" s="88">
        <v>225.69</v>
      </c>
      <c r="M324" s="89">
        <v>1137429.5412999999</v>
      </c>
      <c r="N324" s="87" t="s">
        <v>343</v>
      </c>
      <c r="O324" s="25">
        <f t="shared" si="10"/>
        <v>-4.2934999335371482E-2</v>
      </c>
    </row>
    <row r="325" spans="1:15">
      <c r="A325" s="88">
        <v>597.20508657891219</v>
      </c>
      <c r="B325" s="88">
        <v>600.70476112923518</v>
      </c>
      <c r="C325" s="88">
        <v>594.17137436248493</v>
      </c>
      <c r="D325" s="88">
        <v>595.47012044206656</v>
      </c>
      <c r="E325" s="89">
        <v>18356444.145375215</v>
      </c>
      <c r="F325" s="87" t="s">
        <v>344</v>
      </c>
      <c r="G325" s="25">
        <f t="shared" si="9"/>
        <v>2.913607378918659E-3</v>
      </c>
      <c r="I325" s="88">
        <v>225.5</v>
      </c>
      <c r="J325" s="88">
        <v>227.98</v>
      </c>
      <c r="K325" s="88">
        <v>221.28</v>
      </c>
      <c r="L325" s="88">
        <v>225.34</v>
      </c>
      <c r="M325" s="89">
        <v>543315.37549999997</v>
      </c>
      <c r="N325" s="87" t="s">
        <v>344</v>
      </c>
      <c r="O325" s="25">
        <f t="shared" si="10"/>
        <v>7.1003816455128543E-4</v>
      </c>
    </row>
    <row r="326" spans="1:15">
      <c r="A326" s="88">
        <v>599.23747548207416</v>
      </c>
      <c r="B326" s="88">
        <v>605.77581929492976</v>
      </c>
      <c r="C326" s="88">
        <v>597.87924484922928</v>
      </c>
      <c r="D326" s="88">
        <v>601.64659988923711</v>
      </c>
      <c r="E326" s="89">
        <v>24174828.736617487</v>
      </c>
      <c r="F326" s="87" t="s">
        <v>345</v>
      </c>
      <c r="G326" s="25">
        <f t="shared" si="9"/>
        <v>-4.0042184358832777E-3</v>
      </c>
      <c r="I326" s="88">
        <v>227.08</v>
      </c>
      <c r="J326" s="88">
        <v>230.88</v>
      </c>
      <c r="K326" s="88">
        <v>225.21010000000001</v>
      </c>
      <c r="L326" s="88">
        <v>230.88</v>
      </c>
      <c r="M326" s="89">
        <v>669472.77430000005</v>
      </c>
      <c r="N326" s="87" t="s">
        <v>345</v>
      </c>
      <c r="O326" s="25">
        <f t="shared" si="10"/>
        <v>-1.6458766458766427E-2</v>
      </c>
    </row>
    <row r="327" spans="1:15">
      <c r="A327" s="88">
        <v>592.80322963742947</v>
      </c>
      <c r="B327" s="88">
        <v>600.39742427070826</v>
      </c>
      <c r="C327" s="88">
        <v>589.46218056247528</v>
      </c>
      <c r="D327" s="88">
        <v>600.22888470312887</v>
      </c>
      <c r="E327" s="89">
        <v>17684300.024816088</v>
      </c>
      <c r="F327" s="87" t="s">
        <v>346</v>
      </c>
      <c r="G327" s="25">
        <f t="shared" si="9"/>
        <v>-1.2371372412995574E-2</v>
      </c>
      <c r="I327" s="88">
        <v>227.1</v>
      </c>
      <c r="J327" s="88">
        <v>230.25</v>
      </c>
      <c r="K327" s="88">
        <v>224.32</v>
      </c>
      <c r="L327" s="88">
        <v>227.68</v>
      </c>
      <c r="M327" s="89">
        <v>1057751.3003</v>
      </c>
      <c r="N327" s="87" t="s">
        <v>346</v>
      </c>
      <c r="O327" s="25">
        <f t="shared" si="10"/>
        <v>-2.547434996486353E-3</v>
      </c>
    </row>
    <row r="328" spans="1:15">
      <c r="A328" s="88">
        <v>601.53754487492108</v>
      </c>
      <c r="B328" s="88">
        <v>604.45228798482185</v>
      </c>
      <c r="C328" s="88">
        <v>597.36371205428088</v>
      </c>
      <c r="D328" s="88">
        <v>598.94996680796839</v>
      </c>
      <c r="E328" s="89">
        <v>10276101.226859786</v>
      </c>
      <c r="F328" s="87" t="s">
        <v>347</v>
      </c>
      <c r="G328" s="25">
        <f t="shared" si="9"/>
        <v>4.3201906842784688E-3</v>
      </c>
      <c r="I328" s="88">
        <v>228.63</v>
      </c>
      <c r="J328" s="88">
        <v>232.17500000000001</v>
      </c>
      <c r="K328" s="88">
        <v>226.26</v>
      </c>
      <c r="L328" s="88">
        <v>231.28</v>
      </c>
      <c r="M328" s="89">
        <v>736234.67130000005</v>
      </c>
      <c r="N328" s="87" t="s">
        <v>347</v>
      </c>
      <c r="O328" s="25">
        <f t="shared" si="10"/>
        <v>-1.1457973019716405E-2</v>
      </c>
    </row>
    <row r="329" spans="1:15">
      <c r="A329" s="88">
        <v>603.15354190524022</v>
      </c>
      <c r="B329" s="88">
        <v>610.59902515536078</v>
      </c>
      <c r="C329" s="88">
        <v>602.90568959997654</v>
      </c>
      <c r="D329" s="88">
        <v>609.40933409009517</v>
      </c>
      <c r="E329" s="89">
        <v>12393947.692788729</v>
      </c>
      <c r="F329" s="87" t="s">
        <v>348</v>
      </c>
      <c r="G329" s="25">
        <f t="shared" si="9"/>
        <v>-1.0265336999137786E-2</v>
      </c>
      <c r="I329" s="88">
        <v>230.28</v>
      </c>
      <c r="J329" s="88">
        <v>231.91</v>
      </c>
      <c r="K329" s="88">
        <v>226.51</v>
      </c>
      <c r="L329" s="88">
        <v>227.9</v>
      </c>
      <c r="M329" s="89">
        <v>743418.23569999996</v>
      </c>
      <c r="N329" s="87" t="s">
        <v>348</v>
      </c>
      <c r="O329" s="25">
        <f t="shared" si="10"/>
        <v>1.0443176831943735E-2</v>
      </c>
    </row>
    <row r="330" spans="1:15">
      <c r="A330" s="88">
        <v>611.59043437641537</v>
      </c>
      <c r="B330" s="88">
        <v>614.94139754358025</v>
      </c>
      <c r="C330" s="88">
        <v>610.97576065936153</v>
      </c>
      <c r="D330" s="88">
        <v>613.05772002357639</v>
      </c>
      <c r="E330" s="89">
        <v>8822710.7868685648</v>
      </c>
      <c r="F330" s="87" t="s">
        <v>349</v>
      </c>
      <c r="G330" s="25">
        <f t="shared" si="9"/>
        <v>-2.3933890712681816E-3</v>
      </c>
      <c r="I330" s="88">
        <v>230.49</v>
      </c>
      <c r="J330" s="88">
        <v>233.26</v>
      </c>
      <c r="K330" s="88">
        <v>220.85</v>
      </c>
      <c r="L330" s="88">
        <v>226.82</v>
      </c>
      <c r="M330" s="89">
        <v>1029588.9214</v>
      </c>
      <c r="N330" s="87" t="s">
        <v>349</v>
      </c>
      <c r="O330" s="25">
        <f t="shared" si="10"/>
        <v>1.6180231020192393E-2</v>
      </c>
    </row>
    <row r="331" spans="1:15">
      <c r="A331" s="88">
        <v>609.90503870062253</v>
      </c>
      <c r="B331" s="88">
        <v>612.77021134947051</v>
      </c>
      <c r="C331" s="88">
        <v>608.26921348588223</v>
      </c>
      <c r="D331" s="88">
        <v>609.43907636672679</v>
      </c>
      <c r="E331" s="89">
        <v>8295330.8616104685</v>
      </c>
      <c r="F331" s="87" t="s">
        <v>350</v>
      </c>
      <c r="G331" s="25">
        <f t="shared" si="9"/>
        <v>7.645757418011101E-4</v>
      </c>
      <c r="I331" s="88">
        <v>224.66</v>
      </c>
      <c r="J331" s="88">
        <v>229.94</v>
      </c>
      <c r="K331" s="88">
        <v>219.89</v>
      </c>
      <c r="L331" s="88">
        <v>222.8</v>
      </c>
      <c r="M331" s="89">
        <v>1119414.1798</v>
      </c>
      <c r="N331" s="87" t="s">
        <v>350</v>
      </c>
      <c r="O331" s="25">
        <f t="shared" si="10"/>
        <v>8.3482944344703824E-3</v>
      </c>
    </row>
    <row r="332" spans="1:15">
      <c r="A332" s="88">
        <v>603.85744245218905</v>
      </c>
      <c r="B332" s="88">
        <v>613.02202929161831</v>
      </c>
      <c r="C332" s="88">
        <v>603.02465870650315</v>
      </c>
      <c r="D332" s="88">
        <v>610.25203192799165</v>
      </c>
      <c r="E332" s="89">
        <v>23721145.670283373</v>
      </c>
      <c r="F332" s="87" t="s">
        <v>351</v>
      </c>
      <c r="G332" s="25">
        <f t="shared" si="9"/>
        <v>-1.0478604152451498E-2</v>
      </c>
      <c r="I332" s="88">
        <v>219.84</v>
      </c>
      <c r="J332" s="88">
        <v>230.43</v>
      </c>
      <c r="K332" s="88">
        <v>216.49</v>
      </c>
      <c r="L332" s="88">
        <v>226.13800000000001</v>
      </c>
      <c r="M332" s="89">
        <v>2027714.7682</v>
      </c>
      <c r="N332" s="87" t="s">
        <v>351</v>
      </c>
      <c r="O332" s="25">
        <f t="shared" si="10"/>
        <v>-2.7850250731853987E-2</v>
      </c>
    </row>
    <row r="333" spans="1:15">
      <c r="A333" s="88">
        <v>607.23814789598543</v>
      </c>
      <c r="B333" s="88">
        <v>612.40338993768034</v>
      </c>
      <c r="C333" s="88">
        <v>607.15883515830103</v>
      </c>
      <c r="D333" s="88">
        <v>611.91759941936346</v>
      </c>
      <c r="E333" s="89">
        <v>12107120.92190446</v>
      </c>
      <c r="F333" s="87" t="s">
        <v>352</v>
      </c>
      <c r="G333" s="25">
        <f t="shared" si="9"/>
        <v>-7.6471922491169186E-3</v>
      </c>
      <c r="I333" s="88">
        <v>236.07</v>
      </c>
      <c r="J333" s="88">
        <v>239.97</v>
      </c>
      <c r="K333" s="88">
        <v>234</v>
      </c>
      <c r="L333" s="88">
        <v>237.51</v>
      </c>
      <c r="M333" s="89">
        <v>841133.58050000004</v>
      </c>
      <c r="N333" s="87" t="s">
        <v>352</v>
      </c>
      <c r="O333" s="25">
        <f t="shared" si="10"/>
        <v>-6.0629026146267195E-3</v>
      </c>
    </row>
    <row r="334" spans="1:15">
      <c r="A334" s="88">
        <v>616.68627777263646</v>
      </c>
      <c r="B334" s="88">
        <v>620.05706912422227</v>
      </c>
      <c r="C334" s="88">
        <v>613.97973059915716</v>
      </c>
      <c r="D334" s="88">
        <v>617.84622656127044</v>
      </c>
      <c r="E334" s="89">
        <v>6381616.6919140611</v>
      </c>
      <c r="F334" s="87" t="s">
        <v>353</v>
      </c>
      <c r="G334" s="25">
        <f t="shared" si="9"/>
        <v>-1.8774069319640319E-3</v>
      </c>
      <c r="I334" s="88">
        <v>238.82</v>
      </c>
      <c r="J334" s="88">
        <v>238.99</v>
      </c>
      <c r="K334" s="88">
        <v>234.465</v>
      </c>
      <c r="L334" s="88">
        <v>236.85</v>
      </c>
      <c r="M334" s="89">
        <v>884663.09459999995</v>
      </c>
      <c r="N334" s="87" t="s">
        <v>353</v>
      </c>
      <c r="O334" s="25">
        <f t="shared" si="10"/>
        <v>8.3175005277602576E-3</v>
      </c>
    </row>
    <row r="335" spans="1:15">
      <c r="A335" s="88">
        <v>617.37035013516424</v>
      </c>
      <c r="B335" s="88">
        <v>623.10109199654858</v>
      </c>
      <c r="C335" s="88">
        <v>615.29830486315996</v>
      </c>
      <c r="D335" s="88">
        <v>617.96519566779705</v>
      </c>
      <c r="E335" s="89">
        <v>15669426.13078979</v>
      </c>
      <c r="F335" s="87" t="s">
        <v>354</v>
      </c>
      <c r="G335" s="25">
        <f t="shared" si="9"/>
        <v>-9.625874350253083E-4</v>
      </c>
      <c r="I335" s="88">
        <v>238.24</v>
      </c>
      <c r="J335" s="88">
        <v>241.9</v>
      </c>
      <c r="K335" s="88">
        <v>233.77</v>
      </c>
      <c r="L335" s="88">
        <v>241.86</v>
      </c>
      <c r="M335" s="89">
        <v>792359.61640000006</v>
      </c>
      <c r="N335" s="87" t="s">
        <v>354</v>
      </c>
      <c r="O335" s="25">
        <f t="shared" si="10"/>
        <v>-1.4967336475647075E-2</v>
      </c>
    </row>
    <row r="336" spans="1:15">
      <c r="A336" s="88">
        <v>618.44107209390313</v>
      </c>
      <c r="B336" s="88">
        <v>619.94801410990635</v>
      </c>
      <c r="C336" s="88">
        <v>603.96649746650507</v>
      </c>
      <c r="D336" s="88">
        <v>607.59505521556514</v>
      </c>
      <c r="E336" s="89">
        <v>13293092.279170223</v>
      </c>
      <c r="F336" s="87" t="s">
        <v>355</v>
      </c>
      <c r="G336" s="25">
        <f t="shared" si="9"/>
        <v>1.7850732630616983E-2</v>
      </c>
      <c r="I336" s="88">
        <v>240.38</v>
      </c>
      <c r="J336" s="88">
        <v>241.13</v>
      </c>
      <c r="K336" s="88">
        <v>234.66</v>
      </c>
      <c r="L336" s="88">
        <v>234.77</v>
      </c>
      <c r="M336" s="89">
        <v>928153.76549999998</v>
      </c>
      <c r="N336" s="87" t="s">
        <v>355</v>
      </c>
      <c r="O336" s="25">
        <f t="shared" si="10"/>
        <v>2.3895727733526329E-2</v>
      </c>
    </row>
    <row r="337" spans="1:15">
      <c r="A337" s="88">
        <v>613.11720457683964</v>
      </c>
      <c r="B337" s="88">
        <v>616.47808183621498</v>
      </c>
      <c r="C337" s="88">
        <v>610.7080801696768</v>
      </c>
      <c r="D337" s="88">
        <v>614.01442992189413</v>
      </c>
      <c r="E337" s="89">
        <v>9746282.1071211006</v>
      </c>
      <c r="F337" s="87" t="s">
        <v>356</v>
      </c>
      <c r="G337" s="25">
        <f t="shared" si="9"/>
        <v>-1.461244722161692E-3</v>
      </c>
      <c r="I337" s="88">
        <v>237.01</v>
      </c>
      <c r="J337" s="88">
        <v>239.73</v>
      </c>
      <c r="K337" s="88">
        <v>233.29</v>
      </c>
      <c r="L337" s="88">
        <v>238.43</v>
      </c>
      <c r="M337" s="89">
        <v>1218873.4251000001</v>
      </c>
      <c r="N337" s="87" t="s">
        <v>356</v>
      </c>
      <c r="O337" s="25">
        <f t="shared" si="10"/>
        <v>-5.9556263892966976E-3</v>
      </c>
    </row>
    <row r="338" spans="1:15">
      <c r="A338" s="88">
        <v>621.42521384927772</v>
      </c>
      <c r="B338" s="88">
        <v>625.08351387496953</v>
      </c>
      <c r="C338" s="88">
        <v>616.06168996337203</v>
      </c>
      <c r="D338" s="88">
        <v>621.90109027538392</v>
      </c>
      <c r="E338" s="89">
        <v>12264399.336900564</v>
      </c>
      <c r="F338" s="87" t="s">
        <v>357</v>
      </c>
      <c r="G338" s="25">
        <f t="shared" si="9"/>
        <v>-7.6519632068094978E-4</v>
      </c>
      <c r="I338" s="88">
        <v>240.94</v>
      </c>
      <c r="J338" s="88">
        <v>243.86500000000001</v>
      </c>
      <c r="K338" s="88">
        <v>238.5</v>
      </c>
      <c r="L338" s="88">
        <v>240.84</v>
      </c>
      <c r="M338" s="89">
        <v>935719.85450000002</v>
      </c>
      <c r="N338" s="87" t="s">
        <v>357</v>
      </c>
      <c r="O338" s="25">
        <f t="shared" si="10"/>
        <v>4.1521341969774639E-4</v>
      </c>
    </row>
    <row r="339" spans="1:15">
      <c r="A339" s="88">
        <v>624.76626292423191</v>
      </c>
      <c r="B339" s="88">
        <v>626.53097133770939</v>
      </c>
      <c r="C339" s="88">
        <v>619.70016180464268</v>
      </c>
      <c r="D339" s="88">
        <v>621.53426886359375</v>
      </c>
      <c r="E339" s="89">
        <v>13501509.98934664</v>
      </c>
      <c r="F339" s="87" t="s">
        <v>358</v>
      </c>
      <c r="G339" s="25">
        <f t="shared" si="9"/>
        <v>5.2000255215975955E-3</v>
      </c>
      <c r="I339" s="88">
        <v>242.89</v>
      </c>
      <c r="J339" s="88">
        <v>247.6</v>
      </c>
      <c r="K339" s="88">
        <v>238</v>
      </c>
      <c r="L339" s="88">
        <v>239.73</v>
      </c>
      <c r="M339" s="89">
        <v>964067.82720000006</v>
      </c>
      <c r="N339" s="87" t="s">
        <v>358</v>
      </c>
      <c r="O339" s="25">
        <f t="shared" si="10"/>
        <v>1.3181495849497349E-2</v>
      </c>
    </row>
    <row r="340" spans="1:15">
      <c r="A340" s="88">
        <v>620.34457779832826</v>
      </c>
      <c r="B340" s="88">
        <v>622.39679488591128</v>
      </c>
      <c r="C340" s="88">
        <v>610.5891110631502</v>
      </c>
      <c r="D340" s="88">
        <v>615.47675852294969</v>
      </c>
      <c r="E340" s="89">
        <v>17904668.190413319</v>
      </c>
      <c r="F340" s="87" t="s">
        <v>359</v>
      </c>
      <c r="G340" s="25">
        <f t="shared" si="9"/>
        <v>7.9090220840516423E-3</v>
      </c>
      <c r="I340" s="88">
        <v>241.84</v>
      </c>
      <c r="J340" s="88">
        <v>243.1</v>
      </c>
      <c r="K340" s="88">
        <v>236.51</v>
      </c>
      <c r="L340" s="88">
        <v>240.91</v>
      </c>
      <c r="M340" s="89">
        <v>938384.38379999995</v>
      </c>
      <c r="N340" s="87" t="s">
        <v>359</v>
      </c>
      <c r="O340" s="25">
        <f t="shared" si="10"/>
        <v>3.8603627910838156E-3</v>
      </c>
    </row>
    <row r="341" spans="1:15">
      <c r="A341" s="88">
        <v>625.85681306739207</v>
      </c>
      <c r="B341" s="88">
        <v>627.89911606276485</v>
      </c>
      <c r="C341" s="88">
        <v>618.24279024969235</v>
      </c>
      <c r="D341" s="88">
        <v>618.82276464400923</v>
      </c>
      <c r="E341" s="89">
        <v>9220282.6347284149</v>
      </c>
      <c r="F341" s="87" t="s">
        <v>360</v>
      </c>
      <c r="G341" s="25">
        <f t="shared" si="9"/>
        <v>1.1366822336326576E-2</v>
      </c>
      <c r="I341" s="88">
        <v>245.45</v>
      </c>
      <c r="J341" s="88">
        <v>249.23</v>
      </c>
      <c r="K341" s="88">
        <v>242</v>
      </c>
      <c r="L341" s="88">
        <v>243.99</v>
      </c>
      <c r="M341" s="89">
        <v>1179434.0268000001</v>
      </c>
      <c r="N341" s="87" t="s">
        <v>360</v>
      </c>
      <c r="O341" s="25">
        <f t="shared" si="10"/>
        <v>5.9838517972046201E-3</v>
      </c>
    </row>
    <row r="342" spans="1:15">
      <c r="A342" s="88">
        <v>625.61887485433897</v>
      </c>
      <c r="B342" s="88">
        <v>626.26329084802467</v>
      </c>
      <c r="C342" s="88">
        <v>621.55409704801491</v>
      </c>
      <c r="D342" s="88">
        <v>622.84292903538596</v>
      </c>
      <c r="E342" s="89">
        <v>10518490.717795083</v>
      </c>
      <c r="F342" s="87" t="s">
        <v>361</v>
      </c>
      <c r="G342" s="25">
        <f t="shared" si="9"/>
        <v>4.4568954539665473E-3</v>
      </c>
      <c r="I342" s="88">
        <v>246.61</v>
      </c>
      <c r="J342" s="88">
        <v>252.63</v>
      </c>
      <c r="K342" s="88">
        <v>245.66</v>
      </c>
      <c r="L342" s="88">
        <v>248.62</v>
      </c>
      <c r="M342" s="89">
        <v>983739.08270000003</v>
      </c>
      <c r="N342" s="87" t="s">
        <v>361</v>
      </c>
      <c r="O342" s="25">
        <f t="shared" si="10"/>
        <v>-8.0846271418227866E-3</v>
      </c>
    </row>
    <row r="343" spans="1:15">
      <c r="A343" s="88">
        <v>628.50387568760812</v>
      </c>
      <c r="B343" s="88">
        <v>632.29105891203699</v>
      </c>
      <c r="C343" s="88">
        <v>624.02270600844099</v>
      </c>
      <c r="D343" s="88">
        <v>632.17208980551038</v>
      </c>
      <c r="E343" s="89">
        <v>9489584.1528401561</v>
      </c>
      <c r="F343" s="87" t="s">
        <v>362</v>
      </c>
      <c r="G343" s="25">
        <f t="shared" si="9"/>
        <v>-5.8025562612717962E-3</v>
      </c>
      <c r="I343" s="88">
        <v>251.5</v>
      </c>
      <c r="J343" s="88">
        <v>253.33</v>
      </c>
      <c r="K343" s="88">
        <v>248.44</v>
      </c>
      <c r="L343" s="88">
        <v>249.94</v>
      </c>
      <c r="M343" s="89">
        <v>1078103.2614</v>
      </c>
      <c r="N343" s="87" t="s">
        <v>362</v>
      </c>
      <c r="O343" s="25">
        <f t="shared" si="10"/>
        <v>6.2414979595102338E-3</v>
      </c>
    </row>
    <row r="344" spans="1:15">
      <c r="A344" s="88">
        <v>632.05312069898378</v>
      </c>
      <c r="B344" s="88">
        <v>632.51908303287951</v>
      </c>
      <c r="C344" s="88">
        <v>629.28708897224135</v>
      </c>
      <c r="D344" s="88">
        <v>629.31683124887297</v>
      </c>
      <c r="E344" s="89">
        <v>12096868.558516931</v>
      </c>
      <c r="F344" s="87" t="s">
        <v>363</v>
      </c>
      <c r="G344" s="25">
        <f t="shared" si="9"/>
        <v>4.3480315704900185E-3</v>
      </c>
      <c r="I344" s="88">
        <v>248.12</v>
      </c>
      <c r="J344" s="88">
        <v>249.2</v>
      </c>
      <c r="K344" s="88">
        <v>242.38499999999999</v>
      </c>
      <c r="L344" s="88">
        <v>244.62</v>
      </c>
      <c r="M344" s="89">
        <v>879931.72409999999</v>
      </c>
      <c r="N344" s="87" t="s">
        <v>363</v>
      </c>
      <c r="O344" s="25">
        <f t="shared" si="10"/>
        <v>1.4307906140135662E-2</v>
      </c>
    </row>
    <row r="345" spans="1:15">
      <c r="A345" s="88">
        <v>626.77882364297307</v>
      </c>
      <c r="B345" s="88">
        <v>627.65126375750117</v>
      </c>
      <c r="C345" s="88">
        <v>620.02732684759064</v>
      </c>
      <c r="D345" s="88">
        <v>621.76229298443639</v>
      </c>
      <c r="E345" s="89">
        <v>6952124.2548740897</v>
      </c>
      <c r="F345" s="87" t="s">
        <v>364</v>
      </c>
      <c r="G345" s="25">
        <f t="shared" si="9"/>
        <v>8.0682452363869395E-3</v>
      </c>
      <c r="I345" s="88">
        <v>245.25</v>
      </c>
      <c r="J345" s="88">
        <v>250.79</v>
      </c>
      <c r="K345" s="88">
        <v>241.77</v>
      </c>
      <c r="L345" s="88">
        <v>247.35</v>
      </c>
      <c r="M345" s="89">
        <v>1243232.8466</v>
      </c>
      <c r="N345" s="87" t="s">
        <v>364</v>
      </c>
      <c r="O345" s="25">
        <f t="shared" si="10"/>
        <v>-8.4899939357185872E-3</v>
      </c>
    </row>
    <row r="346" spans="1:15">
      <c r="A346" s="88">
        <v>622.23816941054258</v>
      </c>
      <c r="B346" s="88">
        <v>629.15820577350416</v>
      </c>
      <c r="C346" s="88">
        <v>620.37432007495977</v>
      </c>
      <c r="D346" s="88">
        <v>627.17538733139486</v>
      </c>
      <c r="E346" s="89">
        <v>10911504.879581373</v>
      </c>
      <c r="F346" s="87" t="s">
        <v>365</v>
      </c>
      <c r="G346" s="25">
        <f t="shared" si="9"/>
        <v>-7.8721487172191962E-3</v>
      </c>
      <c r="I346" s="88">
        <v>249.38</v>
      </c>
      <c r="J346" s="88">
        <v>250.41</v>
      </c>
      <c r="K346" s="88">
        <v>243.67</v>
      </c>
      <c r="L346" s="88">
        <v>245.85</v>
      </c>
      <c r="M346" s="89">
        <v>1567478.1425000001</v>
      </c>
      <c r="N346" s="87" t="s">
        <v>365</v>
      </c>
      <c r="O346" s="25">
        <f t="shared" si="10"/>
        <v>1.4358348586536618E-2</v>
      </c>
    </row>
    <row r="347" spans="1:15">
      <c r="A347" s="88">
        <v>628.57327433308194</v>
      </c>
      <c r="B347" s="88">
        <v>629.12846349687266</v>
      </c>
      <c r="C347" s="88">
        <v>621.64332387790978</v>
      </c>
      <c r="D347" s="88">
        <v>622.08945802738447</v>
      </c>
      <c r="E347" s="89">
        <v>7512598.0693186289</v>
      </c>
      <c r="F347" s="87" t="s">
        <v>366</v>
      </c>
      <c r="G347" s="25">
        <f t="shared" si="9"/>
        <v>1.0422642952763406E-2</v>
      </c>
      <c r="I347" s="88">
        <v>241.89</v>
      </c>
      <c r="J347" s="88">
        <v>246.01499999999999</v>
      </c>
      <c r="K347" s="88">
        <v>237.02</v>
      </c>
      <c r="L347" s="88">
        <v>245.67</v>
      </c>
      <c r="M347" s="89">
        <v>1390779</v>
      </c>
      <c r="N347" s="87" t="s">
        <v>366</v>
      </c>
      <c r="O347" s="25">
        <f t="shared" si="10"/>
        <v>-1.5386494077420987E-2</v>
      </c>
    </row>
    <row r="348" spans="1:15">
      <c r="A348" s="88">
        <v>624.12184693054644</v>
      </c>
      <c r="B348" s="88">
        <v>625.65853122318128</v>
      </c>
      <c r="C348" s="88">
        <v>621.42521384927772</v>
      </c>
      <c r="D348" s="88">
        <v>623.54682958233479</v>
      </c>
      <c r="E348" s="89">
        <v>5215367.0655791443</v>
      </c>
      <c r="F348" s="87" t="s">
        <v>367</v>
      </c>
      <c r="G348" s="25">
        <f t="shared" si="9"/>
        <v>9.2217187375776E-4</v>
      </c>
      <c r="I348" s="88">
        <v>249.1</v>
      </c>
      <c r="J348" s="88">
        <v>257.88749999999999</v>
      </c>
      <c r="K348" s="88">
        <v>242.34</v>
      </c>
      <c r="L348" s="88">
        <v>257.58</v>
      </c>
      <c r="M348" s="89">
        <v>1410067</v>
      </c>
      <c r="N348" s="87" t="s">
        <v>367</v>
      </c>
      <c r="O348" s="25">
        <f t="shared" si="10"/>
        <v>-3.2921810699588439E-2</v>
      </c>
    </row>
    <row r="349" spans="1:15">
      <c r="A349" s="88">
        <v>625.727929868655</v>
      </c>
      <c r="B349" s="88">
        <v>628.35516430444989</v>
      </c>
      <c r="C349" s="88">
        <v>622.60499082233287</v>
      </c>
      <c r="D349" s="88">
        <v>623.70545505770349</v>
      </c>
      <c r="E349" s="89">
        <v>9591574.0927687287</v>
      </c>
      <c r="F349" s="87" t="s">
        <v>368</v>
      </c>
      <c r="G349" s="25">
        <f t="shared" si="9"/>
        <v>3.2426761615615973E-3</v>
      </c>
      <c r="I349" s="88">
        <v>258.07</v>
      </c>
      <c r="J349" s="88">
        <v>275.10000000000002</v>
      </c>
      <c r="K349" s="88">
        <v>256.62</v>
      </c>
      <c r="L349" s="88">
        <v>266</v>
      </c>
      <c r="M349" s="89">
        <v>2073769</v>
      </c>
      <c r="N349" s="87" t="s">
        <v>368</v>
      </c>
      <c r="O349" s="25">
        <f t="shared" si="10"/>
        <v>-2.9812030075187956E-2</v>
      </c>
    </row>
    <row r="350" spans="1:15">
      <c r="A350" s="88">
        <v>622.59507673012229</v>
      </c>
      <c r="B350" s="88">
        <v>624.51841061896835</v>
      </c>
      <c r="C350" s="88">
        <v>616.17074497768806</v>
      </c>
      <c r="D350" s="88">
        <v>620.16612413853829</v>
      </c>
      <c r="E350" s="89">
        <v>8109088.3857702948</v>
      </c>
      <c r="F350" s="87" t="s">
        <v>369</v>
      </c>
      <c r="G350" s="25">
        <f t="shared" si="9"/>
        <v>3.9166160437382747E-3</v>
      </c>
      <c r="I350" s="88">
        <v>246.34</v>
      </c>
      <c r="J350" s="88">
        <v>249.65</v>
      </c>
      <c r="K350" s="88">
        <v>242.17850000000001</v>
      </c>
      <c r="L350" s="88">
        <v>243.57</v>
      </c>
      <c r="M350" s="89">
        <v>1223751</v>
      </c>
      <c r="N350" s="87" t="s">
        <v>369</v>
      </c>
      <c r="O350" s="25">
        <f t="shared" si="10"/>
        <v>1.1372500718479284E-2</v>
      </c>
    </row>
    <row r="351" spans="1:15">
      <c r="A351" s="88">
        <v>621.50452658696213</v>
      </c>
      <c r="B351" s="88">
        <v>625.74775805307604</v>
      </c>
      <c r="C351" s="88">
        <v>617.7619567774808</v>
      </c>
      <c r="D351" s="88">
        <v>621.54418295580433</v>
      </c>
      <c r="E351" s="89">
        <v>9328894.4701977801</v>
      </c>
      <c r="F351" s="87" t="s">
        <v>370</v>
      </c>
      <c r="G351" s="25">
        <f t="shared" si="9"/>
        <v>-6.3802976408844359E-5</v>
      </c>
      <c r="I351" s="88">
        <v>242.74</v>
      </c>
      <c r="J351" s="88">
        <v>249.73</v>
      </c>
      <c r="K351" s="88">
        <v>241.63</v>
      </c>
      <c r="L351" s="88">
        <v>241.63</v>
      </c>
      <c r="M351" s="89">
        <v>772167</v>
      </c>
      <c r="N351" s="87" t="s">
        <v>370</v>
      </c>
      <c r="O351" s="25">
        <f t="shared" si="10"/>
        <v>4.593800438687401E-3</v>
      </c>
    </row>
    <row r="352" spans="1:15">
      <c r="A352" s="88">
        <v>621.10796289854034</v>
      </c>
      <c r="B352" s="88">
        <v>634.02602504888262</v>
      </c>
      <c r="C352" s="88">
        <v>620.38423416717035</v>
      </c>
      <c r="D352" s="88">
        <v>633.02470173561744</v>
      </c>
      <c r="E352" s="89">
        <v>8943705.3960092701</v>
      </c>
      <c r="F352" s="87" t="s">
        <v>371</v>
      </c>
      <c r="G352" s="25">
        <f t="shared" si="9"/>
        <v>-1.8825077132699541E-2</v>
      </c>
      <c r="I352" s="88">
        <v>240.82</v>
      </c>
      <c r="J352" s="88">
        <v>254.39500000000001</v>
      </c>
      <c r="K352" s="88">
        <v>240.78</v>
      </c>
      <c r="L352" s="88">
        <v>251.85</v>
      </c>
      <c r="M352" s="89">
        <v>948851</v>
      </c>
      <c r="N352" s="87" t="s">
        <v>371</v>
      </c>
      <c r="O352" s="25">
        <f t="shared" si="10"/>
        <v>-4.3795910264046056E-2</v>
      </c>
    </row>
    <row r="353" spans="1:15">
      <c r="A353" s="88">
        <v>630.88325781813933</v>
      </c>
      <c r="B353" s="88">
        <v>635.64202207920175</v>
      </c>
      <c r="C353" s="88">
        <v>628.39482067329209</v>
      </c>
      <c r="D353" s="88">
        <v>634.9876919933057</v>
      </c>
      <c r="E353" s="89">
        <v>5363165.7715908969</v>
      </c>
      <c r="F353" s="87" t="s">
        <v>372</v>
      </c>
      <c r="G353" s="25">
        <f t="shared" si="9"/>
        <v>-6.4638011522428762E-3</v>
      </c>
      <c r="I353" s="88">
        <v>250.85</v>
      </c>
      <c r="J353" s="88">
        <v>253.57</v>
      </c>
      <c r="K353" s="88">
        <v>247.37</v>
      </c>
      <c r="L353" s="88">
        <v>251.81</v>
      </c>
      <c r="M353" s="89">
        <v>683078</v>
      </c>
      <c r="N353" s="87" t="s">
        <v>372</v>
      </c>
      <c r="O353" s="25">
        <f t="shared" si="10"/>
        <v>-3.8123982367658238E-3</v>
      </c>
    </row>
    <row r="354" spans="1:15">
      <c r="A354" s="88">
        <v>630.97248464803431</v>
      </c>
      <c r="B354" s="88">
        <v>635.11657519204277</v>
      </c>
      <c r="C354" s="88">
        <v>630.61557732845461</v>
      </c>
      <c r="D354" s="88">
        <v>633.64928954488187</v>
      </c>
      <c r="E354" s="89">
        <v>13737970.870909363</v>
      </c>
      <c r="F354" s="87" t="s">
        <v>373</v>
      </c>
      <c r="G354" s="25">
        <f t="shared" si="9"/>
        <v>-4.2244265732076514E-3</v>
      </c>
      <c r="I354" s="88">
        <v>252.41</v>
      </c>
      <c r="J354" s="88">
        <v>255.70500000000001</v>
      </c>
      <c r="K354" s="88">
        <v>246.13</v>
      </c>
      <c r="L354" s="88">
        <v>246.13</v>
      </c>
      <c r="M354" s="89">
        <v>1449361</v>
      </c>
      <c r="N354" s="87" t="s">
        <v>373</v>
      </c>
      <c r="O354" s="25">
        <f t="shared" si="10"/>
        <v>2.5514971762889527E-2</v>
      </c>
    </row>
    <row r="355" spans="1:15">
      <c r="A355" s="88">
        <v>632.74710715372214</v>
      </c>
      <c r="B355" s="88">
        <v>634.49198738277835</v>
      </c>
      <c r="C355" s="88">
        <v>627.67109194192221</v>
      </c>
      <c r="D355" s="88">
        <v>628.62284479413472</v>
      </c>
      <c r="E355" s="89">
        <v>8962171.0301906075</v>
      </c>
      <c r="F355" s="87" t="s">
        <v>374</v>
      </c>
      <c r="G355" s="25">
        <f t="shared" si="9"/>
        <v>6.5607898181587743E-3</v>
      </c>
      <c r="I355" s="88">
        <v>245.57</v>
      </c>
      <c r="J355" s="88">
        <v>247.245</v>
      </c>
      <c r="K355" s="88">
        <v>240.33</v>
      </c>
      <c r="L355" s="88">
        <v>243.26</v>
      </c>
      <c r="M355" s="89">
        <v>663355</v>
      </c>
      <c r="N355" s="87" t="s">
        <v>374</v>
      </c>
      <c r="O355" s="25">
        <f t="shared" si="10"/>
        <v>9.4960124969167836E-3</v>
      </c>
    </row>
    <row r="356" spans="1:15">
      <c r="A356" s="88">
        <v>629.7827935827687</v>
      </c>
      <c r="B356" s="88">
        <v>631.25007922992961</v>
      </c>
      <c r="C356" s="88">
        <v>620.82045422443446</v>
      </c>
      <c r="D356" s="88">
        <v>621.33598701938286</v>
      </c>
      <c r="E356" s="89">
        <v>13071716.224520942</v>
      </c>
      <c r="F356" s="87" t="s">
        <v>375</v>
      </c>
      <c r="G356" s="25">
        <f t="shared" si="9"/>
        <v>1.3594587694664373E-2</v>
      </c>
      <c r="I356" s="88">
        <v>241.93</v>
      </c>
      <c r="J356" s="88">
        <v>244.505</v>
      </c>
      <c r="K356" s="88">
        <v>240.03</v>
      </c>
      <c r="L356" s="88">
        <v>242.65</v>
      </c>
      <c r="M356" s="89">
        <v>1096255</v>
      </c>
      <c r="N356" s="87" t="s">
        <v>375</v>
      </c>
      <c r="O356" s="25">
        <f t="shared" si="10"/>
        <v>-2.9672367607664896E-3</v>
      </c>
    </row>
    <row r="357" spans="1:15">
      <c r="A357" s="88">
        <v>617.74708563916499</v>
      </c>
      <c r="B357" s="88">
        <v>623.34854773812378</v>
      </c>
      <c r="C357" s="88">
        <v>616.16083088547748</v>
      </c>
      <c r="D357" s="88">
        <v>620.86011059327666</v>
      </c>
      <c r="E357" s="89">
        <v>11606691.521144789</v>
      </c>
      <c r="F357" s="87" t="s">
        <v>376</v>
      </c>
      <c r="G357" s="25">
        <f t="shared" si="9"/>
        <v>-5.0140521205926936E-3</v>
      </c>
      <c r="I357" s="88">
        <v>243.15</v>
      </c>
      <c r="J357" s="88">
        <v>255.1</v>
      </c>
      <c r="K357" s="88">
        <v>242.53</v>
      </c>
      <c r="L357" s="88">
        <v>251.81</v>
      </c>
      <c r="M357" s="89">
        <v>1335738</v>
      </c>
      <c r="N357" s="87" t="s">
        <v>376</v>
      </c>
      <c r="O357" s="25">
        <f t="shared" si="10"/>
        <v>-3.4391009094158265E-2</v>
      </c>
    </row>
    <row r="358" spans="1:15">
      <c r="A358" s="88">
        <v>625.4899916556019</v>
      </c>
      <c r="B358" s="88">
        <v>630.4569518530858</v>
      </c>
      <c r="C358" s="88">
        <v>621.61358160127816</v>
      </c>
      <c r="D358" s="88">
        <v>629.47545672424167</v>
      </c>
      <c r="E358" s="89">
        <v>11325536.177740304</v>
      </c>
      <c r="F358" s="87" t="s">
        <v>377</v>
      </c>
      <c r="G358" s="25">
        <f t="shared" si="9"/>
        <v>-6.3314066117524659E-3</v>
      </c>
      <c r="I358" s="88">
        <v>251.24</v>
      </c>
      <c r="J358" s="88">
        <v>256.01499999999999</v>
      </c>
      <c r="K358" s="88">
        <v>246.14</v>
      </c>
      <c r="L358" s="88">
        <v>253.19</v>
      </c>
      <c r="M358" s="89">
        <v>1050797</v>
      </c>
      <c r="N358" s="87" t="s">
        <v>377</v>
      </c>
      <c r="O358" s="25">
        <f t="shared" si="10"/>
        <v>-7.7017259765392865E-3</v>
      </c>
    </row>
    <row r="359" spans="1:15">
      <c r="A359" s="88">
        <v>628.70215753181901</v>
      </c>
      <c r="B359" s="88">
        <v>635.49331069604352</v>
      </c>
      <c r="C359" s="88">
        <v>623.70049801159826</v>
      </c>
      <c r="D359" s="88">
        <v>634.82906651793701</v>
      </c>
      <c r="E359" s="89">
        <v>9727764.0707642585</v>
      </c>
      <c r="F359" s="87" t="s">
        <v>378</v>
      </c>
      <c r="G359" s="25">
        <f t="shared" si="9"/>
        <v>-9.6512735620697399E-3</v>
      </c>
      <c r="I359" s="88">
        <v>251.22</v>
      </c>
      <c r="J359" s="88">
        <v>258.75</v>
      </c>
      <c r="K359" s="88">
        <v>249.63</v>
      </c>
      <c r="L359" s="88">
        <v>255.83</v>
      </c>
      <c r="M359" s="89">
        <v>976804</v>
      </c>
      <c r="N359" s="87" t="s">
        <v>378</v>
      </c>
      <c r="O359" s="25">
        <f t="shared" si="10"/>
        <v>-1.8019778759332472E-2</v>
      </c>
    </row>
    <row r="360" spans="1:15">
      <c r="A360" s="88">
        <v>634.18465052425131</v>
      </c>
      <c r="B360" s="88">
        <v>635.45365432720143</v>
      </c>
      <c r="C360" s="88">
        <v>628.62284479413472</v>
      </c>
      <c r="D360" s="88">
        <v>628.73189980845063</v>
      </c>
      <c r="E360" s="89">
        <v>9203597.0679123215</v>
      </c>
      <c r="F360" s="87" t="s">
        <v>379</v>
      </c>
      <c r="G360" s="25">
        <f t="shared" si="9"/>
        <v>8.6726166072723654E-3</v>
      </c>
      <c r="I360" s="88">
        <v>256.62</v>
      </c>
      <c r="J360" s="88">
        <v>260.4975</v>
      </c>
      <c r="K360" s="88">
        <v>254.88</v>
      </c>
      <c r="L360" s="88">
        <v>256.91000000000003</v>
      </c>
      <c r="M360" s="89">
        <v>1069479</v>
      </c>
      <c r="N360" s="87" t="s">
        <v>379</v>
      </c>
      <c r="O360" s="25">
        <f t="shared" si="10"/>
        <v>-1.1287999688607275E-3</v>
      </c>
    </row>
    <row r="361" spans="1:15">
      <c r="A361" s="88">
        <v>630.75437461940226</v>
      </c>
      <c r="B361" s="88">
        <v>632.96521718235419</v>
      </c>
      <c r="C361" s="88">
        <v>626.52105724549881</v>
      </c>
      <c r="D361" s="88">
        <v>630.78411689603388</v>
      </c>
      <c r="E361" s="89">
        <v>6576045.351953093</v>
      </c>
      <c r="F361" s="87" t="s">
        <v>380</v>
      </c>
      <c r="G361" s="25">
        <f t="shared" si="9"/>
        <v>-4.71512770137128E-5</v>
      </c>
      <c r="I361" s="88">
        <v>255.81</v>
      </c>
      <c r="J361" s="88">
        <v>263.04000000000002</v>
      </c>
      <c r="K361" s="88">
        <v>253.04</v>
      </c>
      <c r="L361" s="88">
        <v>256.02999999999997</v>
      </c>
      <c r="M361" s="89">
        <v>1179583</v>
      </c>
      <c r="N361" s="87" t="s">
        <v>380</v>
      </c>
      <c r="O361" s="25">
        <f t="shared" si="10"/>
        <v>-8.5927430379240111E-4</v>
      </c>
    </row>
    <row r="362" spans="1:15">
      <c r="A362" s="88">
        <v>632.78676352256423</v>
      </c>
      <c r="B362" s="88">
        <v>635.53296706488572</v>
      </c>
      <c r="C362" s="88">
        <v>624.40935560465243</v>
      </c>
      <c r="D362" s="88">
        <v>634.92820744004234</v>
      </c>
      <c r="E362" s="89">
        <v>8559388.8172360025</v>
      </c>
      <c r="F362" s="87" t="s">
        <v>381</v>
      </c>
      <c r="G362" s="25">
        <f t="shared" si="9"/>
        <v>-3.372733944381201E-3</v>
      </c>
      <c r="I362" s="88">
        <v>255.1</v>
      </c>
      <c r="J362" s="88">
        <v>260.59500000000003</v>
      </c>
      <c r="K362" s="88">
        <v>254.08</v>
      </c>
      <c r="L362" s="88">
        <v>257.85000000000002</v>
      </c>
      <c r="M362" s="89">
        <v>1300468</v>
      </c>
      <c r="N362" s="87" t="s">
        <v>381</v>
      </c>
      <c r="O362" s="25">
        <f t="shared" si="10"/>
        <v>-1.0665115377157419E-2</v>
      </c>
    </row>
    <row r="363" spans="1:15">
      <c r="A363" s="88">
        <v>634.10533778656702</v>
      </c>
      <c r="B363" s="88">
        <v>636.2963521650978</v>
      </c>
      <c r="C363" s="88">
        <v>632.73719306151156</v>
      </c>
      <c r="D363" s="88">
        <v>635.54288115709619</v>
      </c>
      <c r="E363" s="89">
        <v>5535930.9591264632</v>
      </c>
      <c r="F363" s="87" t="s">
        <v>382</v>
      </c>
      <c r="G363" s="25">
        <f t="shared" si="9"/>
        <v>-2.2619140472660559E-3</v>
      </c>
      <c r="I363" s="88">
        <v>258.2</v>
      </c>
      <c r="J363" s="88">
        <v>266.60500000000002</v>
      </c>
      <c r="K363" s="88">
        <v>257.32</v>
      </c>
      <c r="L363" s="88">
        <v>266.2</v>
      </c>
      <c r="M363" s="89">
        <v>1315272</v>
      </c>
      <c r="N363" s="87" t="s">
        <v>382</v>
      </c>
      <c r="O363" s="25">
        <f t="shared" si="10"/>
        <v>-3.0052592036063142E-2</v>
      </c>
    </row>
    <row r="364" spans="1:15">
      <c r="A364" s="88">
        <v>634.20447870867247</v>
      </c>
      <c r="B364" s="88">
        <v>635.09268222981541</v>
      </c>
      <c r="C364" s="88">
        <v>632.39019983414244</v>
      </c>
      <c r="D364" s="88">
        <v>632.93547490572246</v>
      </c>
      <c r="E364" s="89">
        <v>4345638.4190342566</v>
      </c>
      <c r="F364" s="87" t="s">
        <v>383</v>
      </c>
      <c r="G364" s="25">
        <f t="shared" si="9"/>
        <v>2.0049497196203969E-3</v>
      </c>
      <c r="I364" s="88">
        <v>264.91000000000003</v>
      </c>
      <c r="J364" s="88">
        <v>270.61</v>
      </c>
      <c r="K364" s="88">
        <v>261.95</v>
      </c>
      <c r="L364" s="88">
        <v>268.18</v>
      </c>
      <c r="M364" s="89">
        <v>1479302</v>
      </c>
      <c r="N364" s="87" t="s">
        <v>383</v>
      </c>
      <c r="O364" s="25">
        <f t="shared" si="10"/>
        <v>-1.2193303005444078E-2</v>
      </c>
    </row>
    <row r="365" spans="1:15">
      <c r="A365" s="88">
        <v>631.61690064171978</v>
      </c>
      <c r="B365" s="88">
        <v>632.90573262909083</v>
      </c>
      <c r="C365" s="88">
        <v>629.0689789436093</v>
      </c>
      <c r="D365" s="88">
        <v>629.57459764634712</v>
      </c>
      <c r="E365" s="89">
        <v>9054170.376235595</v>
      </c>
      <c r="F365" s="87" t="s">
        <v>384</v>
      </c>
      <c r="G365" s="25">
        <f t="shared" si="9"/>
        <v>3.2439412311229265E-3</v>
      </c>
      <c r="I365" s="88">
        <v>271.31</v>
      </c>
      <c r="J365" s="88">
        <v>275.92</v>
      </c>
      <c r="K365" s="88">
        <v>269.91000000000003</v>
      </c>
      <c r="L365" s="88">
        <v>271.56</v>
      </c>
      <c r="M365" s="89">
        <v>922993</v>
      </c>
      <c r="N365" s="87" t="s">
        <v>384</v>
      </c>
      <c r="O365" s="25">
        <f t="shared" si="10"/>
        <v>-9.2060686404482617E-4</v>
      </c>
    </row>
    <row r="366" spans="1:15">
      <c r="A366" s="88">
        <v>628.38490658108162</v>
      </c>
      <c r="B366" s="88">
        <v>630.01131340822178</v>
      </c>
      <c r="C366" s="88">
        <v>626.54088542991985</v>
      </c>
      <c r="D366" s="88">
        <v>627.44306782107958</v>
      </c>
      <c r="E366" s="89">
        <v>5877748.4375230186</v>
      </c>
      <c r="F366" s="87" t="s">
        <v>385</v>
      </c>
      <c r="G366" s="25">
        <f t="shared" si="9"/>
        <v>1.5010744532930609E-3</v>
      </c>
      <c r="I366" s="88">
        <v>271.60000000000002</v>
      </c>
      <c r="J366" s="88">
        <v>279.86</v>
      </c>
      <c r="K366" s="88">
        <v>265.77999999999997</v>
      </c>
      <c r="L366" s="88">
        <v>279.83</v>
      </c>
      <c r="M366" s="89">
        <v>1662595</v>
      </c>
      <c r="N366" s="87" t="s">
        <v>385</v>
      </c>
      <c r="O366" s="25">
        <f t="shared" si="10"/>
        <v>-2.941071364757164E-2</v>
      </c>
    </row>
    <row r="367" spans="1:15">
      <c r="A367" s="88">
        <v>628.12714018360737</v>
      </c>
      <c r="B367" s="88">
        <v>630.15952908676945</v>
      </c>
      <c r="C367" s="88">
        <v>626.3227754012878</v>
      </c>
      <c r="D367" s="88">
        <v>628.97975211371431</v>
      </c>
      <c r="E367" s="89">
        <v>6110276.0306744725</v>
      </c>
      <c r="F367" s="87" t="s">
        <v>386</v>
      </c>
      <c r="G367" s="25">
        <f t="shared" si="9"/>
        <v>-1.3555474993299788E-3</v>
      </c>
      <c r="I367" s="88">
        <v>280</v>
      </c>
      <c r="J367" s="88">
        <v>287.41000000000003</v>
      </c>
      <c r="K367" s="88">
        <v>275.12</v>
      </c>
      <c r="L367" s="88">
        <v>284.95999999999998</v>
      </c>
      <c r="M367" s="89">
        <v>1305776</v>
      </c>
      <c r="N367" s="87" t="s">
        <v>386</v>
      </c>
      <c r="O367" s="25">
        <f t="shared" si="10"/>
        <v>-1.7405951712521017E-2</v>
      </c>
    </row>
    <row r="368" spans="1:15">
      <c r="A368" s="88">
        <v>624.87531793854794</v>
      </c>
      <c r="B368" s="88">
        <v>627.95860061602798</v>
      </c>
      <c r="C368" s="88">
        <v>618.29236071074502</v>
      </c>
      <c r="D368" s="88">
        <v>619.65059134358989</v>
      </c>
      <c r="E368" s="89">
        <v>10444706.161784818</v>
      </c>
      <c r="F368" s="87" t="s">
        <v>387</v>
      </c>
      <c r="G368" s="25">
        <f t="shared" si="9"/>
        <v>8.4317301846339454E-3</v>
      </c>
      <c r="I368" s="88">
        <v>284.95999999999998</v>
      </c>
      <c r="J368" s="88">
        <v>288.98</v>
      </c>
      <c r="K368" s="88">
        <v>281.44</v>
      </c>
      <c r="L368" s="88">
        <v>285.67</v>
      </c>
      <c r="M368" s="89">
        <v>946716</v>
      </c>
      <c r="N368" s="87" t="s">
        <v>387</v>
      </c>
      <c r="O368" s="25">
        <f t="shared" si="10"/>
        <v>-2.4853852347115346E-3</v>
      </c>
    </row>
    <row r="369" spans="1:15">
      <c r="A369" s="88">
        <v>617.79665610021766</v>
      </c>
      <c r="B369" s="88">
        <v>624.34977191046698</v>
      </c>
      <c r="C369" s="88">
        <v>616.87464552463689</v>
      </c>
      <c r="D369" s="88">
        <v>621.37564338822506</v>
      </c>
      <c r="E369" s="89">
        <v>15006546.927385891</v>
      </c>
      <c r="F369" s="87" t="s">
        <v>388</v>
      </c>
      <c r="G369" s="25">
        <f t="shared" si="9"/>
        <v>-5.7597804582296686E-3</v>
      </c>
      <c r="I369" s="88">
        <v>284.25</v>
      </c>
      <c r="J369" s="88">
        <v>288.12</v>
      </c>
      <c r="K369" s="88">
        <v>281.64999999999998</v>
      </c>
      <c r="L369" s="88">
        <v>285.51</v>
      </c>
      <c r="M369" s="89">
        <v>588226</v>
      </c>
      <c r="N369" s="87" t="s">
        <v>388</v>
      </c>
      <c r="O369" s="25">
        <f t="shared" si="10"/>
        <v>-4.41315540611531E-3</v>
      </c>
    </row>
    <row r="370" spans="1:15">
      <c r="A370" s="88">
        <v>630.62549142066518</v>
      </c>
      <c r="B370" s="88">
        <v>633.02460259469535</v>
      </c>
      <c r="C370" s="88">
        <v>629.22760441897799</v>
      </c>
      <c r="D370" s="88">
        <v>632.47942666403742</v>
      </c>
      <c r="E370" s="89">
        <v>6752046.3375142086</v>
      </c>
      <c r="F370" s="87" t="s">
        <v>389</v>
      </c>
      <c r="G370" s="25">
        <f t="shared" si="9"/>
        <v>-2.9312182581979762E-3</v>
      </c>
      <c r="I370" s="88">
        <v>287.7</v>
      </c>
      <c r="J370" s="88">
        <v>289.255</v>
      </c>
      <c r="K370" s="88">
        <v>283.40499999999997</v>
      </c>
      <c r="L370" s="88">
        <v>286.27999999999997</v>
      </c>
      <c r="M370" s="89">
        <v>653031</v>
      </c>
      <c r="N370" s="87" t="s">
        <v>389</v>
      </c>
      <c r="O370" s="25">
        <f t="shared" si="10"/>
        <v>4.960178845885288E-3</v>
      </c>
    </row>
    <row r="371" spans="1:15">
      <c r="A371" s="88">
        <v>631.15093830782405</v>
      </c>
      <c r="B371" s="88">
        <v>634.08550960214598</v>
      </c>
      <c r="C371" s="88">
        <v>630.23884182445386</v>
      </c>
      <c r="D371" s="88">
        <v>633.28246813309158</v>
      </c>
      <c r="E371" s="89">
        <v>6810105.1075736275</v>
      </c>
      <c r="F371" s="87" t="s">
        <v>390</v>
      </c>
      <c r="G371" s="25">
        <f t="shared" si="9"/>
        <v>-3.3658437309203038E-3</v>
      </c>
      <c r="I371" s="88">
        <v>286.49</v>
      </c>
      <c r="J371" s="88">
        <v>287.86</v>
      </c>
      <c r="K371" s="88">
        <v>279.85500000000002</v>
      </c>
      <c r="L371" s="88">
        <v>282</v>
      </c>
      <c r="M371" s="89">
        <v>733672</v>
      </c>
      <c r="N371" s="87" t="s">
        <v>390</v>
      </c>
      <c r="O371" s="25">
        <f t="shared" si="10"/>
        <v>1.5921985815602779E-2</v>
      </c>
    </row>
    <row r="372" spans="1:15">
      <c r="A372" s="88">
        <v>629.48537081645225</v>
      </c>
      <c r="B372" s="88">
        <v>630.65424228807569</v>
      </c>
      <c r="C372" s="88">
        <v>625.57921848549688</v>
      </c>
      <c r="D372" s="88">
        <v>630.03064588803227</v>
      </c>
      <c r="E372" s="89">
        <v>8650571.1444528438</v>
      </c>
      <c r="F372" s="87" t="s">
        <v>391</v>
      </c>
      <c r="G372" s="25">
        <f t="shared" si="9"/>
        <v>-8.6547388629243382E-4</v>
      </c>
      <c r="I372" s="88">
        <v>282.89</v>
      </c>
      <c r="J372" s="88">
        <v>284.25</v>
      </c>
      <c r="K372" s="88">
        <v>275.10000000000002</v>
      </c>
      <c r="L372" s="88">
        <v>277.04000000000002</v>
      </c>
      <c r="M372" s="89">
        <v>794173</v>
      </c>
      <c r="N372" s="87" t="s">
        <v>391</v>
      </c>
      <c r="O372" s="25">
        <f t="shared" si="10"/>
        <v>2.1116084319953599E-2</v>
      </c>
    </row>
    <row r="373" spans="1:15">
      <c r="A373" s="88">
        <v>632.54882530951113</v>
      </c>
      <c r="B373" s="88">
        <v>634.65130684460189</v>
      </c>
      <c r="C373" s="88">
        <v>630.35285388487512</v>
      </c>
      <c r="D373" s="88">
        <v>634.18465052425131</v>
      </c>
      <c r="E373" s="89">
        <v>8913703.657707544</v>
      </c>
      <c r="F373" s="87" t="s">
        <v>392</v>
      </c>
      <c r="G373" s="25">
        <f t="shared" si="9"/>
        <v>-2.5794147073536777E-3</v>
      </c>
      <c r="I373" s="88">
        <v>278.17</v>
      </c>
      <c r="J373" s="88">
        <v>283.35000000000002</v>
      </c>
      <c r="K373" s="88">
        <v>277.02999999999997</v>
      </c>
      <c r="L373" s="88">
        <v>278.54000000000002</v>
      </c>
      <c r="M373" s="89">
        <v>666618</v>
      </c>
      <c r="N373" s="87" t="s">
        <v>392</v>
      </c>
      <c r="O373" s="25">
        <f t="shared" si="10"/>
        <v>-1.3283549938967187E-3</v>
      </c>
    </row>
    <row r="374" spans="1:15">
      <c r="A374" s="88">
        <v>633.84757138909276</v>
      </c>
      <c r="B374" s="88">
        <v>634.66052695035762</v>
      </c>
      <c r="C374" s="88">
        <v>629.70348084508419</v>
      </c>
      <c r="D374" s="88">
        <v>629.73322312171592</v>
      </c>
      <c r="E374" s="89">
        <v>7958251.5801160997</v>
      </c>
      <c r="F374" s="87" t="s">
        <v>393</v>
      </c>
      <c r="G374" s="25">
        <f t="shared" si="9"/>
        <v>6.5334781718855428E-3</v>
      </c>
      <c r="I374" s="88">
        <v>278.55</v>
      </c>
      <c r="J374" s="88">
        <v>288.33499999999998</v>
      </c>
      <c r="K374" s="88">
        <v>277.60000000000002</v>
      </c>
      <c r="L374" s="88">
        <v>286.70999999999998</v>
      </c>
      <c r="M374" s="89">
        <v>622792</v>
      </c>
      <c r="N374" s="87" t="s">
        <v>393</v>
      </c>
      <c r="O374" s="25">
        <f t="shared" si="10"/>
        <v>-2.8460814062990392E-2</v>
      </c>
    </row>
    <row r="375" spans="1:15">
      <c r="A375" s="88">
        <v>632.82641989140643</v>
      </c>
      <c r="B375" s="88">
        <v>633.94671231119833</v>
      </c>
      <c r="C375" s="88">
        <v>628.35516430444989</v>
      </c>
      <c r="D375" s="88">
        <v>629.69356675287372</v>
      </c>
      <c r="E375" s="89">
        <v>7911683.5242421729</v>
      </c>
      <c r="F375" s="87" t="s">
        <v>394</v>
      </c>
      <c r="G375" s="25">
        <f t="shared" si="9"/>
        <v>4.9752027080216532E-3</v>
      </c>
      <c r="I375" s="88">
        <v>289.04000000000002</v>
      </c>
      <c r="J375" s="88">
        <v>294.03500000000003</v>
      </c>
      <c r="K375" s="88">
        <v>280.52</v>
      </c>
      <c r="L375" s="88">
        <v>293.08</v>
      </c>
      <c r="M375" s="89">
        <v>901962</v>
      </c>
      <c r="N375" s="87" t="s">
        <v>394</v>
      </c>
      <c r="O375" s="25">
        <f t="shared" si="10"/>
        <v>-1.3784632182339163E-2</v>
      </c>
    </row>
    <row r="376" spans="1:15">
      <c r="A376" s="88">
        <v>628.61293070192403</v>
      </c>
      <c r="B376" s="88">
        <v>629.64409543274314</v>
      </c>
      <c r="C376" s="88">
        <v>626.80479856456463</v>
      </c>
      <c r="D376" s="88">
        <v>628.03791335371238</v>
      </c>
      <c r="E376" s="89">
        <v>9040463.6245619077</v>
      </c>
      <c r="F376" s="87" t="s">
        <v>395</v>
      </c>
      <c r="G376" s="25">
        <f t="shared" si="9"/>
        <v>9.155774452231924E-4</v>
      </c>
      <c r="I376" s="88">
        <v>292.89</v>
      </c>
      <c r="J376" s="88">
        <v>297.37</v>
      </c>
      <c r="K376" s="88">
        <v>288.02</v>
      </c>
      <c r="L376" s="88">
        <v>295.2</v>
      </c>
      <c r="M376" s="89">
        <v>653361</v>
      </c>
      <c r="N376" s="87" t="s">
        <v>395</v>
      </c>
      <c r="O376" s="25">
        <f t="shared" si="10"/>
        <v>-7.8252032520325088E-3</v>
      </c>
    </row>
    <row r="377" spans="1:15">
      <c r="A377" s="88">
        <v>628.72198571624006</v>
      </c>
      <c r="B377" s="88">
        <v>632.73719306151156</v>
      </c>
      <c r="C377" s="88">
        <v>628.48404750318696</v>
      </c>
      <c r="D377" s="88">
        <v>631.11128193898196</v>
      </c>
      <c r="E377" s="89">
        <v>8872984.8514440171</v>
      </c>
      <c r="F377" s="87" t="s">
        <v>396</v>
      </c>
      <c r="G377" s="25">
        <f t="shared" si="9"/>
        <v>-3.7858556662165865E-3</v>
      </c>
      <c r="I377" s="88">
        <v>299.17</v>
      </c>
      <c r="J377" s="88">
        <v>299.79500000000002</v>
      </c>
      <c r="K377" s="88">
        <v>294.51</v>
      </c>
      <c r="L377" s="88">
        <v>295.86</v>
      </c>
      <c r="M377" s="89">
        <v>573157</v>
      </c>
      <c r="N377" s="87" t="s">
        <v>396</v>
      </c>
      <c r="O377" s="25">
        <f t="shared" si="10"/>
        <v>1.1187723923477222E-2</v>
      </c>
    </row>
    <row r="378" spans="1:15">
      <c r="A378" s="88">
        <v>630.74446052719168</v>
      </c>
      <c r="B378" s="88">
        <v>631.2104228610873</v>
      </c>
      <c r="C378" s="88">
        <v>627.09607459371045</v>
      </c>
      <c r="D378" s="88">
        <v>627.20512960802648</v>
      </c>
      <c r="E378" s="89">
        <v>8705688.6467309333</v>
      </c>
      <c r="F378" s="87" t="s">
        <v>397</v>
      </c>
      <c r="G378" s="25">
        <f t="shared" si="9"/>
        <v>5.6430197268588778E-3</v>
      </c>
      <c r="I378" s="88">
        <v>294.35000000000002</v>
      </c>
      <c r="J378" s="88">
        <v>295.16000000000003</v>
      </c>
      <c r="K378" s="88">
        <v>281.91000000000003</v>
      </c>
      <c r="L378" s="88">
        <v>283.39999999999998</v>
      </c>
      <c r="M378" s="89">
        <v>752598</v>
      </c>
      <c r="N378" s="87" t="s">
        <v>397</v>
      </c>
      <c r="O378" s="25">
        <f t="shared" si="10"/>
        <v>3.8637967537050288E-2</v>
      </c>
    </row>
    <row r="379" spans="1:15">
      <c r="A379" s="88">
        <v>627.02667594823674</v>
      </c>
      <c r="B379" s="88">
        <v>628.59310251750298</v>
      </c>
      <c r="C379" s="88">
        <v>625.8072426063394</v>
      </c>
      <c r="D379" s="88">
        <v>625.95595398949763</v>
      </c>
      <c r="E379" s="89">
        <v>16280268.185149305</v>
      </c>
      <c r="F379" s="87" t="s">
        <v>398</v>
      </c>
      <c r="G379" s="25">
        <f t="shared" si="9"/>
        <v>1.7105388197282689E-3</v>
      </c>
      <c r="I379" s="88">
        <v>283.51</v>
      </c>
      <c r="J379" s="88">
        <v>285.39999999999998</v>
      </c>
      <c r="K379" s="88">
        <v>278.79000000000002</v>
      </c>
      <c r="L379" s="88">
        <v>282.20999999999998</v>
      </c>
      <c r="M379" s="89">
        <v>791347</v>
      </c>
      <c r="N379" s="87" t="s">
        <v>398</v>
      </c>
      <c r="O379" s="25">
        <f t="shared" si="10"/>
        <v>4.6064987066369856E-3</v>
      </c>
    </row>
    <row r="380" spans="1:15">
      <c r="A380" s="88">
        <v>622.90241358864921</v>
      </c>
      <c r="B380" s="88">
        <v>626.23354857139293</v>
      </c>
      <c r="C380" s="88">
        <v>619.83895909559033</v>
      </c>
      <c r="D380" s="88">
        <v>625.21735411981183</v>
      </c>
      <c r="E380" s="89">
        <v>11092840.137497121</v>
      </c>
      <c r="F380" s="87" t="s">
        <v>399</v>
      </c>
      <c r="G380" s="25">
        <f t="shared" ref="G380:G443" si="11">A380/D380-1</f>
        <v>-3.7026172032950111E-3</v>
      </c>
      <c r="I380" s="88">
        <v>282.92</v>
      </c>
      <c r="J380" s="88">
        <v>286.51499999999999</v>
      </c>
      <c r="K380" s="88">
        <v>280.18</v>
      </c>
      <c r="L380" s="88">
        <v>285.45999999999998</v>
      </c>
      <c r="M380" s="89">
        <v>456779</v>
      </c>
      <c r="N380" s="87" t="s">
        <v>399</v>
      </c>
      <c r="O380" s="25">
        <f t="shared" ref="O380:O443" si="12">I380/L380-1</f>
        <v>-8.8979191480416109E-3</v>
      </c>
    </row>
    <row r="381" spans="1:15">
      <c r="A381" s="88">
        <v>621.74246480001523</v>
      </c>
      <c r="B381" s="88">
        <v>626.70942499749913</v>
      </c>
      <c r="C381" s="88">
        <v>621.55409704801491</v>
      </c>
      <c r="D381" s="88">
        <v>626.51114315328823</v>
      </c>
      <c r="E381" s="89">
        <v>5558948.6994453641</v>
      </c>
      <c r="F381" s="87" t="s">
        <v>400</v>
      </c>
      <c r="G381" s="25">
        <f t="shared" si="11"/>
        <v>-7.6114821027313262E-3</v>
      </c>
      <c r="I381" s="88">
        <v>284.24</v>
      </c>
      <c r="J381" s="88">
        <v>287</v>
      </c>
      <c r="K381" s="88">
        <v>284.08999999999997</v>
      </c>
      <c r="L381" s="88">
        <v>286.18</v>
      </c>
      <c r="M381" s="89">
        <v>277819</v>
      </c>
      <c r="N381" s="87" t="s">
        <v>400</v>
      </c>
      <c r="O381" s="25">
        <f t="shared" si="12"/>
        <v>-6.7789503109930704E-3</v>
      </c>
    </row>
    <row r="382" spans="1:15">
      <c r="A382" s="88">
        <v>626.29303312465618</v>
      </c>
      <c r="B382" s="88">
        <v>627.77023286402766</v>
      </c>
      <c r="C382" s="88">
        <v>625.98569626612925</v>
      </c>
      <c r="D382" s="88">
        <v>626.76890955076249</v>
      </c>
      <c r="E382" s="89">
        <v>4186835.1754730204</v>
      </c>
      <c r="F382" s="87" t="s">
        <v>401</v>
      </c>
      <c r="G382" s="25">
        <f t="shared" si="11"/>
        <v>-7.5925340082261261E-4</v>
      </c>
      <c r="I382" s="88">
        <v>287.02999999999997</v>
      </c>
      <c r="J382" s="88">
        <v>287.52999999999997</v>
      </c>
      <c r="K382" s="88">
        <v>285.2</v>
      </c>
      <c r="L382" s="88">
        <v>286.02999999999997</v>
      </c>
      <c r="M382" s="89">
        <v>320302</v>
      </c>
      <c r="N382" s="87" t="s">
        <v>401</v>
      </c>
      <c r="O382" s="25">
        <f t="shared" si="12"/>
        <v>3.4961367688703948E-3</v>
      </c>
    </row>
    <row r="383" spans="1:15">
      <c r="A383" s="88">
        <v>627.16547323918428</v>
      </c>
      <c r="B383" s="88">
        <v>628.34525021223931</v>
      </c>
      <c r="C383" s="88">
        <v>625.5296480244441</v>
      </c>
      <c r="D383" s="88">
        <v>626.86805047286782</v>
      </c>
      <c r="E383" s="89">
        <v>6553250.5266477978</v>
      </c>
      <c r="F383" s="87" t="s">
        <v>402</v>
      </c>
      <c r="G383" s="25">
        <f t="shared" si="11"/>
        <v>4.744583267437541E-4</v>
      </c>
      <c r="I383" s="88">
        <v>287.36</v>
      </c>
      <c r="J383" s="88">
        <v>290.60000000000002</v>
      </c>
      <c r="K383" s="88">
        <v>285.58</v>
      </c>
      <c r="L383" s="88">
        <v>289.26</v>
      </c>
      <c r="M383" s="89">
        <v>570095</v>
      </c>
      <c r="N383" s="87" t="s">
        <v>402</v>
      </c>
      <c r="O383" s="25">
        <f t="shared" si="12"/>
        <v>-6.5684850999100375E-3</v>
      </c>
    </row>
    <row r="384" spans="1:15">
      <c r="A384" s="88">
        <v>629.3862298943468</v>
      </c>
      <c r="B384" s="88">
        <v>630.61062028234937</v>
      </c>
      <c r="C384" s="88">
        <v>628.43447704213429</v>
      </c>
      <c r="D384" s="88">
        <v>629.68365266066314</v>
      </c>
      <c r="E384" s="89">
        <v>3863041.5358914714</v>
      </c>
      <c r="F384" s="87" t="s">
        <v>403</v>
      </c>
      <c r="G384" s="25">
        <f t="shared" si="11"/>
        <v>-4.7233680763292263E-4</v>
      </c>
      <c r="I384" s="88">
        <v>288.63</v>
      </c>
      <c r="J384" s="88">
        <v>290.12</v>
      </c>
      <c r="K384" s="88">
        <v>286.66000000000003</v>
      </c>
      <c r="L384" s="88">
        <v>288.36</v>
      </c>
      <c r="M384" s="89">
        <v>300927</v>
      </c>
      <c r="N384" s="87" t="s">
        <v>403</v>
      </c>
      <c r="O384" s="25">
        <f t="shared" si="12"/>
        <v>9.3632958801492805E-4</v>
      </c>
    </row>
    <row r="385" spans="1:15">
      <c r="A385" s="88">
        <v>629.32674534108344</v>
      </c>
      <c r="B385" s="88">
        <v>629.86210632045311</v>
      </c>
      <c r="C385" s="88">
        <v>627.10598868592103</v>
      </c>
      <c r="D385" s="88">
        <v>627.23487188465811</v>
      </c>
      <c r="E385" s="89">
        <v>3301779.8609112306</v>
      </c>
      <c r="F385" s="87" t="s">
        <v>404</v>
      </c>
      <c r="G385" s="25">
        <f t="shared" si="11"/>
        <v>3.3350719964593267E-3</v>
      </c>
      <c r="I385" s="88">
        <v>288.82</v>
      </c>
      <c r="J385" s="88">
        <v>289.91000000000003</v>
      </c>
      <c r="K385" s="88">
        <v>285.08</v>
      </c>
      <c r="L385" s="88">
        <v>285.08</v>
      </c>
      <c r="M385" s="89">
        <v>294258</v>
      </c>
      <c r="N385" s="87" t="s">
        <v>404</v>
      </c>
      <c r="O385" s="25">
        <f t="shared" si="12"/>
        <v>1.311912445629293E-2</v>
      </c>
    </row>
    <row r="386" spans="1:15">
      <c r="A386" s="88">
        <v>627.23487188465811</v>
      </c>
      <c r="B386" s="88">
        <v>627.44306782107958</v>
      </c>
      <c r="C386" s="88">
        <v>623.51708730570306</v>
      </c>
      <c r="D386" s="88">
        <v>623.53691549012433</v>
      </c>
      <c r="E386" s="89">
        <v>13878095.651927857</v>
      </c>
      <c r="F386" s="87" t="s">
        <v>405</v>
      </c>
      <c r="G386" s="25">
        <f t="shared" si="11"/>
        <v>5.9306134130439059E-3</v>
      </c>
      <c r="I386" s="88">
        <v>285.5</v>
      </c>
      <c r="J386" s="88">
        <v>292.75</v>
      </c>
      <c r="K386" s="88">
        <v>285.02</v>
      </c>
      <c r="L386" s="88">
        <v>291.61</v>
      </c>
      <c r="M386" s="89">
        <v>573250</v>
      </c>
      <c r="N386" s="87" t="s">
        <v>405</v>
      </c>
      <c r="O386" s="25">
        <f t="shared" si="12"/>
        <v>-2.0952642227632823E-2</v>
      </c>
    </row>
    <row r="387" spans="1:15">
      <c r="A387" s="88">
        <v>624.32012877475745</v>
      </c>
      <c r="B387" s="88">
        <v>624.85548975412689</v>
      </c>
      <c r="C387" s="88">
        <v>622.40670897812186</v>
      </c>
      <c r="D387" s="88">
        <v>623.56170072065061</v>
      </c>
      <c r="E387" s="89">
        <v>9880951.0663808994</v>
      </c>
      <c r="F387" s="87" t="s">
        <v>406</v>
      </c>
      <c r="G387" s="25">
        <f t="shared" si="11"/>
        <v>1.2162838949703048E-3</v>
      </c>
      <c r="I387" s="88">
        <v>291.57</v>
      </c>
      <c r="J387" s="88">
        <v>292.52999999999997</v>
      </c>
      <c r="K387" s="88">
        <v>287.97000000000003</v>
      </c>
      <c r="L387" s="88">
        <v>289.82</v>
      </c>
      <c r="M387" s="89">
        <v>615029</v>
      </c>
      <c r="N387" s="87" t="s">
        <v>406</v>
      </c>
      <c r="O387" s="25">
        <f t="shared" si="12"/>
        <v>6.0382306259056939E-3</v>
      </c>
    </row>
    <row r="388" spans="1:15">
      <c r="A388" s="88">
        <v>620.41298504726694</v>
      </c>
      <c r="B388" s="88">
        <v>620.97649355876695</v>
      </c>
      <c r="C388" s="88">
        <v>616.75512277963537</v>
      </c>
      <c r="D388" s="88">
        <v>616.87375615047745</v>
      </c>
      <c r="E388" s="89">
        <v>10567676.793644959</v>
      </c>
      <c r="F388" s="87" t="s">
        <v>407</v>
      </c>
      <c r="G388" s="25">
        <f t="shared" si="11"/>
        <v>5.7373633770312349E-3</v>
      </c>
      <c r="I388" s="88">
        <v>289.62</v>
      </c>
      <c r="J388" s="88">
        <v>297.01499999999999</v>
      </c>
      <c r="K388" s="88">
        <v>288.39999999999998</v>
      </c>
      <c r="L388" s="88">
        <v>293.75</v>
      </c>
      <c r="M388" s="89">
        <v>1173107</v>
      </c>
      <c r="N388" s="87" t="s">
        <v>407</v>
      </c>
      <c r="O388" s="25">
        <f t="shared" si="12"/>
        <v>-1.4059574468085145E-2</v>
      </c>
    </row>
    <row r="389" spans="1:15">
      <c r="A389" s="88">
        <v>614.92619164581959</v>
      </c>
      <c r="B389" s="88">
        <v>618.81143454089863</v>
      </c>
      <c r="C389" s="88">
        <v>613.50259119571433</v>
      </c>
      <c r="D389" s="88">
        <v>615.9543475264511</v>
      </c>
      <c r="E389" s="89">
        <v>33805939.522175051</v>
      </c>
      <c r="F389" s="87" t="s">
        <v>408</v>
      </c>
      <c r="G389" s="25">
        <f t="shared" si="11"/>
        <v>-1.6692079287375927E-3</v>
      </c>
      <c r="I389" s="88">
        <v>292.88</v>
      </c>
      <c r="J389" s="88">
        <v>299.22000000000003</v>
      </c>
      <c r="K389" s="88">
        <v>291.73500000000001</v>
      </c>
      <c r="L389" s="88">
        <v>292.19</v>
      </c>
      <c r="M389" s="89">
        <v>748077</v>
      </c>
      <c r="N389" s="87" t="s">
        <v>408</v>
      </c>
      <c r="O389" s="25">
        <f t="shared" si="12"/>
        <v>2.3614771210513918E-3</v>
      </c>
    </row>
    <row r="390" spans="1:15">
      <c r="A390" s="88">
        <v>610.31926241145118</v>
      </c>
      <c r="B390" s="88">
        <v>618.51485111379327</v>
      </c>
      <c r="C390" s="88">
        <v>610.13043762952748</v>
      </c>
      <c r="D390" s="88">
        <v>618.06997597313546</v>
      </c>
      <c r="E390" s="89">
        <v>21194451.629857816</v>
      </c>
      <c r="F390" s="87" t="s">
        <v>409</v>
      </c>
      <c r="G390" s="25">
        <f t="shared" si="11"/>
        <v>-1.2540187782913992E-2</v>
      </c>
      <c r="I390" s="88">
        <v>289.57</v>
      </c>
      <c r="J390" s="88">
        <v>295</v>
      </c>
      <c r="K390" s="88">
        <v>288.81</v>
      </c>
      <c r="L390" s="88">
        <v>288.81</v>
      </c>
      <c r="M390" s="89">
        <v>688752</v>
      </c>
      <c r="N390" s="87" t="s">
        <v>409</v>
      </c>
      <c r="O390" s="25">
        <f t="shared" si="12"/>
        <v>2.6314878293687283E-3</v>
      </c>
    </row>
    <row r="391" spans="1:15">
      <c r="A391" s="88">
        <v>617.10113677792492</v>
      </c>
      <c r="B391" s="88">
        <v>619.08824573953018</v>
      </c>
      <c r="C391" s="88">
        <v>613.58168010960901</v>
      </c>
      <c r="D391" s="88">
        <v>617.43726466197745</v>
      </c>
      <c r="E391" s="89">
        <v>14082814.204306746</v>
      </c>
      <c r="F391" s="87" t="s">
        <v>410</v>
      </c>
      <c r="G391" s="25">
        <f t="shared" si="11"/>
        <v>-5.4439196221267583E-4</v>
      </c>
      <c r="I391" s="88">
        <v>288.73</v>
      </c>
      <c r="J391" s="88">
        <v>296.36</v>
      </c>
      <c r="K391" s="88">
        <v>287.52</v>
      </c>
      <c r="L391" s="88">
        <v>296.36</v>
      </c>
      <c r="M391" s="89">
        <v>1025690</v>
      </c>
      <c r="N391" s="87" t="s">
        <v>410</v>
      </c>
      <c r="O391" s="25">
        <f t="shared" si="12"/>
        <v>-2.5745714671345676E-2</v>
      </c>
    </row>
    <row r="392" spans="1:15">
      <c r="A392" s="88">
        <v>618.83120676937222</v>
      </c>
      <c r="B392" s="88">
        <v>623.37881931831953</v>
      </c>
      <c r="C392" s="88">
        <v>617.45703689045126</v>
      </c>
      <c r="D392" s="88">
        <v>623.37881931831953</v>
      </c>
      <c r="E392" s="89">
        <v>11437177.164980516</v>
      </c>
      <c r="F392" s="87" t="s">
        <v>411</v>
      </c>
      <c r="G392" s="25">
        <f t="shared" si="11"/>
        <v>-7.2951027657953693E-3</v>
      </c>
      <c r="I392" s="88">
        <v>291.51</v>
      </c>
      <c r="J392" s="88">
        <v>297.2</v>
      </c>
      <c r="K392" s="88">
        <v>291.18</v>
      </c>
      <c r="L392" s="88">
        <v>296.10000000000002</v>
      </c>
      <c r="M392" s="89">
        <v>697950</v>
      </c>
      <c r="N392" s="87" t="s">
        <v>411</v>
      </c>
      <c r="O392" s="25">
        <f t="shared" si="12"/>
        <v>-1.5501519756839E-2</v>
      </c>
    </row>
    <row r="393" spans="1:15">
      <c r="A393" s="88">
        <v>619.73084316492486</v>
      </c>
      <c r="B393" s="88">
        <v>626.21613410429325</v>
      </c>
      <c r="C393" s="88">
        <v>617.36806186231956</v>
      </c>
      <c r="D393" s="88">
        <v>625.59330890737226</v>
      </c>
      <c r="E393" s="89">
        <v>8602756.1448820643</v>
      </c>
      <c r="F393" s="87" t="s">
        <v>412</v>
      </c>
      <c r="G393" s="25">
        <f t="shared" si="11"/>
        <v>-9.3710493046775811E-3</v>
      </c>
      <c r="I393" s="88">
        <v>295.7</v>
      </c>
      <c r="J393" s="88">
        <v>297.48</v>
      </c>
      <c r="K393" s="88">
        <v>293.51</v>
      </c>
      <c r="L393" s="88">
        <v>296.08</v>
      </c>
      <c r="M393" s="89">
        <v>574663</v>
      </c>
      <c r="N393" s="87" t="s">
        <v>412</v>
      </c>
      <c r="O393" s="25">
        <f t="shared" si="12"/>
        <v>-1.2834369089435027E-3</v>
      </c>
    </row>
    <row r="394" spans="1:15">
      <c r="A394" s="88">
        <v>626.49294530292491</v>
      </c>
      <c r="B394" s="88">
        <v>626.65112313071438</v>
      </c>
      <c r="C394" s="88">
        <v>620.12628773439849</v>
      </c>
      <c r="D394" s="88">
        <v>622.82519692105643</v>
      </c>
      <c r="E394" s="89">
        <v>22383144.145285767</v>
      </c>
      <c r="F394" s="87" t="s">
        <v>413</v>
      </c>
      <c r="G394" s="25">
        <f t="shared" si="11"/>
        <v>5.8888888888890545E-3</v>
      </c>
      <c r="I394" s="88">
        <v>294.17</v>
      </c>
      <c r="J394" s="88">
        <v>297.66500000000002</v>
      </c>
      <c r="K394" s="88">
        <v>290.97500000000002</v>
      </c>
      <c r="L394" s="88">
        <v>296.45</v>
      </c>
      <c r="M394" s="89">
        <v>605617</v>
      </c>
      <c r="N394" s="87" t="s">
        <v>413</v>
      </c>
      <c r="O394" s="25">
        <f t="shared" si="12"/>
        <v>-7.6910102884127918E-3</v>
      </c>
    </row>
    <row r="395" spans="1:15">
      <c r="A395" s="88">
        <v>624.96059759621437</v>
      </c>
      <c r="B395" s="88">
        <v>626.2902799610697</v>
      </c>
      <c r="C395" s="88">
        <v>619.33539859545124</v>
      </c>
      <c r="D395" s="88">
        <v>620.48218784692483</v>
      </c>
      <c r="E395" s="89">
        <v>22657269.037541274</v>
      </c>
      <c r="F395" s="87" t="s">
        <v>414</v>
      </c>
      <c r="G395" s="25">
        <f t="shared" si="11"/>
        <v>7.2176282204483577E-3</v>
      </c>
      <c r="I395" s="88">
        <v>295.19</v>
      </c>
      <c r="J395" s="88">
        <v>301.22000000000003</v>
      </c>
      <c r="K395" s="88">
        <v>292.77</v>
      </c>
      <c r="L395" s="88">
        <v>293.92</v>
      </c>
      <c r="M395" s="89">
        <v>914561</v>
      </c>
      <c r="N395" s="87" t="s">
        <v>414</v>
      </c>
      <c r="O395" s="25">
        <f t="shared" si="12"/>
        <v>4.3209036472509066E-3</v>
      </c>
    </row>
    <row r="396" spans="1:15">
      <c r="A396" s="88">
        <v>620.94683521605646</v>
      </c>
      <c r="B396" s="88">
        <v>623.03280532003021</v>
      </c>
      <c r="C396" s="88">
        <v>620.51184618963532</v>
      </c>
      <c r="D396" s="88">
        <v>621.02592412995114</v>
      </c>
      <c r="E396" s="89">
        <v>9728636.3171463218</v>
      </c>
      <c r="F396" s="87" t="s">
        <v>415</v>
      </c>
      <c r="G396" s="25">
        <f t="shared" si="11"/>
        <v>-1.2735203285674235E-4</v>
      </c>
      <c r="I396" s="88">
        <v>294.2</v>
      </c>
      <c r="J396" s="88">
        <v>306.03500000000003</v>
      </c>
      <c r="K396" s="88">
        <v>293.66000000000003</v>
      </c>
      <c r="L396" s="88">
        <v>300.23</v>
      </c>
      <c r="M396" s="89">
        <v>792302</v>
      </c>
      <c r="N396" s="87" t="s">
        <v>415</v>
      </c>
      <c r="O396" s="25">
        <f t="shared" si="12"/>
        <v>-2.0084601805282709E-2</v>
      </c>
    </row>
    <row r="397" spans="1:15">
      <c r="A397" s="88">
        <v>621.45102704213537</v>
      </c>
      <c r="B397" s="88">
        <v>624.27845571387229</v>
      </c>
      <c r="C397" s="88">
        <v>619.56376783432222</v>
      </c>
      <c r="D397" s="88">
        <v>624.16970845726701</v>
      </c>
      <c r="E397" s="89">
        <v>6912612.8186263889</v>
      </c>
      <c r="F397" s="87" t="s">
        <v>416</v>
      </c>
      <c r="G397" s="25">
        <f t="shared" si="11"/>
        <v>-4.3556766345667075E-3</v>
      </c>
      <c r="I397" s="88">
        <v>296.19</v>
      </c>
      <c r="J397" s="88">
        <v>304.56</v>
      </c>
      <c r="K397" s="88">
        <v>295.16000000000003</v>
      </c>
      <c r="L397" s="88">
        <v>304.56</v>
      </c>
      <c r="M397" s="89">
        <v>623114</v>
      </c>
      <c r="N397" s="87" t="s">
        <v>416</v>
      </c>
      <c r="O397" s="25">
        <f t="shared" si="12"/>
        <v>-2.7482269503546153E-2</v>
      </c>
    </row>
    <row r="398" spans="1:15">
      <c r="A398" s="88">
        <v>623.29973040442496</v>
      </c>
      <c r="B398" s="88">
        <v>625.77125896363543</v>
      </c>
      <c r="C398" s="88">
        <v>622.31111898074073</v>
      </c>
      <c r="D398" s="88">
        <v>623.12178034816168</v>
      </c>
      <c r="E398" s="89">
        <v>5065238.8593068877</v>
      </c>
      <c r="F398" s="87" t="s">
        <v>417</v>
      </c>
      <c r="G398" s="25">
        <f t="shared" si="11"/>
        <v>2.8557829604980434E-4</v>
      </c>
      <c r="I398" s="88">
        <v>304.49</v>
      </c>
      <c r="J398" s="88">
        <v>315.99</v>
      </c>
      <c r="K398" s="88">
        <v>302.95999999999998</v>
      </c>
      <c r="L398" s="88">
        <v>315.12</v>
      </c>
      <c r="M398" s="89">
        <v>516591</v>
      </c>
      <c r="N398" s="87" t="s">
        <v>417</v>
      </c>
      <c r="O398" s="25">
        <f t="shared" si="12"/>
        <v>-3.3733181010408675E-2</v>
      </c>
    </row>
    <row r="399" spans="1:15">
      <c r="A399" s="88">
        <v>622.13316892447745</v>
      </c>
      <c r="B399" s="88">
        <v>623.0031469773196</v>
      </c>
      <c r="C399" s="88">
        <v>619.34528470968803</v>
      </c>
      <c r="D399" s="88">
        <v>622.95371640613541</v>
      </c>
      <c r="E399" s="89">
        <v>5173351.1038545901</v>
      </c>
      <c r="F399" s="87" t="s">
        <v>418</v>
      </c>
      <c r="G399" s="25">
        <f t="shared" si="11"/>
        <v>-1.3171885166554098E-3</v>
      </c>
      <c r="I399" s="88">
        <v>315.92</v>
      </c>
      <c r="J399" s="88">
        <v>317.33999999999997</v>
      </c>
      <c r="K399" s="88">
        <v>305.05</v>
      </c>
      <c r="L399" s="88">
        <v>308.77999999999997</v>
      </c>
      <c r="M399" s="89">
        <v>747394</v>
      </c>
      <c r="N399" s="87" t="s">
        <v>418</v>
      </c>
      <c r="O399" s="25">
        <f t="shared" si="12"/>
        <v>2.3123259278450714E-2</v>
      </c>
    </row>
    <row r="400" spans="1:15">
      <c r="A400" s="88">
        <v>621.60920486992484</v>
      </c>
      <c r="B400" s="88">
        <v>622.60770240784586</v>
      </c>
      <c r="C400" s="88">
        <v>617.83270923145119</v>
      </c>
      <c r="D400" s="88">
        <v>618.64337059887225</v>
      </c>
      <c r="E400" s="89">
        <v>5208852.4132256731</v>
      </c>
      <c r="F400" s="87" t="s">
        <v>419</v>
      </c>
      <c r="G400" s="25">
        <f t="shared" si="11"/>
        <v>4.7940936765902276E-3</v>
      </c>
      <c r="I400" s="88">
        <v>307.56</v>
      </c>
      <c r="J400" s="88">
        <v>310.4425</v>
      </c>
      <c r="K400" s="88">
        <v>303.2</v>
      </c>
      <c r="L400" s="88">
        <v>309.18</v>
      </c>
      <c r="M400" s="89">
        <v>904908</v>
      </c>
      <c r="N400" s="87" t="s">
        <v>419</v>
      </c>
      <c r="O400" s="25">
        <f t="shared" si="12"/>
        <v>-5.2396662138560757E-3</v>
      </c>
    </row>
    <row r="401" spans="1:15">
      <c r="A401" s="88">
        <v>619.44414585205652</v>
      </c>
      <c r="B401" s="88">
        <v>621.60920486992484</v>
      </c>
      <c r="C401" s="88">
        <v>617.50646746163534</v>
      </c>
      <c r="D401" s="88">
        <v>619.86924876424064</v>
      </c>
      <c r="E401" s="89">
        <v>5317354.0928848628</v>
      </c>
      <c r="F401" s="87" t="s">
        <v>420</v>
      </c>
      <c r="G401" s="25">
        <f t="shared" si="11"/>
        <v>-6.8579448493633066E-4</v>
      </c>
      <c r="I401" s="88">
        <v>309</v>
      </c>
      <c r="J401" s="88">
        <v>314</v>
      </c>
      <c r="K401" s="88">
        <v>306.69</v>
      </c>
      <c r="L401" s="88">
        <v>313.17</v>
      </c>
      <c r="M401" s="89">
        <v>759380</v>
      </c>
      <c r="N401" s="87" t="s">
        <v>420</v>
      </c>
      <c r="O401" s="25">
        <f t="shared" si="12"/>
        <v>-1.3315451671616074E-2</v>
      </c>
    </row>
    <row r="402" spans="1:15">
      <c r="A402" s="88">
        <v>618.39621774295119</v>
      </c>
      <c r="B402" s="88">
        <v>620.85786018792487</v>
      </c>
      <c r="C402" s="88">
        <v>616.99238952131964</v>
      </c>
      <c r="D402" s="88">
        <v>617.06159232097741</v>
      </c>
      <c r="E402" s="89">
        <v>8477913.3633369636</v>
      </c>
      <c r="F402" s="87" t="s">
        <v>421</v>
      </c>
      <c r="G402" s="25">
        <f t="shared" si="11"/>
        <v>2.1628722944071477E-3</v>
      </c>
      <c r="I402" s="88">
        <v>310.83</v>
      </c>
      <c r="J402" s="88">
        <v>325</v>
      </c>
      <c r="K402" s="88">
        <v>310.18</v>
      </c>
      <c r="L402" s="88">
        <v>324.83</v>
      </c>
      <c r="M402" s="89">
        <v>878707</v>
      </c>
      <c r="N402" s="87" t="s">
        <v>421</v>
      </c>
      <c r="O402" s="25">
        <f t="shared" si="12"/>
        <v>-4.3099467413724057E-2</v>
      </c>
    </row>
    <row r="403" spans="1:15">
      <c r="A403" s="88">
        <v>621.2533047573985</v>
      </c>
      <c r="B403" s="88">
        <v>621.47079927060906</v>
      </c>
      <c r="C403" s="88">
        <v>618.57911085633282</v>
      </c>
      <c r="D403" s="88">
        <v>618.89546651191165</v>
      </c>
      <c r="E403" s="89">
        <v>2983140.7258166848</v>
      </c>
      <c r="F403" s="87" t="s">
        <v>422</v>
      </c>
      <c r="G403" s="25">
        <f t="shared" si="11"/>
        <v>3.8097520067090773E-3</v>
      </c>
      <c r="I403" s="88">
        <v>327.19</v>
      </c>
      <c r="J403" s="88">
        <v>328.28</v>
      </c>
      <c r="K403" s="88">
        <v>324.27999999999997</v>
      </c>
      <c r="L403" s="88">
        <v>327.95</v>
      </c>
      <c r="M403" s="89">
        <v>224657</v>
      </c>
      <c r="N403" s="87" t="s">
        <v>422</v>
      </c>
      <c r="O403" s="25">
        <f t="shared" si="12"/>
        <v>-2.3174264369568709E-3</v>
      </c>
    </row>
    <row r="404" spans="1:15">
      <c r="A404" s="88">
        <v>617.83270923145119</v>
      </c>
      <c r="B404" s="88">
        <v>619.67152647950377</v>
      </c>
      <c r="C404" s="88">
        <v>615.17334450174064</v>
      </c>
      <c r="D404" s="88">
        <v>615.96423364068801</v>
      </c>
      <c r="E404" s="89">
        <v>5353501.763389037</v>
      </c>
      <c r="F404" s="87" t="s">
        <v>423</v>
      </c>
      <c r="G404" s="25">
        <f t="shared" si="11"/>
        <v>3.0334157224023439E-3</v>
      </c>
      <c r="I404" s="88">
        <v>326.8</v>
      </c>
      <c r="J404" s="88">
        <v>330.83</v>
      </c>
      <c r="K404" s="88">
        <v>324</v>
      </c>
      <c r="L404" s="88">
        <v>327.54000000000002</v>
      </c>
      <c r="M404" s="89">
        <v>662045</v>
      </c>
      <c r="N404" s="87" t="s">
        <v>423</v>
      </c>
      <c r="O404" s="25">
        <f t="shared" si="12"/>
        <v>-2.2592660438419676E-3</v>
      </c>
    </row>
    <row r="405" spans="1:15">
      <c r="A405" s="88">
        <v>613.5915662238458</v>
      </c>
      <c r="B405" s="88">
        <v>614.66915267566173</v>
      </c>
      <c r="C405" s="88">
        <v>604.03169375681955</v>
      </c>
      <c r="D405" s="88">
        <v>607.77853105258271</v>
      </c>
      <c r="E405" s="89">
        <v>7373883.0296265623</v>
      </c>
      <c r="F405" s="87" t="s">
        <v>424</v>
      </c>
      <c r="G405" s="25">
        <f t="shared" si="11"/>
        <v>9.5643970200720574E-3</v>
      </c>
      <c r="I405" s="88">
        <v>328.85</v>
      </c>
      <c r="J405" s="88">
        <v>342.13</v>
      </c>
      <c r="K405" s="88">
        <v>325.55</v>
      </c>
      <c r="L405" s="88">
        <v>337.53</v>
      </c>
      <c r="M405" s="89">
        <v>872691</v>
      </c>
      <c r="N405" s="87" t="s">
        <v>424</v>
      </c>
      <c r="O405" s="25">
        <f t="shared" si="12"/>
        <v>-2.5716232631173397E-2</v>
      </c>
    </row>
    <row r="406" spans="1:15">
      <c r="A406" s="88">
        <v>607.93670888037218</v>
      </c>
      <c r="B406" s="88">
        <v>609.07361201760909</v>
      </c>
      <c r="C406" s="88">
        <v>601.37727208422734</v>
      </c>
      <c r="D406" s="88">
        <v>602.34116822231942</v>
      </c>
      <c r="E406" s="89">
        <v>6290195.3700125758</v>
      </c>
      <c r="F406" s="87" t="s">
        <v>425</v>
      </c>
      <c r="G406" s="25">
        <f t="shared" si="11"/>
        <v>9.2896533613446852E-3</v>
      </c>
      <c r="I406" s="88">
        <v>337.53</v>
      </c>
      <c r="J406" s="88">
        <v>341.27</v>
      </c>
      <c r="K406" s="88">
        <v>330.03</v>
      </c>
      <c r="L406" s="88">
        <v>330.03</v>
      </c>
      <c r="M406" s="89">
        <v>1110576</v>
      </c>
      <c r="N406" s="87" t="s">
        <v>425</v>
      </c>
      <c r="O406" s="25">
        <f t="shared" si="12"/>
        <v>2.2725206799381947E-2</v>
      </c>
    </row>
    <row r="407" spans="1:15">
      <c r="A407" s="88">
        <v>599.02931995297729</v>
      </c>
      <c r="B407" s="88">
        <v>604.05146598529313</v>
      </c>
      <c r="C407" s="88">
        <v>591.56530370416158</v>
      </c>
      <c r="D407" s="88">
        <v>595.39122991381942</v>
      </c>
      <c r="E407" s="89">
        <v>9902643.0055972021</v>
      </c>
      <c r="F407" s="87" t="s">
        <v>426</v>
      </c>
      <c r="G407" s="25">
        <f t="shared" si="11"/>
        <v>6.1104192611041164E-3</v>
      </c>
      <c r="I407" s="88">
        <v>331.17</v>
      </c>
      <c r="J407" s="88">
        <v>334.47</v>
      </c>
      <c r="K407" s="88">
        <v>316.88</v>
      </c>
      <c r="L407" s="88">
        <v>321.96499999999997</v>
      </c>
      <c r="M407" s="89">
        <v>1416328</v>
      </c>
      <c r="N407" s="87" t="s">
        <v>426</v>
      </c>
      <c r="O407" s="25">
        <f t="shared" si="12"/>
        <v>2.859006413740639E-2</v>
      </c>
    </row>
    <row r="408" spans="1:15">
      <c r="A408" s="88">
        <v>593.12730975358261</v>
      </c>
      <c r="B408" s="88">
        <v>614.05502725926897</v>
      </c>
      <c r="C408" s="88">
        <v>592.53414289937211</v>
      </c>
      <c r="D408" s="88">
        <v>611.67366006189854</v>
      </c>
      <c r="E408" s="89">
        <v>14017291.999678964</v>
      </c>
      <c r="F408" s="87" t="s">
        <v>427</v>
      </c>
      <c r="G408" s="25">
        <f t="shared" si="11"/>
        <v>-3.0320662011895538E-2</v>
      </c>
      <c r="I408" s="88">
        <v>312.89</v>
      </c>
      <c r="J408" s="88">
        <v>354.88</v>
      </c>
      <c r="K408" s="88">
        <v>312.06</v>
      </c>
      <c r="L408" s="88">
        <v>347.25</v>
      </c>
      <c r="M408" s="89">
        <v>1800611</v>
      </c>
      <c r="N408" s="87" t="s">
        <v>427</v>
      </c>
      <c r="O408" s="25">
        <f t="shared" si="12"/>
        <v>-9.8948884089272937E-2</v>
      </c>
    </row>
    <row r="409" spans="1:15">
      <c r="A409" s="88">
        <v>602.26207930842486</v>
      </c>
      <c r="B409" s="88">
        <v>606.58221236878239</v>
      </c>
      <c r="C409" s="88">
        <v>598.77228098281944</v>
      </c>
      <c r="D409" s="88">
        <v>600.60121211663522</v>
      </c>
      <c r="E409" s="89">
        <v>7381361.1952868868</v>
      </c>
      <c r="F409" s="87" t="s">
        <v>428</v>
      </c>
      <c r="G409" s="25">
        <f t="shared" si="11"/>
        <v>2.7653410587307192E-3</v>
      </c>
      <c r="I409" s="88">
        <v>346.36</v>
      </c>
      <c r="J409" s="88">
        <v>348.23</v>
      </c>
      <c r="K409" s="88">
        <v>336.82</v>
      </c>
      <c r="L409" s="88">
        <v>340.24</v>
      </c>
      <c r="M409" s="89">
        <v>977647</v>
      </c>
      <c r="N409" s="87" t="s">
        <v>428</v>
      </c>
      <c r="O409" s="25">
        <f t="shared" si="12"/>
        <v>1.7987303080178707E-2</v>
      </c>
    </row>
    <row r="410" spans="1:15">
      <c r="A410" s="88">
        <v>600.08713417631952</v>
      </c>
      <c r="B410" s="88">
        <v>604.54577169713525</v>
      </c>
      <c r="C410" s="88">
        <v>596.13268848158259</v>
      </c>
      <c r="D410" s="88">
        <v>601.78754582505633</v>
      </c>
      <c r="E410" s="89">
        <v>8583316.7579403464</v>
      </c>
      <c r="F410" s="87" t="s">
        <v>429</v>
      </c>
      <c r="G410" s="25">
        <f t="shared" si="11"/>
        <v>-2.8256012616637571E-3</v>
      </c>
      <c r="I410" s="88">
        <v>333.47</v>
      </c>
      <c r="J410" s="88">
        <v>335.87</v>
      </c>
      <c r="K410" s="88">
        <v>324.97000000000003</v>
      </c>
      <c r="L410" s="88">
        <v>327.84</v>
      </c>
      <c r="M410" s="89">
        <v>654379</v>
      </c>
      <c r="N410" s="87" t="s">
        <v>429</v>
      </c>
      <c r="O410" s="25">
        <f t="shared" si="12"/>
        <v>1.7173011224987933E-2</v>
      </c>
    </row>
    <row r="411" spans="1:15">
      <c r="A411" s="88">
        <v>605.06973575168786</v>
      </c>
      <c r="B411" s="88">
        <v>612.39386348405242</v>
      </c>
      <c r="C411" s="88">
        <v>601.87652085318791</v>
      </c>
      <c r="D411" s="88">
        <v>608.72759801931954</v>
      </c>
      <c r="E411" s="89">
        <v>8960921.1341965124</v>
      </c>
      <c r="F411" s="87" t="s">
        <v>430</v>
      </c>
      <c r="G411" s="25">
        <f t="shared" si="11"/>
        <v>-6.0090297852991581E-3</v>
      </c>
      <c r="I411" s="88">
        <v>328.02</v>
      </c>
      <c r="J411" s="88">
        <v>334.80990000000003</v>
      </c>
      <c r="K411" s="88">
        <v>327.24</v>
      </c>
      <c r="L411" s="88">
        <v>331.43</v>
      </c>
      <c r="M411" s="89">
        <v>512214</v>
      </c>
      <c r="N411" s="87" t="s">
        <v>430</v>
      </c>
      <c r="O411" s="25">
        <f t="shared" si="12"/>
        <v>-1.0288748755393318E-2</v>
      </c>
    </row>
    <row r="412" spans="1:15">
      <c r="A412" s="88">
        <v>610.7937958948196</v>
      </c>
      <c r="B412" s="88">
        <v>614.14508975996671</v>
      </c>
      <c r="C412" s="88">
        <v>602.88490450534584</v>
      </c>
      <c r="D412" s="88">
        <v>604.78303843881952</v>
      </c>
      <c r="E412" s="89">
        <v>9763082.6113971937</v>
      </c>
      <c r="F412" s="87" t="s">
        <v>431</v>
      </c>
      <c r="G412" s="25">
        <f t="shared" si="11"/>
        <v>9.9387004495301579E-3</v>
      </c>
      <c r="I412" s="88">
        <v>332.7</v>
      </c>
      <c r="J412" s="88">
        <v>336.56</v>
      </c>
      <c r="K412" s="88">
        <v>328.84</v>
      </c>
      <c r="L412" s="88">
        <v>333.93</v>
      </c>
      <c r="M412" s="89">
        <v>405829</v>
      </c>
      <c r="N412" s="87" t="s">
        <v>431</v>
      </c>
      <c r="O412" s="25">
        <f t="shared" si="12"/>
        <v>-3.6834067020035111E-3</v>
      </c>
    </row>
    <row r="413" spans="1:15">
      <c r="A413" s="88">
        <v>610.95197372260907</v>
      </c>
      <c r="B413" s="88">
        <v>618.89052345479331</v>
      </c>
      <c r="C413" s="88">
        <v>609.48882881555642</v>
      </c>
      <c r="D413" s="88">
        <v>618.54450945650376</v>
      </c>
      <c r="E413" s="89">
        <v>10647662.719465353</v>
      </c>
      <c r="F413" s="87" t="s">
        <v>432</v>
      </c>
      <c r="G413" s="25">
        <f t="shared" si="11"/>
        <v>-1.2274841370051193E-2</v>
      </c>
      <c r="I413" s="88">
        <v>332.67</v>
      </c>
      <c r="J413" s="88">
        <v>341.03</v>
      </c>
      <c r="K413" s="88">
        <v>331.61</v>
      </c>
      <c r="L413" s="88">
        <v>334.87</v>
      </c>
      <c r="M413" s="89">
        <v>550468</v>
      </c>
      <c r="N413" s="87" t="s">
        <v>432</v>
      </c>
      <c r="O413" s="25">
        <f t="shared" si="12"/>
        <v>-6.5697136202107487E-3</v>
      </c>
    </row>
    <row r="414" spans="1:15">
      <c r="A414" s="88">
        <v>621.06546858689865</v>
      </c>
      <c r="B414" s="88">
        <v>622.59781629360907</v>
      </c>
      <c r="C414" s="88">
        <v>618.96961236868799</v>
      </c>
      <c r="D414" s="88">
        <v>622.479182922767</v>
      </c>
      <c r="E414" s="89">
        <v>6135702.9209664008</v>
      </c>
      <c r="F414" s="87" t="s">
        <v>433</v>
      </c>
      <c r="G414" s="25">
        <f t="shared" si="11"/>
        <v>-2.2711029937265703E-3</v>
      </c>
      <c r="I414" s="88">
        <v>336.84</v>
      </c>
      <c r="J414" s="88">
        <v>339.51</v>
      </c>
      <c r="K414" s="88">
        <v>324.755</v>
      </c>
      <c r="L414" s="88">
        <v>325.95999999999998</v>
      </c>
      <c r="M414" s="89">
        <v>606089</v>
      </c>
      <c r="N414" s="87" t="s">
        <v>433</v>
      </c>
      <c r="O414" s="25">
        <f t="shared" si="12"/>
        <v>3.3378328629279697E-2</v>
      </c>
    </row>
    <row r="415" spans="1:15">
      <c r="A415" s="88">
        <v>620.75899904555638</v>
      </c>
      <c r="B415" s="88">
        <v>621.33239367129329</v>
      </c>
      <c r="C415" s="88">
        <v>616.96273117860915</v>
      </c>
      <c r="D415" s="88">
        <v>618.04031763042485</v>
      </c>
      <c r="E415" s="89">
        <v>5675509.9785213806</v>
      </c>
      <c r="F415" s="87" t="s">
        <v>434</v>
      </c>
      <c r="G415" s="25">
        <f t="shared" si="11"/>
        <v>4.3988738882845269E-3</v>
      </c>
      <c r="I415" s="88">
        <v>326.27999999999997</v>
      </c>
      <c r="J415" s="88">
        <v>327.38</v>
      </c>
      <c r="K415" s="88">
        <v>321.95999999999998</v>
      </c>
      <c r="L415" s="88">
        <v>322.19</v>
      </c>
      <c r="M415" s="89">
        <v>476599</v>
      </c>
      <c r="N415" s="87" t="s">
        <v>434</v>
      </c>
      <c r="O415" s="25">
        <f t="shared" si="12"/>
        <v>1.2694372885564409E-2</v>
      </c>
    </row>
    <row r="416" spans="1:15">
      <c r="A416" s="88">
        <v>619.33539859545124</v>
      </c>
      <c r="B416" s="88">
        <v>620.06697104897751</v>
      </c>
      <c r="C416" s="88">
        <v>613.5915662238458</v>
      </c>
      <c r="D416" s="88">
        <v>615.59844741392487</v>
      </c>
      <c r="E416" s="89">
        <v>8480371.3563782983</v>
      </c>
      <c r="F416" s="87" t="s">
        <v>435</v>
      </c>
      <c r="G416" s="25">
        <f t="shared" si="11"/>
        <v>6.0704363326855582E-3</v>
      </c>
      <c r="I416" s="88">
        <v>320.35000000000002</v>
      </c>
      <c r="J416" s="88">
        <v>325</v>
      </c>
      <c r="K416" s="88">
        <v>311.51</v>
      </c>
      <c r="L416" s="88">
        <v>320.63</v>
      </c>
      <c r="M416" s="89">
        <v>545001</v>
      </c>
      <c r="N416" s="87" t="s">
        <v>435</v>
      </c>
      <c r="O416" s="25">
        <f t="shared" si="12"/>
        <v>-8.7328072856551753E-4</v>
      </c>
    </row>
    <row r="417" spans="1:15">
      <c r="A417" s="88">
        <v>609.86450115655634</v>
      </c>
      <c r="B417" s="88">
        <v>609.99302064163533</v>
      </c>
      <c r="C417" s="88">
        <v>600.99665668610896</v>
      </c>
      <c r="D417" s="88">
        <v>607.09638917024063</v>
      </c>
      <c r="E417" s="89">
        <v>7613909.5904321112</v>
      </c>
      <c r="F417" s="87" t="s">
        <v>436</v>
      </c>
      <c r="G417" s="25">
        <f t="shared" si="11"/>
        <v>4.5595922421792778E-3</v>
      </c>
      <c r="I417" s="88">
        <v>319.82</v>
      </c>
      <c r="J417" s="88">
        <v>332.95</v>
      </c>
      <c r="K417" s="88">
        <v>316.86</v>
      </c>
      <c r="L417" s="88">
        <v>326.35000000000002</v>
      </c>
      <c r="M417" s="89">
        <v>677133</v>
      </c>
      <c r="N417" s="87" t="s">
        <v>436</v>
      </c>
      <c r="O417" s="25">
        <f t="shared" si="12"/>
        <v>-2.0009192584648505E-2</v>
      </c>
    </row>
    <row r="418" spans="1:15">
      <c r="A418" s="88">
        <v>609.22190373116166</v>
      </c>
      <c r="B418" s="88">
        <v>615.69730855629325</v>
      </c>
      <c r="C418" s="88">
        <v>607.8180755095301</v>
      </c>
      <c r="D418" s="88">
        <v>614.8767610746354</v>
      </c>
      <c r="E418" s="89">
        <v>7113124.3596131122</v>
      </c>
      <c r="F418" s="87" t="s">
        <v>437</v>
      </c>
      <c r="G418" s="25">
        <f t="shared" si="11"/>
        <v>-9.1967329088687988E-3</v>
      </c>
      <c r="I418" s="88">
        <v>323.39999999999998</v>
      </c>
      <c r="J418" s="88">
        <v>335</v>
      </c>
      <c r="K418" s="88">
        <v>290.16000000000003</v>
      </c>
      <c r="L418" s="88">
        <v>323.49</v>
      </c>
      <c r="M418" s="89">
        <v>1498097</v>
      </c>
      <c r="N418" s="87" t="s">
        <v>437</v>
      </c>
      <c r="O418" s="25">
        <f t="shared" si="12"/>
        <v>-2.782157099138205E-4</v>
      </c>
    </row>
    <row r="419" spans="1:15">
      <c r="A419" s="88">
        <v>615.76651135595114</v>
      </c>
      <c r="B419" s="88">
        <v>618.87075122631961</v>
      </c>
      <c r="C419" s="88">
        <v>612.77101874218806</v>
      </c>
      <c r="D419" s="88">
        <v>613.52236342418803</v>
      </c>
      <c r="E419" s="89">
        <v>10382705.23088623</v>
      </c>
      <c r="F419" s="87" t="s">
        <v>438</v>
      </c>
      <c r="G419" s="25">
        <f t="shared" si="11"/>
        <v>3.6578095038590774E-3</v>
      </c>
      <c r="I419" s="88">
        <v>314.44</v>
      </c>
      <c r="J419" s="88">
        <v>319.14</v>
      </c>
      <c r="K419" s="88">
        <v>308.83999999999997</v>
      </c>
      <c r="L419" s="88">
        <v>315.23</v>
      </c>
      <c r="M419" s="89">
        <v>854092</v>
      </c>
      <c r="N419" s="87" t="s">
        <v>438</v>
      </c>
      <c r="O419" s="25">
        <f t="shared" si="12"/>
        <v>-2.5061066522856779E-3</v>
      </c>
    </row>
    <row r="420" spans="1:15">
      <c r="A420" s="88">
        <v>613.91780799366165</v>
      </c>
      <c r="B420" s="88">
        <v>618.05020374466164</v>
      </c>
      <c r="C420" s="88">
        <v>613.1368049689512</v>
      </c>
      <c r="D420" s="88">
        <v>614.57029153329324</v>
      </c>
      <c r="E420" s="89">
        <v>8297853.7405818244</v>
      </c>
      <c r="F420" s="87" t="s">
        <v>439</v>
      </c>
      <c r="G420" s="25">
        <f t="shared" si="11"/>
        <v>-1.0616906619480559E-3</v>
      </c>
      <c r="I420" s="88">
        <v>320.27</v>
      </c>
      <c r="J420" s="88">
        <v>322.86</v>
      </c>
      <c r="K420" s="88">
        <v>316.37</v>
      </c>
      <c r="L420" s="88">
        <v>319.48</v>
      </c>
      <c r="M420" s="89">
        <v>602961</v>
      </c>
      <c r="N420" s="87" t="s">
        <v>439</v>
      </c>
      <c r="O420" s="25">
        <f t="shared" si="12"/>
        <v>2.4727682484035896E-3</v>
      </c>
    </row>
    <row r="421" spans="1:15">
      <c r="A421" s="88">
        <v>621.11489915808272</v>
      </c>
      <c r="B421" s="88">
        <v>623.35904708984594</v>
      </c>
      <c r="C421" s="88">
        <v>618.04031763042485</v>
      </c>
      <c r="D421" s="88">
        <v>623.24041371900375</v>
      </c>
      <c r="E421" s="89">
        <v>5573703.5482204612</v>
      </c>
      <c r="F421" s="87" t="s">
        <v>440</v>
      </c>
      <c r="G421" s="25">
        <f t="shared" si="11"/>
        <v>-3.4104247961675993E-3</v>
      </c>
      <c r="I421" s="88">
        <v>318.77</v>
      </c>
      <c r="J421" s="88">
        <v>320.67</v>
      </c>
      <c r="K421" s="88">
        <v>313.61</v>
      </c>
      <c r="L421" s="88">
        <v>313.61</v>
      </c>
      <c r="M421" s="89">
        <v>631852</v>
      </c>
      <c r="N421" s="87" t="s">
        <v>440</v>
      </c>
      <c r="O421" s="25">
        <f t="shared" si="12"/>
        <v>1.6453556965657867E-2</v>
      </c>
    </row>
    <row r="422" spans="1:15">
      <c r="A422" s="88">
        <v>619.89890710695113</v>
      </c>
      <c r="B422" s="88">
        <v>622.76588023563545</v>
      </c>
      <c r="C422" s="88">
        <v>617.38783409079326</v>
      </c>
      <c r="D422" s="88">
        <v>622.66701909326707</v>
      </c>
      <c r="E422" s="89">
        <v>7100137.4572848408</v>
      </c>
      <c r="F422" s="87" t="s">
        <v>441</v>
      </c>
      <c r="G422" s="25">
        <f t="shared" si="11"/>
        <v>-4.4455734789790036E-3</v>
      </c>
      <c r="I422" s="88">
        <v>313.01</v>
      </c>
      <c r="J422" s="88">
        <v>316.67</v>
      </c>
      <c r="K422" s="88">
        <v>309.26499999999999</v>
      </c>
      <c r="L422" s="88">
        <v>310.81</v>
      </c>
      <c r="M422" s="89">
        <v>539110</v>
      </c>
      <c r="N422" s="87" t="s">
        <v>441</v>
      </c>
      <c r="O422" s="25">
        <f t="shared" si="12"/>
        <v>7.0782793346417794E-3</v>
      </c>
    </row>
    <row r="423" spans="1:15">
      <c r="A423" s="88">
        <v>618.11940654431965</v>
      </c>
      <c r="B423" s="88">
        <v>623.44802211797753</v>
      </c>
      <c r="C423" s="88">
        <v>617.98100094500387</v>
      </c>
      <c r="D423" s="88">
        <v>621.64874932687223</v>
      </c>
      <c r="E423" s="89">
        <v>6242774.3116706731</v>
      </c>
      <c r="F423" s="87" t="s">
        <v>442</v>
      </c>
      <c r="G423" s="25">
        <f t="shared" si="11"/>
        <v>-5.6773906267393315E-3</v>
      </c>
      <c r="I423" s="88">
        <v>311.95</v>
      </c>
      <c r="J423" s="88">
        <v>320.42500000000001</v>
      </c>
      <c r="K423" s="88">
        <v>311.5</v>
      </c>
      <c r="L423" s="88">
        <v>316.81</v>
      </c>
      <c r="M423" s="89">
        <v>403297</v>
      </c>
      <c r="N423" s="87" t="s">
        <v>442</v>
      </c>
      <c r="O423" s="25">
        <f t="shared" si="12"/>
        <v>-1.5340424860326385E-2</v>
      </c>
    </row>
    <row r="424" spans="1:15">
      <c r="A424" s="88">
        <v>624.75298919724071</v>
      </c>
      <c r="B424" s="88">
        <v>626.90816210087223</v>
      </c>
      <c r="C424" s="88">
        <v>620.7194545886091</v>
      </c>
      <c r="D424" s="88">
        <v>625.99863959108279</v>
      </c>
      <c r="E424" s="89">
        <v>6106937.3217443917</v>
      </c>
      <c r="F424" s="87" t="s">
        <v>443</v>
      </c>
      <c r="G424" s="25">
        <f t="shared" si="11"/>
        <v>-1.9898611834935354E-3</v>
      </c>
      <c r="I424" s="88">
        <v>316.17</v>
      </c>
      <c r="J424" s="88">
        <v>323.04000000000002</v>
      </c>
      <c r="K424" s="88">
        <v>314.92</v>
      </c>
      <c r="L424" s="88">
        <v>322.67</v>
      </c>
      <c r="M424" s="89">
        <v>571091</v>
      </c>
      <c r="N424" s="87" t="s">
        <v>443</v>
      </c>
      <c r="O424" s="25">
        <f t="shared" si="12"/>
        <v>-2.0144419995661189E-2</v>
      </c>
    </row>
    <row r="425" spans="1:15">
      <c r="A425" s="88">
        <v>624.49595022708286</v>
      </c>
      <c r="B425" s="88">
        <v>626.17658964734596</v>
      </c>
      <c r="C425" s="88">
        <v>622.46929680853009</v>
      </c>
      <c r="D425" s="88">
        <v>624.51572245555656</v>
      </c>
      <c r="E425" s="89">
        <v>5639502.90926525</v>
      </c>
      <c r="F425" s="87" t="s">
        <v>444</v>
      </c>
      <c r="G425" s="25">
        <f t="shared" si="11"/>
        <v>-3.1660097196573034E-5</v>
      </c>
      <c r="I425" s="88">
        <v>324.33999999999997</v>
      </c>
      <c r="J425" s="88">
        <v>326.81</v>
      </c>
      <c r="K425" s="88">
        <v>321.66000000000003</v>
      </c>
      <c r="L425" s="88">
        <v>324.77</v>
      </c>
      <c r="M425" s="89">
        <v>328721</v>
      </c>
      <c r="N425" s="87" t="s">
        <v>444</v>
      </c>
      <c r="O425" s="25">
        <f t="shared" si="12"/>
        <v>-1.3240139175416665E-3</v>
      </c>
    </row>
    <row r="426" spans="1:15">
      <c r="A426" s="88">
        <v>622.82519692105643</v>
      </c>
      <c r="B426" s="88">
        <v>623.11189423392489</v>
      </c>
      <c r="C426" s="88">
        <v>620.01754047779332</v>
      </c>
      <c r="D426" s="88">
        <v>620.59093510353011</v>
      </c>
      <c r="E426" s="89">
        <v>7894219.9260817599</v>
      </c>
      <c r="F426" s="87" t="s">
        <v>445</v>
      </c>
      <c r="G426" s="25">
        <f t="shared" si="11"/>
        <v>3.600216650205379E-3</v>
      </c>
      <c r="I426" s="88">
        <v>325.8</v>
      </c>
      <c r="J426" s="88">
        <v>326.42</v>
      </c>
      <c r="K426" s="88">
        <v>320.755</v>
      </c>
      <c r="L426" s="88">
        <v>321.39999999999998</v>
      </c>
      <c r="M426" s="89">
        <v>378344</v>
      </c>
      <c r="N426" s="87" t="s">
        <v>445</v>
      </c>
      <c r="O426" s="25">
        <f t="shared" si="12"/>
        <v>1.3690105787181217E-2</v>
      </c>
    </row>
    <row r="427" spans="1:15">
      <c r="A427" s="88">
        <v>615.46004181460899</v>
      </c>
      <c r="B427" s="88">
        <v>616.68582111883507</v>
      </c>
      <c r="C427" s="88">
        <v>614.13233667260113</v>
      </c>
      <c r="D427" s="88">
        <v>614.837216617688</v>
      </c>
      <c r="E427" s="89">
        <v>5715940.4237321448</v>
      </c>
      <c r="F427" s="87" t="s">
        <v>446</v>
      </c>
      <c r="G427" s="25">
        <f t="shared" si="11"/>
        <v>1.0129920246975122E-3</v>
      </c>
      <c r="I427" s="88">
        <v>320.91000000000003</v>
      </c>
      <c r="J427" s="88">
        <v>327.74</v>
      </c>
      <c r="K427" s="88">
        <v>320.77999999999997</v>
      </c>
      <c r="L427" s="88">
        <v>325.91000000000003</v>
      </c>
      <c r="M427" s="89">
        <v>297019</v>
      </c>
      <c r="N427" s="87" t="s">
        <v>446</v>
      </c>
      <c r="O427" s="25">
        <f t="shared" si="12"/>
        <v>-1.5341658740143038E-2</v>
      </c>
    </row>
    <row r="428" spans="1:15">
      <c r="A428" s="88">
        <v>610.40823743958276</v>
      </c>
      <c r="B428" s="88">
        <v>611.4304616516722</v>
      </c>
      <c r="C428" s="88">
        <v>606.99752802787214</v>
      </c>
      <c r="D428" s="88">
        <v>607.2545669980301</v>
      </c>
      <c r="E428" s="89">
        <v>5892466.8079303354</v>
      </c>
      <c r="F428" s="87" t="s">
        <v>447</v>
      </c>
      <c r="G428" s="25">
        <f t="shared" si="11"/>
        <v>5.1933251933251601E-3</v>
      </c>
      <c r="I428" s="88">
        <v>323.45999999999998</v>
      </c>
      <c r="J428" s="88">
        <v>330.81</v>
      </c>
      <c r="K428" s="88">
        <v>323.17</v>
      </c>
      <c r="L428" s="88">
        <v>327.9</v>
      </c>
      <c r="M428" s="89">
        <v>411607</v>
      </c>
      <c r="N428" s="87" t="s">
        <v>447</v>
      </c>
      <c r="O428" s="25">
        <f t="shared" si="12"/>
        <v>-1.3540713632204882E-2</v>
      </c>
    </row>
    <row r="429" spans="1:15">
      <c r="A429" s="88">
        <v>606.97775579939855</v>
      </c>
      <c r="B429" s="88">
        <v>610.7937958948196</v>
      </c>
      <c r="C429" s="88">
        <v>602.88490450534584</v>
      </c>
      <c r="D429" s="88">
        <v>610.7937958948196</v>
      </c>
      <c r="E429" s="89">
        <v>6189515.7727355435</v>
      </c>
      <c r="F429" s="87" t="s">
        <v>448</v>
      </c>
      <c r="G429" s="25">
        <f t="shared" si="11"/>
        <v>-6.247673308191537E-3</v>
      </c>
      <c r="I429" s="88">
        <v>329.22</v>
      </c>
      <c r="J429" s="88">
        <v>335.26</v>
      </c>
      <c r="K429" s="88">
        <v>328.81</v>
      </c>
      <c r="L429" s="88">
        <v>332.98</v>
      </c>
      <c r="M429" s="89">
        <v>557821</v>
      </c>
      <c r="N429" s="87" t="s">
        <v>448</v>
      </c>
      <c r="O429" s="25">
        <f t="shared" si="12"/>
        <v>-1.1291969487656872E-2</v>
      </c>
    </row>
    <row r="430" spans="1:15">
      <c r="A430" s="88">
        <v>610.06222344129321</v>
      </c>
      <c r="B430" s="88">
        <v>611.69343229037224</v>
      </c>
      <c r="C430" s="88">
        <v>608.96585337242743</v>
      </c>
      <c r="D430" s="88">
        <v>610.29949018297748</v>
      </c>
      <c r="E430" s="89">
        <v>4204008.6736116419</v>
      </c>
      <c r="F430" s="87" t="s">
        <v>449</v>
      </c>
      <c r="G430" s="25">
        <f t="shared" si="11"/>
        <v>-3.8877099768364065E-4</v>
      </c>
      <c r="I430" s="88">
        <v>328.97</v>
      </c>
      <c r="J430" s="88">
        <v>329.97</v>
      </c>
      <c r="K430" s="88">
        <v>322.83</v>
      </c>
      <c r="L430" s="88">
        <v>325.83999999999997</v>
      </c>
      <c r="M430" s="89">
        <v>437801</v>
      </c>
      <c r="N430" s="87" t="s">
        <v>449</v>
      </c>
      <c r="O430" s="25">
        <f t="shared" si="12"/>
        <v>9.6059415664131453E-3</v>
      </c>
    </row>
    <row r="431" spans="1:15">
      <c r="A431" s="88">
        <v>610.14131235518789</v>
      </c>
      <c r="B431" s="88">
        <v>610.97174595108265</v>
      </c>
      <c r="C431" s="88">
        <v>606.52299454450372</v>
      </c>
      <c r="D431" s="88">
        <v>606.52299454450372</v>
      </c>
      <c r="E431" s="89">
        <v>4095871.141069687</v>
      </c>
      <c r="F431" s="87" t="s">
        <v>450</v>
      </c>
      <c r="G431" s="25">
        <f t="shared" si="11"/>
        <v>5.9656729311665657E-3</v>
      </c>
      <c r="I431" s="88">
        <v>326.85000000000002</v>
      </c>
      <c r="J431" s="88">
        <v>326.88</v>
      </c>
      <c r="K431" s="88">
        <v>318.12</v>
      </c>
      <c r="L431" s="88">
        <v>318.12</v>
      </c>
      <c r="M431" s="89">
        <v>372531</v>
      </c>
      <c r="N431" s="87" t="s">
        <v>450</v>
      </c>
      <c r="O431" s="25">
        <f t="shared" si="12"/>
        <v>2.7442474537910266E-2</v>
      </c>
    </row>
    <row r="432" spans="1:15">
      <c r="A432" s="88">
        <v>603.80431312937208</v>
      </c>
      <c r="B432" s="88">
        <v>605.04996352321427</v>
      </c>
      <c r="C432" s="88">
        <v>598.20877247131955</v>
      </c>
      <c r="D432" s="88">
        <v>599.43465063668793</v>
      </c>
      <c r="E432" s="89">
        <v>6963393.1341247819</v>
      </c>
      <c r="F432" s="87" t="s">
        <v>451</v>
      </c>
      <c r="G432" s="25">
        <f t="shared" si="11"/>
        <v>7.289639476201204E-3</v>
      </c>
      <c r="I432" s="88">
        <v>318.58999999999997</v>
      </c>
      <c r="J432" s="88">
        <v>321.63</v>
      </c>
      <c r="K432" s="88">
        <v>315.17</v>
      </c>
      <c r="L432" s="88">
        <v>315.39999999999998</v>
      </c>
      <c r="M432" s="89">
        <v>375641</v>
      </c>
      <c r="N432" s="87" t="s">
        <v>451</v>
      </c>
      <c r="O432" s="25">
        <f t="shared" si="12"/>
        <v>1.0114140773620717E-2</v>
      </c>
    </row>
    <row r="433" spans="1:15">
      <c r="A433" s="88">
        <v>600.47269263155636</v>
      </c>
      <c r="B433" s="88">
        <v>607.79830328105629</v>
      </c>
      <c r="C433" s="88">
        <v>597.2597055045826</v>
      </c>
      <c r="D433" s="88">
        <v>606.12754997503009</v>
      </c>
      <c r="E433" s="89">
        <v>7619989.8357701618</v>
      </c>
      <c r="F433" s="87" t="s">
        <v>452</v>
      </c>
      <c r="G433" s="25">
        <f t="shared" si="11"/>
        <v>-9.3294841056253963E-3</v>
      </c>
      <c r="I433" s="88">
        <v>316.29000000000002</v>
      </c>
      <c r="J433" s="88">
        <v>322.58</v>
      </c>
      <c r="K433" s="88">
        <v>312.74</v>
      </c>
      <c r="L433" s="88">
        <v>314.64999999999998</v>
      </c>
      <c r="M433" s="89">
        <v>465987</v>
      </c>
      <c r="N433" s="87" t="s">
        <v>452</v>
      </c>
      <c r="O433" s="25">
        <f t="shared" si="12"/>
        <v>5.2121404735421262E-3</v>
      </c>
    </row>
    <row r="434" spans="1:15">
      <c r="A434" s="88">
        <v>604.46668278324057</v>
      </c>
      <c r="B434" s="88">
        <v>609.18730233133272</v>
      </c>
      <c r="C434" s="88">
        <v>598.92057269637212</v>
      </c>
      <c r="D434" s="88">
        <v>606.0880055180827</v>
      </c>
      <c r="E434" s="89">
        <v>6549576.3500991538</v>
      </c>
      <c r="F434" s="87" t="s">
        <v>453</v>
      </c>
      <c r="G434" s="25">
        <f t="shared" si="11"/>
        <v>-2.675061575350246E-3</v>
      </c>
      <c r="I434" s="88">
        <v>312.45</v>
      </c>
      <c r="J434" s="88">
        <v>319.82</v>
      </c>
      <c r="K434" s="88">
        <v>312.05</v>
      </c>
      <c r="L434" s="88">
        <v>317.97000000000003</v>
      </c>
      <c r="M434" s="89">
        <v>399710</v>
      </c>
      <c r="N434" s="87" t="s">
        <v>453</v>
      </c>
      <c r="O434" s="25">
        <f t="shared" si="12"/>
        <v>-1.7360128313992029E-2</v>
      </c>
    </row>
    <row r="435" spans="1:15">
      <c r="A435" s="88">
        <v>601.81720416776682</v>
      </c>
      <c r="B435" s="88">
        <v>605.16859689405635</v>
      </c>
      <c r="C435" s="88">
        <v>593.67104603660891</v>
      </c>
      <c r="D435" s="88">
        <v>597.31902219000369</v>
      </c>
      <c r="E435" s="89">
        <v>7555059.3702078871</v>
      </c>
      <c r="F435" s="87" t="s">
        <v>454</v>
      </c>
      <c r="G435" s="25">
        <f t="shared" si="11"/>
        <v>7.5306190003308071E-3</v>
      </c>
      <c r="I435" s="88">
        <v>318.3</v>
      </c>
      <c r="J435" s="88">
        <v>323.69</v>
      </c>
      <c r="K435" s="88">
        <v>312.685</v>
      </c>
      <c r="L435" s="88">
        <v>314.16000000000003</v>
      </c>
      <c r="M435" s="89">
        <v>360817</v>
      </c>
      <c r="N435" s="87" t="s">
        <v>454</v>
      </c>
      <c r="O435" s="25">
        <f t="shared" si="12"/>
        <v>1.3177998472116093E-2</v>
      </c>
    </row>
    <row r="436" spans="1:15">
      <c r="A436" s="88">
        <v>602.66740999213528</v>
      </c>
      <c r="B436" s="88">
        <v>604.06847010178058</v>
      </c>
      <c r="C436" s="88">
        <v>599.66697432125375</v>
      </c>
      <c r="D436" s="88">
        <v>600.45292040308266</v>
      </c>
      <c r="E436" s="89">
        <v>7022435.5431053247</v>
      </c>
      <c r="F436" s="87" t="s">
        <v>455</v>
      </c>
      <c r="G436" s="25">
        <f t="shared" si="11"/>
        <v>3.6880320068490846E-3</v>
      </c>
      <c r="I436" s="88">
        <v>314.56</v>
      </c>
      <c r="J436" s="88">
        <v>317.53399999999999</v>
      </c>
      <c r="K436" s="88">
        <v>312.10000000000002</v>
      </c>
      <c r="L436" s="88">
        <v>314.43</v>
      </c>
      <c r="M436" s="89">
        <v>462698</v>
      </c>
      <c r="N436" s="87" t="s">
        <v>455</v>
      </c>
      <c r="O436" s="25">
        <f t="shared" si="12"/>
        <v>4.1344655408193098E-4</v>
      </c>
    </row>
    <row r="437" spans="1:15">
      <c r="A437" s="88">
        <v>593.67104603660891</v>
      </c>
      <c r="B437" s="88">
        <v>612.54363811474059</v>
      </c>
      <c r="C437" s="88">
        <v>593.39423483797736</v>
      </c>
      <c r="D437" s="88">
        <v>610.95197372260907</v>
      </c>
      <c r="E437" s="89">
        <v>13492866.540313035</v>
      </c>
      <c r="F437" s="87" t="s">
        <v>456</v>
      </c>
      <c r="G437" s="25">
        <f t="shared" si="11"/>
        <v>-2.8285247334099317E-2</v>
      </c>
      <c r="I437" s="88">
        <v>314.52</v>
      </c>
      <c r="J437" s="88">
        <v>322.54000000000002</v>
      </c>
      <c r="K437" s="88">
        <v>313.52999999999997</v>
      </c>
      <c r="L437" s="88">
        <v>320.69</v>
      </c>
      <c r="M437" s="89">
        <v>531555</v>
      </c>
      <c r="N437" s="87" t="s">
        <v>456</v>
      </c>
      <c r="O437" s="25">
        <f t="shared" si="12"/>
        <v>-1.9239764258318082E-2</v>
      </c>
    </row>
    <row r="438" spans="1:15">
      <c r="A438" s="88">
        <v>610.07210955553012</v>
      </c>
      <c r="B438" s="88">
        <v>612.5337520005038</v>
      </c>
      <c r="C438" s="88">
        <v>608.27283676442482</v>
      </c>
      <c r="D438" s="88">
        <v>612.17785188797745</v>
      </c>
      <c r="E438" s="89">
        <v>5947481.3451863527</v>
      </c>
      <c r="F438" s="87" t="s">
        <v>457</v>
      </c>
      <c r="G438" s="25">
        <f t="shared" si="11"/>
        <v>-3.439755825783597E-3</v>
      </c>
      <c r="I438" s="88">
        <v>320.38</v>
      </c>
      <c r="J438" s="88">
        <v>324.68970000000002</v>
      </c>
      <c r="K438" s="88">
        <v>315.83499999999998</v>
      </c>
      <c r="L438" s="88">
        <v>318.24</v>
      </c>
      <c r="M438" s="89">
        <v>567330</v>
      </c>
      <c r="N438" s="87" t="s">
        <v>457</v>
      </c>
      <c r="O438" s="25">
        <f t="shared" si="12"/>
        <v>6.7244846656611124E-3</v>
      </c>
    </row>
    <row r="439" spans="1:15">
      <c r="A439" s="88">
        <v>611.72309063308273</v>
      </c>
      <c r="B439" s="88">
        <v>611.8516101181616</v>
      </c>
      <c r="C439" s="88">
        <v>608.45493898866744</v>
      </c>
      <c r="D439" s="88">
        <v>609.19718844556962</v>
      </c>
      <c r="E439" s="89">
        <v>5058039.8731031101</v>
      </c>
      <c r="F439" s="87" t="s">
        <v>458</v>
      </c>
      <c r="G439" s="25">
        <f t="shared" si="11"/>
        <v>4.1462801132721161E-3</v>
      </c>
      <c r="I439" s="88">
        <v>315.49</v>
      </c>
      <c r="J439" s="88">
        <v>318.14</v>
      </c>
      <c r="K439" s="88">
        <v>310.07</v>
      </c>
      <c r="L439" s="88">
        <v>311.32</v>
      </c>
      <c r="M439" s="89">
        <v>464948</v>
      </c>
      <c r="N439" s="87" t="s">
        <v>458</v>
      </c>
      <c r="O439" s="25">
        <f t="shared" si="12"/>
        <v>1.3394577926249651E-2</v>
      </c>
    </row>
    <row r="440" spans="1:15">
      <c r="A440" s="88">
        <v>608.19374785053014</v>
      </c>
      <c r="B440" s="88">
        <v>611.69274026237554</v>
      </c>
      <c r="C440" s="88">
        <v>606.82946408584587</v>
      </c>
      <c r="D440" s="88">
        <v>611.25844326395111</v>
      </c>
      <c r="E440" s="89">
        <v>7525209.4217923339</v>
      </c>
      <c r="F440" s="87" t="s">
        <v>459</v>
      </c>
      <c r="G440" s="25">
        <f t="shared" si="11"/>
        <v>-5.0137473718258052E-3</v>
      </c>
      <c r="I440" s="88">
        <v>313.45</v>
      </c>
      <c r="J440" s="88">
        <v>315.435</v>
      </c>
      <c r="K440" s="88">
        <v>310.02</v>
      </c>
      <c r="L440" s="88">
        <v>311.98</v>
      </c>
      <c r="M440" s="89">
        <v>479009</v>
      </c>
      <c r="N440" s="87" t="s">
        <v>459</v>
      </c>
      <c r="O440" s="25">
        <f t="shared" si="12"/>
        <v>4.7118405025963206E-3</v>
      </c>
    </row>
    <row r="441" spans="1:15">
      <c r="A441" s="88">
        <v>610.36869298263537</v>
      </c>
      <c r="B441" s="88">
        <v>611.23867103547741</v>
      </c>
      <c r="C441" s="88">
        <v>608.47055904916169</v>
      </c>
      <c r="D441" s="88">
        <v>610.42800966805646</v>
      </c>
      <c r="E441" s="89">
        <v>6026830.0135515863</v>
      </c>
      <c r="F441" s="87" t="s">
        <v>460</v>
      </c>
      <c r="G441" s="25">
        <f t="shared" si="11"/>
        <v>-9.7172286463997892E-5</v>
      </c>
      <c r="I441" s="88">
        <v>311.69</v>
      </c>
      <c r="J441" s="88">
        <v>312.08</v>
      </c>
      <c r="K441" s="88">
        <v>306.02499999999998</v>
      </c>
      <c r="L441" s="88">
        <v>310.89999999999998</v>
      </c>
      <c r="M441" s="89">
        <v>538528</v>
      </c>
      <c r="N441" s="87" t="s">
        <v>460</v>
      </c>
      <c r="O441" s="25">
        <f t="shared" si="12"/>
        <v>2.5410099710518885E-3</v>
      </c>
    </row>
    <row r="442" spans="1:15">
      <c r="A442" s="88">
        <v>608.29260899289841</v>
      </c>
      <c r="B442" s="88">
        <v>611.37707663479318</v>
      </c>
      <c r="C442" s="88">
        <v>607.29213423213002</v>
      </c>
      <c r="D442" s="88">
        <v>608.93520641829332</v>
      </c>
      <c r="E442" s="89">
        <v>7269957.4654072905</v>
      </c>
      <c r="F442" s="87" t="s">
        <v>461</v>
      </c>
      <c r="G442" s="25">
        <f t="shared" si="11"/>
        <v>-1.0552804610766131E-3</v>
      </c>
      <c r="I442" s="88">
        <v>309.11500000000001</v>
      </c>
      <c r="J442" s="88">
        <v>316.58999999999997</v>
      </c>
      <c r="K442" s="88">
        <v>308.42</v>
      </c>
      <c r="L442" s="88">
        <v>312.24</v>
      </c>
      <c r="M442" s="89">
        <v>651617</v>
      </c>
      <c r="N442" s="87" t="s">
        <v>461</v>
      </c>
      <c r="O442" s="25">
        <f t="shared" si="12"/>
        <v>-1.000832692800413E-2</v>
      </c>
    </row>
    <row r="443" spans="1:15">
      <c r="A443" s="88">
        <v>608.24317842171422</v>
      </c>
      <c r="B443" s="88">
        <v>609.45917047284593</v>
      </c>
      <c r="C443" s="88">
        <v>606.03857494689851</v>
      </c>
      <c r="D443" s="88">
        <v>609.38996767318793</v>
      </c>
      <c r="E443" s="89">
        <v>7117706.54417165</v>
      </c>
      <c r="F443" s="87" t="s">
        <v>462</v>
      </c>
      <c r="G443" s="25">
        <f t="shared" si="11"/>
        <v>-1.8818643435376536E-3</v>
      </c>
      <c r="I443" s="88">
        <v>312.20999999999998</v>
      </c>
      <c r="J443" s="88">
        <v>312.7</v>
      </c>
      <c r="K443" s="88">
        <v>302.92</v>
      </c>
      <c r="L443" s="88">
        <v>304.36</v>
      </c>
      <c r="M443" s="89">
        <v>545785</v>
      </c>
      <c r="N443" s="87" t="s">
        <v>462</v>
      </c>
      <c r="O443" s="25">
        <f t="shared" si="12"/>
        <v>2.5791825469838159E-2</v>
      </c>
    </row>
    <row r="444" spans="1:15">
      <c r="A444" s="88">
        <v>607.57092265360905</v>
      </c>
      <c r="B444" s="88">
        <v>608.38158402102999</v>
      </c>
      <c r="C444" s="88">
        <v>602.62786553518799</v>
      </c>
      <c r="D444" s="88">
        <v>602.75638502026686</v>
      </c>
      <c r="E444" s="89">
        <v>9865381.6518261507</v>
      </c>
      <c r="F444" s="87" t="s">
        <v>463</v>
      </c>
      <c r="G444" s="25">
        <f t="shared" ref="G444:G507" si="13">A444/D444-1</f>
        <v>7.9875348532065793E-3</v>
      </c>
      <c r="I444" s="88">
        <v>305.98</v>
      </c>
      <c r="J444" s="88">
        <v>312.04500000000002</v>
      </c>
      <c r="K444" s="88">
        <v>288.02</v>
      </c>
      <c r="L444" s="88">
        <v>308.75</v>
      </c>
      <c r="M444" s="89">
        <v>1140452</v>
      </c>
      <c r="N444" s="87" t="s">
        <v>463</v>
      </c>
      <c r="O444" s="25">
        <f t="shared" ref="O444:O507" si="14">I444/L444-1</f>
        <v>-8.9716599190282631E-3</v>
      </c>
    </row>
    <row r="445" spans="1:15">
      <c r="A445" s="88">
        <v>605.40586363574062</v>
      </c>
      <c r="B445" s="88">
        <v>605.88039711910903</v>
      </c>
      <c r="C445" s="88">
        <v>601.3426706843984</v>
      </c>
      <c r="D445" s="88">
        <v>602.48945993587211</v>
      </c>
      <c r="E445" s="89">
        <v>6556087.5028592665</v>
      </c>
      <c r="F445" s="87" t="s">
        <v>464</v>
      </c>
      <c r="G445" s="25">
        <f t="shared" si="13"/>
        <v>4.8405887468618847E-3</v>
      </c>
      <c r="I445" s="88">
        <v>308.73</v>
      </c>
      <c r="J445" s="88">
        <v>311.41000000000003</v>
      </c>
      <c r="K445" s="88">
        <v>304.64</v>
      </c>
      <c r="L445" s="88">
        <v>311.41000000000003</v>
      </c>
      <c r="M445" s="89">
        <v>985523</v>
      </c>
      <c r="N445" s="87" t="s">
        <v>464</v>
      </c>
      <c r="O445" s="25">
        <f t="shared" si="14"/>
        <v>-8.6060177900517676E-3</v>
      </c>
    </row>
    <row r="446" spans="1:15">
      <c r="A446" s="88">
        <v>603.18148793245109</v>
      </c>
      <c r="B446" s="88">
        <v>604.71383563916152</v>
      </c>
      <c r="C446" s="88">
        <v>601.55027908337217</v>
      </c>
      <c r="D446" s="88">
        <v>603.83397147208268</v>
      </c>
      <c r="E446" s="89">
        <v>5724023.4782149876</v>
      </c>
      <c r="F446" s="87" t="s">
        <v>465</v>
      </c>
      <c r="G446" s="25">
        <f t="shared" si="13"/>
        <v>-1.0805677892565813E-3</v>
      </c>
      <c r="I446" s="88">
        <v>310.62</v>
      </c>
      <c r="J446" s="88">
        <v>319.60000000000002</v>
      </c>
      <c r="K446" s="88">
        <v>308.33</v>
      </c>
      <c r="L446" s="88">
        <v>319.60000000000002</v>
      </c>
      <c r="M446" s="89">
        <v>676500</v>
      </c>
      <c r="N446" s="87" t="s">
        <v>465</v>
      </c>
      <c r="O446" s="25">
        <f t="shared" si="14"/>
        <v>-2.8097622027534519E-2</v>
      </c>
    </row>
    <row r="447" spans="1:15">
      <c r="A447" s="88">
        <v>601.49096241400605</v>
      </c>
      <c r="B447" s="88">
        <v>602.02329019639694</v>
      </c>
      <c r="C447" s="88">
        <v>597.94703949234895</v>
      </c>
      <c r="D447" s="88">
        <v>599.39122505013131</v>
      </c>
      <c r="E447" s="89">
        <v>6531431.3380089449</v>
      </c>
      <c r="F447" s="87" t="s">
        <v>466</v>
      </c>
      <c r="G447" s="25">
        <f t="shared" si="13"/>
        <v>3.5031166225349963E-3</v>
      </c>
      <c r="I447" s="88">
        <v>318</v>
      </c>
      <c r="J447" s="88">
        <v>326.29000000000002</v>
      </c>
      <c r="K447" s="88">
        <v>317.47000000000003</v>
      </c>
      <c r="L447" s="88">
        <v>323.51</v>
      </c>
      <c r="M447" s="89">
        <v>577406</v>
      </c>
      <c r="N447" s="87" t="s">
        <v>466</v>
      </c>
      <c r="O447" s="25">
        <f t="shared" si="14"/>
        <v>-1.7031931006769474E-2</v>
      </c>
    </row>
    <row r="448" spans="1:15">
      <c r="A448" s="88">
        <v>597.97168429708927</v>
      </c>
      <c r="B448" s="88">
        <v>599.29264583117003</v>
      </c>
      <c r="C448" s="88">
        <v>594.77771760274447</v>
      </c>
      <c r="D448" s="88">
        <v>598.00125806277765</v>
      </c>
      <c r="E448" s="89">
        <v>7027592.7046274282</v>
      </c>
      <c r="F448" s="87" t="s">
        <v>467</v>
      </c>
      <c r="G448" s="25">
        <f t="shared" si="13"/>
        <v>-4.9454353631572801E-5</v>
      </c>
      <c r="I448" s="88">
        <v>323.58</v>
      </c>
      <c r="J448" s="88">
        <v>324.5</v>
      </c>
      <c r="K448" s="88">
        <v>312.58999999999997</v>
      </c>
      <c r="L448" s="88">
        <v>324.5</v>
      </c>
      <c r="M448" s="89">
        <v>745390</v>
      </c>
      <c r="N448" s="87" t="s">
        <v>467</v>
      </c>
      <c r="O448" s="25">
        <f t="shared" si="14"/>
        <v>-2.8351309707241867E-3</v>
      </c>
    </row>
    <row r="449" spans="1:15">
      <c r="A449" s="88">
        <v>600.84033956886185</v>
      </c>
      <c r="B449" s="88">
        <v>604.03430626320653</v>
      </c>
      <c r="C449" s="88">
        <v>599.54895180046935</v>
      </c>
      <c r="D449" s="88">
        <v>603.92586912234913</v>
      </c>
      <c r="E449" s="89">
        <v>24106580.728073731</v>
      </c>
      <c r="F449" s="87" t="s">
        <v>468</v>
      </c>
      <c r="G449" s="25">
        <f t="shared" si="13"/>
        <v>-5.1091196970437514E-3</v>
      </c>
      <c r="I449" s="88">
        <v>326.97000000000003</v>
      </c>
      <c r="J449" s="88">
        <v>330.21249999999998</v>
      </c>
      <c r="K449" s="88">
        <v>324.642</v>
      </c>
      <c r="L449" s="88">
        <v>329.79</v>
      </c>
      <c r="M449" s="89">
        <v>544047</v>
      </c>
      <c r="N449" s="87" t="s">
        <v>468</v>
      </c>
      <c r="O449" s="25">
        <f t="shared" si="14"/>
        <v>-8.5508960247430155E-3</v>
      </c>
    </row>
    <row r="450" spans="1:15">
      <c r="A450" s="88">
        <v>602.85135563567144</v>
      </c>
      <c r="B450" s="88">
        <v>606.51850258103025</v>
      </c>
      <c r="C450" s="88">
        <v>601.66939080032603</v>
      </c>
      <c r="D450" s="88">
        <v>605.97138791579528</v>
      </c>
      <c r="E450" s="89">
        <v>10883179.145714741</v>
      </c>
      <c r="F450" s="87" t="s">
        <v>469</v>
      </c>
      <c r="G450" s="25">
        <f t="shared" si="13"/>
        <v>-5.148811218389393E-3</v>
      </c>
      <c r="I450" s="88">
        <v>327.8</v>
      </c>
      <c r="J450" s="88">
        <v>335.58</v>
      </c>
      <c r="K450" s="88">
        <v>326.48</v>
      </c>
      <c r="L450" s="88">
        <v>332.95</v>
      </c>
      <c r="M450" s="89">
        <v>431766</v>
      </c>
      <c r="N450" s="87" t="s">
        <v>469</v>
      </c>
      <c r="O450" s="25">
        <f t="shared" si="14"/>
        <v>-1.5467787956149559E-2</v>
      </c>
    </row>
    <row r="451" spans="1:15">
      <c r="A451" s="88">
        <v>606.02560648622398</v>
      </c>
      <c r="B451" s="88">
        <v>606.47907089344574</v>
      </c>
      <c r="C451" s="88">
        <v>601.83598968037052</v>
      </c>
      <c r="D451" s="88">
        <v>601.84584760226664</v>
      </c>
      <c r="E451" s="89">
        <v>11718075.190411</v>
      </c>
      <c r="F451" s="87" t="s">
        <v>470</v>
      </c>
      <c r="G451" s="25">
        <f t="shared" si="13"/>
        <v>6.9448994299941003E-3</v>
      </c>
      <c r="I451" s="88">
        <v>335.12</v>
      </c>
      <c r="J451" s="88">
        <v>336.02</v>
      </c>
      <c r="K451" s="88">
        <v>327.86369999999999</v>
      </c>
      <c r="L451" s="88">
        <v>330.31</v>
      </c>
      <c r="M451" s="89">
        <v>431481</v>
      </c>
      <c r="N451" s="87" t="s">
        <v>470</v>
      </c>
      <c r="O451" s="25">
        <f t="shared" si="14"/>
        <v>1.4562078047894333E-2</v>
      </c>
    </row>
    <row r="452" spans="1:15">
      <c r="A452" s="88">
        <v>603.08794576117839</v>
      </c>
      <c r="B452" s="88">
        <v>603.96530080993364</v>
      </c>
      <c r="C452" s="88">
        <v>600.19957464561367</v>
      </c>
      <c r="D452" s="88">
        <v>601.94442682122792</v>
      </c>
      <c r="E452" s="89">
        <v>6153076.7477310635</v>
      </c>
      <c r="F452" s="87" t="s">
        <v>471</v>
      </c>
      <c r="G452" s="25">
        <f t="shared" si="13"/>
        <v>1.899708493007024E-3</v>
      </c>
      <c r="I452" s="88">
        <v>330.84</v>
      </c>
      <c r="J452" s="88">
        <v>333.71499999999997</v>
      </c>
      <c r="K452" s="88">
        <v>328.755</v>
      </c>
      <c r="L452" s="88">
        <v>333.51</v>
      </c>
      <c r="M452" s="89">
        <v>1028512</v>
      </c>
      <c r="N452" s="87" t="s">
        <v>471</v>
      </c>
      <c r="O452" s="25">
        <f t="shared" si="14"/>
        <v>-8.005756948817222E-3</v>
      </c>
    </row>
    <row r="453" spans="1:15">
      <c r="A453" s="88">
        <v>600.28829594267881</v>
      </c>
      <c r="B453" s="88">
        <v>602.6246234320605</v>
      </c>
      <c r="C453" s="88">
        <v>598.44486454810328</v>
      </c>
      <c r="D453" s="88">
        <v>599.90383698872984</v>
      </c>
      <c r="E453" s="89">
        <v>11188189.677516753</v>
      </c>
      <c r="F453" s="87" t="s">
        <v>472</v>
      </c>
      <c r="G453" s="25">
        <f t="shared" si="13"/>
        <v>6.4086763618442788E-4</v>
      </c>
      <c r="I453" s="88">
        <v>333.51</v>
      </c>
      <c r="J453" s="88">
        <v>334.91</v>
      </c>
      <c r="K453" s="88">
        <v>319.13</v>
      </c>
      <c r="L453" s="88">
        <v>322.02999999999997</v>
      </c>
      <c r="M453" s="89">
        <v>682339</v>
      </c>
      <c r="N453" s="87" t="s">
        <v>472</v>
      </c>
      <c r="O453" s="25">
        <f t="shared" si="14"/>
        <v>3.5648852591373625E-2</v>
      </c>
    </row>
    <row r="454" spans="1:15">
      <c r="A454" s="88">
        <v>597.478788202283</v>
      </c>
      <c r="B454" s="88">
        <v>599.68696270701514</v>
      </c>
      <c r="C454" s="88">
        <v>593.00329166144184</v>
      </c>
      <c r="D454" s="88">
        <v>598.21813234449235</v>
      </c>
      <c r="E454" s="89">
        <v>11781010.361386927</v>
      </c>
      <c r="F454" s="87" t="s">
        <v>473</v>
      </c>
      <c r="G454" s="25">
        <f t="shared" si="13"/>
        <v>-1.2359106189439029E-3</v>
      </c>
      <c r="I454" s="88">
        <v>322.22000000000003</v>
      </c>
      <c r="J454" s="88">
        <v>333.1</v>
      </c>
      <c r="K454" s="88">
        <v>313.24</v>
      </c>
      <c r="L454" s="88">
        <v>332.13</v>
      </c>
      <c r="M454" s="89">
        <v>1109004</v>
      </c>
      <c r="N454" s="87" t="s">
        <v>473</v>
      </c>
      <c r="O454" s="25">
        <f t="shared" si="14"/>
        <v>-2.9837714148074457E-2</v>
      </c>
    </row>
    <row r="455" spans="1:15">
      <c r="A455" s="88">
        <v>598.16884273501171</v>
      </c>
      <c r="B455" s="88">
        <v>599.77568400408018</v>
      </c>
      <c r="C455" s="88">
        <v>597.45010164956511</v>
      </c>
      <c r="D455" s="88">
        <v>599.51937803478097</v>
      </c>
      <c r="E455" s="89">
        <v>6458919.0978499986</v>
      </c>
      <c r="F455" s="87" t="s">
        <v>474</v>
      </c>
      <c r="G455" s="25">
        <f t="shared" si="13"/>
        <v>-2.2526966587740338E-3</v>
      </c>
      <c r="I455" s="88">
        <v>332.13</v>
      </c>
      <c r="J455" s="88">
        <v>345.2</v>
      </c>
      <c r="K455" s="88">
        <v>328.93</v>
      </c>
      <c r="L455" s="88">
        <v>340.72</v>
      </c>
      <c r="M455" s="89">
        <v>811803</v>
      </c>
      <c r="N455" s="87" t="s">
        <v>474</v>
      </c>
      <c r="O455" s="25">
        <f t="shared" si="14"/>
        <v>-2.5211317210612871E-2</v>
      </c>
    </row>
    <row r="456" spans="1:15">
      <c r="A456" s="88">
        <v>598.95747648670181</v>
      </c>
      <c r="B456" s="88">
        <v>599.13491908083199</v>
      </c>
      <c r="C456" s="88">
        <v>597.5872253431404</v>
      </c>
      <c r="D456" s="88">
        <v>597.85338923433574</v>
      </c>
      <c r="E456" s="89">
        <v>7554466.4265668634</v>
      </c>
      <c r="F456" s="87" t="s">
        <v>475</v>
      </c>
      <c r="G456" s="25">
        <f t="shared" si="13"/>
        <v>1.8467525186736111E-3</v>
      </c>
      <c r="I456" s="88">
        <v>340.29</v>
      </c>
      <c r="J456" s="88">
        <v>345.74</v>
      </c>
      <c r="K456" s="88">
        <v>339.98</v>
      </c>
      <c r="L456" s="88">
        <v>342</v>
      </c>
      <c r="M456" s="89">
        <v>335503</v>
      </c>
      <c r="N456" s="87" t="s">
        <v>475</v>
      </c>
      <c r="O456" s="25">
        <f t="shared" si="14"/>
        <v>-4.9999999999998934E-3</v>
      </c>
    </row>
    <row r="457" spans="1:15">
      <c r="A457" s="88">
        <v>595.85223108942228</v>
      </c>
      <c r="B457" s="88">
        <v>597.37035106142559</v>
      </c>
      <c r="C457" s="88">
        <v>595.36919291651213</v>
      </c>
      <c r="D457" s="88">
        <v>596.00009991786408</v>
      </c>
      <c r="E457" s="89">
        <v>8225559.1852343883</v>
      </c>
      <c r="F457" s="87" t="s">
        <v>476</v>
      </c>
      <c r="G457" s="25">
        <f t="shared" si="13"/>
        <v>-2.4810201955027811E-4</v>
      </c>
      <c r="I457" s="88">
        <v>341.78</v>
      </c>
      <c r="J457" s="88">
        <v>351.93990000000002</v>
      </c>
      <c r="K457" s="88">
        <v>336</v>
      </c>
      <c r="L457" s="88">
        <v>337.75</v>
      </c>
      <c r="M457" s="89">
        <v>472867</v>
      </c>
      <c r="N457" s="87" t="s">
        <v>476</v>
      </c>
      <c r="O457" s="25">
        <f t="shared" si="14"/>
        <v>1.1931902294596508E-2</v>
      </c>
    </row>
    <row r="458" spans="1:15">
      <c r="A458" s="88">
        <v>595.98038407407194</v>
      </c>
      <c r="B458" s="88">
        <v>596.63100691921613</v>
      </c>
      <c r="C458" s="88">
        <v>592.35266881629752</v>
      </c>
      <c r="D458" s="88">
        <v>592.8849965986883</v>
      </c>
      <c r="E458" s="89">
        <v>9217770.3330873773</v>
      </c>
      <c r="F458" s="87" t="s">
        <v>477</v>
      </c>
      <c r="G458" s="25">
        <f t="shared" si="13"/>
        <v>5.2208902116623879E-3</v>
      </c>
      <c r="I458" s="88">
        <v>337.94</v>
      </c>
      <c r="J458" s="88">
        <v>342.4</v>
      </c>
      <c r="K458" s="88">
        <v>336.04</v>
      </c>
      <c r="L458" s="88">
        <v>337.69</v>
      </c>
      <c r="M458" s="89">
        <v>563684</v>
      </c>
      <c r="N458" s="87" t="s">
        <v>477</v>
      </c>
      <c r="O458" s="25">
        <f t="shared" si="14"/>
        <v>7.403239657675087E-4</v>
      </c>
    </row>
    <row r="459" spans="1:15">
      <c r="A459" s="88">
        <v>591.1598602668663</v>
      </c>
      <c r="B459" s="88">
        <v>593.20045009936439</v>
      </c>
      <c r="C459" s="88">
        <v>589.66145613865524</v>
      </c>
      <c r="D459" s="88">
        <v>592.38224258198591</v>
      </c>
      <c r="E459" s="89">
        <v>21852837.978424672</v>
      </c>
      <c r="F459" s="87" t="s">
        <v>478</v>
      </c>
      <c r="G459" s="25">
        <f t="shared" si="13"/>
        <v>-2.0635026293017722E-3</v>
      </c>
      <c r="I459" s="88">
        <v>337.61</v>
      </c>
      <c r="J459" s="88">
        <v>351.11</v>
      </c>
      <c r="K459" s="88">
        <v>330</v>
      </c>
      <c r="L459" s="88">
        <v>350.68</v>
      </c>
      <c r="M459" s="89">
        <v>800217</v>
      </c>
      <c r="N459" s="87" t="s">
        <v>478</v>
      </c>
      <c r="O459" s="25">
        <f t="shared" si="14"/>
        <v>-3.7270445990646772E-2</v>
      </c>
    </row>
    <row r="460" spans="1:15">
      <c r="A460" s="88">
        <v>589.45443977883667</v>
      </c>
      <c r="B460" s="88">
        <v>589.86847249847392</v>
      </c>
      <c r="C460" s="88">
        <v>586.55621074137571</v>
      </c>
      <c r="D460" s="88">
        <v>588.13347824475579</v>
      </c>
      <c r="E460" s="89">
        <v>7892245.527992758</v>
      </c>
      <c r="F460" s="87" t="s">
        <v>479</v>
      </c>
      <c r="G460" s="25">
        <f t="shared" si="13"/>
        <v>2.2460233653476269E-3</v>
      </c>
      <c r="I460" s="88">
        <v>352.82</v>
      </c>
      <c r="J460" s="88">
        <v>353.5</v>
      </c>
      <c r="K460" s="88">
        <v>347.30500000000001</v>
      </c>
      <c r="L460" s="88">
        <v>349.27</v>
      </c>
      <c r="M460" s="89">
        <v>656705</v>
      </c>
      <c r="N460" s="87" t="s">
        <v>479</v>
      </c>
      <c r="O460" s="25">
        <f t="shared" si="14"/>
        <v>1.0164056460617799E-2</v>
      </c>
    </row>
    <row r="461" spans="1:15">
      <c r="A461" s="88">
        <v>588.02504110389839</v>
      </c>
      <c r="B461" s="88">
        <v>588.92211199644578</v>
      </c>
      <c r="C461" s="88">
        <v>586.57592658516785</v>
      </c>
      <c r="D461" s="88">
        <v>587.83774058787196</v>
      </c>
      <c r="E461" s="89">
        <v>9584467.2939773481</v>
      </c>
      <c r="F461" s="87" t="s">
        <v>480</v>
      </c>
      <c r="G461" s="25">
        <f t="shared" si="13"/>
        <v>3.1862621790690326E-4</v>
      </c>
      <c r="I461" s="88">
        <v>349.56</v>
      </c>
      <c r="J461" s="88">
        <v>350</v>
      </c>
      <c r="K461" s="88">
        <v>345.56</v>
      </c>
      <c r="L461" s="88">
        <v>349.56</v>
      </c>
      <c r="M461" s="89">
        <v>524420</v>
      </c>
      <c r="N461" s="87" t="s">
        <v>480</v>
      </c>
      <c r="O461" s="25">
        <f t="shared" si="14"/>
        <v>0</v>
      </c>
    </row>
    <row r="462" spans="1:15">
      <c r="A462" s="88">
        <v>586.50692113189507</v>
      </c>
      <c r="B462" s="88">
        <v>591.0809968916974</v>
      </c>
      <c r="C462" s="88">
        <v>583.04679054635494</v>
      </c>
      <c r="D462" s="88">
        <v>590.4008002808647</v>
      </c>
      <c r="E462" s="89">
        <v>6717571.989084824</v>
      </c>
      <c r="F462" s="87" t="s">
        <v>481</v>
      </c>
      <c r="G462" s="25">
        <f t="shared" si="13"/>
        <v>-6.5953148219264346E-3</v>
      </c>
      <c r="I462" s="88">
        <v>348.43</v>
      </c>
      <c r="J462" s="88">
        <v>348.72</v>
      </c>
      <c r="K462" s="88">
        <v>345.27</v>
      </c>
      <c r="L462" s="88">
        <v>345.27</v>
      </c>
      <c r="M462" s="89">
        <v>498449</v>
      </c>
      <c r="N462" s="87" t="s">
        <v>481</v>
      </c>
      <c r="O462" s="25">
        <f t="shared" si="14"/>
        <v>9.1522576534306399E-3</v>
      </c>
    </row>
    <row r="463" spans="1:15">
      <c r="A463" s="88">
        <v>588.11376240096354</v>
      </c>
      <c r="B463" s="88">
        <v>588.29120499509372</v>
      </c>
      <c r="C463" s="88">
        <v>583.19465937479686</v>
      </c>
      <c r="D463" s="88">
        <v>584.05229857975974</v>
      </c>
      <c r="E463" s="89">
        <v>8127957.4786943784</v>
      </c>
      <c r="F463" s="87" t="s">
        <v>482</v>
      </c>
      <c r="G463" s="25">
        <f t="shared" si="13"/>
        <v>6.9539385960470934E-3</v>
      </c>
      <c r="I463" s="88">
        <v>346.47</v>
      </c>
      <c r="J463" s="88">
        <v>349.09</v>
      </c>
      <c r="K463" s="88">
        <v>341.89</v>
      </c>
      <c r="L463" s="88">
        <v>343.34</v>
      </c>
      <c r="M463" s="89">
        <v>499624</v>
      </c>
      <c r="N463" s="87" t="s">
        <v>482</v>
      </c>
      <c r="O463" s="25">
        <f t="shared" si="14"/>
        <v>9.1163278382946356E-3</v>
      </c>
    </row>
    <row r="464" spans="1:15">
      <c r="A464" s="88">
        <v>583.31295443755027</v>
      </c>
      <c r="B464" s="88">
        <v>583.81570845425279</v>
      </c>
      <c r="C464" s="88">
        <v>580.41472540008931</v>
      </c>
      <c r="D464" s="88">
        <v>582.41588354500277</v>
      </c>
      <c r="E464" s="89">
        <v>6766005.117793994</v>
      </c>
      <c r="F464" s="87" t="s">
        <v>483</v>
      </c>
      <c r="G464" s="25">
        <f t="shared" si="13"/>
        <v>1.5402582894670225E-3</v>
      </c>
      <c r="I464" s="88">
        <v>343.53</v>
      </c>
      <c r="J464" s="88">
        <v>346.64</v>
      </c>
      <c r="K464" s="88">
        <v>338.99770000000001</v>
      </c>
      <c r="L464" s="88">
        <v>346.64</v>
      </c>
      <c r="M464" s="89">
        <v>595441</v>
      </c>
      <c r="N464" s="87" t="s">
        <v>483</v>
      </c>
      <c r="O464" s="25">
        <f t="shared" si="14"/>
        <v>-8.9718439879991063E-3</v>
      </c>
    </row>
    <row r="465" spans="1:15">
      <c r="A465" s="88">
        <v>580.34571994681653</v>
      </c>
      <c r="B465" s="88">
        <v>580.43444124388157</v>
      </c>
      <c r="C465" s="88">
        <v>575.3773273111691</v>
      </c>
      <c r="D465" s="88">
        <v>577.73337064434315</v>
      </c>
      <c r="E465" s="89">
        <v>11223117.931526892</v>
      </c>
      <c r="F465" s="87" t="s">
        <v>484</v>
      </c>
      <c r="G465" s="25">
        <f t="shared" si="13"/>
        <v>4.5217213254615807E-3</v>
      </c>
      <c r="I465" s="88">
        <v>344.92</v>
      </c>
      <c r="J465" s="88">
        <v>350</v>
      </c>
      <c r="K465" s="88">
        <v>334.91</v>
      </c>
      <c r="L465" s="88">
        <v>338.13</v>
      </c>
      <c r="M465" s="89">
        <v>783989</v>
      </c>
      <c r="N465" s="87" t="s">
        <v>484</v>
      </c>
      <c r="O465" s="25">
        <f t="shared" si="14"/>
        <v>2.0081033921864444E-2</v>
      </c>
    </row>
    <row r="466" spans="1:15">
      <c r="A466" s="88">
        <v>584.65363181542341</v>
      </c>
      <c r="B466" s="88">
        <v>587.08853852376637</v>
      </c>
      <c r="C466" s="88">
        <v>582.84470314748432</v>
      </c>
      <c r="D466" s="88">
        <v>586.78294294498653</v>
      </c>
      <c r="E466" s="89">
        <v>7588562.862260079</v>
      </c>
      <c r="F466" s="87" t="s">
        <v>485</v>
      </c>
      <c r="G466" s="25">
        <f t="shared" si="13"/>
        <v>-3.6287883878770577E-3</v>
      </c>
      <c r="I466" s="88">
        <v>339.88</v>
      </c>
      <c r="J466" s="88">
        <v>341.13580000000002</v>
      </c>
      <c r="K466" s="88">
        <v>335.80500000000001</v>
      </c>
      <c r="L466" s="88">
        <v>337.31</v>
      </c>
      <c r="M466" s="89">
        <v>509598</v>
      </c>
      <c r="N466" s="87" t="s">
        <v>485</v>
      </c>
      <c r="O466" s="25">
        <f t="shared" si="14"/>
        <v>7.619104088227413E-3</v>
      </c>
    </row>
    <row r="467" spans="1:15">
      <c r="A467" s="88">
        <v>588.04475694769064</v>
      </c>
      <c r="B467" s="88">
        <v>588.58694265197755</v>
      </c>
      <c r="C467" s="88">
        <v>584.84093233144972</v>
      </c>
      <c r="D467" s="88">
        <v>586.61535827275247</v>
      </c>
      <c r="E467" s="89">
        <v>5110593.3411584385</v>
      </c>
      <c r="F467" s="87" t="s">
        <v>486</v>
      </c>
      <c r="G467" s="25">
        <f t="shared" si="13"/>
        <v>2.4366881207251723E-3</v>
      </c>
      <c r="I467" s="88">
        <v>337.6</v>
      </c>
      <c r="J467" s="88">
        <v>337.84</v>
      </c>
      <c r="K467" s="88">
        <v>331.74869999999999</v>
      </c>
      <c r="L467" s="88">
        <v>332.08</v>
      </c>
      <c r="M467" s="89">
        <v>452430</v>
      </c>
      <c r="N467" s="87" t="s">
        <v>486</v>
      </c>
      <c r="O467" s="25">
        <f t="shared" si="14"/>
        <v>1.6622500602264667E-2</v>
      </c>
    </row>
    <row r="468" spans="1:15">
      <c r="A468" s="88">
        <v>585.97459334950418</v>
      </c>
      <c r="B468" s="88">
        <v>586.68436372602525</v>
      </c>
      <c r="C468" s="88">
        <v>584.02272481407135</v>
      </c>
      <c r="D468" s="88">
        <v>584.10158818924037</v>
      </c>
      <c r="E468" s="89">
        <v>6177330.338144877</v>
      </c>
      <c r="F468" s="87" t="s">
        <v>487</v>
      </c>
      <c r="G468" s="25">
        <f t="shared" si="13"/>
        <v>3.206642813744498E-3</v>
      </c>
      <c r="I468" s="88">
        <v>334.35</v>
      </c>
      <c r="J468" s="88">
        <v>335.86</v>
      </c>
      <c r="K468" s="88">
        <v>329.65</v>
      </c>
      <c r="L468" s="88">
        <v>331.49</v>
      </c>
      <c r="M468" s="89">
        <v>516768</v>
      </c>
      <c r="N468" s="87" t="s">
        <v>487</v>
      </c>
      <c r="O468" s="25">
        <f t="shared" si="14"/>
        <v>8.6277112431747405E-3</v>
      </c>
    </row>
    <row r="469" spans="1:15">
      <c r="A469" s="88">
        <v>584.63391597163104</v>
      </c>
      <c r="B469" s="88">
        <v>584.99865908178776</v>
      </c>
      <c r="C469" s="88">
        <v>581.41530447254604</v>
      </c>
      <c r="D469" s="88">
        <v>581.99199290346951</v>
      </c>
      <c r="E469" s="89">
        <v>4815265.3774479339</v>
      </c>
      <c r="F469" s="87" t="s">
        <v>488</v>
      </c>
      <c r="G469" s="25">
        <f t="shared" si="13"/>
        <v>4.5394491683319327E-3</v>
      </c>
      <c r="I469" s="88">
        <v>331.83</v>
      </c>
      <c r="J469" s="88">
        <v>332.33</v>
      </c>
      <c r="K469" s="88">
        <v>328.87</v>
      </c>
      <c r="L469" s="88">
        <v>330.58</v>
      </c>
      <c r="M469" s="89">
        <v>493010</v>
      </c>
      <c r="N469" s="87" t="s">
        <v>488</v>
      </c>
      <c r="O469" s="25">
        <f t="shared" si="14"/>
        <v>3.7812329844515435E-3</v>
      </c>
    </row>
    <row r="470" spans="1:15">
      <c r="A470" s="88">
        <v>582.30744640414548</v>
      </c>
      <c r="B470" s="88">
        <v>584.80140206464637</v>
      </c>
      <c r="C470" s="88">
        <v>582.15957757570357</v>
      </c>
      <c r="D470" s="88">
        <v>583.63826586012237</v>
      </c>
      <c r="E470" s="89">
        <v>6576472.2710451968</v>
      </c>
      <c r="F470" s="87" t="s">
        <v>489</v>
      </c>
      <c r="G470" s="25">
        <f t="shared" si="13"/>
        <v>-2.2802128198630145E-3</v>
      </c>
      <c r="I470" s="88">
        <v>329</v>
      </c>
      <c r="J470" s="88">
        <v>330.76</v>
      </c>
      <c r="K470" s="88">
        <v>327.17</v>
      </c>
      <c r="L470" s="88">
        <v>329.88</v>
      </c>
      <c r="M470" s="89">
        <v>517289</v>
      </c>
      <c r="N470" s="87" t="s">
        <v>489</v>
      </c>
      <c r="O470" s="25">
        <f t="shared" si="14"/>
        <v>-2.667636716381705E-3</v>
      </c>
    </row>
    <row r="471" spans="1:15">
      <c r="A471" s="88">
        <v>584.78178480007307</v>
      </c>
      <c r="B471" s="88">
        <v>585.87601413054301</v>
      </c>
      <c r="C471" s="88">
        <v>577.51649636262846</v>
      </c>
      <c r="D471" s="88">
        <v>577.94038700416172</v>
      </c>
      <c r="E471" s="89">
        <v>6460329.1313384427</v>
      </c>
      <c r="F471" s="87" t="s">
        <v>490</v>
      </c>
      <c r="G471" s="25">
        <f t="shared" si="13"/>
        <v>1.1837549252051272E-2</v>
      </c>
      <c r="I471" s="88">
        <v>330.77</v>
      </c>
      <c r="J471" s="88">
        <v>333.22</v>
      </c>
      <c r="K471" s="88">
        <v>328.0795</v>
      </c>
      <c r="L471" s="88">
        <v>329.85</v>
      </c>
      <c r="M471" s="89">
        <v>492275</v>
      </c>
      <c r="N471" s="87" t="s">
        <v>490</v>
      </c>
      <c r="O471" s="25">
        <f t="shared" si="14"/>
        <v>2.7891465817795336E-3</v>
      </c>
    </row>
    <row r="472" spans="1:15">
      <c r="A472" s="88">
        <v>575.96880262493664</v>
      </c>
      <c r="B472" s="88">
        <v>578.12768752018826</v>
      </c>
      <c r="C472" s="88">
        <v>574.3718192777643</v>
      </c>
      <c r="D472" s="88">
        <v>576.61942547008096</v>
      </c>
      <c r="E472" s="89">
        <v>4876562.2721045529</v>
      </c>
      <c r="F472" s="87" t="s">
        <v>491</v>
      </c>
      <c r="G472" s="25">
        <f t="shared" si="13"/>
        <v>-1.1283401432650164E-3</v>
      </c>
      <c r="I472" s="88">
        <v>327.85</v>
      </c>
      <c r="J472" s="88">
        <v>334.18</v>
      </c>
      <c r="K472" s="88">
        <v>327.76</v>
      </c>
      <c r="L472" s="88">
        <v>332.23</v>
      </c>
      <c r="M472" s="89">
        <v>458691</v>
      </c>
      <c r="N472" s="87" t="s">
        <v>491</v>
      </c>
      <c r="O472" s="25">
        <f t="shared" si="14"/>
        <v>-1.3183637841254536E-2</v>
      </c>
    </row>
    <row r="473" spans="1:15">
      <c r="A473" s="88">
        <v>578.24598258294168</v>
      </c>
      <c r="B473" s="88">
        <v>579.64580749219158</v>
      </c>
      <c r="C473" s="88">
        <v>573.5831855260742</v>
      </c>
      <c r="D473" s="88">
        <v>579.45850697616515</v>
      </c>
      <c r="E473" s="89">
        <v>7155936.1844532564</v>
      </c>
      <c r="F473" s="87" t="s">
        <v>492</v>
      </c>
      <c r="G473" s="25">
        <f t="shared" si="13"/>
        <v>-2.0925128868172216E-3</v>
      </c>
      <c r="I473" s="88">
        <v>333</v>
      </c>
      <c r="J473" s="88">
        <v>333.41</v>
      </c>
      <c r="K473" s="88">
        <v>326.69</v>
      </c>
      <c r="L473" s="88">
        <v>328.88</v>
      </c>
      <c r="M473" s="89">
        <v>617782</v>
      </c>
      <c r="N473" s="87" t="s">
        <v>492</v>
      </c>
      <c r="O473" s="25">
        <f t="shared" si="14"/>
        <v>1.252736560447576E-2</v>
      </c>
    </row>
    <row r="474" spans="1:15">
      <c r="A474" s="88">
        <v>579.77396047684113</v>
      </c>
      <c r="B474" s="88">
        <v>583.70727131339538</v>
      </c>
      <c r="C474" s="88">
        <v>578.60086777120227</v>
      </c>
      <c r="D474" s="88">
        <v>582.84963210843239</v>
      </c>
      <c r="E474" s="89">
        <v>6786010.3483160073</v>
      </c>
      <c r="F474" s="87" t="s">
        <v>493</v>
      </c>
      <c r="G474" s="25">
        <f t="shared" si="13"/>
        <v>-5.2769556025370479E-3</v>
      </c>
      <c r="I474" s="88">
        <v>327.48</v>
      </c>
      <c r="J474" s="88">
        <v>327.69</v>
      </c>
      <c r="K474" s="88">
        <v>322.85000000000002</v>
      </c>
      <c r="L474" s="88">
        <v>323.27999999999997</v>
      </c>
      <c r="M474" s="89">
        <v>534008</v>
      </c>
      <c r="N474" s="87" t="s">
        <v>493</v>
      </c>
      <c r="O474" s="25">
        <f t="shared" si="14"/>
        <v>1.2991833704528721E-2</v>
      </c>
    </row>
    <row r="475" spans="1:15">
      <c r="A475" s="88">
        <v>582.95806924928979</v>
      </c>
      <c r="B475" s="88">
        <v>583.6086920944341</v>
      </c>
      <c r="C475" s="88">
        <v>581.96241913778113</v>
      </c>
      <c r="D475" s="88">
        <v>582.58346821723705</v>
      </c>
      <c r="E475" s="89">
        <v>5388298.9295011405</v>
      </c>
      <c r="F475" s="87" t="s">
        <v>494</v>
      </c>
      <c r="G475" s="25">
        <f t="shared" si="13"/>
        <v>6.4299976310522311E-4</v>
      </c>
      <c r="I475" s="88">
        <v>323.07</v>
      </c>
      <c r="J475" s="88">
        <v>323.83499999999998</v>
      </c>
      <c r="K475" s="88">
        <v>320.75009999999997</v>
      </c>
      <c r="L475" s="88">
        <v>321.32</v>
      </c>
      <c r="M475" s="89">
        <v>457880</v>
      </c>
      <c r="N475" s="87" t="s">
        <v>494</v>
      </c>
      <c r="O475" s="25">
        <f t="shared" si="14"/>
        <v>5.4462840781774879E-3</v>
      </c>
    </row>
    <row r="476" spans="1:15">
      <c r="A476" s="88">
        <v>583.16508560910847</v>
      </c>
      <c r="B476" s="88">
        <v>585.5112710203864</v>
      </c>
      <c r="C476" s="88">
        <v>582.26801471656097</v>
      </c>
      <c r="D476" s="88">
        <v>585.42254972332125</v>
      </c>
      <c r="E476" s="89">
        <v>7300032.4772589719</v>
      </c>
      <c r="F476" s="87" t="s">
        <v>495</v>
      </c>
      <c r="G476" s="25">
        <f t="shared" si="13"/>
        <v>-3.8561277068669408E-3</v>
      </c>
      <c r="I476" s="88">
        <v>321.27</v>
      </c>
      <c r="J476" s="88">
        <v>321.72000000000003</v>
      </c>
      <c r="K476" s="88">
        <v>316.23</v>
      </c>
      <c r="L476" s="88">
        <v>318.11</v>
      </c>
      <c r="M476" s="89">
        <v>617194</v>
      </c>
      <c r="N476" s="87" t="s">
        <v>495</v>
      </c>
      <c r="O476" s="25">
        <f t="shared" si="14"/>
        <v>9.9336707428248072E-3</v>
      </c>
    </row>
    <row r="477" spans="1:15">
      <c r="A477" s="88">
        <v>584.42689961181247</v>
      </c>
      <c r="B477" s="88">
        <v>585.07752245695679</v>
      </c>
      <c r="C477" s="88">
        <v>582.11028796622293</v>
      </c>
      <c r="D477" s="88">
        <v>582.52432068586018</v>
      </c>
      <c r="E477" s="89">
        <v>6326552.4577254886</v>
      </c>
      <c r="F477" s="87" t="s">
        <v>496</v>
      </c>
      <c r="G477" s="25">
        <f t="shared" si="13"/>
        <v>3.2660935490422816E-3</v>
      </c>
      <c r="I477" s="88">
        <v>315.77999999999997</v>
      </c>
      <c r="J477" s="88">
        <v>316.16000000000003</v>
      </c>
      <c r="K477" s="88">
        <v>307.51</v>
      </c>
      <c r="L477" s="88">
        <v>309.14999999999998</v>
      </c>
      <c r="M477" s="89">
        <v>763979</v>
      </c>
      <c r="N477" s="87" t="s">
        <v>496</v>
      </c>
      <c r="O477" s="25">
        <f t="shared" si="14"/>
        <v>2.1445900048520095E-2</v>
      </c>
    </row>
    <row r="478" spans="1:15">
      <c r="A478" s="88">
        <v>584.41704168991646</v>
      </c>
      <c r="B478" s="88">
        <v>585.59013439555531</v>
      </c>
      <c r="C478" s="88">
        <v>582.41588354500277</v>
      </c>
      <c r="D478" s="88">
        <v>584.4367575337086</v>
      </c>
      <c r="E478" s="89">
        <v>5470699.6635056622</v>
      </c>
      <c r="F478" s="87" t="s">
        <v>497</v>
      </c>
      <c r="G478" s="25">
        <f t="shared" si="13"/>
        <v>-3.3734777181604336E-5</v>
      </c>
      <c r="I478" s="88">
        <v>308.68</v>
      </c>
      <c r="J478" s="88">
        <v>314.35000000000002</v>
      </c>
      <c r="K478" s="88">
        <v>306.91000000000003</v>
      </c>
      <c r="L478" s="88">
        <v>312.04000000000002</v>
      </c>
      <c r="M478" s="89">
        <v>804285</v>
      </c>
      <c r="N478" s="87" t="s">
        <v>497</v>
      </c>
      <c r="O478" s="25">
        <f t="shared" si="14"/>
        <v>-1.0767850275605784E-2</v>
      </c>
    </row>
    <row r="479" spans="1:15">
      <c r="A479" s="88">
        <v>582.3863097793145</v>
      </c>
      <c r="B479" s="88">
        <v>582.5637523734448</v>
      </c>
      <c r="C479" s="88">
        <v>577.11725052583529</v>
      </c>
      <c r="D479" s="88">
        <v>578.41356725517585</v>
      </c>
      <c r="E479" s="89">
        <v>5958908.0354842898</v>
      </c>
      <c r="F479" s="87" t="s">
        <v>498</v>
      </c>
      <c r="G479" s="25">
        <f t="shared" si="13"/>
        <v>6.8683425649764818E-3</v>
      </c>
      <c r="I479" s="88">
        <v>309.63</v>
      </c>
      <c r="J479" s="88">
        <v>309.79000000000002</v>
      </c>
      <c r="K479" s="88">
        <v>302.41000000000003</v>
      </c>
      <c r="L479" s="88">
        <v>305.12</v>
      </c>
      <c r="M479" s="89">
        <v>723142</v>
      </c>
      <c r="N479" s="87" t="s">
        <v>498</v>
      </c>
      <c r="O479" s="25">
        <f t="shared" si="14"/>
        <v>1.4781069743051933E-2</v>
      </c>
    </row>
    <row r="480" spans="1:15">
      <c r="A480" s="88">
        <v>576.23496651613198</v>
      </c>
      <c r="B480" s="88">
        <v>579.01490049083952</v>
      </c>
      <c r="C480" s="88">
        <v>575.15059510755827</v>
      </c>
      <c r="D480" s="88">
        <v>577.70379687865477</v>
      </c>
      <c r="E480" s="89">
        <v>5451401.4785530334</v>
      </c>
      <c r="F480" s="87" t="s">
        <v>499</v>
      </c>
      <c r="G480" s="25">
        <f t="shared" si="13"/>
        <v>-2.542531952289262E-3</v>
      </c>
      <c r="I480" s="88">
        <v>304.83999999999997</v>
      </c>
      <c r="J480" s="88">
        <v>311.55</v>
      </c>
      <c r="K480" s="88">
        <v>304.26</v>
      </c>
      <c r="L480" s="88">
        <v>307.12</v>
      </c>
      <c r="M480" s="89">
        <v>725858</v>
      </c>
      <c r="N480" s="87" t="s">
        <v>499</v>
      </c>
      <c r="O480" s="25">
        <f t="shared" si="14"/>
        <v>-7.4238082834072738E-3</v>
      </c>
    </row>
    <row r="481" spans="1:15">
      <c r="A481" s="88">
        <v>577.41791714366718</v>
      </c>
      <c r="B481" s="88">
        <v>577.84180778520044</v>
      </c>
      <c r="C481" s="88">
        <v>574.32252966828366</v>
      </c>
      <c r="D481" s="88">
        <v>574.64784109085576</v>
      </c>
      <c r="E481" s="89">
        <v>4404925.3440591749</v>
      </c>
      <c r="F481" s="87" t="s">
        <v>500</v>
      </c>
      <c r="G481" s="25">
        <f t="shared" si="13"/>
        <v>4.8204758718888296E-3</v>
      </c>
      <c r="I481" s="88">
        <v>307.10000000000002</v>
      </c>
      <c r="J481" s="88">
        <v>312.99</v>
      </c>
      <c r="K481" s="88">
        <v>299.83</v>
      </c>
      <c r="L481" s="88">
        <v>303.55</v>
      </c>
      <c r="M481" s="89">
        <v>1099682</v>
      </c>
      <c r="N481" s="87" t="s">
        <v>500</v>
      </c>
      <c r="O481" s="25">
        <f t="shared" si="14"/>
        <v>1.1694943172459338E-2</v>
      </c>
    </row>
    <row r="482" spans="1:15">
      <c r="A482" s="88">
        <v>573.03114189989117</v>
      </c>
      <c r="B482" s="88">
        <v>577.20104286195237</v>
      </c>
      <c r="C482" s="88">
        <v>570.09614281375764</v>
      </c>
      <c r="D482" s="88">
        <v>576.56027793870419</v>
      </c>
      <c r="E482" s="89">
        <v>4660475.147206842</v>
      </c>
      <c r="F482" s="87" t="s">
        <v>501</v>
      </c>
      <c r="G482" s="25">
        <f t="shared" si="13"/>
        <v>-6.1210183459572409E-3</v>
      </c>
      <c r="I482" s="88">
        <v>303.55</v>
      </c>
      <c r="J482" s="88">
        <v>322.8</v>
      </c>
      <c r="K482" s="88">
        <v>286.68</v>
      </c>
      <c r="L482" s="88">
        <v>317</v>
      </c>
      <c r="M482" s="89">
        <v>1787833</v>
      </c>
      <c r="N482" s="87" t="s">
        <v>501</v>
      </c>
      <c r="O482" s="25">
        <f t="shared" si="14"/>
        <v>-4.242902208201893E-2</v>
      </c>
    </row>
    <row r="483" spans="1:15">
      <c r="A483" s="88">
        <v>573.37616916625552</v>
      </c>
      <c r="B483" s="88">
        <v>573.99721824571145</v>
      </c>
      <c r="C483" s="88">
        <v>569.20626820419443</v>
      </c>
      <c r="D483" s="88">
        <v>570.03433364346893</v>
      </c>
      <c r="E483" s="89">
        <v>4610520.3996252501</v>
      </c>
      <c r="F483" s="87" t="s">
        <v>502</v>
      </c>
      <c r="G483" s="25">
        <f t="shared" si="13"/>
        <v>5.8625162127108332E-3</v>
      </c>
      <c r="I483" s="88">
        <v>277.3</v>
      </c>
      <c r="J483" s="88">
        <v>281.14999999999998</v>
      </c>
      <c r="K483" s="88">
        <v>276.45999999999998</v>
      </c>
      <c r="L483" s="88">
        <v>279.26</v>
      </c>
      <c r="M483" s="89">
        <v>1016719</v>
      </c>
      <c r="N483" s="87" t="s">
        <v>502</v>
      </c>
      <c r="O483" s="25">
        <f t="shared" si="14"/>
        <v>-7.0185490224162761E-3</v>
      </c>
    </row>
    <row r="484" spans="1:15">
      <c r="A484" s="88">
        <v>569.14712067281766</v>
      </c>
      <c r="B484" s="88">
        <v>573.23815825970985</v>
      </c>
      <c r="C484" s="88">
        <v>568.21061809268565</v>
      </c>
      <c r="D484" s="88">
        <v>572.5382458050849</v>
      </c>
      <c r="E484" s="89">
        <v>4714361.7579547698</v>
      </c>
      <c r="F484" s="87" t="s">
        <v>503</v>
      </c>
      <c r="G484" s="25">
        <f t="shared" si="13"/>
        <v>-5.9229669932333584E-3</v>
      </c>
      <c r="I484" s="88">
        <v>281</v>
      </c>
      <c r="J484" s="88">
        <v>287.75</v>
      </c>
      <c r="K484" s="88">
        <v>280.70999999999998</v>
      </c>
      <c r="L484" s="88">
        <v>287.75</v>
      </c>
      <c r="M484" s="89">
        <v>833126</v>
      </c>
      <c r="N484" s="87" t="s">
        <v>503</v>
      </c>
      <c r="O484" s="25">
        <f t="shared" si="14"/>
        <v>-2.3457862728062606E-2</v>
      </c>
    </row>
    <row r="485" spans="1:15">
      <c r="A485" s="88">
        <v>571.89748088183671</v>
      </c>
      <c r="B485" s="88">
        <v>571.96648633510961</v>
      </c>
      <c r="C485" s="88">
        <v>566.90937240239714</v>
      </c>
      <c r="D485" s="88">
        <v>566.99809369946217</v>
      </c>
      <c r="E485" s="89">
        <v>6735789.8246380333</v>
      </c>
      <c r="F485" s="87" t="s">
        <v>504</v>
      </c>
      <c r="G485" s="25">
        <f t="shared" si="13"/>
        <v>8.6409235530366946E-3</v>
      </c>
      <c r="I485" s="88">
        <v>287.77</v>
      </c>
      <c r="J485" s="88">
        <v>290.245</v>
      </c>
      <c r="K485" s="88">
        <v>283.94</v>
      </c>
      <c r="L485" s="88">
        <v>286.08999999999997</v>
      </c>
      <c r="M485" s="89">
        <v>614596</v>
      </c>
      <c r="N485" s="87" t="s">
        <v>504</v>
      </c>
      <c r="O485" s="25">
        <f t="shared" si="14"/>
        <v>5.8722779544899684E-3</v>
      </c>
    </row>
    <row r="486" spans="1:15">
      <c r="A486" s="88">
        <v>563.33094675410359</v>
      </c>
      <c r="B486" s="88">
        <v>567.55999524754145</v>
      </c>
      <c r="C486" s="88">
        <v>561.20163562454036</v>
      </c>
      <c r="D486" s="88">
        <v>567.55013732564532</v>
      </c>
      <c r="E486" s="89">
        <v>8907814.5399499964</v>
      </c>
      <c r="F486" s="87" t="s">
        <v>505</v>
      </c>
      <c r="G486" s="25">
        <f t="shared" si="13"/>
        <v>-7.4340402619281765E-3</v>
      </c>
      <c r="I486" s="88">
        <v>284.91000000000003</v>
      </c>
      <c r="J486" s="88">
        <v>287.40499999999997</v>
      </c>
      <c r="K486" s="88">
        <v>282.75</v>
      </c>
      <c r="L486" s="88">
        <v>286.25</v>
      </c>
      <c r="M486" s="89">
        <v>567395</v>
      </c>
      <c r="N486" s="87" t="s">
        <v>505</v>
      </c>
      <c r="O486" s="25">
        <f t="shared" si="14"/>
        <v>-4.681222707423438E-3</v>
      </c>
    </row>
    <row r="487" spans="1:15">
      <c r="A487" s="88">
        <v>572.76497800869583</v>
      </c>
      <c r="B487" s="88">
        <v>579.80491435159502</v>
      </c>
      <c r="C487" s="88">
        <v>571.601743224953</v>
      </c>
      <c r="D487" s="88">
        <v>579.47822281995741</v>
      </c>
      <c r="E487" s="89">
        <v>7148406.1998599339</v>
      </c>
      <c r="F487" s="87" t="s">
        <v>506</v>
      </c>
      <c r="G487" s="25">
        <f t="shared" si="13"/>
        <v>-1.1584982052634252E-2</v>
      </c>
      <c r="I487" s="88">
        <v>288.39999999999998</v>
      </c>
      <c r="J487" s="88">
        <v>298.05500000000001</v>
      </c>
      <c r="K487" s="88">
        <v>287.76</v>
      </c>
      <c r="L487" s="88">
        <v>295.72000000000003</v>
      </c>
      <c r="M487" s="89">
        <v>640449</v>
      </c>
      <c r="N487" s="87" t="s">
        <v>506</v>
      </c>
      <c r="O487" s="25">
        <f t="shared" si="14"/>
        <v>-2.4753144866766053E-2</v>
      </c>
    </row>
    <row r="488" spans="1:15">
      <c r="A488" s="88">
        <v>574.92386290394734</v>
      </c>
      <c r="B488" s="88">
        <v>577.8220919414083</v>
      </c>
      <c r="C488" s="88">
        <v>572.30165567957783</v>
      </c>
      <c r="D488" s="88">
        <v>576.35326157888551</v>
      </c>
      <c r="E488" s="89">
        <v>7075252.8509494085</v>
      </c>
      <c r="F488" s="87" t="s">
        <v>507</v>
      </c>
      <c r="G488" s="25">
        <f t="shared" si="13"/>
        <v>-2.480073889097878E-3</v>
      </c>
      <c r="I488" s="88">
        <v>298.27</v>
      </c>
      <c r="J488" s="88">
        <v>300.24</v>
      </c>
      <c r="K488" s="88">
        <v>291.89</v>
      </c>
      <c r="L488" s="88">
        <v>292.13</v>
      </c>
      <c r="M488" s="89">
        <v>540834</v>
      </c>
      <c r="N488" s="87" t="s">
        <v>507</v>
      </c>
      <c r="O488" s="25">
        <f t="shared" si="14"/>
        <v>2.1018039913736963E-2</v>
      </c>
    </row>
    <row r="489" spans="1:15">
      <c r="A489" s="88">
        <v>575.62377535857217</v>
      </c>
      <c r="B489" s="88">
        <v>578.73887867774806</v>
      </c>
      <c r="C489" s="88">
        <v>574.83514160688219</v>
      </c>
      <c r="D489" s="88">
        <v>578.48257270844874</v>
      </c>
      <c r="E489" s="89">
        <v>5105850.9623393919</v>
      </c>
      <c r="F489" s="87" t="s">
        <v>508</v>
      </c>
      <c r="G489" s="25">
        <f t="shared" si="13"/>
        <v>-4.9418901877920085E-3</v>
      </c>
      <c r="I489" s="88">
        <v>291.49</v>
      </c>
      <c r="J489" s="88">
        <v>293.00200000000001</v>
      </c>
      <c r="K489" s="88">
        <v>289.85000000000002</v>
      </c>
      <c r="L489" s="88">
        <v>292.61</v>
      </c>
      <c r="M489" s="89">
        <v>373310</v>
      </c>
      <c r="N489" s="87" t="s">
        <v>508</v>
      </c>
      <c r="O489" s="25">
        <f t="shared" si="14"/>
        <v>-3.8276203820785115E-3</v>
      </c>
    </row>
    <row r="490" spans="1:15">
      <c r="A490" s="88">
        <v>577.12217948678347</v>
      </c>
      <c r="B490" s="88">
        <v>578.16711920777266</v>
      </c>
      <c r="C490" s="88">
        <v>575.93922885924826</v>
      </c>
      <c r="D490" s="88">
        <v>577.7136548005509</v>
      </c>
      <c r="E490" s="89">
        <v>4229956.4187446134</v>
      </c>
      <c r="F490" s="87" t="s">
        <v>509</v>
      </c>
      <c r="G490" s="25">
        <f t="shared" si="13"/>
        <v>-1.0238208995970721E-3</v>
      </c>
      <c r="I490" s="88">
        <v>292.27</v>
      </c>
      <c r="J490" s="88">
        <v>294.10500000000002</v>
      </c>
      <c r="K490" s="88">
        <v>290.20499999999998</v>
      </c>
      <c r="L490" s="88">
        <v>290.74</v>
      </c>
      <c r="M490" s="89">
        <v>397782</v>
      </c>
      <c r="N490" s="87" t="s">
        <v>509</v>
      </c>
      <c r="O490" s="25">
        <f t="shared" si="14"/>
        <v>5.2624337896400863E-3</v>
      </c>
    </row>
    <row r="491" spans="1:15">
      <c r="A491" s="88">
        <v>577.26019039332914</v>
      </c>
      <c r="B491" s="88">
        <v>577.7136548005509</v>
      </c>
      <c r="C491" s="88">
        <v>575.29846393600019</v>
      </c>
      <c r="D491" s="88">
        <v>575.51533821771477</v>
      </c>
      <c r="E491" s="89">
        <v>3235023.6019351534</v>
      </c>
      <c r="F491" s="87" t="s">
        <v>510</v>
      </c>
      <c r="G491" s="25">
        <f t="shared" si="13"/>
        <v>3.0318082937943469E-3</v>
      </c>
      <c r="I491" s="88">
        <v>290.22000000000003</v>
      </c>
      <c r="J491" s="88">
        <v>291.24</v>
      </c>
      <c r="K491" s="88">
        <v>286.91000000000003</v>
      </c>
      <c r="L491" s="88">
        <v>288.01</v>
      </c>
      <c r="M491" s="89">
        <v>511796</v>
      </c>
      <c r="N491" s="87" t="s">
        <v>510</v>
      </c>
      <c r="O491" s="25">
        <f t="shared" si="14"/>
        <v>7.6733446755321566E-3</v>
      </c>
    </row>
    <row r="492" spans="1:15">
      <c r="A492" s="88">
        <v>574.97315251342798</v>
      </c>
      <c r="B492" s="88">
        <v>576.44198287595066</v>
      </c>
      <c r="C492" s="88">
        <v>574.4408247310372</v>
      </c>
      <c r="D492" s="88">
        <v>575.052015888597</v>
      </c>
      <c r="E492" s="89">
        <v>3896258.2991345515</v>
      </c>
      <c r="F492" s="87" t="s">
        <v>511</v>
      </c>
      <c r="G492" s="25">
        <f t="shared" si="13"/>
        <v>-1.3714128981390239E-4</v>
      </c>
      <c r="I492" s="88">
        <v>286.58</v>
      </c>
      <c r="J492" s="88">
        <v>288.12</v>
      </c>
      <c r="K492" s="88">
        <v>284</v>
      </c>
      <c r="L492" s="88">
        <v>287</v>
      </c>
      <c r="M492" s="89">
        <v>672088</v>
      </c>
      <c r="N492" s="87" t="s">
        <v>511</v>
      </c>
      <c r="O492" s="25">
        <f t="shared" si="14"/>
        <v>-1.4634146341463428E-3</v>
      </c>
    </row>
    <row r="493" spans="1:15">
      <c r="A493" s="88">
        <v>574.57883563758298</v>
      </c>
      <c r="B493" s="88">
        <v>574.67741485654426</v>
      </c>
      <c r="C493" s="88">
        <v>570.64552480102873</v>
      </c>
      <c r="D493" s="88">
        <v>572.3213715233702</v>
      </c>
      <c r="E493" s="89">
        <v>4318704.3322722949</v>
      </c>
      <c r="F493" s="87" t="s">
        <v>512</v>
      </c>
      <c r="G493" s="25">
        <f t="shared" si="13"/>
        <v>3.9443994694867701E-3</v>
      </c>
      <c r="I493" s="88">
        <v>286.67</v>
      </c>
      <c r="J493" s="88">
        <v>288.79000000000002</v>
      </c>
      <c r="K493" s="88">
        <v>284.67</v>
      </c>
      <c r="L493" s="88">
        <v>287.13</v>
      </c>
      <c r="M493" s="89">
        <v>583597</v>
      </c>
      <c r="N493" s="87" t="s">
        <v>512</v>
      </c>
      <c r="O493" s="25">
        <f t="shared" si="14"/>
        <v>-1.6020617838609086E-3</v>
      </c>
    </row>
    <row r="494" spans="1:15">
      <c r="A494" s="88">
        <v>569.73859598658521</v>
      </c>
      <c r="B494" s="88">
        <v>570.61595103534046</v>
      </c>
      <c r="C494" s="88">
        <v>567.46141602858017</v>
      </c>
      <c r="D494" s="88">
        <v>570.06390740915731</v>
      </c>
      <c r="E494" s="89">
        <v>4812047.660739053</v>
      </c>
      <c r="F494" s="87" t="s">
        <v>513</v>
      </c>
      <c r="G494" s="25">
        <f t="shared" si="13"/>
        <v>-5.7065781282417127E-4</v>
      </c>
      <c r="I494" s="88">
        <v>285.57</v>
      </c>
      <c r="J494" s="88">
        <v>285.94</v>
      </c>
      <c r="K494" s="88">
        <v>281.58</v>
      </c>
      <c r="L494" s="88">
        <v>281.58</v>
      </c>
      <c r="M494" s="89">
        <v>511152</v>
      </c>
      <c r="N494" s="87" t="s">
        <v>513</v>
      </c>
      <c r="O494" s="25">
        <f t="shared" si="14"/>
        <v>1.4170040485830038E-2</v>
      </c>
    </row>
    <row r="495" spans="1:15">
      <c r="A495" s="88">
        <v>569.73859598658521</v>
      </c>
      <c r="B495" s="88">
        <v>572.28193983578558</v>
      </c>
      <c r="C495" s="88">
        <v>569.38371079832473</v>
      </c>
      <c r="D495" s="88">
        <v>569.76816975227359</v>
      </c>
      <c r="E495" s="89">
        <v>5977128.9142752439</v>
      </c>
      <c r="F495" s="87" t="s">
        <v>514</v>
      </c>
      <c r="G495" s="25">
        <f t="shared" si="13"/>
        <v>-5.1904910204569887E-5</v>
      </c>
      <c r="I495" s="88">
        <v>280.95999999999998</v>
      </c>
      <c r="J495" s="88">
        <v>288</v>
      </c>
      <c r="K495" s="88">
        <v>280.42700000000002</v>
      </c>
      <c r="L495" s="88">
        <v>284.65499999999997</v>
      </c>
      <c r="M495" s="89">
        <v>376477</v>
      </c>
      <c r="N495" s="87" t="s">
        <v>514</v>
      </c>
      <c r="O495" s="25">
        <f t="shared" si="14"/>
        <v>-1.2980625669670287E-2</v>
      </c>
    </row>
    <row r="496" spans="1:15">
      <c r="A496" s="88">
        <v>568.72323003128417</v>
      </c>
      <c r="B496" s="88">
        <v>570.28078169087212</v>
      </c>
      <c r="C496" s="88">
        <v>567.65857446650273</v>
      </c>
      <c r="D496" s="88">
        <v>570.25120792518373</v>
      </c>
      <c r="E496" s="89">
        <v>4305316.1150201503</v>
      </c>
      <c r="F496" s="87" t="s">
        <v>515</v>
      </c>
      <c r="G496" s="25">
        <f t="shared" si="13"/>
        <v>-2.6794820820441601E-3</v>
      </c>
      <c r="I496" s="88">
        <v>284.23</v>
      </c>
      <c r="J496" s="88">
        <v>286.48</v>
      </c>
      <c r="K496" s="88">
        <v>283.45</v>
      </c>
      <c r="L496" s="88">
        <v>285.52</v>
      </c>
      <c r="M496" s="89">
        <v>349128</v>
      </c>
      <c r="N496" s="87" t="s">
        <v>515</v>
      </c>
      <c r="O496" s="25">
        <f t="shared" si="14"/>
        <v>-4.5180722891564606E-3</v>
      </c>
    </row>
    <row r="497" spans="1:15">
      <c r="A497" s="88">
        <v>568.97953600058349</v>
      </c>
      <c r="B497" s="88">
        <v>569.44285832970138</v>
      </c>
      <c r="C497" s="88">
        <v>565.64755839969303</v>
      </c>
      <c r="D497" s="88">
        <v>565.86443268140783</v>
      </c>
      <c r="E497" s="89">
        <v>5469281.5147165656</v>
      </c>
      <c r="F497" s="87" t="s">
        <v>516</v>
      </c>
      <c r="G497" s="25">
        <f t="shared" si="13"/>
        <v>5.5050346677814055E-3</v>
      </c>
      <c r="I497" s="88">
        <v>283.45</v>
      </c>
      <c r="J497" s="88">
        <v>288.495</v>
      </c>
      <c r="K497" s="88">
        <v>282.8</v>
      </c>
      <c r="L497" s="88">
        <v>287.16000000000003</v>
      </c>
      <c r="M497" s="89">
        <v>581945</v>
      </c>
      <c r="N497" s="87" t="s">
        <v>516</v>
      </c>
      <c r="O497" s="25">
        <f t="shared" si="14"/>
        <v>-1.2919626688953967E-2</v>
      </c>
    </row>
    <row r="498" spans="1:15">
      <c r="A498" s="88">
        <v>565.58841086831626</v>
      </c>
      <c r="B498" s="88">
        <v>566.10102280691478</v>
      </c>
      <c r="C498" s="88">
        <v>560.09754837217417</v>
      </c>
      <c r="D498" s="88">
        <v>565.25324152384803</v>
      </c>
      <c r="E498" s="89">
        <v>6208054.8664168082</v>
      </c>
      <c r="F498" s="87" t="s">
        <v>517</v>
      </c>
      <c r="G498" s="25">
        <f t="shared" si="13"/>
        <v>5.9295430763861567E-4</v>
      </c>
      <c r="I498" s="88">
        <v>288.27</v>
      </c>
      <c r="J498" s="88">
        <v>291.71499999999997</v>
      </c>
      <c r="K498" s="88">
        <v>287.27</v>
      </c>
      <c r="L498" s="88">
        <v>290.66000000000003</v>
      </c>
      <c r="M498" s="89">
        <v>386892</v>
      </c>
      <c r="N498" s="87" t="s">
        <v>517</v>
      </c>
      <c r="O498" s="25">
        <f t="shared" si="14"/>
        <v>-8.2226656574693191E-3</v>
      </c>
    </row>
    <row r="499" spans="1:15">
      <c r="A499" s="88">
        <v>563.73512155184471</v>
      </c>
      <c r="B499" s="88">
        <v>568.95982015679124</v>
      </c>
      <c r="C499" s="88">
        <v>563.72526362994859</v>
      </c>
      <c r="D499" s="88">
        <v>568.65422457801139</v>
      </c>
      <c r="E499" s="89">
        <v>5415206.2232284574</v>
      </c>
      <c r="F499" s="87" t="s">
        <v>518</v>
      </c>
      <c r="G499" s="25">
        <f t="shared" si="13"/>
        <v>-8.6504290543467643E-3</v>
      </c>
      <c r="I499" s="88">
        <v>289.99</v>
      </c>
      <c r="J499" s="88">
        <v>293.16500000000002</v>
      </c>
      <c r="K499" s="88">
        <v>289.07499999999999</v>
      </c>
      <c r="L499" s="88">
        <v>292.95999999999998</v>
      </c>
      <c r="M499" s="89">
        <v>510976</v>
      </c>
      <c r="N499" s="87" t="s">
        <v>518</v>
      </c>
      <c r="O499" s="25">
        <f t="shared" si="14"/>
        <v>-1.0137902785363084E-2</v>
      </c>
    </row>
    <row r="500" spans="1:15">
      <c r="A500" s="88">
        <v>566.18974410397993</v>
      </c>
      <c r="B500" s="88">
        <v>566.51406973436247</v>
      </c>
      <c r="C500" s="88">
        <v>563.45909973875314</v>
      </c>
      <c r="D500" s="88">
        <v>564.71105581956112</v>
      </c>
      <c r="E500" s="89">
        <v>4787997.9672541441</v>
      </c>
      <c r="F500" s="87" t="s">
        <v>519</v>
      </c>
      <c r="G500" s="25">
        <f t="shared" si="13"/>
        <v>2.6184865147944603E-3</v>
      </c>
      <c r="I500" s="88">
        <v>292.01</v>
      </c>
      <c r="J500" s="88">
        <v>296.44</v>
      </c>
      <c r="K500" s="88">
        <v>290.26</v>
      </c>
      <c r="L500" s="88">
        <v>290.39</v>
      </c>
      <c r="M500" s="89">
        <v>605789</v>
      </c>
      <c r="N500" s="87" t="s">
        <v>519</v>
      </c>
      <c r="O500" s="25">
        <f t="shared" si="14"/>
        <v>5.5787045008437453E-3</v>
      </c>
    </row>
    <row r="501" spans="1:15">
      <c r="A501" s="88">
        <v>565.07579892971773</v>
      </c>
      <c r="B501" s="88">
        <v>566.21507896325306</v>
      </c>
      <c r="C501" s="88">
        <v>563.25208337893446</v>
      </c>
      <c r="D501" s="88">
        <v>564.31673894371613</v>
      </c>
      <c r="E501" s="89">
        <v>4477878.8536911234</v>
      </c>
      <c r="F501" s="87" t="s">
        <v>520</v>
      </c>
      <c r="G501" s="25">
        <f t="shared" si="13"/>
        <v>1.3450956415406168E-3</v>
      </c>
      <c r="I501" s="88">
        <v>289.32</v>
      </c>
      <c r="J501" s="88">
        <v>296.23</v>
      </c>
      <c r="K501" s="88">
        <v>289.02999999999997</v>
      </c>
      <c r="L501" s="88">
        <v>296.23</v>
      </c>
      <c r="M501" s="89">
        <v>507491</v>
      </c>
      <c r="N501" s="87" t="s">
        <v>520</v>
      </c>
      <c r="O501" s="25">
        <f t="shared" si="14"/>
        <v>-2.332646929750537E-2</v>
      </c>
    </row>
    <row r="502" spans="1:15">
      <c r="A502" s="88">
        <v>567.11638876221571</v>
      </c>
      <c r="B502" s="88">
        <v>568.07260718613998</v>
      </c>
      <c r="C502" s="88">
        <v>564.56318699111921</v>
      </c>
      <c r="D502" s="88">
        <v>565.62784255590077</v>
      </c>
      <c r="E502" s="89">
        <v>4991192.9226521207</v>
      </c>
      <c r="F502" s="87" t="s">
        <v>521</v>
      </c>
      <c r="G502" s="25">
        <f t="shared" si="13"/>
        <v>2.6316706751716712E-3</v>
      </c>
      <c r="I502" s="88">
        <v>297.39999999999998</v>
      </c>
      <c r="J502" s="88">
        <v>300</v>
      </c>
      <c r="K502" s="88">
        <v>296.02999999999997</v>
      </c>
      <c r="L502" s="88">
        <v>297.91000000000003</v>
      </c>
      <c r="M502" s="89">
        <v>475962</v>
      </c>
      <c r="N502" s="87" t="s">
        <v>521</v>
      </c>
      <c r="O502" s="25">
        <f t="shared" si="14"/>
        <v>-1.7119264207312579E-3</v>
      </c>
    </row>
    <row r="503" spans="1:15">
      <c r="A503" s="88">
        <v>565.46025788366671</v>
      </c>
      <c r="B503" s="88">
        <v>566.10102280691478</v>
      </c>
      <c r="C503" s="88">
        <v>562.65075014327078</v>
      </c>
      <c r="D503" s="88">
        <v>564.32659686561226</v>
      </c>
      <c r="E503" s="89">
        <v>6931622.173518654</v>
      </c>
      <c r="F503" s="87" t="s">
        <v>522</v>
      </c>
      <c r="G503" s="25">
        <f t="shared" si="13"/>
        <v>2.0088739824617452E-3</v>
      </c>
      <c r="I503" s="88">
        <v>297.45999999999998</v>
      </c>
      <c r="J503" s="88">
        <v>298.72500000000002</v>
      </c>
      <c r="K503" s="88">
        <v>293.38249999999999</v>
      </c>
      <c r="L503" s="88">
        <v>297.79000000000002</v>
      </c>
      <c r="M503" s="89">
        <v>456927</v>
      </c>
      <c r="N503" s="87" t="s">
        <v>522</v>
      </c>
      <c r="O503" s="25">
        <f t="shared" si="14"/>
        <v>-1.108163470902479E-3</v>
      </c>
    </row>
    <row r="504" spans="1:15">
      <c r="A504" s="88">
        <v>562.12828028277613</v>
      </c>
      <c r="B504" s="88">
        <v>563.70554778615633</v>
      </c>
      <c r="C504" s="88">
        <v>561.38893614056678</v>
      </c>
      <c r="D504" s="88">
        <v>563.03520909721965</v>
      </c>
      <c r="E504" s="89">
        <v>7016504.1606978038</v>
      </c>
      <c r="F504" s="87" t="s">
        <v>523</v>
      </c>
      <c r="G504" s="25">
        <f t="shared" si="13"/>
        <v>-1.6107852578131077E-3</v>
      </c>
      <c r="I504" s="88">
        <v>296.51</v>
      </c>
      <c r="J504" s="88">
        <v>302.48250000000002</v>
      </c>
      <c r="K504" s="88">
        <v>295.18</v>
      </c>
      <c r="L504" s="88">
        <v>300.3</v>
      </c>
      <c r="M504" s="89">
        <v>711849</v>
      </c>
      <c r="N504" s="87" t="s">
        <v>523</v>
      </c>
      <c r="O504" s="25">
        <f t="shared" si="14"/>
        <v>-1.2620712620712737E-2</v>
      </c>
    </row>
    <row r="505" spans="1:15">
      <c r="A505" s="88">
        <v>562.50288131482898</v>
      </c>
      <c r="B505" s="88">
        <v>565.44054203987446</v>
      </c>
      <c r="C505" s="88">
        <v>559.91024785614786</v>
      </c>
      <c r="D505" s="88">
        <v>564.85892464800293</v>
      </c>
      <c r="E505" s="89">
        <v>6439396.7277168343</v>
      </c>
      <c r="F505" s="87" t="s">
        <v>524</v>
      </c>
      <c r="G505" s="25">
        <f t="shared" si="13"/>
        <v>-4.1710296684116521E-3</v>
      </c>
      <c r="I505" s="88">
        <v>300.7</v>
      </c>
      <c r="J505" s="88">
        <v>302.33999999999997</v>
      </c>
      <c r="K505" s="88">
        <v>297.22000000000003</v>
      </c>
      <c r="L505" s="88">
        <v>299.70999999999998</v>
      </c>
      <c r="M505" s="89">
        <v>585316</v>
      </c>
      <c r="N505" s="87" t="s">
        <v>524</v>
      </c>
      <c r="O505" s="25">
        <f t="shared" si="14"/>
        <v>3.3031930866505022E-3</v>
      </c>
    </row>
    <row r="506" spans="1:15">
      <c r="A506" s="88">
        <v>567.04738330894293</v>
      </c>
      <c r="B506" s="88">
        <v>567.49098979426856</v>
      </c>
      <c r="C506" s="88">
        <v>564.00128544304005</v>
      </c>
      <c r="D506" s="88">
        <v>564.05057505252057</v>
      </c>
      <c r="E506" s="89">
        <v>4903643.0303833261</v>
      </c>
      <c r="F506" s="87" t="s">
        <v>525</v>
      </c>
      <c r="G506" s="25">
        <f t="shared" si="13"/>
        <v>5.3130133873957597E-3</v>
      </c>
      <c r="I506" s="88">
        <v>301.05</v>
      </c>
      <c r="J506" s="88">
        <v>302.44</v>
      </c>
      <c r="K506" s="88">
        <v>297</v>
      </c>
      <c r="L506" s="88">
        <v>301.83999999999997</v>
      </c>
      <c r="M506" s="89">
        <v>527284</v>
      </c>
      <c r="N506" s="87" t="s">
        <v>525</v>
      </c>
      <c r="O506" s="25">
        <f t="shared" si="14"/>
        <v>-2.6172806785050851E-3</v>
      </c>
    </row>
    <row r="507" spans="1:15">
      <c r="A507" s="88">
        <v>562.1874278141529</v>
      </c>
      <c r="B507" s="88">
        <v>562.23671742363354</v>
      </c>
      <c r="C507" s="88">
        <v>558.75687099430115</v>
      </c>
      <c r="D507" s="88">
        <v>559.30891462048419</v>
      </c>
      <c r="E507" s="89">
        <v>6222433.1503486075</v>
      </c>
      <c r="F507" s="87" t="s">
        <v>526</v>
      </c>
      <c r="G507" s="25">
        <f t="shared" si="13"/>
        <v>5.1465533954915266E-3</v>
      </c>
      <c r="I507" s="88">
        <v>301.62</v>
      </c>
      <c r="J507" s="88">
        <v>304.38</v>
      </c>
      <c r="K507" s="88">
        <v>297.29000000000002</v>
      </c>
      <c r="L507" s="88">
        <v>299.54000000000002</v>
      </c>
      <c r="M507" s="89">
        <v>881432</v>
      </c>
      <c r="N507" s="87" t="s">
        <v>526</v>
      </c>
      <c r="O507" s="25">
        <f t="shared" si="14"/>
        <v>6.9439807705147238E-3</v>
      </c>
    </row>
    <row r="508" spans="1:15">
      <c r="A508" s="88">
        <v>559.70323149632918</v>
      </c>
      <c r="B508" s="88">
        <v>560.7185974516301</v>
      </c>
      <c r="C508" s="88">
        <v>557.76122088279237</v>
      </c>
      <c r="D508" s="88">
        <v>558.51042294689796</v>
      </c>
      <c r="E508" s="89">
        <v>7475561.358318584</v>
      </c>
      <c r="F508" s="87" t="s">
        <v>527</v>
      </c>
      <c r="G508" s="25">
        <f t="shared" ref="G508:G571" si="15">A508/D508-1</f>
        <v>2.1356961310363687E-3</v>
      </c>
      <c r="I508" s="88">
        <v>299.99</v>
      </c>
      <c r="J508" s="88">
        <v>313.54000000000002</v>
      </c>
      <c r="K508" s="88">
        <v>296.47000000000003</v>
      </c>
      <c r="L508" s="88">
        <v>310.54000000000002</v>
      </c>
      <c r="M508" s="89">
        <v>1404409</v>
      </c>
      <c r="N508" s="87" t="s">
        <v>527</v>
      </c>
      <c r="O508" s="25">
        <f t="shared" ref="O508:O571" si="16">I508/L508-1</f>
        <v>-3.3973079152444186E-2</v>
      </c>
    </row>
    <row r="509" spans="1:15">
      <c r="A509" s="88">
        <v>559.9595374656285</v>
      </c>
      <c r="B509" s="88">
        <v>561.06362471799457</v>
      </c>
      <c r="C509" s="88">
        <v>557.34225920220717</v>
      </c>
      <c r="D509" s="88">
        <v>559.43706760513385</v>
      </c>
      <c r="E509" s="89">
        <v>5801616.2638169378</v>
      </c>
      <c r="F509" s="87" t="s">
        <v>528</v>
      </c>
      <c r="G509" s="25">
        <f t="shared" si="15"/>
        <v>9.3392070484576983E-4</v>
      </c>
      <c r="I509" s="88">
        <v>314.18</v>
      </c>
      <c r="J509" s="88">
        <v>316</v>
      </c>
      <c r="K509" s="88">
        <v>311.77999999999997</v>
      </c>
      <c r="L509" s="88">
        <v>312.83</v>
      </c>
      <c r="M509" s="89">
        <v>672901</v>
      </c>
      <c r="N509" s="87" t="s">
        <v>528</v>
      </c>
      <c r="O509" s="25">
        <f t="shared" si="16"/>
        <v>4.3154428923057875E-3</v>
      </c>
    </row>
    <row r="510" spans="1:15">
      <c r="A510" s="88">
        <v>557.17497025706712</v>
      </c>
      <c r="B510" s="88">
        <v>558.53117708122227</v>
      </c>
      <c r="C510" s="88">
        <v>553.49945321189307</v>
      </c>
      <c r="D510" s="88">
        <v>555.36669449152691</v>
      </c>
      <c r="E510" s="89">
        <v>6162779.1359969964</v>
      </c>
      <c r="F510" s="87" t="s">
        <v>529</v>
      </c>
      <c r="G510" s="25">
        <f t="shared" si="15"/>
        <v>3.2560032560033925E-3</v>
      </c>
      <c r="I510" s="88">
        <v>313.08</v>
      </c>
      <c r="J510" s="88">
        <v>313.35000000000002</v>
      </c>
      <c r="K510" s="88">
        <v>305.07</v>
      </c>
      <c r="L510" s="88">
        <v>309.39999999999998</v>
      </c>
      <c r="M510" s="89">
        <v>760290</v>
      </c>
      <c r="N510" s="87" t="s">
        <v>529</v>
      </c>
      <c r="O510" s="25">
        <f t="shared" si="16"/>
        <v>1.1893988364576558E-2</v>
      </c>
    </row>
    <row r="511" spans="1:15">
      <c r="A511" s="88">
        <v>554.42324626602772</v>
      </c>
      <c r="B511" s="88">
        <v>554.81634969331901</v>
      </c>
      <c r="C511" s="88">
        <v>551.2882464333793</v>
      </c>
      <c r="D511" s="88">
        <v>551.83859123158709</v>
      </c>
      <c r="E511" s="89">
        <v>6188136.3303330615</v>
      </c>
      <c r="F511" s="87" t="s">
        <v>530</v>
      </c>
      <c r="G511" s="25">
        <f t="shared" si="15"/>
        <v>4.6837156290071569E-3</v>
      </c>
      <c r="I511" s="88">
        <v>309.83</v>
      </c>
      <c r="J511" s="88">
        <v>309.86</v>
      </c>
      <c r="K511" s="88">
        <v>305.19499999999999</v>
      </c>
      <c r="L511" s="88">
        <v>306.23</v>
      </c>
      <c r="M511" s="89">
        <v>628504</v>
      </c>
      <c r="N511" s="87" t="s">
        <v>530</v>
      </c>
      <c r="O511" s="25">
        <f t="shared" si="16"/>
        <v>1.1755869771086891E-2</v>
      </c>
    </row>
    <row r="512" spans="1:15">
      <c r="A512" s="88">
        <v>550.0696258087761</v>
      </c>
      <c r="B512" s="88">
        <v>551.34721194747294</v>
      </c>
      <c r="C512" s="88">
        <v>548.71341898462094</v>
      </c>
      <c r="D512" s="88">
        <v>550.8558326633588</v>
      </c>
      <c r="E512" s="89">
        <v>16761293.701763421</v>
      </c>
      <c r="F512" s="87" t="s">
        <v>531</v>
      </c>
      <c r="G512" s="25">
        <f t="shared" si="15"/>
        <v>-1.4272461285949056E-3</v>
      </c>
      <c r="I512" s="88">
        <v>306.23</v>
      </c>
      <c r="J512" s="88">
        <v>311.41000000000003</v>
      </c>
      <c r="K512" s="88">
        <v>304.3116</v>
      </c>
      <c r="L512" s="88">
        <v>311.41000000000003</v>
      </c>
      <c r="M512" s="89">
        <v>639363</v>
      </c>
      <c r="N512" s="87" t="s">
        <v>531</v>
      </c>
      <c r="O512" s="25">
        <f t="shared" si="16"/>
        <v>-1.6634019459876082E-2</v>
      </c>
    </row>
    <row r="513" spans="1:15">
      <c r="A513" s="88">
        <v>549.7944534096722</v>
      </c>
      <c r="B513" s="88">
        <v>550.7673843922181</v>
      </c>
      <c r="C513" s="88">
        <v>546.77738460521107</v>
      </c>
      <c r="D513" s="88">
        <v>547.57341904547604</v>
      </c>
      <c r="E513" s="89">
        <v>6888808.9291396448</v>
      </c>
      <c r="F513" s="87" t="s">
        <v>532</v>
      </c>
      <c r="G513" s="25">
        <f t="shared" si="15"/>
        <v>4.0561398470873034E-3</v>
      </c>
      <c r="I513" s="88">
        <v>310.89999999999998</v>
      </c>
      <c r="J513" s="88">
        <v>315.49</v>
      </c>
      <c r="K513" s="88">
        <v>304.13</v>
      </c>
      <c r="L513" s="88">
        <v>310.45999999999998</v>
      </c>
      <c r="M513" s="89">
        <v>908070</v>
      </c>
      <c r="N513" s="87" t="s">
        <v>532</v>
      </c>
      <c r="O513" s="25">
        <f t="shared" si="16"/>
        <v>1.417251819880061E-3</v>
      </c>
    </row>
    <row r="514" spans="1:15">
      <c r="A514" s="88">
        <v>543.81928131484369</v>
      </c>
      <c r="B514" s="88">
        <v>544.15341922804146</v>
      </c>
      <c r="C514" s="88">
        <v>536.34048861062593</v>
      </c>
      <c r="D514" s="88">
        <v>539.20031604417045</v>
      </c>
      <c r="E514" s="89">
        <v>9861171.7193882875</v>
      </c>
      <c r="F514" s="87" t="s">
        <v>533</v>
      </c>
      <c r="G514" s="25">
        <f t="shared" si="15"/>
        <v>8.5663252287391245E-3</v>
      </c>
      <c r="I514" s="88">
        <v>307.67</v>
      </c>
      <c r="J514" s="88">
        <v>309.66000000000003</v>
      </c>
      <c r="K514" s="88">
        <v>301.62</v>
      </c>
      <c r="L514" s="88">
        <v>303.83999999999997</v>
      </c>
      <c r="M514" s="89">
        <v>1156645</v>
      </c>
      <c r="N514" s="87" t="s">
        <v>533</v>
      </c>
      <c r="O514" s="25">
        <f t="shared" si="16"/>
        <v>1.2605318588731151E-2</v>
      </c>
    </row>
    <row r="515" spans="1:15">
      <c r="A515" s="88">
        <v>538.2765229900358</v>
      </c>
      <c r="B515" s="88">
        <v>543.1903158311776</v>
      </c>
      <c r="C515" s="88">
        <v>537.19548856498454</v>
      </c>
      <c r="D515" s="88">
        <v>542.20755726294919</v>
      </c>
      <c r="E515" s="89">
        <v>10117294.645341258</v>
      </c>
      <c r="F515" s="87" t="s">
        <v>534</v>
      </c>
      <c r="G515" s="25">
        <f t="shared" si="15"/>
        <v>-7.2500543754077107E-3</v>
      </c>
      <c r="I515" s="88">
        <v>303.14999999999998</v>
      </c>
      <c r="J515" s="88">
        <v>305.51</v>
      </c>
      <c r="K515" s="88">
        <v>300.58999999999997</v>
      </c>
      <c r="L515" s="88">
        <v>304.27999999999997</v>
      </c>
      <c r="M515" s="89">
        <v>1538192</v>
      </c>
      <c r="N515" s="87" t="s">
        <v>534</v>
      </c>
      <c r="O515" s="25">
        <f t="shared" si="16"/>
        <v>-3.7136847640331094E-3</v>
      </c>
    </row>
    <row r="516" spans="1:15">
      <c r="A516" s="88">
        <v>539.7703160137429</v>
      </c>
      <c r="B516" s="88">
        <v>543.18048824549533</v>
      </c>
      <c r="C516" s="88">
        <v>538.93497123074883</v>
      </c>
      <c r="D516" s="88">
        <v>540.674453896513</v>
      </c>
      <c r="E516" s="89">
        <v>4683071.864025292</v>
      </c>
      <c r="F516" s="87" t="s">
        <v>535</v>
      </c>
      <c r="G516" s="25">
        <f t="shared" si="15"/>
        <v>-1.6722408026755842E-3</v>
      </c>
      <c r="I516" s="88">
        <v>301.79000000000002</v>
      </c>
      <c r="J516" s="88">
        <v>305.64</v>
      </c>
      <c r="K516" s="88">
        <v>299.47000000000003</v>
      </c>
      <c r="L516" s="88">
        <v>304.61</v>
      </c>
      <c r="M516" s="89">
        <v>756476</v>
      </c>
      <c r="N516" s="87" t="s">
        <v>535</v>
      </c>
      <c r="O516" s="25">
        <f t="shared" si="16"/>
        <v>-9.2577394044843775E-3</v>
      </c>
    </row>
    <row r="517" spans="1:15">
      <c r="A517" s="88">
        <v>539.87841945624803</v>
      </c>
      <c r="B517" s="88">
        <v>543.62272960119799</v>
      </c>
      <c r="C517" s="88">
        <v>539.17574707996471</v>
      </c>
      <c r="D517" s="88">
        <v>542.27635036272511</v>
      </c>
      <c r="E517" s="89">
        <v>4836736.2581930673</v>
      </c>
      <c r="F517" s="87" t="s">
        <v>536</v>
      </c>
      <c r="G517" s="25">
        <f t="shared" si="15"/>
        <v>-4.4219721270771783E-3</v>
      </c>
      <c r="I517" s="88">
        <v>304.39</v>
      </c>
      <c r="J517" s="88">
        <v>305.91500000000002</v>
      </c>
      <c r="K517" s="88">
        <v>300.61</v>
      </c>
      <c r="L517" s="88">
        <v>303.64</v>
      </c>
      <c r="M517" s="89">
        <v>591849</v>
      </c>
      <c r="N517" s="87" t="s">
        <v>536</v>
      </c>
      <c r="O517" s="25">
        <f t="shared" si="16"/>
        <v>2.4700302990383616E-3</v>
      </c>
    </row>
    <row r="518" spans="1:15">
      <c r="A518" s="88">
        <v>544.51703989828593</v>
      </c>
      <c r="B518" s="88">
        <v>546.10910877881588</v>
      </c>
      <c r="C518" s="88">
        <v>542.35497104818353</v>
      </c>
      <c r="D518" s="88">
        <v>542.42376414795956</v>
      </c>
      <c r="E518" s="89">
        <v>7551526.122411334</v>
      </c>
      <c r="F518" s="87" t="s">
        <v>537</v>
      </c>
      <c r="G518" s="25">
        <f t="shared" si="15"/>
        <v>3.8591151212088448E-3</v>
      </c>
      <c r="I518" s="88">
        <v>306.58999999999997</v>
      </c>
      <c r="J518" s="88">
        <v>310.18</v>
      </c>
      <c r="K518" s="88">
        <v>305.16000000000003</v>
      </c>
      <c r="L518" s="88">
        <v>307.64999999999998</v>
      </c>
      <c r="M518" s="89">
        <v>867353</v>
      </c>
      <c r="N518" s="87" t="s">
        <v>537</v>
      </c>
      <c r="O518" s="25">
        <f t="shared" si="16"/>
        <v>-3.4454737526410373E-3</v>
      </c>
    </row>
    <row r="519" spans="1:15">
      <c r="A519" s="88">
        <v>539.30841948667558</v>
      </c>
      <c r="B519" s="88">
        <v>543.70626407949749</v>
      </c>
      <c r="C519" s="88">
        <v>537.97186783388497</v>
      </c>
      <c r="D519" s="88">
        <v>540.7530745819713</v>
      </c>
      <c r="E519" s="89">
        <v>7186216.664314013</v>
      </c>
      <c r="F519" s="87" t="s">
        <v>538</v>
      </c>
      <c r="G519" s="25">
        <f t="shared" si="15"/>
        <v>-2.671561500436237E-3</v>
      </c>
      <c r="I519" s="88">
        <v>304.63</v>
      </c>
      <c r="J519" s="88">
        <v>308.79000000000002</v>
      </c>
      <c r="K519" s="88">
        <v>299.61</v>
      </c>
      <c r="L519" s="88">
        <v>299.61</v>
      </c>
      <c r="M519" s="89">
        <v>665788</v>
      </c>
      <c r="N519" s="87" t="s">
        <v>538</v>
      </c>
      <c r="O519" s="25">
        <f t="shared" si="16"/>
        <v>1.6755114982810904E-2</v>
      </c>
    </row>
    <row r="520" spans="1:15">
      <c r="A520" s="88">
        <v>545.38186743832682</v>
      </c>
      <c r="B520" s="88">
        <v>545.43100536673819</v>
      </c>
      <c r="C520" s="88">
        <v>541.62989177654458</v>
      </c>
      <c r="D520" s="88">
        <v>542.08962623476179</v>
      </c>
      <c r="E520" s="89">
        <v>8570714.3873436227</v>
      </c>
      <c r="F520" s="87" t="s">
        <v>539</v>
      </c>
      <c r="G520" s="25">
        <f t="shared" si="15"/>
        <v>6.0732414793329692E-3</v>
      </c>
      <c r="I520" s="88">
        <v>303.62</v>
      </c>
      <c r="J520" s="88">
        <v>303.7099</v>
      </c>
      <c r="K520" s="88">
        <v>299.375</v>
      </c>
      <c r="L520" s="88">
        <v>302.24</v>
      </c>
      <c r="M520" s="89">
        <v>866112</v>
      </c>
      <c r="N520" s="87" t="s">
        <v>539</v>
      </c>
      <c r="O520" s="25">
        <f t="shared" si="16"/>
        <v>4.5659078877713366E-3</v>
      </c>
    </row>
    <row r="521" spans="1:15">
      <c r="A521" s="88">
        <v>543.32790203072955</v>
      </c>
      <c r="B521" s="88">
        <v>546.63488461281804</v>
      </c>
      <c r="C521" s="88">
        <v>541.41152282268422</v>
      </c>
      <c r="D521" s="88">
        <v>545.83393637971187</v>
      </c>
      <c r="E521" s="89">
        <v>21165480.182480294</v>
      </c>
      <c r="F521" s="87" t="s">
        <v>540</v>
      </c>
      <c r="G521" s="25">
        <f t="shared" si="15"/>
        <v>-4.5912028951585748E-3</v>
      </c>
      <c r="I521" s="88">
        <v>302.24</v>
      </c>
      <c r="J521" s="88">
        <v>304.32499999999999</v>
      </c>
      <c r="K521" s="88">
        <v>297.89999999999998</v>
      </c>
      <c r="L521" s="88">
        <v>299.92</v>
      </c>
      <c r="M521" s="89">
        <v>876549</v>
      </c>
      <c r="N521" s="87" t="s">
        <v>540</v>
      </c>
      <c r="O521" s="25">
        <f t="shared" si="16"/>
        <v>7.7353961056281229E-3</v>
      </c>
    </row>
    <row r="522" spans="1:15">
      <c r="A522" s="88">
        <v>544.83152264011892</v>
      </c>
      <c r="B522" s="88">
        <v>545.17548813899884</v>
      </c>
      <c r="C522" s="88">
        <v>541.24445386608545</v>
      </c>
      <c r="D522" s="88">
        <v>542.26652277704284</v>
      </c>
      <c r="E522" s="89">
        <v>6055698.9197545592</v>
      </c>
      <c r="F522" s="87" t="s">
        <v>541</v>
      </c>
      <c r="G522" s="25">
        <f t="shared" si="15"/>
        <v>4.7301460727102729E-3</v>
      </c>
      <c r="I522" s="88">
        <v>298.73</v>
      </c>
      <c r="J522" s="88">
        <v>307.68</v>
      </c>
      <c r="K522" s="88">
        <v>295.56</v>
      </c>
      <c r="L522" s="88">
        <v>306.27</v>
      </c>
      <c r="M522" s="89">
        <v>1077485</v>
      </c>
      <c r="N522" s="87" t="s">
        <v>541</v>
      </c>
      <c r="O522" s="25">
        <f t="shared" si="16"/>
        <v>-2.461880040487141E-2</v>
      </c>
    </row>
    <row r="523" spans="1:15">
      <c r="A523" s="88">
        <v>541.74566073588187</v>
      </c>
      <c r="B523" s="88">
        <v>543.17066065981305</v>
      </c>
      <c r="C523" s="88">
        <v>540.71376423924221</v>
      </c>
      <c r="D523" s="88">
        <v>541.79479866429324</v>
      </c>
      <c r="E523" s="89">
        <v>4561016.4540009983</v>
      </c>
      <c r="F523" s="87" t="s">
        <v>542</v>
      </c>
      <c r="G523" s="25">
        <f t="shared" si="15"/>
        <v>-9.0694721567086134E-5</v>
      </c>
      <c r="I523" s="88">
        <v>305.66000000000003</v>
      </c>
      <c r="J523" s="88">
        <v>312</v>
      </c>
      <c r="K523" s="88">
        <v>302.69</v>
      </c>
      <c r="L523" s="88">
        <v>310.39999999999998</v>
      </c>
      <c r="M523" s="89">
        <v>906531</v>
      </c>
      <c r="N523" s="87" t="s">
        <v>542</v>
      </c>
      <c r="O523" s="25">
        <f t="shared" si="16"/>
        <v>-1.5270618556700866E-2</v>
      </c>
    </row>
    <row r="524" spans="1:15">
      <c r="A524" s="88">
        <v>541.16583318062715</v>
      </c>
      <c r="B524" s="88">
        <v>542.79721240388631</v>
      </c>
      <c r="C524" s="88">
        <v>539.23952811104266</v>
      </c>
      <c r="D524" s="88">
        <v>540.81204009606495</v>
      </c>
      <c r="E524" s="89">
        <v>4795276.4314184682</v>
      </c>
      <c r="F524" s="87" t="s">
        <v>543</v>
      </c>
      <c r="G524" s="25">
        <f t="shared" si="15"/>
        <v>6.5418862438670899E-4</v>
      </c>
      <c r="I524" s="88">
        <v>311.77</v>
      </c>
      <c r="J524" s="88">
        <v>320.98</v>
      </c>
      <c r="K524" s="88">
        <v>311.06</v>
      </c>
      <c r="L524" s="88">
        <v>317.89</v>
      </c>
      <c r="M524" s="89">
        <v>677257</v>
      </c>
      <c r="N524" s="87" t="s">
        <v>543</v>
      </c>
      <c r="O524" s="25">
        <f t="shared" si="16"/>
        <v>-1.9251942495831953E-2</v>
      </c>
    </row>
    <row r="525" spans="1:15">
      <c r="A525" s="88">
        <v>535.69186795559528</v>
      </c>
      <c r="B525" s="88">
        <v>541.13635042358032</v>
      </c>
      <c r="C525" s="88">
        <v>533.96958356477501</v>
      </c>
      <c r="D525" s="88">
        <v>540.0061780701177</v>
      </c>
      <c r="E525" s="89">
        <v>6445670.5896947058</v>
      </c>
      <c r="F525" s="87" t="s">
        <v>544</v>
      </c>
      <c r="G525" s="25">
        <f t="shared" si="15"/>
        <v>-7.9893717696729594E-3</v>
      </c>
      <c r="I525" s="88">
        <v>317.16000000000003</v>
      </c>
      <c r="J525" s="88">
        <v>320.95</v>
      </c>
      <c r="K525" s="88">
        <v>315.52</v>
      </c>
      <c r="L525" s="88">
        <v>319.58</v>
      </c>
      <c r="M525" s="89">
        <v>897178</v>
      </c>
      <c r="N525" s="87" t="s">
        <v>544</v>
      </c>
      <c r="O525" s="25">
        <f t="shared" si="16"/>
        <v>-7.572438825958927E-3</v>
      </c>
    </row>
    <row r="526" spans="1:15">
      <c r="A526" s="88">
        <v>538.20772989025977</v>
      </c>
      <c r="B526" s="88">
        <v>540.17324702671647</v>
      </c>
      <c r="C526" s="88">
        <v>538.00390576320922</v>
      </c>
      <c r="D526" s="88">
        <v>539.28876431531103</v>
      </c>
      <c r="E526" s="89">
        <v>4589399.8239372028</v>
      </c>
      <c r="F526" s="87" t="s">
        <v>545</v>
      </c>
      <c r="G526" s="25">
        <f t="shared" si="15"/>
        <v>-2.0045558086561055E-3</v>
      </c>
      <c r="I526" s="88">
        <v>319.20999999999998</v>
      </c>
      <c r="J526" s="88">
        <v>325.61</v>
      </c>
      <c r="K526" s="88">
        <v>319.07</v>
      </c>
      <c r="L526" s="88">
        <v>325.29000000000002</v>
      </c>
      <c r="M526" s="89">
        <v>786041</v>
      </c>
      <c r="N526" s="87" t="s">
        <v>545</v>
      </c>
      <c r="O526" s="25">
        <f t="shared" si="16"/>
        <v>-1.8691014171969722E-2</v>
      </c>
    </row>
    <row r="527" spans="1:15">
      <c r="A527" s="88">
        <v>538.5516953891397</v>
      </c>
      <c r="B527" s="88">
        <v>539.40669534349843</v>
      </c>
      <c r="C527" s="88">
        <v>534.70910938736688</v>
      </c>
      <c r="D527" s="88">
        <v>535.14152315738727</v>
      </c>
      <c r="E527" s="89">
        <v>5055818.5505897999</v>
      </c>
      <c r="F527" s="87" t="s">
        <v>546</v>
      </c>
      <c r="G527" s="25">
        <f t="shared" si="15"/>
        <v>6.3724679999266343E-3</v>
      </c>
      <c r="I527" s="88">
        <v>323.24</v>
      </c>
      <c r="J527" s="88">
        <v>325.0899</v>
      </c>
      <c r="K527" s="88">
        <v>319.32</v>
      </c>
      <c r="L527" s="88">
        <v>325</v>
      </c>
      <c r="M527" s="89">
        <v>856910</v>
      </c>
      <c r="N527" s="87" t="s">
        <v>546</v>
      </c>
      <c r="O527" s="25">
        <f t="shared" si="16"/>
        <v>-5.4153846153845997E-3</v>
      </c>
    </row>
    <row r="528" spans="1:15">
      <c r="A528" s="88">
        <v>535.51497141331402</v>
      </c>
      <c r="B528" s="88">
        <v>535.51497141331402</v>
      </c>
      <c r="C528" s="88">
        <v>528.52755799321039</v>
      </c>
      <c r="D528" s="88">
        <v>530.93531648536998</v>
      </c>
      <c r="E528" s="89">
        <v>6004394.3556123273</v>
      </c>
      <c r="F528" s="87" t="s">
        <v>547</v>
      </c>
      <c r="G528" s="25">
        <f t="shared" si="15"/>
        <v>8.6256362795000818E-3</v>
      </c>
      <c r="I528" s="88">
        <v>325</v>
      </c>
      <c r="J528" s="88">
        <v>325.22000000000003</v>
      </c>
      <c r="K528" s="88">
        <v>319.74</v>
      </c>
      <c r="L528" s="88">
        <v>324.23</v>
      </c>
      <c r="M528" s="89">
        <v>704600</v>
      </c>
      <c r="N528" s="87" t="s">
        <v>547</v>
      </c>
      <c r="O528" s="25">
        <f t="shared" si="16"/>
        <v>2.3748573543471707E-3</v>
      </c>
    </row>
    <row r="529" spans="1:15">
      <c r="A529" s="88">
        <v>532.41928192339481</v>
      </c>
      <c r="B529" s="88">
        <v>534.02117838960703</v>
      </c>
      <c r="C529" s="88">
        <v>526.9158339413159</v>
      </c>
      <c r="D529" s="88">
        <v>532.01635091042112</v>
      </c>
      <c r="E529" s="89">
        <v>6268173.2819739887</v>
      </c>
      <c r="F529" s="87" t="s">
        <v>548</v>
      </c>
      <c r="G529" s="25">
        <f t="shared" si="15"/>
        <v>7.5736584464780599E-4</v>
      </c>
      <c r="I529" s="88">
        <v>325.02999999999997</v>
      </c>
      <c r="J529" s="88">
        <v>326.24</v>
      </c>
      <c r="K529" s="88">
        <v>320.70999999999998</v>
      </c>
      <c r="L529" s="88">
        <v>324.22000000000003</v>
      </c>
      <c r="M529" s="89">
        <v>960247</v>
      </c>
      <c r="N529" s="87" t="s">
        <v>548</v>
      </c>
      <c r="O529" s="25">
        <f t="shared" si="16"/>
        <v>2.4983036209980103E-3</v>
      </c>
    </row>
    <row r="530" spans="1:15">
      <c r="A530" s="88">
        <v>532.96962672160271</v>
      </c>
      <c r="B530" s="88">
        <v>535.8785920835586</v>
      </c>
      <c r="C530" s="88">
        <v>529.45135104734516</v>
      </c>
      <c r="D530" s="88">
        <v>535.75083346968893</v>
      </c>
      <c r="E530" s="89">
        <v>4750850.464134655</v>
      </c>
      <c r="F530" s="87" t="s">
        <v>549</v>
      </c>
      <c r="G530" s="25">
        <f t="shared" si="15"/>
        <v>-5.1912317710721689E-3</v>
      </c>
      <c r="I530" s="88">
        <v>323.85000000000002</v>
      </c>
      <c r="J530" s="88">
        <v>326.065</v>
      </c>
      <c r="K530" s="88">
        <v>322.29000000000002</v>
      </c>
      <c r="L530" s="88">
        <v>324.69</v>
      </c>
      <c r="M530" s="89">
        <v>427899</v>
      </c>
      <c r="N530" s="87" t="s">
        <v>549</v>
      </c>
      <c r="O530" s="25">
        <f t="shared" si="16"/>
        <v>-2.5870830638454745E-3</v>
      </c>
    </row>
    <row r="531" spans="1:15">
      <c r="A531" s="88">
        <v>530.92548889968771</v>
      </c>
      <c r="B531" s="88">
        <v>535.50514382763174</v>
      </c>
      <c r="C531" s="88">
        <v>530.30635100170377</v>
      </c>
      <c r="D531" s="88">
        <v>534.41428181689832</v>
      </c>
      <c r="E531" s="89">
        <v>4890564.3312419383</v>
      </c>
      <c r="F531" s="87" t="s">
        <v>550</v>
      </c>
      <c r="G531" s="25">
        <f t="shared" si="15"/>
        <v>-6.5282553927066278E-3</v>
      </c>
      <c r="I531" s="88">
        <v>323.55</v>
      </c>
      <c r="J531" s="88">
        <v>328.10500000000002</v>
      </c>
      <c r="K531" s="88">
        <v>322.50020000000001</v>
      </c>
      <c r="L531" s="88">
        <v>325.49</v>
      </c>
      <c r="M531" s="89">
        <v>919836</v>
      </c>
      <c r="N531" s="87" t="s">
        <v>550</v>
      </c>
      <c r="O531" s="25">
        <f t="shared" si="16"/>
        <v>-5.9602445543641691E-3</v>
      </c>
    </row>
    <row r="532" spans="1:15">
      <c r="A532" s="88">
        <v>533.97204046119566</v>
      </c>
      <c r="B532" s="88">
        <v>534.1489370034767</v>
      </c>
      <c r="C532" s="88">
        <v>527.91824768090885</v>
      </c>
      <c r="D532" s="88">
        <v>529.43169587598061</v>
      </c>
      <c r="E532" s="89">
        <v>6193076.5060353726</v>
      </c>
      <c r="F532" s="87" t="s">
        <v>551</v>
      </c>
      <c r="G532" s="25">
        <f t="shared" si="15"/>
        <v>8.5758835758835694E-3</v>
      </c>
      <c r="I532" s="88">
        <v>326.64</v>
      </c>
      <c r="J532" s="88">
        <v>329.10180000000003</v>
      </c>
      <c r="K532" s="88">
        <v>324.67</v>
      </c>
      <c r="L532" s="88">
        <v>325</v>
      </c>
      <c r="M532" s="89">
        <v>630017</v>
      </c>
      <c r="N532" s="87" t="s">
        <v>551</v>
      </c>
      <c r="O532" s="25">
        <f t="shared" si="16"/>
        <v>5.0461538461537003E-3</v>
      </c>
    </row>
    <row r="533" spans="1:15">
      <c r="A533" s="88">
        <v>523.2206617247773</v>
      </c>
      <c r="B533" s="88">
        <v>525.58901159835079</v>
      </c>
      <c r="C533" s="88">
        <v>519.98738603530603</v>
      </c>
      <c r="D533" s="88">
        <v>520.30186877713913</v>
      </c>
      <c r="E533" s="89">
        <v>6569136.315583759</v>
      </c>
      <c r="F533" s="87" t="s">
        <v>552</v>
      </c>
      <c r="G533" s="25">
        <f t="shared" si="15"/>
        <v>5.6098067733221235E-3</v>
      </c>
      <c r="I533" s="88">
        <v>321.36</v>
      </c>
      <c r="J533" s="88">
        <v>322.70999999999998</v>
      </c>
      <c r="K533" s="88">
        <v>315.91000000000003</v>
      </c>
      <c r="L533" s="88">
        <v>319.45999999999998</v>
      </c>
      <c r="M533" s="89">
        <v>693225</v>
      </c>
      <c r="N533" s="87" t="s">
        <v>552</v>
      </c>
      <c r="O533" s="25">
        <f t="shared" si="16"/>
        <v>5.9475364677894493E-3</v>
      </c>
    </row>
    <row r="534" spans="1:15">
      <c r="A534" s="88">
        <v>526.77824774176395</v>
      </c>
      <c r="B534" s="88">
        <v>529.92798895293595</v>
      </c>
      <c r="C534" s="88">
        <v>525.22548920396321</v>
      </c>
      <c r="D534" s="88">
        <v>526.36548914310811</v>
      </c>
      <c r="E534" s="89">
        <v>5918617.4387527099</v>
      </c>
      <c r="F534" s="87" t="s">
        <v>553</v>
      </c>
      <c r="G534" s="25">
        <f t="shared" si="15"/>
        <v>7.8416728902142019E-4</v>
      </c>
      <c r="I534" s="88">
        <v>321</v>
      </c>
      <c r="J534" s="88">
        <v>324.66500000000002</v>
      </c>
      <c r="K534" s="88">
        <v>319.89</v>
      </c>
      <c r="L534" s="88">
        <v>324</v>
      </c>
      <c r="M534" s="89">
        <v>991446</v>
      </c>
      <c r="N534" s="87" t="s">
        <v>553</v>
      </c>
      <c r="O534" s="25">
        <f t="shared" si="16"/>
        <v>-9.2592592592593004E-3</v>
      </c>
    </row>
    <row r="535" spans="1:15">
      <c r="A535" s="88">
        <v>526.53255809970688</v>
      </c>
      <c r="B535" s="88">
        <v>535.29925590758808</v>
      </c>
      <c r="C535" s="88">
        <v>525.59893745989007</v>
      </c>
      <c r="D535" s="88">
        <v>531.58393714040062</v>
      </c>
      <c r="E535" s="89">
        <v>6450710.4847005866</v>
      </c>
      <c r="F535" s="87" t="s">
        <v>554</v>
      </c>
      <c r="G535" s="25">
        <f t="shared" si="15"/>
        <v>-9.5025050378066966E-3</v>
      </c>
      <c r="I535" s="88">
        <v>324.5</v>
      </c>
      <c r="J535" s="88">
        <v>329.33</v>
      </c>
      <c r="K535" s="88">
        <v>322.64</v>
      </c>
      <c r="L535" s="88">
        <v>325.41000000000003</v>
      </c>
      <c r="M535" s="89">
        <v>653398</v>
      </c>
      <c r="N535" s="87" t="s">
        <v>554</v>
      </c>
      <c r="O535" s="25">
        <f t="shared" si="16"/>
        <v>-2.7964721428352934E-3</v>
      </c>
    </row>
    <row r="536" spans="1:15">
      <c r="A536" s="88">
        <v>535.48548865626719</v>
      </c>
      <c r="B536" s="88">
        <v>536.64514376677664</v>
      </c>
      <c r="C536" s="88">
        <v>532.64531639408733</v>
      </c>
      <c r="D536" s="88">
        <v>535.81962656946496</v>
      </c>
      <c r="E536" s="89">
        <v>7283787.9326804252</v>
      </c>
      <c r="F536" s="87" t="s">
        <v>555</v>
      </c>
      <c r="G536" s="25">
        <f t="shared" si="15"/>
        <v>-6.2360148197082577E-4</v>
      </c>
      <c r="I536" s="88">
        <v>327.47000000000003</v>
      </c>
      <c r="J536" s="88">
        <v>329</v>
      </c>
      <c r="K536" s="88">
        <v>320.17</v>
      </c>
      <c r="L536" s="88">
        <v>324</v>
      </c>
      <c r="M536" s="89">
        <v>998439</v>
      </c>
      <c r="N536" s="87" t="s">
        <v>555</v>
      </c>
      <c r="O536" s="25">
        <f t="shared" si="16"/>
        <v>1.0709876543209873E-2</v>
      </c>
    </row>
    <row r="537" spans="1:15">
      <c r="A537" s="88">
        <v>537.39204027863036</v>
      </c>
      <c r="B537" s="88">
        <v>538.01117817661418</v>
      </c>
      <c r="C537" s="88">
        <v>531.25962681288536</v>
      </c>
      <c r="D537" s="88">
        <v>531.30876474129673</v>
      </c>
      <c r="E537" s="89">
        <v>7902305.0534172012</v>
      </c>
      <c r="F537" s="87" t="s">
        <v>556</v>
      </c>
      <c r="G537" s="25">
        <f t="shared" si="15"/>
        <v>1.144960509035764E-2</v>
      </c>
      <c r="I537" s="88">
        <v>325.83999999999997</v>
      </c>
      <c r="J537" s="88">
        <v>326.5</v>
      </c>
      <c r="K537" s="88">
        <v>321.17</v>
      </c>
      <c r="L537" s="88">
        <v>322.56</v>
      </c>
      <c r="M537" s="89">
        <v>634501</v>
      </c>
      <c r="N537" s="87" t="s">
        <v>556</v>
      </c>
      <c r="O537" s="25">
        <f t="shared" si="16"/>
        <v>1.0168650793650702E-2</v>
      </c>
    </row>
    <row r="538" spans="1:15">
      <c r="A538" s="88">
        <v>536.84169548042235</v>
      </c>
      <c r="B538" s="88">
        <v>537.04807477975032</v>
      </c>
      <c r="C538" s="88">
        <v>532.36031640930116</v>
      </c>
      <c r="D538" s="88">
        <v>534.09979907506533</v>
      </c>
      <c r="E538" s="89">
        <v>7382629.0958514679</v>
      </c>
      <c r="F538" s="87" t="s">
        <v>557</v>
      </c>
      <c r="G538" s="25">
        <f t="shared" si="15"/>
        <v>5.1336780319057862E-3</v>
      </c>
      <c r="I538" s="88">
        <v>324.75</v>
      </c>
      <c r="J538" s="88">
        <v>325.22000000000003</v>
      </c>
      <c r="K538" s="88">
        <v>315.38</v>
      </c>
      <c r="L538" s="88">
        <v>322.02</v>
      </c>
      <c r="M538" s="89">
        <v>836440</v>
      </c>
      <c r="N538" s="87" t="s">
        <v>557</v>
      </c>
      <c r="O538" s="25">
        <f t="shared" si="16"/>
        <v>8.4777343022173213E-3</v>
      </c>
    </row>
    <row r="539" spans="1:15">
      <c r="A539" s="88">
        <v>533.4020404916231</v>
      </c>
      <c r="B539" s="88">
        <v>533.88251115563003</v>
      </c>
      <c r="C539" s="88">
        <v>528.5668683359396</v>
      </c>
      <c r="D539" s="88">
        <v>528.97962693459556</v>
      </c>
      <c r="E539" s="89">
        <v>7491354.6806027899</v>
      </c>
      <c r="F539" s="87" t="s">
        <v>558</v>
      </c>
      <c r="G539" s="25">
        <f t="shared" si="15"/>
        <v>8.3602719875150999E-3</v>
      </c>
      <c r="I539" s="88">
        <v>322.02</v>
      </c>
      <c r="J539" s="88">
        <v>322.37</v>
      </c>
      <c r="K539" s="88">
        <v>318.95</v>
      </c>
      <c r="L539" s="88">
        <v>320.58999999999997</v>
      </c>
      <c r="M539" s="89">
        <v>661127</v>
      </c>
      <c r="N539" s="87" t="s">
        <v>558</v>
      </c>
      <c r="O539" s="25">
        <f t="shared" si="16"/>
        <v>4.4605259053620561E-3</v>
      </c>
    </row>
    <row r="540" spans="1:15">
      <c r="A540" s="88">
        <v>530.79773028581803</v>
      </c>
      <c r="B540" s="88">
        <v>532.08514401019704</v>
      </c>
      <c r="C540" s="88">
        <v>528.95997176323101</v>
      </c>
      <c r="D540" s="88">
        <v>531.05324751355738</v>
      </c>
      <c r="E540" s="89">
        <v>5119569.7118876809</v>
      </c>
      <c r="F540" s="87" t="s">
        <v>559</v>
      </c>
      <c r="G540" s="25">
        <f t="shared" si="15"/>
        <v>-4.8115180339391994E-4</v>
      </c>
      <c r="I540" s="88">
        <v>321.41000000000003</v>
      </c>
      <c r="J540" s="88">
        <v>321.85000000000002</v>
      </c>
      <c r="K540" s="88">
        <v>313.39</v>
      </c>
      <c r="L540" s="88">
        <v>313.39</v>
      </c>
      <c r="M540" s="89">
        <v>966677</v>
      </c>
      <c r="N540" s="87" t="s">
        <v>559</v>
      </c>
      <c r="O540" s="25">
        <f t="shared" si="16"/>
        <v>2.5591116500207622E-2</v>
      </c>
    </row>
    <row r="541" spans="1:15">
      <c r="A541" s="88">
        <v>530.13928204510501</v>
      </c>
      <c r="B541" s="88">
        <v>532.14410952429091</v>
      </c>
      <c r="C541" s="88">
        <v>526.54238568538915</v>
      </c>
      <c r="D541" s="88">
        <v>527.08290289791489</v>
      </c>
      <c r="E541" s="89">
        <v>7485871.1364504201</v>
      </c>
      <c r="F541" s="87" t="s">
        <v>560</v>
      </c>
      <c r="G541" s="25">
        <f t="shared" si="15"/>
        <v>5.7986687300728423E-3</v>
      </c>
      <c r="I541" s="88">
        <v>314.45999999999998</v>
      </c>
      <c r="J541" s="88">
        <v>323</v>
      </c>
      <c r="K541" s="88">
        <v>313.87</v>
      </c>
      <c r="L541" s="88">
        <v>316.67</v>
      </c>
      <c r="M541" s="89">
        <v>1469414</v>
      </c>
      <c r="N541" s="87" t="s">
        <v>560</v>
      </c>
      <c r="O541" s="25">
        <f t="shared" si="16"/>
        <v>-6.9788739065905769E-3</v>
      </c>
    </row>
    <row r="542" spans="1:15">
      <c r="A542" s="88">
        <v>526.6799718849411</v>
      </c>
      <c r="B542" s="88">
        <v>526.6799718849411</v>
      </c>
      <c r="C542" s="88">
        <v>521.24531700263833</v>
      </c>
      <c r="D542" s="88">
        <v>525.28445471805685</v>
      </c>
      <c r="E542" s="89">
        <v>7930305.8268417539</v>
      </c>
      <c r="F542" s="87" t="s">
        <v>561</v>
      </c>
      <c r="G542" s="25">
        <f t="shared" si="15"/>
        <v>2.6566884939194235E-3</v>
      </c>
      <c r="I542" s="88">
        <v>316.67</v>
      </c>
      <c r="J542" s="88">
        <v>318.86160000000001</v>
      </c>
      <c r="K542" s="88">
        <v>305.95</v>
      </c>
      <c r="L542" s="88">
        <v>313.45999999999998</v>
      </c>
      <c r="M542" s="89">
        <v>1404553</v>
      </c>
      <c r="N542" s="87" t="s">
        <v>561</v>
      </c>
      <c r="O542" s="25">
        <f t="shared" si="16"/>
        <v>1.0240541057870312E-2</v>
      </c>
    </row>
    <row r="543" spans="1:15">
      <c r="A543" s="88">
        <v>509.70773141163744</v>
      </c>
      <c r="B543" s="88">
        <v>512.63694160009879</v>
      </c>
      <c r="C543" s="88">
        <v>508.43997285862287</v>
      </c>
      <c r="D543" s="88">
        <v>511.71255889082335</v>
      </c>
      <c r="E543" s="89">
        <v>4822655.485511587</v>
      </c>
      <c r="F543" s="87" t="s">
        <v>562</v>
      </c>
      <c r="G543" s="25">
        <f t="shared" si="15"/>
        <v>-3.9178782000808265E-3</v>
      </c>
      <c r="I543" s="88">
        <v>310.67</v>
      </c>
      <c r="J543" s="88">
        <v>312.16000000000003</v>
      </c>
      <c r="K543" s="88">
        <v>293.02999999999997</v>
      </c>
      <c r="L543" s="88">
        <v>293.02999999999997</v>
      </c>
      <c r="M543" s="89">
        <v>3216236</v>
      </c>
      <c r="N543" s="87" t="s">
        <v>562</v>
      </c>
      <c r="O543" s="25">
        <f t="shared" si="16"/>
        <v>6.0198614476333567E-2</v>
      </c>
    </row>
    <row r="544" spans="1:15">
      <c r="A544" s="88">
        <v>510.38583482371502</v>
      </c>
      <c r="B544" s="88">
        <v>515.19152422235175</v>
      </c>
      <c r="C544" s="88">
        <v>507.44247291187111</v>
      </c>
      <c r="D544" s="88">
        <v>510.58238653736066</v>
      </c>
      <c r="E544" s="89">
        <v>5177466.943048507</v>
      </c>
      <c r="F544" s="87" t="s">
        <v>563</v>
      </c>
      <c r="G544" s="25">
        <f t="shared" si="15"/>
        <v>-3.8495592254683686E-4</v>
      </c>
      <c r="I544" s="88">
        <v>257</v>
      </c>
      <c r="J544" s="88">
        <v>267.315</v>
      </c>
      <c r="K544" s="88">
        <v>256.93</v>
      </c>
      <c r="L544" s="88">
        <v>266.35000000000002</v>
      </c>
      <c r="M544" s="89">
        <v>1284528</v>
      </c>
      <c r="N544" s="87" t="s">
        <v>563</v>
      </c>
      <c r="O544" s="25">
        <f t="shared" si="16"/>
        <v>-3.5104186221137645E-2</v>
      </c>
    </row>
    <row r="545" spans="1:15">
      <c r="A545" s="88">
        <v>507.00514534900947</v>
      </c>
      <c r="B545" s="88">
        <v>509.24583488457006</v>
      </c>
      <c r="C545" s="88">
        <v>502.28790422151337</v>
      </c>
      <c r="D545" s="88">
        <v>506.04204195214561</v>
      </c>
      <c r="E545" s="89">
        <v>5563262.6127657322</v>
      </c>
      <c r="F545" s="87" t="s">
        <v>564</v>
      </c>
      <c r="G545" s="25">
        <f t="shared" si="15"/>
        <v>1.9032082653618332E-3</v>
      </c>
      <c r="I545" s="88">
        <v>264.31</v>
      </c>
      <c r="J545" s="88">
        <v>264.67</v>
      </c>
      <c r="K545" s="88">
        <v>259.52</v>
      </c>
      <c r="L545" s="88">
        <v>259.70999999999998</v>
      </c>
      <c r="M545" s="89">
        <v>454907</v>
      </c>
      <c r="N545" s="87" t="s">
        <v>564</v>
      </c>
      <c r="O545" s="25">
        <f t="shared" si="16"/>
        <v>1.7712063455392668E-2</v>
      </c>
    </row>
    <row r="546" spans="1:15">
      <c r="A546" s="88">
        <v>504.72514547071972</v>
      </c>
      <c r="B546" s="88">
        <v>508.89695559284911</v>
      </c>
      <c r="C546" s="88">
        <v>503.11342141882517</v>
      </c>
      <c r="D546" s="88">
        <v>504.04704205864209</v>
      </c>
      <c r="E546" s="89">
        <v>4776625.8690193612</v>
      </c>
      <c r="F546" s="87" t="s">
        <v>565</v>
      </c>
      <c r="G546" s="25">
        <f t="shared" si="15"/>
        <v>1.3453177094504554E-3</v>
      </c>
      <c r="I546" s="88">
        <v>258.87</v>
      </c>
      <c r="J546" s="88">
        <v>260.58</v>
      </c>
      <c r="K546" s="88">
        <v>256</v>
      </c>
      <c r="L546" s="88">
        <v>256.45999999999998</v>
      </c>
      <c r="M546" s="89">
        <v>875585</v>
      </c>
      <c r="N546" s="87" t="s">
        <v>565</v>
      </c>
      <c r="O546" s="25">
        <f t="shared" si="16"/>
        <v>9.39717694767217E-3</v>
      </c>
    </row>
    <row r="547" spans="1:15">
      <c r="A547" s="88">
        <v>509.05911075660674</v>
      </c>
      <c r="B547" s="88">
        <v>511.86980026173984</v>
      </c>
      <c r="C547" s="88">
        <v>507.36876601925394</v>
      </c>
      <c r="D547" s="88">
        <v>508.16480045951897</v>
      </c>
      <c r="E547" s="89">
        <v>4877593.6989705963</v>
      </c>
      <c r="F547" s="87" t="s">
        <v>566</v>
      </c>
      <c r="G547" s="25">
        <f t="shared" si="15"/>
        <v>1.7598824166471516E-3</v>
      </c>
      <c r="I547" s="88">
        <v>258.79000000000002</v>
      </c>
      <c r="J547" s="88">
        <v>260.95999999999998</v>
      </c>
      <c r="K547" s="88">
        <v>252.88</v>
      </c>
      <c r="L547" s="88">
        <v>256.83</v>
      </c>
      <c r="M547" s="89">
        <v>736896</v>
      </c>
      <c r="N547" s="87" t="s">
        <v>566</v>
      </c>
      <c r="O547" s="25">
        <f t="shared" si="16"/>
        <v>7.6315072226766922E-3</v>
      </c>
    </row>
    <row r="548" spans="1:15">
      <c r="A548" s="88">
        <v>511.73221406218789</v>
      </c>
      <c r="B548" s="88">
        <v>513.40290362817609</v>
      </c>
      <c r="C548" s="88">
        <v>507.97807633155554</v>
      </c>
      <c r="D548" s="88">
        <v>510.16962793870476</v>
      </c>
      <c r="E548" s="89">
        <v>6395660.3414110402</v>
      </c>
      <c r="F548" s="87" t="s">
        <v>567</v>
      </c>
      <c r="G548" s="25">
        <f t="shared" si="15"/>
        <v>3.0628756356911868E-3</v>
      </c>
      <c r="I548" s="88">
        <v>257.01</v>
      </c>
      <c r="J548" s="88">
        <v>259.255</v>
      </c>
      <c r="K548" s="88">
        <v>254.72</v>
      </c>
      <c r="L548" s="88">
        <v>255.16</v>
      </c>
      <c r="M548" s="89">
        <v>838691</v>
      </c>
      <c r="N548" s="87" t="s">
        <v>567</v>
      </c>
      <c r="O548" s="25">
        <f t="shared" si="16"/>
        <v>7.2503527198619633E-3</v>
      </c>
    </row>
    <row r="549" spans="1:15">
      <c r="A549" s="88">
        <v>504.4991110000272</v>
      </c>
      <c r="B549" s="88">
        <v>509.50135211230952</v>
      </c>
      <c r="C549" s="88">
        <v>503.92911103045469</v>
      </c>
      <c r="D549" s="88">
        <v>506.24842125147364</v>
      </c>
      <c r="E549" s="89">
        <v>5885965.4720974127</v>
      </c>
      <c r="F549" s="87" t="s">
        <v>568</v>
      </c>
      <c r="G549" s="25">
        <f t="shared" si="15"/>
        <v>-3.4554384330168775E-3</v>
      </c>
      <c r="I549" s="88">
        <v>250.25</v>
      </c>
      <c r="J549" s="88">
        <v>254.315</v>
      </c>
      <c r="K549" s="88">
        <v>248.4</v>
      </c>
      <c r="L549" s="88">
        <v>252.94</v>
      </c>
      <c r="M549" s="89">
        <v>596730</v>
      </c>
      <c r="N549" s="87" t="s">
        <v>568</v>
      </c>
      <c r="O549" s="25">
        <f t="shared" si="16"/>
        <v>-1.0634933185735718E-2</v>
      </c>
    </row>
    <row r="550" spans="1:15">
      <c r="A550" s="88">
        <v>500.95135256872277</v>
      </c>
      <c r="B550" s="88">
        <v>502.68100764880467</v>
      </c>
      <c r="C550" s="88">
        <v>489.17790492134708</v>
      </c>
      <c r="D550" s="88">
        <v>494.58307704660302</v>
      </c>
      <c r="E550" s="89">
        <v>8011821.2697896753</v>
      </c>
      <c r="F550" s="87" t="s">
        <v>569</v>
      </c>
      <c r="G550" s="25">
        <f t="shared" si="15"/>
        <v>1.2876048165957998E-2</v>
      </c>
      <c r="I550" s="88">
        <v>252.29</v>
      </c>
      <c r="J550" s="88">
        <v>252.94</v>
      </c>
      <c r="K550" s="88">
        <v>245.655</v>
      </c>
      <c r="L550" s="88">
        <v>249.55</v>
      </c>
      <c r="M550" s="89">
        <v>721003</v>
      </c>
      <c r="N550" s="87" t="s">
        <v>569</v>
      </c>
      <c r="O550" s="25">
        <f t="shared" si="16"/>
        <v>1.0979763574433976E-2</v>
      </c>
    </row>
    <row r="551" spans="1:15">
      <c r="A551" s="88">
        <v>500.7056629266657</v>
      </c>
      <c r="B551" s="88">
        <v>501.74709218141726</v>
      </c>
      <c r="C551" s="88">
        <v>495.56583561483137</v>
      </c>
      <c r="D551" s="88">
        <v>495.84100801393532</v>
      </c>
      <c r="E551" s="89">
        <v>6639939.0562054329</v>
      </c>
      <c r="F551" s="87" t="s">
        <v>570</v>
      </c>
      <c r="G551" s="25">
        <f t="shared" si="15"/>
        <v>9.810916874777087E-3</v>
      </c>
      <c r="I551" s="88">
        <v>251.27</v>
      </c>
      <c r="J551" s="88">
        <v>258.98</v>
      </c>
      <c r="K551" s="88">
        <v>247.4</v>
      </c>
      <c r="L551" s="88">
        <v>255.65</v>
      </c>
      <c r="M551" s="89">
        <v>1152369</v>
      </c>
      <c r="N551" s="87" t="s">
        <v>570</v>
      </c>
      <c r="O551" s="25">
        <f t="shared" si="16"/>
        <v>-1.7132798748288658E-2</v>
      </c>
    </row>
    <row r="552" spans="1:15">
      <c r="A552" s="88">
        <v>497.68859412220468</v>
      </c>
      <c r="B552" s="88">
        <v>499.96859400049442</v>
      </c>
      <c r="C552" s="88">
        <v>492.32273233967777</v>
      </c>
      <c r="D552" s="88">
        <v>498.0718699638137</v>
      </c>
      <c r="E552" s="89">
        <v>4283876.1585050318</v>
      </c>
      <c r="F552" s="87" t="s">
        <v>571</v>
      </c>
      <c r="G552" s="25">
        <f t="shared" si="15"/>
        <v>-7.6951914918799158E-4</v>
      </c>
      <c r="I552" s="88">
        <v>259.52</v>
      </c>
      <c r="J552" s="88">
        <v>264.25</v>
      </c>
      <c r="K552" s="88">
        <v>255</v>
      </c>
      <c r="L552" s="88">
        <v>262</v>
      </c>
      <c r="M552" s="89">
        <v>766024</v>
      </c>
      <c r="N552" s="87" t="s">
        <v>571</v>
      </c>
      <c r="O552" s="25">
        <f t="shared" si="16"/>
        <v>-9.4656488549619278E-3</v>
      </c>
    </row>
    <row r="553" spans="1:15">
      <c r="A553" s="88">
        <v>497.38393896605385</v>
      </c>
      <c r="B553" s="88">
        <v>497.78686997902747</v>
      </c>
      <c r="C553" s="88">
        <v>491.1335944721215</v>
      </c>
      <c r="D553" s="88">
        <v>493.77721502065577</v>
      </c>
      <c r="E553" s="89">
        <v>7055062.3766110232</v>
      </c>
      <c r="F553" s="87" t="s">
        <v>572</v>
      </c>
      <c r="G553" s="25">
        <f t="shared" si="15"/>
        <v>7.3043547488256255E-3</v>
      </c>
      <c r="I553" s="88">
        <v>260.70999999999998</v>
      </c>
      <c r="J553" s="88">
        <v>262.83499999999998</v>
      </c>
      <c r="K553" s="88">
        <v>258.75</v>
      </c>
      <c r="L553" s="88">
        <v>258.75</v>
      </c>
      <c r="M553" s="89">
        <v>465391</v>
      </c>
      <c r="N553" s="87" t="s">
        <v>572</v>
      </c>
      <c r="O553" s="25">
        <f t="shared" si="16"/>
        <v>7.5748792270531329E-3</v>
      </c>
    </row>
    <row r="554" spans="1:15">
      <c r="A554" s="88">
        <v>493.74773226360895</v>
      </c>
      <c r="B554" s="88">
        <v>494.32755981886368</v>
      </c>
      <c r="C554" s="88">
        <v>483.73646900492344</v>
      </c>
      <c r="D554" s="88">
        <v>484.75549136431943</v>
      </c>
      <c r="E554" s="89">
        <v>6292830.4060972454</v>
      </c>
      <c r="F554" s="87" t="s">
        <v>573</v>
      </c>
      <c r="G554" s="25">
        <f t="shared" si="15"/>
        <v>1.8550054737866528E-2</v>
      </c>
      <c r="I554" s="88">
        <v>259.38</v>
      </c>
      <c r="J554" s="88">
        <v>261.62</v>
      </c>
      <c r="K554" s="88">
        <v>249.81</v>
      </c>
      <c r="L554" s="88">
        <v>249.82</v>
      </c>
      <c r="M554" s="89">
        <v>520777</v>
      </c>
      <c r="N554" s="87" t="s">
        <v>573</v>
      </c>
      <c r="O554" s="25">
        <f t="shared" si="16"/>
        <v>3.8267552637899271E-2</v>
      </c>
    </row>
    <row r="555" spans="1:15">
      <c r="A555" s="88">
        <v>483.5860086681277</v>
      </c>
      <c r="B555" s="88">
        <v>492.53893922468808</v>
      </c>
      <c r="C555" s="88">
        <v>482.23962942965483</v>
      </c>
      <c r="D555" s="88">
        <v>488.1263532533427</v>
      </c>
      <c r="E555" s="89">
        <v>8188787.419587302</v>
      </c>
      <c r="F555" s="87" t="s">
        <v>574</v>
      </c>
      <c r="G555" s="25">
        <f t="shared" si="15"/>
        <v>-9.3015764360063757E-3</v>
      </c>
      <c r="I555" s="88">
        <v>246.49</v>
      </c>
      <c r="J555" s="88">
        <v>255.75</v>
      </c>
      <c r="K555" s="88">
        <v>245.07</v>
      </c>
      <c r="L555" s="88">
        <v>250.59</v>
      </c>
      <c r="M555" s="89">
        <v>483849</v>
      </c>
      <c r="N555" s="87" t="s">
        <v>574</v>
      </c>
      <c r="O555" s="25">
        <f t="shared" si="16"/>
        <v>-1.6361387126381688E-2</v>
      </c>
    </row>
    <row r="556" spans="1:15">
      <c r="A556" s="88">
        <v>475.94014700731111</v>
      </c>
      <c r="B556" s="88">
        <v>478.09238827173124</v>
      </c>
      <c r="C556" s="88">
        <v>468.96256117288976</v>
      </c>
      <c r="D556" s="88">
        <v>469.82738871293071</v>
      </c>
      <c r="E556" s="89">
        <v>6345728.4440087499</v>
      </c>
      <c r="F556" s="87" t="s">
        <v>575</v>
      </c>
      <c r="G556" s="25">
        <f t="shared" si="15"/>
        <v>1.301064697638421E-2</v>
      </c>
      <c r="I556" s="88">
        <v>244.02</v>
      </c>
      <c r="J556" s="88">
        <v>246.54499999999999</v>
      </c>
      <c r="K556" s="88">
        <v>239.36500000000001</v>
      </c>
      <c r="L556" s="88">
        <v>241.83</v>
      </c>
      <c r="M556" s="89">
        <v>550609</v>
      </c>
      <c r="N556" s="87" t="s">
        <v>575</v>
      </c>
      <c r="O556" s="25">
        <f t="shared" si="16"/>
        <v>9.0559483934995466E-3</v>
      </c>
    </row>
    <row r="557" spans="1:15">
      <c r="A557" s="88">
        <v>464.22566487402906</v>
      </c>
      <c r="B557" s="88">
        <v>471.22290587981496</v>
      </c>
      <c r="C557" s="88">
        <v>459.27256169015811</v>
      </c>
      <c r="D557" s="88">
        <v>470.76100935274764</v>
      </c>
      <c r="E557" s="89">
        <v>7898685.6497152196</v>
      </c>
      <c r="F557" s="87" t="s">
        <v>576</v>
      </c>
      <c r="G557" s="25">
        <f t="shared" si="15"/>
        <v>-1.388251012483821E-2</v>
      </c>
      <c r="I557" s="88">
        <v>238.57</v>
      </c>
      <c r="J557" s="88">
        <v>244.54</v>
      </c>
      <c r="K557" s="88">
        <v>237.495</v>
      </c>
      <c r="L557" s="88">
        <v>243.67</v>
      </c>
      <c r="M557" s="89">
        <v>518015</v>
      </c>
      <c r="N557" s="87" t="s">
        <v>576</v>
      </c>
      <c r="O557" s="25">
        <f t="shared" si="16"/>
        <v>-2.092994623876554E-2</v>
      </c>
    </row>
    <row r="558" spans="1:15">
      <c r="A558" s="88">
        <v>475.55687116570203</v>
      </c>
      <c r="B558" s="88">
        <v>479.74342266635483</v>
      </c>
      <c r="C558" s="88">
        <v>473.19825060195399</v>
      </c>
      <c r="D558" s="88">
        <v>476.43152629142531</v>
      </c>
      <c r="E558" s="89">
        <v>5737868.0606829533</v>
      </c>
      <c r="F558" s="87" t="s">
        <v>577</v>
      </c>
      <c r="G558" s="25">
        <f t="shared" si="15"/>
        <v>-1.8358464489779402E-3</v>
      </c>
      <c r="I558" s="88">
        <v>246.8</v>
      </c>
      <c r="J558" s="88">
        <v>248.95859999999999</v>
      </c>
      <c r="K558" s="88">
        <v>234.22</v>
      </c>
      <c r="L558" s="88">
        <v>245</v>
      </c>
      <c r="M558" s="89">
        <v>623593</v>
      </c>
      <c r="N558" s="87" t="s">
        <v>577</v>
      </c>
      <c r="O558" s="25">
        <f t="shared" si="16"/>
        <v>7.3469387755102922E-3</v>
      </c>
    </row>
    <row r="559" spans="1:15">
      <c r="A559" s="88">
        <v>474.89842292498906</v>
      </c>
      <c r="B559" s="88">
        <v>483.28626730481807</v>
      </c>
      <c r="C559" s="88">
        <v>469.98463008384726</v>
      </c>
      <c r="D559" s="88">
        <v>480.2249743647867</v>
      </c>
      <c r="E559" s="89">
        <v>6486709.1532889223</v>
      </c>
      <c r="F559" s="87" t="s">
        <v>578</v>
      </c>
      <c r="G559" s="25">
        <f t="shared" si="15"/>
        <v>-1.1091783485111972E-2</v>
      </c>
      <c r="I559" s="88">
        <v>250.73</v>
      </c>
      <c r="J559" s="88">
        <v>258</v>
      </c>
      <c r="K559" s="88">
        <v>247.14</v>
      </c>
      <c r="L559" s="88">
        <v>255.89</v>
      </c>
      <c r="M559" s="89">
        <v>731296</v>
      </c>
      <c r="N559" s="87" t="s">
        <v>578</v>
      </c>
      <c r="O559" s="25">
        <f t="shared" si="16"/>
        <v>-2.0164914611747187E-2</v>
      </c>
    </row>
    <row r="560" spans="1:15">
      <c r="A560" s="88">
        <v>485.57118097594895</v>
      </c>
      <c r="B560" s="88">
        <v>490.66187035937185</v>
      </c>
      <c r="C560" s="88">
        <v>484.91273273523603</v>
      </c>
      <c r="D560" s="88">
        <v>487.477732598312</v>
      </c>
      <c r="E560" s="89">
        <v>8344453.3226338495</v>
      </c>
      <c r="F560" s="87" t="s">
        <v>579</v>
      </c>
      <c r="G560" s="25">
        <f t="shared" si="15"/>
        <v>-3.911053766909367E-3</v>
      </c>
      <c r="I560" s="88">
        <v>256.42500000000001</v>
      </c>
      <c r="J560" s="88">
        <v>257.37</v>
      </c>
      <c r="K560" s="88">
        <v>252.89</v>
      </c>
      <c r="L560" s="88">
        <v>254.83</v>
      </c>
      <c r="M560" s="89">
        <v>542491</v>
      </c>
      <c r="N560" s="87" t="s">
        <v>579</v>
      </c>
      <c r="O560" s="25">
        <f t="shared" si="16"/>
        <v>6.2590746772357431E-3</v>
      </c>
    </row>
    <row r="561" spans="1:15">
      <c r="A561" s="88">
        <v>486.93721538578643</v>
      </c>
      <c r="B561" s="88">
        <v>491.63480134191792</v>
      </c>
      <c r="C561" s="88">
        <v>482.22980184397255</v>
      </c>
      <c r="D561" s="88">
        <v>491.42842204259</v>
      </c>
      <c r="E561" s="89">
        <v>7836602.2428923314</v>
      </c>
      <c r="F561" s="87" t="s">
        <v>580</v>
      </c>
      <c r="G561" s="25">
        <f t="shared" si="15"/>
        <v>-9.1390860913908023E-3</v>
      </c>
      <c r="I561" s="88">
        <v>255.47</v>
      </c>
      <c r="J561" s="88">
        <v>257.83999999999997</v>
      </c>
      <c r="K561" s="88">
        <v>251.8</v>
      </c>
      <c r="L561" s="88">
        <v>257.83999999999997</v>
      </c>
      <c r="M561" s="89">
        <v>538714</v>
      </c>
      <c r="N561" s="87" t="s">
        <v>580</v>
      </c>
      <c r="O561" s="25">
        <f t="shared" si="16"/>
        <v>-9.1917468197331154E-3</v>
      </c>
    </row>
    <row r="562" spans="1:15">
      <c r="A562" s="88">
        <v>482.09221564442061</v>
      </c>
      <c r="B562" s="88">
        <v>484.49997413658008</v>
      </c>
      <c r="C562" s="88">
        <v>469.75859561315474</v>
      </c>
      <c r="D562" s="88">
        <v>472.40221616168901</v>
      </c>
      <c r="E562" s="89">
        <v>11743672.732160039</v>
      </c>
      <c r="F562" s="87" t="s">
        <v>581</v>
      </c>
      <c r="G562" s="25">
        <f t="shared" si="15"/>
        <v>2.051218040733116E-2</v>
      </c>
      <c r="I562" s="88">
        <v>253.99</v>
      </c>
      <c r="J562" s="88">
        <v>255.27</v>
      </c>
      <c r="K562" s="88">
        <v>246.24</v>
      </c>
      <c r="L562" s="88">
        <v>253.2</v>
      </c>
      <c r="M562" s="89">
        <v>596750</v>
      </c>
      <c r="N562" s="87" t="s">
        <v>581</v>
      </c>
      <c r="O562" s="25">
        <f t="shared" si="16"/>
        <v>3.1200631911532106E-3</v>
      </c>
    </row>
    <row r="563" spans="1:15">
      <c r="A563" s="88">
        <v>473.74859540016183</v>
      </c>
      <c r="B563" s="88">
        <v>481.84652600236353</v>
      </c>
      <c r="C563" s="88">
        <v>460.25532025838652</v>
      </c>
      <c r="D563" s="88">
        <v>480.71635364890091</v>
      </c>
      <c r="E563" s="89">
        <v>16943432.027275741</v>
      </c>
      <c r="F563" s="87" t="s">
        <v>582</v>
      </c>
      <c r="G563" s="25">
        <f t="shared" si="15"/>
        <v>-1.4494531329858007E-2</v>
      </c>
      <c r="I563" s="88">
        <v>251.47</v>
      </c>
      <c r="J563" s="88">
        <v>263.95</v>
      </c>
      <c r="K563" s="88">
        <v>245.755</v>
      </c>
      <c r="L563" s="88">
        <v>263.95</v>
      </c>
      <c r="M563" s="89">
        <v>921325</v>
      </c>
      <c r="N563" s="87" t="s">
        <v>582</v>
      </c>
      <c r="O563" s="25">
        <f t="shared" si="16"/>
        <v>-4.728168213676831E-2</v>
      </c>
    </row>
    <row r="564" spans="1:15">
      <c r="A564" s="88">
        <v>490.49480140277308</v>
      </c>
      <c r="B564" s="88">
        <v>493.40494607501086</v>
      </c>
      <c r="C564" s="88">
        <v>445.34687277836235</v>
      </c>
      <c r="D564" s="88">
        <v>445.67118310587767</v>
      </c>
      <c r="E564" s="89">
        <v>29800395.48553177</v>
      </c>
      <c r="F564" s="87" t="s">
        <v>583</v>
      </c>
      <c r="G564" s="25">
        <f t="shared" si="15"/>
        <v>0.10057553639551053</v>
      </c>
      <c r="I564" s="88">
        <v>264.72000000000003</v>
      </c>
      <c r="J564" s="88">
        <v>266.07</v>
      </c>
      <c r="K564" s="88">
        <v>241.54</v>
      </c>
      <c r="L564" s="88">
        <v>243.88</v>
      </c>
      <c r="M564" s="89">
        <v>1527705</v>
      </c>
      <c r="N564" s="87" t="s">
        <v>583</v>
      </c>
      <c r="O564" s="25">
        <f t="shared" si="16"/>
        <v>8.545186157126472E-2</v>
      </c>
    </row>
    <row r="565" spans="1:15">
      <c r="A565" s="88">
        <v>448.86514845261985</v>
      </c>
      <c r="B565" s="88">
        <v>474.17118158450006</v>
      </c>
      <c r="C565" s="88">
        <v>441.84825227546941</v>
      </c>
      <c r="D565" s="88">
        <v>471.40963000777839</v>
      </c>
      <c r="E565" s="89">
        <v>19336065.453244127</v>
      </c>
      <c r="F565" s="87" t="s">
        <v>584</v>
      </c>
      <c r="G565" s="25">
        <f t="shared" si="15"/>
        <v>-4.7823549032688484E-2</v>
      </c>
      <c r="I565" s="88">
        <v>247.04</v>
      </c>
      <c r="J565" s="88">
        <v>265.71499999999997</v>
      </c>
      <c r="K565" s="88">
        <v>244.87</v>
      </c>
      <c r="L565" s="88">
        <v>263.82</v>
      </c>
      <c r="M565" s="89">
        <v>1050862</v>
      </c>
      <c r="N565" s="87" t="s">
        <v>584</v>
      </c>
      <c r="O565" s="25">
        <f t="shared" si="16"/>
        <v>-6.3603972405427922E-2</v>
      </c>
    </row>
    <row r="566" spans="1:15">
      <c r="A566" s="88">
        <v>455.56756188793725</v>
      </c>
      <c r="B566" s="88">
        <v>472.47100926146499</v>
      </c>
      <c r="C566" s="88">
        <v>435.16549401151656</v>
      </c>
      <c r="D566" s="88">
        <v>441.78928676137571</v>
      </c>
      <c r="E566" s="89">
        <v>31834133.03269257</v>
      </c>
      <c r="F566" s="87" t="s">
        <v>585</v>
      </c>
      <c r="G566" s="25">
        <f t="shared" si="15"/>
        <v>3.1187436045735595E-2</v>
      </c>
      <c r="I566" s="88">
        <v>256.23</v>
      </c>
      <c r="J566" s="88">
        <v>261.25</v>
      </c>
      <c r="K566" s="88">
        <v>236.7</v>
      </c>
      <c r="L566" s="88">
        <v>240</v>
      </c>
      <c r="M566" s="89">
        <v>1313062</v>
      </c>
      <c r="N566" s="87" t="s">
        <v>585</v>
      </c>
      <c r="O566" s="25">
        <f t="shared" si="16"/>
        <v>6.7625000000000046E-2</v>
      </c>
    </row>
    <row r="567" spans="1:15">
      <c r="A567" s="88">
        <v>457.49376868166479</v>
      </c>
      <c r="B567" s="88">
        <v>474.96721602476504</v>
      </c>
      <c r="C567" s="88">
        <v>456.23583771433255</v>
      </c>
      <c r="D567" s="88">
        <v>472.98204371694374</v>
      </c>
      <c r="E567" s="89">
        <v>31509781.752220262</v>
      </c>
      <c r="F567" s="87" t="s">
        <v>586</v>
      </c>
      <c r="G567" s="25">
        <f t="shared" si="15"/>
        <v>-3.2746010638297962E-2</v>
      </c>
      <c r="I567" s="88">
        <v>245.26</v>
      </c>
      <c r="J567" s="88">
        <v>250.62</v>
      </c>
      <c r="K567" s="88">
        <v>236.77</v>
      </c>
      <c r="L567" s="88">
        <v>250.62</v>
      </c>
      <c r="M567" s="89">
        <v>1337198</v>
      </c>
      <c r="N567" s="87" t="s">
        <v>586</v>
      </c>
      <c r="O567" s="25">
        <f t="shared" si="16"/>
        <v>-2.1386960338360961E-2</v>
      </c>
    </row>
    <row r="568" spans="1:15">
      <c r="A568" s="88">
        <v>485.63997407572498</v>
      </c>
      <c r="B568" s="88">
        <v>494.97618047389437</v>
      </c>
      <c r="C568" s="88">
        <v>484.99135342069428</v>
      </c>
      <c r="D568" s="88">
        <v>492.36204268240692</v>
      </c>
      <c r="E568" s="89">
        <v>16510690.951543722</v>
      </c>
      <c r="F568" s="87" t="s">
        <v>587</v>
      </c>
      <c r="G568" s="25">
        <f t="shared" si="15"/>
        <v>-1.3652694610778449E-2</v>
      </c>
      <c r="I568" s="88">
        <v>256.8</v>
      </c>
      <c r="J568" s="88">
        <v>258.3</v>
      </c>
      <c r="K568" s="88">
        <v>248.73</v>
      </c>
      <c r="L568" s="88">
        <v>255.39</v>
      </c>
      <c r="M568" s="89">
        <v>1099492</v>
      </c>
      <c r="N568" s="87" t="s">
        <v>587</v>
      </c>
      <c r="O568" s="25">
        <f t="shared" si="16"/>
        <v>5.5209679313992233E-3</v>
      </c>
    </row>
    <row r="569" spans="1:15">
      <c r="A569" s="88">
        <v>509.96324863937679</v>
      </c>
      <c r="B569" s="88">
        <v>512.49876574540599</v>
      </c>
      <c r="C569" s="88">
        <v>501.13788014497254</v>
      </c>
      <c r="D569" s="88">
        <v>501.34445599601412</v>
      </c>
      <c r="E569" s="89">
        <v>6419321.2900425224</v>
      </c>
      <c r="F569" s="87" t="s">
        <v>588</v>
      </c>
      <c r="G569" s="25">
        <f t="shared" si="15"/>
        <v>1.7191359234719927E-2</v>
      </c>
      <c r="I569" s="88">
        <v>269.13</v>
      </c>
      <c r="J569" s="88">
        <v>270.33</v>
      </c>
      <c r="K569" s="88">
        <v>258.10000000000002</v>
      </c>
      <c r="L569" s="88">
        <v>260.64</v>
      </c>
      <c r="M569" s="89">
        <v>899824</v>
      </c>
      <c r="N569" s="87" t="s">
        <v>588</v>
      </c>
      <c r="O569" s="25">
        <f t="shared" si="16"/>
        <v>3.2573664825046089E-2</v>
      </c>
    </row>
    <row r="570" spans="1:15">
      <c r="A570" s="88">
        <v>506.90686949218656</v>
      </c>
      <c r="B570" s="88">
        <v>508.43014527294059</v>
      </c>
      <c r="C570" s="88">
        <v>500.10618020004637</v>
      </c>
      <c r="D570" s="88">
        <v>503.52618001748107</v>
      </c>
      <c r="E570" s="89">
        <v>7832052.8040529834</v>
      </c>
      <c r="F570" s="87" t="s">
        <v>589</v>
      </c>
      <c r="G570" s="25">
        <f t="shared" si="15"/>
        <v>6.7140291982199507E-3</v>
      </c>
      <c r="I570" s="88">
        <v>263.18</v>
      </c>
      <c r="J570" s="88">
        <v>264.62</v>
      </c>
      <c r="K570" s="88">
        <v>257.62</v>
      </c>
      <c r="L570" s="88">
        <v>260.92</v>
      </c>
      <c r="M570" s="89">
        <v>564503</v>
      </c>
      <c r="N570" s="87" t="s">
        <v>589</v>
      </c>
      <c r="O570" s="25">
        <f t="shared" si="16"/>
        <v>8.6616587459757977E-3</v>
      </c>
    </row>
    <row r="571" spans="1:15">
      <c r="A571" s="88">
        <v>505.04945579823499</v>
      </c>
      <c r="B571" s="88">
        <v>506.44497296511935</v>
      </c>
      <c r="C571" s="88">
        <v>493.97376673430142</v>
      </c>
      <c r="D571" s="88">
        <v>496.59773211147115</v>
      </c>
      <c r="E571" s="89">
        <v>8340469.6382106682</v>
      </c>
      <c r="F571" s="87" t="s">
        <v>590</v>
      </c>
      <c r="G571" s="25">
        <f t="shared" si="15"/>
        <v>1.7019255506520725E-2</v>
      </c>
      <c r="I571" s="88">
        <v>262.61</v>
      </c>
      <c r="J571" s="88">
        <v>263.63</v>
      </c>
      <c r="K571" s="88">
        <v>255.745</v>
      </c>
      <c r="L571" s="88">
        <v>256.68</v>
      </c>
      <c r="M571" s="89">
        <v>744779</v>
      </c>
      <c r="N571" s="87" t="s">
        <v>590</v>
      </c>
      <c r="O571" s="25">
        <f t="shared" si="16"/>
        <v>2.3102695963846065E-2</v>
      </c>
    </row>
    <row r="572" spans="1:15">
      <c r="A572" s="88">
        <v>501.99307665104487</v>
      </c>
      <c r="B572" s="88">
        <v>511.48652442013082</v>
      </c>
      <c r="C572" s="88">
        <v>501.36411116737872</v>
      </c>
      <c r="D572" s="88">
        <v>510.79859342237091</v>
      </c>
      <c r="E572" s="89">
        <v>5934105.4746672064</v>
      </c>
      <c r="F572" s="87" t="s">
        <v>591</v>
      </c>
      <c r="G572" s="25">
        <f t="shared" ref="G572:G635" si="17">A572/D572-1</f>
        <v>-1.7238725565645652E-2</v>
      </c>
      <c r="I572" s="88">
        <v>258.75</v>
      </c>
      <c r="J572" s="88">
        <v>261.60000000000002</v>
      </c>
      <c r="K572" s="88">
        <v>255.76</v>
      </c>
      <c r="L572" s="88">
        <v>259.87</v>
      </c>
      <c r="M572" s="89">
        <v>536843</v>
      </c>
      <c r="N572" s="87" t="s">
        <v>591</v>
      </c>
      <c r="O572" s="25">
        <f t="shared" ref="O572:O635" si="18">I572/L572-1</f>
        <v>-4.3098472313080061E-3</v>
      </c>
    </row>
    <row r="573" spans="1:15">
      <c r="A573" s="88">
        <v>512.2235933463021</v>
      </c>
      <c r="B573" s="88">
        <v>515.63180006091795</v>
      </c>
      <c r="C573" s="88">
        <v>510.27773138120989</v>
      </c>
      <c r="D573" s="88">
        <v>512.30221403176029</v>
      </c>
      <c r="E573" s="89">
        <v>5632032.3006472988</v>
      </c>
      <c r="F573" s="87" t="s">
        <v>592</v>
      </c>
      <c r="G573" s="25">
        <f t="shared" si="17"/>
        <v>-1.5346544150074415E-4</v>
      </c>
      <c r="I573" s="88">
        <v>260.27</v>
      </c>
      <c r="J573" s="88">
        <v>267.91000000000003</v>
      </c>
      <c r="K573" s="88">
        <v>260.04000000000002</v>
      </c>
      <c r="L573" s="88">
        <v>263.98</v>
      </c>
      <c r="M573" s="89">
        <v>636819</v>
      </c>
      <c r="N573" s="87" t="s">
        <v>592</v>
      </c>
      <c r="O573" s="25">
        <f t="shared" si="18"/>
        <v>-1.4054095007197676E-2</v>
      </c>
    </row>
    <row r="574" spans="1:15">
      <c r="A574" s="88">
        <v>513.63670191206393</v>
      </c>
      <c r="B574" s="88">
        <v>520.44327453588426</v>
      </c>
      <c r="C574" s="88">
        <v>512.30476827632344</v>
      </c>
      <c r="D574" s="88">
        <v>519.61081601354647</v>
      </c>
      <c r="E574" s="89">
        <v>4522966.6091067847</v>
      </c>
      <c r="F574" s="87" t="s">
        <v>593</v>
      </c>
      <c r="G574" s="25">
        <f t="shared" si="17"/>
        <v>-1.1497285886610142E-2</v>
      </c>
      <c r="I574" s="88">
        <v>264.88</v>
      </c>
      <c r="J574" s="88">
        <v>275.42</v>
      </c>
      <c r="K574" s="88">
        <v>261.495</v>
      </c>
      <c r="L574" s="88">
        <v>272.47000000000003</v>
      </c>
      <c r="M574" s="89">
        <v>948787</v>
      </c>
      <c r="N574" s="87" t="s">
        <v>593</v>
      </c>
      <c r="O574" s="25">
        <f t="shared" si="18"/>
        <v>-2.7856277755349379E-2</v>
      </c>
    </row>
    <row r="575" spans="1:15">
      <c r="A575" s="88">
        <v>519.69895868061758</v>
      </c>
      <c r="B575" s="88">
        <v>520.62935349970098</v>
      </c>
      <c r="C575" s="88">
        <v>518.1907397107351</v>
      </c>
      <c r="D575" s="88">
        <v>519.64019690257021</v>
      </c>
      <c r="E575" s="89">
        <v>6392113.2491464708</v>
      </c>
      <c r="F575" s="87" t="s">
        <v>594</v>
      </c>
      <c r="G575" s="25">
        <f t="shared" si="17"/>
        <v>1.1308166380818996E-4</v>
      </c>
      <c r="I575" s="88">
        <v>272.70999999999998</v>
      </c>
      <c r="J575" s="88">
        <v>276.125</v>
      </c>
      <c r="K575" s="88">
        <v>268.83</v>
      </c>
      <c r="L575" s="88">
        <v>274.62</v>
      </c>
      <c r="M575" s="89">
        <v>958553</v>
      </c>
      <c r="N575" s="87" t="s">
        <v>594</v>
      </c>
      <c r="O575" s="25">
        <f t="shared" si="18"/>
        <v>-6.9550651809774378E-3</v>
      </c>
    </row>
    <row r="576" spans="1:15">
      <c r="A576" s="88">
        <v>518.46496134162282</v>
      </c>
      <c r="B576" s="88">
        <v>519.44432430907898</v>
      </c>
      <c r="C576" s="88">
        <v>515.02739732585167</v>
      </c>
      <c r="D576" s="88">
        <v>515.61501510632536</v>
      </c>
      <c r="E576" s="89">
        <v>22847777.324193522</v>
      </c>
      <c r="F576" s="87" t="s">
        <v>595</v>
      </c>
      <c r="G576" s="25">
        <f t="shared" si="17"/>
        <v>5.5272754900470566E-3</v>
      </c>
      <c r="I576" s="88">
        <v>274.04000000000002</v>
      </c>
      <c r="J576" s="88">
        <v>274.85000000000002</v>
      </c>
      <c r="K576" s="88">
        <v>270.42</v>
      </c>
      <c r="L576" s="88">
        <v>272.38</v>
      </c>
      <c r="M576" s="89">
        <v>697064</v>
      </c>
      <c r="N576" s="87" t="s">
        <v>595</v>
      </c>
      <c r="O576" s="25">
        <f t="shared" si="18"/>
        <v>6.0944269035907439E-3</v>
      </c>
    </row>
    <row r="577" spans="1:15">
      <c r="A577" s="88">
        <v>509.52337744874791</v>
      </c>
      <c r="B577" s="88">
        <v>510.19913789629277</v>
      </c>
      <c r="C577" s="88">
        <v>504.03404801615608</v>
      </c>
      <c r="D577" s="88">
        <v>505.14562498421884</v>
      </c>
      <c r="E577" s="89">
        <v>5165613.9430516092</v>
      </c>
      <c r="F577" s="87" t="s">
        <v>596</v>
      </c>
      <c r="G577" s="25">
        <f t="shared" si="17"/>
        <v>8.6663176874308689E-3</v>
      </c>
      <c r="I577" s="88">
        <v>268.32</v>
      </c>
      <c r="J577" s="88">
        <v>268.97000000000003</v>
      </c>
      <c r="K577" s="88">
        <v>258.25</v>
      </c>
      <c r="L577" s="88">
        <v>263.47000000000003</v>
      </c>
      <c r="M577" s="89">
        <v>1299507</v>
      </c>
      <c r="N577" s="87" t="s">
        <v>596</v>
      </c>
      <c r="O577" s="25">
        <f t="shared" si="18"/>
        <v>1.8408167912855156E-2</v>
      </c>
    </row>
    <row r="578" spans="1:15">
      <c r="A578" s="88">
        <v>509.39606026297861</v>
      </c>
      <c r="B578" s="88">
        <v>513.78850317201955</v>
      </c>
      <c r="C578" s="88">
        <v>506.64405032442681</v>
      </c>
      <c r="D578" s="88">
        <v>507.27084262359875</v>
      </c>
      <c r="E578" s="89">
        <v>6156794.9783335477</v>
      </c>
      <c r="F578" s="87" t="s">
        <v>597</v>
      </c>
      <c r="G578" s="25">
        <f t="shared" si="17"/>
        <v>4.1895127036835067E-3</v>
      </c>
      <c r="I578" s="88">
        <v>265.39</v>
      </c>
      <c r="J578" s="88">
        <v>269.69</v>
      </c>
      <c r="K578" s="88">
        <v>263.80630000000002</v>
      </c>
      <c r="L578" s="88">
        <v>264.5</v>
      </c>
      <c r="M578" s="89">
        <v>811718</v>
      </c>
      <c r="N578" s="87" t="s">
        <v>597</v>
      </c>
      <c r="O578" s="25">
        <f t="shared" si="18"/>
        <v>3.364839319470736E-3</v>
      </c>
    </row>
    <row r="579" spans="1:15">
      <c r="A579" s="88">
        <v>510.57129582392611</v>
      </c>
      <c r="B579" s="88">
        <v>514.126383395792</v>
      </c>
      <c r="C579" s="88">
        <v>505.76174222704549</v>
      </c>
      <c r="D579" s="88">
        <v>506.85951017726711</v>
      </c>
      <c r="E579" s="89">
        <v>5487188.2831739737</v>
      </c>
      <c r="F579" s="87" t="s">
        <v>598</v>
      </c>
      <c r="G579" s="25">
        <f t="shared" si="17"/>
        <v>7.3231054604476764E-3</v>
      </c>
      <c r="I579" s="88">
        <v>265.82</v>
      </c>
      <c r="J579" s="88">
        <v>266.89</v>
      </c>
      <c r="K579" s="88">
        <v>260.01</v>
      </c>
      <c r="L579" s="88">
        <v>261.43</v>
      </c>
      <c r="M579" s="89">
        <v>588392</v>
      </c>
      <c r="N579" s="87" t="s">
        <v>598</v>
      </c>
      <c r="O579" s="25">
        <f t="shared" si="18"/>
        <v>1.6792257965803303E-2</v>
      </c>
    </row>
    <row r="580" spans="1:15">
      <c r="A580" s="88">
        <v>505.26314854031358</v>
      </c>
      <c r="B580" s="88">
        <v>508.79864885283035</v>
      </c>
      <c r="C580" s="88">
        <v>503.46190417056818</v>
      </c>
      <c r="D580" s="88">
        <v>508.60277625933918</v>
      </c>
      <c r="E580" s="89">
        <v>6137252.6833561175</v>
      </c>
      <c r="F580" s="87" t="s">
        <v>599</v>
      </c>
      <c r="G580" s="25">
        <f t="shared" si="17"/>
        <v>-6.5662789802050092E-3</v>
      </c>
      <c r="I580" s="88">
        <v>260.47000000000003</v>
      </c>
      <c r="J580" s="88">
        <v>264.83</v>
      </c>
      <c r="K580" s="88">
        <v>255.64</v>
      </c>
      <c r="L580" s="88">
        <v>261.25</v>
      </c>
      <c r="M580" s="89">
        <v>738677</v>
      </c>
      <c r="N580" s="87" t="s">
        <v>599</v>
      </c>
      <c r="O580" s="25">
        <f t="shared" si="18"/>
        <v>-2.9856459330142027E-3</v>
      </c>
    </row>
    <row r="581" spans="1:15">
      <c r="A581" s="88">
        <v>510.64964486132249</v>
      </c>
      <c r="B581" s="88">
        <v>513.02949687224111</v>
      </c>
      <c r="C581" s="88">
        <v>506.40900321223734</v>
      </c>
      <c r="D581" s="88">
        <v>506.77136751019611</v>
      </c>
      <c r="E581" s="89">
        <v>6401960.466491282</v>
      </c>
      <c r="F581" s="87" t="s">
        <v>600</v>
      </c>
      <c r="G581" s="25">
        <f t="shared" si="17"/>
        <v>7.6529133249587655E-3</v>
      </c>
      <c r="I581" s="88">
        <v>261.63</v>
      </c>
      <c r="J581" s="88">
        <v>262.48</v>
      </c>
      <c r="K581" s="88">
        <v>252.4725</v>
      </c>
      <c r="L581" s="88">
        <v>254.7</v>
      </c>
      <c r="M581" s="89">
        <v>780293</v>
      </c>
      <c r="N581" s="87" t="s">
        <v>600</v>
      </c>
      <c r="O581" s="25">
        <f t="shared" si="18"/>
        <v>2.7208480565370952E-2</v>
      </c>
    </row>
    <row r="582" spans="1:15">
      <c r="A582" s="88">
        <v>506.78116113987068</v>
      </c>
      <c r="B582" s="88">
        <v>507.72134958862853</v>
      </c>
      <c r="C582" s="88">
        <v>500.29777829531076</v>
      </c>
      <c r="D582" s="88">
        <v>500.72869800099147</v>
      </c>
      <c r="E582" s="89">
        <v>7568451.3773814011</v>
      </c>
      <c r="F582" s="87" t="s">
        <v>601</v>
      </c>
      <c r="G582" s="25">
        <f t="shared" si="17"/>
        <v>1.2087310280081587E-2</v>
      </c>
      <c r="I582" s="88">
        <v>255.44</v>
      </c>
      <c r="J582" s="88">
        <v>257.25</v>
      </c>
      <c r="K582" s="88">
        <v>246.5</v>
      </c>
      <c r="L582" s="88">
        <v>247.66</v>
      </c>
      <c r="M582" s="89">
        <v>913459</v>
      </c>
      <c r="N582" s="87" t="s">
        <v>601</v>
      </c>
      <c r="O582" s="25">
        <f t="shared" si="18"/>
        <v>3.1414035371073235E-2</v>
      </c>
    </row>
    <row r="583" spans="1:15">
      <c r="A583" s="88">
        <v>496.58599264865194</v>
      </c>
      <c r="B583" s="88">
        <v>503.45132705051964</v>
      </c>
      <c r="C583" s="88">
        <v>494.98963101169835</v>
      </c>
      <c r="D583" s="88">
        <v>502.91267741841875</v>
      </c>
      <c r="E583" s="89">
        <v>22106203.439807799</v>
      </c>
      <c r="F583" s="87" t="s">
        <v>602</v>
      </c>
      <c r="G583" s="25">
        <f t="shared" si="17"/>
        <v>-1.2580086074273078E-2</v>
      </c>
      <c r="I583" s="88">
        <v>244.67</v>
      </c>
      <c r="J583" s="88">
        <v>247.58</v>
      </c>
      <c r="K583" s="88">
        <v>239.88</v>
      </c>
      <c r="L583" s="88">
        <v>247.58</v>
      </c>
      <c r="M583" s="89">
        <v>840586</v>
      </c>
      <c r="N583" s="87" t="s">
        <v>602</v>
      </c>
      <c r="O583" s="25">
        <f t="shared" si="18"/>
        <v>-1.1753776557072548E-2</v>
      </c>
    </row>
    <row r="584" spans="1:15">
      <c r="A584" s="88">
        <v>503.15751816028279</v>
      </c>
      <c r="B584" s="88">
        <v>507.0553827707584</v>
      </c>
      <c r="C584" s="88">
        <v>498.59368673193711</v>
      </c>
      <c r="D584" s="88">
        <v>506.22292424842061</v>
      </c>
      <c r="E584" s="89">
        <v>8771574.2635372244</v>
      </c>
      <c r="F584" s="87" t="s">
        <v>603</v>
      </c>
      <c r="G584" s="25">
        <f t="shared" si="17"/>
        <v>-6.0554470003288952E-3</v>
      </c>
      <c r="I584" s="88">
        <v>248.38</v>
      </c>
      <c r="J584" s="88">
        <v>255.63</v>
      </c>
      <c r="K584" s="88">
        <v>247.19</v>
      </c>
      <c r="L584" s="88">
        <v>250.27</v>
      </c>
      <c r="M584" s="89">
        <v>1237586</v>
      </c>
      <c r="N584" s="87" t="s">
        <v>603</v>
      </c>
      <c r="O584" s="25">
        <f t="shared" si="18"/>
        <v>-7.5518440084708649E-3</v>
      </c>
    </row>
    <row r="585" spans="1:15">
      <c r="A585" s="88">
        <v>500.72869800099147</v>
      </c>
      <c r="B585" s="88">
        <v>506.84961861129585</v>
      </c>
      <c r="C585" s="88">
        <v>497.05608687303084</v>
      </c>
      <c r="D585" s="88">
        <v>503.71575505173286</v>
      </c>
      <c r="E585" s="89">
        <v>11445107.046588035</v>
      </c>
      <c r="F585" s="87" t="s">
        <v>604</v>
      </c>
      <c r="G585" s="25">
        <f t="shared" si="17"/>
        <v>-5.9300449127992483E-3</v>
      </c>
      <c r="I585" s="88">
        <v>245.35</v>
      </c>
      <c r="J585" s="88">
        <v>248.49</v>
      </c>
      <c r="K585" s="88">
        <v>237.05</v>
      </c>
      <c r="L585" s="88">
        <v>238.02</v>
      </c>
      <c r="M585" s="89">
        <v>1085521</v>
      </c>
      <c r="N585" s="87" t="s">
        <v>604</v>
      </c>
      <c r="O585" s="25">
        <f t="shared" si="18"/>
        <v>3.0795731451138453E-2</v>
      </c>
    </row>
    <row r="586" spans="1:15">
      <c r="A586" s="88">
        <v>504.87140335333112</v>
      </c>
      <c r="B586" s="88">
        <v>512.89238605679725</v>
      </c>
      <c r="C586" s="88">
        <v>500.2879846656362</v>
      </c>
      <c r="D586" s="88">
        <v>511.12953271537606</v>
      </c>
      <c r="E586" s="89">
        <v>11412409.261329545</v>
      </c>
      <c r="F586" s="87" t="s">
        <v>605</v>
      </c>
      <c r="G586" s="25">
        <f t="shared" si="17"/>
        <v>-1.2243724851504156E-2</v>
      </c>
      <c r="I586" s="88">
        <v>237.06</v>
      </c>
      <c r="J586" s="88">
        <v>249.62</v>
      </c>
      <c r="K586" s="88">
        <v>230.05</v>
      </c>
      <c r="L586" s="88">
        <v>249.62</v>
      </c>
      <c r="M586" s="89">
        <v>1596557</v>
      </c>
      <c r="N586" s="87" t="s">
        <v>605</v>
      </c>
      <c r="O586" s="25">
        <f t="shared" si="18"/>
        <v>-5.0316481051197792E-2</v>
      </c>
    </row>
    <row r="587" spans="1:15">
      <c r="A587" s="88">
        <v>518.58248489771756</v>
      </c>
      <c r="B587" s="88">
        <v>519.92421216313244</v>
      </c>
      <c r="C587" s="88">
        <v>509.39606026297861</v>
      </c>
      <c r="D587" s="88">
        <v>514.06762161774452</v>
      </c>
      <c r="E587" s="89">
        <v>7462279.3007813608</v>
      </c>
      <c r="F587" s="87" t="s">
        <v>606</v>
      </c>
      <c r="G587" s="25">
        <f t="shared" si="17"/>
        <v>8.782625261954724E-3</v>
      </c>
      <c r="I587" s="88">
        <v>251.81</v>
      </c>
      <c r="J587" s="88">
        <v>260.91000000000003</v>
      </c>
      <c r="K587" s="88">
        <v>246.59</v>
      </c>
      <c r="L587" s="88">
        <v>259.48</v>
      </c>
      <c r="M587" s="89">
        <v>1238243</v>
      </c>
      <c r="N587" s="87" t="s">
        <v>606</v>
      </c>
      <c r="O587" s="25">
        <f t="shared" si="18"/>
        <v>-2.9559118236473059E-2</v>
      </c>
    </row>
    <row r="588" spans="1:15">
      <c r="A588" s="88">
        <v>515.80109407014197</v>
      </c>
      <c r="B588" s="88">
        <v>522.42158773014569</v>
      </c>
      <c r="C588" s="88">
        <v>513.40165479987445</v>
      </c>
      <c r="D588" s="88">
        <v>518.26908874813159</v>
      </c>
      <c r="E588" s="89">
        <v>7381253.1617124956</v>
      </c>
      <c r="F588" s="87" t="s">
        <v>607</v>
      </c>
      <c r="G588" s="25">
        <f t="shared" si="17"/>
        <v>-4.7619947466884804E-3</v>
      </c>
      <c r="I588" s="88">
        <v>259.67</v>
      </c>
      <c r="J588" s="88">
        <v>269.58</v>
      </c>
      <c r="K588" s="88">
        <v>259.02809999999999</v>
      </c>
      <c r="L588" s="88">
        <v>269.58</v>
      </c>
      <c r="M588" s="89">
        <v>835323</v>
      </c>
      <c r="N588" s="87" t="s">
        <v>607</v>
      </c>
      <c r="O588" s="25">
        <f t="shared" si="18"/>
        <v>-3.6760887306179879E-2</v>
      </c>
    </row>
    <row r="589" spans="1:15">
      <c r="A589" s="88">
        <v>525.33029574349052</v>
      </c>
      <c r="B589" s="88">
        <v>526.69170820455145</v>
      </c>
      <c r="C589" s="88">
        <v>516.05572844168057</v>
      </c>
      <c r="D589" s="88">
        <v>519.30721349363512</v>
      </c>
      <c r="E589" s="89">
        <v>6352848.9505382832</v>
      </c>
      <c r="F589" s="87" t="s">
        <v>608</v>
      </c>
      <c r="G589" s="25">
        <f t="shared" si="17"/>
        <v>1.1598302687411577E-2</v>
      </c>
      <c r="I589" s="88">
        <v>270.81</v>
      </c>
      <c r="J589" s="88">
        <v>271.875</v>
      </c>
      <c r="K589" s="88">
        <v>267.36</v>
      </c>
      <c r="L589" s="88">
        <v>269.37</v>
      </c>
      <c r="M589" s="89">
        <v>483219</v>
      </c>
      <c r="N589" s="87" t="s">
        <v>608</v>
      </c>
      <c r="O589" s="25">
        <f t="shared" si="18"/>
        <v>5.345806882726345E-3</v>
      </c>
    </row>
    <row r="590" spans="1:15">
      <c r="A590" s="88">
        <v>519.50308608712635</v>
      </c>
      <c r="B590" s="88">
        <v>527.1714001860114</v>
      </c>
      <c r="C590" s="88">
        <v>515.30161895673928</v>
      </c>
      <c r="D590" s="88">
        <v>522.05922343218685</v>
      </c>
      <c r="E590" s="89">
        <v>10698214.398706967</v>
      </c>
      <c r="F590" s="87" t="s">
        <v>609</v>
      </c>
      <c r="G590" s="25">
        <f t="shared" si="17"/>
        <v>-4.8962593329079374E-3</v>
      </c>
      <c r="I590" s="88">
        <v>269.7</v>
      </c>
      <c r="J590" s="88">
        <v>273.22000000000003</v>
      </c>
      <c r="K590" s="88">
        <v>261.25</v>
      </c>
      <c r="L590" s="88">
        <v>272.12</v>
      </c>
      <c r="M590" s="89">
        <v>869742</v>
      </c>
      <c r="N590" s="87" t="s">
        <v>609</v>
      </c>
      <c r="O590" s="25">
        <f t="shared" si="18"/>
        <v>-8.8931353814494241E-3</v>
      </c>
    </row>
    <row r="591" spans="1:15">
      <c r="A591" s="88">
        <v>525.83956448656772</v>
      </c>
      <c r="B591" s="88">
        <v>537.95428439400052</v>
      </c>
      <c r="C591" s="88">
        <v>522.24628175897101</v>
      </c>
      <c r="D591" s="88">
        <v>536.88677875947337</v>
      </c>
      <c r="E591" s="89">
        <v>7443612.0644170064</v>
      </c>
      <c r="F591" s="87" t="s">
        <v>610</v>
      </c>
      <c r="G591" s="25">
        <f t="shared" si="17"/>
        <v>-2.0576431959139052E-2</v>
      </c>
      <c r="I591" s="88">
        <v>272.64</v>
      </c>
      <c r="J591" s="88">
        <v>279.64</v>
      </c>
      <c r="K591" s="88">
        <v>270.72000000000003</v>
      </c>
      <c r="L591" s="88">
        <v>272.87</v>
      </c>
      <c r="M591" s="89">
        <v>873112</v>
      </c>
      <c r="N591" s="87" t="s">
        <v>610</v>
      </c>
      <c r="O591" s="25">
        <f t="shared" si="18"/>
        <v>-8.4289221973843365E-4</v>
      </c>
    </row>
    <row r="592" spans="1:15">
      <c r="A592" s="88">
        <v>535.05537001033042</v>
      </c>
      <c r="B592" s="88">
        <v>535.60381327210575</v>
      </c>
      <c r="C592" s="88">
        <v>524.52721811017648</v>
      </c>
      <c r="D592" s="88">
        <v>527.30860893775196</v>
      </c>
      <c r="E592" s="89">
        <v>7482466.9131957386</v>
      </c>
      <c r="F592" s="87" t="s">
        <v>611</v>
      </c>
      <c r="G592" s="25">
        <f t="shared" si="17"/>
        <v>1.4691133315998917E-2</v>
      </c>
      <c r="I592" s="88">
        <v>272.27</v>
      </c>
      <c r="J592" s="88">
        <v>272.73</v>
      </c>
      <c r="K592" s="88">
        <v>262.95</v>
      </c>
      <c r="L592" s="88">
        <v>267.89</v>
      </c>
      <c r="M592" s="89">
        <v>988780</v>
      </c>
      <c r="N592" s="87" t="s">
        <v>611</v>
      </c>
      <c r="O592" s="25">
        <f t="shared" si="18"/>
        <v>1.6349994400686851E-2</v>
      </c>
    </row>
    <row r="593" spans="1:15">
      <c r="A593" s="88">
        <v>526.86789560239674</v>
      </c>
      <c r="B593" s="88">
        <v>538.53210854479971</v>
      </c>
      <c r="C593" s="88">
        <v>526.50553130443802</v>
      </c>
      <c r="D593" s="88">
        <v>537.50377742897081</v>
      </c>
      <c r="E593" s="89">
        <v>5637696.3224792248</v>
      </c>
      <c r="F593" s="87" t="s">
        <v>612</v>
      </c>
      <c r="G593" s="25">
        <f t="shared" si="17"/>
        <v>-1.9787548056775406E-2</v>
      </c>
      <c r="I593" s="88">
        <v>267.08999999999997</v>
      </c>
      <c r="J593" s="88">
        <v>270.8</v>
      </c>
      <c r="K593" s="88">
        <v>263.33999999999997</v>
      </c>
      <c r="L593" s="88">
        <v>269.51</v>
      </c>
      <c r="M593" s="89">
        <v>921238</v>
      </c>
      <c r="N593" s="87" t="s">
        <v>612</v>
      </c>
      <c r="O593" s="25">
        <f t="shared" si="18"/>
        <v>-8.9792586545954789E-3</v>
      </c>
    </row>
    <row r="594" spans="1:15">
      <c r="A594" s="88">
        <v>535.46670245666189</v>
      </c>
      <c r="B594" s="88">
        <v>539.96687529212306</v>
      </c>
      <c r="C594" s="88">
        <v>533.01829503802151</v>
      </c>
      <c r="D594" s="88">
        <v>536.70069979565665</v>
      </c>
      <c r="E594" s="89">
        <v>4268900.4372498887</v>
      </c>
      <c r="F594" s="87" t="s">
        <v>613</v>
      </c>
      <c r="G594" s="25">
        <f t="shared" si="17"/>
        <v>-2.2992281162752537E-3</v>
      </c>
      <c r="I594" s="88">
        <v>270.64</v>
      </c>
      <c r="J594" s="88">
        <v>272.43</v>
      </c>
      <c r="K594" s="88">
        <v>265.35500000000002</v>
      </c>
      <c r="L594" s="88">
        <v>266.11</v>
      </c>
      <c r="M594" s="89">
        <v>733381</v>
      </c>
      <c r="N594" s="87" t="s">
        <v>613</v>
      </c>
      <c r="O594" s="25">
        <f t="shared" si="18"/>
        <v>1.7023035586787305E-2</v>
      </c>
    </row>
    <row r="595" spans="1:15">
      <c r="A595" s="88">
        <v>535.1337190477268</v>
      </c>
      <c r="B595" s="88">
        <v>538.42437861837959</v>
      </c>
      <c r="C595" s="88">
        <v>530.97965308496475</v>
      </c>
      <c r="D595" s="88">
        <v>537.8465544675804</v>
      </c>
      <c r="E595" s="89">
        <v>5607210.17894293</v>
      </c>
      <c r="F595" s="87" t="s">
        <v>614</v>
      </c>
      <c r="G595" s="25">
        <f t="shared" si="17"/>
        <v>-5.0438836082887795E-3</v>
      </c>
      <c r="I595" s="88">
        <v>266.68</v>
      </c>
      <c r="J595" s="88">
        <v>283.33499999999998</v>
      </c>
      <c r="K595" s="88">
        <v>260.42</v>
      </c>
      <c r="L595" s="88">
        <v>282.57</v>
      </c>
      <c r="M595" s="89">
        <v>1844908</v>
      </c>
      <c r="N595" s="87" t="s">
        <v>614</v>
      </c>
      <c r="O595" s="25">
        <f t="shared" si="18"/>
        <v>-5.6233853558410263E-2</v>
      </c>
    </row>
    <row r="596" spans="1:15">
      <c r="A596" s="88">
        <v>537.80737994888216</v>
      </c>
      <c r="B596" s="88">
        <v>543.06655908412176</v>
      </c>
      <c r="C596" s="88">
        <v>537.19361317717733</v>
      </c>
      <c r="D596" s="88">
        <v>542.18513241341122</v>
      </c>
      <c r="E596" s="89">
        <v>4872815.4510432482</v>
      </c>
      <c r="F596" s="87" t="s">
        <v>615</v>
      </c>
      <c r="G596" s="25">
        <f t="shared" si="17"/>
        <v>-8.0742761149544817E-3</v>
      </c>
      <c r="I596" s="88">
        <v>283.48</v>
      </c>
      <c r="J596" s="88">
        <v>287.69499999999999</v>
      </c>
      <c r="K596" s="88">
        <v>281.89999999999998</v>
      </c>
      <c r="L596" s="88">
        <v>283.69</v>
      </c>
      <c r="M596" s="89">
        <v>865042</v>
      </c>
      <c r="N596" s="87" t="s">
        <v>615</v>
      </c>
      <c r="O596" s="25">
        <f t="shared" si="18"/>
        <v>-7.4024463322630574E-4</v>
      </c>
    </row>
    <row r="597" spans="1:15">
      <c r="A597" s="88">
        <v>540.36351729394278</v>
      </c>
      <c r="B597" s="88">
        <v>549.61849733640361</v>
      </c>
      <c r="C597" s="88">
        <v>539.88852625472657</v>
      </c>
      <c r="D597" s="88">
        <v>549.52056103965799</v>
      </c>
      <c r="E597" s="89">
        <v>6278258.6276166961</v>
      </c>
      <c r="F597" s="87" t="s">
        <v>616</v>
      </c>
      <c r="G597" s="25">
        <f t="shared" si="17"/>
        <v>-1.6663696310818099E-2</v>
      </c>
      <c r="I597" s="88">
        <v>282.8</v>
      </c>
      <c r="J597" s="88">
        <v>286.66000000000003</v>
      </c>
      <c r="K597" s="88">
        <v>274.86500000000001</v>
      </c>
      <c r="L597" s="88">
        <v>276.35000000000002</v>
      </c>
      <c r="M597" s="89">
        <v>1410497</v>
      </c>
      <c r="N597" s="87" t="s">
        <v>616</v>
      </c>
      <c r="O597" s="25">
        <f t="shared" si="18"/>
        <v>2.3339967432603581E-2</v>
      </c>
    </row>
    <row r="598" spans="1:15">
      <c r="A598" s="88">
        <v>549.71643363314922</v>
      </c>
      <c r="B598" s="88">
        <v>550.87648906810114</v>
      </c>
      <c r="C598" s="88">
        <v>546.69999569338427</v>
      </c>
      <c r="D598" s="88">
        <v>550.78393926767649</v>
      </c>
      <c r="E598" s="89">
        <v>4540484.118518604</v>
      </c>
      <c r="F598" s="87" t="s">
        <v>617</v>
      </c>
      <c r="G598" s="25">
        <f t="shared" si="17"/>
        <v>-1.9381567951066714E-3</v>
      </c>
      <c r="I598" s="88">
        <v>288.29000000000002</v>
      </c>
      <c r="J598" s="88">
        <v>288.93</v>
      </c>
      <c r="K598" s="88">
        <v>281.61</v>
      </c>
      <c r="L598" s="88">
        <v>281.61</v>
      </c>
      <c r="M598" s="89">
        <v>851472</v>
      </c>
      <c r="N598" s="87" t="s">
        <v>617</v>
      </c>
      <c r="O598" s="25">
        <f t="shared" si="18"/>
        <v>2.3720748552963355E-2</v>
      </c>
    </row>
    <row r="599" spans="1:15">
      <c r="A599" s="88">
        <v>552.03752386602036</v>
      </c>
      <c r="B599" s="88">
        <v>552.28236460788435</v>
      </c>
      <c r="C599" s="88">
        <v>548.96330351117535</v>
      </c>
      <c r="D599" s="88">
        <v>549.4422120022615</v>
      </c>
      <c r="E599" s="89">
        <v>3938847.1161205433</v>
      </c>
      <c r="F599" s="87" t="s">
        <v>618</v>
      </c>
      <c r="G599" s="25">
        <f t="shared" si="17"/>
        <v>4.7235392677622556E-3</v>
      </c>
      <c r="I599" s="88">
        <v>283.68</v>
      </c>
      <c r="J599" s="88">
        <v>288.95</v>
      </c>
      <c r="K599" s="88">
        <v>279.95</v>
      </c>
      <c r="L599" s="88">
        <v>280.89</v>
      </c>
      <c r="M599" s="89">
        <v>742201</v>
      </c>
      <c r="N599" s="87" t="s">
        <v>618</v>
      </c>
      <c r="O599" s="25">
        <f t="shared" si="18"/>
        <v>9.9327138737583809E-3</v>
      </c>
    </row>
    <row r="600" spans="1:15">
      <c r="A600" s="88">
        <v>550.70559023027988</v>
      </c>
      <c r="B600" s="88">
        <v>550.70559023027988</v>
      </c>
      <c r="C600" s="88">
        <v>547.94378666205353</v>
      </c>
      <c r="D600" s="88">
        <v>550.2061151168773</v>
      </c>
      <c r="E600" s="89">
        <v>3925924.4302312932</v>
      </c>
      <c r="F600" s="87" t="s">
        <v>619</v>
      </c>
      <c r="G600" s="25">
        <f t="shared" si="17"/>
        <v>9.077963688144397E-4</v>
      </c>
      <c r="I600" s="88">
        <v>280.70999999999998</v>
      </c>
      <c r="J600" s="88">
        <v>284.39999999999998</v>
      </c>
      <c r="K600" s="88">
        <v>270</v>
      </c>
      <c r="L600" s="88">
        <v>280.2</v>
      </c>
      <c r="M600" s="89">
        <v>662396</v>
      </c>
      <c r="N600" s="87" t="s">
        <v>619</v>
      </c>
      <c r="O600" s="25">
        <f t="shared" si="18"/>
        <v>1.8201284796572903E-3</v>
      </c>
    </row>
    <row r="601" spans="1:15">
      <c r="A601" s="88">
        <v>549.11902222300102</v>
      </c>
      <c r="B601" s="88">
        <v>550.26487689492467</v>
      </c>
      <c r="C601" s="88">
        <v>548.51181718317821</v>
      </c>
      <c r="D601" s="88">
        <v>549.32468844616676</v>
      </c>
      <c r="E601" s="89">
        <v>3451805.0123753394</v>
      </c>
      <c r="F601" s="87" t="s">
        <v>620</v>
      </c>
      <c r="G601" s="25">
        <f t="shared" si="17"/>
        <v>-3.7439828846486112E-4</v>
      </c>
      <c r="I601" s="88">
        <v>280.56</v>
      </c>
      <c r="J601" s="88">
        <v>283.99</v>
      </c>
      <c r="K601" s="88">
        <v>279.29500000000002</v>
      </c>
      <c r="L601" s="88">
        <v>281.68</v>
      </c>
      <c r="M601" s="89">
        <v>474734</v>
      </c>
      <c r="N601" s="87" t="s">
        <v>620</v>
      </c>
      <c r="O601" s="25">
        <f t="shared" si="18"/>
        <v>-3.9761431411531323E-3</v>
      </c>
    </row>
    <row r="602" spans="1:15">
      <c r="A602" s="88">
        <v>549.09943496365179</v>
      </c>
      <c r="B602" s="88">
        <v>549.30510118681764</v>
      </c>
      <c r="C602" s="88">
        <v>543.24774123310124</v>
      </c>
      <c r="D602" s="88">
        <v>544.39849271986225</v>
      </c>
      <c r="E602" s="89">
        <v>3459900.0703502106</v>
      </c>
      <c r="F602" s="87" t="s">
        <v>621</v>
      </c>
      <c r="G602" s="25">
        <f t="shared" si="17"/>
        <v>8.6351125263099959E-3</v>
      </c>
      <c r="I602" s="88">
        <v>282.12</v>
      </c>
      <c r="J602" s="88">
        <v>282.98</v>
      </c>
      <c r="K602" s="88">
        <v>278.3</v>
      </c>
      <c r="L602" s="88">
        <v>281.32</v>
      </c>
      <c r="M602" s="89">
        <v>635914</v>
      </c>
      <c r="N602" s="87" t="s">
        <v>621</v>
      </c>
      <c r="O602" s="25">
        <f t="shared" si="18"/>
        <v>2.8437366699844979E-3</v>
      </c>
    </row>
    <row r="603" spans="1:15">
      <c r="A603" s="88">
        <v>543.36036797435861</v>
      </c>
      <c r="B603" s="88">
        <v>544.44256405339775</v>
      </c>
      <c r="C603" s="88">
        <v>539.03158365820241</v>
      </c>
      <c r="D603" s="88">
        <v>539.6289950683506</v>
      </c>
      <c r="E603" s="89">
        <v>3654909.4860074827</v>
      </c>
      <c r="F603" s="87" t="s">
        <v>622</v>
      </c>
      <c r="G603" s="25">
        <f t="shared" si="17"/>
        <v>6.9147005444645249E-3</v>
      </c>
      <c r="I603" s="88">
        <v>279.55</v>
      </c>
      <c r="J603" s="88">
        <v>282.92309999999998</v>
      </c>
      <c r="K603" s="88">
        <v>278.94</v>
      </c>
      <c r="L603" s="88">
        <v>280.22000000000003</v>
      </c>
      <c r="M603" s="89">
        <v>671204</v>
      </c>
      <c r="N603" s="87" t="s">
        <v>622</v>
      </c>
      <c r="O603" s="25">
        <f t="shared" si="18"/>
        <v>-2.3909785168796382E-3</v>
      </c>
    </row>
    <row r="604" spans="1:15">
      <c r="A604" s="88">
        <v>545.16239583447805</v>
      </c>
      <c r="B604" s="88">
        <v>545.61779961434513</v>
      </c>
      <c r="C604" s="88">
        <v>542.55729034104468</v>
      </c>
      <c r="D604" s="88">
        <v>542.6650202674648</v>
      </c>
      <c r="E604" s="89">
        <v>2810932.3013821207</v>
      </c>
      <c r="F604" s="87" t="s">
        <v>623</v>
      </c>
      <c r="G604" s="25">
        <f t="shared" si="17"/>
        <v>4.6020573903626794E-3</v>
      </c>
      <c r="I604" s="88">
        <v>284.26</v>
      </c>
      <c r="J604" s="88">
        <v>286.99990000000003</v>
      </c>
      <c r="K604" s="88">
        <v>283.11</v>
      </c>
      <c r="L604" s="88">
        <v>284.16000000000003</v>
      </c>
      <c r="M604" s="89">
        <v>417011</v>
      </c>
      <c r="N604" s="87" t="s">
        <v>623</v>
      </c>
      <c r="O604" s="25">
        <f t="shared" si="18"/>
        <v>3.5191441441440041E-4</v>
      </c>
    </row>
    <row r="605" spans="1:15">
      <c r="A605" s="88">
        <v>544.67271435074997</v>
      </c>
      <c r="B605" s="88">
        <v>545.28530588689375</v>
      </c>
      <c r="C605" s="88">
        <v>542.80213108290866</v>
      </c>
      <c r="D605" s="88">
        <v>543.97736664385616</v>
      </c>
      <c r="E605" s="89">
        <v>3591673.4825461088</v>
      </c>
      <c r="F605" s="87" t="s">
        <v>624</v>
      </c>
      <c r="G605" s="25">
        <f t="shared" si="17"/>
        <v>1.2782658793026869E-3</v>
      </c>
      <c r="I605" s="88">
        <v>285.33999999999997</v>
      </c>
      <c r="J605" s="88">
        <v>286.58999999999997</v>
      </c>
      <c r="K605" s="88">
        <v>280.60000000000002</v>
      </c>
      <c r="L605" s="88">
        <v>284.36</v>
      </c>
      <c r="M605" s="89">
        <v>411668</v>
      </c>
      <c r="N605" s="87" t="s">
        <v>624</v>
      </c>
      <c r="O605" s="25">
        <f t="shared" si="18"/>
        <v>3.4463356308902515E-3</v>
      </c>
    </row>
    <row r="606" spans="1:15">
      <c r="A606" s="88">
        <v>540.8042306292981</v>
      </c>
      <c r="B606" s="88">
        <v>547.6597714014913</v>
      </c>
      <c r="C606" s="88">
        <v>540.40758862747828</v>
      </c>
      <c r="D606" s="88">
        <v>546.58247213728953</v>
      </c>
      <c r="E606" s="89">
        <v>10375677.18778865</v>
      </c>
      <c r="F606" s="87" t="s">
        <v>625</v>
      </c>
      <c r="G606" s="25">
        <f t="shared" si="17"/>
        <v>-1.0571582153735881E-2</v>
      </c>
      <c r="I606" s="88">
        <v>283.08</v>
      </c>
      <c r="J606" s="88">
        <v>289.45999999999998</v>
      </c>
      <c r="K606" s="88">
        <v>282.81</v>
      </c>
      <c r="L606" s="88">
        <v>287.67</v>
      </c>
      <c r="M606" s="89">
        <v>399701</v>
      </c>
      <c r="N606" s="87" t="s">
        <v>625</v>
      </c>
      <c r="O606" s="25">
        <f t="shared" si="18"/>
        <v>-1.5955782667640084E-2</v>
      </c>
    </row>
    <row r="607" spans="1:15">
      <c r="A607" s="88">
        <v>546.11237791291057</v>
      </c>
      <c r="B607" s="88">
        <v>546.1417588019342</v>
      </c>
      <c r="C607" s="88">
        <v>542.75316293453591</v>
      </c>
      <c r="D607" s="88">
        <v>545.78918813364999</v>
      </c>
      <c r="E607" s="89">
        <v>3682290.549914415</v>
      </c>
      <c r="F607" s="87" t="s">
        <v>626</v>
      </c>
      <c r="G607" s="25">
        <f t="shared" si="17"/>
        <v>5.9215130363021728E-4</v>
      </c>
      <c r="I607" s="88">
        <v>287.67</v>
      </c>
      <c r="J607" s="88">
        <v>288.05</v>
      </c>
      <c r="K607" s="88">
        <v>282.23</v>
      </c>
      <c r="L607" s="88">
        <v>284.77999999999997</v>
      </c>
      <c r="M607" s="89">
        <v>501114</v>
      </c>
      <c r="N607" s="87" t="s">
        <v>626</v>
      </c>
      <c r="O607" s="25">
        <f t="shared" si="18"/>
        <v>1.0148184563522955E-2</v>
      </c>
    </row>
    <row r="608" spans="1:15">
      <c r="A608" s="88">
        <v>544.15365197799815</v>
      </c>
      <c r="B608" s="88">
        <v>544.26138190441839</v>
      </c>
      <c r="C608" s="88">
        <v>539.05117091755153</v>
      </c>
      <c r="D608" s="88">
        <v>540.94134144474197</v>
      </c>
      <c r="E608" s="89">
        <v>3496338.0419560722</v>
      </c>
      <c r="F608" s="87" t="s">
        <v>627</v>
      </c>
      <c r="G608" s="25">
        <f t="shared" si="17"/>
        <v>5.9383712930440868E-3</v>
      </c>
      <c r="I608" s="88">
        <v>284.7</v>
      </c>
      <c r="J608" s="88">
        <v>287</v>
      </c>
      <c r="K608" s="88">
        <v>279.57499999999999</v>
      </c>
      <c r="L608" s="88">
        <v>279.67</v>
      </c>
      <c r="M608" s="89">
        <v>509904</v>
      </c>
      <c r="N608" s="87" t="s">
        <v>627</v>
      </c>
      <c r="O608" s="25">
        <f t="shared" si="18"/>
        <v>1.7985482890549465E-2</v>
      </c>
    </row>
    <row r="609" spans="1:15">
      <c r="A609" s="88">
        <v>541.93049804187274</v>
      </c>
      <c r="B609" s="88">
        <v>542.40059226625169</v>
      </c>
      <c r="C609" s="88">
        <v>537.89552261595327</v>
      </c>
      <c r="D609" s="88">
        <v>538.35582321065772</v>
      </c>
      <c r="E609" s="89">
        <v>4269523.2911051698</v>
      </c>
      <c r="F609" s="87" t="s">
        <v>628</v>
      </c>
      <c r="G609" s="25">
        <f t="shared" si="17"/>
        <v>6.6399854466072661E-3</v>
      </c>
      <c r="I609" s="88">
        <v>278.48</v>
      </c>
      <c r="J609" s="88">
        <v>280.40499999999997</v>
      </c>
      <c r="K609" s="88">
        <v>277.56</v>
      </c>
      <c r="L609" s="88">
        <v>279.27</v>
      </c>
      <c r="M609" s="89">
        <v>344550</v>
      </c>
      <c r="N609" s="87" t="s">
        <v>628</v>
      </c>
      <c r="O609" s="25">
        <f t="shared" si="18"/>
        <v>-2.8288036667023508E-3</v>
      </c>
    </row>
    <row r="610" spans="1:15">
      <c r="A610" s="88">
        <v>538.35582321065772</v>
      </c>
      <c r="B610" s="88">
        <v>540.56908558081182</v>
      </c>
      <c r="C610" s="88">
        <v>531.77450406935213</v>
      </c>
      <c r="D610" s="88">
        <v>533.74302363393906</v>
      </c>
      <c r="E610" s="89">
        <v>7988904.2775656506</v>
      </c>
      <c r="F610" s="87" t="s">
        <v>629</v>
      </c>
      <c r="G610" s="25">
        <f t="shared" si="17"/>
        <v>8.6423604102829898E-3</v>
      </c>
      <c r="I610" s="88">
        <v>278.89999999999998</v>
      </c>
      <c r="J610" s="88">
        <v>281.35000000000002</v>
      </c>
      <c r="K610" s="88">
        <v>274.18</v>
      </c>
      <c r="L610" s="88">
        <v>276.17</v>
      </c>
      <c r="M610" s="89">
        <v>389561</v>
      </c>
      <c r="N610" s="87" t="s">
        <v>629</v>
      </c>
      <c r="O610" s="25">
        <f t="shared" si="18"/>
        <v>9.8852156280551107E-3</v>
      </c>
    </row>
    <row r="611" spans="1:15">
      <c r="A611" s="88">
        <v>541.91091078252362</v>
      </c>
      <c r="B611" s="88">
        <v>549.31489481649214</v>
      </c>
      <c r="C611" s="88">
        <v>541.3037057427008</v>
      </c>
      <c r="D611" s="88">
        <v>547.09174088036673</v>
      </c>
      <c r="E611" s="89">
        <v>6374880.6187930517</v>
      </c>
      <c r="F611" s="87" t="s">
        <v>630</v>
      </c>
      <c r="G611" s="25">
        <f t="shared" si="17"/>
        <v>-9.4697647774872884E-3</v>
      </c>
      <c r="I611" s="88">
        <v>278.38</v>
      </c>
      <c r="J611" s="88">
        <v>284.62</v>
      </c>
      <c r="K611" s="88">
        <v>277.39999999999998</v>
      </c>
      <c r="L611" s="88">
        <v>277.39999999999998</v>
      </c>
      <c r="M611" s="89">
        <v>514530</v>
      </c>
      <c r="N611" s="87" t="s">
        <v>630</v>
      </c>
      <c r="O611" s="25">
        <f t="shared" si="18"/>
        <v>3.5328046142755198E-3</v>
      </c>
    </row>
    <row r="612" spans="1:15">
      <c r="A612" s="88">
        <v>544.81961879586834</v>
      </c>
      <c r="B612" s="88">
        <v>546.26907598770345</v>
      </c>
      <c r="C612" s="88">
        <v>540.98051596344021</v>
      </c>
      <c r="D612" s="88">
        <v>543.90881123613417</v>
      </c>
      <c r="E612" s="89">
        <v>4387074.1928908778</v>
      </c>
      <c r="F612" s="87" t="s">
        <v>631</v>
      </c>
      <c r="G612" s="25">
        <f t="shared" si="17"/>
        <v>1.6745593028069106E-3</v>
      </c>
      <c r="I612" s="88">
        <v>280.02999999999997</v>
      </c>
      <c r="J612" s="88">
        <v>286.39</v>
      </c>
      <c r="K612" s="88">
        <v>277.37</v>
      </c>
      <c r="L612" s="88">
        <v>278.14</v>
      </c>
      <c r="M612" s="89">
        <v>434829</v>
      </c>
      <c r="N612" s="87" t="s">
        <v>631</v>
      </c>
      <c r="O612" s="25">
        <f t="shared" si="18"/>
        <v>6.795139138563222E-3</v>
      </c>
    </row>
    <row r="613" spans="1:15">
      <c r="A613" s="88">
        <v>541.98925981991999</v>
      </c>
      <c r="B613" s="88">
        <v>544.03612842190341</v>
      </c>
      <c r="C613" s="88">
        <v>539.59971211562367</v>
      </c>
      <c r="D613" s="88">
        <v>543.71293864264283</v>
      </c>
      <c r="E613" s="89">
        <v>4262435.0100176875</v>
      </c>
      <c r="F613" s="87" t="s">
        <v>632</v>
      </c>
      <c r="G613" s="25">
        <f t="shared" si="17"/>
        <v>-3.1702001188824713E-3</v>
      </c>
      <c r="I613" s="88">
        <v>277.11</v>
      </c>
      <c r="J613" s="88">
        <v>277.92</v>
      </c>
      <c r="K613" s="88">
        <v>273.82</v>
      </c>
      <c r="L613" s="88">
        <v>276.88</v>
      </c>
      <c r="M613" s="89">
        <v>778437</v>
      </c>
      <c r="N613" s="87" t="s">
        <v>632</v>
      </c>
      <c r="O613" s="25">
        <f t="shared" si="18"/>
        <v>8.3068477318692935E-4</v>
      </c>
    </row>
    <row r="614" spans="1:15">
      <c r="A614" s="88">
        <v>544.37890546051312</v>
      </c>
      <c r="B614" s="88">
        <v>545.16239583447805</v>
      </c>
      <c r="C614" s="88">
        <v>537.88572898627865</v>
      </c>
      <c r="D614" s="88">
        <v>540.90216692604361</v>
      </c>
      <c r="E614" s="89">
        <v>4252431.5686731096</v>
      </c>
      <c r="F614" s="87" t="s">
        <v>633</v>
      </c>
      <c r="G614" s="25">
        <f t="shared" si="17"/>
        <v>6.4276661234838883E-3</v>
      </c>
      <c r="I614" s="88">
        <v>275.97000000000003</v>
      </c>
      <c r="J614" s="88">
        <v>282.87</v>
      </c>
      <c r="K614" s="88">
        <v>273.67</v>
      </c>
      <c r="L614" s="88">
        <v>275.85000000000002</v>
      </c>
      <c r="M614" s="89">
        <v>764093</v>
      </c>
      <c r="N614" s="87" t="s">
        <v>633</v>
      </c>
      <c r="O614" s="25">
        <f t="shared" si="18"/>
        <v>4.3501903208276183E-4</v>
      </c>
    </row>
    <row r="615" spans="1:15">
      <c r="A615" s="88">
        <v>539.85424855086558</v>
      </c>
      <c r="B615" s="88">
        <v>540.01094662565856</v>
      </c>
      <c r="C615" s="88">
        <v>535.5450514940585</v>
      </c>
      <c r="D615" s="88">
        <v>535.642987790804</v>
      </c>
      <c r="E615" s="89">
        <v>7777897.7285465831</v>
      </c>
      <c r="F615" s="87" t="s">
        <v>634</v>
      </c>
      <c r="G615" s="25">
        <f t="shared" si="17"/>
        <v>7.8620664436035437E-3</v>
      </c>
      <c r="I615" s="88">
        <v>275.89499999999998</v>
      </c>
      <c r="J615" s="88">
        <v>282.87</v>
      </c>
      <c r="K615" s="88">
        <v>273.83499999999998</v>
      </c>
      <c r="L615" s="88">
        <v>280.41000000000003</v>
      </c>
      <c r="M615" s="89">
        <v>489390</v>
      </c>
      <c r="N615" s="87" t="s">
        <v>634</v>
      </c>
      <c r="O615" s="25">
        <f t="shared" si="18"/>
        <v>-1.6101422916443897E-2</v>
      </c>
    </row>
    <row r="616" spans="1:15">
      <c r="A616" s="88">
        <v>547.47369243767457</v>
      </c>
      <c r="B616" s="88">
        <v>550.06900430143344</v>
      </c>
      <c r="C616" s="88">
        <v>546.50412309989292</v>
      </c>
      <c r="D616" s="88">
        <v>549.1875776307229</v>
      </c>
      <c r="E616" s="89">
        <v>3688255.6519186026</v>
      </c>
      <c r="F616" s="87" t="s">
        <v>635</v>
      </c>
      <c r="G616" s="25">
        <f t="shared" si="17"/>
        <v>-3.1207646765104569E-3</v>
      </c>
      <c r="I616" s="88">
        <v>280.35000000000002</v>
      </c>
      <c r="J616" s="88">
        <v>280.73</v>
      </c>
      <c r="K616" s="88">
        <v>275.16500000000002</v>
      </c>
      <c r="L616" s="88">
        <v>275.27999999999997</v>
      </c>
      <c r="M616" s="89">
        <v>561665</v>
      </c>
      <c r="N616" s="87" t="s">
        <v>635</v>
      </c>
      <c r="O616" s="25">
        <f t="shared" si="18"/>
        <v>1.8417611159546876E-2</v>
      </c>
    </row>
    <row r="617" spans="1:15">
      <c r="A617" s="88">
        <v>549.12881585267553</v>
      </c>
      <c r="B617" s="88">
        <v>549.12881585267553</v>
      </c>
      <c r="C617" s="88">
        <v>545.30930027959641</v>
      </c>
      <c r="D617" s="88">
        <v>545.54434739178589</v>
      </c>
      <c r="E617" s="89">
        <v>6348900.4655245561</v>
      </c>
      <c r="F617" s="87" t="s">
        <v>636</v>
      </c>
      <c r="G617" s="25">
        <f t="shared" si="17"/>
        <v>6.5704437742353239E-3</v>
      </c>
      <c r="I617" s="88">
        <v>277.2</v>
      </c>
      <c r="J617" s="88">
        <v>279.97000000000003</v>
      </c>
      <c r="K617" s="88">
        <v>272</v>
      </c>
      <c r="L617" s="88">
        <v>279.23</v>
      </c>
      <c r="M617" s="89">
        <v>576132</v>
      </c>
      <c r="N617" s="87" t="s">
        <v>636</v>
      </c>
      <c r="O617" s="25">
        <f t="shared" si="18"/>
        <v>-7.2699924793182547E-3</v>
      </c>
    </row>
    <row r="618" spans="1:15">
      <c r="A618" s="88">
        <v>546.10258428323596</v>
      </c>
      <c r="B618" s="88">
        <v>547.39524546398138</v>
      </c>
      <c r="C618" s="88">
        <v>545.24074487187454</v>
      </c>
      <c r="D618" s="88">
        <v>545.69125183690437</v>
      </c>
      <c r="E618" s="89">
        <v>4880760.4114497164</v>
      </c>
      <c r="F618" s="87" t="s">
        <v>637</v>
      </c>
      <c r="G618" s="25">
        <f t="shared" si="17"/>
        <v>7.5378237226075839E-4</v>
      </c>
      <c r="I618" s="88">
        <v>278.89</v>
      </c>
      <c r="J618" s="88">
        <v>279.67599999999999</v>
      </c>
      <c r="K618" s="88">
        <v>274.36</v>
      </c>
      <c r="L618" s="88">
        <v>275.12</v>
      </c>
      <c r="M618" s="89">
        <v>562204</v>
      </c>
      <c r="N618" s="87" t="s">
        <v>637</v>
      </c>
      <c r="O618" s="25">
        <f t="shared" si="18"/>
        <v>1.370311136958402E-2</v>
      </c>
    </row>
    <row r="619" spans="1:15">
      <c r="A619" s="88">
        <v>543.01759093574901</v>
      </c>
      <c r="B619" s="88">
        <v>543.01759093574901</v>
      </c>
      <c r="C619" s="88">
        <v>539.13931358462253</v>
      </c>
      <c r="D619" s="88">
        <v>540.92175418539284</v>
      </c>
      <c r="E619" s="89">
        <v>5413394.396329632</v>
      </c>
      <c r="F619" s="87" t="s">
        <v>638</v>
      </c>
      <c r="G619" s="25">
        <f t="shared" si="17"/>
        <v>3.8745654692931009E-3</v>
      </c>
      <c r="I619" s="88">
        <v>276.08</v>
      </c>
      <c r="J619" s="88">
        <v>282.86</v>
      </c>
      <c r="K619" s="88">
        <v>275.87</v>
      </c>
      <c r="L619" s="88">
        <v>279.02</v>
      </c>
      <c r="M619" s="89">
        <v>633828</v>
      </c>
      <c r="N619" s="87" t="s">
        <v>638</v>
      </c>
      <c r="O619" s="25">
        <f t="shared" si="18"/>
        <v>-1.0536879076768702E-2</v>
      </c>
    </row>
    <row r="620" spans="1:15">
      <c r="A620" s="88">
        <v>538.12077609846824</v>
      </c>
      <c r="B620" s="88">
        <v>539.74651862444546</v>
      </c>
      <c r="C620" s="88">
        <v>536.37751001639617</v>
      </c>
      <c r="D620" s="88">
        <v>537.5919200960418</v>
      </c>
      <c r="E620" s="89">
        <v>6696854.1980259335</v>
      </c>
      <c r="F620" s="87" t="s">
        <v>639</v>
      </c>
      <c r="G620" s="25">
        <f t="shared" si="17"/>
        <v>9.83749908912257E-4</v>
      </c>
      <c r="I620" s="88">
        <v>275.81</v>
      </c>
      <c r="J620" s="88">
        <v>278.52999999999997</v>
      </c>
      <c r="K620" s="88">
        <v>273</v>
      </c>
      <c r="L620" s="88">
        <v>275.68</v>
      </c>
      <c r="M620" s="89">
        <v>554112</v>
      </c>
      <c r="N620" s="87" t="s">
        <v>639</v>
      </c>
      <c r="O620" s="25">
        <f t="shared" si="18"/>
        <v>4.7156123041203202E-4</v>
      </c>
    </row>
    <row r="621" spans="1:15">
      <c r="A621" s="88">
        <v>533.008501408347</v>
      </c>
      <c r="B621" s="88">
        <v>535.23165534447241</v>
      </c>
      <c r="C621" s="88">
        <v>532.17604288600921</v>
      </c>
      <c r="D621" s="88">
        <v>535.07495726967943</v>
      </c>
      <c r="E621" s="89">
        <v>3709300.9647238594</v>
      </c>
      <c r="F621" s="87" t="s">
        <v>640</v>
      </c>
      <c r="G621" s="25">
        <f t="shared" si="17"/>
        <v>-3.8619932277842439E-3</v>
      </c>
      <c r="I621" s="88">
        <v>272.86</v>
      </c>
      <c r="J621" s="88">
        <v>275.33</v>
      </c>
      <c r="K621" s="88">
        <v>263.28399999999999</v>
      </c>
      <c r="L621" s="88">
        <v>264.22000000000003</v>
      </c>
      <c r="M621" s="89">
        <v>694323</v>
      </c>
      <c r="N621" s="87" t="s">
        <v>640</v>
      </c>
      <c r="O621" s="25">
        <f t="shared" si="18"/>
        <v>3.2700022708349152E-2</v>
      </c>
    </row>
    <row r="622" spans="1:15">
      <c r="A622" s="88">
        <v>533.80178541198643</v>
      </c>
      <c r="B622" s="88">
        <v>534.85949741683908</v>
      </c>
      <c r="C622" s="88">
        <v>530.57968124905562</v>
      </c>
      <c r="D622" s="88">
        <v>531.63739325390839</v>
      </c>
      <c r="E622" s="89">
        <v>5419153.2418112513</v>
      </c>
      <c r="F622" s="87" t="s">
        <v>641</v>
      </c>
      <c r="G622" s="25">
        <f t="shared" si="17"/>
        <v>4.0711811951954502E-3</v>
      </c>
      <c r="I622" s="88">
        <v>264.38</v>
      </c>
      <c r="J622" s="88">
        <v>270.77499999999998</v>
      </c>
      <c r="K622" s="88">
        <v>263.13</v>
      </c>
      <c r="L622" s="88">
        <v>270.11</v>
      </c>
      <c r="M622" s="89">
        <v>654078</v>
      </c>
      <c r="N622" s="87" t="s">
        <v>641</v>
      </c>
      <c r="O622" s="25">
        <f t="shared" si="18"/>
        <v>-2.1213579652734182E-2</v>
      </c>
    </row>
    <row r="623" spans="1:15">
      <c r="A623" s="88">
        <v>524.21382196059051</v>
      </c>
      <c r="B623" s="88">
        <v>526.80560811766645</v>
      </c>
      <c r="C623" s="88">
        <v>520.83981860140727</v>
      </c>
      <c r="D623" s="88">
        <v>526.2313096735503</v>
      </c>
      <c r="E623" s="89">
        <v>9005857.1674497277</v>
      </c>
      <c r="F623" s="87" t="s">
        <v>642</v>
      </c>
      <c r="G623" s="25">
        <f t="shared" si="17"/>
        <v>-3.8338420308198229E-3</v>
      </c>
      <c r="I623" s="88">
        <v>267.04000000000002</v>
      </c>
      <c r="J623" s="88">
        <v>271.13</v>
      </c>
      <c r="K623" s="88">
        <v>262.49</v>
      </c>
      <c r="L623" s="88">
        <v>268.89999999999998</v>
      </c>
      <c r="M623" s="89">
        <v>472937</v>
      </c>
      <c r="N623" s="87" t="s">
        <v>642</v>
      </c>
      <c r="O623" s="25">
        <f t="shared" si="18"/>
        <v>-6.917069542580756E-3</v>
      </c>
    </row>
    <row r="624" spans="1:15">
      <c r="A624" s="88">
        <v>523.54785514272032</v>
      </c>
      <c r="B624" s="88">
        <v>523.8710449219808</v>
      </c>
      <c r="C624" s="88">
        <v>518.10259704366399</v>
      </c>
      <c r="D624" s="88">
        <v>518.47475497129733</v>
      </c>
      <c r="E624" s="89">
        <v>5739456.3474257058</v>
      </c>
      <c r="F624" s="87" t="s">
        <v>643</v>
      </c>
      <c r="G624" s="25">
        <f t="shared" si="17"/>
        <v>9.7846618813752784E-3</v>
      </c>
      <c r="I624" s="88">
        <v>267.99</v>
      </c>
      <c r="J624" s="88">
        <v>271.32</v>
      </c>
      <c r="K624" s="88">
        <v>260.83999999999997</v>
      </c>
      <c r="L624" s="88">
        <v>271.32</v>
      </c>
      <c r="M624" s="89">
        <v>453436</v>
      </c>
      <c r="N624" s="87" t="s">
        <v>643</v>
      </c>
      <c r="O624" s="25">
        <f t="shared" si="18"/>
        <v>-1.2273330384785397E-2</v>
      </c>
    </row>
    <row r="625" spans="1:15">
      <c r="A625" s="88">
        <v>522.87209469517552</v>
      </c>
      <c r="B625" s="88">
        <v>527.63179871701254</v>
      </c>
      <c r="C625" s="88">
        <v>521.02109868668344</v>
      </c>
      <c r="D625" s="88">
        <v>527.5926241983143</v>
      </c>
      <c r="E625" s="89">
        <v>8102411.7346514985</v>
      </c>
      <c r="F625" s="87" t="s">
        <v>644</v>
      </c>
      <c r="G625" s="25">
        <f t="shared" si="17"/>
        <v>-8.9473000315569706E-3</v>
      </c>
      <c r="I625" s="88">
        <v>271.83</v>
      </c>
      <c r="J625" s="88">
        <v>274.45</v>
      </c>
      <c r="K625" s="88">
        <v>266.89</v>
      </c>
      <c r="L625" s="88">
        <v>268.18</v>
      </c>
      <c r="M625" s="89">
        <v>557632</v>
      </c>
      <c r="N625" s="87" t="s">
        <v>644</v>
      </c>
      <c r="O625" s="25">
        <f t="shared" si="18"/>
        <v>1.3610261764486431E-2</v>
      </c>
    </row>
    <row r="626" spans="1:15">
      <c r="A626" s="88">
        <v>530.95183917668896</v>
      </c>
      <c r="B626" s="88">
        <v>531.79409132870126</v>
      </c>
      <c r="C626" s="88">
        <v>526.97562552881698</v>
      </c>
      <c r="D626" s="88">
        <v>530.14876154337492</v>
      </c>
      <c r="E626" s="89">
        <v>4407966.3449120494</v>
      </c>
      <c r="F626" s="87" t="s">
        <v>645</v>
      </c>
      <c r="G626" s="25">
        <f t="shared" si="17"/>
        <v>1.5148156358530951E-3</v>
      </c>
      <c r="I626" s="88">
        <v>270.36</v>
      </c>
      <c r="J626" s="88">
        <v>271.35199999999998</v>
      </c>
      <c r="K626" s="88">
        <v>263</v>
      </c>
      <c r="L626" s="88">
        <v>264.17</v>
      </c>
      <c r="M626" s="89">
        <v>363198</v>
      </c>
      <c r="N626" s="87" t="s">
        <v>645</v>
      </c>
      <c r="O626" s="25">
        <f t="shared" si="18"/>
        <v>2.3431880985728792E-2</v>
      </c>
    </row>
    <row r="627" spans="1:15">
      <c r="A627" s="88">
        <v>530.23690421044591</v>
      </c>
      <c r="B627" s="88">
        <v>538.25788691391199</v>
      </c>
      <c r="C627" s="88">
        <v>528.42508272065197</v>
      </c>
      <c r="D627" s="88">
        <v>537.98366528302438</v>
      </c>
      <c r="E627" s="89">
        <v>5496669.9567807671</v>
      </c>
      <c r="F627" s="87" t="s">
        <v>646</v>
      </c>
      <c r="G627" s="25">
        <f t="shared" si="17"/>
        <v>-1.4399621350033032E-2</v>
      </c>
      <c r="I627" s="88">
        <v>265.64999999999998</v>
      </c>
      <c r="J627" s="88">
        <v>269.63</v>
      </c>
      <c r="K627" s="88">
        <v>263.94</v>
      </c>
      <c r="L627" s="88">
        <v>267.83999999999997</v>
      </c>
      <c r="M627" s="89">
        <v>510998</v>
      </c>
      <c r="N627" s="87" t="s">
        <v>646</v>
      </c>
      <c r="O627" s="25">
        <f t="shared" si="18"/>
        <v>-8.1765232974910784E-3</v>
      </c>
    </row>
    <row r="628" spans="1:15">
      <c r="A628" s="88">
        <v>536.26978008997605</v>
      </c>
      <c r="B628" s="88">
        <v>540.05012114435681</v>
      </c>
      <c r="C628" s="88">
        <v>534.55589489692773</v>
      </c>
      <c r="D628" s="88">
        <v>536.96512779686987</v>
      </c>
      <c r="E628" s="89">
        <v>6109517.3075020006</v>
      </c>
      <c r="F628" s="87" t="s">
        <v>647</v>
      </c>
      <c r="G628" s="25">
        <f t="shared" si="17"/>
        <v>-1.2949587801851514E-3</v>
      </c>
      <c r="I628" s="88">
        <v>268.41000000000003</v>
      </c>
      <c r="J628" s="88">
        <v>269.94</v>
      </c>
      <c r="K628" s="88">
        <v>265.49</v>
      </c>
      <c r="L628" s="88">
        <v>267.64999999999998</v>
      </c>
      <c r="M628" s="89">
        <v>538688</v>
      </c>
      <c r="N628" s="87" t="s">
        <v>647</v>
      </c>
      <c r="O628" s="25">
        <f t="shared" si="18"/>
        <v>2.8395292359426616E-3</v>
      </c>
    </row>
    <row r="629" spans="1:15">
      <c r="A629" s="88">
        <v>533.16519948313987</v>
      </c>
      <c r="B629" s="88">
        <v>533.63529370751894</v>
      </c>
      <c r="C629" s="88">
        <v>528.07251205236787</v>
      </c>
      <c r="D629" s="88">
        <v>529.04208139014952</v>
      </c>
      <c r="E629" s="89">
        <v>6554937.4576359922</v>
      </c>
      <c r="F629" s="87" t="s">
        <v>648</v>
      </c>
      <c r="G629" s="25">
        <f t="shared" si="17"/>
        <v>7.7935541198463909E-3</v>
      </c>
      <c r="I629" s="88">
        <v>266.3</v>
      </c>
      <c r="J629" s="88">
        <v>267.67</v>
      </c>
      <c r="K629" s="88">
        <v>257.89</v>
      </c>
      <c r="L629" s="88">
        <v>258</v>
      </c>
      <c r="M629" s="89">
        <v>465453</v>
      </c>
      <c r="N629" s="87" t="s">
        <v>648</v>
      </c>
      <c r="O629" s="25">
        <f t="shared" si="18"/>
        <v>3.2170542635658883E-2</v>
      </c>
    </row>
    <row r="630" spans="1:15">
      <c r="A630" s="88">
        <v>526.36842048899416</v>
      </c>
      <c r="B630" s="88">
        <v>532.32284939483088</v>
      </c>
      <c r="C630" s="88">
        <v>522.77905521326716</v>
      </c>
      <c r="D630" s="88">
        <v>530.83431562059423</v>
      </c>
      <c r="E630" s="89">
        <v>7293208.1744449344</v>
      </c>
      <c r="F630" s="87" t="s">
        <v>649</v>
      </c>
      <c r="G630" s="25">
        <f t="shared" si="17"/>
        <v>-8.4129736910075748E-3</v>
      </c>
      <c r="I630" s="88">
        <v>256.85000000000002</v>
      </c>
      <c r="J630" s="88">
        <v>263.82990000000001</v>
      </c>
      <c r="K630" s="88">
        <v>255.2</v>
      </c>
      <c r="L630" s="88">
        <v>259.83999999999997</v>
      </c>
      <c r="M630" s="89">
        <v>520912</v>
      </c>
      <c r="N630" s="87" t="s">
        <v>649</v>
      </c>
      <c r="O630" s="25">
        <f t="shared" si="18"/>
        <v>-1.1507081280788034E-2</v>
      </c>
    </row>
    <row r="631" spans="1:15">
      <c r="A631" s="88">
        <v>527.69056049505991</v>
      </c>
      <c r="B631" s="88">
        <v>531.85784785788269</v>
      </c>
      <c r="C631" s="88">
        <v>526.30975664724338</v>
      </c>
      <c r="D631" s="88">
        <v>531.25544169660043</v>
      </c>
      <c r="E631" s="89">
        <v>6168040.0431011133</v>
      </c>
      <c r="F631" s="87" t="s">
        <v>650</v>
      </c>
      <c r="G631" s="25">
        <f t="shared" si="17"/>
        <v>-6.7102958798046508E-3</v>
      </c>
      <c r="I631" s="88">
        <v>261.07</v>
      </c>
      <c r="J631" s="88">
        <v>265.46499999999997</v>
      </c>
      <c r="K631" s="88">
        <v>259.40499999999997</v>
      </c>
      <c r="L631" s="88">
        <v>264.75</v>
      </c>
      <c r="M631" s="89">
        <v>327345</v>
      </c>
      <c r="N631" s="87" t="s">
        <v>650</v>
      </c>
      <c r="O631" s="25">
        <f t="shared" si="18"/>
        <v>-1.3899905571293725E-2</v>
      </c>
    </row>
    <row r="632" spans="1:15">
      <c r="A632" s="88">
        <v>529.82557176411444</v>
      </c>
      <c r="B632" s="88">
        <v>532.86159696322852</v>
      </c>
      <c r="C632" s="88">
        <v>526.30965871094668</v>
      </c>
      <c r="D632" s="88">
        <v>529.40444568810813</v>
      </c>
      <c r="E632" s="89">
        <v>6642163.5452446435</v>
      </c>
      <c r="F632" s="87" t="s">
        <v>651</v>
      </c>
      <c r="G632" s="25">
        <f t="shared" si="17"/>
        <v>7.9547136303115273E-4</v>
      </c>
      <c r="I632" s="88">
        <v>263.36</v>
      </c>
      <c r="J632" s="88">
        <v>264.23500000000001</v>
      </c>
      <c r="K632" s="88">
        <v>259.31009999999998</v>
      </c>
      <c r="L632" s="88">
        <v>262.56</v>
      </c>
      <c r="M632" s="89">
        <v>338890</v>
      </c>
      <c r="N632" s="87" t="s">
        <v>651</v>
      </c>
      <c r="O632" s="25">
        <f t="shared" si="18"/>
        <v>3.0469226081657474E-3</v>
      </c>
    </row>
    <row r="633" spans="1:15">
      <c r="A633" s="88">
        <v>535.78989223592248</v>
      </c>
      <c r="B633" s="88">
        <v>538.27747417326111</v>
      </c>
      <c r="C633" s="88">
        <v>531.9900618584893</v>
      </c>
      <c r="D633" s="88">
        <v>538.03263343139713</v>
      </c>
      <c r="E633" s="89">
        <v>7226263.6378649008</v>
      </c>
      <c r="F633" s="87" t="s">
        <v>652</v>
      </c>
      <c r="G633" s="25">
        <f t="shared" si="17"/>
        <v>-4.1684110890657378E-3</v>
      </c>
      <c r="I633" s="88">
        <v>265.12</v>
      </c>
      <c r="J633" s="88">
        <v>266.58999999999997</v>
      </c>
      <c r="K633" s="88">
        <v>262.27</v>
      </c>
      <c r="L633" s="88">
        <v>262.61</v>
      </c>
      <c r="M633" s="89">
        <v>312876</v>
      </c>
      <c r="N633" s="87" t="s">
        <v>652</v>
      </c>
      <c r="O633" s="25">
        <f t="shared" si="18"/>
        <v>9.5578995468565964E-3</v>
      </c>
    </row>
    <row r="634" spans="1:15">
      <c r="A634" s="88">
        <v>541.4016420394463</v>
      </c>
      <c r="B634" s="88">
        <v>542.53770308169555</v>
      </c>
      <c r="C634" s="88">
        <v>538.57138099979477</v>
      </c>
      <c r="D634" s="88">
        <v>539.82486766184195</v>
      </c>
      <c r="E634" s="89">
        <v>4591012.8822603412</v>
      </c>
      <c r="F634" s="87" t="s">
        <v>653</v>
      </c>
      <c r="G634" s="25">
        <f t="shared" si="17"/>
        <v>2.9208998548619913E-3</v>
      </c>
      <c r="I634" s="88">
        <v>265.68</v>
      </c>
      <c r="J634" s="88">
        <v>266.42</v>
      </c>
      <c r="K634" s="88">
        <v>261.26</v>
      </c>
      <c r="L634" s="88">
        <v>261.26</v>
      </c>
      <c r="M634" s="89">
        <v>244040</v>
      </c>
      <c r="N634" s="87" t="s">
        <v>653</v>
      </c>
      <c r="O634" s="25">
        <f t="shared" si="18"/>
        <v>1.6918012707647589E-2</v>
      </c>
    </row>
    <row r="635" spans="1:15">
      <c r="A635" s="88">
        <v>541.41143566912092</v>
      </c>
      <c r="B635" s="88">
        <v>541.48978470651741</v>
      </c>
      <c r="C635" s="88">
        <v>536.24039920095231</v>
      </c>
      <c r="D635" s="88">
        <v>536.74966794402951</v>
      </c>
      <c r="E635" s="89">
        <v>3511721.511109631</v>
      </c>
      <c r="F635" s="87" t="s">
        <v>654</v>
      </c>
      <c r="G635" s="25">
        <f t="shared" si="17"/>
        <v>8.6851804546947964E-3</v>
      </c>
      <c r="I635" s="88">
        <v>263.23</v>
      </c>
      <c r="J635" s="88">
        <v>264.16500000000002</v>
      </c>
      <c r="K635" s="88">
        <v>261.54000000000002</v>
      </c>
      <c r="L635" s="88">
        <v>263.91000000000003</v>
      </c>
      <c r="M635" s="89">
        <v>140073</v>
      </c>
      <c r="N635" s="87" t="s">
        <v>654</v>
      </c>
      <c r="O635" s="25">
        <f t="shared" si="18"/>
        <v>-2.5766359743851774E-3</v>
      </c>
    </row>
    <row r="636" spans="1:15">
      <c r="A636" s="88">
        <v>535.89762216234271</v>
      </c>
      <c r="B636" s="88">
        <v>536.0641138668102</v>
      </c>
      <c r="C636" s="88">
        <v>529.16939857591876</v>
      </c>
      <c r="D636" s="88">
        <v>532.09769384861261</v>
      </c>
      <c r="E636" s="89">
        <v>7212193.2671669023</v>
      </c>
      <c r="F636" s="87" t="s">
        <v>655</v>
      </c>
      <c r="G636" s="25">
        <f t="shared" ref="G636:G699" si="19">A636/D636-1</f>
        <v>7.1414109808398685E-3</v>
      </c>
      <c r="I636" s="88">
        <v>263.33</v>
      </c>
      <c r="J636" s="88">
        <v>266.44</v>
      </c>
      <c r="K636" s="88">
        <v>258.97000000000003</v>
      </c>
      <c r="L636" s="88">
        <v>264.82</v>
      </c>
      <c r="M636" s="89">
        <v>493759</v>
      </c>
      <c r="N636" s="87" t="s">
        <v>655</v>
      </c>
      <c r="O636" s="25">
        <f t="shared" ref="O636:O699" si="20">I636/L636-1</f>
        <v>-5.6264632580621532E-3</v>
      </c>
    </row>
    <row r="637" spans="1:15">
      <c r="A637" s="88">
        <v>532.08936923795716</v>
      </c>
      <c r="B637" s="88">
        <v>536.48244527195607</v>
      </c>
      <c r="C637" s="88">
        <v>523.11773173741256</v>
      </c>
      <c r="D637" s="88">
        <v>523.85967346759912</v>
      </c>
      <c r="E637" s="89">
        <v>9617943.8218231741</v>
      </c>
      <c r="F637" s="87" t="s">
        <v>656</v>
      </c>
      <c r="G637" s="25">
        <f t="shared" si="19"/>
        <v>1.5709733325879105E-2</v>
      </c>
      <c r="I637" s="88">
        <v>266.57</v>
      </c>
      <c r="J637" s="88">
        <v>270.7</v>
      </c>
      <c r="K637" s="88">
        <v>256.56</v>
      </c>
      <c r="L637" s="88">
        <v>256.56</v>
      </c>
      <c r="M637" s="89">
        <v>1466069</v>
      </c>
      <c r="N637" s="87" t="s">
        <v>656</v>
      </c>
      <c r="O637" s="25">
        <f t="shared" si="20"/>
        <v>3.9016214530714022E-2</v>
      </c>
    </row>
    <row r="638" spans="1:15">
      <c r="A638" s="88">
        <v>526.13431061409199</v>
      </c>
      <c r="B638" s="88">
        <v>532.1479435850772</v>
      </c>
      <c r="C638" s="88">
        <v>525.85120126967854</v>
      </c>
      <c r="D638" s="88">
        <v>530.7714464277575</v>
      </c>
      <c r="E638" s="89">
        <v>17200831.926237825</v>
      </c>
      <c r="F638" s="87" t="s">
        <v>657</v>
      </c>
      <c r="G638" s="25">
        <f t="shared" si="19"/>
        <v>-8.7365962221116478E-3</v>
      </c>
      <c r="I638" s="88">
        <v>256.56</v>
      </c>
      <c r="J638" s="88">
        <v>259.04000000000002</v>
      </c>
      <c r="K638" s="88">
        <v>254.7869</v>
      </c>
      <c r="L638" s="88">
        <v>256.5</v>
      </c>
      <c r="M638" s="89">
        <v>676988</v>
      </c>
      <c r="N638" s="87" t="s">
        <v>657</v>
      </c>
      <c r="O638" s="25">
        <f t="shared" si="20"/>
        <v>2.339181286550307E-4</v>
      </c>
    </row>
    <row r="639" spans="1:15">
      <c r="A639" s="88">
        <v>526.3295584378252</v>
      </c>
      <c r="B639" s="88">
        <v>544.28259583010095</v>
      </c>
      <c r="C639" s="88">
        <v>525.73405257543857</v>
      </c>
      <c r="D639" s="88">
        <v>542.10558259547486</v>
      </c>
      <c r="E639" s="89">
        <v>25183307.583067782</v>
      </c>
      <c r="F639" s="87" t="s">
        <v>658</v>
      </c>
      <c r="G639" s="25">
        <f t="shared" si="19"/>
        <v>-2.9101386637853333E-2</v>
      </c>
      <c r="I639" s="88">
        <v>256.44</v>
      </c>
      <c r="J639" s="88">
        <v>262.67</v>
      </c>
      <c r="K639" s="88">
        <v>256.33</v>
      </c>
      <c r="L639" s="88">
        <v>261.88</v>
      </c>
      <c r="M639" s="89">
        <v>873327</v>
      </c>
      <c r="N639" s="87" t="s">
        <v>658</v>
      </c>
      <c r="O639" s="25">
        <f t="shared" si="20"/>
        <v>-2.0772873071635889E-2</v>
      </c>
    </row>
    <row r="640" spans="1:15">
      <c r="A640" s="88">
        <v>542.25201846327491</v>
      </c>
      <c r="B640" s="88">
        <v>543.16480203922799</v>
      </c>
      <c r="C640" s="88">
        <v>541.11958108562169</v>
      </c>
      <c r="D640" s="88">
        <v>542.27154324564822</v>
      </c>
      <c r="E640" s="89">
        <v>6259613.9441201277</v>
      </c>
      <c r="F640" s="87" t="s">
        <v>659</v>
      </c>
      <c r="G640" s="25">
        <f t="shared" si="19"/>
        <v>-3.6005544853834337E-5</v>
      </c>
      <c r="I640" s="88">
        <v>263.35000000000002</v>
      </c>
      <c r="J640" s="88">
        <v>265.67</v>
      </c>
      <c r="K640" s="88">
        <v>258.95999999999998</v>
      </c>
      <c r="L640" s="88">
        <v>262.99</v>
      </c>
      <c r="M640" s="89">
        <v>581818</v>
      </c>
      <c r="N640" s="87" t="s">
        <v>659</v>
      </c>
      <c r="O640" s="25">
        <f t="shared" si="20"/>
        <v>1.3688733411916232E-3</v>
      </c>
    </row>
    <row r="641" spans="1:15">
      <c r="A641" s="88">
        <v>544.53641800095431</v>
      </c>
      <c r="B641" s="88">
        <v>545.52075990430569</v>
      </c>
      <c r="C641" s="88">
        <v>543.19408921278796</v>
      </c>
      <c r="D641" s="88">
        <v>543.89210018263441</v>
      </c>
      <c r="E641" s="89">
        <v>23402851.374373399</v>
      </c>
      <c r="F641" s="87" t="s">
        <v>660</v>
      </c>
      <c r="G641" s="25">
        <f t="shared" si="19"/>
        <v>1.1846427225243872E-3</v>
      </c>
      <c r="I641" s="88">
        <v>265.5</v>
      </c>
      <c r="J641" s="88">
        <v>271.17500000000001</v>
      </c>
      <c r="K641" s="88">
        <v>263.73</v>
      </c>
      <c r="L641" s="88">
        <v>267.60000000000002</v>
      </c>
      <c r="M641" s="89">
        <v>551504</v>
      </c>
      <c r="N641" s="87" t="s">
        <v>660</v>
      </c>
      <c r="O641" s="25">
        <f t="shared" si="20"/>
        <v>-7.8475336322870737E-3</v>
      </c>
    </row>
    <row r="642" spans="1:15">
      <c r="A642" s="88">
        <v>542.4082167222615</v>
      </c>
      <c r="B642" s="88">
        <v>544.89762647486089</v>
      </c>
      <c r="C642" s="88">
        <v>541.03601501706385</v>
      </c>
      <c r="D642" s="88">
        <v>544.26307104772764</v>
      </c>
      <c r="E642" s="89">
        <v>4780450.7223343104</v>
      </c>
      <c r="F642" s="87" t="s">
        <v>661</v>
      </c>
      <c r="G642" s="25">
        <f t="shared" si="19"/>
        <v>-3.4080106186433756E-3</v>
      </c>
      <c r="I642" s="88">
        <v>269.33999999999997</v>
      </c>
      <c r="J642" s="88">
        <v>272.77</v>
      </c>
      <c r="K642" s="88">
        <v>266.45159999999998</v>
      </c>
      <c r="L642" s="88">
        <v>271.75</v>
      </c>
      <c r="M642" s="89">
        <v>571881</v>
      </c>
      <c r="N642" s="87" t="s">
        <v>661</v>
      </c>
      <c r="O642" s="25">
        <f t="shared" si="20"/>
        <v>-8.8684452621895504E-3</v>
      </c>
    </row>
    <row r="643" spans="1:15">
      <c r="A643" s="88">
        <v>542.44726628700812</v>
      </c>
      <c r="B643" s="88">
        <v>544.93667603960762</v>
      </c>
      <c r="C643" s="88">
        <v>542.41797911344815</v>
      </c>
      <c r="D643" s="88">
        <v>544.41926930671434</v>
      </c>
      <c r="E643" s="89">
        <v>4147141.7428247058</v>
      </c>
      <c r="F643" s="87" t="s">
        <v>662</v>
      </c>
      <c r="G643" s="25">
        <f t="shared" si="19"/>
        <v>-3.6222138540714655E-3</v>
      </c>
      <c r="I643" s="88">
        <v>271.73</v>
      </c>
      <c r="J643" s="88">
        <v>279.77</v>
      </c>
      <c r="K643" s="88">
        <v>270.37</v>
      </c>
      <c r="L643" s="88">
        <v>276.42</v>
      </c>
      <c r="M643" s="89">
        <v>611158</v>
      </c>
      <c r="N643" s="87" t="s">
        <v>662</v>
      </c>
      <c r="O643" s="25">
        <f t="shared" si="20"/>
        <v>-1.6966934375226117E-2</v>
      </c>
    </row>
    <row r="644" spans="1:15">
      <c r="A644" s="88">
        <v>545.25883494876746</v>
      </c>
      <c r="B644" s="88">
        <v>546.09840059082057</v>
      </c>
      <c r="C644" s="88">
        <v>543.43326779686117</v>
      </c>
      <c r="D644" s="88">
        <v>543.68708996771443</v>
      </c>
      <c r="E644" s="89">
        <v>3599955.106081747</v>
      </c>
      <c r="F644" s="87" t="s">
        <v>663</v>
      </c>
      <c r="G644" s="25">
        <f t="shared" si="19"/>
        <v>2.8908999497236909E-3</v>
      </c>
      <c r="I644" s="88">
        <v>273.47000000000003</v>
      </c>
      <c r="J644" s="88">
        <v>279.39</v>
      </c>
      <c r="K644" s="88">
        <v>273.17</v>
      </c>
      <c r="L644" s="88">
        <v>277.41000000000003</v>
      </c>
      <c r="M644" s="89">
        <v>664005</v>
      </c>
      <c r="N644" s="87" t="s">
        <v>663</v>
      </c>
      <c r="O644" s="25">
        <f t="shared" si="20"/>
        <v>-1.420280451317546E-2</v>
      </c>
    </row>
    <row r="645" spans="1:15">
      <c r="A645" s="88">
        <v>541.15863065036842</v>
      </c>
      <c r="B645" s="88">
        <v>543.64804040296781</v>
      </c>
      <c r="C645" s="88">
        <v>540.41668892018197</v>
      </c>
      <c r="D645" s="88">
        <v>543.35516866736793</v>
      </c>
      <c r="E645" s="89">
        <v>4210149.8714930434</v>
      </c>
      <c r="F645" s="87" t="s">
        <v>664</v>
      </c>
      <c r="G645" s="25">
        <f t="shared" si="19"/>
        <v>-4.0425455460131321E-3</v>
      </c>
      <c r="I645" s="88">
        <v>274.79000000000002</v>
      </c>
      <c r="J645" s="88">
        <v>278.70999999999998</v>
      </c>
      <c r="K645" s="88">
        <v>263.64</v>
      </c>
      <c r="L645" s="88">
        <v>266.88</v>
      </c>
      <c r="M645" s="89">
        <v>781555</v>
      </c>
      <c r="N645" s="87" t="s">
        <v>664</v>
      </c>
      <c r="O645" s="25">
        <f t="shared" si="20"/>
        <v>2.9638788968824992E-2</v>
      </c>
    </row>
    <row r="646" spans="1:15">
      <c r="A646" s="88">
        <v>542.70108845786137</v>
      </c>
      <c r="B646" s="88">
        <v>545.58587505352068</v>
      </c>
      <c r="C646" s="88">
        <v>542.18368172496821</v>
      </c>
      <c r="D646" s="88">
        <v>545.43455799012747</v>
      </c>
      <c r="E646" s="89">
        <v>4519667.2778563118</v>
      </c>
      <c r="F646" s="87" t="s">
        <v>665</v>
      </c>
      <c r="G646" s="25">
        <f t="shared" si="19"/>
        <v>-5.0115444506095841E-3</v>
      </c>
      <c r="I646" s="88">
        <v>265.12</v>
      </c>
      <c r="J646" s="88">
        <v>267.10000000000002</v>
      </c>
      <c r="K646" s="88">
        <v>263.18</v>
      </c>
      <c r="L646" s="88">
        <v>266.08999999999997</v>
      </c>
      <c r="M646" s="89">
        <v>437549</v>
      </c>
      <c r="N646" s="87" t="s">
        <v>665</v>
      </c>
      <c r="O646" s="25">
        <f t="shared" si="20"/>
        <v>-3.6453831410423465E-3</v>
      </c>
    </row>
    <row r="647" spans="1:15">
      <c r="A647" s="88">
        <v>545.54194429318079</v>
      </c>
      <c r="B647" s="88">
        <v>546.65485688846047</v>
      </c>
      <c r="C647" s="88">
        <v>544.81952734536765</v>
      </c>
      <c r="D647" s="88">
        <v>545.20026060164753</v>
      </c>
      <c r="E647" s="89">
        <v>5259858.8827441484</v>
      </c>
      <c r="F647" s="87" t="s">
        <v>666</v>
      </c>
      <c r="G647" s="25">
        <f t="shared" si="19"/>
        <v>6.2671226744503983E-4</v>
      </c>
      <c r="I647" s="88">
        <v>265.46499999999997</v>
      </c>
      <c r="J647" s="88">
        <v>270.29000000000002</v>
      </c>
      <c r="K647" s="88">
        <v>264.68799999999999</v>
      </c>
      <c r="L647" s="88">
        <v>267.39</v>
      </c>
      <c r="M647" s="89">
        <v>443137</v>
      </c>
      <c r="N647" s="87" t="s">
        <v>666</v>
      </c>
      <c r="O647" s="25">
        <f t="shared" si="20"/>
        <v>-7.1992221100265485E-3</v>
      </c>
    </row>
    <row r="648" spans="1:15">
      <c r="A648" s="88">
        <v>544.45831887146096</v>
      </c>
      <c r="B648" s="88">
        <v>546.11792537319388</v>
      </c>
      <c r="C648" s="88">
        <v>544.21425909179436</v>
      </c>
      <c r="D648" s="88">
        <v>545.35645886063412</v>
      </c>
      <c r="E648" s="89">
        <v>3095103.3842277308</v>
      </c>
      <c r="F648" s="87" t="s">
        <v>667</v>
      </c>
      <c r="G648" s="25">
        <f t="shared" si="19"/>
        <v>-1.6468861321448092E-3</v>
      </c>
      <c r="I648" s="88">
        <v>267.58</v>
      </c>
      <c r="J648" s="88">
        <v>275.33999999999997</v>
      </c>
      <c r="K648" s="88">
        <v>267.005</v>
      </c>
      <c r="L648" s="88">
        <v>269</v>
      </c>
      <c r="M648" s="89">
        <v>518299</v>
      </c>
      <c r="N648" s="87" t="s">
        <v>667</v>
      </c>
      <c r="O648" s="25">
        <f t="shared" si="20"/>
        <v>-5.2788104089219745E-3</v>
      </c>
    </row>
    <row r="649" spans="1:15">
      <c r="A649" s="88">
        <v>545.36622125182078</v>
      </c>
      <c r="B649" s="88">
        <v>545.60051864030072</v>
      </c>
      <c r="C649" s="88">
        <v>542.95588686783333</v>
      </c>
      <c r="D649" s="88">
        <v>543.59922844703453</v>
      </c>
      <c r="E649" s="89">
        <v>5623951.0331237996</v>
      </c>
      <c r="F649" s="87" t="s">
        <v>668</v>
      </c>
      <c r="G649" s="25">
        <f t="shared" si="19"/>
        <v>3.2505432537757173E-3</v>
      </c>
      <c r="I649" s="88">
        <v>269.20999999999998</v>
      </c>
      <c r="J649" s="88">
        <v>270.81</v>
      </c>
      <c r="K649" s="88">
        <v>265.54500000000002</v>
      </c>
      <c r="L649" s="88">
        <v>270.01</v>
      </c>
      <c r="M649" s="89">
        <v>508895</v>
      </c>
      <c r="N649" s="87" t="s">
        <v>668</v>
      </c>
      <c r="O649" s="25">
        <f t="shared" si="20"/>
        <v>-2.9628532276583242E-3</v>
      </c>
    </row>
    <row r="650" spans="1:15">
      <c r="A650" s="88">
        <v>541.94938433648827</v>
      </c>
      <c r="B650" s="88">
        <v>542.23259130481335</v>
      </c>
      <c r="C650" s="88">
        <v>540.63146152628849</v>
      </c>
      <c r="D650" s="88">
        <v>541.61746303614154</v>
      </c>
      <c r="E650" s="89">
        <v>4305201.379085524</v>
      </c>
      <c r="F650" s="87" t="s">
        <v>669</v>
      </c>
      <c r="G650" s="25">
        <f t="shared" si="19"/>
        <v>6.1283345349694152E-4</v>
      </c>
      <c r="I650" s="88">
        <v>269.66000000000003</v>
      </c>
      <c r="J650" s="88">
        <v>270.55500000000001</v>
      </c>
      <c r="K650" s="88">
        <v>264.8</v>
      </c>
      <c r="L650" s="88">
        <v>265.13</v>
      </c>
      <c r="M650" s="89">
        <v>662799</v>
      </c>
      <c r="N650" s="87" t="s">
        <v>669</v>
      </c>
      <c r="O650" s="25">
        <f t="shared" si="20"/>
        <v>1.7085957832007059E-2</v>
      </c>
    </row>
    <row r="651" spans="1:15">
      <c r="A651" s="88">
        <v>541.82247325106164</v>
      </c>
      <c r="B651" s="88">
        <v>542.36916715751488</v>
      </c>
      <c r="C651" s="88">
        <v>540.72908543815515</v>
      </c>
      <c r="D651" s="88">
        <v>541.18791782392839</v>
      </c>
      <c r="E651" s="89">
        <v>5573440.8670618637</v>
      </c>
      <c r="F651" s="87" t="s">
        <v>670</v>
      </c>
      <c r="G651" s="25">
        <f t="shared" si="19"/>
        <v>1.1725232700772192E-3</v>
      </c>
      <c r="I651" s="88">
        <v>266.49</v>
      </c>
      <c r="J651" s="88">
        <v>270.19</v>
      </c>
      <c r="K651" s="88">
        <v>264.52999999999997</v>
      </c>
      <c r="L651" s="88">
        <v>267.58</v>
      </c>
      <c r="M651" s="89">
        <v>610065</v>
      </c>
      <c r="N651" s="87" t="s">
        <v>670</v>
      </c>
      <c r="O651" s="25">
        <f t="shared" si="20"/>
        <v>-4.0735480977650562E-3</v>
      </c>
    </row>
    <row r="652" spans="1:15">
      <c r="A652" s="88">
        <v>540.299540225942</v>
      </c>
      <c r="B652" s="88">
        <v>541.51983912427499</v>
      </c>
      <c r="C652" s="88">
        <v>537.97609112351586</v>
      </c>
      <c r="D652" s="88">
        <v>538.19086372962238</v>
      </c>
      <c r="E652" s="89">
        <v>4085809.4330912149</v>
      </c>
      <c r="F652" s="87" t="s">
        <v>671</v>
      </c>
      <c r="G652" s="25">
        <f t="shared" si="19"/>
        <v>3.9180830415934675E-3</v>
      </c>
      <c r="I652" s="88">
        <v>266.77999999999997</v>
      </c>
      <c r="J652" s="88">
        <v>267.90410000000003</v>
      </c>
      <c r="K652" s="88">
        <v>264.69</v>
      </c>
      <c r="L652" s="88">
        <v>266.36</v>
      </c>
      <c r="M652" s="89">
        <v>250910</v>
      </c>
      <c r="N652" s="87" t="s">
        <v>671</v>
      </c>
      <c r="O652" s="25">
        <f t="shared" si="20"/>
        <v>1.5768133353355474E-3</v>
      </c>
    </row>
    <row r="653" spans="1:15">
      <c r="A653" s="88">
        <v>537.46844678180923</v>
      </c>
      <c r="B653" s="88">
        <v>539.2549643689689</v>
      </c>
      <c r="C653" s="88">
        <v>536.06266245092957</v>
      </c>
      <c r="D653" s="88">
        <v>538.92304306862218</v>
      </c>
      <c r="E653" s="89">
        <v>3392835.7680693492</v>
      </c>
      <c r="F653" s="87" t="s">
        <v>672</v>
      </c>
      <c r="G653" s="25">
        <f t="shared" si="19"/>
        <v>-2.6990797768277064E-3</v>
      </c>
      <c r="I653" s="88">
        <v>266.92</v>
      </c>
      <c r="J653" s="88">
        <v>272.56</v>
      </c>
      <c r="K653" s="88">
        <v>266.23</v>
      </c>
      <c r="L653" s="88">
        <v>267.57</v>
      </c>
      <c r="M653" s="89">
        <v>414448</v>
      </c>
      <c r="N653" s="87" t="s">
        <v>672</v>
      </c>
      <c r="O653" s="25">
        <f t="shared" si="20"/>
        <v>-2.4292708450124323E-3</v>
      </c>
    </row>
    <row r="654" spans="1:15">
      <c r="A654" s="88">
        <v>539.1866276306622</v>
      </c>
      <c r="B654" s="88">
        <v>539.68441195727019</v>
      </c>
      <c r="C654" s="88">
        <v>536.78507939874282</v>
      </c>
      <c r="D654" s="88">
        <v>537.41963482587596</v>
      </c>
      <c r="E654" s="89">
        <v>4546605.3501965431</v>
      </c>
      <c r="F654" s="87" t="s">
        <v>673</v>
      </c>
      <c r="G654" s="25">
        <f t="shared" si="19"/>
        <v>3.2879200726612101E-3</v>
      </c>
      <c r="I654" s="88">
        <v>266.42</v>
      </c>
      <c r="J654" s="88">
        <v>269.14</v>
      </c>
      <c r="K654" s="88">
        <v>263.63499999999999</v>
      </c>
      <c r="L654" s="88">
        <v>265.91000000000003</v>
      </c>
      <c r="M654" s="89">
        <v>522511</v>
      </c>
      <c r="N654" s="87" t="s">
        <v>673</v>
      </c>
      <c r="O654" s="25">
        <f t="shared" si="20"/>
        <v>1.9179421608814806E-3</v>
      </c>
    </row>
    <row r="655" spans="1:15">
      <c r="A655" s="88">
        <v>536.17981114516954</v>
      </c>
      <c r="B655" s="88">
        <v>539.2549643689689</v>
      </c>
      <c r="C655" s="88">
        <v>534.19794811036479</v>
      </c>
      <c r="D655" s="88">
        <v>538.10300220894248</v>
      </c>
      <c r="E655" s="89">
        <v>4409781.2899371441</v>
      </c>
      <c r="F655" s="87" t="s">
        <v>674</v>
      </c>
      <c r="G655" s="25">
        <f t="shared" si="19"/>
        <v>-3.5740203193034281E-3</v>
      </c>
      <c r="I655" s="88">
        <v>266.58</v>
      </c>
      <c r="J655" s="88">
        <v>267.33499999999998</v>
      </c>
      <c r="K655" s="88">
        <v>263.8</v>
      </c>
      <c r="L655" s="88">
        <v>264.82</v>
      </c>
      <c r="M655" s="89">
        <v>589013</v>
      </c>
      <c r="N655" s="87" t="s">
        <v>674</v>
      </c>
      <c r="O655" s="25">
        <f t="shared" si="20"/>
        <v>6.6460237142209611E-3</v>
      </c>
    </row>
    <row r="656" spans="1:15">
      <c r="A656" s="88">
        <v>534.46163029631668</v>
      </c>
      <c r="B656" s="88">
        <v>535.02745848949576</v>
      </c>
      <c r="C656" s="88">
        <v>532.41152814711711</v>
      </c>
      <c r="D656" s="88">
        <v>532.85083575051704</v>
      </c>
      <c r="E656" s="89">
        <v>5710269.024678072</v>
      </c>
      <c r="F656" s="87" t="s">
        <v>675</v>
      </c>
      <c r="G656" s="25">
        <f t="shared" si="19"/>
        <v>3.0229746070133956E-3</v>
      </c>
      <c r="I656" s="88">
        <v>262.93</v>
      </c>
      <c r="J656" s="88">
        <v>264.57</v>
      </c>
      <c r="K656" s="88">
        <v>259.63</v>
      </c>
      <c r="L656" s="88">
        <v>262.83</v>
      </c>
      <c r="M656" s="89">
        <v>457970</v>
      </c>
      <c r="N656" s="87" t="s">
        <v>675</v>
      </c>
      <c r="O656" s="25">
        <f t="shared" si="20"/>
        <v>3.8047407069208283E-4</v>
      </c>
    </row>
    <row r="657" spans="1:15">
      <c r="A657" s="88">
        <v>532.67511270915702</v>
      </c>
      <c r="B657" s="88">
        <v>534.07113464885015</v>
      </c>
      <c r="C657" s="88">
        <v>527.20817364462494</v>
      </c>
      <c r="D657" s="88">
        <v>532.61653836203709</v>
      </c>
      <c r="E657" s="89">
        <v>4640890.6520657558</v>
      </c>
      <c r="F657" s="87" t="s">
        <v>676</v>
      </c>
      <c r="G657" s="25">
        <f t="shared" si="19"/>
        <v>1.0997470581752822E-4</v>
      </c>
      <c r="I657" s="88">
        <v>262</v>
      </c>
      <c r="J657" s="88">
        <v>267.43</v>
      </c>
      <c r="K657" s="88">
        <v>261.92</v>
      </c>
      <c r="L657" s="88">
        <v>267.43</v>
      </c>
      <c r="M657" s="89">
        <v>738921</v>
      </c>
      <c r="N657" s="87" t="s">
        <v>676</v>
      </c>
      <c r="O657" s="25">
        <f t="shared" si="20"/>
        <v>-2.0304378715925719E-2</v>
      </c>
    </row>
    <row r="658" spans="1:15">
      <c r="A658" s="88">
        <v>530.00021752401096</v>
      </c>
      <c r="B658" s="88">
        <v>530.16617817418432</v>
      </c>
      <c r="C658" s="88">
        <v>524.66995193609227</v>
      </c>
      <c r="D658" s="88">
        <v>529.88306882977099</v>
      </c>
      <c r="E658" s="89">
        <v>4045176.969956378</v>
      </c>
      <c r="F658" s="87" t="s">
        <v>677</v>
      </c>
      <c r="G658" s="25">
        <f t="shared" si="19"/>
        <v>2.2108404878595778E-4</v>
      </c>
      <c r="I658" s="88">
        <v>266.58</v>
      </c>
      <c r="J658" s="88">
        <v>267.05</v>
      </c>
      <c r="K658" s="88">
        <v>260.625</v>
      </c>
      <c r="L658" s="88">
        <v>262.24</v>
      </c>
      <c r="M658" s="89">
        <v>516803</v>
      </c>
      <c r="N658" s="87" t="s">
        <v>677</v>
      </c>
      <c r="O658" s="25">
        <f t="shared" si="20"/>
        <v>1.6549725442342789E-2</v>
      </c>
    </row>
    <row r="659" spans="1:15">
      <c r="A659" s="88">
        <v>529.80496970027775</v>
      </c>
      <c r="B659" s="88">
        <v>530.4590499097842</v>
      </c>
      <c r="C659" s="88">
        <v>524.14278281201234</v>
      </c>
      <c r="D659" s="88">
        <v>524.7285262832122</v>
      </c>
      <c r="E659" s="89">
        <v>7148221.0316797923</v>
      </c>
      <c r="F659" s="87" t="s">
        <v>678</v>
      </c>
      <c r="G659" s="25">
        <f t="shared" si="19"/>
        <v>9.674418604651347E-3</v>
      </c>
      <c r="I659" s="88">
        <v>261.99</v>
      </c>
      <c r="J659" s="88">
        <v>265.26499999999999</v>
      </c>
      <c r="K659" s="88">
        <v>259.18</v>
      </c>
      <c r="L659" s="88">
        <v>259.39</v>
      </c>
      <c r="M659" s="89">
        <v>437649</v>
      </c>
      <c r="N659" s="87" t="s">
        <v>678</v>
      </c>
      <c r="O659" s="25">
        <f t="shared" si="20"/>
        <v>1.0023516712286629E-2</v>
      </c>
    </row>
    <row r="660" spans="1:15">
      <c r="A660" s="88">
        <v>527.88177863650481</v>
      </c>
      <c r="B660" s="88">
        <v>529.05326557890453</v>
      </c>
      <c r="C660" s="88">
        <v>525.35820051475207</v>
      </c>
      <c r="D660" s="88">
        <v>526.11478583171856</v>
      </c>
      <c r="E660" s="89">
        <v>4613875.7542853579</v>
      </c>
      <c r="F660" s="87" t="s">
        <v>679</v>
      </c>
      <c r="G660" s="25">
        <f t="shared" si="19"/>
        <v>3.3585689898314453E-3</v>
      </c>
      <c r="I660" s="88">
        <v>260.68</v>
      </c>
      <c r="J660" s="88">
        <v>263.93</v>
      </c>
      <c r="K660" s="88">
        <v>260.01</v>
      </c>
      <c r="L660" s="88">
        <v>260.10000000000002</v>
      </c>
      <c r="M660" s="89">
        <v>679178</v>
      </c>
      <c r="N660" s="87" t="s">
        <v>679</v>
      </c>
      <c r="O660" s="25">
        <f t="shared" si="20"/>
        <v>2.2299115724719876E-3</v>
      </c>
    </row>
    <row r="661" spans="1:15">
      <c r="A661" s="88">
        <v>525.7047654018786</v>
      </c>
      <c r="B661" s="88">
        <v>529.67805861485112</v>
      </c>
      <c r="C661" s="88">
        <v>523.99634694421241</v>
      </c>
      <c r="D661" s="88">
        <v>529.24851340263785</v>
      </c>
      <c r="E661" s="89">
        <v>7539253.3030780787</v>
      </c>
      <c r="F661" s="87" t="s">
        <v>680</v>
      </c>
      <c r="G661" s="25">
        <f t="shared" si="19"/>
        <v>-6.6958109678492139E-3</v>
      </c>
      <c r="I661" s="88">
        <v>260.12</v>
      </c>
      <c r="J661" s="88">
        <v>264.70999999999998</v>
      </c>
      <c r="K661" s="88">
        <v>257.43</v>
      </c>
      <c r="L661" s="88">
        <v>261</v>
      </c>
      <c r="M661" s="89">
        <v>916752</v>
      </c>
      <c r="N661" s="87" t="s">
        <v>680</v>
      </c>
      <c r="O661" s="25">
        <f t="shared" si="20"/>
        <v>-3.3716475095785237E-3</v>
      </c>
    </row>
    <row r="662" spans="1:15">
      <c r="A662" s="88">
        <v>532.57748879729036</v>
      </c>
      <c r="B662" s="88">
        <v>536.51173244551615</v>
      </c>
      <c r="C662" s="88">
        <v>531.93317097897057</v>
      </c>
      <c r="D662" s="88">
        <v>536.05290005974291</v>
      </c>
      <c r="E662" s="89">
        <v>4036185.3204392074</v>
      </c>
      <c r="F662" s="87" t="s">
        <v>681</v>
      </c>
      <c r="G662" s="25">
        <f t="shared" si="19"/>
        <v>-6.4833363686032097E-3</v>
      </c>
      <c r="I662" s="88">
        <v>261.16000000000003</v>
      </c>
      <c r="J662" s="88">
        <v>267.58</v>
      </c>
      <c r="K662" s="88">
        <v>258.14999999999998</v>
      </c>
      <c r="L662" s="88">
        <v>266.45999999999998</v>
      </c>
      <c r="M662" s="89">
        <v>742995</v>
      </c>
      <c r="N662" s="87" t="s">
        <v>681</v>
      </c>
      <c r="O662" s="25">
        <f t="shared" si="20"/>
        <v>-1.9890415071680434E-2</v>
      </c>
    </row>
    <row r="663" spans="1:15">
      <c r="A663" s="88">
        <v>535.98456332143621</v>
      </c>
      <c r="B663" s="88">
        <v>537.79060569096919</v>
      </c>
      <c r="C663" s="88">
        <v>533.97351073698349</v>
      </c>
      <c r="D663" s="88">
        <v>536.11147440686284</v>
      </c>
      <c r="E663" s="89">
        <v>3791663.2607966023</v>
      </c>
      <c r="F663" s="87" t="s">
        <v>682</v>
      </c>
      <c r="G663" s="25">
        <f t="shared" si="19"/>
        <v>-2.3672518027528788E-4</v>
      </c>
      <c r="I663" s="88">
        <v>269.06</v>
      </c>
      <c r="J663" s="88">
        <v>276.57</v>
      </c>
      <c r="K663" s="88">
        <v>266.99</v>
      </c>
      <c r="L663" s="88">
        <v>275.47000000000003</v>
      </c>
      <c r="M663" s="89">
        <v>407784</v>
      </c>
      <c r="N663" s="87" t="s">
        <v>682</v>
      </c>
      <c r="O663" s="25">
        <f t="shared" si="20"/>
        <v>-2.3269321523214925E-2</v>
      </c>
    </row>
    <row r="664" spans="1:15">
      <c r="A664" s="88">
        <v>535.71121636820965</v>
      </c>
      <c r="B664" s="88">
        <v>537.84918003808923</v>
      </c>
      <c r="C664" s="88">
        <v>533.44634161290344</v>
      </c>
      <c r="D664" s="88">
        <v>537.31224852282264</v>
      </c>
      <c r="E664" s="89">
        <v>4935894.1962726349</v>
      </c>
      <c r="F664" s="87" t="s">
        <v>683</v>
      </c>
      <c r="G664" s="25">
        <f t="shared" si="19"/>
        <v>-2.9797052998783435E-3</v>
      </c>
      <c r="I664" s="88">
        <v>275.10000000000002</v>
      </c>
      <c r="J664" s="88">
        <v>276.06</v>
      </c>
      <c r="K664" s="88">
        <v>271.24</v>
      </c>
      <c r="L664" s="88">
        <v>275.69</v>
      </c>
      <c r="M664" s="89">
        <v>683178</v>
      </c>
      <c r="N664" s="87" t="s">
        <v>683</v>
      </c>
      <c r="O664" s="25">
        <f t="shared" si="20"/>
        <v>-2.140084877942483E-3</v>
      </c>
    </row>
    <row r="665" spans="1:15">
      <c r="A665" s="88">
        <v>537.3220109140093</v>
      </c>
      <c r="B665" s="88">
        <v>538.62040894183565</v>
      </c>
      <c r="C665" s="88">
        <v>535.80884028007631</v>
      </c>
      <c r="D665" s="88">
        <v>538.32753720623566</v>
      </c>
      <c r="E665" s="89">
        <v>5012223.8562659677</v>
      </c>
      <c r="F665" s="87" t="s">
        <v>684</v>
      </c>
      <c r="G665" s="25">
        <f t="shared" si="19"/>
        <v>-1.8678708086247164E-3</v>
      </c>
      <c r="I665" s="88">
        <v>275.7</v>
      </c>
      <c r="J665" s="88">
        <v>279.39999999999998</v>
      </c>
      <c r="K665" s="88">
        <v>267.3</v>
      </c>
      <c r="L665" s="88">
        <v>268.16000000000003</v>
      </c>
      <c r="M665" s="89">
        <v>815413</v>
      </c>
      <c r="N665" s="87" t="s">
        <v>684</v>
      </c>
      <c r="O665" s="25">
        <f t="shared" si="20"/>
        <v>2.8117541766109699E-2</v>
      </c>
    </row>
    <row r="666" spans="1:15">
      <c r="A666" s="88">
        <v>536.88270331060949</v>
      </c>
      <c r="B666" s="88">
        <v>538.1420517736891</v>
      </c>
      <c r="C666" s="88">
        <v>535.03761137632978</v>
      </c>
      <c r="D666" s="88">
        <v>535.04737376751655</v>
      </c>
      <c r="E666" s="89">
        <v>6963433.312615199</v>
      </c>
      <c r="F666" s="87" t="s">
        <v>685</v>
      </c>
      <c r="G666" s="25">
        <f t="shared" si="19"/>
        <v>3.4302187676757967E-3</v>
      </c>
      <c r="I666" s="88">
        <v>268</v>
      </c>
      <c r="J666" s="88">
        <v>275.52</v>
      </c>
      <c r="K666" s="88">
        <v>253.84</v>
      </c>
      <c r="L666" s="88">
        <v>256.89999999999998</v>
      </c>
      <c r="M666" s="89">
        <v>1582981</v>
      </c>
      <c r="N666" s="87" t="s">
        <v>685</v>
      </c>
      <c r="O666" s="25">
        <f t="shared" si="20"/>
        <v>4.3207473725185075E-2</v>
      </c>
    </row>
    <row r="667" spans="1:15">
      <c r="A667" s="88">
        <v>534.52020464343661</v>
      </c>
      <c r="B667" s="88">
        <v>535.44275061057647</v>
      </c>
      <c r="C667" s="88">
        <v>532.19675554101048</v>
      </c>
      <c r="D667" s="88">
        <v>532.26509227931717</v>
      </c>
      <c r="E667" s="89">
        <v>6198559.230310441</v>
      </c>
      <c r="F667" s="87" t="s">
        <v>686</v>
      </c>
      <c r="G667" s="25">
        <f t="shared" si="19"/>
        <v>4.23682183338836E-3</v>
      </c>
      <c r="I667" s="88">
        <v>244.98</v>
      </c>
      <c r="J667" s="88">
        <v>245.17</v>
      </c>
      <c r="K667" s="88">
        <v>236.63</v>
      </c>
      <c r="L667" s="88">
        <v>237.35</v>
      </c>
      <c r="M667" s="89">
        <v>778405</v>
      </c>
      <c r="N667" s="87" t="s">
        <v>686</v>
      </c>
      <c r="O667" s="25">
        <f t="shared" si="20"/>
        <v>3.2146618917210823E-2</v>
      </c>
    </row>
    <row r="668" spans="1:15">
      <c r="A668" s="88">
        <v>530.3907131714775</v>
      </c>
      <c r="B668" s="88">
        <v>531.21075403115731</v>
      </c>
      <c r="C668" s="88">
        <v>525.38260649271865</v>
      </c>
      <c r="D668" s="88">
        <v>528.77991862567796</v>
      </c>
      <c r="E668" s="89">
        <v>7665475.4525944022</v>
      </c>
      <c r="F668" s="87" t="s">
        <v>687</v>
      </c>
      <c r="G668" s="25">
        <f t="shared" si="19"/>
        <v>3.0462475768482378E-3</v>
      </c>
      <c r="I668" s="88">
        <v>239.3</v>
      </c>
      <c r="J668" s="88">
        <v>248.55</v>
      </c>
      <c r="K668" s="88">
        <v>234.89</v>
      </c>
      <c r="L668" s="88">
        <v>248.55</v>
      </c>
      <c r="M668" s="89">
        <v>932733</v>
      </c>
      <c r="N668" s="87" t="s">
        <v>687</v>
      </c>
      <c r="O668" s="25">
        <f t="shared" si="20"/>
        <v>-3.7215851941259315E-2</v>
      </c>
    </row>
    <row r="669" spans="1:15">
      <c r="A669" s="88">
        <v>517.50435680508053</v>
      </c>
      <c r="B669" s="88">
        <v>517.57269354338712</v>
      </c>
      <c r="C669" s="88">
        <v>512.01789295817514</v>
      </c>
      <c r="D669" s="88">
        <v>512.25219034665508</v>
      </c>
      <c r="E669" s="89">
        <v>3380605.157994729</v>
      </c>
      <c r="F669" s="87" t="s">
        <v>688</v>
      </c>
      <c r="G669" s="25">
        <f t="shared" si="19"/>
        <v>1.0253087360878155E-2</v>
      </c>
      <c r="I669" s="88">
        <v>241.32</v>
      </c>
      <c r="J669" s="88">
        <v>242.11</v>
      </c>
      <c r="K669" s="88">
        <v>233.47499999999999</v>
      </c>
      <c r="L669" s="88">
        <v>236.89</v>
      </c>
      <c r="M669" s="89">
        <v>370608</v>
      </c>
      <c r="N669" s="87" t="s">
        <v>688</v>
      </c>
      <c r="O669" s="25">
        <f t="shared" si="20"/>
        <v>1.8700662754865149E-2</v>
      </c>
    </row>
    <row r="670" spans="1:15">
      <c r="A670" s="88">
        <v>511.35405035748192</v>
      </c>
      <c r="B670" s="88">
        <v>513.77512337177473</v>
      </c>
      <c r="C670" s="88">
        <v>509.62620474135417</v>
      </c>
      <c r="D670" s="88">
        <v>512.58411164700158</v>
      </c>
      <c r="E670" s="89">
        <v>3771064.8237789697</v>
      </c>
      <c r="F670" s="87" t="s">
        <v>689</v>
      </c>
      <c r="G670" s="25">
        <f t="shared" si="19"/>
        <v>-2.3997257456289667E-3</v>
      </c>
      <c r="I670" s="88">
        <v>237.44</v>
      </c>
      <c r="J670" s="88">
        <v>240.78</v>
      </c>
      <c r="K670" s="88">
        <v>235.81</v>
      </c>
      <c r="L670" s="88">
        <v>236.02</v>
      </c>
      <c r="M670" s="89">
        <v>538216</v>
      </c>
      <c r="N670" s="87" t="s">
        <v>689</v>
      </c>
      <c r="O670" s="25">
        <f t="shared" si="20"/>
        <v>6.0164392848063297E-3</v>
      </c>
    </row>
    <row r="671" spans="1:15">
      <c r="A671" s="88">
        <v>512.46696295276172</v>
      </c>
      <c r="B671" s="88">
        <v>516.50859290404082</v>
      </c>
      <c r="C671" s="88">
        <v>512.07656492920705</v>
      </c>
      <c r="D671" s="88">
        <v>512.68173555886824</v>
      </c>
      <c r="E671" s="89">
        <v>6255580.0963417478</v>
      </c>
      <c r="F671" s="87" t="s">
        <v>690</v>
      </c>
      <c r="G671" s="25">
        <f t="shared" si="19"/>
        <v>-4.189199482060868E-4</v>
      </c>
      <c r="I671" s="88">
        <v>235.61</v>
      </c>
      <c r="J671" s="88">
        <v>236.74</v>
      </c>
      <c r="K671" s="88">
        <v>229.56</v>
      </c>
      <c r="L671" s="88">
        <v>230.07</v>
      </c>
      <c r="M671" s="89">
        <v>385298</v>
      </c>
      <c r="N671" s="87" t="s">
        <v>690</v>
      </c>
      <c r="O671" s="25">
        <f t="shared" si="20"/>
        <v>2.4079627939322945E-2</v>
      </c>
    </row>
    <row r="672" spans="1:15">
      <c r="A672" s="88">
        <v>510.25090015338884</v>
      </c>
      <c r="B672" s="88">
        <v>516.65502877184076</v>
      </c>
      <c r="C672" s="88">
        <v>510.09470189440225</v>
      </c>
      <c r="D672" s="88">
        <v>516.51835529522748</v>
      </c>
      <c r="E672" s="89">
        <v>8166824.9587159958</v>
      </c>
      <c r="F672" s="87" t="s">
        <v>691</v>
      </c>
      <c r="G672" s="25">
        <f t="shared" si="19"/>
        <v>-1.213404146742536E-2</v>
      </c>
      <c r="I672" s="88">
        <v>231.53</v>
      </c>
      <c r="J672" s="88">
        <v>231.97</v>
      </c>
      <c r="K672" s="88">
        <v>227.03</v>
      </c>
      <c r="L672" s="88">
        <v>229.61</v>
      </c>
      <c r="M672" s="89">
        <v>549155</v>
      </c>
      <c r="N672" s="87" t="s">
        <v>691</v>
      </c>
      <c r="O672" s="25">
        <f t="shared" si="20"/>
        <v>8.3620051391488648E-3</v>
      </c>
    </row>
    <row r="673" spans="1:15">
      <c r="A673" s="88">
        <v>520.49164850819977</v>
      </c>
      <c r="B673" s="88">
        <v>523.45941542894582</v>
      </c>
      <c r="C673" s="88">
        <v>519.93519221055999</v>
      </c>
      <c r="D673" s="88">
        <v>521.65337305941296</v>
      </c>
      <c r="E673" s="89">
        <v>3141663.6983258701</v>
      </c>
      <c r="F673" s="87" t="s">
        <v>692</v>
      </c>
      <c r="G673" s="25">
        <f t="shared" si="19"/>
        <v>-2.2270047721533182E-3</v>
      </c>
      <c r="I673" s="88">
        <v>230.58</v>
      </c>
      <c r="J673" s="88">
        <v>232.4</v>
      </c>
      <c r="K673" s="88">
        <v>229.6</v>
      </c>
      <c r="L673" s="88">
        <v>230.86</v>
      </c>
      <c r="M673" s="89">
        <v>449200</v>
      </c>
      <c r="N673" s="87" t="s">
        <v>692</v>
      </c>
      <c r="O673" s="25">
        <f t="shared" si="20"/>
        <v>-1.2128562765312267E-3</v>
      </c>
    </row>
    <row r="674" spans="1:15">
      <c r="A674" s="88">
        <v>522.0633934892528</v>
      </c>
      <c r="B674" s="88">
        <v>523.08844456385259</v>
      </c>
      <c r="C674" s="88">
        <v>519.11515135088018</v>
      </c>
      <c r="D674" s="88">
        <v>520.45259894345315</v>
      </c>
      <c r="E674" s="89">
        <v>3101300.6364012193</v>
      </c>
      <c r="F674" s="87" t="s">
        <v>693</v>
      </c>
      <c r="G674" s="25">
        <f t="shared" si="19"/>
        <v>3.0949879951980286E-3</v>
      </c>
      <c r="I674" s="88">
        <v>232.37</v>
      </c>
      <c r="J674" s="88">
        <v>234.035</v>
      </c>
      <c r="K674" s="88">
        <v>230.13140000000001</v>
      </c>
      <c r="L674" s="88">
        <v>231.51</v>
      </c>
      <c r="M674" s="89">
        <v>385403</v>
      </c>
      <c r="N674" s="87" t="s">
        <v>693</v>
      </c>
      <c r="O674" s="25">
        <f t="shared" si="20"/>
        <v>3.7147423437433602E-3</v>
      </c>
    </row>
    <row r="675" spans="1:15">
      <c r="A675" s="88">
        <v>521.23359023838634</v>
      </c>
      <c r="B675" s="88">
        <v>522.84438478418599</v>
      </c>
      <c r="C675" s="88">
        <v>520.9903114500147</v>
      </c>
      <c r="D675" s="88">
        <v>522.80533521943926</v>
      </c>
      <c r="E675" s="89">
        <v>3490918.2953612269</v>
      </c>
      <c r="F675" s="87" t="s">
        <v>694</v>
      </c>
      <c r="G675" s="25">
        <f t="shared" si="19"/>
        <v>-3.0063675237613774E-3</v>
      </c>
      <c r="I675" s="88">
        <v>233.37</v>
      </c>
      <c r="J675" s="88">
        <v>236.86</v>
      </c>
      <c r="K675" s="88">
        <v>233.16</v>
      </c>
      <c r="L675" s="88">
        <v>235.91</v>
      </c>
      <c r="M675" s="89">
        <v>321963</v>
      </c>
      <c r="N675" s="87" t="s">
        <v>694</v>
      </c>
      <c r="O675" s="25">
        <f t="shared" si="20"/>
        <v>-1.0766817854266475E-2</v>
      </c>
    </row>
    <row r="676" spans="1:15">
      <c r="A676" s="88">
        <v>519.61303330140004</v>
      </c>
      <c r="B676" s="88">
        <v>524.49432651864413</v>
      </c>
      <c r="C676" s="88">
        <v>518.78713500700826</v>
      </c>
      <c r="D676" s="88">
        <v>521.94624479501283</v>
      </c>
      <c r="E676" s="89">
        <v>4432510.3524954142</v>
      </c>
      <c r="F676" s="87" t="s">
        <v>695</v>
      </c>
      <c r="G676" s="25">
        <f t="shared" si="19"/>
        <v>-4.4702141587954491E-3</v>
      </c>
      <c r="I676" s="88">
        <v>233.63</v>
      </c>
      <c r="J676" s="88">
        <v>238.7</v>
      </c>
      <c r="K676" s="88">
        <v>226.49680000000001</v>
      </c>
      <c r="L676" s="88">
        <v>237.09</v>
      </c>
      <c r="M676" s="89">
        <v>427861</v>
      </c>
      <c r="N676" s="87" t="s">
        <v>695</v>
      </c>
      <c r="O676" s="25">
        <f t="shared" si="20"/>
        <v>-1.4593614239318486E-2</v>
      </c>
    </row>
    <row r="677" spans="1:15">
      <c r="A677" s="88">
        <v>519.81804351632002</v>
      </c>
      <c r="B677" s="88">
        <v>520.51117329057308</v>
      </c>
      <c r="C677" s="88">
        <v>517.44578245796049</v>
      </c>
      <c r="D677" s="88">
        <v>520.50141089938643</v>
      </c>
      <c r="E677" s="89">
        <v>4586747.1548535125</v>
      </c>
      <c r="F677" s="87" t="s">
        <v>696</v>
      </c>
      <c r="G677" s="25">
        <f t="shared" si="19"/>
        <v>-1.3129020762606691E-3</v>
      </c>
      <c r="I677" s="88">
        <v>237.63</v>
      </c>
      <c r="J677" s="88">
        <v>238.52</v>
      </c>
      <c r="K677" s="88">
        <v>235.05009999999999</v>
      </c>
      <c r="L677" s="88">
        <v>235.41</v>
      </c>
      <c r="M677" s="89">
        <v>233887</v>
      </c>
      <c r="N677" s="87" t="s">
        <v>696</v>
      </c>
      <c r="O677" s="25">
        <f t="shared" si="20"/>
        <v>9.4303555498915781E-3</v>
      </c>
    </row>
    <row r="678" spans="1:15">
      <c r="A678" s="88">
        <v>518.64655657392029</v>
      </c>
      <c r="B678" s="88">
        <v>522.01458153331953</v>
      </c>
      <c r="C678" s="88">
        <v>515.47377943825427</v>
      </c>
      <c r="D678" s="88">
        <v>521.58503632110626</v>
      </c>
      <c r="E678" s="89">
        <v>5354993.3618120095</v>
      </c>
      <c r="F678" s="87" t="s">
        <v>697</v>
      </c>
      <c r="G678" s="25">
        <f t="shared" si="19"/>
        <v>-5.6337500935838003E-3</v>
      </c>
      <c r="I678" s="88">
        <v>234.84</v>
      </c>
      <c r="J678" s="88">
        <v>238.72</v>
      </c>
      <c r="K678" s="88">
        <v>234.53</v>
      </c>
      <c r="L678" s="88">
        <v>235.59</v>
      </c>
      <c r="M678" s="89">
        <v>489743</v>
      </c>
      <c r="N678" s="87" t="s">
        <v>697</v>
      </c>
      <c r="O678" s="25">
        <f t="shared" si="20"/>
        <v>-3.1834967528333591E-3</v>
      </c>
    </row>
    <row r="679" spans="1:15">
      <c r="A679" s="88">
        <v>523.42036586419908</v>
      </c>
      <c r="B679" s="88">
        <v>524.51375367710557</v>
      </c>
      <c r="C679" s="88">
        <v>520.79428263498642</v>
      </c>
      <c r="D679" s="88">
        <v>521.41907567093301</v>
      </c>
      <c r="E679" s="89">
        <v>3448535.2365297801</v>
      </c>
      <c r="F679" s="87" t="s">
        <v>698</v>
      </c>
      <c r="G679" s="25">
        <f t="shared" si="19"/>
        <v>3.8381606785116151E-3</v>
      </c>
      <c r="I679" s="88">
        <v>236.6</v>
      </c>
      <c r="J679" s="88">
        <v>237.24</v>
      </c>
      <c r="K679" s="88">
        <v>233.1901</v>
      </c>
      <c r="L679" s="88">
        <v>236.48</v>
      </c>
      <c r="M679" s="89">
        <v>568506</v>
      </c>
      <c r="N679" s="87" t="s">
        <v>698</v>
      </c>
      <c r="O679" s="25">
        <f t="shared" si="20"/>
        <v>5.0744248985123974E-4</v>
      </c>
    </row>
    <row r="680" spans="1:15">
      <c r="A680" s="88">
        <v>523.78157433810577</v>
      </c>
      <c r="B680" s="88">
        <v>524.83591258626552</v>
      </c>
      <c r="C680" s="88">
        <v>521.02858002346647</v>
      </c>
      <c r="D680" s="88">
        <v>523.96705977065244</v>
      </c>
      <c r="E680" s="89">
        <v>3760790.7015806078</v>
      </c>
      <c r="F680" s="87" t="s">
        <v>699</v>
      </c>
      <c r="G680" s="25">
        <f t="shared" si="19"/>
        <v>-3.5400208674918332E-4</v>
      </c>
      <c r="I680" s="88">
        <v>236.48</v>
      </c>
      <c r="J680" s="88">
        <v>239.09</v>
      </c>
      <c r="K680" s="88">
        <v>234.76</v>
      </c>
      <c r="L680" s="88">
        <v>236.59</v>
      </c>
      <c r="M680" s="89">
        <v>601215</v>
      </c>
      <c r="N680" s="87" t="s">
        <v>699</v>
      </c>
      <c r="O680" s="25">
        <f t="shared" si="20"/>
        <v>-4.6493934654889824E-4</v>
      </c>
    </row>
    <row r="681" spans="1:15">
      <c r="A681" s="88">
        <v>524.59185280659892</v>
      </c>
      <c r="B681" s="88">
        <v>525.31426975441207</v>
      </c>
      <c r="C681" s="88">
        <v>522.83462239299922</v>
      </c>
      <c r="D681" s="88">
        <v>524.14278281201234</v>
      </c>
      <c r="E681" s="89">
        <v>5193821.7830548175</v>
      </c>
      <c r="F681" s="87" t="s">
        <v>700</v>
      </c>
      <c r="G681" s="25">
        <f t="shared" si="19"/>
        <v>8.567703482957878E-4</v>
      </c>
      <c r="I681" s="88">
        <v>236.59</v>
      </c>
      <c r="J681" s="88">
        <v>236.87</v>
      </c>
      <c r="K681" s="88">
        <v>228.58</v>
      </c>
      <c r="L681" s="88">
        <v>229.77</v>
      </c>
      <c r="M681" s="89">
        <v>602330</v>
      </c>
      <c r="N681" s="87" t="s">
        <v>700</v>
      </c>
      <c r="O681" s="25">
        <f t="shared" si="20"/>
        <v>2.9681855768812326E-2</v>
      </c>
    </row>
    <row r="682" spans="1:15">
      <c r="A682" s="88">
        <v>522.58080022214597</v>
      </c>
      <c r="B682" s="88">
        <v>525.95858757273186</v>
      </c>
      <c r="C682" s="88">
        <v>522.43436435434603</v>
      </c>
      <c r="D682" s="88">
        <v>525.82191409611858</v>
      </c>
      <c r="E682" s="89">
        <v>3303798.155933158</v>
      </c>
      <c r="F682" s="87" t="s">
        <v>701</v>
      </c>
      <c r="G682" s="25">
        <f t="shared" si="19"/>
        <v>-6.1639003379005963E-3</v>
      </c>
      <c r="I682" s="88">
        <v>229.13</v>
      </c>
      <c r="J682" s="88">
        <v>231.7</v>
      </c>
      <c r="K682" s="88">
        <v>227.78</v>
      </c>
      <c r="L682" s="88">
        <v>230.64</v>
      </c>
      <c r="M682" s="89">
        <v>309478</v>
      </c>
      <c r="N682" s="87" t="s">
        <v>701</v>
      </c>
      <c r="O682" s="25">
        <f t="shared" si="20"/>
        <v>-6.5469996531390962E-3</v>
      </c>
    </row>
    <row r="683" spans="1:15">
      <c r="A683" s="88">
        <v>522.50270109265273</v>
      </c>
      <c r="B683" s="88">
        <v>523.00058304317258</v>
      </c>
      <c r="C683" s="88">
        <v>519.56910254106015</v>
      </c>
      <c r="D683" s="88">
        <v>520.26711351090648</v>
      </c>
      <c r="E683" s="89">
        <v>3316007.2548845313</v>
      </c>
      <c r="F683" s="87" t="s">
        <v>702</v>
      </c>
      <c r="G683" s="25">
        <f t="shared" si="19"/>
        <v>4.2969996059520899E-3</v>
      </c>
      <c r="I683" s="88">
        <v>230.6</v>
      </c>
      <c r="J683" s="88">
        <v>232.8</v>
      </c>
      <c r="K683" s="88">
        <v>229.7</v>
      </c>
      <c r="L683" s="88">
        <v>230.95</v>
      </c>
      <c r="M683" s="89">
        <v>453030</v>
      </c>
      <c r="N683" s="87" t="s">
        <v>702</v>
      </c>
      <c r="O683" s="25">
        <f t="shared" si="20"/>
        <v>-1.5154795410261546E-3</v>
      </c>
    </row>
    <row r="684" spans="1:15">
      <c r="A684" s="88">
        <v>520.31592546683987</v>
      </c>
      <c r="B684" s="88">
        <v>524.83591258626552</v>
      </c>
      <c r="C684" s="88">
        <v>519.18348808918688</v>
      </c>
      <c r="D684" s="88">
        <v>524.61137758897223</v>
      </c>
      <c r="E684" s="89">
        <v>4928433.9338627979</v>
      </c>
      <c r="F684" s="87" t="s">
        <v>703</v>
      </c>
      <c r="G684" s="25">
        <f t="shared" si="19"/>
        <v>-8.1878745022144761E-3</v>
      </c>
      <c r="I684" s="88">
        <v>230.07</v>
      </c>
      <c r="J684" s="88">
        <v>234.03</v>
      </c>
      <c r="K684" s="88">
        <v>229.43</v>
      </c>
      <c r="L684" s="88">
        <v>231.71</v>
      </c>
      <c r="M684" s="89">
        <v>390656</v>
      </c>
      <c r="N684" s="87" t="s">
        <v>703</v>
      </c>
      <c r="O684" s="25">
        <f t="shared" si="20"/>
        <v>-7.0778127832205051E-3</v>
      </c>
    </row>
    <row r="685" spans="1:15">
      <c r="A685" s="88">
        <v>524.3087434621857</v>
      </c>
      <c r="B685" s="88">
        <v>525.19712106017209</v>
      </c>
      <c r="C685" s="88">
        <v>521.28240219431973</v>
      </c>
      <c r="D685" s="88">
        <v>521.55574914754629</v>
      </c>
      <c r="E685" s="89">
        <v>2703158.4266002579</v>
      </c>
      <c r="F685" s="87" t="s">
        <v>704</v>
      </c>
      <c r="G685" s="25">
        <f t="shared" si="19"/>
        <v>5.2784277023865123E-3</v>
      </c>
      <c r="I685" s="88">
        <v>232.51</v>
      </c>
      <c r="J685" s="88">
        <v>234.18</v>
      </c>
      <c r="K685" s="88">
        <v>230.37</v>
      </c>
      <c r="L685" s="88">
        <v>233.73</v>
      </c>
      <c r="M685" s="89">
        <v>386979</v>
      </c>
      <c r="N685" s="87" t="s">
        <v>704</v>
      </c>
      <c r="O685" s="25">
        <f t="shared" si="20"/>
        <v>-5.2196979420698897E-3</v>
      </c>
    </row>
    <row r="686" spans="1:15">
      <c r="A686" s="88">
        <v>520.05234090479996</v>
      </c>
      <c r="B686" s="88">
        <v>520.75523307023968</v>
      </c>
      <c r="C686" s="88">
        <v>516.81122703082735</v>
      </c>
      <c r="D686" s="88">
        <v>516.91861333388067</v>
      </c>
      <c r="E686" s="89">
        <v>5561309.6178898597</v>
      </c>
      <c r="F686" s="87" t="s">
        <v>705</v>
      </c>
      <c r="G686" s="25">
        <f t="shared" si="19"/>
        <v>6.0623229461755912E-3</v>
      </c>
      <c r="I686" s="88">
        <v>233.1</v>
      </c>
      <c r="J686" s="88">
        <v>236.43</v>
      </c>
      <c r="K686" s="88">
        <v>231.16</v>
      </c>
      <c r="L686" s="88">
        <v>232.26</v>
      </c>
      <c r="M686" s="89">
        <v>421495</v>
      </c>
      <c r="N686" s="87" t="s">
        <v>705</v>
      </c>
      <c r="O686" s="25">
        <f t="shared" si="20"/>
        <v>3.6166365280290158E-3</v>
      </c>
    </row>
    <row r="687" spans="1:15">
      <c r="A687" s="88">
        <v>516.9771876810006</v>
      </c>
      <c r="B687" s="88">
        <v>518.28534810001372</v>
      </c>
      <c r="C687" s="88">
        <v>515.54211617656097</v>
      </c>
      <c r="D687" s="88">
        <v>516.69407833658738</v>
      </c>
      <c r="E687" s="89">
        <v>3726170.0852236557</v>
      </c>
      <c r="F687" s="87" t="s">
        <v>706</v>
      </c>
      <c r="G687" s="25">
        <f t="shared" si="19"/>
        <v>5.4792449978258162E-4</v>
      </c>
      <c r="I687" s="88">
        <v>231.2</v>
      </c>
      <c r="J687" s="88">
        <v>232.4699</v>
      </c>
      <c r="K687" s="88">
        <v>227.78</v>
      </c>
      <c r="L687" s="88">
        <v>229.84</v>
      </c>
      <c r="M687" s="89">
        <v>436543</v>
      </c>
      <c r="N687" s="87" t="s">
        <v>706</v>
      </c>
      <c r="O687" s="25">
        <f t="shared" si="20"/>
        <v>5.9171597633136397E-3</v>
      </c>
    </row>
    <row r="688" spans="1:15">
      <c r="A688" s="88">
        <v>517.8460404966138</v>
      </c>
      <c r="B688" s="88">
        <v>518.41225918544035</v>
      </c>
      <c r="C688" s="88">
        <v>513.80441054533469</v>
      </c>
      <c r="D688" s="88">
        <v>514.35110445178793</v>
      </c>
      <c r="E688" s="89">
        <v>3013385.7000306714</v>
      </c>
      <c r="F688" s="87" t="s">
        <v>707</v>
      </c>
      <c r="G688" s="25">
        <f t="shared" si="19"/>
        <v>6.7948450281853923E-3</v>
      </c>
      <c r="I688" s="88">
        <v>231.84</v>
      </c>
      <c r="J688" s="88">
        <v>231.96</v>
      </c>
      <c r="K688" s="88">
        <v>225.37</v>
      </c>
      <c r="L688" s="88">
        <v>229.32</v>
      </c>
      <c r="M688" s="89">
        <v>407099</v>
      </c>
      <c r="N688" s="87" t="s">
        <v>707</v>
      </c>
      <c r="O688" s="25">
        <f t="shared" si="20"/>
        <v>1.098901098901095E-2</v>
      </c>
    </row>
    <row r="689" spans="1:15">
      <c r="A689" s="88">
        <v>514.33157966941462</v>
      </c>
      <c r="B689" s="88">
        <v>514.84898640230779</v>
      </c>
      <c r="C689" s="88">
        <v>511.06117862188205</v>
      </c>
      <c r="D689" s="88">
        <v>511.86169469918855</v>
      </c>
      <c r="E689" s="89">
        <v>2690597.9793025199</v>
      </c>
      <c r="F689" s="87" t="s">
        <v>708</v>
      </c>
      <c r="G689" s="25">
        <f t="shared" si="19"/>
        <v>4.8252975282270238E-3</v>
      </c>
      <c r="I689" s="88">
        <v>229.33</v>
      </c>
      <c r="J689" s="88">
        <v>231.81</v>
      </c>
      <c r="K689" s="88">
        <v>227.12</v>
      </c>
      <c r="L689" s="88">
        <v>229.08</v>
      </c>
      <c r="M689" s="89">
        <v>371231</v>
      </c>
      <c r="N689" s="87" t="s">
        <v>708</v>
      </c>
      <c r="O689" s="25">
        <f t="shared" si="20"/>
        <v>1.0913218089749765E-3</v>
      </c>
    </row>
    <row r="690" spans="1:15">
      <c r="A690" s="88">
        <v>509.50895842320233</v>
      </c>
      <c r="B690" s="88">
        <v>513.22852708923335</v>
      </c>
      <c r="C690" s="88">
        <v>508.43509539266927</v>
      </c>
      <c r="D690" s="88">
        <v>512.66221077649493</v>
      </c>
      <c r="E690" s="89">
        <v>4067143.9241481894</v>
      </c>
      <c r="F690" s="87" t="s">
        <v>709</v>
      </c>
      <c r="G690" s="25">
        <f t="shared" si="19"/>
        <v>-6.15074075484634E-3</v>
      </c>
      <c r="I690" s="88">
        <v>227.79</v>
      </c>
      <c r="J690" s="88">
        <v>228.9</v>
      </c>
      <c r="K690" s="88">
        <v>225.41120000000001</v>
      </c>
      <c r="L690" s="88">
        <v>228.78</v>
      </c>
      <c r="M690" s="89">
        <v>352473</v>
      </c>
      <c r="N690" s="87" t="s">
        <v>709</v>
      </c>
      <c r="O690" s="25">
        <f t="shared" si="20"/>
        <v>-4.3273013375295655E-3</v>
      </c>
    </row>
    <row r="691" spans="1:15">
      <c r="A691" s="88">
        <v>514.1363318456813</v>
      </c>
      <c r="B691" s="88">
        <v>514.49754031958787</v>
      </c>
      <c r="C691" s="88">
        <v>509.88969167948227</v>
      </c>
      <c r="D691" s="88">
        <v>513.65797467753475</v>
      </c>
      <c r="E691" s="89">
        <v>5488588.7049059812</v>
      </c>
      <c r="F691" s="87" t="s">
        <v>710</v>
      </c>
      <c r="G691" s="25">
        <f t="shared" si="19"/>
        <v>9.3127565759454356E-4</v>
      </c>
      <c r="I691" s="88">
        <v>229.94</v>
      </c>
      <c r="J691" s="88">
        <v>232.21</v>
      </c>
      <c r="K691" s="88">
        <v>228.35</v>
      </c>
      <c r="L691" s="88">
        <v>231.29</v>
      </c>
      <c r="M691" s="89">
        <v>440205</v>
      </c>
      <c r="N691" s="87" t="s">
        <v>710</v>
      </c>
      <c r="O691" s="25">
        <f t="shared" si="20"/>
        <v>-5.836828224307089E-3</v>
      </c>
    </row>
    <row r="692" spans="1:15">
      <c r="A692" s="88">
        <v>509.44062168489575</v>
      </c>
      <c r="B692" s="88">
        <v>511.31011959714198</v>
      </c>
      <c r="C692" s="88">
        <v>507.46861866518958</v>
      </c>
      <c r="D692" s="88">
        <v>509.16727473166907</v>
      </c>
      <c r="E692" s="89">
        <v>4105502.3542540772</v>
      </c>
      <c r="F692" s="87" t="s">
        <v>711</v>
      </c>
      <c r="G692" s="25">
        <f t="shared" si="19"/>
        <v>5.3685098550526611E-4</v>
      </c>
      <c r="I692" s="88">
        <v>229.99</v>
      </c>
      <c r="J692" s="88">
        <v>233.94</v>
      </c>
      <c r="K692" s="88">
        <v>229.28</v>
      </c>
      <c r="L692" s="88">
        <v>231.72</v>
      </c>
      <c r="M692" s="89">
        <v>369408</v>
      </c>
      <c r="N692" s="87" t="s">
        <v>711</v>
      </c>
      <c r="O692" s="25">
        <f t="shared" si="20"/>
        <v>-7.4659071292939583E-3</v>
      </c>
    </row>
    <row r="693" spans="1:15">
      <c r="A693" s="88">
        <v>510.40709841237555</v>
      </c>
      <c r="B693" s="88">
        <v>511.40286231341531</v>
      </c>
      <c r="C693" s="88">
        <v>507.23441890062145</v>
      </c>
      <c r="D693" s="88">
        <v>509.4503840760824</v>
      </c>
      <c r="E693" s="89">
        <v>3350186.3810453224</v>
      </c>
      <c r="F693" s="87" t="s">
        <v>712</v>
      </c>
      <c r="G693" s="25">
        <f t="shared" si="19"/>
        <v>1.877934272300541E-3</v>
      </c>
      <c r="I693" s="88">
        <v>232.63</v>
      </c>
      <c r="J693" s="88">
        <v>235.23</v>
      </c>
      <c r="K693" s="88">
        <v>231.49</v>
      </c>
      <c r="L693" s="88">
        <v>234.19</v>
      </c>
      <c r="M693" s="89">
        <v>402155</v>
      </c>
      <c r="N693" s="87" t="s">
        <v>712</v>
      </c>
      <c r="O693" s="25">
        <f t="shared" si="20"/>
        <v>-6.661257952944255E-3</v>
      </c>
    </row>
    <row r="694" spans="1:15">
      <c r="A694" s="88">
        <v>510.31923689169554</v>
      </c>
      <c r="B694" s="88">
        <v>514.57563944908122</v>
      </c>
      <c r="C694" s="88">
        <v>507.86887670384277</v>
      </c>
      <c r="D694" s="88">
        <v>514.51706510196118</v>
      </c>
      <c r="E694" s="89">
        <v>9422544.9729626868</v>
      </c>
      <c r="F694" s="87" t="s">
        <v>713</v>
      </c>
      <c r="G694" s="25">
        <f t="shared" si="19"/>
        <v>-8.15877352762584E-3</v>
      </c>
      <c r="I694" s="88">
        <v>234.56</v>
      </c>
      <c r="J694" s="88">
        <v>235.3399</v>
      </c>
      <c r="K694" s="88">
        <v>229.65</v>
      </c>
      <c r="L694" s="88">
        <v>233.77</v>
      </c>
      <c r="M694" s="89">
        <v>513420</v>
      </c>
      <c r="N694" s="87" t="s">
        <v>713</v>
      </c>
      <c r="O694" s="25">
        <f t="shared" si="20"/>
        <v>3.3793899987166753E-3</v>
      </c>
    </row>
    <row r="695" spans="1:15">
      <c r="A695" s="88">
        <v>515.13209574672101</v>
      </c>
      <c r="B695" s="88">
        <v>515.41032389554107</v>
      </c>
      <c r="C695" s="88">
        <v>509.78230537642906</v>
      </c>
      <c r="D695" s="88">
        <v>511.86169469918855</v>
      </c>
      <c r="E695" s="89">
        <v>8212484.8786553759</v>
      </c>
      <c r="F695" s="87" t="s">
        <v>714</v>
      </c>
      <c r="G695" s="25">
        <f t="shared" si="19"/>
        <v>6.3892279523951601E-3</v>
      </c>
      <c r="I695" s="88">
        <v>232.75</v>
      </c>
      <c r="J695" s="88">
        <v>233.435</v>
      </c>
      <c r="K695" s="88">
        <v>229.32</v>
      </c>
      <c r="L695" s="88">
        <v>232.68</v>
      </c>
      <c r="M695" s="89">
        <v>538989</v>
      </c>
      <c r="N695" s="87" t="s">
        <v>714</v>
      </c>
      <c r="O695" s="25">
        <f t="shared" si="20"/>
        <v>3.0084235860416975E-4</v>
      </c>
    </row>
    <row r="696" spans="1:15">
      <c r="A696" s="88">
        <v>512.89650816497488</v>
      </c>
      <c r="B696" s="88">
        <v>515.22971965858767</v>
      </c>
      <c r="C696" s="88">
        <v>511.86169469918855</v>
      </c>
      <c r="D696" s="88">
        <v>514.56587705789457</v>
      </c>
      <c r="E696" s="89">
        <v>5734859.3115667924</v>
      </c>
      <c r="F696" s="87" t="s">
        <v>715</v>
      </c>
      <c r="G696" s="25">
        <f t="shared" si="19"/>
        <v>-3.2442277409931997E-3</v>
      </c>
      <c r="I696" s="88">
        <v>232.03</v>
      </c>
      <c r="J696" s="88">
        <v>238.4</v>
      </c>
      <c r="K696" s="88">
        <v>231.89</v>
      </c>
      <c r="L696" s="88">
        <v>236.96</v>
      </c>
      <c r="M696" s="89">
        <v>518736</v>
      </c>
      <c r="N696" s="87" t="s">
        <v>715</v>
      </c>
      <c r="O696" s="25">
        <f t="shared" si="20"/>
        <v>-2.0805199189736667E-2</v>
      </c>
    </row>
    <row r="697" spans="1:15">
      <c r="A697" s="88">
        <v>513.56171749732982</v>
      </c>
      <c r="B697" s="88">
        <v>515.72223865109902</v>
      </c>
      <c r="C697" s="88">
        <v>511.41092842082969</v>
      </c>
      <c r="D697" s="88">
        <v>515.47893671936822</v>
      </c>
      <c r="E697" s="89">
        <v>5419105.1448737904</v>
      </c>
      <c r="F697" s="87" t="s">
        <v>716</v>
      </c>
      <c r="G697" s="25">
        <f t="shared" si="19"/>
        <v>-3.7192969207239246E-3</v>
      </c>
      <c r="I697" s="88">
        <v>235.43</v>
      </c>
      <c r="J697" s="88">
        <v>239.65</v>
      </c>
      <c r="K697" s="88">
        <v>232.01</v>
      </c>
      <c r="L697" s="88">
        <v>239.2</v>
      </c>
      <c r="M697" s="89">
        <v>607131</v>
      </c>
      <c r="N697" s="87" t="s">
        <v>716</v>
      </c>
      <c r="O697" s="25">
        <f t="shared" si="20"/>
        <v>-1.5760869565217273E-2</v>
      </c>
    </row>
    <row r="698" spans="1:15">
      <c r="A698" s="88">
        <v>511.52771334806044</v>
      </c>
      <c r="B698" s="88">
        <v>513.17243440656046</v>
      </c>
      <c r="C698" s="88">
        <v>510.59343393021425</v>
      </c>
      <c r="D698" s="88">
        <v>512.50092107498358</v>
      </c>
      <c r="E698" s="89">
        <v>36393102.952416189</v>
      </c>
      <c r="F698" s="87" t="s">
        <v>717</v>
      </c>
      <c r="G698" s="25">
        <f t="shared" si="19"/>
        <v>-1.8989384933821851E-3</v>
      </c>
      <c r="I698" s="88">
        <v>238.8</v>
      </c>
      <c r="J698" s="88">
        <v>240.8563</v>
      </c>
      <c r="K698" s="88">
        <v>237.84</v>
      </c>
      <c r="L698" s="88">
        <v>239.98</v>
      </c>
      <c r="M698" s="89">
        <v>376548</v>
      </c>
      <c r="N698" s="87" t="s">
        <v>717</v>
      </c>
      <c r="O698" s="25">
        <f t="shared" si="20"/>
        <v>-4.9170764230351827E-3</v>
      </c>
    </row>
    <row r="699" spans="1:15">
      <c r="A699" s="88">
        <v>512.56904561586816</v>
      </c>
      <c r="B699" s="88">
        <v>512.72475885217591</v>
      </c>
      <c r="C699" s="88">
        <v>509.3574601170219</v>
      </c>
      <c r="D699" s="88">
        <v>511.9169964388297</v>
      </c>
      <c r="E699" s="89">
        <v>4778638.5900400765</v>
      </c>
      <c r="F699" s="87" t="s">
        <v>718</v>
      </c>
      <c r="G699" s="25">
        <f t="shared" si="19"/>
        <v>1.2737400429649881E-3</v>
      </c>
      <c r="I699" s="88">
        <v>239.01</v>
      </c>
      <c r="J699" s="88">
        <v>242.69</v>
      </c>
      <c r="K699" s="88">
        <v>237.44</v>
      </c>
      <c r="L699" s="88">
        <v>239.83</v>
      </c>
      <c r="M699" s="89">
        <v>588358</v>
      </c>
      <c r="N699" s="87" t="s">
        <v>718</v>
      </c>
      <c r="O699" s="25">
        <f t="shared" si="20"/>
        <v>-3.4190885210357846E-3</v>
      </c>
    </row>
    <row r="700" spans="1:15">
      <c r="A700" s="88">
        <v>511.09950194821425</v>
      </c>
      <c r="B700" s="88">
        <v>511.74181904798354</v>
      </c>
      <c r="C700" s="88">
        <v>509.79540359413733</v>
      </c>
      <c r="D700" s="88">
        <v>510.93405663463733</v>
      </c>
      <c r="E700" s="89">
        <v>30095481.354839034</v>
      </c>
      <c r="F700" s="87" t="s">
        <v>719</v>
      </c>
      <c r="G700" s="25">
        <f t="shared" ref="G700:G763" si="21">A700/D700-1</f>
        <v>3.2380952380961503E-4</v>
      </c>
      <c r="I700" s="88">
        <v>238.97</v>
      </c>
      <c r="J700" s="88">
        <v>239.09</v>
      </c>
      <c r="K700" s="88">
        <v>235</v>
      </c>
      <c r="L700" s="88">
        <v>237.4</v>
      </c>
      <c r="M700" s="89">
        <v>681134</v>
      </c>
      <c r="N700" s="87" t="s">
        <v>719</v>
      </c>
      <c r="O700" s="25">
        <f t="shared" ref="O700:O763" si="22">I700/L700-1</f>
        <v>6.6133108677337571E-3</v>
      </c>
    </row>
    <row r="701" spans="1:15">
      <c r="A701" s="88">
        <v>509.84406398048344</v>
      </c>
      <c r="B701" s="88">
        <v>510.85620001648346</v>
      </c>
      <c r="C701" s="88">
        <v>507.15801065417565</v>
      </c>
      <c r="D701" s="88">
        <v>509.48397712152189</v>
      </c>
      <c r="E701" s="89">
        <v>5767194.2430471368</v>
      </c>
      <c r="F701" s="87" t="s">
        <v>720</v>
      </c>
      <c r="G701" s="25">
        <f t="shared" si="21"/>
        <v>7.0676777903000421E-4</v>
      </c>
      <c r="I701" s="88">
        <v>236.58</v>
      </c>
      <c r="J701" s="88">
        <v>237.94</v>
      </c>
      <c r="K701" s="88">
        <v>231.22499999999999</v>
      </c>
      <c r="L701" s="88">
        <v>235.29</v>
      </c>
      <c r="M701" s="89">
        <v>1347350</v>
      </c>
      <c r="N701" s="87" t="s">
        <v>720</v>
      </c>
      <c r="O701" s="25">
        <f t="shared" si="22"/>
        <v>5.4825959454292139E-3</v>
      </c>
    </row>
    <row r="702" spans="1:15">
      <c r="A702" s="88">
        <v>510.84646793921422</v>
      </c>
      <c r="B702" s="88">
        <v>512.4911889977144</v>
      </c>
      <c r="C702" s="88">
        <v>508.19934292198343</v>
      </c>
      <c r="D702" s="88">
        <v>510.81727170740658</v>
      </c>
      <c r="E702" s="89">
        <v>5711392.1789064249</v>
      </c>
      <c r="F702" s="87" t="s">
        <v>721</v>
      </c>
      <c r="G702" s="25">
        <f t="shared" si="21"/>
        <v>5.7155921353357897E-5</v>
      </c>
      <c r="I702" s="88">
        <v>237.68</v>
      </c>
      <c r="J702" s="88">
        <v>239.44</v>
      </c>
      <c r="K702" s="88">
        <v>232.02</v>
      </c>
      <c r="L702" s="88">
        <v>239.43</v>
      </c>
      <c r="M702" s="89">
        <v>624612</v>
      </c>
      <c r="N702" s="87" t="s">
        <v>721</v>
      </c>
      <c r="O702" s="25">
        <f t="shared" si="22"/>
        <v>-7.3090256024724853E-3</v>
      </c>
    </row>
    <row r="703" spans="1:15">
      <c r="A703" s="88">
        <v>502.08759839690617</v>
      </c>
      <c r="B703" s="88">
        <v>508.72487509452191</v>
      </c>
      <c r="C703" s="88">
        <v>501.65938699706004</v>
      </c>
      <c r="D703" s="88">
        <v>504.2967799370216</v>
      </c>
      <c r="E703" s="89">
        <v>7111819.8186549805</v>
      </c>
      <c r="F703" s="87" t="s">
        <v>722</v>
      </c>
      <c r="G703" s="25">
        <f t="shared" si="21"/>
        <v>-4.3807171253231747E-3</v>
      </c>
      <c r="I703" s="88">
        <v>236.11</v>
      </c>
      <c r="J703" s="88">
        <v>237.18</v>
      </c>
      <c r="K703" s="88">
        <v>231.75</v>
      </c>
      <c r="L703" s="88">
        <v>235.54</v>
      </c>
      <c r="M703" s="89">
        <v>522435</v>
      </c>
      <c r="N703" s="87" t="s">
        <v>722</v>
      </c>
      <c r="O703" s="25">
        <f t="shared" si="22"/>
        <v>2.4199711301691185E-3</v>
      </c>
    </row>
    <row r="704" spans="1:15">
      <c r="A704" s="88">
        <v>503.72258737813706</v>
      </c>
      <c r="B704" s="88">
        <v>506.78332567931022</v>
      </c>
      <c r="C704" s="88">
        <v>501.68858322886769</v>
      </c>
      <c r="D704" s="88">
        <v>505.52302167294488</v>
      </c>
      <c r="E704" s="89">
        <v>8374324.1802721824</v>
      </c>
      <c r="F704" s="87" t="s">
        <v>723</v>
      </c>
      <c r="G704" s="25">
        <f t="shared" si="21"/>
        <v>-3.5615277991684069E-3</v>
      </c>
      <c r="I704" s="88">
        <v>235.54</v>
      </c>
      <c r="J704" s="88">
        <v>243.98</v>
      </c>
      <c r="K704" s="88">
        <v>233.89</v>
      </c>
      <c r="L704" s="88">
        <v>235</v>
      </c>
      <c r="M704" s="89">
        <v>819121</v>
      </c>
      <c r="N704" s="87" t="s">
        <v>723</v>
      </c>
      <c r="O704" s="25">
        <f t="shared" si="22"/>
        <v>2.2978723404254442E-3</v>
      </c>
    </row>
    <row r="705" spans="1:15">
      <c r="A705" s="88">
        <v>503.4890175236755</v>
      </c>
      <c r="B705" s="88">
        <v>503.72258737813706</v>
      </c>
      <c r="C705" s="88">
        <v>500.86135666098306</v>
      </c>
      <c r="D705" s="88">
        <v>502.50607771948319</v>
      </c>
      <c r="E705" s="89">
        <v>4373427.0518551217</v>
      </c>
      <c r="F705" s="87" t="s">
        <v>724</v>
      </c>
      <c r="G705" s="25">
        <f t="shared" si="21"/>
        <v>1.9560754541581016E-3</v>
      </c>
      <c r="I705" s="88">
        <v>233.89</v>
      </c>
      <c r="J705" s="88">
        <v>236.61500000000001</v>
      </c>
      <c r="K705" s="88">
        <v>232.255</v>
      </c>
      <c r="L705" s="88">
        <v>234.06</v>
      </c>
      <c r="M705" s="89">
        <v>550862</v>
      </c>
      <c r="N705" s="87" t="s">
        <v>724</v>
      </c>
      <c r="O705" s="25">
        <f t="shared" si="22"/>
        <v>-7.2630949329233196E-4</v>
      </c>
    </row>
    <row r="706" spans="1:15">
      <c r="A706" s="88">
        <v>502.72991549667552</v>
      </c>
      <c r="B706" s="88">
        <v>503.6641949145216</v>
      </c>
      <c r="C706" s="88">
        <v>500.4526094156754</v>
      </c>
      <c r="D706" s="88">
        <v>500.64725096105991</v>
      </c>
      <c r="E706" s="89">
        <v>4538230.5111403055</v>
      </c>
      <c r="F706" s="87" t="s">
        <v>725</v>
      </c>
      <c r="G706" s="25">
        <f t="shared" si="21"/>
        <v>4.1599440157069623E-3</v>
      </c>
      <c r="I706" s="88">
        <v>233.87</v>
      </c>
      <c r="J706" s="88">
        <v>234.70500000000001</v>
      </c>
      <c r="K706" s="88">
        <v>229.38</v>
      </c>
      <c r="L706" s="88">
        <v>230.45</v>
      </c>
      <c r="M706" s="89">
        <v>694313</v>
      </c>
      <c r="N706" s="87" t="s">
        <v>725</v>
      </c>
      <c r="O706" s="25">
        <f t="shared" si="22"/>
        <v>1.4840529399001934E-2</v>
      </c>
    </row>
    <row r="707" spans="1:15">
      <c r="A707" s="88">
        <v>500.07305840217538</v>
      </c>
      <c r="B707" s="88">
        <v>500.36482607870693</v>
      </c>
      <c r="C707" s="88">
        <v>494.44791774055972</v>
      </c>
      <c r="D707" s="88">
        <v>496.42352942621363</v>
      </c>
      <c r="E707" s="89">
        <v>4212397.7097479971</v>
      </c>
      <c r="F707" s="87" t="s">
        <v>726</v>
      </c>
      <c r="G707" s="25">
        <f t="shared" si="21"/>
        <v>7.3516438275600393E-3</v>
      </c>
      <c r="I707" s="88">
        <v>230.45</v>
      </c>
      <c r="J707" s="88">
        <v>232.56</v>
      </c>
      <c r="K707" s="88">
        <v>225.28</v>
      </c>
      <c r="L707" s="88">
        <v>227.75</v>
      </c>
      <c r="M707" s="89">
        <v>1092564</v>
      </c>
      <c r="N707" s="87" t="s">
        <v>726</v>
      </c>
      <c r="O707" s="25">
        <f t="shared" si="22"/>
        <v>1.1855104281009776E-2</v>
      </c>
    </row>
    <row r="708" spans="1:15">
      <c r="A708" s="88">
        <v>495.81040855825205</v>
      </c>
      <c r="B708" s="88">
        <v>496.76415213063672</v>
      </c>
      <c r="C708" s="88">
        <v>482.95433448559766</v>
      </c>
      <c r="D708" s="88">
        <v>490.79838876459803</v>
      </c>
      <c r="E708" s="89">
        <v>5081990.065611871</v>
      </c>
      <c r="F708" s="87" t="s">
        <v>727</v>
      </c>
      <c r="G708" s="25">
        <f t="shared" si="21"/>
        <v>1.0211972794511137E-2</v>
      </c>
      <c r="I708" s="88">
        <v>227.73</v>
      </c>
      <c r="J708" s="88">
        <v>229.77</v>
      </c>
      <c r="K708" s="88">
        <v>220.1</v>
      </c>
      <c r="L708" s="88">
        <v>224.98</v>
      </c>
      <c r="M708" s="89">
        <v>792394</v>
      </c>
      <c r="N708" s="87" t="s">
        <v>727</v>
      </c>
      <c r="O708" s="25">
        <f t="shared" si="22"/>
        <v>1.2223308738554595E-2</v>
      </c>
    </row>
    <row r="709" spans="1:15">
      <c r="A709" s="88">
        <v>490.7886566873288</v>
      </c>
      <c r="B709" s="88">
        <v>491.18280581673264</v>
      </c>
      <c r="C709" s="88">
        <v>486.11696763577976</v>
      </c>
      <c r="D709" s="88">
        <v>490.44803398290566</v>
      </c>
      <c r="E709" s="89">
        <v>3057296.934342003</v>
      </c>
      <c r="F709" s="87" t="s">
        <v>728</v>
      </c>
      <c r="G709" s="25">
        <f t="shared" si="21"/>
        <v>6.9451334457792946E-4</v>
      </c>
      <c r="I709" s="88">
        <v>226.5</v>
      </c>
      <c r="J709" s="88">
        <v>227.255</v>
      </c>
      <c r="K709" s="88">
        <v>217.82</v>
      </c>
      <c r="L709" s="88">
        <v>217.82</v>
      </c>
      <c r="M709" s="89">
        <v>906084</v>
      </c>
      <c r="N709" s="87" t="s">
        <v>728</v>
      </c>
      <c r="O709" s="25">
        <f t="shared" si="22"/>
        <v>3.9849416949775174E-2</v>
      </c>
    </row>
    <row r="710" spans="1:15">
      <c r="A710" s="88">
        <v>488.77411669259794</v>
      </c>
      <c r="B710" s="88">
        <v>489.8835735012903</v>
      </c>
      <c r="C710" s="88">
        <v>485.38735380290547</v>
      </c>
      <c r="D710" s="88">
        <v>487.18778809771328</v>
      </c>
      <c r="E710" s="89">
        <v>3757468.1117270649</v>
      </c>
      <c r="F710" s="87" t="s">
        <v>729</v>
      </c>
      <c r="G710" s="25">
        <f t="shared" si="21"/>
        <v>3.2560926887734709E-3</v>
      </c>
      <c r="I710" s="88">
        <v>219.13</v>
      </c>
      <c r="J710" s="88">
        <v>222</v>
      </c>
      <c r="K710" s="88">
        <v>216</v>
      </c>
      <c r="L710" s="88">
        <v>218.12</v>
      </c>
      <c r="M710" s="89">
        <v>836053</v>
      </c>
      <c r="N710" s="87" t="s">
        <v>729</v>
      </c>
      <c r="O710" s="25">
        <f t="shared" si="22"/>
        <v>4.6304786356132777E-3</v>
      </c>
    </row>
    <row r="711" spans="1:15">
      <c r="A711" s="88">
        <v>483.33388549909768</v>
      </c>
      <c r="B711" s="88">
        <v>493.35792508640583</v>
      </c>
      <c r="C711" s="88">
        <v>482.51639100848229</v>
      </c>
      <c r="D711" s="88">
        <v>491.80079272332881</v>
      </c>
      <c r="E711" s="89">
        <v>7615474.882666532</v>
      </c>
      <c r="F711" s="87" t="s">
        <v>730</v>
      </c>
      <c r="G711" s="25">
        <f t="shared" si="21"/>
        <v>-1.7216131713301941E-2</v>
      </c>
      <c r="I711" s="88">
        <v>214.75</v>
      </c>
      <c r="J711" s="88">
        <v>217.71559999999999</v>
      </c>
      <c r="K711" s="88">
        <v>211.27</v>
      </c>
      <c r="L711" s="88">
        <v>216.1</v>
      </c>
      <c r="M711" s="89">
        <v>559605</v>
      </c>
      <c r="N711" s="87" t="s">
        <v>730</v>
      </c>
      <c r="O711" s="25">
        <f t="shared" si="22"/>
        <v>-6.2471078204534569E-3</v>
      </c>
    </row>
    <row r="712" spans="1:15">
      <c r="A712" s="88">
        <v>491.51856248252113</v>
      </c>
      <c r="B712" s="88">
        <v>495.30434054025204</v>
      </c>
      <c r="C712" s="88">
        <v>489.367773406021</v>
      </c>
      <c r="D712" s="88">
        <v>492.79346460479042</v>
      </c>
      <c r="E712" s="89">
        <v>3519874.4371155333</v>
      </c>
      <c r="F712" s="87" t="s">
        <v>731</v>
      </c>
      <c r="G712" s="25">
        <f t="shared" si="21"/>
        <v>-2.5870921873765163E-3</v>
      </c>
      <c r="I712" s="88">
        <v>216.11</v>
      </c>
      <c r="J712" s="88">
        <v>221.61</v>
      </c>
      <c r="K712" s="88">
        <v>211.88</v>
      </c>
      <c r="L712" s="88">
        <v>213.55</v>
      </c>
      <c r="M712" s="89">
        <v>940840</v>
      </c>
      <c r="N712" s="87" t="s">
        <v>731</v>
      </c>
      <c r="O712" s="25">
        <f t="shared" si="22"/>
        <v>1.1987824865371088E-2</v>
      </c>
    </row>
    <row r="713" spans="1:15">
      <c r="A713" s="88">
        <v>492.73507214117501</v>
      </c>
      <c r="B713" s="88">
        <v>495.87853309913669</v>
      </c>
      <c r="C713" s="88">
        <v>491.48936625071343</v>
      </c>
      <c r="D713" s="88">
        <v>492.13168335048272</v>
      </c>
      <c r="E713" s="89">
        <v>3700518.2967320401</v>
      </c>
      <c r="F713" s="87" t="s">
        <v>732</v>
      </c>
      <c r="G713" s="25">
        <f t="shared" si="21"/>
        <v>1.2260718240784119E-3</v>
      </c>
      <c r="I713" s="88">
        <v>212.51</v>
      </c>
      <c r="J713" s="88">
        <v>219.52440000000001</v>
      </c>
      <c r="K713" s="88">
        <v>204.02</v>
      </c>
      <c r="L713" s="88">
        <v>206.63</v>
      </c>
      <c r="M713" s="89">
        <v>1282479</v>
      </c>
      <c r="N713" s="87" t="s">
        <v>732</v>
      </c>
      <c r="O713" s="25">
        <f t="shared" si="22"/>
        <v>2.8456661665779315E-2</v>
      </c>
    </row>
    <row r="714" spans="1:15">
      <c r="A714" s="88">
        <v>493.96131387709818</v>
      </c>
      <c r="B714" s="88">
        <v>501.62045868798305</v>
      </c>
      <c r="C714" s="88">
        <v>491.5672228688673</v>
      </c>
      <c r="D714" s="88">
        <v>501.31876429263696</v>
      </c>
      <c r="E714" s="89">
        <v>6027943.3030677484</v>
      </c>
      <c r="F714" s="87" t="s">
        <v>733</v>
      </c>
      <c r="G714" s="25">
        <f t="shared" si="21"/>
        <v>-1.4676191955272588E-2</v>
      </c>
      <c r="I714" s="88">
        <v>206.69</v>
      </c>
      <c r="J714" s="88">
        <v>206.78</v>
      </c>
      <c r="K714" s="88">
        <v>199.685</v>
      </c>
      <c r="L714" s="88">
        <v>202</v>
      </c>
      <c r="M714" s="89">
        <v>718293</v>
      </c>
      <c r="N714" s="87" t="s">
        <v>733</v>
      </c>
      <c r="O714" s="25">
        <f t="shared" si="22"/>
        <v>2.3217821782178127E-2</v>
      </c>
    </row>
    <row r="715" spans="1:15">
      <c r="A715" s="88">
        <v>504.16053085525238</v>
      </c>
      <c r="B715" s="88">
        <v>504.68606302779096</v>
      </c>
      <c r="C715" s="88">
        <v>498.39914111186755</v>
      </c>
      <c r="D715" s="88">
        <v>501.61072661071381</v>
      </c>
      <c r="E715" s="89">
        <v>5792930.7834660951</v>
      </c>
      <c r="F715" s="87" t="s">
        <v>734</v>
      </c>
      <c r="G715" s="25">
        <f t="shared" si="21"/>
        <v>5.0832330914594159E-3</v>
      </c>
      <c r="I715" s="88">
        <v>202.77</v>
      </c>
      <c r="J715" s="88">
        <v>209.22</v>
      </c>
      <c r="K715" s="88">
        <v>201.15</v>
      </c>
      <c r="L715" s="88">
        <v>207.99</v>
      </c>
      <c r="M715" s="89">
        <v>606040</v>
      </c>
      <c r="N715" s="87" t="s">
        <v>734</v>
      </c>
      <c r="O715" s="25">
        <f t="shared" si="22"/>
        <v>-2.5097360450021644E-2</v>
      </c>
    </row>
    <row r="716" spans="1:15">
      <c r="A716" s="88">
        <v>499.45993753421379</v>
      </c>
      <c r="B716" s="88">
        <v>504.2091912415986</v>
      </c>
      <c r="C716" s="88">
        <v>498.40887318913678</v>
      </c>
      <c r="D716" s="88">
        <v>501.19224728813691</v>
      </c>
      <c r="E716" s="89">
        <v>3583145.6158130942</v>
      </c>
      <c r="F716" s="87" t="s">
        <v>735</v>
      </c>
      <c r="G716" s="25">
        <f t="shared" si="21"/>
        <v>-3.4563777937435258E-3</v>
      </c>
      <c r="I716" s="88">
        <v>205.15</v>
      </c>
      <c r="J716" s="88">
        <v>207.3</v>
      </c>
      <c r="K716" s="88">
        <v>204.35</v>
      </c>
      <c r="L716" s="88">
        <v>205.92</v>
      </c>
      <c r="M716" s="89">
        <v>702853</v>
      </c>
      <c r="N716" s="87" t="s">
        <v>735</v>
      </c>
      <c r="O716" s="25">
        <f t="shared" si="22"/>
        <v>-3.739316239316115E-3</v>
      </c>
    </row>
    <row r="717" spans="1:15">
      <c r="A717" s="88">
        <v>499.38208091605992</v>
      </c>
      <c r="B717" s="88">
        <v>502.39902486952161</v>
      </c>
      <c r="C717" s="88">
        <v>496.49165396709827</v>
      </c>
      <c r="D717" s="88">
        <v>501.9805455469446</v>
      </c>
      <c r="E717" s="89">
        <v>4048907.4336246871</v>
      </c>
      <c r="F717" s="87" t="s">
        <v>736</v>
      </c>
      <c r="G717" s="25">
        <f t="shared" si="21"/>
        <v>-5.1764249709188581E-3</v>
      </c>
      <c r="I717" s="88">
        <v>204.42</v>
      </c>
      <c r="J717" s="88">
        <v>205.46</v>
      </c>
      <c r="K717" s="88">
        <v>191.77</v>
      </c>
      <c r="L717" s="88">
        <v>191.77</v>
      </c>
      <c r="M717" s="89">
        <v>1271539</v>
      </c>
      <c r="N717" s="87" t="s">
        <v>736</v>
      </c>
      <c r="O717" s="25">
        <f t="shared" si="22"/>
        <v>6.5964436564634576E-2</v>
      </c>
    </row>
    <row r="718" spans="1:15">
      <c r="A718" s="88">
        <v>502.25304371048315</v>
      </c>
      <c r="B718" s="88">
        <v>502.74937965121393</v>
      </c>
      <c r="C718" s="88">
        <v>499.41127714786757</v>
      </c>
      <c r="D718" s="88">
        <v>500.48180564748304</v>
      </c>
      <c r="E718" s="89">
        <v>3115242.4257719684</v>
      </c>
      <c r="F718" s="87" t="s">
        <v>737</v>
      </c>
      <c r="G718" s="25">
        <f t="shared" si="21"/>
        <v>3.5390658421809995E-3</v>
      </c>
      <c r="I718" s="88">
        <v>192.58</v>
      </c>
      <c r="J718" s="88">
        <v>196.52</v>
      </c>
      <c r="K718" s="88">
        <v>183.31299999999999</v>
      </c>
      <c r="L718" s="88">
        <v>186.15</v>
      </c>
      <c r="M718" s="89">
        <v>1211471</v>
      </c>
      <c r="N718" s="87" t="s">
        <v>737</v>
      </c>
      <c r="O718" s="25">
        <f t="shared" si="22"/>
        <v>3.4542035992479292E-2</v>
      </c>
    </row>
    <row r="719" spans="1:15">
      <c r="A719" s="88">
        <v>501.58153037890617</v>
      </c>
      <c r="B719" s="88">
        <v>504.40383278698317</v>
      </c>
      <c r="C719" s="88">
        <v>500.10712067261767</v>
      </c>
      <c r="D719" s="88">
        <v>503.77124776448318</v>
      </c>
      <c r="E719" s="89">
        <v>3492204.0854988866</v>
      </c>
      <c r="F719" s="87" t="s">
        <v>738</v>
      </c>
      <c r="G719" s="25">
        <f t="shared" si="21"/>
        <v>-4.3466501815934144E-3</v>
      </c>
      <c r="I719" s="88">
        <v>180.69</v>
      </c>
      <c r="J719" s="88">
        <v>185.16</v>
      </c>
      <c r="K719" s="88">
        <v>180.31</v>
      </c>
      <c r="L719" s="88">
        <v>185.04</v>
      </c>
      <c r="M719" s="89">
        <v>416475</v>
      </c>
      <c r="N719" s="87" t="s">
        <v>738</v>
      </c>
      <c r="O719" s="25">
        <f t="shared" si="22"/>
        <v>-2.3508430609597841E-2</v>
      </c>
    </row>
    <row r="720" spans="1:15">
      <c r="A720" s="88">
        <v>502.81750419209851</v>
      </c>
      <c r="B720" s="88">
        <v>503.68365906906007</v>
      </c>
      <c r="C720" s="88">
        <v>498.52770185259413</v>
      </c>
      <c r="D720" s="88">
        <v>500.54993018836768</v>
      </c>
      <c r="E720" s="89">
        <v>5243270.1250049872</v>
      </c>
      <c r="F720" s="87" t="s">
        <v>739</v>
      </c>
      <c r="G720" s="25">
        <f t="shared" si="21"/>
        <v>4.5301654579743555E-3</v>
      </c>
      <c r="I720" s="88">
        <v>185.04</v>
      </c>
      <c r="J720" s="88">
        <v>188.25</v>
      </c>
      <c r="K720" s="88">
        <v>182.54499999999999</v>
      </c>
      <c r="L720" s="88">
        <v>187.13</v>
      </c>
      <c r="M720" s="89">
        <v>502606</v>
      </c>
      <c r="N720" s="87" t="s">
        <v>739</v>
      </c>
      <c r="O720" s="25">
        <f t="shared" si="22"/>
        <v>-1.1168706246994065E-2</v>
      </c>
    </row>
    <row r="721" spans="1:15">
      <c r="A721" s="88">
        <v>497.43566546221371</v>
      </c>
      <c r="B721" s="88">
        <v>503.76151568721394</v>
      </c>
      <c r="C721" s="88">
        <v>496.43326150348287</v>
      </c>
      <c r="D721" s="88">
        <v>503.19705520559847</v>
      </c>
      <c r="E721" s="89">
        <v>3778316.6925990526</v>
      </c>
      <c r="F721" s="87" t="s">
        <v>740</v>
      </c>
      <c r="G721" s="25">
        <f t="shared" si="21"/>
        <v>-1.1449569674112592E-2</v>
      </c>
      <c r="I721" s="88">
        <v>185.66</v>
      </c>
      <c r="J721" s="88">
        <v>186.76</v>
      </c>
      <c r="K721" s="88">
        <v>183.12</v>
      </c>
      <c r="L721" s="88">
        <v>186.76</v>
      </c>
      <c r="M721" s="89">
        <v>569155</v>
      </c>
      <c r="N721" s="87" t="s">
        <v>740</v>
      </c>
      <c r="O721" s="25">
        <f t="shared" si="22"/>
        <v>-5.8899121867637128E-3</v>
      </c>
    </row>
    <row r="722" spans="1:15">
      <c r="A722" s="88">
        <v>501.49394168348306</v>
      </c>
      <c r="B722" s="88">
        <v>502.81740687132583</v>
      </c>
      <c r="C722" s="88">
        <v>499.10958275252148</v>
      </c>
      <c r="D722" s="88">
        <v>500.6861792701369</v>
      </c>
      <c r="E722" s="89">
        <v>3436111.2304076194</v>
      </c>
      <c r="F722" s="87" t="s">
        <v>741</v>
      </c>
      <c r="G722" s="25">
        <f t="shared" si="21"/>
        <v>1.6133107858571361E-3</v>
      </c>
      <c r="I722" s="88">
        <v>185.8</v>
      </c>
      <c r="J722" s="88">
        <v>186.58</v>
      </c>
      <c r="K722" s="88">
        <v>183.43</v>
      </c>
      <c r="L722" s="88">
        <v>183.85</v>
      </c>
      <c r="M722" s="89">
        <v>663438</v>
      </c>
      <c r="N722" s="87" t="s">
        <v>741</v>
      </c>
      <c r="O722" s="25">
        <f t="shared" si="22"/>
        <v>1.0606472667936018E-2</v>
      </c>
    </row>
    <row r="723" spans="1:15">
      <c r="A723" s="88">
        <v>499.74216777502147</v>
      </c>
      <c r="B723" s="88">
        <v>501.66902175355659</v>
      </c>
      <c r="C723" s="88">
        <v>498.52565811636759</v>
      </c>
      <c r="D723" s="88">
        <v>500.15091502032914</v>
      </c>
      <c r="E723" s="89">
        <v>3242864.7170506031</v>
      </c>
      <c r="F723" s="87" t="s">
        <v>742</v>
      </c>
      <c r="G723" s="25">
        <f t="shared" si="21"/>
        <v>-8.1724782067238433E-4</v>
      </c>
      <c r="I723" s="88">
        <v>182.47</v>
      </c>
      <c r="J723" s="88">
        <v>193.45</v>
      </c>
      <c r="K723" s="88">
        <v>180.84</v>
      </c>
      <c r="L723" s="88">
        <v>192.73</v>
      </c>
      <c r="M723" s="89">
        <v>1268910</v>
      </c>
      <c r="N723" s="87" t="s">
        <v>742</v>
      </c>
      <c r="O723" s="25">
        <f t="shared" si="22"/>
        <v>-5.323509572977736E-2</v>
      </c>
    </row>
    <row r="724" spans="1:15">
      <c r="A724" s="88">
        <v>500.56939434290615</v>
      </c>
      <c r="B724" s="88">
        <v>500.56939434290615</v>
      </c>
      <c r="C724" s="88">
        <v>495.42112546748285</v>
      </c>
      <c r="D724" s="88">
        <v>496.19969164902136</v>
      </c>
      <c r="E724" s="89">
        <v>3909045.2066463428</v>
      </c>
      <c r="F724" s="87" t="s">
        <v>743</v>
      </c>
      <c r="G724" s="25">
        <f t="shared" si="21"/>
        <v>8.8063389950181481E-3</v>
      </c>
      <c r="I724" s="88">
        <v>195.92</v>
      </c>
      <c r="J724" s="88">
        <v>198.11</v>
      </c>
      <c r="K724" s="88">
        <v>193.68</v>
      </c>
      <c r="L724" s="88">
        <v>194.57</v>
      </c>
      <c r="M724" s="89">
        <v>483422</v>
      </c>
      <c r="N724" s="87" t="s">
        <v>743</v>
      </c>
      <c r="O724" s="25">
        <f t="shared" si="22"/>
        <v>6.9383769337512113E-3</v>
      </c>
    </row>
    <row r="725" spans="1:15">
      <c r="A725" s="88">
        <v>495.80067648098282</v>
      </c>
      <c r="B725" s="88">
        <v>496.4429935807521</v>
      </c>
      <c r="C725" s="88">
        <v>493.07569484559809</v>
      </c>
      <c r="D725" s="88">
        <v>493.26060431371349</v>
      </c>
      <c r="E725" s="89">
        <v>3544244.3628198667</v>
      </c>
      <c r="F725" s="87" t="s">
        <v>744</v>
      </c>
      <c r="G725" s="25">
        <f t="shared" si="21"/>
        <v>5.149554099913134E-3</v>
      </c>
      <c r="I725" s="88">
        <v>193.51</v>
      </c>
      <c r="J725" s="88">
        <v>196.94</v>
      </c>
      <c r="K725" s="88">
        <v>191.94</v>
      </c>
      <c r="L725" s="88">
        <v>195.12</v>
      </c>
      <c r="M725" s="89">
        <v>510272</v>
      </c>
      <c r="N725" s="87" t="s">
        <v>744</v>
      </c>
      <c r="O725" s="25">
        <f t="shared" si="22"/>
        <v>-8.2513325133252158E-3</v>
      </c>
    </row>
    <row r="726" spans="1:15">
      <c r="A726" s="88">
        <v>494.7593442131751</v>
      </c>
      <c r="B726" s="88">
        <v>494.96371783582896</v>
      </c>
      <c r="C726" s="88">
        <v>490.96938136221843</v>
      </c>
      <c r="D726" s="88">
        <v>491.55749079159801</v>
      </c>
      <c r="E726" s="89">
        <v>4396751.9796912046</v>
      </c>
      <c r="F726" s="87" t="s">
        <v>745</v>
      </c>
      <c r="G726" s="25">
        <f t="shared" si="21"/>
        <v>6.5136906293927765E-3</v>
      </c>
      <c r="I726" s="88">
        <v>195.03</v>
      </c>
      <c r="J726" s="88">
        <v>196.9</v>
      </c>
      <c r="K726" s="88">
        <v>193.19</v>
      </c>
      <c r="L726" s="88">
        <v>194.46</v>
      </c>
      <c r="M726" s="89">
        <v>533584</v>
      </c>
      <c r="N726" s="87" t="s">
        <v>745</v>
      </c>
      <c r="O726" s="25">
        <f t="shared" si="22"/>
        <v>2.9311940759024768E-3</v>
      </c>
    </row>
    <row r="727" spans="1:15">
      <c r="A727" s="88">
        <v>486.40922191617477</v>
      </c>
      <c r="B727" s="88">
        <v>487.43109002944402</v>
      </c>
      <c r="C727" s="88">
        <v>483.17622584733618</v>
      </c>
      <c r="D727" s="88">
        <v>485.55279911648245</v>
      </c>
      <c r="E727" s="89">
        <v>3802377.3318153396</v>
      </c>
      <c r="F727" s="87" t="s">
        <v>746</v>
      </c>
      <c r="G727" s="25">
        <f t="shared" si="21"/>
        <v>1.7638098292311888E-3</v>
      </c>
      <c r="I727" s="88">
        <v>191.54</v>
      </c>
      <c r="J727" s="88">
        <v>196.48</v>
      </c>
      <c r="K727" s="88">
        <v>191.52</v>
      </c>
      <c r="L727" s="88">
        <v>193.24</v>
      </c>
      <c r="M727" s="89">
        <v>542388</v>
      </c>
      <c r="N727" s="87" t="s">
        <v>746</v>
      </c>
      <c r="O727" s="25">
        <f t="shared" si="22"/>
        <v>-8.7973504450424844E-3</v>
      </c>
    </row>
    <row r="728" spans="1:15">
      <c r="A728" s="88">
        <v>484.86182163036699</v>
      </c>
      <c r="B728" s="88">
        <v>485.02726694394391</v>
      </c>
      <c r="C728" s="88">
        <v>479.71355275494369</v>
      </c>
      <c r="D728" s="88">
        <v>479.92765845486679</v>
      </c>
      <c r="E728" s="89">
        <v>3337300.8764207806</v>
      </c>
      <c r="F728" s="87" t="s">
        <v>747</v>
      </c>
      <c r="G728" s="25">
        <f t="shared" si="21"/>
        <v>1.0281056089548546E-2</v>
      </c>
      <c r="I728" s="88">
        <v>194.59</v>
      </c>
      <c r="J728" s="88">
        <v>195.2483</v>
      </c>
      <c r="K728" s="88">
        <v>188.73</v>
      </c>
      <c r="L728" s="88">
        <v>189</v>
      </c>
      <c r="M728" s="89">
        <v>711057</v>
      </c>
      <c r="N728" s="87" t="s">
        <v>747</v>
      </c>
      <c r="O728" s="25">
        <f t="shared" si="22"/>
        <v>2.957671957671959E-2</v>
      </c>
    </row>
    <row r="729" spans="1:15">
      <c r="A729" s="88">
        <v>476.9399107332128</v>
      </c>
      <c r="B729" s="88">
        <v>479.15882435059751</v>
      </c>
      <c r="C729" s="88">
        <v>474.90590658394348</v>
      </c>
      <c r="D729" s="88">
        <v>477.78660145563589</v>
      </c>
      <c r="E729" s="89">
        <v>3676639.5303010829</v>
      </c>
      <c r="F729" s="87" t="s">
        <v>748</v>
      </c>
      <c r="G729" s="25">
        <f t="shared" si="21"/>
        <v>-1.7721106448852497E-3</v>
      </c>
      <c r="I729" s="88">
        <v>188.05</v>
      </c>
      <c r="J729" s="88">
        <v>191.66</v>
      </c>
      <c r="K729" s="88">
        <v>181.23</v>
      </c>
      <c r="L729" s="88">
        <v>183.24</v>
      </c>
      <c r="M729" s="89">
        <v>932929</v>
      </c>
      <c r="N729" s="87" t="s">
        <v>748</v>
      </c>
      <c r="O729" s="25">
        <f t="shared" si="22"/>
        <v>2.6249727133813572E-2</v>
      </c>
    </row>
    <row r="730" spans="1:15">
      <c r="A730" s="88">
        <v>476.696608801482</v>
      </c>
      <c r="B730" s="88">
        <v>478.04936754190516</v>
      </c>
      <c r="C730" s="88">
        <v>472.80377789378952</v>
      </c>
      <c r="D730" s="88">
        <v>473.88403847067423</v>
      </c>
      <c r="E730" s="89">
        <v>7872246.3745966824</v>
      </c>
      <c r="F730" s="87" t="s">
        <v>749</v>
      </c>
      <c r="G730" s="25">
        <f t="shared" si="21"/>
        <v>5.9351446819870812E-3</v>
      </c>
      <c r="I730" s="88">
        <v>182.19</v>
      </c>
      <c r="J730" s="88">
        <v>187.8</v>
      </c>
      <c r="K730" s="88">
        <v>173</v>
      </c>
      <c r="L730" s="88">
        <v>174.21</v>
      </c>
      <c r="M730" s="89">
        <v>2129777</v>
      </c>
      <c r="N730" s="87" t="s">
        <v>749</v>
      </c>
      <c r="O730" s="25">
        <f t="shared" si="22"/>
        <v>4.5806784914758092E-2</v>
      </c>
    </row>
    <row r="731" spans="1:15">
      <c r="A731" s="88">
        <v>474.66260465221274</v>
      </c>
      <c r="B731" s="88">
        <v>475.18813682475115</v>
      </c>
      <c r="C731" s="88">
        <v>466.78935414140466</v>
      </c>
      <c r="D731" s="88">
        <v>468.58978843621247</v>
      </c>
      <c r="E731" s="89">
        <v>4292232.6697987597</v>
      </c>
      <c r="F731" s="87" t="s">
        <v>750</v>
      </c>
      <c r="G731" s="25">
        <f t="shared" si="21"/>
        <v>1.295977071174903E-2</v>
      </c>
      <c r="I731" s="88">
        <v>199.79</v>
      </c>
      <c r="J731" s="88">
        <v>200.27</v>
      </c>
      <c r="K731" s="88">
        <v>189.215</v>
      </c>
      <c r="L731" s="88">
        <v>190</v>
      </c>
      <c r="M731" s="89">
        <v>924656</v>
      </c>
      <c r="N731" s="87" t="s">
        <v>750</v>
      </c>
      <c r="O731" s="25">
        <f t="shared" si="22"/>
        <v>5.1526315789473642E-2</v>
      </c>
    </row>
    <row r="732" spans="1:15">
      <c r="A732" s="88">
        <v>463.84053472882766</v>
      </c>
      <c r="B732" s="88">
        <v>475.46063498828966</v>
      </c>
      <c r="C732" s="88">
        <v>463.35393086536607</v>
      </c>
      <c r="D732" s="88">
        <v>472.68699296655876</v>
      </c>
      <c r="E732" s="89">
        <v>6140879.1100485362</v>
      </c>
      <c r="F732" s="87" t="s">
        <v>751</v>
      </c>
      <c r="G732" s="25">
        <f t="shared" si="21"/>
        <v>-1.8715256331068408E-2</v>
      </c>
      <c r="I732" s="88">
        <v>190.39</v>
      </c>
      <c r="J732" s="88">
        <v>196</v>
      </c>
      <c r="K732" s="88">
        <v>186.815</v>
      </c>
      <c r="L732" s="88">
        <v>190</v>
      </c>
      <c r="M732" s="89">
        <v>963696</v>
      </c>
      <c r="N732" s="87" t="s">
        <v>751</v>
      </c>
      <c r="O732" s="25">
        <f t="shared" si="22"/>
        <v>2.052631578947306E-3</v>
      </c>
    </row>
    <row r="733" spans="1:15">
      <c r="A733" s="88">
        <v>467.08131645948163</v>
      </c>
      <c r="B733" s="88">
        <v>473.81591392978959</v>
      </c>
      <c r="C733" s="88">
        <v>463.18848555178914</v>
      </c>
      <c r="D733" s="88">
        <v>464.59963675582765</v>
      </c>
      <c r="E733" s="89">
        <v>8482300.1006157547</v>
      </c>
      <c r="F733" s="87" t="s">
        <v>752</v>
      </c>
      <c r="G733" s="25">
        <f t="shared" si="21"/>
        <v>5.3415446490292506E-3</v>
      </c>
      <c r="I733" s="88">
        <v>196.35</v>
      </c>
      <c r="J733" s="88">
        <v>197.8</v>
      </c>
      <c r="K733" s="88">
        <v>189.05</v>
      </c>
      <c r="L733" s="88">
        <v>190.59</v>
      </c>
      <c r="M733" s="89">
        <v>727593</v>
      </c>
      <c r="N733" s="87" t="s">
        <v>752</v>
      </c>
      <c r="O733" s="25">
        <f t="shared" si="22"/>
        <v>3.0221942389422329E-2</v>
      </c>
    </row>
    <row r="734" spans="1:15">
      <c r="A734" s="88">
        <v>462.46831183386604</v>
      </c>
      <c r="B734" s="88">
        <v>468.28809404086627</v>
      </c>
      <c r="C734" s="88">
        <v>456.32737107698114</v>
      </c>
      <c r="D734" s="88">
        <v>457.57307696744277</v>
      </c>
      <c r="E734" s="89">
        <v>15663948.793538775</v>
      </c>
      <c r="F734" s="87" t="s">
        <v>753</v>
      </c>
      <c r="G734" s="25">
        <f t="shared" si="21"/>
        <v>1.0698258076865752E-2</v>
      </c>
      <c r="I734" s="88">
        <v>190.58</v>
      </c>
      <c r="J734" s="88">
        <v>194.06</v>
      </c>
      <c r="K734" s="88">
        <v>185.16</v>
      </c>
      <c r="L734" s="88">
        <v>188.8</v>
      </c>
      <c r="M734" s="89">
        <v>778773</v>
      </c>
      <c r="N734" s="87" t="s">
        <v>753</v>
      </c>
      <c r="O734" s="25">
        <f t="shared" si="22"/>
        <v>9.4279661016949401E-3</v>
      </c>
    </row>
    <row r="735" spans="1:15">
      <c r="A735" s="88">
        <v>476.78419749690511</v>
      </c>
      <c r="B735" s="88">
        <v>480.29747739109757</v>
      </c>
      <c r="C735" s="88">
        <v>472.7843137392511</v>
      </c>
      <c r="D735" s="88">
        <v>479.21721681421292</v>
      </c>
      <c r="E735" s="89">
        <v>8796853.7067280319</v>
      </c>
      <c r="F735" s="87" t="s">
        <v>754</v>
      </c>
      <c r="G735" s="25">
        <f t="shared" si="21"/>
        <v>-5.0770699214069959E-3</v>
      </c>
      <c r="I735" s="88">
        <v>196.45</v>
      </c>
      <c r="J735" s="88">
        <v>197.02</v>
      </c>
      <c r="K735" s="88">
        <v>186.65</v>
      </c>
      <c r="L735" s="88">
        <v>196.87</v>
      </c>
      <c r="M735" s="89">
        <v>843823</v>
      </c>
      <c r="N735" s="87" t="s">
        <v>754</v>
      </c>
      <c r="O735" s="25">
        <f t="shared" si="22"/>
        <v>-2.1333875146036796E-3</v>
      </c>
    </row>
    <row r="736" spans="1:15">
      <c r="A736" s="88">
        <v>485.65985196644391</v>
      </c>
      <c r="B736" s="88">
        <v>496.23861995809824</v>
      </c>
      <c r="C736" s="88">
        <v>482.46773062213612</v>
      </c>
      <c r="D736" s="88">
        <v>494.23381204063662</v>
      </c>
      <c r="E736" s="89">
        <v>7130252.6768246498</v>
      </c>
      <c r="F736" s="87" t="s">
        <v>755</v>
      </c>
      <c r="G736" s="25">
        <f t="shared" si="21"/>
        <v>-1.7347983616887275E-2</v>
      </c>
      <c r="I736" s="88">
        <v>197.25</v>
      </c>
      <c r="J736" s="88">
        <v>198.095</v>
      </c>
      <c r="K736" s="88">
        <v>190.66</v>
      </c>
      <c r="L736" s="88">
        <v>194.82</v>
      </c>
      <c r="M736" s="89">
        <v>548325</v>
      </c>
      <c r="N736" s="87" t="s">
        <v>755</v>
      </c>
      <c r="O736" s="25">
        <f t="shared" si="22"/>
        <v>1.2473052048044275E-2</v>
      </c>
    </row>
    <row r="737" spans="1:15">
      <c r="A737" s="88">
        <v>492.37498528221346</v>
      </c>
      <c r="B737" s="88">
        <v>495.02522456417051</v>
      </c>
      <c r="C737" s="88">
        <v>489.82031499904031</v>
      </c>
      <c r="D737" s="88">
        <v>490.96383407817495</v>
      </c>
      <c r="E737" s="89">
        <v>5515355.9219778236</v>
      </c>
      <c r="F737" s="87" t="s">
        <v>756</v>
      </c>
      <c r="G737" s="25">
        <f t="shared" si="21"/>
        <v>2.8742467491278401E-3</v>
      </c>
      <c r="I737" s="88">
        <v>194.35</v>
      </c>
      <c r="J737" s="88">
        <v>197.12</v>
      </c>
      <c r="K737" s="88">
        <v>191.1</v>
      </c>
      <c r="L737" s="88">
        <v>195.37</v>
      </c>
      <c r="M737" s="89">
        <v>750157</v>
      </c>
      <c r="N737" s="87" t="s">
        <v>756</v>
      </c>
      <c r="O737" s="25">
        <f t="shared" si="22"/>
        <v>-5.2208629779393334E-3</v>
      </c>
    </row>
    <row r="738" spans="1:15">
      <c r="A738" s="88">
        <v>484.73530462586695</v>
      </c>
      <c r="B738" s="88">
        <v>489.53321871959793</v>
      </c>
      <c r="C738" s="88">
        <v>481.65510217015532</v>
      </c>
      <c r="D738" s="88">
        <v>488.59893930175178</v>
      </c>
      <c r="E738" s="89">
        <v>3922903.5018765298</v>
      </c>
      <c r="F738" s="87" t="s">
        <v>757</v>
      </c>
      <c r="G738" s="25">
        <f t="shared" si="21"/>
        <v>-7.9075789264019258E-3</v>
      </c>
      <c r="I738" s="88">
        <v>193.79</v>
      </c>
      <c r="J738" s="88">
        <v>195.54</v>
      </c>
      <c r="K738" s="88">
        <v>191.07</v>
      </c>
      <c r="L738" s="88">
        <v>192.71</v>
      </c>
      <c r="M738" s="89">
        <v>503831</v>
      </c>
      <c r="N738" s="87" t="s">
        <v>757</v>
      </c>
      <c r="O738" s="25">
        <f t="shared" si="22"/>
        <v>5.6042758549115224E-3</v>
      </c>
    </row>
    <row r="739" spans="1:15">
      <c r="A739" s="88">
        <v>487.28510887040557</v>
      </c>
      <c r="B739" s="88">
        <v>489.29478282650177</v>
      </c>
      <c r="C739" s="88">
        <v>485.4112947129878</v>
      </c>
      <c r="D739" s="88">
        <v>488.37510152455945</v>
      </c>
      <c r="E739" s="89">
        <v>3181415.3487959215</v>
      </c>
      <c r="F739" s="87" t="s">
        <v>758</v>
      </c>
      <c r="G739" s="25">
        <f t="shared" si="21"/>
        <v>-2.2318759714639036E-3</v>
      </c>
      <c r="I739" s="88">
        <v>191.83</v>
      </c>
      <c r="J739" s="88">
        <v>194.75</v>
      </c>
      <c r="K739" s="88">
        <v>186.64</v>
      </c>
      <c r="L739" s="88">
        <v>193.74</v>
      </c>
      <c r="M739" s="89">
        <v>770464</v>
      </c>
      <c r="N739" s="87" t="s">
        <v>758</v>
      </c>
      <c r="O739" s="25">
        <f t="shared" si="22"/>
        <v>-9.8585733457210445E-3</v>
      </c>
    </row>
    <row r="740" spans="1:15">
      <c r="A740" s="88">
        <v>486.92502201144396</v>
      </c>
      <c r="B740" s="88">
        <v>489.41156775373258</v>
      </c>
      <c r="C740" s="88">
        <v>484.33628945782851</v>
      </c>
      <c r="D740" s="88">
        <v>485.00780278940545</v>
      </c>
      <c r="E740" s="89">
        <v>3736082.1327379728</v>
      </c>
      <c r="F740" s="87" t="s">
        <v>759</v>
      </c>
      <c r="G740" s="25">
        <f t="shared" si="21"/>
        <v>3.9529657275865215E-3</v>
      </c>
      <c r="I740" s="88">
        <v>193.3</v>
      </c>
      <c r="J740" s="88">
        <v>198.23</v>
      </c>
      <c r="K740" s="88">
        <v>180.45</v>
      </c>
      <c r="L740" s="88">
        <v>196.58</v>
      </c>
      <c r="M740" s="89">
        <v>1848011</v>
      </c>
      <c r="N740" s="87" t="s">
        <v>759</v>
      </c>
      <c r="O740" s="25">
        <f t="shared" si="22"/>
        <v>-1.6685318954115402E-2</v>
      </c>
    </row>
    <row r="741" spans="1:15">
      <c r="A741" s="88">
        <v>481.52371912702068</v>
      </c>
      <c r="B741" s="88">
        <v>489.65973572409797</v>
      </c>
      <c r="C741" s="88">
        <v>480.68676048186683</v>
      </c>
      <c r="D741" s="88">
        <v>484.21950453059776</v>
      </c>
      <c r="E741" s="89">
        <v>5802051.1385089615</v>
      </c>
      <c r="F741" s="87" t="s">
        <v>760</v>
      </c>
      <c r="G741" s="25">
        <f t="shared" si="21"/>
        <v>-5.5672796703849503E-3</v>
      </c>
      <c r="I741" s="88">
        <v>190.88</v>
      </c>
      <c r="J741" s="88">
        <v>197.55</v>
      </c>
      <c r="K741" s="88">
        <v>190.64</v>
      </c>
      <c r="L741" s="88">
        <v>192.62</v>
      </c>
      <c r="M741" s="89">
        <v>778919</v>
      </c>
      <c r="N741" s="87" t="s">
        <v>760</v>
      </c>
      <c r="O741" s="25">
        <f t="shared" si="22"/>
        <v>-9.0333298722874433E-3</v>
      </c>
    </row>
    <row r="742" spans="1:15">
      <c r="A742" s="88">
        <v>483.96647052159773</v>
      </c>
      <c r="B742" s="88">
        <v>491.17793977809799</v>
      </c>
      <c r="C742" s="88">
        <v>483.24143076504004</v>
      </c>
      <c r="D742" s="88">
        <v>490.91517369182878</v>
      </c>
      <c r="E742" s="89">
        <v>6326914.4188437182</v>
      </c>
      <c r="F742" s="87" t="s">
        <v>761</v>
      </c>
      <c r="G742" s="25">
        <f t="shared" si="21"/>
        <v>-1.4154590329679029E-2</v>
      </c>
      <c r="I742" s="88">
        <v>194.38</v>
      </c>
      <c r="J742" s="88">
        <v>198.44</v>
      </c>
      <c r="K742" s="88">
        <v>191.92</v>
      </c>
      <c r="L742" s="88">
        <v>196.54</v>
      </c>
      <c r="M742" s="89">
        <v>298830</v>
      </c>
      <c r="N742" s="87" t="s">
        <v>761</v>
      </c>
      <c r="O742" s="25">
        <f t="shared" si="22"/>
        <v>-1.0990129235778912E-2</v>
      </c>
    </row>
    <row r="743" spans="1:15">
      <c r="A743" s="88">
        <v>495.30434054025204</v>
      </c>
      <c r="B743" s="88">
        <v>497.94173348021366</v>
      </c>
      <c r="C743" s="88">
        <v>494.86639706313667</v>
      </c>
      <c r="D743" s="88">
        <v>496.00505010363673</v>
      </c>
      <c r="E743" s="89">
        <v>3201829.2845368669</v>
      </c>
      <c r="F743" s="87" t="s">
        <v>762</v>
      </c>
      <c r="G743" s="25">
        <f t="shared" si="21"/>
        <v>-1.4127065102226277E-3</v>
      </c>
      <c r="I743" s="88">
        <v>196.76</v>
      </c>
      <c r="J743" s="88">
        <v>199.48</v>
      </c>
      <c r="K743" s="88">
        <v>193.23</v>
      </c>
      <c r="L743" s="88">
        <v>195.11</v>
      </c>
      <c r="M743" s="89">
        <v>312580</v>
      </c>
      <c r="N743" s="87" t="s">
        <v>762</v>
      </c>
      <c r="O743" s="25">
        <f t="shared" si="22"/>
        <v>8.4567679770384263E-3</v>
      </c>
    </row>
    <row r="744" spans="1:15">
      <c r="A744" s="88">
        <v>496.13156710813672</v>
      </c>
      <c r="B744" s="88">
        <v>496.64736720340596</v>
      </c>
      <c r="C744" s="88">
        <v>492.87132122294423</v>
      </c>
      <c r="D744" s="88">
        <v>494.65229136321352</v>
      </c>
      <c r="E744" s="89">
        <v>4462489.2300542556</v>
      </c>
      <c r="F744" s="87" t="s">
        <v>763</v>
      </c>
      <c r="G744" s="25">
        <f t="shared" si="21"/>
        <v>2.9905365258624528E-3</v>
      </c>
      <c r="I744" s="88">
        <v>194.23</v>
      </c>
      <c r="J744" s="88">
        <v>197.25</v>
      </c>
      <c r="K744" s="88">
        <v>191.36</v>
      </c>
      <c r="L744" s="88">
        <v>196.4</v>
      </c>
      <c r="M744" s="89">
        <v>399113</v>
      </c>
      <c r="N744" s="87" t="s">
        <v>763</v>
      </c>
      <c r="O744" s="25">
        <f t="shared" si="22"/>
        <v>-1.104887983706726E-2</v>
      </c>
    </row>
    <row r="745" spans="1:15">
      <c r="A745" s="88">
        <v>491.03195861905959</v>
      </c>
      <c r="B745" s="88">
        <v>495.55737454925207</v>
      </c>
      <c r="C745" s="88">
        <v>490.06848296940569</v>
      </c>
      <c r="D745" s="88">
        <v>494.03917049525199</v>
      </c>
      <c r="E745" s="89">
        <v>4150642.1375948512</v>
      </c>
      <c r="F745" s="87" t="s">
        <v>764</v>
      </c>
      <c r="G745" s="25">
        <f t="shared" si="21"/>
        <v>-6.0869907808682733E-3</v>
      </c>
      <c r="I745" s="88">
        <v>195.03</v>
      </c>
      <c r="J745" s="88">
        <v>198.59</v>
      </c>
      <c r="K745" s="88">
        <v>191.99</v>
      </c>
      <c r="L745" s="88">
        <v>197.01</v>
      </c>
      <c r="M745" s="89">
        <v>653929</v>
      </c>
      <c r="N745" s="87" t="s">
        <v>764</v>
      </c>
      <c r="O745" s="25">
        <f t="shared" si="22"/>
        <v>-1.005025125628134E-2</v>
      </c>
    </row>
    <row r="746" spans="1:15">
      <c r="A746" s="88">
        <v>494.33113281332891</v>
      </c>
      <c r="B746" s="88">
        <v>500.41368110659846</v>
      </c>
      <c r="C746" s="88">
        <v>492.31756602632498</v>
      </c>
      <c r="D746" s="88">
        <v>499.49886584329067</v>
      </c>
      <c r="E746" s="89">
        <v>5195036.845817605</v>
      </c>
      <c r="F746" s="87" t="s">
        <v>765</v>
      </c>
      <c r="G746" s="25">
        <f t="shared" si="21"/>
        <v>-1.0345835362883582E-2</v>
      </c>
      <c r="I746" s="88">
        <v>194.96</v>
      </c>
      <c r="J746" s="88">
        <v>202.54</v>
      </c>
      <c r="K746" s="88">
        <v>190.48</v>
      </c>
      <c r="L746" s="88">
        <v>197.65</v>
      </c>
      <c r="M746" s="89">
        <v>671179</v>
      </c>
      <c r="N746" s="87" t="s">
        <v>765</v>
      </c>
      <c r="O746" s="25">
        <f t="shared" si="22"/>
        <v>-1.3609916519099374E-2</v>
      </c>
    </row>
    <row r="747" spans="1:15">
      <c r="A747" s="88">
        <v>498.07798256198294</v>
      </c>
      <c r="B747" s="88">
        <v>501.30903221536772</v>
      </c>
      <c r="C747" s="88">
        <v>497.85414478479061</v>
      </c>
      <c r="D747" s="88">
        <v>499.80056023863682</v>
      </c>
      <c r="E747" s="89">
        <v>5121523.2494693799</v>
      </c>
      <c r="F747" s="87" t="s">
        <v>766</v>
      </c>
      <c r="G747" s="25">
        <f t="shared" si="21"/>
        <v>-3.4465301035905282E-3</v>
      </c>
      <c r="I747" s="88">
        <v>197.65</v>
      </c>
      <c r="J747" s="88">
        <v>205.26</v>
      </c>
      <c r="K747" s="88">
        <v>195.89</v>
      </c>
      <c r="L747" s="88">
        <v>199.33</v>
      </c>
      <c r="M747" s="89">
        <v>656724</v>
      </c>
      <c r="N747" s="87" t="s">
        <v>766</v>
      </c>
      <c r="O747" s="25">
        <f t="shared" si="22"/>
        <v>-8.4282345858627261E-3</v>
      </c>
    </row>
    <row r="748" spans="1:15">
      <c r="A748" s="88">
        <v>505.13373858217551</v>
      </c>
      <c r="B748" s="88">
        <v>505.48409336386783</v>
      </c>
      <c r="C748" s="88">
        <v>502.75911172848316</v>
      </c>
      <c r="D748" s="88">
        <v>503.46955336913703</v>
      </c>
      <c r="E748" s="89">
        <v>4278942.5985814957</v>
      </c>
      <c r="F748" s="87" t="s">
        <v>767</v>
      </c>
      <c r="G748" s="25">
        <f t="shared" si="21"/>
        <v>3.3054336690312436E-3</v>
      </c>
      <c r="I748" s="88">
        <v>201.39</v>
      </c>
      <c r="J748" s="88">
        <v>205.66</v>
      </c>
      <c r="K748" s="88">
        <v>198.95</v>
      </c>
      <c r="L748" s="88">
        <v>200.62</v>
      </c>
      <c r="M748" s="89">
        <v>828266</v>
      </c>
      <c r="N748" s="87" t="s">
        <v>767</v>
      </c>
      <c r="O748" s="25">
        <f t="shared" si="22"/>
        <v>3.8381018841591175E-3</v>
      </c>
    </row>
    <row r="749" spans="1:15">
      <c r="A749" s="88">
        <v>502.2822399422908</v>
      </c>
      <c r="B749" s="88">
        <v>505.21159520032938</v>
      </c>
      <c r="C749" s="88">
        <v>500.55966226563692</v>
      </c>
      <c r="D749" s="88">
        <v>502.73964757394469</v>
      </c>
      <c r="E749" s="89">
        <v>7985472.9725280255</v>
      </c>
      <c r="F749" s="87" t="s">
        <v>768</v>
      </c>
      <c r="G749" s="25">
        <f t="shared" si="21"/>
        <v>-9.0983003600608736E-4</v>
      </c>
      <c r="I749" s="88">
        <v>198.87</v>
      </c>
      <c r="J749" s="88">
        <v>204.13</v>
      </c>
      <c r="K749" s="88">
        <v>197.95</v>
      </c>
      <c r="L749" s="88">
        <v>201.27</v>
      </c>
      <c r="M749" s="89">
        <v>531929</v>
      </c>
      <c r="N749" s="87" t="s">
        <v>768</v>
      </c>
      <c r="O749" s="25">
        <f t="shared" si="22"/>
        <v>-1.1924280816813293E-2</v>
      </c>
    </row>
    <row r="750" spans="1:15">
      <c r="A750" s="88">
        <v>500.76403588829072</v>
      </c>
      <c r="B750" s="88">
        <v>504.1507987779832</v>
      </c>
      <c r="C750" s="88">
        <v>498.44780149821366</v>
      </c>
      <c r="D750" s="88">
        <v>498.75922797082916</v>
      </c>
      <c r="E750" s="89">
        <v>5382376.0900059147</v>
      </c>
      <c r="F750" s="87" t="s">
        <v>769</v>
      </c>
      <c r="G750" s="25">
        <f t="shared" si="21"/>
        <v>4.0195906261584202E-3</v>
      </c>
      <c r="I750" s="88">
        <v>201.98</v>
      </c>
      <c r="J750" s="88">
        <v>209.35</v>
      </c>
      <c r="K750" s="88">
        <v>201.84</v>
      </c>
      <c r="L750" s="88">
        <v>204</v>
      </c>
      <c r="M750" s="89">
        <v>618633</v>
      </c>
      <c r="N750" s="87" t="s">
        <v>769</v>
      </c>
      <c r="O750" s="25">
        <f t="shared" si="22"/>
        <v>-9.9019607843138235E-3</v>
      </c>
    </row>
    <row r="751" spans="1:15">
      <c r="A751" s="88">
        <v>497.68869947121368</v>
      </c>
      <c r="B751" s="88">
        <v>502.9440211965985</v>
      </c>
      <c r="C751" s="88">
        <v>497.13883710550215</v>
      </c>
      <c r="D751" s="88">
        <v>502.17518709232928</v>
      </c>
      <c r="E751" s="89">
        <v>5698997.0861977609</v>
      </c>
      <c r="F751" s="87" t="s">
        <v>770</v>
      </c>
      <c r="G751" s="25">
        <f t="shared" si="21"/>
        <v>-8.9341085271318343E-3</v>
      </c>
      <c r="I751" s="88">
        <v>203.62</v>
      </c>
      <c r="J751" s="88">
        <v>205.4</v>
      </c>
      <c r="K751" s="88">
        <v>197.8</v>
      </c>
      <c r="L751" s="88">
        <v>199.7</v>
      </c>
      <c r="M751" s="89">
        <v>485912</v>
      </c>
      <c r="N751" s="87" t="s">
        <v>770</v>
      </c>
      <c r="O751" s="25">
        <f t="shared" si="22"/>
        <v>1.9629444166249455E-2</v>
      </c>
    </row>
    <row r="752" spans="1:15">
      <c r="A752" s="88">
        <v>501.99027762421383</v>
      </c>
      <c r="B752" s="88">
        <v>502.35523052180997</v>
      </c>
      <c r="C752" s="88">
        <v>497.98066178929065</v>
      </c>
      <c r="D752" s="88">
        <v>498.26289203009833</v>
      </c>
      <c r="E752" s="89">
        <v>3541816.309759221</v>
      </c>
      <c r="F752" s="87" t="s">
        <v>771</v>
      </c>
      <c r="G752" s="25">
        <f t="shared" si="21"/>
        <v>7.480760967225164E-3</v>
      </c>
      <c r="I752" s="88">
        <v>197.67</v>
      </c>
      <c r="J752" s="88">
        <v>197.97</v>
      </c>
      <c r="K752" s="88">
        <v>190.98500000000001</v>
      </c>
      <c r="L752" s="88">
        <v>195.96</v>
      </c>
      <c r="M752" s="89">
        <v>449799</v>
      </c>
      <c r="N752" s="87" t="s">
        <v>771</v>
      </c>
      <c r="O752" s="25">
        <f t="shared" si="22"/>
        <v>8.7262706674831048E-3</v>
      </c>
    </row>
    <row r="753" spans="1:15">
      <c r="A753" s="88">
        <v>497.20209560775214</v>
      </c>
      <c r="B753" s="88">
        <v>498.29208826190603</v>
      </c>
      <c r="C753" s="88">
        <v>496.86147290332906</v>
      </c>
      <c r="D753" s="88">
        <v>497.51352208036752</v>
      </c>
      <c r="E753" s="89">
        <v>3232427.0687264209</v>
      </c>
      <c r="F753" s="87" t="s">
        <v>772</v>
      </c>
      <c r="G753" s="25">
        <f t="shared" si="21"/>
        <v>-6.2596584573848535E-4</v>
      </c>
      <c r="I753" s="88">
        <v>195.17</v>
      </c>
      <c r="J753" s="88">
        <v>198.68</v>
      </c>
      <c r="K753" s="88">
        <v>193.73</v>
      </c>
      <c r="L753" s="88">
        <v>198.36</v>
      </c>
      <c r="M753" s="89">
        <v>585876</v>
      </c>
      <c r="N753" s="87" t="s">
        <v>772</v>
      </c>
      <c r="O753" s="25">
        <f t="shared" si="22"/>
        <v>-1.6081871345029364E-2</v>
      </c>
    </row>
    <row r="754" spans="1:15">
      <c r="A754" s="88">
        <v>496.6570992806752</v>
      </c>
      <c r="B754" s="88">
        <v>497.50865604173288</v>
      </c>
      <c r="C754" s="88">
        <v>495.67415947648283</v>
      </c>
      <c r="D754" s="88">
        <v>496.82254459425212</v>
      </c>
      <c r="E754" s="89">
        <v>3229915.7857470647</v>
      </c>
      <c r="F754" s="87" t="s">
        <v>773</v>
      </c>
      <c r="G754" s="25">
        <f t="shared" si="21"/>
        <v>-3.3300685602344338E-4</v>
      </c>
      <c r="I754" s="88">
        <v>198.67</v>
      </c>
      <c r="J754" s="88">
        <v>201</v>
      </c>
      <c r="K754" s="88">
        <v>192.29</v>
      </c>
      <c r="L754" s="88">
        <v>196.21</v>
      </c>
      <c r="M754" s="89">
        <v>466097</v>
      </c>
      <c r="N754" s="87" t="s">
        <v>773</v>
      </c>
      <c r="O754" s="25">
        <f t="shared" si="22"/>
        <v>1.2537587278935725E-2</v>
      </c>
    </row>
    <row r="755" spans="1:15">
      <c r="A755" s="88">
        <v>496.18022749448284</v>
      </c>
      <c r="B755" s="88">
        <v>496.43326150348287</v>
      </c>
      <c r="C755" s="88">
        <v>492.9199816092904</v>
      </c>
      <c r="D755" s="88">
        <v>493.54283455452122</v>
      </c>
      <c r="E755" s="89">
        <v>3243831.6226494466</v>
      </c>
      <c r="F755" s="87" t="s">
        <v>774</v>
      </c>
      <c r="G755" s="25">
        <f t="shared" si="21"/>
        <v>5.3437974483858675E-3</v>
      </c>
      <c r="I755" s="88">
        <v>196.9</v>
      </c>
      <c r="J755" s="88">
        <v>198.03</v>
      </c>
      <c r="K755" s="88">
        <v>194.8</v>
      </c>
      <c r="L755" s="88">
        <v>196.15</v>
      </c>
      <c r="M755" s="89">
        <v>295792</v>
      </c>
      <c r="N755" s="87" t="s">
        <v>774</v>
      </c>
      <c r="O755" s="25">
        <f t="shared" si="22"/>
        <v>3.8236043843997702E-3</v>
      </c>
    </row>
    <row r="756" spans="1:15">
      <c r="A756" s="88">
        <v>493.23140808190584</v>
      </c>
      <c r="B756" s="88">
        <v>493.5525666317904</v>
      </c>
      <c r="C756" s="88">
        <v>490.71080006917498</v>
      </c>
      <c r="D756" s="88">
        <v>490.71080006917498</v>
      </c>
      <c r="E756" s="89">
        <v>2189754.5005500671</v>
      </c>
      <c r="F756" s="87" t="s">
        <v>775</v>
      </c>
      <c r="G756" s="25">
        <f t="shared" si="21"/>
        <v>5.1366467018365558E-3</v>
      </c>
      <c r="I756" s="88">
        <v>196.72</v>
      </c>
      <c r="J756" s="88">
        <v>199.33500000000001</v>
      </c>
      <c r="K756" s="88">
        <v>194.48500000000001</v>
      </c>
      <c r="L756" s="88">
        <v>198.9</v>
      </c>
      <c r="M756" s="89">
        <v>266689</v>
      </c>
      <c r="N756" s="87" t="s">
        <v>775</v>
      </c>
      <c r="O756" s="25">
        <f t="shared" si="22"/>
        <v>-1.0960281548516915E-2</v>
      </c>
    </row>
    <row r="757" spans="1:15">
      <c r="A757" s="88">
        <v>491.01249446452107</v>
      </c>
      <c r="B757" s="88">
        <v>491.09035108267494</v>
      </c>
      <c r="C757" s="88">
        <v>486.22431244805938</v>
      </c>
      <c r="D757" s="88">
        <v>486.3021690662132</v>
      </c>
      <c r="E757" s="89">
        <v>4325985.9981902791</v>
      </c>
      <c r="F757" s="87" t="s">
        <v>776</v>
      </c>
      <c r="G757" s="25">
        <f t="shared" si="21"/>
        <v>9.6860053233003285E-3</v>
      </c>
      <c r="I757" s="88">
        <v>197.19</v>
      </c>
      <c r="J757" s="88">
        <v>202.2</v>
      </c>
      <c r="K757" s="88">
        <v>195.8</v>
      </c>
      <c r="L757" s="88">
        <v>199.33</v>
      </c>
      <c r="M757" s="89">
        <v>519894</v>
      </c>
      <c r="N757" s="87" t="s">
        <v>776</v>
      </c>
      <c r="O757" s="25">
        <f t="shared" si="22"/>
        <v>-1.0735965484372723E-2</v>
      </c>
    </row>
    <row r="758" spans="1:15">
      <c r="A758" s="88">
        <v>487.84956935202092</v>
      </c>
      <c r="B758" s="88">
        <v>488.23875512201749</v>
      </c>
      <c r="C758" s="88">
        <v>485.24137264386701</v>
      </c>
      <c r="D758" s="88">
        <v>488.05394297467484</v>
      </c>
      <c r="E758" s="89">
        <v>4488790.9118965557</v>
      </c>
      <c r="F758" s="87" t="s">
        <v>777</v>
      </c>
      <c r="G758" s="25">
        <f t="shared" si="21"/>
        <v>-4.1875211868647177E-4</v>
      </c>
      <c r="I758" s="88">
        <v>196.16</v>
      </c>
      <c r="J758" s="88">
        <v>208.9</v>
      </c>
      <c r="K758" s="88">
        <v>195.16</v>
      </c>
      <c r="L758" s="88">
        <v>201.8</v>
      </c>
      <c r="M758" s="89">
        <v>696572</v>
      </c>
      <c r="N758" s="87" t="s">
        <v>777</v>
      </c>
      <c r="O758" s="25">
        <f t="shared" si="22"/>
        <v>-2.7948463825569925E-2</v>
      </c>
    </row>
    <row r="759" spans="1:15">
      <c r="A759" s="88">
        <v>486.73038046605939</v>
      </c>
      <c r="B759" s="88">
        <v>492.18034373682883</v>
      </c>
      <c r="C759" s="88">
        <v>485.6403878119055</v>
      </c>
      <c r="D759" s="88">
        <v>489.49429041052105</v>
      </c>
      <c r="E759" s="89">
        <v>5752698.8793033641</v>
      </c>
      <c r="F759" s="87" t="s">
        <v>778</v>
      </c>
      <c r="G759" s="25">
        <f t="shared" si="21"/>
        <v>-5.6464600274370724E-3</v>
      </c>
      <c r="I759" s="88">
        <v>201.8</v>
      </c>
      <c r="J759" s="88">
        <v>207.46</v>
      </c>
      <c r="K759" s="88">
        <v>200.03</v>
      </c>
      <c r="L759" s="88">
        <v>206.36</v>
      </c>
      <c r="M759" s="89">
        <v>923894</v>
      </c>
      <c r="N759" s="87" t="s">
        <v>778</v>
      </c>
      <c r="O759" s="25">
        <f t="shared" si="22"/>
        <v>-2.2097305679395274E-2</v>
      </c>
    </row>
    <row r="760" spans="1:15">
      <c r="A760" s="88">
        <v>488.61499721523182</v>
      </c>
      <c r="B760" s="88">
        <v>489.22594779227973</v>
      </c>
      <c r="C760" s="88">
        <v>487.13126009954397</v>
      </c>
      <c r="D760" s="88">
        <v>487.79069881762746</v>
      </c>
      <c r="E760" s="89">
        <v>3732515.7478673211</v>
      </c>
      <c r="F760" s="87" t="s">
        <v>779</v>
      </c>
      <c r="G760" s="25">
        <f t="shared" si="21"/>
        <v>1.6898608349900091E-3</v>
      </c>
      <c r="I760" s="88">
        <v>206.98</v>
      </c>
      <c r="J760" s="88">
        <v>208.21</v>
      </c>
      <c r="K760" s="88">
        <v>204.38</v>
      </c>
      <c r="L760" s="88">
        <v>207.02</v>
      </c>
      <c r="M760" s="89">
        <v>585258</v>
      </c>
      <c r="N760" s="87" t="s">
        <v>779</v>
      </c>
      <c r="O760" s="25">
        <f t="shared" si="22"/>
        <v>-1.9321804656569075E-4</v>
      </c>
    </row>
    <row r="761" spans="1:15">
      <c r="A761" s="88">
        <v>487.85858221507721</v>
      </c>
      <c r="B761" s="88">
        <v>488.53741618957491</v>
      </c>
      <c r="C761" s="88">
        <v>485.74449926592723</v>
      </c>
      <c r="D761" s="88">
        <v>486.30696170193966</v>
      </c>
      <c r="E761" s="89">
        <v>3302560.1019143178</v>
      </c>
      <c r="F761" s="87" t="s">
        <v>780</v>
      </c>
      <c r="G761" s="25">
        <f t="shared" si="21"/>
        <v>3.1906195784392466E-3</v>
      </c>
      <c r="I761" s="88">
        <v>206.81</v>
      </c>
      <c r="J761" s="88">
        <v>207.77</v>
      </c>
      <c r="K761" s="88">
        <v>204.11</v>
      </c>
      <c r="L761" s="88">
        <v>204.19</v>
      </c>
      <c r="M761" s="89">
        <v>843193</v>
      </c>
      <c r="N761" s="87" t="s">
        <v>780</v>
      </c>
      <c r="O761" s="25">
        <f t="shared" si="22"/>
        <v>1.2831186639894243E-2</v>
      </c>
    </row>
    <row r="762" spans="1:15">
      <c r="A762" s="88">
        <v>487.31551503547905</v>
      </c>
      <c r="B762" s="88">
        <v>487.62583913810658</v>
      </c>
      <c r="C762" s="88">
        <v>485.19173445812197</v>
      </c>
      <c r="D762" s="88">
        <v>486.53970477891028</v>
      </c>
      <c r="E762" s="89">
        <v>6534302.8879516982</v>
      </c>
      <c r="F762" s="87" t="s">
        <v>781</v>
      </c>
      <c r="G762" s="25">
        <f t="shared" si="21"/>
        <v>1.5945466504554417E-3</v>
      </c>
      <c r="I762" s="88">
        <v>205.75</v>
      </c>
      <c r="J762" s="88">
        <v>207.72</v>
      </c>
      <c r="K762" s="88">
        <v>202.57</v>
      </c>
      <c r="L762" s="88">
        <v>204.06</v>
      </c>
      <c r="M762" s="89">
        <v>921643</v>
      </c>
      <c r="N762" s="87" t="s">
        <v>781</v>
      </c>
      <c r="O762" s="25">
        <f t="shared" si="22"/>
        <v>8.2818778790552106E-3</v>
      </c>
    </row>
    <row r="763" spans="1:15">
      <c r="A763" s="88">
        <v>485.2984083684002</v>
      </c>
      <c r="B763" s="88">
        <v>489.18667239804091</v>
      </c>
      <c r="C763" s="88">
        <v>485.2984083684002</v>
      </c>
      <c r="D763" s="88">
        <v>486.85002888153775</v>
      </c>
      <c r="E763" s="89">
        <v>7241816.0915378761</v>
      </c>
      <c r="F763" s="87" t="s">
        <v>782</v>
      </c>
      <c r="G763" s="25">
        <f t="shared" si="21"/>
        <v>-3.1870605342309011E-3</v>
      </c>
      <c r="I763" s="88">
        <v>203.94</v>
      </c>
      <c r="J763" s="88">
        <v>206.5</v>
      </c>
      <c r="K763" s="88">
        <v>201.34</v>
      </c>
      <c r="L763" s="88">
        <v>204.25</v>
      </c>
      <c r="M763" s="89">
        <v>1309245</v>
      </c>
      <c r="N763" s="87" t="s">
        <v>782</v>
      </c>
      <c r="O763" s="25">
        <f t="shared" si="22"/>
        <v>-1.517747858017171E-3</v>
      </c>
    </row>
    <row r="764" spans="1:15">
      <c r="A764" s="88">
        <v>486.60758817636003</v>
      </c>
      <c r="B764" s="88">
        <v>487.99987665805486</v>
      </c>
      <c r="C764" s="88">
        <v>485.70570875309886</v>
      </c>
      <c r="D764" s="88">
        <v>486.91791227898756</v>
      </c>
      <c r="E764" s="89">
        <v>4483403.4746891512</v>
      </c>
      <c r="F764" s="87" t="s">
        <v>783</v>
      </c>
      <c r="G764" s="25">
        <f t="shared" ref="G764:G827" si="23">A764/D764-1</f>
        <v>-6.3732324238208182E-4</v>
      </c>
      <c r="I764" s="88">
        <v>204.1</v>
      </c>
      <c r="J764" s="88">
        <v>204.39500000000001</v>
      </c>
      <c r="K764" s="88">
        <v>199.31</v>
      </c>
      <c r="L764" s="88">
        <v>200</v>
      </c>
      <c r="M764" s="89">
        <v>1052439</v>
      </c>
      <c r="N764" s="87" t="s">
        <v>783</v>
      </c>
      <c r="O764" s="25">
        <f t="shared" ref="O764:O827" si="24">I764/L764-1</f>
        <v>2.0499999999999963E-2</v>
      </c>
    </row>
    <row r="765" spans="1:15">
      <c r="A765" s="88">
        <v>487.67432727914212</v>
      </c>
      <c r="B765" s="88">
        <v>490.44784894637559</v>
      </c>
      <c r="C765" s="88">
        <v>486.03542811214055</v>
      </c>
      <c r="D765" s="88">
        <v>489.86599125394895</v>
      </c>
      <c r="E765" s="89">
        <v>4960869.7067524986</v>
      </c>
      <c r="F765" s="87" t="s">
        <v>784</v>
      </c>
      <c r="G765" s="25">
        <f t="shared" si="23"/>
        <v>-4.4740072059230585E-3</v>
      </c>
      <c r="I765" s="88">
        <v>199.31</v>
      </c>
      <c r="J765" s="88">
        <v>199.5599</v>
      </c>
      <c r="K765" s="88">
        <v>194.17</v>
      </c>
      <c r="L765" s="88">
        <v>195.9</v>
      </c>
      <c r="M765" s="89">
        <v>595762</v>
      </c>
      <c r="N765" s="87" t="s">
        <v>784</v>
      </c>
      <c r="O765" s="25">
        <f t="shared" si="24"/>
        <v>1.740684022460437E-2</v>
      </c>
    </row>
    <row r="766" spans="1:15">
      <c r="A766" s="88">
        <v>489.03199522813748</v>
      </c>
      <c r="B766" s="88">
        <v>489.10492139225499</v>
      </c>
      <c r="C766" s="88">
        <v>487.43188657396439</v>
      </c>
      <c r="D766" s="88">
        <v>487.83918695866299</v>
      </c>
      <c r="E766" s="89">
        <v>3538664.2246029279</v>
      </c>
      <c r="F766" s="87" t="s">
        <v>785</v>
      </c>
      <c r="G766" s="25">
        <f t="shared" si="23"/>
        <v>2.4450849816120002E-3</v>
      </c>
      <c r="I766" s="88">
        <v>196.4</v>
      </c>
      <c r="J766" s="88">
        <v>199.02</v>
      </c>
      <c r="K766" s="88">
        <v>193.74</v>
      </c>
      <c r="L766" s="88">
        <v>197.59</v>
      </c>
      <c r="M766" s="89">
        <v>408014</v>
      </c>
      <c r="N766" s="87" t="s">
        <v>785</v>
      </c>
      <c r="O766" s="25">
        <f t="shared" si="24"/>
        <v>-6.0225719925097732E-3</v>
      </c>
    </row>
    <row r="767" spans="1:15">
      <c r="A767" s="88">
        <v>487.73251304838476</v>
      </c>
      <c r="B767" s="88">
        <v>488.93501894606641</v>
      </c>
      <c r="C767" s="88">
        <v>482.85460606020854</v>
      </c>
      <c r="D767" s="88">
        <v>483.4073708680138</v>
      </c>
      <c r="E767" s="89">
        <v>4753264.3049982898</v>
      </c>
      <c r="F767" s="87" t="s">
        <v>786</v>
      </c>
      <c r="G767" s="25">
        <f t="shared" si="23"/>
        <v>8.9471994864387394E-3</v>
      </c>
      <c r="I767" s="88">
        <v>198.4</v>
      </c>
      <c r="J767" s="88">
        <v>200.85</v>
      </c>
      <c r="K767" s="88">
        <v>198.1</v>
      </c>
      <c r="L767" s="88">
        <v>198.63</v>
      </c>
      <c r="M767" s="89">
        <v>690232</v>
      </c>
      <c r="N767" s="87" t="s">
        <v>786</v>
      </c>
      <c r="O767" s="25">
        <f t="shared" si="24"/>
        <v>-1.1579318330563471E-3</v>
      </c>
    </row>
    <row r="768" spans="1:15">
      <c r="A768" s="88">
        <v>483.89225227836931</v>
      </c>
      <c r="B768" s="88">
        <v>483.95043804761195</v>
      </c>
      <c r="C768" s="88">
        <v>481.28359029065672</v>
      </c>
      <c r="D768" s="88">
        <v>482.22426022674637</v>
      </c>
      <c r="E768" s="89">
        <v>5993265.4416869218</v>
      </c>
      <c r="F768" s="87" t="s">
        <v>787</v>
      </c>
      <c r="G768" s="25">
        <f t="shared" si="23"/>
        <v>3.4589550738044483E-3</v>
      </c>
      <c r="I768" s="88">
        <v>200.45</v>
      </c>
      <c r="J768" s="88">
        <v>202.04</v>
      </c>
      <c r="K768" s="88">
        <v>197.97739999999999</v>
      </c>
      <c r="L768" s="88">
        <v>201.03</v>
      </c>
      <c r="M768" s="89">
        <v>483060</v>
      </c>
      <c r="N768" s="87" t="s">
        <v>787</v>
      </c>
      <c r="O768" s="25">
        <f t="shared" si="24"/>
        <v>-2.8851415211660347E-3</v>
      </c>
    </row>
    <row r="769" spans="1:15">
      <c r="A769" s="88">
        <v>483.50434715008487</v>
      </c>
      <c r="B769" s="88">
        <v>484.34804080410345</v>
      </c>
      <c r="C769" s="88">
        <v>481.0605448418932</v>
      </c>
      <c r="D769" s="88">
        <v>484.20257638099679</v>
      </c>
      <c r="E769" s="89">
        <v>9083539.6159461997</v>
      </c>
      <c r="F769" s="87" t="s">
        <v>788</v>
      </c>
      <c r="G769" s="25">
        <f t="shared" si="23"/>
        <v>-1.4420188263568612E-3</v>
      </c>
      <c r="I769" s="88">
        <v>201.84</v>
      </c>
      <c r="J769" s="88">
        <v>204.74</v>
      </c>
      <c r="K769" s="88">
        <v>196.3</v>
      </c>
      <c r="L769" s="88">
        <v>200.7</v>
      </c>
      <c r="M769" s="89">
        <v>926628</v>
      </c>
      <c r="N769" s="87" t="s">
        <v>788</v>
      </c>
      <c r="O769" s="25">
        <f t="shared" si="24"/>
        <v>5.6801195814648597E-3</v>
      </c>
    </row>
    <row r="770" spans="1:15">
      <c r="A770" s="88">
        <v>482.59277009861654</v>
      </c>
      <c r="B770" s="88">
        <v>485.0268747786011</v>
      </c>
      <c r="C770" s="88">
        <v>481.69089067535532</v>
      </c>
      <c r="D770" s="88">
        <v>482.87400131662275</v>
      </c>
      <c r="E770" s="89">
        <v>3814115.0815497404</v>
      </c>
      <c r="F770" s="87" t="s">
        <v>789</v>
      </c>
      <c r="G770" s="25">
        <f t="shared" si="23"/>
        <v>-5.8241118229473976E-4</v>
      </c>
      <c r="I770" s="88">
        <v>200.67</v>
      </c>
      <c r="J770" s="88">
        <v>203.69</v>
      </c>
      <c r="K770" s="88">
        <v>194.13</v>
      </c>
      <c r="L770" s="88">
        <v>195</v>
      </c>
      <c r="M770" s="89">
        <v>1066447</v>
      </c>
      <c r="N770" s="87" t="s">
        <v>789</v>
      </c>
      <c r="O770" s="25">
        <f t="shared" si="24"/>
        <v>2.9076923076923E-2</v>
      </c>
    </row>
    <row r="771" spans="1:15">
      <c r="A771" s="88">
        <v>478.60704490549438</v>
      </c>
      <c r="B771" s="88">
        <v>478.73311407218682</v>
      </c>
      <c r="C771" s="88">
        <v>474.31972347513107</v>
      </c>
      <c r="D771" s="88">
        <v>476.1438473408885</v>
      </c>
      <c r="E771" s="89">
        <v>4154029.1233752714</v>
      </c>
      <c r="F771" s="87" t="s">
        <v>790</v>
      </c>
      <c r="G771" s="25">
        <f t="shared" si="23"/>
        <v>5.1732214505386676E-3</v>
      </c>
      <c r="I771" s="88">
        <v>192.16</v>
      </c>
      <c r="J771" s="88">
        <v>194.21</v>
      </c>
      <c r="K771" s="88">
        <v>190.77</v>
      </c>
      <c r="L771" s="88">
        <v>192.2</v>
      </c>
      <c r="M771" s="89">
        <v>598696</v>
      </c>
      <c r="N771" s="87" t="s">
        <v>790</v>
      </c>
      <c r="O771" s="25">
        <f t="shared" si="24"/>
        <v>-2.0811654526531331E-4</v>
      </c>
    </row>
    <row r="772" spans="1:15">
      <c r="A772" s="88">
        <v>477.52091054629813</v>
      </c>
      <c r="B772" s="88">
        <v>477.79244413609717</v>
      </c>
      <c r="C772" s="88">
        <v>474.75708650727177</v>
      </c>
      <c r="D772" s="88">
        <v>475.34864182790545</v>
      </c>
      <c r="E772" s="89">
        <v>3573267.5309819016</v>
      </c>
      <c r="F772" s="87" t="s">
        <v>791</v>
      </c>
      <c r="G772" s="25">
        <f t="shared" si="23"/>
        <v>4.5698431156537822E-3</v>
      </c>
      <c r="I772" s="88">
        <v>192.04</v>
      </c>
      <c r="J772" s="88">
        <v>192.35499999999999</v>
      </c>
      <c r="K772" s="88">
        <v>186.9374</v>
      </c>
      <c r="L772" s="88">
        <v>189.32</v>
      </c>
      <c r="M772" s="89">
        <v>541328</v>
      </c>
      <c r="N772" s="87" t="s">
        <v>791</v>
      </c>
      <c r="O772" s="25">
        <f t="shared" si="24"/>
        <v>1.4367208958377287E-2</v>
      </c>
    </row>
    <row r="773" spans="1:15">
      <c r="A773" s="88">
        <v>475.95959240495341</v>
      </c>
      <c r="B773" s="88">
        <v>478.60704490549438</v>
      </c>
      <c r="C773" s="88">
        <v>474.73769125085755</v>
      </c>
      <c r="D773" s="88">
        <v>475.71715169977563</v>
      </c>
      <c r="E773" s="89">
        <v>3159109.5622266773</v>
      </c>
      <c r="F773" s="87" t="s">
        <v>792</v>
      </c>
      <c r="G773" s="25">
        <f t="shared" si="23"/>
        <v>5.0963204566301101E-4</v>
      </c>
      <c r="I773" s="88">
        <v>191.42</v>
      </c>
      <c r="J773" s="88">
        <v>194.38</v>
      </c>
      <c r="K773" s="88">
        <v>189.52</v>
      </c>
      <c r="L773" s="88">
        <v>190</v>
      </c>
      <c r="M773" s="89">
        <v>533135</v>
      </c>
      <c r="N773" s="87" t="s">
        <v>792</v>
      </c>
      <c r="O773" s="25">
        <f t="shared" si="24"/>
        <v>7.4736842105262991E-3</v>
      </c>
    </row>
    <row r="774" spans="1:15">
      <c r="A774" s="88">
        <v>476.58024061020842</v>
      </c>
      <c r="B774" s="88">
        <v>477.29786509753455</v>
      </c>
      <c r="C774" s="88">
        <v>474.83476450921074</v>
      </c>
      <c r="D774" s="88">
        <v>476.96814573849281</v>
      </c>
      <c r="E774" s="89">
        <v>22009468.237142265</v>
      </c>
      <c r="F774" s="87" t="s">
        <v>793</v>
      </c>
      <c r="G774" s="25">
        <f t="shared" si="23"/>
        <v>-8.1327260897856579E-4</v>
      </c>
      <c r="I774" s="88">
        <v>192.42</v>
      </c>
      <c r="J774" s="88">
        <v>194.54</v>
      </c>
      <c r="K774" s="88">
        <v>186.62</v>
      </c>
      <c r="L774" s="88">
        <v>186.62</v>
      </c>
      <c r="M774" s="89">
        <v>989110</v>
      </c>
      <c r="N774" s="87" t="s">
        <v>793</v>
      </c>
      <c r="O774" s="25">
        <f t="shared" si="24"/>
        <v>3.1079198371021244E-2</v>
      </c>
    </row>
    <row r="775" spans="1:15">
      <c r="A775" s="88">
        <v>476.68691452048665</v>
      </c>
      <c r="B775" s="88">
        <v>476.68691452048665</v>
      </c>
      <c r="C775" s="88">
        <v>471.36291663478329</v>
      </c>
      <c r="D775" s="88">
        <v>473.1181873402702</v>
      </c>
      <c r="E775" s="89">
        <v>3120501.1528296764</v>
      </c>
      <c r="F775" s="87" t="s">
        <v>794</v>
      </c>
      <c r="G775" s="25">
        <f t="shared" si="23"/>
        <v>7.5429930104331522E-3</v>
      </c>
      <c r="I775" s="88">
        <v>187.68</v>
      </c>
      <c r="J775" s="88">
        <v>189.41</v>
      </c>
      <c r="K775" s="88">
        <v>181.6901</v>
      </c>
      <c r="L775" s="88">
        <v>181.81</v>
      </c>
      <c r="M775" s="89">
        <v>772192</v>
      </c>
      <c r="N775" s="87" t="s">
        <v>794</v>
      </c>
      <c r="O775" s="25">
        <f t="shared" si="24"/>
        <v>3.2286452890380124E-2</v>
      </c>
    </row>
    <row r="776" spans="1:15">
      <c r="A776" s="88">
        <v>471.05259253215581</v>
      </c>
      <c r="B776" s="88">
        <v>471.70233362203214</v>
      </c>
      <c r="C776" s="88">
        <v>467.96874676229481</v>
      </c>
      <c r="D776" s="88">
        <v>469.36520522411865</v>
      </c>
      <c r="E776" s="89">
        <v>2640098.1202011015</v>
      </c>
      <c r="F776" s="87" t="s">
        <v>795</v>
      </c>
      <c r="G776" s="25">
        <f t="shared" si="23"/>
        <v>3.5950413223140298E-3</v>
      </c>
      <c r="I776" s="88">
        <v>181.81</v>
      </c>
      <c r="J776" s="88">
        <v>184.4</v>
      </c>
      <c r="K776" s="88">
        <v>179.845</v>
      </c>
      <c r="L776" s="88">
        <v>181.38</v>
      </c>
      <c r="M776" s="89">
        <v>563669</v>
      </c>
      <c r="N776" s="87" t="s">
        <v>795</v>
      </c>
      <c r="O776" s="25">
        <f t="shared" si="24"/>
        <v>2.3707134193406976E-3</v>
      </c>
    </row>
    <row r="777" spans="1:15">
      <c r="A777" s="88">
        <v>470.48043246793628</v>
      </c>
      <c r="B777" s="88">
        <v>471.70233362203214</v>
      </c>
      <c r="C777" s="88">
        <v>465.87405906955905</v>
      </c>
      <c r="D777" s="88">
        <v>471.59565971175397</v>
      </c>
      <c r="E777" s="89">
        <v>4342562.8515150603</v>
      </c>
      <c r="F777" s="87" t="s">
        <v>796</v>
      </c>
      <c r="G777" s="25">
        <f t="shared" si="23"/>
        <v>-2.3647953937899757E-3</v>
      </c>
      <c r="I777" s="88">
        <v>181.41499999999999</v>
      </c>
      <c r="J777" s="88">
        <v>185.3</v>
      </c>
      <c r="K777" s="88">
        <v>172.07</v>
      </c>
      <c r="L777" s="88">
        <v>177.4</v>
      </c>
      <c r="M777" s="89">
        <v>676567</v>
      </c>
      <c r="N777" s="87" t="s">
        <v>796</v>
      </c>
      <c r="O777" s="25">
        <f t="shared" si="24"/>
        <v>2.2632468996617749E-2</v>
      </c>
    </row>
    <row r="778" spans="1:15">
      <c r="A778" s="88">
        <v>469.96645817295945</v>
      </c>
      <c r="B778" s="88">
        <v>470.24768939096566</v>
      </c>
      <c r="C778" s="88">
        <v>462.06773999826851</v>
      </c>
      <c r="D778" s="88">
        <v>466.68865983895631</v>
      </c>
      <c r="E778" s="89">
        <v>5500284.0757386005</v>
      </c>
      <c r="F778" s="87" t="s">
        <v>797</v>
      </c>
      <c r="G778" s="25">
        <f t="shared" si="23"/>
        <v>7.023522566702578E-3</v>
      </c>
      <c r="I778" s="88">
        <v>177.19</v>
      </c>
      <c r="J778" s="88">
        <v>180.65</v>
      </c>
      <c r="K778" s="88">
        <v>175.33</v>
      </c>
      <c r="L778" s="88">
        <v>176.85</v>
      </c>
      <c r="M778" s="89">
        <v>1487214</v>
      </c>
      <c r="N778" s="87" t="s">
        <v>797</v>
      </c>
      <c r="O778" s="25">
        <f t="shared" si="24"/>
        <v>1.9225332202432721E-3</v>
      </c>
    </row>
    <row r="779" spans="1:15">
      <c r="A779" s="88">
        <v>465.91284958238754</v>
      </c>
      <c r="B779" s="88">
        <v>468.15338960335822</v>
      </c>
      <c r="C779" s="88">
        <v>464.71034368470589</v>
      </c>
      <c r="D779" s="88">
        <v>467.542051121182</v>
      </c>
      <c r="E779" s="89">
        <v>3499401.015922599</v>
      </c>
      <c r="F779" s="87" t="s">
        <v>798</v>
      </c>
      <c r="G779" s="25">
        <f t="shared" si="23"/>
        <v>-3.4846096407533667E-3</v>
      </c>
      <c r="I779" s="88">
        <v>175.95</v>
      </c>
      <c r="J779" s="88">
        <v>179.97989999999999</v>
      </c>
      <c r="K779" s="88">
        <v>172.97</v>
      </c>
      <c r="L779" s="88">
        <v>173.74</v>
      </c>
      <c r="M779" s="89">
        <v>945611</v>
      </c>
      <c r="N779" s="87" t="s">
        <v>798</v>
      </c>
      <c r="O779" s="25">
        <f t="shared" si="24"/>
        <v>1.2720156555772855E-2</v>
      </c>
    </row>
    <row r="780" spans="1:15">
      <c r="A780" s="88">
        <v>469.06457874969823</v>
      </c>
      <c r="B780" s="88">
        <v>470.02464394220215</v>
      </c>
      <c r="C780" s="88">
        <v>468.3566518905792</v>
      </c>
      <c r="D780" s="88">
        <v>468.57969733934277</v>
      </c>
      <c r="E780" s="89">
        <v>5779723.5368238604</v>
      </c>
      <c r="F780" s="87" t="s">
        <v>799</v>
      </c>
      <c r="G780" s="25">
        <f t="shared" si="23"/>
        <v>1.0347896272686619E-3</v>
      </c>
      <c r="I780" s="88">
        <v>172.25</v>
      </c>
      <c r="J780" s="88">
        <v>177.56649999999999</v>
      </c>
      <c r="K780" s="88">
        <v>171.61</v>
      </c>
      <c r="L780" s="88">
        <v>175.61</v>
      </c>
      <c r="M780" s="89">
        <v>618372</v>
      </c>
      <c r="N780" s="87" t="s">
        <v>799</v>
      </c>
      <c r="O780" s="25">
        <f t="shared" si="24"/>
        <v>-1.9133306759296254E-2</v>
      </c>
    </row>
    <row r="781" spans="1:15">
      <c r="A781" s="88">
        <v>472.39086522473696</v>
      </c>
      <c r="B781" s="88">
        <v>472.89999070561021</v>
      </c>
      <c r="C781" s="88">
        <v>469.87433070499191</v>
      </c>
      <c r="D781" s="88">
        <v>472.662398814536</v>
      </c>
      <c r="E781" s="89">
        <v>4160518.338950051</v>
      </c>
      <c r="F781" s="87" t="s">
        <v>800</v>
      </c>
      <c r="G781" s="25">
        <f t="shared" si="23"/>
        <v>-5.7447681575706344E-4</v>
      </c>
      <c r="I781" s="88">
        <v>177.82</v>
      </c>
      <c r="J781" s="88">
        <v>181.68</v>
      </c>
      <c r="K781" s="88">
        <v>177.48</v>
      </c>
      <c r="L781" s="88">
        <v>180.33</v>
      </c>
      <c r="M781" s="89">
        <v>421462</v>
      </c>
      <c r="N781" s="87" t="s">
        <v>800</v>
      </c>
      <c r="O781" s="25">
        <f t="shared" si="24"/>
        <v>-1.3918926412687993E-2</v>
      </c>
    </row>
    <row r="782" spans="1:15">
      <c r="A782" s="88">
        <v>472.01265772465968</v>
      </c>
      <c r="B782" s="88">
        <v>472.662398814536</v>
      </c>
      <c r="C782" s="88">
        <v>469.68522695495329</v>
      </c>
      <c r="D782" s="88">
        <v>470.5095253525576</v>
      </c>
      <c r="E782" s="89">
        <v>2634913.3472931101</v>
      </c>
      <c r="F782" s="87" t="s">
        <v>801</v>
      </c>
      <c r="G782" s="25">
        <f t="shared" si="23"/>
        <v>3.1946906302815492E-3</v>
      </c>
      <c r="I782" s="88">
        <v>180.07</v>
      </c>
      <c r="J782" s="88">
        <v>180.22</v>
      </c>
      <c r="K782" s="88">
        <v>170.79</v>
      </c>
      <c r="L782" s="88">
        <v>171.41</v>
      </c>
      <c r="M782" s="89">
        <v>680303</v>
      </c>
      <c r="N782" s="87" t="s">
        <v>801</v>
      </c>
      <c r="O782" s="25">
        <f t="shared" si="24"/>
        <v>5.0522139898488971E-2</v>
      </c>
    </row>
    <row r="783" spans="1:15">
      <c r="A783" s="88">
        <v>468.8221380445205</v>
      </c>
      <c r="B783" s="88">
        <v>475.17408452017747</v>
      </c>
      <c r="C783" s="88">
        <v>467.70691080070287</v>
      </c>
      <c r="D783" s="88">
        <v>475.09650349452062</v>
      </c>
      <c r="E783" s="89">
        <v>3930143.4521955703</v>
      </c>
      <c r="F783" s="87" t="s">
        <v>802</v>
      </c>
      <c r="G783" s="25">
        <f t="shared" si="23"/>
        <v>-1.320650731767059E-2</v>
      </c>
      <c r="I783" s="88">
        <v>170.79</v>
      </c>
      <c r="J783" s="88">
        <v>180.72</v>
      </c>
      <c r="K783" s="88">
        <v>170.67</v>
      </c>
      <c r="L783" s="88">
        <v>180.56</v>
      </c>
      <c r="M783" s="89">
        <v>787347</v>
      </c>
      <c r="N783" s="87" t="s">
        <v>802</v>
      </c>
      <c r="O783" s="25">
        <f t="shared" si="24"/>
        <v>-5.4109437306158692E-2</v>
      </c>
    </row>
    <row r="784" spans="1:15">
      <c r="A784" s="88">
        <v>472.33267945549426</v>
      </c>
      <c r="B784" s="88">
        <v>473.66125451986835</v>
      </c>
      <c r="C784" s="88">
        <v>470.27678227558698</v>
      </c>
      <c r="D784" s="88">
        <v>473.04060631461334</v>
      </c>
      <c r="E784" s="89">
        <v>3351934.0302372202</v>
      </c>
      <c r="F784" s="87" t="s">
        <v>803</v>
      </c>
      <c r="G784" s="25">
        <f t="shared" si="23"/>
        <v>-1.4965456446422998E-3</v>
      </c>
      <c r="I784" s="88">
        <v>181.08</v>
      </c>
      <c r="J784" s="88">
        <v>184.1</v>
      </c>
      <c r="K784" s="88">
        <v>180.01</v>
      </c>
      <c r="L784" s="88">
        <v>182.58</v>
      </c>
      <c r="M784" s="89">
        <v>675297</v>
      </c>
      <c r="N784" s="87" t="s">
        <v>803</v>
      </c>
      <c r="O784" s="25">
        <f t="shared" si="24"/>
        <v>-8.215576733486718E-3</v>
      </c>
    </row>
    <row r="785" spans="1:15">
      <c r="A785" s="88">
        <v>473.70974266090388</v>
      </c>
      <c r="B785" s="88">
        <v>473.80671894297495</v>
      </c>
      <c r="C785" s="88">
        <v>471.6441478527895</v>
      </c>
      <c r="D785" s="88">
        <v>471.81870516051742</v>
      </c>
      <c r="E785" s="89">
        <v>2530078.4352622861</v>
      </c>
      <c r="F785" s="87" t="s">
        <v>804</v>
      </c>
      <c r="G785" s="25">
        <f t="shared" si="23"/>
        <v>4.0079748422503503E-3</v>
      </c>
      <c r="I785" s="88">
        <v>182.79</v>
      </c>
      <c r="J785" s="88">
        <v>184.5</v>
      </c>
      <c r="K785" s="88">
        <v>180.25</v>
      </c>
      <c r="L785" s="88">
        <v>183.98</v>
      </c>
      <c r="M785" s="89">
        <v>739587</v>
      </c>
      <c r="N785" s="87" t="s">
        <v>804</v>
      </c>
      <c r="O785" s="25">
        <f t="shared" si="24"/>
        <v>-6.4680943580823769E-3</v>
      </c>
    </row>
    <row r="786" spans="1:15">
      <c r="A786" s="88">
        <v>472.43935336577249</v>
      </c>
      <c r="B786" s="88">
        <v>473.83571485131421</v>
      </c>
      <c r="C786" s="88">
        <v>471.74112413486057</v>
      </c>
      <c r="D786" s="88">
        <v>472.06114586569515</v>
      </c>
      <c r="E786" s="89">
        <v>2680639.992048875</v>
      </c>
      <c r="F786" s="87" t="s">
        <v>805</v>
      </c>
      <c r="G786" s="25">
        <f t="shared" si="23"/>
        <v>8.0118328608413947E-4</v>
      </c>
      <c r="I786" s="88">
        <v>184.14</v>
      </c>
      <c r="J786" s="88">
        <v>188.97</v>
      </c>
      <c r="K786" s="88">
        <v>182.42</v>
      </c>
      <c r="L786" s="88">
        <v>187.27</v>
      </c>
      <c r="M786" s="89">
        <v>585580</v>
      </c>
      <c r="N786" s="87" t="s">
        <v>805</v>
      </c>
      <c r="O786" s="25">
        <f t="shared" si="24"/>
        <v>-1.6713835638383245E-2</v>
      </c>
    </row>
    <row r="787" spans="1:15">
      <c r="A787" s="88">
        <v>471.97386721183119</v>
      </c>
      <c r="B787" s="88">
        <v>472.01265772465968</v>
      </c>
      <c r="C787" s="88">
        <v>470.04403919861636</v>
      </c>
      <c r="D787" s="88">
        <v>471.39200951940461</v>
      </c>
      <c r="E787" s="89">
        <v>3376119.3253414445</v>
      </c>
      <c r="F787" s="87" t="s">
        <v>806</v>
      </c>
      <c r="G787" s="25">
        <f t="shared" si="23"/>
        <v>1.2343393198790409E-3</v>
      </c>
      <c r="I787" s="88">
        <v>187.27</v>
      </c>
      <c r="J787" s="88">
        <v>187.66499999999999</v>
      </c>
      <c r="K787" s="88">
        <v>182.8</v>
      </c>
      <c r="L787" s="88">
        <v>185.38</v>
      </c>
      <c r="M787" s="89">
        <v>723372</v>
      </c>
      <c r="N787" s="87" t="s">
        <v>806</v>
      </c>
      <c r="O787" s="25">
        <f t="shared" si="24"/>
        <v>1.0195274571151325E-2</v>
      </c>
    </row>
    <row r="788" spans="1:15">
      <c r="A788" s="88">
        <v>471.27563798091933</v>
      </c>
      <c r="B788" s="88">
        <v>473.79702131476785</v>
      </c>
      <c r="C788" s="88">
        <v>471.13987118601977</v>
      </c>
      <c r="D788" s="88">
        <v>472.32298182728721</v>
      </c>
      <c r="E788" s="89">
        <v>3451752.2516957726</v>
      </c>
      <c r="F788" s="87" t="s">
        <v>807</v>
      </c>
      <c r="G788" s="25">
        <f t="shared" si="23"/>
        <v>-2.2174314752079205E-3</v>
      </c>
      <c r="I788" s="88">
        <v>185.38</v>
      </c>
      <c r="J788" s="88">
        <v>185.95500000000001</v>
      </c>
      <c r="K788" s="88">
        <v>180.04</v>
      </c>
      <c r="L788" s="88">
        <v>180.56</v>
      </c>
      <c r="M788" s="89">
        <v>1079789</v>
      </c>
      <c r="N788" s="87" t="s">
        <v>807</v>
      </c>
      <c r="O788" s="25">
        <f t="shared" si="24"/>
        <v>2.6694727514399608E-2</v>
      </c>
    </row>
    <row r="789" spans="1:15">
      <c r="A789" s="88">
        <v>472.17751740418049</v>
      </c>
      <c r="B789" s="88">
        <v>472.49753913501519</v>
      </c>
      <c r="C789" s="88">
        <v>468.13845525591927</v>
      </c>
      <c r="D789" s="88">
        <v>468.72516176244937</v>
      </c>
      <c r="E789" s="89">
        <v>4536660.826793178</v>
      </c>
      <c r="F789" s="87" t="s">
        <v>808</v>
      </c>
      <c r="G789" s="25">
        <f t="shared" si="23"/>
        <v>7.3654156494393774E-3</v>
      </c>
      <c r="I789" s="88">
        <v>180.56</v>
      </c>
      <c r="J789" s="88">
        <v>181.3</v>
      </c>
      <c r="K789" s="88">
        <v>172.79</v>
      </c>
      <c r="L789" s="88">
        <v>174.25</v>
      </c>
      <c r="M789" s="89">
        <v>987665</v>
      </c>
      <c r="N789" s="87" t="s">
        <v>808</v>
      </c>
      <c r="O789" s="25">
        <f t="shared" si="24"/>
        <v>3.6212338593974103E-2</v>
      </c>
    </row>
    <row r="790" spans="1:15">
      <c r="A790" s="88">
        <v>466.49470727481417</v>
      </c>
      <c r="B790" s="88">
        <v>466.91170528771988</v>
      </c>
      <c r="C790" s="88">
        <v>464.01211445379403</v>
      </c>
      <c r="D790" s="88">
        <v>464.49699586414948</v>
      </c>
      <c r="E790" s="89">
        <v>3359299.7487896835</v>
      </c>
      <c r="F790" s="87" t="s">
        <v>809</v>
      </c>
      <c r="G790" s="25">
        <f t="shared" si="23"/>
        <v>4.3008058791600412E-3</v>
      </c>
      <c r="I790" s="88">
        <v>172.27</v>
      </c>
      <c r="J790" s="88">
        <v>174.31</v>
      </c>
      <c r="K790" s="88">
        <v>160.19</v>
      </c>
      <c r="L790" s="88">
        <v>161.81</v>
      </c>
      <c r="M790" s="89">
        <v>2319853</v>
      </c>
      <c r="N790" s="87" t="s">
        <v>809</v>
      </c>
      <c r="O790" s="25">
        <f t="shared" si="24"/>
        <v>6.464371794079482E-2</v>
      </c>
    </row>
    <row r="791" spans="1:15">
      <c r="A791" s="88">
        <v>464.29334567180018</v>
      </c>
      <c r="B791" s="88">
        <v>465.89345432597332</v>
      </c>
      <c r="C791" s="88">
        <v>463.28479233826079</v>
      </c>
      <c r="D791" s="88">
        <v>465.82557092852358</v>
      </c>
      <c r="E791" s="89">
        <v>3205363.1399490261</v>
      </c>
      <c r="F791" s="87" t="s">
        <v>810</v>
      </c>
      <c r="G791" s="25">
        <f t="shared" si="23"/>
        <v>-3.2892682419070063E-3</v>
      </c>
      <c r="I791" s="88">
        <v>161.02000000000001</v>
      </c>
      <c r="J791" s="88">
        <v>170.49</v>
      </c>
      <c r="K791" s="88">
        <v>160.22999999999999</v>
      </c>
      <c r="L791" s="88">
        <v>166</v>
      </c>
      <c r="M791" s="89">
        <v>1750499</v>
      </c>
      <c r="N791" s="87" t="s">
        <v>810</v>
      </c>
      <c r="O791" s="25">
        <f t="shared" si="24"/>
        <v>-2.9999999999999916E-2</v>
      </c>
    </row>
    <row r="792" spans="1:15">
      <c r="A792" s="88">
        <v>464.26425278717886</v>
      </c>
      <c r="B792" s="88">
        <v>465.86436144135195</v>
      </c>
      <c r="C792" s="88">
        <v>463.14902554336118</v>
      </c>
      <c r="D792" s="88">
        <v>465.1855274668543</v>
      </c>
      <c r="E792" s="89">
        <v>3451523.3297416014</v>
      </c>
      <c r="F792" s="87" t="s">
        <v>811</v>
      </c>
      <c r="G792" s="25">
        <f t="shared" si="23"/>
        <v>-1.9804457045174972E-3</v>
      </c>
      <c r="I792" s="88">
        <v>165.9</v>
      </c>
      <c r="J792" s="88">
        <v>193.3</v>
      </c>
      <c r="K792" s="88">
        <v>162.715</v>
      </c>
      <c r="L792" s="88">
        <v>181.87</v>
      </c>
      <c r="M792" s="89">
        <v>3176414</v>
      </c>
      <c r="N792" s="87" t="s">
        <v>811</v>
      </c>
      <c r="O792" s="25">
        <f t="shared" si="24"/>
        <v>-8.7809974157365134E-2</v>
      </c>
    </row>
    <row r="793" spans="1:15">
      <c r="A793" s="88">
        <v>463.69209272295933</v>
      </c>
      <c r="B793" s="88">
        <v>463.69209272295933</v>
      </c>
      <c r="C793" s="88">
        <v>460.57915406847707</v>
      </c>
      <c r="D793" s="88">
        <v>461.20949990193924</v>
      </c>
      <c r="E793" s="89">
        <v>3594743.9162950967</v>
      </c>
      <c r="F793" s="87" t="s">
        <v>812</v>
      </c>
      <c r="G793" s="25">
        <f t="shared" si="23"/>
        <v>5.382787695283664E-3</v>
      </c>
      <c r="I793" s="88">
        <v>177.53</v>
      </c>
      <c r="J793" s="88">
        <v>179.04</v>
      </c>
      <c r="K793" s="88">
        <v>175.78</v>
      </c>
      <c r="L793" s="88">
        <v>177</v>
      </c>
      <c r="M793" s="89">
        <v>1833632</v>
      </c>
      <c r="N793" s="87" t="s">
        <v>812</v>
      </c>
      <c r="O793" s="25">
        <f t="shared" si="24"/>
        <v>2.994350282485847E-3</v>
      </c>
    </row>
    <row r="794" spans="1:15">
      <c r="A794" s="88">
        <v>461.04464022241837</v>
      </c>
      <c r="B794" s="88">
        <v>461.47133586353124</v>
      </c>
      <c r="C794" s="88">
        <v>459.18269560665328</v>
      </c>
      <c r="D794" s="88">
        <v>459.26997426051724</v>
      </c>
      <c r="E794" s="89">
        <v>3315117.811634589</v>
      </c>
      <c r="F794" s="87" t="s">
        <v>813</v>
      </c>
      <c r="G794" s="25">
        <f t="shared" si="23"/>
        <v>3.8641018602589838E-3</v>
      </c>
      <c r="I794" s="88">
        <v>175.57</v>
      </c>
      <c r="J794" s="88">
        <v>182.99</v>
      </c>
      <c r="K794" s="88">
        <v>175.17</v>
      </c>
      <c r="L794" s="88">
        <v>179</v>
      </c>
      <c r="M794" s="89">
        <v>1071807</v>
      </c>
      <c r="N794" s="87" t="s">
        <v>813</v>
      </c>
      <c r="O794" s="25">
        <f t="shared" si="24"/>
        <v>-1.916201117318439E-2</v>
      </c>
    </row>
    <row r="795" spans="1:15">
      <c r="A795" s="88">
        <v>461.02524496600415</v>
      </c>
      <c r="B795" s="88">
        <v>462.22775086368574</v>
      </c>
      <c r="C795" s="88">
        <v>460.35610861971355</v>
      </c>
      <c r="D795" s="88">
        <v>461.31617381221741</v>
      </c>
      <c r="E795" s="89">
        <v>3558913.5057473658</v>
      </c>
      <c r="F795" s="87" t="s">
        <v>814</v>
      </c>
      <c r="G795" s="25">
        <f t="shared" si="23"/>
        <v>-6.3064956905600766E-4</v>
      </c>
      <c r="I795" s="88">
        <v>184.28</v>
      </c>
      <c r="J795" s="88">
        <v>185.02</v>
      </c>
      <c r="K795" s="88">
        <v>178</v>
      </c>
      <c r="L795" s="88">
        <v>181.1</v>
      </c>
      <c r="M795" s="89">
        <v>1062375</v>
      </c>
      <c r="N795" s="87" t="s">
        <v>814</v>
      </c>
      <c r="O795" s="25">
        <f t="shared" si="24"/>
        <v>1.7559359469906166E-2</v>
      </c>
    </row>
    <row r="796" spans="1:15">
      <c r="A796" s="88">
        <v>460.36580624792072</v>
      </c>
      <c r="B796" s="88">
        <v>460.45308490178468</v>
      </c>
      <c r="C796" s="88">
        <v>457.55349406785882</v>
      </c>
      <c r="D796" s="88">
        <v>457.94139919614321</v>
      </c>
      <c r="E796" s="89">
        <v>4931661.5339961611</v>
      </c>
      <c r="F796" s="87" t="s">
        <v>815</v>
      </c>
      <c r="G796" s="25">
        <f t="shared" si="23"/>
        <v>5.2941425606709558E-3</v>
      </c>
      <c r="I796" s="88">
        <v>176.4</v>
      </c>
      <c r="J796" s="88">
        <v>177.86</v>
      </c>
      <c r="K796" s="88">
        <v>174.37</v>
      </c>
      <c r="L796" s="88">
        <v>175.51</v>
      </c>
      <c r="M796" s="89">
        <v>550235</v>
      </c>
      <c r="N796" s="87" t="s">
        <v>815</v>
      </c>
      <c r="O796" s="25">
        <f t="shared" si="24"/>
        <v>5.0709361289955623E-3</v>
      </c>
    </row>
    <row r="797" spans="1:15">
      <c r="A797" s="88">
        <v>455.76913047775059</v>
      </c>
      <c r="B797" s="88">
        <v>456.75828855487578</v>
      </c>
      <c r="C797" s="88">
        <v>453.30602988942672</v>
      </c>
      <c r="D797" s="88">
        <v>455.55578265719419</v>
      </c>
      <c r="E797" s="89">
        <v>4729877.1431937451</v>
      </c>
      <c r="F797" s="87" t="s">
        <v>816</v>
      </c>
      <c r="G797" s="25">
        <f t="shared" si="23"/>
        <v>4.6832425068110695E-4</v>
      </c>
      <c r="I797" s="88">
        <v>174.43</v>
      </c>
      <c r="J797" s="88">
        <v>180.25</v>
      </c>
      <c r="K797" s="88">
        <v>174.108</v>
      </c>
      <c r="L797" s="88">
        <v>176.84</v>
      </c>
      <c r="M797" s="89">
        <v>614615</v>
      </c>
      <c r="N797" s="87" t="s">
        <v>816</v>
      </c>
      <c r="O797" s="25">
        <f t="shared" si="24"/>
        <v>-1.3628138430219372E-2</v>
      </c>
    </row>
    <row r="798" spans="1:15">
      <c r="A798" s="88">
        <v>450.18329663045535</v>
      </c>
      <c r="B798" s="88">
        <v>450.89122348957432</v>
      </c>
      <c r="C798" s="88">
        <v>445.27629675765769</v>
      </c>
      <c r="D798" s="88">
        <v>449.34930060464387</v>
      </c>
      <c r="E798" s="89">
        <v>4096284.0760255042</v>
      </c>
      <c r="F798" s="87" t="s">
        <v>817</v>
      </c>
      <c r="G798" s="25">
        <f t="shared" si="23"/>
        <v>1.8560082872929318E-3</v>
      </c>
      <c r="I798" s="88">
        <v>173.42</v>
      </c>
      <c r="J798" s="88">
        <v>173.6</v>
      </c>
      <c r="K798" s="88">
        <v>168.28</v>
      </c>
      <c r="L798" s="88">
        <v>173.02</v>
      </c>
      <c r="M798" s="89">
        <v>630543</v>
      </c>
      <c r="N798" s="87" t="s">
        <v>817</v>
      </c>
      <c r="O798" s="25">
        <f t="shared" si="24"/>
        <v>2.3118714599466017E-3</v>
      </c>
    </row>
    <row r="799" spans="1:15">
      <c r="A799" s="88">
        <v>446.02301412960514</v>
      </c>
      <c r="B799" s="88">
        <v>452.94712066948159</v>
      </c>
      <c r="C799" s="88">
        <v>445.54783034745674</v>
      </c>
      <c r="D799" s="88">
        <v>446.83761489900235</v>
      </c>
      <c r="E799" s="89">
        <v>6306054.2943030801</v>
      </c>
      <c r="F799" s="87" t="s">
        <v>818</v>
      </c>
      <c r="G799" s="25">
        <f t="shared" si="23"/>
        <v>-1.8230353538640776E-3</v>
      </c>
      <c r="I799" s="88">
        <v>170.27</v>
      </c>
      <c r="J799" s="88">
        <v>174.85</v>
      </c>
      <c r="K799" s="88">
        <v>169.27789999999999</v>
      </c>
      <c r="L799" s="88">
        <v>171.59</v>
      </c>
      <c r="M799" s="89">
        <v>582320</v>
      </c>
      <c r="N799" s="87" t="s">
        <v>818</v>
      </c>
      <c r="O799" s="25">
        <f t="shared" si="24"/>
        <v>-7.692755988111144E-3</v>
      </c>
    </row>
    <row r="800" spans="1:15">
      <c r="A800" s="88">
        <v>447.47765836067163</v>
      </c>
      <c r="B800" s="88">
        <v>454.17871945178456</v>
      </c>
      <c r="C800" s="88">
        <v>447.40977496322188</v>
      </c>
      <c r="D800" s="88">
        <v>453.2865376567305</v>
      </c>
      <c r="E800" s="89">
        <v>4500931.4718828751</v>
      </c>
      <c r="F800" s="87" t="s">
        <v>819</v>
      </c>
      <c r="G800" s="25">
        <f t="shared" si="23"/>
        <v>-1.2815027170425042E-2</v>
      </c>
      <c r="I800" s="88">
        <v>171.94</v>
      </c>
      <c r="J800" s="88">
        <v>174.02</v>
      </c>
      <c r="K800" s="88">
        <v>168.24</v>
      </c>
      <c r="L800" s="88">
        <v>168.65</v>
      </c>
      <c r="M800" s="89">
        <v>758586</v>
      </c>
      <c r="N800" s="87" t="s">
        <v>819</v>
      </c>
      <c r="O800" s="25">
        <f t="shared" si="24"/>
        <v>1.9507856507559929E-2</v>
      </c>
    </row>
    <row r="801" spans="1:15">
      <c r="A801" s="88">
        <v>454.66360086214002</v>
      </c>
      <c r="B801" s="88">
        <v>455.22606329815244</v>
      </c>
      <c r="C801" s="88">
        <v>452.11312464367012</v>
      </c>
      <c r="D801" s="88">
        <v>454.66360086214002</v>
      </c>
      <c r="E801" s="89">
        <v>3354639.8464883282</v>
      </c>
      <c r="F801" s="87" t="s">
        <v>820</v>
      </c>
      <c r="G801" s="25">
        <f t="shared" si="23"/>
        <v>0</v>
      </c>
      <c r="I801" s="88">
        <v>170.26</v>
      </c>
      <c r="J801" s="88">
        <v>170.27</v>
      </c>
      <c r="K801" s="88">
        <v>165.84</v>
      </c>
      <c r="L801" s="88">
        <v>167.6</v>
      </c>
      <c r="M801" s="89">
        <v>602109</v>
      </c>
      <c r="N801" s="87" t="s">
        <v>820</v>
      </c>
      <c r="O801" s="25">
        <f t="shared" si="24"/>
        <v>1.5871121718377124E-2</v>
      </c>
    </row>
    <row r="802" spans="1:15">
      <c r="A802" s="88">
        <v>453.08288746438114</v>
      </c>
      <c r="B802" s="88">
        <v>454.45995066979077</v>
      </c>
      <c r="C802" s="88">
        <v>450.75545669467476</v>
      </c>
      <c r="D802" s="88">
        <v>451.25973336144449</v>
      </c>
      <c r="E802" s="89">
        <v>5060116.6545055965</v>
      </c>
      <c r="F802" s="87" t="s">
        <v>821</v>
      </c>
      <c r="G802" s="25">
        <f t="shared" si="23"/>
        <v>4.0401435540369235E-3</v>
      </c>
      <c r="I802" s="88">
        <v>166.19</v>
      </c>
      <c r="J802" s="88">
        <v>168.43</v>
      </c>
      <c r="K802" s="88">
        <v>162.99</v>
      </c>
      <c r="L802" s="88">
        <v>163.32</v>
      </c>
      <c r="M802" s="89">
        <v>636152</v>
      </c>
      <c r="N802" s="87" t="s">
        <v>821</v>
      </c>
      <c r="O802" s="25">
        <f t="shared" si="24"/>
        <v>1.7572863090864699E-2</v>
      </c>
    </row>
    <row r="803" spans="1:15">
      <c r="A803" s="88">
        <v>448.59288560448925</v>
      </c>
      <c r="B803" s="88">
        <v>449.44627688671494</v>
      </c>
      <c r="C803" s="88">
        <v>443.43374739830682</v>
      </c>
      <c r="D803" s="88">
        <v>444.89808925758041</v>
      </c>
      <c r="E803" s="89">
        <v>5028268.6610164708</v>
      </c>
      <c r="F803" s="87" t="s">
        <v>822</v>
      </c>
      <c r="G803" s="25">
        <f t="shared" si="23"/>
        <v>8.3048150489350991E-3</v>
      </c>
      <c r="I803" s="88">
        <v>164.17</v>
      </c>
      <c r="J803" s="88">
        <v>167.25</v>
      </c>
      <c r="K803" s="88">
        <v>160.375</v>
      </c>
      <c r="L803" s="88">
        <v>166.64</v>
      </c>
      <c r="M803" s="89">
        <v>864267</v>
      </c>
      <c r="N803" s="87" t="s">
        <v>822</v>
      </c>
      <c r="O803" s="25">
        <f t="shared" si="24"/>
        <v>-1.4822371579452653E-2</v>
      </c>
    </row>
    <row r="804" spans="1:15">
      <c r="A804" s="88">
        <v>450.45483022025439</v>
      </c>
      <c r="B804" s="88">
        <v>452.21010092574124</v>
      </c>
      <c r="C804" s="88">
        <v>448.45711880958976</v>
      </c>
      <c r="D804" s="88">
        <v>451.49247643841511</v>
      </c>
      <c r="E804" s="89">
        <v>7927543.5558187356</v>
      </c>
      <c r="F804" s="87" t="s">
        <v>823</v>
      </c>
      <c r="G804" s="25">
        <f t="shared" si="23"/>
        <v>-2.298258049272861E-3</v>
      </c>
      <c r="I804" s="88">
        <v>167.25</v>
      </c>
      <c r="J804" s="88">
        <v>169.34</v>
      </c>
      <c r="K804" s="88">
        <v>165.85</v>
      </c>
      <c r="L804" s="88">
        <v>168.18</v>
      </c>
      <c r="M804" s="89">
        <v>664223</v>
      </c>
      <c r="N804" s="87" t="s">
        <v>823</v>
      </c>
      <c r="O804" s="25">
        <f t="shared" si="24"/>
        <v>-5.529789511237948E-3</v>
      </c>
    </row>
    <row r="805" spans="1:15">
      <c r="A805" s="88">
        <v>450.78454957929608</v>
      </c>
      <c r="B805" s="88">
        <v>451.0657807973023</v>
      </c>
      <c r="C805" s="88">
        <v>446.74063861693128</v>
      </c>
      <c r="D805" s="88">
        <v>447.2352176554939</v>
      </c>
      <c r="E805" s="89">
        <v>4390145.6202235669</v>
      </c>
      <c r="F805" s="87" t="s">
        <v>824</v>
      </c>
      <c r="G805" s="25">
        <f t="shared" si="23"/>
        <v>7.9361637538486463E-3</v>
      </c>
      <c r="I805" s="88">
        <v>167.27</v>
      </c>
      <c r="J805" s="88">
        <v>168.81989999999999</v>
      </c>
      <c r="K805" s="88">
        <v>164.61</v>
      </c>
      <c r="L805" s="88">
        <v>164.61</v>
      </c>
      <c r="M805" s="89">
        <v>549714</v>
      </c>
      <c r="N805" s="87" t="s">
        <v>824</v>
      </c>
      <c r="O805" s="25">
        <f t="shared" si="24"/>
        <v>1.6159407083409238E-2</v>
      </c>
    </row>
    <row r="806" spans="1:15">
      <c r="A806" s="88">
        <v>445.16962284737951</v>
      </c>
      <c r="B806" s="88">
        <v>447.76849023060282</v>
      </c>
      <c r="C806" s="88">
        <v>441.58150041074884</v>
      </c>
      <c r="D806" s="88">
        <v>443.71497861631303</v>
      </c>
      <c r="E806" s="89">
        <v>5999495.8310882905</v>
      </c>
      <c r="F806" s="87" t="s">
        <v>825</v>
      </c>
      <c r="G806" s="25">
        <f t="shared" si="23"/>
        <v>3.2783302371326428E-3</v>
      </c>
      <c r="I806" s="88">
        <v>164.42</v>
      </c>
      <c r="J806" s="88">
        <v>166.75</v>
      </c>
      <c r="K806" s="88">
        <v>164.05500000000001</v>
      </c>
      <c r="L806" s="88">
        <v>165.73</v>
      </c>
      <c r="M806" s="89">
        <v>677655</v>
      </c>
      <c r="N806" s="87" t="s">
        <v>825</v>
      </c>
      <c r="O806" s="25">
        <f t="shared" si="24"/>
        <v>-7.9044228564533192E-3</v>
      </c>
    </row>
    <row r="807" spans="1:15">
      <c r="A807" s="88">
        <v>441.33905970557112</v>
      </c>
      <c r="B807" s="88">
        <v>446.03271175781225</v>
      </c>
      <c r="C807" s="88">
        <v>440.17534432071784</v>
      </c>
      <c r="D807" s="88">
        <v>445.11143707813682</v>
      </c>
      <c r="E807" s="89">
        <v>10092626.558754081</v>
      </c>
      <c r="F807" s="87" t="s">
        <v>826</v>
      </c>
      <c r="G807" s="25">
        <f t="shared" si="23"/>
        <v>-8.4751301771279763E-3</v>
      </c>
      <c r="I807" s="88">
        <v>166.25</v>
      </c>
      <c r="J807" s="88">
        <v>167.1</v>
      </c>
      <c r="K807" s="88">
        <v>162.11000000000001</v>
      </c>
      <c r="L807" s="88">
        <v>165.29</v>
      </c>
      <c r="M807" s="89">
        <v>844656</v>
      </c>
      <c r="N807" s="87" t="s">
        <v>826</v>
      </c>
      <c r="O807" s="25">
        <f t="shared" si="24"/>
        <v>5.8079738641176881E-3</v>
      </c>
    </row>
    <row r="808" spans="1:15">
      <c r="A808" s="88">
        <v>445.06294893710128</v>
      </c>
      <c r="B808" s="88">
        <v>449.29111483540117</v>
      </c>
      <c r="C808" s="88">
        <v>444.35502207798226</v>
      </c>
      <c r="D808" s="88">
        <v>447.40977496322188</v>
      </c>
      <c r="E808" s="89">
        <v>5813056.4294751789</v>
      </c>
      <c r="F808" s="87" t="s">
        <v>827</v>
      </c>
      <c r="G808" s="25">
        <f t="shared" si="23"/>
        <v>-5.245361539795379E-3</v>
      </c>
      <c r="I808" s="88">
        <v>164.73</v>
      </c>
      <c r="J808" s="88">
        <v>169.24</v>
      </c>
      <c r="K808" s="88">
        <v>163.85</v>
      </c>
      <c r="L808" s="88">
        <v>166.44</v>
      </c>
      <c r="M808" s="89">
        <v>589071</v>
      </c>
      <c r="N808" s="87" t="s">
        <v>827</v>
      </c>
      <c r="O808" s="25">
        <f t="shared" si="24"/>
        <v>-1.0273972602739767E-2</v>
      </c>
    </row>
    <row r="809" spans="1:15">
      <c r="A809" s="88">
        <v>446.08119989884784</v>
      </c>
      <c r="B809" s="88">
        <v>451.17245470758053</v>
      </c>
      <c r="C809" s="88">
        <v>444.85929874475198</v>
      </c>
      <c r="D809" s="88">
        <v>451.04638554088808</v>
      </c>
      <c r="E809" s="89">
        <v>7379360.0323359026</v>
      </c>
      <c r="F809" s="87" t="s">
        <v>828</v>
      </c>
      <c r="G809" s="25">
        <f t="shared" si="23"/>
        <v>-1.1008148610006208E-2</v>
      </c>
      <c r="I809" s="88">
        <v>166.26</v>
      </c>
      <c r="J809" s="88">
        <v>173.74</v>
      </c>
      <c r="K809" s="88">
        <v>165.1</v>
      </c>
      <c r="L809" s="88">
        <v>172.71</v>
      </c>
      <c r="M809" s="89">
        <v>688850</v>
      </c>
      <c r="N809" s="87" t="s">
        <v>828</v>
      </c>
      <c r="O809" s="25">
        <f t="shared" si="24"/>
        <v>-3.7345839847142681E-2</v>
      </c>
    </row>
    <row r="810" spans="1:15">
      <c r="A810" s="88">
        <v>448.78683816863145</v>
      </c>
      <c r="B810" s="88">
        <v>451.43429066917247</v>
      </c>
      <c r="C810" s="88">
        <v>447.63282041198539</v>
      </c>
      <c r="D810" s="88">
        <v>450.01843695093442</v>
      </c>
      <c r="E810" s="89">
        <v>6972239.8669014908</v>
      </c>
      <c r="F810" s="87" t="s">
        <v>829</v>
      </c>
      <c r="G810" s="25">
        <f t="shared" si="23"/>
        <v>-2.736774054519997E-3</v>
      </c>
      <c r="I810" s="88">
        <v>172.71</v>
      </c>
      <c r="J810" s="88">
        <v>174.82</v>
      </c>
      <c r="K810" s="88">
        <v>168.05</v>
      </c>
      <c r="L810" s="88">
        <v>172.87</v>
      </c>
      <c r="M810" s="89">
        <v>656034</v>
      </c>
      <c r="N810" s="87" t="s">
        <v>829</v>
      </c>
      <c r="O810" s="25">
        <f t="shared" si="24"/>
        <v>-9.2555099207491942E-4</v>
      </c>
    </row>
    <row r="811" spans="1:15">
      <c r="A811" s="88">
        <v>449.5917413098216</v>
      </c>
      <c r="B811" s="88">
        <v>459.26997426051724</v>
      </c>
      <c r="C811" s="88">
        <v>448.85472156608125</v>
      </c>
      <c r="D811" s="88">
        <v>459.15360272203196</v>
      </c>
      <c r="E811" s="89">
        <v>9827190.5217122845</v>
      </c>
      <c r="F811" s="87" t="s">
        <v>830</v>
      </c>
      <c r="G811" s="25">
        <f t="shared" si="23"/>
        <v>-2.0824973071155495E-2</v>
      </c>
      <c r="I811" s="88">
        <v>173.94</v>
      </c>
      <c r="J811" s="88">
        <v>178.42</v>
      </c>
      <c r="K811" s="88">
        <v>173.81</v>
      </c>
      <c r="L811" s="88">
        <v>176.42</v>
      </c>
      <c r="M811" s="89">
        <v>818337</v>
      </c>
      <c r="N811" s="87" t="s">
        <v>830</v>
      </c>
      <c r="O811" s="25">
        <f t="shared" si="24"/>
        <v>-1.4057363110758336E-2</v>
      </c>
    </row>
    <row r="812" spans="1:15">
      <c r="A812" s="88">
        <v>455.3715277212591</v>
      </c>
      <c r="B812" s="88">
        <v>459.71606515804433</v>
      </c>
      <c r="C812" s="88">
        <v>453.76172143887885</v>
      </c>
      <c r="D812" s="88">
        <v>458.47476874753426</v>
      </c>
      <c r="E812" s="89">
        <v>7176726.9804150937</v>
      </c>
      <c r="F812" s="87" t="s">
        <v>831</v>
      </c>
      <c r="G812" s="25">
        <f t="shared" si="23"/>
        <v>-6.7686189902066429E-3</v>
      </c>
      <c r="I812" s="88">
        <v>175.22</v>
      </c>
      <c r="J812" s="88">
        <v>178.49</v>
      </c>
      <c r="K812" s="88">
        <v>174.11500000000001</v>
      </c>
      <c r="L812" s="88">
        <v>177.63</v>
      </c>
      <c r="M812" s="89">
        <v>680529</v>
      </c>
      <c r="N812" s="87" t="s">
        <v>831</v>
      </c>
      <c r="O812" s="25">
        <f t="shared" si="24"/>
        <v>-1.3567528007656371E-2</v>
      </c>
    </row>
    <row r="813" spans="1:15">
      <c r="A813" s="88">
        <v>461.66528842767343</v>
      </c>
      <c r="B813" s="88">
        <v>462.99386349204747</v>
      </c>
      <c r="C813" s="88">
        <v>456.43826682404119</v>
      </c>
      <c r="D813" s="88">
        <v>459.64818176059458</v>
      </c>
      <c r="E813" s="89">
        <v>5269227.5790214743</v>
      </c>
      <c r="F813" s="87" t="s">
        <v>832</v>
      </c>
      <c r="G813" s="25">
        <f t="shared" si="23"/>
        <v>4.3883708173340086E-3</v>
      </c>
      <c r="I813" s="88">
        <v>179.65</v>
      </c>
      <c r="J813" s="88">
        <v>180.01</v>
      </c>
      <c r="K813" s="88">
        <v>174.29499999999999</v>
      </c>
      <c r="L813" s="88">
        <v>179.1</v>
      </c>
      <c r="M813" s="89">
        <v>696787</v>
      </c>
      <c r="N813" s="87" t="s">
        <v>832</v>
      </c>
      <c r="O813" s="25">
        <f t="shared" si="24"/>
        <v>3.0709101060859556E-3</v>
      </c>
    </row>
    <row r="814" spans="1:15">
      <c r="A814" s="88">
        <v>458.35839720904892</v>
      </c>
      <c r="B814" s="88">
        <v>460.04578451708602</v>
      </c>
      <c r="C814" s="88">
        <v>456.43826682404119</v>
      </c>
      <c r="D814" s="88">
        <v>457.64077272172284</v>
      </c>
      <c r="E814" s="89">
        <v>7149570.85580651</v>
      </c>
      <c r="F814" s="87" t="s">
        <v>833</v>
      </c>
      <c r="G814" s="25">
        <f t="shared" si="23"/>
        <v>1.5680956114512146E-3</v>
      </c>
      <c r="I814" s="88">
        <v>177.41</v>
      </c>
      <c r="J814" s="88">
        <v>177.6386</v>
      </c>
      <c r="K814" s="88">
        <v>172.2578</v>
      </c>
      <c r="L814" s="88">
        <v>174.08</v>
      </c>
      <c r="M814" s="89">
        <v>695269</v>
      </c>
      <c r="N814" s="87" t="s">
        <v>833</v>
      </c>
      <c r="O814" s="25">
        <f t="shared" si="24"/>
        <v>1.9129136029411686E-2</v>
      </c>
    </row>
    <row r="815" spans="1:15">
      <c r="A815" s="88">
        <v>462.8387014407337</v>
      </c>
      <c r="B815" s="88">
        <v>464.12848599227937</v>
      </c>
      <c r="C815" s="88">
        <v>458.44567586291294</v>
      </c>
      <c r="D815" s="88">
        <v>463.9151381717229</v>
      </c>
      <c r="E815" s="89">
        <v>5418016.537433194</v>
      </c>
      <c r="F815" s="87" t="s">
        <v>834</v>
      </c>
      <c r="G815" s="25">
        <f t="shared" si="23"/>
        <v>-2.3203311175216124E-3</v>
      </c>
      <c r="I815" s="88">
        <v>178.01</v>
      </c>
      <c r="J815" s="88">
        <v>179.48249999999999</v>
      </c>
      <c r="K815" s="88">
        <v>170.28</v>
      </c>
      <c r="L815" s="88">
        <v>171.2</v>
      </c>
      <c r="M815" s="89">
        <v>939948</v>
      </c>
      <c r="N815" s="87" t="s">
        <v>834</v>
      </c>
      <c r="O815" s="25">
        <f t="shared" si="24"/>
        <v>3.9778037383177534E-2</v>
      </c>
    </row>
    <row r="816" spans="1:15">
      <c r="A816" s="88">
        <v>462.26654137651423</v>
      </c>
      <c r="B816" s="88">
        <v>463.61451169730248</v>
      </c>
      <c r="C816" s="88">
        <v>461.57800977380947</v>
      </c>
      <c r="D816" s="88">
        <v>462.72232990224836</v>
      </c>
      <c r="E816" s="89">
        <v>4884470.6136776777</v>
      </c>
      <c r="F816" s="87" t="s">
        <v>835</v>
      </c>
      <c r="G816" s="25">
        <f t="shared" si="23"/>
        <v>-9.8501519438320972E-4</v>
      </c>
      <c r="I816" s="88">
        <v>170.04</v>
      </c>
      <c r="J816" s="88">
        <v>170.18</v>
      </c>
      <c r="K816" s="88">
        <v>165.04499999999999</v>
      </c>
      <c r="L816" s="88">
        <v>166.3</v>
      </c>
      <c r="M816" s="89">
        <v>1093981</v>
      </c>
      <c r="N816" s="87" t="s">
        <v>835</v>
      </c>
      <c r="O816" s="25">
        <f t="shared" si="24"/>
        <v>2.2489476849067769E-2</v>
      </c>
    </row>
    <row r="817" spans="1:15">
      <c r="A817" s="88">
        <v>462.08228644057914</v>
      </c>
      <c r="B817" s="88">
        <v>463.86665003068731</v>
      </c>
      <c r="C817" s="88">
        <v>458.1353517602854</v>
      </c>
      <c r="D817" s="88">
        <v>458.55234977319117</v>
      </c>
      <c r="E817" s="89">
        <v>5762398.6820849637</v>
      </c>
      <c r="F817" s="87" t="s">
        <v>836</v>
      </c>
      <c r="G817" s="25">
        <f t="shared" si="23"/>
        <v>7.6980014803849084E-3</v>
      </c>
      <c r="I817" s="88">
        <v>165</v>
      </c>
      <c r="J817" s="88">
        <v>165.97</v>
      </c>
      <c r="K817" s="88">
        <v>161.68</v>
      </c>
      <c r="L817" s="88">
        <v>163.05000000000001</v>
      </c>
      <c r="M817" s="89">
        <v>573062</v>
      </c>
      <c r="N817" s="87" t="s">
        <v>836</v>
      </c>
      <c r="O817" s="25">
        <f t="shared" si="24"/>
        <v>1.1959521619135272E-2</v>
      </c>
    </row>
    <row r="818" spans="1:15">
      <c r="A818" s="88">
        <v>457.22377470881707</v>
      </c>
      <c r="B818" s="88">
        <v>466.92140291592699</v>
      </c>
      <c r="C818" s="88">
        <v>457.02012451646777</v>
      </c>
      <c r="D818" s="88">
        <v>466.64986932612788</v>
      </c>
      <c r="E818" s="89">
        <v>7085433.5237994948</v>
      </c>
      <c r="F818" s="87" t="s">
        <v>837</v>
      </c>
      <c r="G818" s="25">
        <f t="shared" si="23"/>
        <v>-2.0199501246882745E-2</v>
      </c>
      <c r="I818" s="88">
        <v>163.25</v>
      </c>
      <c r="J818" s="88">
        <v>167.27</v>
      </c>
      <c r="K818" s="88">
        <v>162.86000000000001</v>
      </c>
      <c r="L818" s="88">
        <v>165.73</v>
      </c>
      <c r="M818" s="89">
        <v>451166</v>
      </c>
      <c r="N818" s="87" t="s">
        <v>837</v>
      </c>
      <c r="O818" s="25">
        <f t="shared" si="24"/>
        <v>-1.4964098232064127E-2</v>
      </c>
    </row>
    <row r="819" spans="1:15">
      <c r="A819" s="88">
        <v>462.92598009459772</v>
      </c>
      <c r="B819" s="88">
        <v>464.32437808206294</v>
      </c>
      <c r="C819" s="88">
        <v>461.40345246608143</v>
      </c>
      <c r="D819" s="88">
        <v>461.45194060711697</v>
      </c>
      <c r="E819" s="89">
        <v>6418901.4747299058</v>
      </c>
      <c r="F819" s="87" t="s">
        <v>838</v>
      </c>
      <c r="G819" s="25">
        <f t="shared" si="23"/>
        <v>3.194351042367316E-3</v>
      </c>
      <c r="I819" s="88">
        <v>164.86</v>
      </c>
      <c r="J819" s="88">
        <v>166</v>
      </c>
      <c r="K819" s="88">
        <v>163.25</v>
      </c>
      <c r="L819" s="88">
        <v>163.25</v>
      </c>
      <c r="M819" s="89">
        <v>432358</v>
      </c>
      <c r="N819" s="87" t="s">
        <v>838</v>
      </c>
      <c r="O819" s="25">
        <f t="shared" si="24"/>
        <v>9.8621745788669557E-3</v>
      </c>
    </row>
    <row r="820" spans="1:15">
      <c r="A820" s="88">
        <v>462.50898208169195</v>
      </c>
      <c r="B820" s="88">
        <v>462.56716785093465</v>
      </c>
      <c r="C820" s="88">
        <v>460.35610861971355</v>
      </c>
      <c r="D820" s="88">
        <v>461.92712438926537</v>
      </c>
      <c r="E820" s="89">
        <v>4968041.563469898</v>
      </c>
      <c r="F820" s="87" t="s">
        <v>839</v>
      </c>
      <c r="G820" s="25">
        <f t="shared" si="23"/>
        <v>1.259630928138078E-3</v>
      </c>
      <c r="I820" s="88">
        <v>164.05</v>
      </c>
      <c r="J820" s="88">
        <v>166.98</v>
      </c>
      <c r="K820" s="88">
        <v>163.054</v>
      </c>
      <c r="L820" s="88">
        <v>166.51</v>
      </c>
      <c r="M820" s="89">
        <v>735505</v>
      </c>
      <c r="N820" s="87" t="s">
        <v>839</v>
      </c>
      <c r="O820" s="25">
        <f t="shared" si="24"/>
        <v>-1.4773887454206824E-2</v>
      </c>
    </row>
    <row r="821" spans="1:15">
      <c r="A821" s="88">
        <v>465.55403733872447</v>
      </c>
      <c r="B821" s="88">
        <v>467.38688906986823</v>
      </c>
      <c r="C821" s="88">
        <v>464.35153144104282</v>
      </c>
      <c r="D821" s="88">
        <v>466.88261240309851</v>
      </c>
      <c r="E821" s="89">
        <v>5912744.7222570395</v>
      </c>
      <c r="F821" s="87" t="s">
        <v>840</v>
      </c>
      <c r="G821" s="25">
        <f t="shared" si="23"/>
        <v>-2.8456297773346018E-3</v>
      </c>
      <c r="I821" s="88">
        <v>168.1</v>
      </c>
      <c r="J821" s="88">
        <v>171.77500000000001</v>
      </c>
      <c r="K821" s="88">
        <v>165.82</v>
      </c>
      <c r="L821" s="88">
        <v>171.27</v>
      </c>
      <c r="M821" s="89">
        <v>757228</v>
      </c>
      <c r="N821" s="87" t="s">
        <v>840</v>
      </c>
      <c r="O821" s="25">
        <f t="shared" si="24"/>
        <v>-1.8508787294914564E-2</v>
      </c>
    </row>
    <row r="822" spans="1:15">
      <c r="A822" s="88">
        <v>466.16498791577237</v>
      </c>
      <c r="B822" s="88">
        <v>467.58064768144629</v>
      </c>
      <c r="C822" s="88">
        <v>465.97433254522059</v>
      </c>
      <c r="D822" s="88">
        <v>466.32984759529324</v>
      </c>
      <c r="E822" s="89">
        <v>4191765.1545144836</v>
      </c>
      <c r="F822" s="87" t="s">
        <v>841</v>
      </c>
      <c r="G822" s="25">
        <f t="shared" si="23"/>
        <v>-3.5352590097115222E-4</v>
      </c>
      <c r="I822" s="88">
        <v>171.4</v>
      </c>
      <c r="J822" s="88">
        <v>172.21299999999999</v>
      </c>
      <c r="K822" s="88">
        <v>169.22</v>
      </c>
      <c r="L822" s="88">
        <v>170</v>
      </c>
      <c r="M822" s="89">
        <v>786601</v>
      </c>
      <c r="N822" s="87" t="s">
        <v>841</v>
      </c>
      <c r="O822" s="25">
        <f t="shared" si="24"/>
        <v>8.2352941176471184E-3</v>
      </c>
    </row>
    <row r="823" spans="1:15">
      <c r="A823" s="88">
        <v>466.22317368501507</v>
      </c>
      <c r="B823" s="88">
        <v>466.32984759529324</v>
      </c>
      <c r="C823" s="88">
        <v>463.01325874846168</v>
      </c>
      <c r="D823" s="88">
        <v>465.01097015912632</v>
      </c>
      <c r="E823" s="89">
        <v>5105814.4262220962</v>
      </c>
      <c r="F823" s="87" t="s">
        <v>842</v>
      </c>
      <c r="G823" s="25">
        <f t="shared" si="23"/>
        <v>2.6068278033826164E-3</v>
      </c>
      <c r="I823" s="88">
        <v>169.18</v>
      </c>
      <c r="J823" s="88">
        <v>169.25</v>
      </c>
      <c r="K823" s="88">
        <v>162.47</v>
      </c>
      <c r="L823" s="88">
        <v>167.1</v>
      </c>
      <c r="M823" s="89">
        <v>996108</v>
      </c>
      <c r="N823" s="87" t="s">
        <v>842</v>
      </c>
      <c r="O823" s="25">
        <f t="shared" si="24"/>
        <v>1.2447636146020402E-2</v>
      </c>
    </row>
    <row r="824" spans="1:15">
      <c r="A824" s="88">
        <v>462.18896035085737</v>
      </c>
      <c r="B824" s="88">
        <v>464.87520336422676</v>
      </c>
      <c r="C824" s="88">
        <v>462.0241006713365</v>
      </c>
      <c r="D824" s="88">
        <v>464.57457688980639</v>
      </c>
      <c r="E824" s="89">
        <v>8325233.5803932454</v>
      </c>
      <c r="F824" s="87" t="s">
        <v>843</v>
      </c>
      <c r="G824" s="25">
        <f t="shared" si="23"/>
        <v>-5.1350561516302351E-3</v>
      </c>
      <c r="I824" s="88">
        <v>165.52</v>
      </c>
      <c r="J824" s="88">
        <v>167.07</v>
      </c>
      <c r="K824" s="88">
        <v>163.11000000000001</v>
      </c>
      <c r="L824" s="88">
        <v>167.07</v>
      </c>
      <c r="M824" s="89">
        <v>595773</v>
      </c>
      <c r="N824" s="87" t="s">
        <v>843</v>
      </c>
      <c r="O824" s="25">
        <f t="shared" si="24"/>
        <v>-9.2775483330339581E-3</v>
      </c>
    </row>
    <row r="825" spans="1:15">
      <c r="A825" s="88">
        <v>463.48844253061009</v>
      </c>
      <c r="B825" s="88">
        <v>464.3127409282144</v>
      </c>
      <c r="C825" s="88">
        <v>463.11023503053281</v>
      </c>
      <c r="D825" s="88">
        <v>463.28479233826079</v>
      </c>
      <c r="E825" s="89">
        <v>6270891.0571983624</v>
      </c>
      <c r="F825" s="87" t="s">
        <v>844</v>
      </c>
      <c r="G825" s="25">
        <f t="shared" si="23"/>
        <v>4.3957884160517047E-4</v>
      </c>
      <c r="I825" s="88">
        <v>164.75</v>
      </c>
      <c r="J825" s="88">
        <v>165.89769999999999</v>
      </c>
      <c r="K825" s="88">
        <v>163.13</v>
      </c>
      <c r="L825" s="88">
        <v>165.62</v>
      </c>
      <c r="M825" s="89">
        <v>828541</v>
      </c>
      <c r="N825" s="87" t="s">
        <v>844</v>
      </c>
      <c r="O825" s="25">
        <f t="shared" si="24"/>
        <v>-5.2529887694723332E-3</v>
      </c>
    </row>
    <row r="826" spans="1:15">
      <c r="A826" s="88">
        <v>464.69094842829168</v>
      </c>
      <c r="B826" s="88">
        <v>465.7964780439022</v>
      </c>
      <c r="C826" s="88">
        <v>464.34183381283572</v>
      </c>
      <c r="D826" s="88">
        <v>465.36008477458228</v>
      </c>
      <c r="E826" s="89">
        <v>6064888.1091233538</v>
      </c>
      <c r="F826" s="87" t="s">
        <v>845</v>
      </c>
      <c r="G826" s="25">
        <f t="shared" si="23"/>
        <v>-1.4378894283868515E-3</v>
      </c>
      <c r="I826" s="88">
        <v>164.31</v>
      </c>
      <c r="J826" s="88">
        <v>166.75</v>
      </c>
      <c r="K826" s="88">
        <v>162.05000000000001</v>
      </c>
      <c r="L826" s="88">
        <v>166.75</v>
      </c>
      <c r="M826" s="89">
        <v>623099</v>
      </c>
      <c r="N826" s="87" t="s">
        <v>845</v>
      </c>
      <c r="O826" s="25">
        <f t="shared" si="24"/>
        <v>-1.4632683658170942E-2</v>
      </c>
    </row>
    <row r="827" spans="1:15">
      <c r="A827" s="88">
        <v>465.29908670492762</v>
      </c>
      <c r="B827" s="88">
        <v>467.12123021472047</v>
      </c>
      <c r="C827" s="88">
        <v>465.16375509146815</v>
      </c>
      <c r="D827" s="88">
        <v>466.52673776988087</v>
      </c>
      <c r="E827" s="89">
        <v>5218700.8042418417</v>
      </c>
      <c r="F827" s="87" t="s">
        <v>846</v>
      </c>
      <c r="G827" s="25">
        <f t="shared" si="23"/>
        <v>-2.6314698934979397E-3</v>
      </c>
      <c r="I827" s="88">
        <v>166.64</v>
      </c>
      <c r="J827" s="88">
        <v>170.38</v>
      </c>
      <c r="K827" s="88">
        <v>166.28</v>
      </c>
      <c r="L827" s="88">
        <v>169.06</v>
      </c>
      <c r="M827" s="89">
        <v>432909</v>
      </c>
      <c r="N827" s="87" t="s">
        <v>846</v>
      </c>
      <c r="O827" s="25">
        <f t="shared" si="24"/>
        <v>-1.4314444575890262E-2</v>
      </c>
    </row>
    <row r="828" spans="1:15">
      <c r="A828" s="88">
        <v>463.75243969396286</v>
      </c>
      <c r="B828" s="88">
        <v>464.01343637706316</v>
      </c>
      <c r="C828" s="88">
        <v>459.09316557343152</v>
      </c>
      <c r="D828" s="88">
        <v>459.68282474636186</v>
      </c>
      <c r="E828" s="89">
        <v>6392518.4802399054</v>
      </c>
      <c r="F828" s="87" t="s">
        <v>847</v>
      </c>
      <c r="G828" s="25">
        <f t="shared" ref="G828:G891" si="25">A828/D828-1</f>
        <v>8.8530933254826749E-3</v>
      </c>
      <c r="I828" s="88">
        <v>167.2</v>
      </c>
      <c r="J828" s="88">
        <v>171.86</v>
      </c>
      <c r="K828" s="88">
        <v>162.55000000000001</v>
      </c>
      <c r="L828" s="88">
        <v>170.81</v>
      </c>
      <c r="M828" s="89">
        <v>991466</v>
      </c>
      <c r="N828" s="87" t="s">
        <v>847</v>
      </c>
      <c r="O828" s="25">
        <f t="shared" ref="O828:O891" si="26">I828/L828-1</f>
        <v>-2.1134593993325956E-2</v>
      </c>
    </row>
    <row r="829" spans="1:15">
      <c r="A829" s="88">
        <v>459.74082400927307</v>
      </c>
      <c r="B829" s="88">
        <v>459.87615562273243</v>
      </c>
      <c r="C829" s="88">
        <v>455.57454362348676</v>
      </c>
      <c r="D829" s="88">
        <v>456.45419911097292</v>
      </c>
      <c r="E829" s="89">
        <v>4707212.9247246264</v>
      </c>
      <c r="F829" s="87" t="s">
        <v>848</v>
      </c>
      <c r="G829" s="25">
        <f t="shared" si="25"/>
        <v>7.2003388394747958E-3</v>
      </c>
      <c r="I829" s="88">
        <v>170.61</v>
      </c>
      <c r="J829" s="88">
        <v>171.85</v>
      </c>
      <c r="K829" s="88">
        <v>164.02</v>
      </c>
      <c r="L829" s="88">
        <v>171.07</v>
      </c>
      <c r="M829" s="89">
        <v>1206989</v>
      </c>
      <c r="N829" s="87" t="s">
        <v>848</v>
      </c>
      <c r="O829" s="25">
        <f t="shared" si="26"/>
        <v>-2.6889577365989403E-3</v>
      </c>
    </row>
    <row r="830" spans="1:15">
      <c r="A830" s="88">
        <v>457.17918989736262</v>
      </c>
      <c r="B830" s="88">
        <v>459.43052795269824</v>
      </c>
      <c r="C830" s="88">
        <v>456.7441954255288</v>
      </c>
      <c r="D830" s="88">
        <v>458.14584427921562</v>
      </c>
      <c r="E830" s="89">
        <v>4074987.9935879102</v>
      </c>
      <c r="F830" s="87" t="s">
        <v>849</v>
      </c>
      <c r="G830" s="25">
        <f t="shared" si="25"/>
        <v>-2.1099272075114639E-3</v>
      </c>
      <c r="I830" s="88">
        <v>171.68</v>
      </c>
      <c r="J830" s="88">
        <v>173.76</v>
      </c>
      <c r="K830" s="88">
        <v>164.08</v>
      </c>
      <c r="L830" s="88">
        <v>165.11</v>
      </c>
      <c r="M830" s="89">
        <v>840266</v>
      </c>
      <c r="N830" s="87" t="s">
        <v>849</v>
      </c>
      <c r="O830" s="25">
        <f t="shared" si="26"/>
        <v>3.9791654048815905E-2</v>
      </c>
    </row>
    <row r="831" spans="1:15">
      <c r="A831" s="88">
        <v>454.33722601471493</v>
      </c>
      <c r="B831" s="88">
        <v>456.04955758672929</v>
      </c>
      <c r="C831" s="88">
        <v>453.09033852756278</v>
      </c>
      <c r="D831" s="88">
        <v>454.72388776745612</v>
      </c>
      <c r="E831" s="89">
        <v>7041903.6294560181</v>
      </c>
      <c r="F831" s="87" t="s">
        <v>850</v>
      </c>
      <c r="G831" s="25">
        <f t="shared" si="25"/>
        <v>-8.5032205947999095E-4</v>
      </c>
      <c r="I831" s="88">
        <v>165.86</v>
      </c>
      <c r="J831" s="88">
        <v>168.76</v>
      </c>
      <c r="K831" s="88">
        <v>165.47</v>
      </c>
      <c r="L831" s="88">
        <v>166.23</v>
      </c>
      <c r="M831" s="89">
        <v>827957</v>
      </c>
      <c r="N831" s="87" t="s">
        <v>850</v>
      </c>
      <c r="O831" s="25">
        <f t="shared" si="26"/>
        <v>-2.2258316789988131E-3</v>
      </c>
    </row>
    <row r="832" spans="1:15">
      <c r="A832" s="88">
        <v>457.48851929955561</v>
      </c>
      <c r="B832" s="88">
        <v>459.47499405426345</v>
      </c>
      <c r="C832" s="88">
        <v>454.76255394273022</v>
      </c>
      <c r="D832" s="88">
        <v>459.31549608125772</v>
      </c>
      <c r="E832" s="89">
        <v>5330736.7108007092</v>
      </c>
      <c r="F832" s="87" t="s">
        <v>851</v>
      </c>
      <c r="G832" s="25">
        <f t="shared" si="25"/>
        <v>-3.9776075427224722E-3</v>
      </c>
      <c r="I832" s="88">
        <v>167.7</v>
      </c>
      <c r="J832" s="88">
        <v>176.22</v>
      </c>
      <c r="K832" s="88">
        <v>163.6</v>
      </c>
      <c r="L832" s="88">
        <v>175.54</v>
      </c>
      <c r="M832" s="89">
        <v>1056211</v>
      </c>
      <c r="N832" s="87" t="s">
        <v>851</v>
      </c>
      <c r="O832" s="25">
        <f t="shared" si="26"/>
        <v>-4.466218525692156E-2</v>
      </c>
    </row>
    <row r="833" spans="1:15">
      <c r="A833" s="88">
        <v>458.49383985668271</v>
      </c>
      <c r="B833" s="88">
        <v>459.61515893963218</v>
      </c>
      <c r="C833" s="88">
        <v>457.13085717826999</v>
      </c>
      <c r="D833" s="88">
        <v>459.46049423853566</v>
      </c>
      <c r="E833" s="89">
        <v>3666797.6337163341</v>
      </c>
      <c r="F833" s="87" t="s">
        <v>852</v>
      </c>
      <c r="G833" s="25">
        <f t="shared" si="25"/>
        <v>-2.1038900927815574E-3</v>
      </c>
      <c r="I833" s="88">
        <v>175.54</v>
      </c>
      <c r="J833" s="88">
        <v>183.5</v>
      </c>
      <c r="K833" s="88">
        <v>175.33</v>
      </c>
      <c r="L833" s="88">
        <v>182</v>
      </c>
      <c r="M833" s="89">
        <v>549146</v>
      </c>
      <c r="N833" s="87" t="s">
        <v>852</v>
      </c>
      <c r="O833" s="25">
        <f t="shared" si="26"/>
        <v>-3.5494505494505502E-2</v>
      </c>
    </row>
    <row r="834" spans="1:15">
      <c r="A834" s="88">
        <v>459.18983101161683</v>
      </c>
      <c r="B834" s="88">
        <v>459.69249129018039</v>
      </c>
      <c r="C834" s="88">
        <v>453.91189808669958</v>
      </c>
      <c r="D834" s="88">
        <v>456.18353588405409</v>
      </c>
      <c r="E834" s="89">
        <v>4976997.0429118304</v>
      </c>
      <c r="F834" s="87" t="s">
        <v>853</v>
      </c>
      <c r="G834" s="25">
        <f t="shared" si="25"/>
        <v>6.5901000169519275E-3</v>
      </c>
      <c r="I834" s="88">
        <v>181.83</v>
      </c>
      <c r="J834" s="88">
        <v>184.85</v>
      </c>
      <c r="K834" s="88">
        <v>180.964</v>
      </c>
      <c r="L834" s="88">
        <v>182.02</v>
      </c>
      <c r="M834" s="89">
        <v>713576</v>
      </c>
      <c r="N834" s="87" t="s">
        <v>853</v>
      </c>
      <c r="O834" s="25">
        <f t="shared" si="26"/>
        <v>-1.0438413361169019E-3</v>
      </c>
    </row>
    <row r="835" spans="1:15">
      <c r="A835" s="88">
        <v>454.3275594708964</v>
      </c>
      <c r="B835" s="88">
        <v>454.76738721463948</v>
      </c>
      <c r="C835" s="88">
        <v>451.80459153426011</v>
      </c>
      <c r="D835" s="88">
        <v>453.55423596541402</v>
      </c>
      <c r="E835" s="89">
        <v>5507517.578097282</v>
      </c>
      <c r="F835" s="87" t="s">
        <v>854</v>
      </c>
      <c r="G835" s="25">
        <f t="shared" si="25"/>
        <v>1.7050298380221207E-3</v>
      </c>
      <c r="I835" s="88">
        <v>181.14</v>
      </c>
      <c r="J835" s="88">
        <v>182.51</v>
      </c>
      <c r="K835" s="88">
        <v>177.63</v>
      </c>
      <c r="L835" s="88">
        <v>178.48</v>
      </c>
      <c r="M835" s="89">
        <v>719612</v>
      </c>
      <c r="N835" s="87" t="s">
        <v>854</v>
      </c>
      <c r="O835" s="25">
        <f t="shared" si="26"/>
        <v>1.4903630658897438E-2</v>
      </c>
    </row>
    <row r="836" spans="1:15">
      <c r="A836" s="88">
        <v>454.70455467981901</v>
      </c>
      <c r="B836" s="88">
        <v>460.41690208394101</v>
      </c>
      <c r="C836" s="88">
        <v>454.15356168216283</v>
      </c>
      <c r="D836" s="88">
        <v>457.97184649048205</v>
      </c>
      <c r="E836" s="89">
        <v>6502453.3256148305</v>
      </c>
      <c r="F836" s="87" t="s">
        <v>855</v>
      </c>
      <c r="G836" s="25">
        <f t="shared" si="25"/>
        <v>-7.1342634611731848E-3</v>
      </c>
      <c r="I836" s="88">
        <v>179.59</v>
      </c>
      <c r="J836" s="88">
        <v>180.63</v>
      </c>
      <c r="K836" s="88">
        <v>175.5</v>
      </c>
      <c r="L836" s="88">
        <v>175.5</v>
      </c>
      <c r="M836" s="89">
        <v>758621</v>
      </c>
      <c r="N836" s="87" t="s">
        <v>855</v>
      </c>
      <c r="O836" s="25">
        <f t="shared" si="26"/>
        <v>2.3304843304843281E-2</v>
      </c>
    </row>
    <row r="837" spans="1:15">
      <c r="A837" s="88">
        <v>457.47885275573708</v>
      </c>
      <c r="B837" s="88">
        <v>458.37784133086035</v>
      </c>
      <c r="C837" s="88">
        <v>455.08154988874168</v>
      </c>
      <c r="D837" s="88">
        <v>455.90320611331674</v>
      </c>
      <c r="E837" s="89">
        <v>7396440.8936879896</v>
      </c>
      <c r="F837" s="87" t="s">
        <v>856</v>
      </c>
      <c r="G837" s="25">
        <f t="shared" si="25"/>
        <v>3.4560990607044317E-3</v>
      </c>
      <c r="I837" s="88">
        <v>175.49</v>
      </c>
      <c r="J837" s="88">
        <v>179.92</v>
      </c>
      <c r="K837" s="88">
        <v>167.23</v>
      </c>
      <c r="L837" s="88">
        <v>167.28</v>
      </c>
      <c r="M837" s="89">
        <v>1256298</v>
      </c>
      <c r="N837" s="87" t="s">
        <v>856</v>
      </c>
      <c r="O837" s="25">
        <f t="shared" si="26"/>
        <v>4.907938785270205E-2</v>
      </c>
    </row>
    <row r="838" spans="1:15">
      <c r="A838" s="88">
        <v>452.99357642393932</v>
      </c>
      <c r="B838" s="88">
        <v>454.96555136291937</v>
      </c>
      <c r="C838" s="88">
        <v>451.73682906209228</v>
      </c>
      <c r="D838" s="88">
        <v>453.60256868450665</v>
      </c>
      <c r="E838" s="89">
        <v>5508742.4212493198</v>
      </c>
      <c r="F838" s="87" t="s">
        <v>857</v>
      </c>
      <c r="G838" s="25">
        <f t="shared" si="25"/>
        <v>-1.3425679275438362E-3</v>
      </c>
      <c r="I838" s="88">
        <v>165.7</v>
      </c>
      <c r="J838" s="88">
        <v>169.69</v>
      </c>
      <c r="K838" s="88">
        <v>164.36</v>
      </c>
      <c r="L838" s="88">
        <v>166.09</v>
      </c>
      <c r="M838" s="89">
        <v>761733</v>
      </c>
      <c r="N838" s="87" t="s">
        <v>857</v>
      </c>
      <c r="O838" s="25">
        <f t="shared" si="26"/>
        <v>-2.3481245108074589E-3</v>
      </c>
    </row>
    <row r="839" spans="1:15">
      <c r="A839" s="88">
        <v>450.60594010076244</v>
      </c>
      <c r="B839" s="88">
        <v>453.72823375414754</v>
      </c>
      <c r="C839" s="88">
        <v>448.58563244268976</v>
      </c>
      <c r="D839" s="88">
        <v>453.31257236995077</v>
      </c>
      <c r="E839" s="89">
        <v>4775753.4509393806</v>
      </c>
      <c r="F839" s="87" t="s">
        <v>858</v>
      </c>
      <c r="G839" s="25">
        <f t="shared" si="25"/>
        <v>-5.9707857980595413E-3</v>
      </c>
      <c r="I839" s="88">
        <v>163.93</v>
      </c>
      <c r="J839" s="88">
        <v>171.04</v>
      </c>
      <c r="K839" s="88">
        <v>160.84</v>
      </c>
      <c r="L839" s="88">
        <v>171</v>
      </c>
      <c r="M839" s="89">
        <v>942229</v>
      </c>
      <c r="N839" s="87" t="s">
        <v>858</v>
      </c>
      <c r="O839" s="25">
        <f t="shared" si="26"/>
        <v>-4.1345029239766018E-2</v>
      </c>
    </row>
    <row r="840" spans="1:15">
      <c r="A840" s="88">
        <v>455.16854878310846</v>
      </c>
      <c r="B840" s="88">
        <v>456.84086086371411</v>
      </c>
      <c r="C840" s="88">
        <v>454.90755210000822</v>
      </c>
      <c r="D840" s="88">
        <v>454.91721864382669</v>
      </c>
      <c r="E840" s="89">
        <v>4107199.0925955139</v>
      </c>
      <c r="F840" s="87" t="s">
        <v>859</v>
      </c>
      <c r="G840" s="25">
        <f t="shared" si="25"/>
        <v>5.5247444805672785E-4</v>
      </c>
      <c r="I840" s="88">
        <v>167.82</v>
      </c>
      <c r="J840" s="88">
        <v>169.875</v>
      </c>
      <c r="K840" s="88">
        <v>164.42500000000001</v>
      </c>
      <c r="L840" s="88">
        <v>169.35</v>
      </c>
      <c r="M840" s="89">
        <v>924272</v>
      </c>
      <c r="N840" s="87" t="s">
        <v>859</v>
      </c>
      <c r="O840" s="25">
        <f t="shared" si="26"/>
        <v>-9.0345438441098436E-3</v>
      </c>
    </row>
    <row r="841" spans="1:15">
      <c r="A841" s="88">
        <v>455.70987523694612</v>
      </c>
      <c r="B841" s="88">
        <v>456.03853772677616</v>
      </c>
      <c r="C841" s="88">
        <v>451.84325770953427</v>
      </c>
      <c r="D841" s="88">
        <v>452.2299194622754</v>
      </c>
      <c r="E841" s="89">
        <v>5006361.2091876706</v>
      </c>
      <c r="F841" s="87" t="s">
        <v>860</v>
      </c>
      <c r="G841" s="25">
        <f t="shared" si="25"/>
        <v>7.6951029220015954E-3</v>
      </c>
      <c r="I841" s="88">
        <v>169.25</v>
      </c>
      <c r="J841" s="88">
        <v>170.61279999999999</v>
      </c>
      <c r="K841" s="88">
        <v>162.01</v>
      </c>
      <c r="L841" s="88">
        <v>163.65</v>
      </c>
      <c r="M841" s="89">
        <v>1499573</v>
      </c>
      <c r="N841" s="87" t="s">
        <v>860</v>
      </c>
      <c r="O841" s="25">
        <f t="shared" si="26"/>
        <v>3.4219370608004951E-2</v>
      </c>
    </row>
    <row r="842" spans="1:15">
      <c r="A842" s="88">
        <v>451.35993051860777</v>
      </c>
      <c r="B842" s="88">
        <v>452.86791135429843</v>
      </c>
      <c r="C842" s="88">
        <v>448.98196073924947</v>
      </c>
      <c r="D842" s="88">
        <v>451.39859669388193</v>
      </c>
      <c r="E842" s="89">
        <v>7585876.7493957765</v>
      </c>
      <c r="F842" s="87" t="s">
        <v>861</v>
      </c>
      <c r="G842" s="25">
        <f t="shared" si="25"/>
        <v>-8.5658607619443217E-5</v>
      </c>
      <c r="I842" s="88">
        <v>164</v>
      </c>
      <c r="J842" s="88">
        <v>164.73</v>
      </c>
      <c r="K842" s="88">
        <v>161.51</v>
      </c>
      <c r="L842" s="88">
        <v>163.13999999999999</v>
      </c>
      <c r="M842" s="89">
        <v>1263702</v>
      </c>
      <c r="N842" s="87" t="s">
        <v>861</v>
      </c>
      <c r="O842" s="25">
        <f t="shared" si="26"/>
        <v>5.2715459114871521E-3</v>
      </c>
    </row>
    <row r="843" spans="1:15">
      <c r="A843" s="88">
        <v>449.69728498182064</v>
      </c>
      <c r="B843" s="88">
        <v>450.29661069856951</v>
      </c>
      <c r="C843" s="88">
        <v>448.63396516178238</v>
      </c>
      <c r="D843" s="88">
        <v>449.00129382688652</v>
      </c>
      <c r="E843" s="89">
        <v>2897211.3017597371</v>
      </c>
      <c r="F843" s="87" t="s">
        <v>862</v>
      </c>
      <c r="G843" s="25">
        <f t="shared" si="25"/>
        <v>1.55008719240457E-3</v>
      </c>
      <c r="I843" s="88">
        <v>163.6</v>
      </c>
      <c r="J843" s="88">
        <v>167.035</v>
      </c>
      <c r="K843" s="88">
        <v>162.04</v>
      </c>
      <c r="L843" s="88">
        <v>166.83</v>
      </c>
      <c r="M843" s="89">
        <v>1261827</v>
      </c>
      <c r="N843" s="87" t="s">
        <v>862</v>
      </c>
      <c r="O843" s="25">
        <f t="shared" si="26"/>
        <v>-1.9361026194329667E-2</v>
      </c>
    </row>
    <row r="844" spans="1:15">
      <c r="A844" s="88">
        <v>450.39327613675482</v>
      </c>
      <c r="B844" s="88">
        <v>450.57694046930686</v>
      </c>
      <c r="C844" s="88">
        <v>448.44063428541182</v>
      </c>
      <c r="D844" s="88">
        <v>450.18061217274715</v>
      </c>
      <c r="E844" s="89">
        <v>3710677.8465372715</v>
      </c>
      <c r="F844" s="87" t="s">
        <v>863</v>
      </c>
      <c r="G844" s="25">
        <f t="shared" si="25"/>
        <v>4.7239698524847995E-4</v>
      </c>
      <c r="I844" s="88">
        <v>166.62</v>
      </c>
      <c r="J844" s="88">
        <v>169.48500000000001</v>
      </c>
      <c r="K844" s="88">
        <v>163.345</v>
      </c>
      <c r="L844" s="88">
        <v>169.26</v>
      </c>
      <c r="M844" s="89">
        <v>2206090</v>
      </c>
      <c r="N844" s="87" t="s">
        <v>863</v>
      </c>
      <c r="O844" s="25">
        <f t="shared" si="26"/>
        <v>-1.5597305919886506E-2</v>
      </c>
    </row>
    <row r="845" spans="1:15">
      <c r="A845" s="88">
        <v>449.56195336836123</v>
      </c>
      <c r="B845" s="88">
        <v>451.99792241063068</v>
      </c>
      <c r="C845" s="88">
        <v>449.43628829872034</v>
      </c>
      <c r="D845" s="88">
        <v>451.61126065788955</v>
      </c>
      <c r="E845" s="89">
        <v>3569842.6084669321</v>
      </c>
      <c r="F845" s="87" t="s">
        <v>864</v>
      </c>
      <c r="G845" s="25">
        <f t="shared" si="25"/>
        <v>-4.5377683597680463E-3</v>
      </c>
      <c r="I845" s="88">
        <v>168.83</v>
      </c>
      <c r="J845" s="88">
        <v>185.07</v>
      </c>
      <c r="K845" s="88">
        <v>167.48</v>
      </c>
      <c r="L845" s="88">
        <v>184.4</v>
      </c>
      <c r="M845" s="89">
        <v>2387934</v>
      </c>
      <c r="N845" s="87" t="s">
        <v>864</v>
      </c>
      <c r="O845" s="25">
        <f t="shared" si="26"/>
        <v>-8.4436008676789576E-2</v>
      </c>
    </row>
    <row r="846" spans="1:15">
      <c r="A846" s="88">
        <v>451.21493236132977</v>
      </c>
      <c r="B846" s="88">
        <v>453.23524001940251</v>
      </c>
      <c r="C846" s="88">
        <v>450.54861749591862</v>
      </c>
      <c r="D846" s="88">
        <v>452.48124960155718</v>
      </c>
      <c r="E846" s="89">
        <v>4190350.8389786649</v>
      </c>
      <c r="F846" s="87" t="s">
        <v>865</v>
      </c>
      <c r="G846" s="25">
        <f t="shared" si="25"/>
        <v>-2.7986071054711958E-3</v>
      </c>
      <c r="I846" s="88">
        <v>184.21</v>
      </c>
      <c r="J846" s="88">
        <v>194</v>
      </c>
      <c r="K846" s="88">
        <v>180</v>
      </c>
      <c r="L846" s="88">
        <v>184.93</v>
      </c>
      <c r="M846" s="89">
        <v>1928042</v>
      </c>
      <c r="N846" s="87" t="s">
        <v>865</v>
      </c>
      <c r="O846" s="25">
        <f t="shared" si="26"/>
        <v>-3.8933650570486256E-3</v>
      </c>
    </row>
    <row r="847" spans="1:15">
      <c r="A847" s="88">
        <v>451.01193494114068</v>
      </c>
      <c r="B847" s="88">
        <v>451.74659227134896</v>
      </c>
      <c r="C847" s="88">
        <v>446.89882054635632</v>
      </c>
      <c r="D847" s="88">
        <v>447.77364276193327</v>
      </c>
      <c r="E847" s="89">
        <v>4477852.7685382944</v>
      </c>
      <c r="F847" s="87" t="s">
        <v>866</v>
      </c>
      <c r="G847" s="25">
        <f t="shared" si="25"/>
        <v>7.2319848020379052E-3</v>
      </c>
      <c r="I847" s="88">
        <v>197.14</v>
      </c>
      <c r="J847" s="88">
        <v>198.54499999999999</v>
      </c>
      <c r="K847" s="88">
        <v>192.0692</v>
      </c>
      <c r="L847" s="88">
        <v>193.01</v>
      </c>
      <c r="M847" s="89">
        <v>1232412</v>
      </c>
      <c r="N847" s="87" t="s">
        <v>866</v>
      </c>
      <c r="O847" s="25">
        <f t="shared" si="26"/>
        <v>2.1397855033417956E-2</v>
      </c>
    </row>
    <row r="848" spans="1:15">
      <c r="A848" s="88">
        <v>441.73205287535222</v>
      </c>
      <c r="B848" s="88">
        <v>441.87705103263011</v>
      </c>
      <c r="C848" s="88">
        <v>438.47442760850771</v>
      </c>
      <c r="D848" s="88">
        <v>440.13707314529478</v>
      </c>
      <c r="E848" s="89">
        <v>4368756.8993426794</v>
      </c>
      <c r="F848" s="87" t="s">
        <v>867</v>
      </c>
      <c r="G848" s="25">
        <f t="shared" si="25"/>
        <v>3.6238250021962681E-3</v>
      </c>
      <c r="I848" s="88">
        <v>192.49</v>
      </c>
      <c r="J848" s="88">
        <v>192.92</v>
      </c>
      <c r="K848" s="88">
        <v>189.56</v>
      </c>
      <c r="L848" s="88">
        <v>190</v>
      </c>
      <c r="M848" s="89">
        <v>930389</v>
      </c>
      <c r="N848" s="87" t="s">
        <v>867</v>
      </c>
      <c r="O848" s="25">
        <f t="shared" si="26"/>
        <v>1.3105263157894731E-2</v>
      </c>
    </row>
    <row r="849" spans="1:15">
      <c r="A849" s="88">
        <v>441.28739185969982</v>
      </c>
      <c r="B849" s="88">
        <v>442.7857061515719</v>
      </c>
      <c r="C849" s="88">
        <v>439.27675074544561</v>
      </c>
      <c r="D849" s="88">
        <v>442.18638043482309</v>
      </c>
      <c r="E849" s="89">
        <v>5489846.3190406002</v>
      </c>
      <c r="F849" s="87" t="s">
        <v>868</v>
      </c>
      <c r="G849" s="25">
        <f t="shared" si="25"/>
        <v>-2.0330535152150997E-3</v>
      </c>
      <c r="I849" s="88">
        <v>192.21</v>
      </c>
      <c r="J849" s="88">
        <v>192.89</v>
      </c>
      <c r="K849" s="88">
        <v>189.19</v>
      </c>
      <c r="L849" s="88">
        <v>189.86</v>
      </c>
      <c r="M849" s="89">
        <v>781988</v>
      </c>
      <c r="N849" s="87" t="s">
        <v>868</v>
      </c>
      <c r="O849" s="25">
        <f t="shared" si="26"/>
        <v>1.2377541346255017E-2</v>
      </c>
    </row>
    <row r="850" spans="1:15">
      <c r="A850" s="88">
        <v>443.72336090196927</v>
      </c>
      <c r="B850" s="88">
        <v>446.73932257335053</v>
      </c>
      <c r="C850" s="88">
        <v>443.11436864140188</v>
      </c>
      <c r="D850" s="88">
        <v>445.70500238476785</v>
      </c>
      <c r="E850" s="89">
        <v>5718582.6741959536</v>
      </c>
      <c r="F850" s="87" t="s">
        <v>869</v>
      </c>
      <c r="G850" s="25">
        <f t="shared" si="25"/>
        <v>-4.4460831092217878E-3</v>
      </c>
      <c r="I850" s="88">
        <v>191.01</v>
      </c>
      <c r="J850" s="88">
        <v>193.99</v>
      </c>
      <c r="K850" s="88">
        <v>188.14</v>
      </c>
      <c r="L850" s="88">
        <v>189.11</v>
      </c>
      <c r="M850" s="89">
        <v>475992</v>
      </c>
      <c r="N850" s="87" t="s">
        <v>869</v>
      </c>
      <c r="O850" s="25">
        <f t="shared" si="26"/>
        <v>1.004706255618415E-2</v>
      </c>
    </row>
    <row r="851" spans="1:15">
      <c r="A851" s="88">
        <v>446.00466524314231</v>
      </c>
      <c r="B851" s="88">
        <v>446.14966340042025</v>
      </c>
      <c r="C851" s="88">
        <v>443.14336827285751</v>
      </c>
      <c r="D851" s="88">
        <v>443.59769583232838</v>
      </c>
      <c r="E851" s="89">
        <v>5892189.7080546441</v>
      </c>
      <c r="F851" s="87" t="s">
        <v>870</v>
      </c>
      <c r="G851" s="25">
        <f t="shared" si="25"/>
        <v>5.4260187404664428E-3</v>
      </c>
      <c r="I851" s="88">
        <v>190.53</v>
      </c>
      <c r="J851" s="88">
        <v>192.07</v>
      </c>
      <c r="K851" s="88">
        <v>186.85499999999999</v>
      </c>
      <c r="L851" s="88">
        <v>191.01</v>
      </c>
      <c r="M851" s="89">
        <v>629374</v>
      </c>
      <c r="N851" s="87" t="s">
        <v>870</v>
      </c>
      <c r="O851" s="25">
        <f t="shared" si="26"/>
        <v>-2.5129574367833696E-3</v>
      </c>
    </row>
    <row r="852" spans="1:15">
      <c r="A852" s="88">
        <v>443.0080366593981</v>
      </c>
      <c r="B852" s="88">
        <v>443.37536532450224</v>
      </c>
      <c r="C852" s="88">
        <v>439.24775111399003</v>
      </c>
      <c r="D852" s="88">
        <v>441.35022439452024</v>
      </c>
      <c r="E852" s="89">
        <v>5818014.2826429736</v>
      </c>
      <c r="F852" s="87" t="s">
        <v>871</v>
      </c>
      <c r="G852" s="25">
        <f t="shared" si="25"/>
        <v>3.7562284400154411E-3</v>
      </c>
      <c r="I852" s="88">
        <v>188.79</v>
      </c>
      <c r="J852" s="88">
        <v>191.56</v>
      </c>
      <c r="K852" s="88">
        <v>186.06</v>
      </c>
      <c r="L852" s="88">
        <v>191.51</v>
      </c>
      <c r="M852" s="89">
        <v>960353</v>
      </c>
      <c r="N852" s="87" t="s">
        <v>871</v>
      </c>
      <c r="O852" s="25">
        <f t="shared" si="26"/>
        <v>-1.4202913685969376E-2</v>
      </c>
    </row>
    <row r="853" spans="1:15">
      <c r="A853" s="88">
        <v>438.83208972979327</v>
      </c>
      <c r="B853" s="88">
        <v>440.50440181039892</v>
      </c>
      <c r="C853" s="88">
        <v>435.95629294378068</v>
      </c>
      <c r="D853" s="88">
        <v>439.3250834645383</v>
      </c>
      <c r="E853" s="89">
        <v>8433460.9691346362</v>
      </c>
      <c r="F853" s="87" t="s">
        <v>872</v>
      </c>
      <c r="G853" s="25">
        <f t="shared" si="25"/>
        <v>-1.1221615912692107E-3</v>
      </c>
      <c r="I853" s="88">
        <v>190</v>
      </c>
      <c r="J853" s="88">
        <v>192.85749999999999</v>
      </c>
      <c r="K853" s="88">
        <v>187.2405</v>
      </c>
      <c r="L853" s="88">
        <v>188.21</v>
      </c>
      <c r="M853" s="89">
        <v>625031</v>
      </c>
      <c r="N853" s="87" t="s">
        <v>872</v>
      </c>
      <c r="O853" s="25">
        <f t="shared" si="26"/>
        <v>9.510652993996116E-3</v>
      </c>
    </row>
    <row r="854" spans="1:15">
      <c r="A854" s="88">
        <v>445.10567666801904</v>
      </c>
      <c r="B854" s="88">
        <v>447.30964865864382</v>
      </c>
      <c r="C854" s="88">
        <v>444.41935205690345</v>
      </c>
      <c r="D854" s="88">
        <v>445.25067482529698</v>
      </c>
      <c r="E854" s="89">
        <v>4721680.3499621684</v>
      </c>
      <c r="F854" s="87" t="s">
        <v>873</v>
      </c>
      <c r="G854" s="25">
        <f t="shared" si="25"/>
        <v>-3.2565510952864418E-4</v>
      </c>
      <c r="I854" s="88">
        <v>192.11</v>
      </c>
      <c r="J854" s="88">
        <v>193.245</v>
      </c>
      <c r="K854" s="88">
        <v>190.1</v>
      </c>
      <c r="L854" s="88">
        <v>192.01</v>
      </c>
      <c r="M854" s="89">
        <v>839306</v>
      </c>
      <c r="N854" s="87" t="s">
        <v>873</v>
      </c>
      <c r="O854" s="25">
        <f t="shared" si="26"/>
        <v>5.2080620801020494E-4</v>
      </c>
    </row>
    <row r="855" spans="1:15">
      <c r="A855" s="88">
        <v>445.30867408820819</v>
      </c>
      <c r="B855" s="88">
        <v>445.65666966567522</v>
      </c>
      <c r="C855" s="88">
        <v>442.89203813357574</v>
      </c>
      <c r="D855" s="88">
        <v>443.24970025486135</v>
      </c>
      <c r="E855" s="89">
        <v>4140667.1041282238</v>
      </c>
      <c r="F855" s="87" t="s">
        <v>874</v>
      </c>
      <c r="G855" s="25">
        <f t="shared" si="25"/>
        <v>4.6451781742051779E-3</v>
      </c>
      <c r="I855" s="88">
        <v>192.55</v>
      </c>
      <c r="J855" s="88">
        <v>197.46</v>
      </c>
      <c r="K855" s="88">
        <v>191.92</v>
      </c>
      <c r="L855" s="88">
        <v>196.91</v>
      </c>
      <c r="M855" s="89">
        <v>859433</v>
      </c>
      <c r="N855" s="87" t="s">
        <v>874</v>
      </c>
      <c r="O855" s="25">
        <f t="shared" si="26"/>
        <v>-2.2142095373520854E-2</v>
      </c>
    </row>
    <row r="856" spans="1:15">
      <c r="A856" s="88">
        <v>442.79537269539043</v>
      </c>
      <c r="B856" s="88">
        <v>443.0467028346722</v>
      </c>
      <c r="C856" s="88">
        <v>441.79005213826332</v>
      </c>
      <c r="D856" s="88">
        <v>442.54404255610865</v>
      </c>
      <c r="E856" s="89">
        <v>4328943.2899260167</v>
      </c>
      <c r="F856" s="87" t="s">
        <v>875</v>
      </c>
      <c r="G856" s="25">
        <f t="shared" si="25"/>
        <v>5.6792119001336516E-4</v>
      </c>
      <c r="I856" s="88">
        <v>196.64</v>
      </c>
      <c r="J856" s="88">
        <v>198.52500000000001</v>
      </c>
      <c r="K856" s="88">
        <v>194.89</v>
      </c>
      <c r="L856" s="88">
        <v>198.06</v>
      </c>
      <c r="M856" s="89">
        <v>424464</v>
      </c>
      <c r="N856" s="87" t="s">
        <v>875</v>
      </c>
      <c r="O856" s="25">
        <f t="shared" si="26"/>
        <v>-7.1695445824498938E-3</v>
      </c>
    </row>
    <row r="857" spans="1:15">
      <c r="A857" s="88">
        <v>442.49570983701602</v>
      </c>
      <c r="B857" s="88">
        <v>442.90170467739426</v>
      </c>
      <c r="C857" s="88">
        <v>440.08874042620209</v>
      </c>
      <c r="D857" s="88">
        <v>440.93939628223274</v>
      </c>
      <c r="E857" s="89">
        <v>6996725.1242737565</v>
      </c>
      <c r="F857" s="87" t="s">
        <v>876</v>
      </c>
      <c r="G857" s="25">
        <f t="shared" si="25"/>
        <v>3.5295407212538876E-3</v>
      </c>
      <c r="I857" s="88">
        <v>198.75</v>
      </c>
      <c r="J857" s="88">
        <v>202.72</v>
      </c>
      <c r="K857" s="88">
        <v>197.72</v>
      </c>
      <c r="L857" s="88">
        <v>198.3</v>
      </c>
      <c r="M857" s="89">
        <v>571318</v>
      </c>
      <c r="N857" s="87" t="s">
        <v>876</v>
      </c>
      <c r="O857" s="25">
        <f t="shared" si="26"/>
        <v>2.2692889561271024E-3</v>
      </c>
    </row>
    <row r="858" spans="1:15">
      <c r="A858" s="88">
        <v>438.89008899270442</v>
      </c>
      <c r="B858" s="88">
        <v>439.14141913198625</v>
      </c>
      <c r="C858" s="88">
        <v>437.13077801773198</v>
      </c>
      <c r="D858" s="88">
        <v>438.4550945208706</v>
      </c>
      <c r="E858" s="89">
        <v>4534817.2855712036</v>
      </c>
      <c r="F858" s="87" t="s">
        <v>877</v>
      </c>
      <c r="G858" s="25">
        <f t="shared" si="25"/>
        <v>9.9210723576881321E-4</v>
      </c>
      <c r="I858" s="88">
        <v>199.63</v>
      </c>
      <c r="J858" s="88">
        <v>200.32499999999999</v>
      </c>
      <c r="K858" s="88">
        <v>194.19499999999999</v>
      </c>
      <c r="L858" s="88">
        <v>194.98</v>
      </c>
      <c r="M858" s="89">
        <v>787025</v>
      </c>
      <c r="N858" s="87" t="s">
        <v>877</v>
      </c>
      <c r="O858" s="25">
        <f t="shared" si="26"/>
        <v>2.3848599856395536E-2</v>
      </c>
    </row>
    <row r="859" spans="1:15">
      <c r="A859" s="88">
        <v>437.52710631429176</v>
      </c>
      <c r="B859" s="88">
        <v>439.00608751852678</v>
      </c>
      <c r="C859" s="88">
        <v>435.5164652000376</v>
      </c>
      <c r="D859" s="88">
        <v>438.60009267814854</v>
      </c>
      <c r="E859" s="89">
        <v>7346841.9875017945</v>
      </c>
      <c r="F859" s="87" t="s">
        <v>878</v>
      </c>
      <c r="G859" s="25">
        <f t="shared" si="25"/>
        <v>-2.4463888215457974E-3</v>
      </c>
      <c r="I859" s="88">
        <v>193.54</v>
      </c>
      <c r="J859" s="88">
        <v>195</v>
      </c>
      <c r="K859" s="88">
        <v>190.435</v>
      </c>
      <c r="L859" s="88">
        <v>191.82</v>
      </c>
      <c r="M859" s="89">
        <v>652911</v>
      </c>
      <c r="N859" s="87" t="s">
        <v>878</v>
      </c>
      <c r="O859" s="25">
        <f t="shared" si="26"/>
        <v>8.966739651756761E-3</v>
      </c>
    </row>
    <row r="860" spans="1:15">
      <c r="A860" s="88">
        <v>439.13175258816767</v>
      </c>
      <c r="B860" s="88">
        <v>440.67839959913243</v>
      </c>
      <c r="C860" s="88">
        <v>434.69480897546254</v>
      </c>
      <c r="D860" s="88">
        <v>435.00413837765547</v>
      </c>
      <c r="E860" s="89">
        <v>6469201.5237263571</v>
      </c>
      <c r="F860" s="87" t="s">
        <v>879</v>
      </c>
      <c r="G860" s="25">
        <f t="shared" si="25"/>
        <v>9.488678029377251E-3</v>
      </c>
      <c r="I860" s="88">
        <v>194.02</v>
      </c>
      <c r="J860" s="88">
        <v>196.43</v>
      </c>
      <c r="K860" s="88">
        <v>190.17</v>
      </c>
      <c r="L860" s="88">
        <v>190.73</v>
      </c>
      <c r="M860" s="89">
        <v>523235</v>
      </c>
      <c r="N860" s="87" t="s">
        <v>879</v>
      </c>
      <c r="O860" s="25">
        <f t="shared" si="26"/>
        <v>1.7249515021234396E-2</v>
      </c>
    </row>
    <row r="861" spans="1:15">
      <c r="A861" s="88">
        <v>434.66580934400696</v>
      </c>
      <c r="B861" s="88">
        <v>434.66580934400696</v>
      </c>
      <c r="C861" s="88">
        <v>429.82306422179994</v>
      </c>
      <c r="D861" s="88">
        <v>430.49952895822065</v>
      </c>
      <c r="E861" s="89">
        <v>6350108.2861005953</v>
      </c>
      <c r="F861" s="87" t="s">
        <v>880</v>
      </c>
      <c r="G861" s="25">
        <f t="shared" si="25"/>
        <v>9.6777815201527506E-3</v>
      </c>
      <c r="I861" s="88">
        <v>195.4</v>
      </c>
      <c r="J861" s="88">
        <v>195.76</v>
      </c>
      <c r="K861" s="88">
        <v>189.15</v>
      </c>
      <c r="L861" s="88">
        <v>193</v>
      </c>
      <c r="M861" s="89">
        <v>513021</v>
      </c>
      <c r="N861" s="87" t="s">
        <v>880</v>
      </c>
      <c r="O861" s="25">
        <f t="shared" si="26"/>
        <v>1.2435233160621895E-2</v>
      </c>
    </row>
    <row r="862" spans="1:15">
      <c r="A862" s="88">
        <v>429.02054775398562</v>
      </c>
      <c r="B862" s="88">
        <v>434.4773117395456</v>
      </c>
      <c r="C862" s="88">
        <v>428.95288194725589</v>
      </c>
      <c r="D862" s="88">
        <v>434.06648362725815</v>
      </c>
      <c r="E862" s="89">
        <v>7353241.3791728299</v>
      </c>
      <c r="F862" s="87" t="s">
        <v>881</v>
      </c>
      <c r="G862" s="25">
        <f t="shared" si="25"/>
        <v>-1.1624799572421241E-2</v>
      </c>
      <c r="I862" s="88">
        <v>190.87</v>
      </c>
      <c r="J862" s="88">
        <v>195.01</v>
      </c>
      <c r="K862" s="88">
        <v>190.28</v>
      </c>
      <c r="L862" s="88">
        <v>192.46</v>
      </c>
      <c r="M862" s="89">
        <v>1760679</v>
      </c>
      <c r="N862" s="87" t="s">
        <v>881</v>
      </c>
      <c r="O862" s="25">
        <f t="shared" si="26"/>
        <v>-8.2614569261145743E-3</v>
      </c>
    </row>
    <row r="863" spans="1:15">
      <c r="A863" s="88">
        <v>436.12545746060493</v>
      </c>
      <c r="B863" s="88">
        <v>436.74411626499085</v>
      </c>
      <c r="C863" s="88">
        <v>435.41979976185229</v>
      </c>
      <c r="D863" s="88">
        <v>435.80646151459342</v>
      </c>
      <c r="E863" s="89">
        <v>3527582.4162339098</v>
      </c>
      <c r="F863" s="87" t="s">
        <v>882</v>
      </c>
      <c r="G863" s="25">
        <f t="shared" si="25"/>
        <v>7.3196699494282313E-4</v>
      </c>
      <c r="I863" s="88">
        <v>192.12</v>
      </c>
      <c r="J863" s="88">
        <v>199.46</v>
      </c>
      <c r="K863" s="88">
        <v>192.01419999999999</v>
      </c>
      <c r="L863" s="88">
        <v>198.13</v>
      </c>
      <c r="M863" s="89">
        <v>756705</v>
      </c>
      <c r="N863" s="87" t="s">
        <v>882</v>
      </c>
      <c r="O863" s="25">
        <f t="shared" si="26"/>
        <v>-3.0333619340836782E-2</v>
      </c>
    </row>
    <row r="864" spans="1:15">
      <c r="A864" s="88">
        <v>436.43478686279792</v>
      </c>
      <c r="B864" s="88">
        <v>436.55059205774387</v>
      </c>
      <c r="C864" s="88">
        <v>432.78199328465189</v>
      </c>
      <c r="D864" s="88">
        <v>433.28349357795724</v>
      </c>
      <c r="E864" s="89">
        <v>4699975.5913701868</v>
      </c>
      <c r="F864" s="87" t="s">
        <v>883</v>
      </c>
      <c r="G864" s="25">
        <f t="shared" si="25"/>
        <v>7.2730517814514339E-3</v>
      </c>
      <c r="I864" s="88">
        <v>199.36</v>
      </c>
      <c r="J864" s="88">
        <v>200.43</v>
      </c>
      <c r="K864" s="88">
        <v>194</v>
      </c>
      <c r="L864" s="88">
        <v>194.94</v>
      </c>
      <c r="M864" s="89">
        <v>798858</v>
      </c>
      <c r="N864" s="87" t="s">
        <v>883</v>
      </c>
      <c r="O864" s="25">
        <f t="shared" si="26"/>
        <v>2.2673643172258284E-2</v>
      </c>
    </row>
    <row r="865" spans="1:15">
      <c r="A865" s="88">
        <v>433.28349357795724</v>
      </c>
      <c r="B865" s="88">
        <v>434.52081118672902</v>
      </c>
      <c r="C865" s="88">
        <v>432.24917338937456</v>
      </c>
      <c r="D865" s="88">
        <v>433.15782850831636</v>
      </c>
      <c r="E865" s="89">
        <v>6624935.5718268054</v>
      </c>
      <c r="F865" s="87" t="s">
        <v>884</v>
      </c>
      <c r="G865" s="25">
        <f t="shared" si="25"/>
        <v>2.9011381388088786E-4</v>
      </c>
      <c r="I865" s="88">
        <v>195.46</v>
      </c>
      <c r="J865" s="88">
        <v>199.5676</v>
      </c>
      <c r="K865" s="88">
        <v>192.43899999999999</v>
      </c>
      <c r="L865" s="88">
        <v>198.98</v>
      </c>
      <c r="M865" s="89">
        <v>826201</v>
      </c>
      <c r="N865" s="87" t="s">
        <v>884</v>
      </c>
      <c r="O865" s="25">
        <f t="shared" si="26"/>
        <v>-1.7690220122625333E-2</v>
      </c>
    </row>
    <row r="866" spans="1:15">
      <c r="A866" s="88">
        <v>433.54449026105749</v>
      </c>
      <c r="B866" s="88">
        <v>433.79582040033927</v>
      </c>
      <c r="C866" s="88">
        <v>431.23418628842893</v>
      </c>
      <c r="D866" s="88">
        <v>433.1964946835904</v>
      </c>
      <c r="E866" s="89">
        <v>4310801.3352323612</v>
      </c>
      <c r="F866" s="87" t="s">
        <v>885</v>
      </c>
      <c r="G866" s="25">
        <f t="shared" si="25"/>
        <v>8.033203909492137E-4</v>
      </c>
      <c r="I866" s="88">
        <v>198.67</v>
      </c>
      <c r="J866" s="88">
        <v>204.99</v>
      </c>
      <c r="K866" s="88">
        <v>196.39</v>
      </c>
      <c r="L866" s="88">
        <v>204.99</v>
      </c>
      <c r="M866" s="89">
        <v>721936</v>
      </c>
      <c r="N866" s="87" t="s">
        <v>885</v>
      </c>
      <c r="O866" s="25">
        <f t="shared" si="26"/>
        <v>-3.0830772232791959E-2</v>
      </c>
    </row>
    <row r="867" spans="1:15">
      <c r="A867" s="88">
        <v>431.11818776260657</v>
      </c>
      <c r="B867" s="88">
        <v>434.21109512278332</v>
      </c>
      <c r="C867" s="88">
        <v>430.88619071096184</v>
      </c>
      <c r="D867" s="88">
        <v>433.37049247232397</v>
      </c>
      <c r="E867" s="89">
        <v>4725788.3332026601</v>
      </c>
      <c r="F867" s="87" t="s">
        <v>886</v>
      </c>
      <c r="G867" s="25">
        <f t="shared" si="25"/>
        <v>-5.1971805852961683E-3</v>
      </c>
      <c r="I867" s="88">
        <v>201.19</v>
      </c>
      <c r="J867" s="88">
        <v>206.64</v>
      </c>
      <c r="K867" s="88">
        <v>201.12</v>
      </c>
      <c r="L867" s="88">
        <v>204.44</v>
      </c>
      <c r="M867" s="89">
        <v>510683</v>
      </c>
      <c r="N867" s="87" t="s">
        <v>886</v>
      </c>
      <c r="O867" s="25">
        <f t="shared" si="26"/>
        <v>-1.5897084719233012E-2</v>
      </c>
    </row>
    <row r="868" spans="1:15">
      <c r="A868" s="88">
        <v>430.76052564132095</v>
      </c>
      <c r="B868" s="88">
        <v>430.95385651769152</v>
      </c>
      <c r="C868" s="88">
        <v>428.98188157871147</v>
      </c>
      <c r="D868" s="88">
        <v>429.9968686796571</v>
      </c>
      <c r="E868" s="89">
        <v>3363752.4031775082</v>
      </c>
      <c r="F868" s="87" t="s">
        <v>887</v>
      </c>
      <c r="G868" s="25">
        <f t="shared" si="25"/>
        <v>1.7759593552593156E-3</v>
      </c>
      <c r="I868" s="88">
        <v>204.29</v>
      </c>
      <c r="J868" s="88">
        <v>206.99</v>
      </c>
      <c r="K868" s="88">
        <v>202.27</v>
      </c>
      <c r="L868" s="88">
        <v>206.05</v>
      </c>
      <c r="M868" s="89">
        <v>523162</v>
      </c>
      <c r="N868" s="87" t="s">
        <v>887</v>
      </c>
      <c r="O868" s="25">
        <f t="shared" si="26"/>
        <v>-8.5416161125940748E-3</v>
      </c>
    </row>
    <row r="869" spans="1:15">
      <c r="A869" s="88">
        <v>429.48454185727502</v>
      </c>
      <c r="B869" s="88">
        <v>431.05052195587683</v>
      </c>
      <c r="C869" s="88">
        <v>428.88521614052621</v>
      </c>
      <c r="D869" s="88">
        <v>429.93886941674589</v>
      </c>
      <c r="E869" s="89">
        <v>6072917.1772304596</v>
      </c>
      <c r="F869" s="87" t="s">
        <v>888</v>
      </c>
      <c r="G869" s="25">
        <f t="shared" si="25"/>
        <v>-1.0567259482427982E-3</v>
      </c>
      <c r="I869" s="88">
        <v>206.03</v>
      </c>
      <c r="J869" s="88">
        <v>214.82499999999999</v>
      </c>
      <c r="K869" s="88">
        <v>205.95</v>
      </c>
      <c r="L869" s="88">
        <v>206.86</v>
      </c>
      <c r="M869" s="89">
        <v>737987</v>
      </c>
      <c r="N869" s="87" t="s">
        <v>888</v>
      </c>
      <c r="O869" s="25">
        <f t="shared" si="26"/>
        <v>-4.0123755196751487E-3</v>
      </c>
    </row>
    <row r="870" spans="1:15">
      <c r="A870" s="88">
        <v>428.50822093160355</v>
      </c>
      <c r="B870" s="88">
        <v>428.81755033379648</v>
      </c>
      <c r="C870" s="88">
        <v>423.69428210997575</v>
      </c>
      <c r="D870" s="88">
        <v>424.36127363345429</v>
      </c>
      <c r="E870" s="89">
        <v>5003651.8644113299</v>
      </c>
      <c r="F870" s="87" t="s">
        <v>889</v>
      </c>
      <c r="G870" s="25">
        <f t="shared" si="25"/>
        <v>9.7722095671981535E-3</v>
      </c>
      <c r="I870" s="88">
        <v>204.46</v>
      </c>
      <c r="J870" s="88">
        <v>205.63</v>
      </c>
      <c r="K870" s="88">
        <v>202.53</v>
      </c>
      <c r="L870" s="88">
        <v>204.7</v>
      </c>
      <c r="M870" s="89">
        <v>553002</v>
      </c>
      <c r="N870" s="87" t="s">
        <v>889</v>
      </c>
      <c r="O870" s="25">
        <f t="shared" si="26"/>
        <v>-1.1724474841230403E-3</v>
      </c>
    </row>
    <row r="871" spans="1:15">
      <c r="A871" s="88">
        <v>423.32695344487161</v>
      </c>
      <c r="B871" s="88">
        <v>423.77161446052395</v>
      </c>
      <c r="C871" s="88">
        <v>419.6826664252859</v>
      </c>
      <c r="D871" s="88">
        <v>421.05531564751709</v>
      </c>
      <c r="E871" s="89">
        <v>4480696.5977823418</v>
      </c>
      <c r="F871" s="87" t="s">
        <v>890</v>
      </c>
      <c r="G871" s="25">
        <f t="shared" si="25"/>
        <v>5.395105376739151E-3</v>
      </c>
      <c r="I871" s="88">
        <v>203.91</v>
      </c>
      <c r="J871" s="88">
        <v>204.58</v>
      </c>
      <c r="K871" s="88">
        <v>200.82</v>
      </c>
      <c r="L871" s="88">
        <v>202.81</v>
      </c>
      <c r="M871" s="89">
        <v>651382</v>
      </c>
      <c r="N871" s="87" t="s">
        <v>890</v>
      </c>
      <c r="O871" s="25">
        <f t="shared" si="26"/>
        <v>5.4237956708249602E-3</v>
      </c>
    </row>
    <row r="872" spans="1:15">
      <c r="A872" s="88">
        <v>419.59566753091912</v>
      </c>
      <c r="B872" s="88">
        <v>419.99199582747889</v>
      </c>
      <c r="C872" s="88">
        <v>417.41102862793144</v>
      </c>
      <c r="D872" s="88">
        <v>419.14133997144825</v>
      </c>
      <c r="E872" s="89">
        <v>6253125.3294617459</v>
      </c>
      <c r="F872" s="87" t="s">
        <v>891</v>
      </c>
      <c r="G872" s="25">
        <f t="shared" si="25"/>
        <v>1.0839483394833316E-3</v>
      </c>
      <c r="I872" s="88">
        <v>200.9</v>
      </c>
      <c r="J872" s="88">
        <v>200.99</v>
      </c>
      <c r="K872" s="88">
        <v>196.785</v>
      </c>
      <c r="L872" s="88">
        <v>197.03</v>
      </c>
      <c r="M872" s="89">
        <v>571273</v>
      </c>
      <c r="N872" s="87" t="s">
        <v>891</v>
      </c>
      <c r="O872" s="25">
        <f t="shared" si="26"/>
        <v>1.9641678932142304E-2</v>
      </c>
    </row>
    <row r="873" spans="1:15">
      <c r="A873" s="88">
        <v>421.94463767882183</v>
      </c>
      <c r="B873" s="88">
        <v>423.37528616396429</v>
      </c>
      <c r="C873" s="88">
        <v>420.24332596676061</v>
      </c>
      <c r="D873" s="88">
        <v>422.22496744955924</v>
      </c>
      <c r="E873" s="89">
        <v>5928529.4802208487</v>
      </c>
      <c r="F873" s="87" t="s">
        <v>892</v>
      </c>
      <c r="G873" s="25">
        <f t="shared" si="25"/>
        <v>-6.6393461388780661E-4</v>
      </c>
      <c r="I873" s="88">
        <v>199.6</v>
      </c>
      <c r="J873" s="88">
        <v>201.285</v>
      </c>
      <c r="K873" s="88">
        <v>195.24</v>
      </c>
      <c r="L873" s="88">
        <v>198.58</v>
      </c>
      <c r="M873" s="89">
        <v>809017</v>
      </c>
      <c r="N873" s="87" t="s">
        <v>892</v>
      </c>
      <c r="O873" s="25">
        <f t="shared" si="26"/>
        <v>5.1364689293986743E-3</v>
      </c>
    </row>
    <row r="874" spans="1:15">
      <c r="A874" s="88">
        <v>423.38495270778282</v>
      </c>
      <c r="B874" s="88">
        <v>425.13459713893667</v>
      </c>
      <c r="C874" s="88">
        <v>422.16696818664803</v>
      </c>
      <c r="D874" s="88">
        <v>424.46760561545813</v>
      </c>
      <c r="E874" s="89">
        <v>5361449.8597372398</v>
      </c>
      <c r="F874" s="87" t="s">
        <v>893</v>
      </c>
      <c r="G874" s="25">
        <f t="shared" si="25"/>
        <v>-2.5506137414315067E-3</v>
      </c>
      <c r="I874" s="88">
        <v>200.5</v>
      </c>
      <c r="J874" s="88">
        <v>211.7</v>
      </c>
      <c r="K874" s="88">
        <v>200.28</v>
      </c>
      <c r="L874" s="88">
        <v>208.31</v>
      </c>
      <c r="M874" s="89">
        <v>1168691</v>
      </c>
      <c r="N874" s="87" t="s">
        <v>893</v>
      </c>
      <c r="O874" s="25">
        <f t="shared" si="26"/>
        <v>-3.7492199126302195E-2</v>
      </c>
    </row>
    <row r="875" spans="1:15">
      <c r="A875" s="88">
        <v>423.19162183141219</v>
      </c>
      <c r="B875" s="88">
        <v>424.70443593901211</v>
      </c>
      <c r="C875" s="88">
        <v>419.52800172418944</v>
      </c>
      <c r="D875" s="88">
        <v>424.30327437054308</v>
      </c>
      <c r="E875" s="89">
        <v>4962049.6115741655</v>
      </c>
      <c r="F875" s="87" t="s">
        <v>894</v>
      </c>
      <c r="G875" s="25">
        <f t="shared" si="25"/>
        <v>-2.6199480566819755E-3</v>
      </c>
      <c r="I875" s="88">
        <v>207.55</v>
      </c>
      <c r="J875" s="88">
        <v>207.78</v>
      </c>
      <c r="K875" s="88">
        <v>200.94</v>
      </c>
      <c r="L875" s="88">
        <v>204.56</v>
      </c>
      <c r="M875" s="89">
        <v>838759</v>
      </c>
      <c r="N875" s="87" t="s">
        <v>894</v>
      </c>
      <c r="O875" s="25">
        <f t="shared" si="26"/>
        <v>1.4616738365271775E-2</v>
      </c>
    </row>
    <row r="876" spans="1:15">
      <c r="A876" s="88">
        <v>423.33661998869013</v>
      </c>
      <c r="B876" s="88">
        <v>424.10511022226325</v>
      </c>
      <c r="C876" s="88">
        <v>420.95865020933184</v>
      </c>
      <c r="D876" s="88">
        <v>421.23897998006919</v>
      </c>
      <c r="E876" s="89">
        <v>4426443.4945175834</v>
      </c>
      <c r="F876" s="87" t="s">
        <v>895</v>
      </c>
      <c r="G876" s="25">
        <f t="shared" si="25"/>
        <v>4.9796911214632367E-3</v>
      </c>
      <c r="I876" s="88">
        <v>205.07</v>
      </c>
      <c r="J876" s="88">
        <v>206.715</v>
      </c>
      <c r="K876" s="88">
        <v>203.1</v>
      </c>
      <c r="L876" s="88">
        <v>204.57</v>
      </c>
      <c r="M876" s="89">
        <v>1031674</v>
      </c>
      <c r="N876" s="87" t="s">
        <v>895</v>
      </c>
      <c r="O876" s="25">
        <f t="shared" si="26"/>
        <v>2.4441511463069165E-3</v>
      </c>
    </row>
    <row r="877" spans="1:15">
      <c r="A877" s="88">
        <v>420.56232191277212</v>
      </c>
      <c r="B877" s="88">
        <v>421.87697187209216</v>
      </c>
      <c r="C877" s="88">
        <v>418.71920200289304</v>
      </c>
      <c r="D877" s="88">
        <v>419.1606730590853</v>
      </c>
      <c r="E877" s="89">
        <v>8213449.5524457414</v>
      </c>
      <c r="F877" s="87" t="s">
        <v>896</v>
      </c>
      <c r="G877" s="25">
        <f t="shared" si="25"/>
        <v>3.3439417001062122E-3</v>
      </c>
      <c r="I877" s="88">
        <v>204.68</v>
      </c>
      <c r="J877" s="88">
        <v>209.2</v>
      </c>
      <c r="K877" s="88">
        <v>199.81</v>
      </c>
      <c r="L877" s="88">
        <v>199.81</v>
      </c>
      <c r="M877" s="89">
        <v>1374071</v>
      </c>
      <c r="N877" s="87" t="s">
        <v>896</v>
      </c>
      <c r="O877" s="25">
        <f t="shared" si="26"/>
        <v>2.437315449677202E-2</v>
      </c>
    </row>
    <row r="878" spans="1:15">
      <c r="A878" s="88">
        <v>421.58697555753628</v>
      </c>
      <c r="B878" s="88">
        <v>421.72230717099563</v>
      </c>
      <c r="C878" s="88">
        <v>416.01904631806315</v>
      </c>
      <c r="D878" s="88">
        <v>416.09637866861135</v>
      </c>
      <c r="E878" s="89">
        <v>7471503.9165865257</v>
      </c>
      <c r="F878" s="87" t="s">
        <v>897</v>
      </c>
      <c r="G878" s="25">
        <f t="shared" si="25"/>
        <v>1.3195493088628218E-2</v>
      </c>
      <c r="I878" s="88">
        <v>202.43</v>
      </c>
      <c r="J878" s="88">
        <v>203.065</v>
      </c>
      <c r="K878" s="88">
        <v>196.37</v>
      </c>
      <c r="L878" s="88">
        <v>198.39</v>
      </c>
      <c r="M878" s="89">
        <v>1016928</v>
      </c>
      <c r="N878" s="87" t="s">
        <v>897</v>
      </c>
      <c r="O878" s="25">
        <f t="shared" si="26"/>
        <v>2.0363929633550271E-2</v>
      </c>
    </row>
    <row r="879" spans="1:15">
      <c r="A879" s="88">
        <v>415.64205110914048</v>
      </c>
      <c r="B879" s="88">
        <v>417.88468927503936</v>
      </c>
      <c r="C879" s="88">
        <v>414.3467342374575</v>
      </c>
      <c r="D879" s="88">
        <v>415.26505590021782</v>
      </c>
      <c r="E879" s="89">
        <v>5922083.5362340678</v>
      </c>
      <c r="F879" s="87" t="s">
        <v>898</v>
      </c>
      <c r="G879" s="25">
        <f t="shared" si="25"/>
        <v>9.0784236132135376E-4</v>
      </c>
      <c r="I879" s="88">
        <v>197.87</v>
      </c>
      <c r="J879" s="88">
        <v>201.41</v>
      </c>
      <c r="K879" s="88">
        <v>196.5</v>
      </c>
      <c r="L879" s="88">
        <v>197.31</v>
      </c>
      <c r="M879" s="89">
        <v>846494</v>
      </c>
      <c r="N879" s="87" t="s">
        <v>898</v>
      </c>
      <c r="O879" s="25">
        <f t="shared" si="26"/>
        <v>2.8381734326694552E-3</v>
      </c>
    </row>
    <row r="880" spans="1:15">
      <c r="A880" s="88">
        <v>415.11039119912135</v>
      </c>
      <c r="B880" s="88">
        <v>418.34868337832876</v>
      </c>
      <c r="C880" s="88">
        <v>414.89772723511368</v>
      </c>
      <c r="D880" s="88">
        <v>415.98038014278899</v>
      </c>
      <c r="E880" s="89">
        <v>4081354.2813899717</v>
      </c>
      <c r="F880" s="87" t="s">
        <v>899</v>
      </c>
      <c r="G880" s="25">
        <f t="shared" si="25"/>
        <v>-2.0914182139287751E-3</v>
      </c>
      <c r="I880" s="88">
        <v>199.81</v>
      </c>
      <c r="J880" s="88">
        <v>201.46</v>
      </c>
      <c r="K880" s="88">
        <v>194.29</v>
      </c>
      <c r="L880" s="88">
        <v>194.29</v>
      </c>
      <c r="M880" s="89">
        <v>963380</v>
      </c>
      <c r="N880" s="87" t="s">
        <v>899</v>
      </c>
      <c r="O880" s="25">
        <f t="shared" si="26"/>
        <v>2.8411137989603263E-2</v>
      </c>
    </row>
    <row r="881" spans="1:15">
      <c r="A881" s="88">
        <v>416.42504115844139</v>
      </c>
      <c r="B881" s="88">
        <v>418.56134734233643</v>
      </c>
      <c r="C881" s="88">
        <v>415.90304779224078</v>
      </c>
      <c r="D881" s="88">
        <v>417.90402236267641</v>
      </c>
      <c r="E881" s="89">
        <v>4970803.5159259764</v>
      </c>
      <c r="F881" s="87" t="s">
        <v>900</v>
      </c>
      <c r="G881" s="25">
        <f t="shared" si="25"/>
        <v>-3.5390451517394172E-3</v>
      </c>
      <c r="I881" s="88">
        <v>194.66</v>
      </c>
      <c r="J881" s="88">
        <v>207.27</v>
      </c>
      <c r="K881" s="88">
        <v>191.92</v>
      </c>
      <c r="L881" s="88">
        <v>206.98</v>
      </c>
      <c r="M881" s="89">
        <v>1264800</v>
      </c>
      <c r="N881" s="87" t="s">
        <v>900</v>
      </c>
      <c r="O881" s="25">
        <f t="shared" si="26"/>
        <v>-5.9522659194125027E-2</v>
      </c>
    </row>
    <row r="882" spans="1:15">
      <c r="A882" s="88">
        <v>419.53766826800796</v>
      </c>
      <c r="B882" s="88">
        <v>420.75565278914269</v>
      </c>
      <c r="C882" s="88">
        <v>417.94268853795057</v>
      </c>
      <c r="D882" s="88">
        <v>419.44100282982271</v>
      </c>
      <c r="E882" s="89">
        <v>9389127.2520817816</v>
      </c>
      <c r="F882" s="87" t="s">
        <v>901</v>
      </c>
      <c r="G882" s="25">
        <f t="shared" si="25"/>
        <v>2.3046253831426888E-4</v>
      </c>
      <c r="I882" s="88">
        <v>209.11</v>
      </c>
      <c r="J882" s="88">
        <v>217.46</v>
      </c>
      <c r="K882" s="88">
        <v>208.29</v>
      </c>
      <c r="L882" s="88">
        <v>214.14</v>
      </c>
      <c r="M882" s="89">
        <v>919396</v>
      </c>
      <c r="N882" s="87" t="s">
        <v>901</v>
      </c>
      <c r="O882" s="25">
        <f t="shared" si="26"/>
        <v>-2.3489306061455051E-2</v>
      </c>
    </row>
    <row r="883" spans="1:15">
      <c r="A883" s="88">
        <v>422.23463399337777</v>
      </c>
      <c r="B883" s="88">
        <v>423.72328174143132</v>
      </c>
      <c r="C883" s="88">
        <v>420.43665684313123</v>
      </c>
      <c r="D883" s="88">
        <v>423.26895418196045</v>
      </c>
      <c r="E883" s="89">
        <v>4527869.6110702865</v>
      </c>
      <c r="F883" s="87" t="s">
        <v>902</v>
      </c>
      <c r="G883" s="25">
        <f t="shared" si="25"/>
        <v>-2.4436476579806632E-3</v>
      </c>
      <c r="I883" s="88">
        <v>216.98</v>
      </c>
      <c r="J883" s="88">
        <v>219.79910000000001</v>
      </c>
      <c r="K883" s="88">
        <v>215.88499999999999</v>
      </c>
      <c r="L883" s="88">
        <v>218.77</v>
      </c>
      <c r="M883" s="89">
        <v>524182</v>
      </c>
      <c r="N883" s="87" t="s">
        <v>902</v>
      </c>
      <c r="O883" s="25">
        <f t="shared" si="26"/>
        <v>-8.1821090643141581E-3</v>
      </c>
    </row>
    <row r="884" spans="1:15">
      <c r="A884" s="88">
        <v>423.36561962014576</v>
      </c>
      <c r="B884" s="88">
        <v>424.20660893235777</v>
      </c>
      <c r="C884" s="88">
        <v>423.0659567617713</v>
      </c>
      <c r="D884" s="88">
        <v>423.63628284706454</v>
      </c>
      <c r="E884" s="89">
        <v>4865911.8380900593</v>
      </c>
      <c r="F884" s="87" t="s">
        <v>903</v>
      </c>
      <c r="G884" s="25">
        <f t="shared" si="25"/>
        <v>-6.3890473474026432E-4</v>
      </c>
      <c r="I884" s="88">
        <v>219.43</v>
      </c>
      <c r="J884" s="88">
        <v>222.85</v>
      </c>
      <c r="K884" s="88">
        <v>218.83500000000001</v>
      </c>
      <c r="L884" s="88">
        <v>221.42</v>
      </c>
      <c r="M884" s="89">
        <v>511399</v>
      </c>
      <c r="N884" s="87" t="s">
        <v>903</v>
      </c>
      <c r="O884" s="25">
        <f t="shared" si="26"/>
        <v>-8.9874446752776782E-3</v>
      </c>
    </row>
    <row r="885" spans="1:15">
      <c r="A885" s="88">
        <v>423.29795381341597</v>
      </c>
      <c r="B885" s="88">
        <v>423.41395233923834</v>
      </c>
      <c r="C885" s="88">
        <v>421.86730532827363</v>
      </c>
      <c r="D885" s="88">
        <v>422.32646615965376</v>
      </c>
      <c r="E885" s="89">
        <v>4418341.3225861983</v>
      </c>
      <c r="F885" s="87" t="s">
        <v>904</v>
      </c>
      <c r="G885" s="25">
        <f t="shared" si="25"/>
        <v>2.3003238764462974E-3</v>
      </c>
      <c r="I885" s="88">
        <v>221.42</v>
      </c>
      <c r="J885" s="88">
        <v>223.56</v>
      </c>
      <c r="K885" s="88">
        <v>219.84</v>
      </c>
      <c r="L885" s="88">
        <v>221.19</v>
      </c>
      <c r="M885" s="89">
        <v>740245</v>
      </c>
      <c r="N885" s="87" t="s">
        <v>904</v>
      </c>
      <c r="O885" s="25">
        <f t="shared" si="26"/>
        <v>1.0398300103982017E-3</v>
      </c>
    </row>
    <row r="886" spans="1:15">
      <c r="A886" s="88">
        <v>422.52463030793365</v>
      </c>
      <c r="B886" s="88">
        <v>423.31728690105308</v>
      </c>
      <c r="C886" s="88">
        <v>421.05531564751709</v>
      </c>
      <c r="D886" s="88">
        <v>421.13806126260374</v>
      </c>
      <c r="E886" s="89">
        <v>3968157.6704252027</v>
      </c>
      <c r="F886" s="87" t="s">
        <v>905</v>
      </c>
      <c r="G886" s="25">
        <f t="shared" si="25"/>
        <v>3.2924334627291163E-3</v>
      </c>
      <c r="I886" s="88">
        <v>220.71</v>
      </c>
      <c r="J886" s="88">
        <v>221.39</v>
      </c>
      <c r="K886" s="88">
        <v>216</v>
      </c>
      <c r="L886" s="88">
        <v>217.53</v>
      </c>
      <c r="M886" s="89">
        <v>543751</v>
      </c>
      <c r="N886" s="87" t="s">
        <v>905</v>
      </c>
      <c r="O886" s="25">
        <f t="shared" si="26"/>
        <v>1.4618673286443284E-2</v>
      </c>
    </row>
    <row r="887" spans="1:15">
      <c r="A887" s="88">
        <v>420.77498587677979</v>
      </c>
      <c r="B887" s="88">
        <v>422.27136685988819</v>
      </c>
      <c r="C887" s="88">
        <v>419.02534144562588</v>
      </c>
      <c r="D887" s="88">
        <v>420.93931712169473</v>
      </c>
      <c r="E887" s="89">
        <v>4177117.5673563099</v>
      </c>
      <c r="F887" s="87" t="s">
        <v>906</v>
      </c>
      <c r="G887" s="25">
        <f t="shared" si="25"/>
        <v>-3.9039176962274436E-4</v>
      </c>
      <c r="I887" s="88">
        <v>216.18</v>
      </c>
      <c r="J887" s="88">
        <v>219.24549999999999</v>
      </c>
      <c r="K887" s="88">
        <v>213.78</v>
      </c>
      <c r="L887" s="88">
        <v>218.66</v>
      </c>
      <c r="M887" s="89">
        <v>550668</v>
      </c>
      <c r="N887" s="87" t="s">
        <v>906</v>
      </c>
      <c r="O887" s="25">
        <f t="shared" si="26"/>
        <v>-1.1341809201499964E-2</v>
      </c>
    </row>
    <row r="888" spans="1:15">
      <c r="A888" s="88">
        <v>419.79866495110821</v>
      </c>
      <c r="B888" s="88">
        <v>420.1466605285753</v>
      </c>
      <c r="C888" s="88">
        <v>416.48806702413822</v>
      </c>
      <c r="D888" s="88">
        <v>418.68701241197732</v>
      </c>
      <c r="E888" s="89">
        <v>4781032.4835448274</v>
      </c>
      <c r="F888" s="87" t="s">
        <v>907</v>
      </c>
      <c r="G888" s="25">
        <f t="shared" si="25"/>
        <v>2.6550920047099247E-3</v>
      </c>
      <c r="I888" s="88">
        <v>218.97</v>
      </c>
      <c r="J888" s="88">
        <v>219.31</v>
      </c>
      <c r="K888" s="88">
        <v>213.08</v>
      </c>
      <c r="L888" s="88">
        <v>213.59</v>
      </c>
      <c r="M888" s="89">
        <v>661385</v>
      </c>
      <c r="N888" s="87" t="s">
        <v>907</v>
      </c>
      <c r="O888" s="25">
        <f t="shared" si="26"/>
        <v>2.5188445151926642E-2</v>
      </c>
    </row>
    <row r="889" spans="1:15">
      <c r="A889" s="88">
        <v>415.74838309114426</v>
      </c>
      <c r="B889" s="88">
        <v>422.72279445621348</v>
      </c>
      <c r="C889" s="88">
        <v>415.56471875859222</v>
      </c>
      <c r="D889" s="88">
        <v>420.98764984078741</v>
      </c>
      <c r="E889" s="89">
        <v>5982731.8931862405</v>
      </c>
      <c r="F889" s="87" t="s">
        <v>908</v>
      </c>
      <c r="G889" s="25">
        <f t="shared" si="25"/>
        <v>-1.2445179215173074E-2</v>
      </c>
      <c r="I889" s="88">
        <v>207.97</v>
      </c>
      <c r="J889" s="88">
        <v>215.8</v>
      </c>
      <c r="K889" s="88">
        <v>207.85</v>
      </c>
      <c r="L889" s="88">
        <v>214.6</v>
      </c>
      <c r="M889" s="89">
        <v>770382</v>
      </c>
      <c r="N889" s="87" t="s">
        <v>908</v>
      </c>
      <c r="O889" s="25">
        <f t="shared" si="26"/>
        <v>-3.0894687791239495E-2</v>
      </c>
    </row>
    <row r="890" spans="1:15">
      <c r="A890" s="88">
        <v>421.83724239487532</v>
      </c>
      <c r="B890" s="88">
        <v>421.86612282864115</v>
      </c>
      <c r="C890" s="88">
        <v>419.68083667369382</v>
      </c>
      <c r="D890" s="88">
        <v>419.76747797499132</v>
      </c>
      <c r="E890" s="89">
        <v>4218954.6385618532</v>
      </c>
      <c r="F890" s="87" t="s">
        <v>909</v>
      </c>
      <c r="G890" s="25">
        <f t="shared" si="25"/>
        <v>4.9307402990550475E-3</v>
      </c>
      <c r="I890" s="88">
        <v>214.61</v>
      </c>
      <c r="J890" s="88">
        <v>216.12</v>
      </c>
      <c r="K890" s="88">
        <v>210.43</v>
      </c>
      <c r="L890" s="88">
        <v>211.5</v>
      </c>
      <c r="M890" s="89">
        <v>991273</v>
      </c>
      <c r="N890" s="87" t="s">
        <v>909</v>
      </c>
      <c r="O890" s="25">
        <f t="shared" si="26"/>
        <v>1.4704491725768376E-2</v>
      </c>
    </row>
    <row r="891" spans="1:15">
      <c r="A891" s="88">
        <v>419.28613741222756</v>
      </c>
      <c r="B891" s="88">
        <v>420.11404318018117</v>
      </c>
      <c r="C891" s="88">
        <v>418.23681498540265</v>
      </c>
      <c r="D891" s="88">
        <v>418.41972439925286</v>
      </c>
      <c r="E891" s="89">
        <v>4446410.0172886644</v>
      </c>
      <c r="F891" s="87" t="s">
        <v>910</v>
      </c>
      <c r="G891" s="25">
        <f t="shared" si="25"/>
        <v>2.0706791827720394E-3</v>
      </c>
      <c r="I891" s="88">
        <v>209.63</v>
      </c>
      <c r="J891" s="88">
        <v>210.42</v>
      </c>
      <c r="K891" s="88">
        <v>203.54</v>
      </c>
      <c r="L891" s="88">
        <v>205.9</v>
      </c>
      <c r="M891" s="89">
        <v>734179</v>
      </c>
      <c r="N891" s="87" t="s">
        <v>910</v>
      </c>
      <c r="O891" s="25">
        <f t="shared" si="26"/>
        <v>1.8115590092277811E-2</v>
      </c>
    </row>
    <row r="892" spans="1:15">
      <c r="A892" s="88">
        <v>416.92756865468527</v>
      </c>
      <c r="B892" s="88">
        <v>418.04427876029712</v>
      </c>
      <c r="C892" s="88">
        <v>416.10928969798698</v>
      </c>
      <c r="D892" s="88">
        <v>417.02383676723804</v>
      </c>
      <c r="E892" s="89">
        <v>5532507.9704682622</v>
      </c>
      <c r="F892" s="87" t="s">
        <v>911</v>
      </c>
      <c r="G892" s="25">
        <f t="shared" ref="G892:G955" si="27">A892/D892-1</f>
        <v>-2.3084558738661887E-4</v>
      </c>
      <c r="I892" s="88">
        <v>206.97</v>
      </c>
      <c r="J892" s="88">
        <v>208.26499999999999</v>
      </c>
      <c r="K892" s="88">
        <v>204.14</v>
      </c>
      <c r="L892" s="88">
        <v>206.51</v>
      </c>
      <c r="M892" s="89">
        <v>1407098</v>
      </c>
      <c r="N892" s="87" t="s">
        <v>911</v>
      </c>
      <c r="O892" s="25">
        <f t="shared" ref="O892:O955" si="28">I892/L892-1</f>
        <v>2.2274950365599455E-3</v>
      </c>
    </row>
    <row r="893" spans="1:15">
      <c r="A893" s="88">
        <v>417.56293819753341</v>
      </c>
      <c r="B893" s="88">
        <v>419.11689807035981</v>
      </c>
      <c r="C893" s="88">
        <v>415.14660857245951</v>
      </c>
      <c r="D893" s="88">
        <v>418.01539832653134</v>
      </c>
      <c r="E893" s="89">
        <v>8672802.217271572</v>
      </c>
      <c r="F893" s="87" t="s">
        <v>912</v>
      </c>
      <c r="G893" s="25">
        <f t="shared" si="27"/>
        <v>-1.082400626410629E-3</v>
      </c>
      <c r="I893" s="88">
        <v>206.81</v>
      </c>
      <c r="J893" s="88">
        <v>213.86</v>
      </c>
      <c r="K893" s="88">
        <v>206.36</v>
      </c>
      <c r="L893" s="88">
        <v>208.43</v>
      </c>
      <c r="M893" s="89">
        <v>1580655</v>
      </c>
      <c r="N893" s="87" t="s">
        <v>912</v>
      </c>
      <c r="O893" s="25">
        <f t="shared" si="28"/>
        <v>-7.7723936093653245E-3</v>
      </c>
    </row>
    <row r="894" spans="1:15">
      <c r="A894" s="88">
        <v>416.34033316811355</v>
      </c>
      <c r="B894" s="88">
        <v>416.46548171443214</v>
      </c>
      <c r="C894" s="88">
        <v>410.59312684871463</v>
      </c>
      <c r="D894" s="88">
        <v>410.9493188651598</v>
      </c>
      <c r="E894" s="89">
        <v>8994791.4946973287</v>
      </c>
      <c r="F894" s="87" t="s">
        <v>913</v>
      </c>
      <c r="G894" s="25">
        <f t="shared" si="27"/>
        <v>1.3118440779610108E-2</v>
      </c>
      <c r="I894" s="88">
        <v>204.83</v>
      </c>
      <c r="J894" s="88">
        <v>205.05</v>
      </c>
      <c r="K894" s="88">
        <v>195.0025</v>
      </c>
      <c r="L894" s="88">
        <v>196.74</v>
      </c>
      <c r="M894" s="89">
        <v>828817</v>
      </c>
      <c r="N894" s="87" t="s">
        <v>913</v>
      </c>
      <c r="O894" s="25">
        <f t="shared" si="28"/>
        <v>4.1120260241943596E-2</v>
      </c>
    </row>
    <row r="895" spans="1:15">
      <c r="A895" s="88">
        <v>410.74715582879907</v>
      </c>
      <c r="B895" s="88">
        <v>410.74715582879907</v>
      </c>
      <c r="C895" s="88">
        <v>407.47779445839529</v>
      </c>
      <c r="D895" s="88">
        <v>408.38858707125678</v>
      </c>
      <c r="E895" s="89">
        <v>6214474.1819074797</v>
      </c>
      <c r="F895" s="87" t="s">
        <v>914</v>
      </c>
      <c r="G895" s="25">
        <f t="shared" si="27"/>
        <v>5.7753052661355664E-3</v>
      </c>
      <c r="I895" s="88">
        <v>197.29</v>
      </c>
      <c r="J895" s="88">
        <v>198.58500000000001</v>
      </c>
      <c r="K895" s="88">
        <v>193.25</v>
      </c>
      <c r="L895" s="88">
        <v>195.03</v>
      </c>
      <c r="M895" s="89">
        <v>924335</v>
      </c>
      <c r="N895" s="87" t="s">
        <v>914</v>
      </c>
      <c r="O895" s="25">
        <f t="shared" si="28"/>
        <v>1.1587960826539456E-2</v>
      </c>
    </row>
    <row r="896" spans="1:15">
      <c r="A896" s="88">
        <v>408.71589865393611</v>
      </c>
      <c r="B896" s="88">
        <v>408.86030082276523</v>
      </c>
      <c r="C896" s="88">
        <v>406.4632248202019</v>
      </c>
      <c r="D896" s="88">
        <v>406.64613423405211</v>
      </c>
      <c r="E896" s="89">
        <v>5450492.2355521545</v>
      </c>
      <c r="F896" s="87" t="s">
        <v>915</v>
      </c>
      <c r="G896" s="25">
        <f t="shared" si="27"/>
        <v>5.0898416230675814E-3</v>
      </c>
      <c r="I896" s="88">
        <v>195.18</v>
      </c>
      <c r="J896" s="88">
        <v>195.43</v>
      </c>
      <c r="K896" s="88">
        <v>189.27</v>
      </c>
      <c r="L896" s="88">
        <v>193.78</v>
      </c>
      <c r="M896" s="89">
        <v>831670</v>
      </c>
      <c r="N896" s="87" t="s">
        <v>915</v>
      </c>
      <c r="O896" s="25">
        <f t="shared" si="28"/>
        <v>7.2246877902777396E-3</v>
      </c>
    </row>
    <row r="897" spans="1:15">
      <c r="A897" s="88">
        <v>407.13710160807108</v>
      </c>
      <c r="B897" s="88">
        <v>407.57030811455843</v>
      </c>
      <c r="C897" s="88">
        <v>404.47047489035998</v>
      </c>
      <c r="D897" s="88">
        <v>404.68226473797608</v>
      </c>
      <c r="E897" s="89">
        <v>5323962.2800248126</v>
      </c>
      <c r="F897" s="87" t="s">
        <v>916</v>
      </c>
      <c r="G897" s="25">
        <f t="shared" si="27"/>
        <v>6.0660846397220247E-3</v>
      </c>
      <c r="I897" s="88">
        <v>194.66</v>
      </c>
      <c r="J897" s="88">
        <v>198.15</v>
      </c>
      <c r="K897" s="88">
        <v>192.88</v>
      </c>
      <c r="L897" s="88">
        <v>194.54</v>
      </c>
      <c r="M897" s="89">
        <v>886968</v>
      </c>
      <c r="N897" s="87" t="s">
        <v>916</v>
      </c>
      <c r="O897" s="25">
        <f t="shared" si="28"/>
        <v>6.1683972447834634E-4</v>
      </c>
    </row>
    <row r="898" spans="1:15">
      <c r="A898" s="88">
        <v>405.41390239337693</v>
      </c>
      <c r="B898" s="88">
        <v>405.93375020116179</v>
      </c>
      <c r="C898" s="88">
        <v>403.63294231115111</v>
      </c>
      <c r="D898" s="88">
        <v>404.14316330768071</v>
      </c>
      <c r="E898" s="89">
        <v>3374171.2742319303</v>
      </c>
      <c r="F898" s="87" t="s">
        <v>917</v>
      </c>
      <c r="G898" s="25">
        <f t="shared" si="27"/>
        <v>3.1442795550367109E-3</v>
      </c>
      <c r="I898" s="88">
        <v>194.54</v>
      </c>
      <c r="J898" s="88">
        <v>194.75</v>
      </c>
      <c r="K898" s="88">
        <v>188.88</v>
      </c>
      <c r="L898" s="88">
        <v>190.5</v>
      </c>
      <c r="M898" s="89">
        <v>860102</v>
      </c>
      <c r="N898" s="87" t="s">
        <v>917</v>
      </c>
      <c r="O898" s="25">
        <f t="shared" si="28"/>
        <v>2.1207349081364679E-2</v>
      </c>
    </row>
    <row r="899" spans="1:15">
      <c r="A899" s="88">
        <v>402.26593511290218</v>
      </c>
      <c r="B899" s="88">
        <v>405.93375020116179</v>
      </c>
      <c r="C899" s="88">
        <v>401.88086266269113</v>
      </c>
      <c r="D899" s="88">
        <v>405.87598933363012</v>
      </c>
      <c r="E899" s="89">
        <v>4364686.1754953656</v>
      </c>
      <c r="F899" s="87" t="s">
        <v>918</v>
      </c>
      <c r="G899" s="25">
        <f t="shared" si="27"/>
        <v>-8.8944759374777194E-3</v>
      </c>
      <c r="I899" s="88">
        <v>189.3</v>
      </c>
      <c r="J899" s="88">
        <v>194.97</v>
      </c>
      <c r="K899" s="88">
        <v>189.21</v>
      </c>
      <c r="L899" s="88">
        <v>191.21</v>
      </c>
      <c r="M899" s="89">
        <v>704766</v>
      </c>
      <c r="N899" s="87" t="s">
        <v>918</v>
      </c>
      <c r="O899" s="25">
        <f t="shared" si="28"/>
        <v>-9.9890173108100333E-3</v>
      </c>
    </row>
    <row r="900" spans="1:15">
      <c r="A900" s="88">
        <v>403.95062708257524</v>
      </c>
      <c r="B900" s="88">
        <v>404.77853285052885</v>
      </c>
      <c r="C900" s="88">
        <v>402.40071047047599</v>
      </c>
      <c r="D900" s="88">
        <v>402.72802205315531</v>
      </c>
      <c r="E900" s="89">
        <v>3551833.4257634575</v>
      </c>
      <c r="F900" s="87" t="s">
        <v>919</v>
      </c>
      <c r="G900" s="25">
        <f t="shared" si="27"/>
        <v>3.0358081942918336E-3</v>
      </c>
      <c r="I900" s="88">
        <v>191.14</v>
      </c>
      <c r="J900" s="88">
        <v>193.66</v>
      </c>
      <c r="K900" s="88">
        <v>188.42</v>
      </c>
      <c r="L900" s="88">
        <v>192.77</v>
      </c>
      <c r="M900" s="89">
        <v>720666</v>
      </c>
      <c r="N900" s="87" t="s">
        <v>919</v>
      </c>
      <c r="O900" s="25">
        <f t="shared" si="28"/>
        <v>-8.4556725631582674E-3</v>
      </c>
    </row>
    <row r="901" spans="1:15">
      <c r="A901" s="88">
        <v>404.07577562889378</v>
      </c>
      <c r="B901" s="88">
        <v>404.20092417521232</v>
      </c>
      <c r="C901" s="88">
        <v>401.91936990771228</v>
      </c>
      <c r="D901" s="88">
        <v>403.02645320206881</v>
      </c>
      <c r="E901" s="89">
        <v>6031154.9131274801</v>
      </c>
      <c r="F901" s="87" t="s">
        <v>920</v>
      </c>
      <c r="G901" s="25">
        <f t="shared" si="27"/>
        <v>2.603606831482308E-3</v>
      </c>
      <c r="I901" s="88">
        <v>193.99</v>
      </c>
      <c r="J901" s="88">
        <v>197.6</v>
      </c>
      <c r="K901" s="88">
        <v>192.49</v>
      </c>
      <c r="L901" s="88">
        <v>196.14</v>
      </c>
      <c r="M901" s="89">
        <v>876323</v>
      </c>
      <c r="N901" s="87" t="s">
        <v>920</v>
      </c>
      <c r="O901" s="25">
        <f t="shared" si="28"/>
        <v>-1.0961558070765709E-2</v>
      </c>
    </row>
    <row r="902" spans="1:15">
      <c r="A902" s="88">
        <v>406.116659615012</v>
      </c>
      <c r="B902" s="88">
        <v>406.60762698903096</v>
      </c>
      <c r="C902" s="88">
        <v>402.64138075185787</v>
      </c>
      <c r="D902" s="88">
        <v>403.19973580466376</v>
      </c>
      <c r="E902" s="89">
        <v>5166430.3663115269</v>
      </c>
      <c r="F902" s="87" t="s">
        <v>921</v>
      </c>
      <c r="G902" s="25">
        <f t="shared" si="27"/>
        <v>7.2344387937828269E-3</v>
      </c>
      <c r="I902" s="88">
        <v>192.19</v>
      </c>
      <c r="J902" s="88">
        <v>192.5</v>
      </c>
      <c r="K902" s="88">
        <v>185.87</v>
      </c>
      <c r="L902" s="88">
        <v>188.62</v>
      </c>
      <c r="M902" s="89">
        <v>928368</v>
      </c>
      <c r="N902" s="87" t="s">
        <v>921</v>
      </c>
      <c r="O902" s="25">
        <f t="shared" si="28"/>
        <v>1.8926943060120882E-2</v>
      </c>
    </row>
    <row r="903" spans="1:15">
      <c r="A903" s="88">
        <v>403.74846404621439</v>
      </c>
      <c r="B903" s="88">
        <v>404.03726838387269</v>
      </c>
      <c r="C903" s="88">
        <v>401.02407646097174</v>
      </c>
      <c r="D903" s="88">
        <v>402.92055827826084</v>
      </c>
      <c r="E903" s="89">
        <v>4576479.0470843762</v>
      </c>
      <c r="F903" s="87" t="s">
        <v>922</v>
      </c>
      <c r="G903" s="25">
        <f t="shared" si="27"/>
        <v>2.0547617909876248E-3</v>
      </c>
      <c r="I903" s="88">
        <v>189.09</v>
      </c>
      <c r="J903" s="88">
        <v>190.29</v>
      </c>
      <c r="K903" s="88">
        <v>185.73</v>
      </c>
      <c r="L903" s="88">
        <v>188.8</v>
      </c>
      <c r="M903" s="89">
        <v>1293624</v>
      </c>
      <c r="N903" s="87" t="s">
        <v>922</v>
      </c>
      <c r="O903" s="25">
        <f t="shared" si="28"/>
        <v>1.5360169491525077E-3</v>
      </c>
    </row>
    <row r="904" spans="1:15">
      <c r="A904" s="88">
        <v>402.18892062285994</v>
      </c>
      <c r="B904" s="88">
        <v>405.40427558212167</v>
      </c>
      <c r="C904" s="88">
        <v>401.78940795576608</v>
      </c>
      <c r="D904" s="88">
        <v>404.38325598038722</v>
      </c>
      <c r="E904" s="89">
        <v>4251270.6351832207</v>
      </c>
      <c r="F904" s="87" t="s">
        <v>923</v>
      </c>
      <c r="G904" s="25">
        <f t="shared" si="27"/>
        <v>-5.4263754126202546E-3</v>
      </c>
      <c r="I904" s="88">
        <v>188.92</v>
      </c>
      <c r="J904" s="88">
        <v>194.87</v>
      </c>
      <c r="K904" s="88">
        <v>187.16</v>
      </c>
      <c r="L904" s="88">
        <v>187.16</v>
      </c>
      <c r="M904" s="89">
        <v>878100</v>
      </c>
      <c r="N904" s="87" t="s">
        <v>923</v>
      </c>
      <c r="O904" s="25">
        <f t="shared" si="28"/>
        <v>9.4037187433211322E-3</v>
      </c>
    </row>
    <row r="905" spans="1:15">
      <c r="A905" s="88">
        <v>402.4488445267524</v>
      </c>
      <c r="B905" s="88">
        <v>403.60406187738533</v>
      </c>
      <c r="C905" s="88">
        <v>401.15885181854554</v>
      </c>
      <c r="D905" s="88">
        <v>401.6786996263304</v>
      </c>
      <c r="E905" s="89">
        <v>3513564.2637085612</v>
      </c>
      <c r="F905" s="87" t="s">
        <v>924</v>
      </c>
      <c r="G905" s="25">
        <f t="shared" si="27"/>
        <v>1.9173157579390754E-3</v>
      </c>
      <c r="I905" s="88">
        <v>185.72</v>
      </c>
      <c r="J905" s="88">
        <v>188.32</v>
      </c>
      <c r="K905" s="88">
        <v>182.77</v>
      </c>
      <c r="L905" s="88">
        <v>186.11</v>
      </c>
      <c r="M905" s="89">
        <v>927104</v>
      </c>
      <c r="N905" s="87" t="s">
        <v>924</v>
      </c>
      <c r="O905" s="25">
        <f t="shared" si="28"/>
        <v>-2.095534898715945E-3</v>
      </c>
    </row>
    <row r="906" spans="1:15">
      <c r="A906" s="88">
        <v>402.05414526528608</v>
      </c>
      <c r="B906" s="88">
        <v>402.90833222796664</v>
      </c>
      <c r="C906" s="88">
        <v>401.65944600381988</v>
      </c>
      <c r="D906" s="88">
        <v>402.19854743411526</v>
      </c>
      <c r="E906" s="89">
        <v>3773369.9183202735</v>
      </c>
      <c r="F906" s="87" t="s">
        <v>925</v>
      </c>
      <c r="G906" s="25">
        <f t="shared" si="27"/>
        <v>-3.5903204959442103E-4</v>
      </c>
      <c r="I906" s="88">
        <v>187.74</v>
      </c>
      <c r="J906" s="88">
        <v>189.6</v>
      </c>
      <c r="K906" s="88">
        <v>185.28</v>
      </c>
      <c r="L906" s="88">
        <v>186.78</v>
      </c>
      <c r="M906" s="89">
        <v>964822</v>
      </c>
      <c r="N906" s="87" t="s">
        <v>925</v>
      </c>
      <c r="O906" s="25">
        <f t="shared" si="28"/>
        <v>5.1397365884999768E-3</v>
      </c>
    </row>
    <row r="907" spans="1:15">
      <c r="A907" s="88">
        <v>402.75690248692115</v>
      </c>
      <c r="B907" s="88">
        <v>402.87242422198449</v>
      </c>
      <c r="C907" s="88">
        <v>402.24668149039161</v>
      </c>
      <c r="D907" s="88">
        <v>402.5836198843262</v>
      </c>
      <c r="E907" s="89">
        <v>1403654.8179540094</v>
      </c>
      <c r="F907" s="87" t="s">
        <v>926</v>
      </c>
      <c r="G907" s="25">
        <f t="shared" si="27"/>
        <v>4.304263612233683E-4</v>
      </c>
      <c r="I907" s="88">
        <v>187.95</v>
      </c>
      <c r="J907" s="88">
        <v>189.9649</v>
      </c>
      <c r="K907" s="88">
        <v>185.84</v>
      </c>
      <c r="L907" s="88">
        <v>186</v>
      </c>
      <c r="M907" s="89">
        <v>475596</v>
      </c>
      <c r="N907" s="87" t="s">
        <v>926</v>
      </c>
      <c r="O907" s="25">
        <f t="shared" si="28"/>
        <v>1.0483870967741948E-2</v>
      </c>
    </row>
    <row r="908" spans="1:15">
      <c r="A908" s="88">
        <v>402.53548582804984</v>
      </c>
      <c r="B908" s="88">
        <v>403.66182274491695</v>
      </c>
      <c r="C908" s="88">
        <v>401.49579021248019</v>
      </c>
      <c r="D908" s="88">
        <v>402.46809814926291</v>
      </c>
      <c r="E908" s="89">
        <v>3837266.4655453968</v>
      </c>
      <c r="F908" s="87" t="s">
        <v>927</v>
      </c>
      <c r="G908" s="25">
        <f t="shared" si="27"/>
        <v>1.6743607529834392E-4</v>
      </c>
      <c r="I908" s="88">
        <v>186.31</v>
      </c>
      <c r="J908" s="88">
        <v>187.59</v>
      </c>
      <c r="K908" s="88">
        <v>181.62</v>
      </c>
      <c r="L908" s="88">
        <v>182.32</v>
      </c>
      <c r="M908" s="89">
        <v>886395</v>
      </c>
      <c r="N908" s="87" t="s">
        <v>927</v>
      </c>
      <c r="O908" s="25">
        <f t="shared" si="28"/>
        <v>2.1884598508117747E-2</v>
      </c>
    </row>
    <row r="909" spans="1:15">
      <c r="A909" s="88">
        <v>400.80265980210038</v>
      </c>
      <c r="B909" s="88">
        <v>401.28400036486414</v>
      </c>
      <c r="C909" s="88">
        <v>399.80147143155187</v>
      </c>
      <c r="D909" s="88">
        <v>400.86042066963205</v>
      </c>
      <c r="E909" s="89">
        <v>5451635.9164354755</v>
      </c>
      <c r="F909" s="87" t="s">
        <v>928</v>
      </c>
      <c r="G909" s="25">
        <f t="shared" si="27"/>
        <v>-1.4409221902023095E-4</v>
      </c>
      <c r="I909" s="88">
        <v>181.32</v>
      </c>
      <c r="J909" s="88">
        <v>183.715</v>
      </c>
      <c r="K909" s="88">
        <v>179.24690000000001</v>
      </c>
      <c r="L909" s="88">
        <v>180.36</v>
      </c>
      <c r="M909" s="89">
        <v>1174747</v>
      </c>
      <c r="N909" s="87" t="s">
        <v>928</v>
      </c>
      <c r="O909" s="25">
        <f t="shared" si="28"/>
        <v>5.3226879574184149E-3</v>
      </c>
    </row>
    <row r="910" spans="1:15">
      <c r="A910" s="88">
        <v>401.85198222892535</v>
      </c>
      <c r="B910" s="88">
        <v>402.59324669558146</v>
      </c>
      <c r="C910" s="88">
        <v>398.53063607774305</v>
      </c>
      <c r="D910" s="88">
        <v>398.54035915711091</v>
      </c>
      <c r="E910" s="89">
        <v>3661037.8104888769</v>
      </c>
      <c r="F910" s="87" t="s">
        <v>929</v>
      </c>
      <c r="G910" s="25">
        <f t="shared" si="27"/>
        <v>8.3093794536099885E-3</v>
      </c>
      <c r="I910" s="88">
        <v>181.26</v>
      </c>
      <c r="J910" s="88">
        <v>181.65</v>
      </c>
      <c r="K910" s="88">
        <v>172.61</v>
      </c>
      <c r="L910" s="88">
        <v>173.85</v>
      </c>
      <c r="M910" s="89">
        <v>2448699</v>
      </c>
      <c r="N910" s="87" t="s">
        <v>929</v>
      </c>
      <c r="O910" s="25">
        <f t="shared" si="28"/>
        <v>4.2622950819672045E-2</v>
      </c>
    </row>
    <row r="911" spans="1:15">
      <c r="A911" s="88">
        <v>398.84841711727972</v>
      </c>
      <c r="B911" s="88">
        <v>399.31050405753291</v>
      </c>
      <c r="C911" s="88">
        <v>397.46215629652016</v>
      </c>
      <c r="D911" s="88">
        <v>398.49222510083456</v>
      </c>
      <c r="E911" s="89">
        <v>4882342.5279318597</v>
      </c>
      <c r="F911" s="87" t="s">
        <v>930</v>
      </c>
      <c r="G911" s="25">
        <f t="shared" si="27"/>
        <v>8.9384935014735767E-4</v>
      </c>
      <c r="I911" s="88">
        <v>174.06</v>
      </c>
      <c r="J911" s="88">
        <v>177.34</v>
      </c>
      <c r="K911" s="88">
        <v>173.05</v>
      </c>
      <c r="L911" s="88">
        <v>176.72</v>
      </c>
      <c r="M911" s="89">
        <v>1997778</v>
      </c>
      <c r="N911" s="87" t="s">
        <v>930</v>
      </c>
      <c r="O911" s="25">
        <f t="shared" si="28"/>
        <v>-1.5052059755545466E-2</v>
      </c>
    </row>
    <row r="912" spans="1:15">
      <c r="A912" s="88">
        <v>398.26118163070794</v>
      </c>
      <c r="B912" s="88">
        <v>398.50185191208982</v>
      </c>
      <c r="C912" s="88">
        <v>396.38395343592941</v>
      </c>
      <c r="D912" s="88">
        <v>397.33700775020162</v>
      </c>
      <c r="E912" s="89">
        <v>3946155.0655400902</v>
      </c>
      <c r="F912" s="87" t="s">
        <v>931</v>
      </c>
      <c r="G912" s="25">
        <f t="shared" si="27"/>
        <v>2.3259194650384618E-3</v>
      </c>
      <c r="I912" s="88">
        <v>174.76</v>
      </c>
      <c r="J912" s="88">
        <v>176.26</v>
      </c>
      <c r="K912" s="88">
        <v>170.64</v>
      </c>
      <c r="L912" s="88">
        <v>173.22</v>
      </c>
      <c r="M912" s="89">
        <v>1859894</v>
      </c>
      <c r="N912" s="87" t="s">
        <v>931</v>
      </c>
      <c r="O912" s="25">
        <f t="shared" si="28"/>
        <v>8.8904283570025999E-3</v>
      </c>
    </row>
    <row r="913" spans="1:15">
      <c r="A913" s="88">
        <v>397.70282657790204</v>
      </c>
      <c r="B913" s="88">
        <v>399.24311637874598</v>
      </c>
      <c r="C913" s="88">
        <v>396.98081573375646</v>
      </c>
      <c r="D913" s="88">
        <v>398.10715265062356</v>
      </c>
      <c r="E913" s="89">
        <v>4585949.4727094807</v>
      </c>
      <c r="F913" s="87" t="s">
        <v>932</v>
      </c>
      <c r="G913" s="25">
        <f t="shared" si="27"/>
        <v>-1.0156212216472227E-3</v>
      </c>
      <c r="I913" s="88">
        <v>173.49</v>
      </c>
      <c r="J913" s="88">
        <v>177.59</v>
      </c>
      <c r="K913" s="88">
        <v>171.02</v>
      </c>
      <c r="L913" s="88">
        <v>172.72</v>
      </c>
      <c r="M913" s="89">
        <v>2240269</v>
      </c>
      <c r="N913" s="87" t="s">
        <v>932</v>
      </c>
      <c r="O913" s="25">
        <f t="shared" si="28"/>
        <v>4.458082445576661E-3</v>
      </c>
    </row>
    <row r="914" spans="1:15">
      <c r="A914" s="88">
        <v>396.83641356492734</v>
      </c>
      <c r="B914" s="88">
        <v>398.07827221685773</v>
      </c>
      <c r="C914" s="88">
        <v>394.58913074549605</v>
      </c>
      <c r="D914" s="88">
        <v>394.73776871127751</v>
      </c>
      <c r="E914" s="89">
        <v>7243431.7190745994</v>
      </c>
      <c r="F914" s="87" t="s">
        <v>933</v>
      </c>
      <c r="G914" s="25">
        <f t="shared" si="27"/>
        <v>5.3165544824893551E-3</v>
      </c>
      <c r="I914" s="88">
        <v>172.95</v>
      </c>
      <c r="J914" s="88">
        <v>174.87</v>
      </c>
      <c r="K914" s="88">
        <v>168.66</v>
      </c>
      <c r="L914" s="88">
        <v>168.66</v>
      </c>
      <c r="M914" s="89">
        <v>2224346</v>
      </c>
      <c r="N914" s="87" t="s">
        <v>933</v>
      </c>
      <c r="O914" s="25">
        <f t="shared" si="28"/>
        <v>2.5435787975809365E-2</v>
      </c>
    </row>
    <row r="915" spans="1:15">
      <c r="A915" s="88">
        <v>389.35638121957896</v>
      </c>
      <c r="B915" s="88">
        <v>390.35756959012758</v>
      </c>
      <c r="C915" s="88">
        <v>387.78721098496925</v>
      </c>
      <c r="D915" s="88">
        <v>388.52847545162535</v>
      </c>
      <c r="E915" s="89">
        <v>2984312.1713079303</v>
      </c>
      <c r="F915" s="87" t="s">
        <v>934</v>
      </c>
      <c r="G915" s="25">
        <f t="shared" si="27"/>
        <v>2.1308753933446667E-3</v>
      </c>
      <c r="I915" s="88">
        <v>163.71</v>
      </c>
      <c r="J915" s="88">
        <v>169.91499999999999</v>
      </c>
      <c r="K915" s="88">
        <v>156</v>
      </c>
      <c r="L915" s="88">
        <v>158.99</v>
      </c>
      <c r="M915" s="89">
        <v>2705085</v>
      </c>
      <c r="N915" s="87" t="s">
        <v>934</v>
      </c>
      <c r="O915" s="25">
        <f t="shared" si="28"/>
        <v>2.9687401723378803E-2</v>
      </c>
    </row>
    <row r="916" spans="1:15">
      <c r="A916" s="88">
        <v>389.75108048104528</v>
      </c>
      <c r="B916" s="88">
        <v>389.99078808130156</v>
      </c>
      <c r="C916" s="88">
        <v>384.24454444302819</v>
      </c>
      <c r="D916" s="88">
        <v>385.64043207504301</v>
      </c>
      <c r="E916" s="89">
        <v>4149285.6711109201</v>
      </c>
      <c r="F916" s="87" t="s">
        <v>935</v>
      </c>
      <c r="G916" s="25">
        <f t="shared" si="27"/>
        <v>1.065927756559093E-2</v>
      </c>
      <c r="I916" s="88">
        <v>155.1</v>
      </c>
      <c r="J916" s="88">
        <v>157.63999999999999</v>
      </c>
      <c r="K916" s="88">
        <v>152.04</v>
      </c>
      <c r="L916" s="88">
        <v>152.69</v>
      </c>
      <c r="M916" s="89">
        <v>1188130</v>
      </c>
      <c r="N916" s="87" t="s">
        <v>935</v>
      </c>
      <c r="O916" s="25">
        <f t="shared" si="28"/>
        <v>1.5783613858143974E-2</v>
      </c>
    </row>
    <row r="917" spans="1:15">
      <c r="A917" s="88">
        <v>383.76320388026448</v>
      </c>
      <c r="B917" s="88">
        <v>387.84497185250086</v>
      </c>
      <c r="C917" s="88">
        <v>383.34925099628765</v>
      </c>
      <c r="D917" s="88">
        <v>387.77758417371399</v>
      </c>
      <c r="E917" s="89">
        <v>4306322.0936513226</v>
      </c>
      <c r="F917" s="87" t="s">
        <v>936</v>
      </c>
      <c r="G917" s="25">
        <f t="shared" si="27"/>
        <v>-1.0352275266254596E-2</v>
      </c>
      <c r="I917" s="88">
        <v>152.88</v>
      </c>
      <c r="J917" s="88">
        <v>156.95249999999999</v>
      </c>
      <c r="K917" s="88">
        <v>151.56</v>
      </c>
      <c r="L917" s="88">
        <v>155.22</v>
      </c>
      <c r="M917" s="89">
        <v>752950</v>
      </c>
      <c r="N917" s="87" t="s">
        <v>936</v>
      </c>
      <c r="O917" s="25">
        <f t="shared" si="28"/>
        <v>-1.5075376884422176E-2</v>
      </c>
    </row>
    <row r="918" spans="1:15">
      <c r="A918" s="88">
        <v>386.68012769061266</v>
      </c>
      <c r="B918" s="88">
        <v>387.48165599572678</v>
      </c>
      <c r="C918" s="88">
        <v>384.64887051574976</v>
      </c>
      <c r="D918" s="88">
        <v>386.98818565078147</v>
      </c>
      <c r="E918" s="89">
        <v>3876525.5711804978</v>
      </c>
      <c r="F918" s="87" t="s">
        <v>937</v>
      </c>
      <c r="G918" s="25">
        <f t="shared" si="27"/>
        <v>-7.9603970248021128E-4</v>
      </c>
      <c r="I918" s="88">
        <v>154.97</v>
      </c>
      <c r="J918" s="88">
        <v>160.96</v>
      </c>
      <c r="K918" s="88">
        <v>153.94999999999999</v>
      </c>
      <c r="L918" s="88">
        <v>160.87</v>
      </c>
      <c r="M918" s="89">
        <v>1174216</v>
      </c>
      <c r="N918" s="87" t="s">
        <v>937</v>
      </c>
      <c r="O918" s="25">
        <f t="shared" si="28"/>
        <v>-3.667557655249587E-2</v>
      </c>
    </row>
    <row r="919" spans="1:15">
      <c r="A919" s="88">
        <v>386.3624429191886</v>
      </c>
      <c r="B919" s="88">
        <v>387.03631970705783</v>
      </c>
      <c r="C919" s="88">
        <v>384.33118574432569</v>
      </c>
      <c r="D919" s="88">
        <v>385.32274730361894</v>
      </c>
      <c r="E919" s="89">
        <v>3488775.1623465451</v>
      </c>
      <c r="F919" s="87" t="s">
        <v>938</v>
      </c>
      <c r="G919" s="25">
        <f t="shared" si="27"/>
        <v>2.6982461400089086E-3</v>
      </c>
      <c r="I919" s="88">
        <v>161.87</v>
      </c>
      <c r="J919" s="88">
        <v>163.86</v>
      </c>
      <c r="K919" s="88">
        <v>158.61000000000001</v>
      </c>
      <c r="L919" s="88">
        <v>159.18</v>
      </c>
      <c r="M919" s="89">
        <v>986136</v>
      </c>
      <c r="N919" s="87" t="s">
        <v>938</v>
      </c>
      <c r="O919" s="25">
        <f t="shared" si="28"/>
        <v>1.6899107928131762E-2</v>
      </c>
    </row>
    <row r="920" spans="1:15">
      <c r="A920" s="88">
        <v>385.27461324734259</v>
      </c>
      <c r="B920" s="88">
        <v>385.77809547599344</v>
      </c>
      <c r="C920" s="88">
        <v>383.58992127766953</v>
      </c>
      <c r="D920" s="88">
        <v>385.18797194604514</v>
      </c>
      <c r="E920" s="89">
        <v>4162442.6757141422</v>
      </c>
      <c r="F920" s="87" t="s">
        <v>939</v>
      </c>
      <c r="G920" s="25">
        <f t="shared" si="27"/>
        <v>2.2493252024391452E-4</v>
      </c>
      <c r="I920" s="88">
        <v>158.91999999999999</v>
      </c>
      <c r="J920" s="88">
        <v>169.53</v>
      </c>
      <c r="K920" s="88">
        <v>157.05000000000001</v>
      </c>
      <c r="L920" s="88">
        <v>163.36000000000001</v>
      </c>
      <c r="M920" s="89">
        <v>1446528</v>
      </c>
      <c r="N920" s="87" t="s">
        <v>939</v>
      </c>
      <c r="O920" s="25">
        <f t="shared" si="28"/>
        <v>-2.7179236043095134E-2</v>
      </c>
    </row>
    <row r="921" spans="1:15">
      <c r="A921" s="88">
        <v>384.53334878068642</v>
      </c>
      <c r="B921" s="88">
        <v>385.89072916768021</v>
      </c>
      <c r="C921" s="88">
        <v>382.99305897984249</v>
      </c>
      <c r="D921" s="88">
        <v>383.07007346988473</v>
      </c>
      <c r="E921" s="89">
        <v>6213308.6869473653</v>
      </c>
      <c r="F921" s="87" t="s">
        <v>940</v>
      </c>
      <c r="G921" s="25">
        <f t="shared" si="27"/>
        <v>3.8198632891033313E-3</v>
      </c>
      <c r="I921" s="88">
        <v>162.58000000000001</v>
      </c>
      <c r="J921" s="88">
        <v>168.995</v>
      </c>
      <c r="K921" s="88">
        <v>155.9</v>
      </c>
      <c r="L921" s="88">
        <v>156</v>
      </c>
      <c r="M921" s="89">
        <v>2593272</v>
      </c>
      <c r="N921" s="87" t="s">
        <v>940</v>
      </c>
      <c r="O921" s="25">
        <f t="shared" si="28"/>
        <v>4.2179487179487163E-2</v>
      </c>
    </row>
    <row r="922" spans="1:15">
      <c r="A922" s="88">
        <v>381.00993586125594</v>
      </c>
      <c r="B922" s="88">
        <v>381.13469933512431</v>
      </c>
      <c r="C922" s="88">
        <v>377.29398671671998</v>
      </c>
      <c r="D922" s="88">
        <v>377.30361352797524</v>
      </c>
      <c r="E922" s="89">
        <v>4936384.3062740862</v>
      </c>
      <c r="F922" s="87" t="s">
        <v>941</v>
      </c>
      <c r="G922" s="25">
        <f t="shared" si="27"/>
        <v>9.8231827111983083E-3</v>
      </c>
      <c r="I922" s="88">
        <v>140.44</v>
      </c>
      <c r="J922" s="88">
        <v>141.73500000000001</v>
      </c>
      <c r="K922" s="88">
        <v>137.685</v>
      </c>
      <c r="L922" s="88">
        <v>137.74</v>
      </c>
      <c r="M922" s="89">
        <v>1498045</v>
      </c>
      <c r="N922" s="87" t="s">
        <v>941</v>
      </c>
      <c r="O922" s="25">
        <f t="shared" si="28"/>
        <v>1.9602148976332057E-2</v>
      </c>
    </row>
    <row r="923" spans="1:15">
      <c r="A923" s="88">
        <v>373.9053491548633</v>
      </c>
      <c r="B923" s="88">
        <v>374.55997232022202</v>
      </c>
      <c r="C923" s="88">
        <v>370.26641450036959</v>
      </c>
      <c r="D923" s="88">
        <v>370.71887462936746</v>
      </c>
      <c r="E923" s="89">
        <v>5764275.265041274</v>
      </c>
      <c r="F923" s="87" t="s">
        <v>942</v>
      </c>
      <c r="G923" s="25">
        <f t="shared" si="27"/>
        <v>8.5953932846865033E-3</v>
      </c>
      <c r="I923" s="88">
        <v>137.72</v>
      </c>
      <c r="J923" s="88">
        <v>138.04</v>
      </c>
      <c r="K923" s="88">
        <v>128.68</v>
      </c>
      <c r="L923" s="88">
        <v>132.31</v>
      </c>
      <c r="M923" s="89">
        <v>1342425</v>
      </c>
      <c r="N923" s="87" t="s">
        <v>942</v>
      </c>
      <c r="O923" s="25">
        <f t="shared" si="28"/>
        <v>4.0888821706598133E-2</v>
      </c>
    </row>
    <row r="924" spans="1:15">
      <c r="A924" s="88">
        <v>369.83320799388224</v>
      </c>
      <c r="B924" s="88">
        <v>370.13163914279573</v>
      </c>
      <c r="C924" s="88">
        <v>366.35792913072811</v>
      </c>
      <c r="D924" s="88">
        <v>368.08112834542226</v>
      </c>
      <c r="E924" s="89">
        <v>4698502.8376054978</v>
      </c>
      <c r="F924" s="87" t="s">
        <v>943</v>
      </c>
      <c r="G924" s="25">
        <f t="shared" si="27"/>
        <v>4.7600366156663743E-3</v>
      </c>
      <c r="I924" s="88">
        <v>132.57</v>
      </c>
      <c r="J924" s="88">
        <v>134.02000000000001</v>
      </c>
      <c r="K924" s="88">
        <v>131.35</v>
      </c>
      <c r="L924" s="88">
        <v>131.77000000000001</v>
      </c>
      <c r="M924" s="89">
        <v>867719</v>
      </c>
      <c r="N924" s="87" t="s">
        <v>943</v>
      </c>
      <c r="O924" s="25">
        <f t="shared" si="28"/>
        <v>6.0711846399026381E-3</v>
      </c>
    </row>
    <row r="925" spans="1:15">
      <c r="A925" s="88">
        <v>367.60941459391381</v>
      </c>
      <c r="B925" s="88">
        <v>368.51433485190961</v>
      </c>
      <c r="C925" s="88">
        <v>364.57696904850229</v>
      </c>
      <c r="D925" s="88">
        <v>365.73218639913529</v>
      </c>
      <c r="E925" s="89">
        <v>6020436.9300628938</v>
      </c>
      <c r="F925" s="87" t="s">
        <v>944</v>
      </c>
      <c r="G925" s="25">
        <f t="shared" si="27"/>
        <v>5.1327946092494248E-3</v>
      </c>
      <c r="I925" s="88">
        <v>130.76</v>
      </c>
      <c r="J925" s="88">
        <v>135.43</v>
      </c>
      <c r="K925" s="88">
        <v>129.07</v>
      </c>
      <c r="L925" s="88">
        <v>134.61000000000001</v>
      </c>
      <c r="M925" s="89">
        <v>1095928</v>
      </c>
      <c r="N925" s="87" t="s">
        <v>944</v>
      </c>
      <c r="O925" s="25">
        <f t="shared" si="28"/>
        <v>-2.8601144045761973E-2</v>
      </c>
    </row>
    <row r="926" spans="1:15">
      <c r="A926" s="88">
        <v>363.23884228401914</v>
      </c>
      <c r="B926" s="88">
        <v>366.67561390215218</v>
      </c>
      <c r="C926" s="88">
        <v>361.91515573641891</v>
      </c>
      <c r="D926" s="88">
        <v>366.32904869696227</v>
      </c>
      <c r="E926" s="89">
        <v>5857341.3880016794</v>
      </c>
      <c r="F926" s="87" t="s">
        <v>945</v>
      </c>
      <c r="G926" s="25">
        <f t="shared" si="27"/>
        <v>-8.4356029747982841E-3</v>
      </c>
      <c r="I926" s="88">
        <v>133.43</v>
      </c>
      <c r="J926" s="88">
        <v>145.97999999999999</v>
      </c>
      <c r="K926" s="88">
        <v>131.28</v>
      </c>
      <c r="L926" s="88">
        <v>145</v>
      </c>
      <c r="M926" s="89">
        <v>1591567</v>
      </c>
      <c r="N926" s="87" t="s">
        <v>945</v>
      </c>
      <c r="O926" s="25">
        <f t="shared" si="28"/>
        <v>-7.9793103448275837E-2</v>
      </c>
    </row>
    <row r="927" spans="1:15">
      <c r="A927" s="88">
        <v>364.85614657490527</v>
      </c>
      <c r="B927" s="88">
        <v>369.08915175196205</v>
      </c>
      <c r="C927" s="88">
        <v>364.03786761820692</v>
      </c>
      <c r="D927" s="88">
        <v>368.35067906056992</v>
      </c>
      <c r="E927" s="89">
        <v>7229186.0881628199</v>
      </c>
      <c r="F927" s="87" t="s">
        <v>946</v>
      </c>
      <c r="G927" s="25">
        <f t="shared" si="27"/>
        <v>-9.4869717481640414E-3</v>
      </c>
      <c r="I927" s="88">
        <v>135.13999999999999</v>
      </c>
      <c r="J927" s="88">
        <v>140.13999999999999</v>
      </c>
      <c r="K927" s="88">
        <v>134.85499999999999</v>
      </c>
      <c r="L927" s="88">
        <v>139.61000000000001</v>
      </c>
      <c r="M927" s="89">
        <v>1141091</v>
      </c>
      <c r="N927" s="87" t="s">
        <v>946</v>
      </c>
      <c r="O927" s="25">
        <f t="shared" si="28"/>
        <v>-3.2017763770503693E-2</v>
      </c>
    </row>
    <row r="928" spans="1:15">
      <c r="A928" s="88">
        <v>369.39037467613957</v>
      </c>
      <c r="B928" s="88">
        <v>373.21221874448361</v>
      </c>
      <c r="C928" s="88">
        <v>368.82239281207842</v>
      </c>
      <c r="D928" s="88">
        <v>373.13520425444142</v>
      </c>
      <c r="E928" s="89">
        <v>5683308.6833423823</v>
      </c>
      <c r="F928" s="87" t="s">
        <v>947</v>
      </c>
      <c r="G928" s="25">
        <f t="shared" si="27"/>
        <v>-1.0036119711042457E-2</v>
      </c>
      <c r="I928" s="88">
        <v>139.63999999999999</v>
      </c>
      <c r="J928" s="88">
        <v>140.9</v>
      </c>
      <c r="K928" s="88">
        <v>135.88</v>
      </c>
      <c r="L928" s="88">
        <v>139.5</v>
      </c>
      <c r="M928" s="89">
        <v>1047461</v>
      </c>
      <c r="N928" s="87" t="s">
        <v>947</v>
      </c>
      <c r="O928" s="25">
        <f t="shared" si="28"/>
        <v>1.0035842293905084E-3</v>
      </c>
    </row>
    <row r="929" spans="1:15">
      <c r="A929" s="88">
        <v>374.6754940552853</v>
      </c>
      <c r="B929" s="88">
        <v>375.69593604834438</v>
      </c>
      <c r="C929" s="88">
        <v>372.12438907263754</v>
      </c>
      <c r="D929" s="88">
        <v>373.78982741980002</v>
      </c>
      <c r="E929" s="89">
        <v>4624078.4014135618</v>
      </c>
      <c r="F929" s="87" t="s">
        <v>948</v>
      </c>
      <c r="G929" s="25">
        <f t="shared" si="27"/>
        <v>2.3694241269187621E-3</v>
      </c>
      <c r="I929" s="88">
        <v>141</v>
      </c>
      <c r="J929" s="88">
        <v>147.495</v>
      </c>
      <c r="K929" s="88">
        <v>139.88</v>
      </c>
      <c r="L929" s="88">
        <v>145.53</v>
      </c>
      <c r="M929" s="89">
        <v>1126057</v>
      </c>
      <c r="N929" s="87" t="s">
        <v>948</v>
      </c>
      <c r="O929" s="25">
        <f t="shared" si="28"/>
        <v>-3.1127602556173972E-2</v>
      </c>
    </row>
    <row r="930" spans="1:15">
      <c r="A930" s="88">
        <v>371.89334560251098</v>
      </c>
      <c r="B930" s="88">
        <v>375.38787808817563</v>
      </c>
      <c r="C930" s="88">
        <v>369.52515003371343</v>
      </c>
      <c r="D930" s="88">
        <v>371.0943202683232</v>
      </c>
      <c r="E930" s="89">
        <v>5751780.9928663522</v>
      </c>
      <c r="F930" s="87" t="s">
        <v>949</v>
      </c>
      <c r="G930" s="25">
        <f t="shared" si="27"/>
        <v>2.1531596970010281E-3</v>
      </c>
      <c r="I930" s="88">
        <v>147</v>
      </c>
      <c r="J930" s="88">
        <v>148.07</v>
      </c>
      <c r="K930" s="88">
        <v>143.03</v>
      </c>
      <c r="L930" s="88">
        <v>143.03</v>
      </c>
      <c r="M930" s="89">
        <v>941517</v>
      </c>
      <c r="N930" s="87" t="s">
        <v>949</v>
      </c>
      <c r="O930" s="25">
        <f t="shared" si="28"/>
        <v>2.7756414738166812E-2</v>
      </c>
    </row>
    <row r="931" spans="1:15">
      <c r="A931" s="88">
        <v>372.54796876786963</v>
      </c>
      <c r="B931" s="88">
        <v>377.19771860416722</v>
      </c>
      <c r="C931" s="88">
        <v>372.40356659904052</v>
      </c>
      <c r="D931" s="88">
        <v>376.77413890893519</v>
      </c>
      <c r="E931" s="89">
        <v>7842279.0265712896</v>
      </c>
      <c r="F931" s="87" t="s">
        <v>950</v>
      </c>
      <c r="G931" s="25">
        <f t="shared" si="27"/>
        <v>-1.1216720322959839E-2</v>
      </c>
      <c r="I931" s="88">
        <v>144.72999999999999</v>
      </c>
      <c r="J931" s="88">
        <v>147.79</v>
      </c>
      <c r="K931" s="88">
        <v>144.22</v>
      </c>
      <c r="L931" s="88">
        <v>145.30000000000001</v>
      </c>
      <c r="M931" s="89">
        <v>1521463</v>
      </c>
      <c r="N931" s="87" t="s">
        <v>950</v>
      </c>
      <c r="O931" s="25">
        <f t="shared" si="28"/>
        <v>-3.9229181004819536E-3</v>
      </c>
    </row>
    <row r="932" spans="1:15">
      <c r="A932" s="88">
        <v>377.24585266044363</v>
      </c>
      <c r="B932" s="88">
        <v>382.76201550971598</v>
      </c>
      <c r="C932" s="88">
        <v>376.53828203318091</v>
      </c>
      <c r="D932" s="88">
        <v>381.19284527510621</v>
      </c>
      <c r="E932" s="89">
        <v>6968977.3925132072</v>
      </c>
      <c r="F932" s="87" t="s">
        <v>951</v>
      </c>
      <c r="G932" s="25">
        <f t="shared" si="27"/>
        <v>-1.0354319771699871E-2</v>
      </c>
      <c r="I932" s="88">
        <v>145.24</v>
      </c>
      <c r="J932" s="88">
        <v>147.56</v>
      </c>
      <c r="K932" s="88">
        <v>140.66</v>
      </c>
      <c r="L932" s="88">
        <v>144.41999999999999</v>
      </c>
      <c r="M932" s="89">
        <v>1717713</v>
      </c>
      <c r="N932" s="87" t="s">
        <v>951</v>
      </c>
      <c r="O932" s="25">
        <f t="shared" si="28"/>
        <v>5.6778839495916777E-3</v>
      </c>
    </row>
    <row r="933" spans="1:15">
      <c r="A933" s="88">
        <v>380.47083443096062</v>
      </c>
      <c r="B933" s="88">
        <v>384.88954079713159</v>
      </c>
      <c r="C933" s="88">
        <v>379.50815330543315</v>
      </c>
      <c r="D933" s="88">
        <v>384.00387416164631</v>
      </c>
      <c r="E933" s="89">
        <v>7613383.9187761014</v>
      </c>
      <c r="F933" s="87" t="s">
        <v>952</v>
      </c>
      <c r="G933" s="25">
        <f t="shared" si="27"/>
        <v>-9.2005314748424549E-3</v>
      </c>
      <c r="I933" s="88">
        <v>144.87</v>
      </c>
      <c r="J933" s="88">
        <v>148.22</v>
      </c>
      <c r="K933" s="88">
        <v>141.59</v>
      </c>
      <c r="L933" s="88">
        <v>141.69</v>
      </c>
      <c r="M933" s="89">
        <v>1615886</v>
      </c>
      <c r="N933" s="87" t="s">
        <v>952</v>
      </c>
      <c r="O933" s="25">
        <f t="shared" si="28"/>
        <v>2.244336226974375E-2</v>
      </c>
    </row>
    <row r="934" spans="1:15">
      <c r="A934" s="88">
        <v>385.63080526378775</v>
      </c>
      <c r="B934" s="88">
        <v>387.47915302480044</v>
      </c>
      <c r="C934" s="88">
        <v>382.48043128049915</v>
      </c>
      <c r="D934" s="88">
        <v>382.79089594348176</v>
      </c>
      <c r="E934" s="89">
        <v>4377990.6848083353</v>
      </c>
      <c r="F934" s="87" t="s">
        <v>953</v>
      </c>
      <c r="G934" s="25">
        <f t="shared" si="27"/>
        <v>7.4189573221337124E-3</v>
      </c>
      <c r="I934" s="88">
        <v>141.38</v>
      </c>
      <c r="J934" s="88">
        <v>143.25</v>
      </c>
      <c r="K934" s="88">
        <v>134.035</v>
      </c>
      <c r="L934" s="88">
        <v>134.59</v>
      </c>
      <c r="M934" s="89">
        <v>1337513</v>
      </c>
      <c r="N934" s="87" t="s">
        <v>953</v>
      </c>
      <c r="O934" s="25">
        <f t="shared" si="28"/>
        <v>5.0449513336800589E-2</v>
      </c>
    </row>
    <row r="935" spans="1:15">
      <c r="A935" s="88">
        <v>385.62117845253249</v>
      </c>
      <c r="B935" s="88">
        <v>386.61274001182579</v>
      </c>
      <c r="C935" s="88">
        <v>383.47439954260625</v>
      </c>
      <c r="D935" s="88">
        <v>383.69581620147756</v>
      </c>
      <c r="E935" s="89">
        <v>5350620.1206321474</v>
      </c>
      <c r="F935" s="87" t="s">
        <v>954</v>
      </c>
      <c r="G935" s="25">
        <f t="shared" si="27"/>
        <v>5.0179391323983413E-3</v>
      </c>
      <c r="I935" s="88">
        <v>135.91</v>
      </c>
      <c r="J935" s="88">
        <v>136.56</v>
      </c>
      <c r="K935" s="88">
        <v>130.91</v>
      </c>
      <c r="L935" s="88">
        <v>134.52000000000001</v>
      </c>
      <c r="M935" s="89">
        <v>1573184</v>
      </c>
      <c r="N935" s="87" t="s">
        <v>954</v>
      </c>
      <c r="O935" s="25">
        <f t="shared" si="28"/>
        <v>1.0333035979779748E-2</v>
      </c>
    </row>
    <row r="936" spans="1:15">
      <c r="A936" s="88">
        <v>381.62605178159356</v>
      </c>
      <c r="B936" s="88">
        <v>385.99662409148817</v>
      </c>
      <c r="C936" s="88">
        <v>380.22053733832342</v>
      </c>
      <c r="D936" s="88">
        <v>384.88954079713159</v>
      </c>
      <c r="E936" s="89">
        <v>3918451.1880122246</v>
      </c>
      <c r="F936" s="87" t="s">
        <v>955</v>
      </c>
      <c r="G936" s="25">
        <f t="shared" si="27"/>
        <v>-8.4790275380804969E-3</v>
      </c>
      <c r="I936" s="88">
        <v>132.38</v>
      </c>
      <c r="J936" s="88">
        <v>133.72499999999999</v>
      </c>
      <c r="K936" s="88">
        <v>126.63</v>
      </c>
      <c r="L936" s="88">
        <v>128.33000000000001</v>
      </c>
      <c r="M936" s="89">
        <v>2014573</v>
      </c>
      <c r="N936" s="87" t="s">
        <v>955</v>
      </c>
      <c r="O936" s="25">
        <f t="shared" si="28"/>
        <v>3.1559261279513695E-2</v>
      </c>
    </row>
    <row r="937" spans="1:15">
      <c r="A937" s="88">
        <v>383.64768214520114</v>
      </c>
      <c r="B937" s="88">
        <v>386.80527623693126</v>
      </c>
      <c r="C937" s="88">
        <v>381.41426193397746</v>
      </c>
      <c r="D937" s="88">
        <v>386.49721827676245</v>
      </c>
      <c r="E937" s="89">
        <v>4023065.2677209349</v>
      </c>
      <c r="F937" s="87" t="s">
        <v>956</v>
      </c>
      <c r="G937" s="25">
        <f t="shared" si="27"/>
        <v>-7.3727209325497034E-3</v>
      </c>
      <c r="I937" s="88">
        <v>127.77</v>
      </c>
      <c r="J937" s="88">
        <v>134.53</v>
      </c>
      <c r="K937" s="88">
        <v>125.82</v>
      </c>
      <c r="L937" s="88">
        <v>134.38</v>
      </c>
      <c r="M937" s="89">
        <v>2402484</v>
      </c>
      <c r="N937" s="87" t="s">
        <v>956</v>
      </c>
      <c r="O937" s="25">
        <f t="shared" si="28"/>
        <v>-4.9188867390980828E-2</v>
      </c>
    </row>
    <row r="938" spans="1:15">
      <c r="A938" s="88">
        <v>385.96774365772234</v>
      </c>
      <c r="B938" s="88">
        <v>386.12177263780671</v>
      </c>
      <c r="C938" s="88">
        <v>383.13746114867166</v>
      </c>
      <c r="D938" s="88">
        <v>385.3323741148742</v>
      </c>
      <c r="E938" s="89">
        <v>4343893.2052488243</v>
      </c>
      <c r="F938" s="87" t="s">
        <v>957</v>
      </c>
      <c r="G938" s="25">
        <f t="shared" si="27"/>
        <v>1.6488870012740797E-3</v>
      </c>
      <c r="I938" s="88">
        <v>133.44999999999999</v>
      </c>
      <c r="J938" s="88">
        <v>145.5</v>
      </c>
      <c r="K938" s="88">
        <v>132.54499999999999</v>
      </c>
      <c r="L938" s="88">
        <v>145.5</v>
      </c>
      <c r="M938" s="89">
        <v>1704028</v>
      </c>
      <c r="N938" s="87" t="s">
        <v>957</v>
      </c>
      <c r="O938" s="25">
        <f t="shared" si="28"/>
        <v>-8.2817869415807599E-2</v>
      </c>
    </row>
    <row r="939" spans="1:15">
      <c r="A939" s="88">
        <v>384.34081255558095</v>
      </c>
      <c r="B939" s="88">
        <v>386.68975450186792</v>
      </c>
      <c r="C939" s="88">
        <v>382.55744577054134</v>
      </c>
      <c r="D939" s="88">
        <v>382.92567130105556</v>
      </c>
      <c r="E939" s="89">
        <v>3417164.7420609822</v>
      </c>
      <c r="F939" s="87" t="s">
        <v>958</v>
      </c>
      <c r="G939" s="25">
        <f t="shared" si="27"/>
        <v>3.6956029866506146E-3</v>
      </c>
      <c r="I939" s="88">
        <v>146.13</v>
      </c>
      <c r="J939" s="88">
        <v>147.72999999999999</v>
      </c>
      <c r="K939" s="88">
        <v>141.28100000000001</v>
      </c>
      <c r="L939" s="88">
        <v>143.80000000000001</v>
      </c>
      <c r="M939" s="89">
        <v>1431365</v>
      </c>
      <c r="N939" s="87" t="s">
        <v>958</v>
      </c>
      <c r="O939" s="25">
        <f t="shared" si="28"/>
        <v>1.6203059805284914E-2</v>
      </c>
    </row>
    <row r="940" spans="1:15">
      <c r="A940" s="88">
        <v>382.36731624824967</v>
      </c>
      <c r="B940" s="88">
        <v>382.84865681101337</v>
      </c>
      <c r="C940" s="88">
        <v>377.66943235567572</v>
      </c>
      <c r="D940" s="88">
        <v>378.14114610718417</v>
      </c>
      <c r="E940" s="89">
        <v>3074228.7570855655</v>
      </c>
      <c r="F940" s="87" t="s">
        <v>959</v>
      </c>
      <c r="G940" s="25">
        <f t="shared" si="27"/>
        <v>1.1176171079429587E-2</v>
      </c>
      <c r="I940" s="88">
        <v>144.62</v>
      </c>
      <c r="J940" s="88">
        <v>146.48500000000001</v>
      </c>
      <c r="K940" s="88">
        <v>141.57</v>
      </c>
      <c r="L940" s="88">
        <v>144.96</v>
      </c>
      <c r="M940" s="89">
        <v>827937</v>
      </c>
      <c r="N940" s="87" t="s">
        <v>959</v>
      </c>
      <c r="O940" s="25">
        <f t="shared" si="28"/>
        <v>-2.3454746136865046E-3</v>
      </c>
    </row>
    <row r="941" spans="1:15">
      <c r="A941" s="88">
        <v>379.83546488811248</v>
      </c>
      <c r="B941" s="88">
        <v>381.30355360454183</v>
      </c>
      <c r="C941" s="88">
        <v>371.98999878751391</v>
      </c>
      <c r="D941" s="88">
        <v>373.22184555573887</v>
      </c>
      <c r="E941" s="89">
        <v>5087062.4448119365</v>
      </c>
      <c r="F941" s="87" t="s">
        <v>960</v>
      </c>
      <c r="G941" s="25">
        <f t="shared" si="27"/>
        <v>1.7720343573473629E-2</v>
      </c>
      <c r="I941" s="88">
        <v>145.51</v>
      </c>
      <c r="J941" s="88">
        <v>146.9</v>
      </c>
      <c r="K941" s="88">
        <v>142.72999999999999</v>
      </c>
      <c r="L941" s="88">
        <v>143.44999999999999</v>
      </c>
      <c r="M941" s="89">
        <v>2682256</v>
      </c>
      <c r="N941" s="87" t="s">
        <v>960</v>
      </c>
      <c r="O941" s="25">
        <f t="shared" si="28"/>
        <v>1.4360404322063536E-2</v>
      </c>
    </row>
    <row r="942" spans="1:15">
      <c r="A942" s="88">
        <v>375.35899765440985</v>
      </c>
      <c r="B942" s="88">
        <v>376.20509809563589</v>
      </c>
      <c r="C942" s="88">
        <v>372.50946152284854</v>
      </c>
      <c r="D942" s="88">
        <v>375.33974403189922</v>
      </c>
      <c r="E942" s="89">
        <v>3458145.0822316534</v>
      </c>
      <c r="F942" s="87" t="s">
        <v>961</v>
      </c>
      <c r="G942" s="25">
        <f t="shared" si="27"/>
        <v>5.1296519531396356E-5</v>
      </c>
      <c r="I942" s="88">
        <v>146.08000000000001</v>
      </c>
      <c r="J942" s="88">
        <v>154</v>
      </c>
      <c r="K942" s="88">
        <v>143.86000000000001</v>
      </c>
      <c r="L942" s="88">
        <v>153.88999999999999</v>
      </c>
      <c r="M942" s="89">
        <v>1863927</v>
      </c>
      <c r="N942" s="87" t="s">
        <v>961</v>
      </c>
      <c r="O942" s="25">
        <f t="shared" si="28"/>
        <v>-5.075053609721214E-2</v>
      </c>
    </row>
    <row r="943" spans="1:15">
      <c r="A943" s="88">
        <v>375.67668242583386</v>
      </c>
      <c r="B943" s="88">
        <v>376.26391791240565</v>
      </c>
      <c r="C943" s="88">
        <v>371.97998690380842</v>
      </c>
      <c r="D943" s="88">
        <v>373.26035280075996</v>
      </c>
      <c r="E943" s="89">
        <v>4501739.8649272751</v>
      </c>
      <c r="F943" s="87" t="s">
        <v>962</v>
      </c>
      <c r="G943" s="25">
        <f t="shared" si="27"/>
        <v>6.4735769736672388E-3</v>
      </c>
      <c r="I943" s="88">
        <v>152.07</v>
      </c>
      <c r="J943" s="88">
        <v>154</v>
      </c>
      <c r="K943" s="88">
        <v>147.91999999999999</v>
      </c>
      <c r="L943" s="88">
        <v>154</v>
      </c>
      <c r="M943" s="89">
        <v>1377154</v>
      </c>
      <c r="N943" s="87" t="s">
        <v>962</v>
      </c>
      <c r="O943" s="25">
        <f t="shared" si="28"/>
        <v>-1.2532467532467617E-2</v>
      </c>
    </row>
    <row r="944" spans="1:15">
      <c r="A944" s="88">
        <v>372.93304121808063</v>
      </c>
      <c r="B944" s="88">
        <v>377.30361352797524</v>
      </c>
      <c r="C944" s="88">
        <v>371.62379488736326</v>
      </c>
      <c r="D944" s="88">
        <v>376.00399400851319</v>
      </c>
      <c r="E944" s="89">
        <v>7153628.3587431777</v>
      </c>
      <c r="F944" s="87" t="s">
        <v>963</v>
      </c>
      <c r="G944" s="25">
        <f t="shared" si="27"/>
        <v>-8.167340877669016E-3</v>
      </c>
      <c r="I944" s="88">
        <v>156.80000000000001</v>
      </c>
      <c r="J944" s="88">
        <v>165.51</v>
      </c>
      <c r="K944" s="88">
        <v>156.11000000000001</v>
      </c>
      <c r="L944" s="88">
        <v>162.01</v>
      </c>
      <c r="M944" s="89">
        <v>1086193</v>
      </c>
      <c r="N944" s="87" t="s">
        <v>963</v>
      </c>
      <c r="O944" s="25">
        <f t="shared" si="28"/>
        <v>-3.215850873402859E-2</v>
      </c>
    </row>
    <row r="945" spans="1:15">
      <c r="A945" s="88">
        <v>378.01599756086557</v>
      </c>
      <c r="B945" s="88">
        <v>379.06522371957794</v>
      </c>
      <c r="C945" s="88">
        <v>375.41675852194146</v>
      </c>
      <c r="D945" s="88">
        <v>377.27473309420941</v>
      </c>
      <c r="E945" s="89">
        <v>6114333.0267070178</v>
      </c>
      <c r="F945" s="87" t="s">
        <v>964</v>
      </c>
      <c r="G945" s="25">
        <f t="shared" si="27"/>
        <v>1.9647869354426639E-3</v>
      </c>
      <c r="I945" s="88">
        <v>165.04</v>
      </c>
      <c r="J945" s="88">
        <v>169.26</v>
      </c>
      <c r="K945" s="88">
        <v>160.05000000000001</v>
      </c>
      <c r="L945" s="88">
        <v>163.88</v>
      </c>
      <c r="M945" s="89">
        <v>1421991</v>
      </c>
      <c r="N945" s="87" t="s">
        <v>964</v>
      </c>
      <c r="O945" s="25">
        <f t="shared" si="28"/>
        <v>7.0783500122040266E-3</v>
      </c>
    </row>
    <row r="946" spans="1:15">
      <c r="A946" s="88">
        <v>378.04487799463141</v>
      </c>
      <c r="B946" s="88">
        <v>381.93410974176231</v>
      </c>
      <c r="C946" s="88">
        <v>376.697124418893</v>
      </c>
      <c r="D946" s="88">
        <v>381.81858800669903</v>
      </c>
      <c r="E946" s="89">
        <v>5990129.9060376603</v>
      </c>
      <c r="F946" s="87" t="s">
        <v>965</v>
      </c>
      <c r="G946" s="25">
        <f t="shared" si="27"/>
        <v>-9.8835157077303837E-3</v>
      </c>
      <c r="I946" s="88">
        <v>159.49</v>
      </c>
      <c r="J946" s="88">
        <v>164.15</v>
      </c>
      <c r="K946" s="88">
        <v>158.84</v>
      </c>
      <c r="L946" s="88">
        <v>164.03</v>
      </c>
      <c r="M946" s="89">
        <v>938955</v>
      </c>
      <c r="N946" s="87" t="s">
        <v>965</v>
      </c>
      <c r="O946" s="25">
        <f t="shared" si="28"/>
        <v>-2.7677863805401381E-2</v>
      </c>
    </row>
    <row r="947" spans="1:15">
      <c r="A947" s="88">
        <v>378.9497982526272</v>
      </c>
      <c r="B947" s="88">
        <v>380.51896848723692</v>
      </c>
      <c r="C947" s="88">
        <v>375.76332372713131</v>
      </c>
      <c r="D947" s="88">
        <v>376.28317153491616</v>
      </c>
      <c r="E947" s="89">
        <v>4223387.0512131993</v>
      </c>
      <c r="F947" s="87" t="s">
        <v>966</v>
      </c>
      <c r="G947" s="25">
        <f t="shared" si="27"/>
        <v>7.0867551871465206E-3</v>
      </c>
      <c r="I947" s="88">
        <v>163.86</v>
      </c>
      <c r="J947" s="88">
        <v>167.005</v>
      </c>
      <c r="K947" s="88">
        <v>161.69999999999999</v>
      </c>
      <c r="L947" s="88">
        <v>162.22</v>
      </c>
      <c r="M947" s="89">
        <v>1113610</v>
      </c>
      <c r="N947" s="87" t="s">
        <v>966</v>
      </c>
      <c r="O947" s="25">
        <f t="shared" si="28"/>
        <v>1.0109727530514201E-2</v>
      </c>
    </row>
    <row r="948" spans="1:15">
      <c r="A948" s="88">
        <v>376.75247857783472</v>
      </c>
      <c r="B948" s="88">
        <v>378.22937514652466</v>
      </c>
      <c r="C948" s="88">
        <v>373.49179784176584</v>
      </c>
      <c r="D948" s="88">
        <v>377.70191208627824</v>
      </c>
      <c r="E948" s="89">
        <v>5044398.55704193</v>
      </c>
      <c r="F948" s="87" t="s">
        <v>967</v>
      </c>
      <c r="G948" s="25">
        <f t="shared" si="27"/>
        <v>-2.5137111517365973E-3</v>
      </c>
      <c r="I948" s="88">
        <v>161.69999999999999</v>
      </c>
      <c r="J948" s="88">
        <v>165.56</v>
      </c>
      <c r="K948" s="88">
        <v>159.44</v>
      </c>
      <c r="L948" s="88">
        <v>162.5</v>
      </c>
      <c r="M948" s="89">
        <v>1414417</v>
      </c>
      <c r="N948" s="87" t="s">
        <v>967</v>
      </c>
      <c r="O948" s="25">
        <f t="shared" si="28"/>
        <v>-4.9230769230770299E-3</v>
      </c>
    </row>
    <row r="949" spans="1:15">
      <c r="A949" s="88">
        <v>376.66616644070348</v>
      </c>
      <c r="B949" s="88">
        <v>380.1186519259528</v>
      </c>
      <c r="C949" s="88">
        <v>375.8989474439814</v>
      </c>
      <c r="D949" s="88">
        <v>379.5048767285752</v>
      </c>
      <c r="E949" s="89">
        <v>5979762.2577141635</v>
      </c>
      <c r="F949" s="87" t="s">
        <v>968</v>
      </c>
      <c r="G949" s="25">
        <f t="shared" si="27"/>
        <v>-7.4800363893663402E-3</v>
      </c>
      <c r="I949" s="88">
        <v>159.29</v>
      </c>
      <c r="J949" s="88">
        <v>159.47999999999999</v>
      </c>
      <c r="K949" s="88">
        <v>152.43</v>
      </c>
      <c r="L949" s="88">
        <v>153.15</v>
      </c>
      <c r="M949" s="89">
        <v>1194323</v>
      </c>
      <c r="N949" s="87" t="s">
        <v>968</v>
      </c>
      <c r="O949" s="25">
        <f t="shared" si="28"/>
        <v>4.0091413646751395E-2</v>
      </c>
    </row>
    <row r="950" spans="1:15">
      <c r="A950" s="88">
        <v>382.27645535423369</v>
      </c>
      <c r="B950" s="88">
        <v>382.304458847614</v>
      </c>
      <c r="C950" s="88">
        <v>379.16921841750923</v>
      </c>
      <c r="D950" s="88">
        <v>379.54323767841123</v>
      </c>
      <c r="E950" s="89">
        <v>3365818.639831516</v>
      </c>
      <c r="F950" s="87" t="s">
        <v>969</v>
      </c>
      <c r="G950" s="25">
        <f t="shared" si="27"/>
        <v>7.2013341419043808E-3</v>
      </c>
      <c r="I950" s="88">
        <v>154.66999999999999</v>
      </c>
      <c r="J950" s="88">
        <v>157.13999999999999</v>
      </c>
      <c r="K950" s="88">
        <v>154.11000000000001</v>
      </c>
      <c r="L950" s="88">
        <v>155.01</v>
      </c>
      <c r="M950" s="89">
        <v>757847</v>
      </c>
      <c r="N950" s="87" t="s">
        <v>969</v>
      </c>
      <c r="O950" s="25">
        <f t="shared" si="28"/>
        <v>-2.1934068769756676E-3</v>
      </c>
    </row>
    <row r="951" spans="1:15">
      <c r="A951" s="88">
        <v>380.69406617349432</v>
      </c>
      <c r="B951" s="88">
        <v>383.92214010220255</v>
      </c>
      <c r="C951" s="88">
        <v>380.30566155640383</v>
      </c>
      <c r="D951" s="88">
        <v>382.45387474722565</v>
      </c>
      <c r="E951" s="89">
        <v>7514441.671324309</v>
      </c>
      <c r="F951" s="87" t="s">
        <v>970</v>
      </c>
      <c r="G951" s="25">
        <f t="shared" si="27"/>
        <v>-4.6013616018256709E-3</v>
      </c>
      <c r="I951" s="88">
        <v>155.69999999999999</v>
      </c>
      <c r="J951" s="88">
        <v>162.32</v>
      </c>
      <c r="K951" s="88">
        <v>155.47</v>
      </c>
      <c r="L951" s="88">
        <v>161.65</v>
      </c>
      <c r="M951" s="89">
        <v>1081091</v>
      </c>
      <c r="N951" s="87" t="s">
        <v>970</v>
      </c>
      <c r="O951" s="25">
        <f t="shared" si="28"/>
        <v>-3.6807918342097179E-2</v>
      </c>
    </row>
    <row r="952" spans="1:15">
      <c r="A952" s="88">
        <v>381.61472896956087</v>
      </c>
      <c r="B952" s="88">
        <v>385.5754970401386</v>
      </c>
      <c r="C952" s="88">
        <v>381.39415350800328</v>
      </c>
      <c r="D952" s="88">
        <v>385.33574110366294</v>
      </c>
      <c r="E952" s="89">
        <v>4831099.3547291895</v>
      </c>
      <c r="F952" s="87" t="s">
        <v>971</v>
      </c>
      <c r="G952" s="25">
        <f t="shared" si="27"/>
        <v>-9.6565455450472459E-3</v>
      </c>
      <c r="I952" s="88">
        <v>159.93</v>
      </c>
      <c r="J952" s="88">
        <v>164.09</v>
      </c>
      <c r="K952" s="88">
        <v>157.27000000000001</v>
      </c>
      <c r="L952" s="88">
        <v>162.49</v>
      </c>
      <c r="M952" s="89">
        <v>1214601</v>
      </c>
      <c r="N952" s="87" t="s">
        <v>971</v>
      </c>
      <c r="O952" s="25">
        <f t="shared" si="28"/>
        <v>-1.575481568096504E-2</v>
      </c>
    </row>
    <row r="953" spans="1:15">
      <c r="A953" s="88">
        <v>387.97305640489509</v>
      </c>
      <c r="B953" s="88">
        <v>393.04629202071976</v>
      </c>
      <c r="C953" s="88">
        <v>387.76207118079651</v>
      </c>
      <c r="D953" s="88">
        <v>392.68186299727677</v>
      </c>
      <c r="E953" s="89">
        <v>4180725.4691347559</v>
      </c>
      <c r="F953" s="87" t="s">
        <v>972</v>
      </c>
      <c r="G953" s="25">
        <f t="shared" si="27"/>
        <v>-1.1991403311678583E-2</v>
      </c>
      <c r="I953" s="88">
        <v>164.74</v>
      </c>
      <c r="J953" s="88">
        <v>169.04</v>
      </c>
      <c r="K953" s="88">
        <v>164.54</v>
      </c>
      <c r="L953" s="88">
        <v>168.35</v>
      </c>
      <c r="M953" s="89">
        <v>741616</v>
      </c>
      <c r="N953" s="87" t="s">
        <v>972</v>
      </c>
      <c r="O953" s="25">
        <f t="shared" si="28"/>
        <v>-2.1443421443421373E-2</v>
      </c>
    </row>
    <row r="954" spans="1:15">
      <c r="A954" s="88">
        <v>391.63652711424299</v>
      </c>
      <c r="B954" s="88">
        <v>392.05370244371062</v>
      </c>
      <c r="C954" s="88">
        <v>389.08552395014203</v>
      </c>
      <c r="D954" s="88">
        <v>391.49267355235764</v>
      </c>
      <c r="E954" s="89">
        <v>3784862.4869906632</v>
      </c>
      <c r="F954" s="87" t="s">
        <v>973</v>
      </c>
      <c r="G954" s="25">
        <f t="shared" si="27"/>
        <v>3.6744892459927847E-4</v>
      </c>
      <c r="I954" s="88">
        <v>167.38</v>
      </c>
      <c r="J954" s="88">
        <v>171.22</v>
      </c>
      <c r="K954" s="88">
        <v>166.88</v>
      </c>
      <c r="L954" s="88">
        <v>169.96</v>
      </c>
      <c r="M954" s="89">
        <v>1490144</v>
      </c>
      <c r="N954" s="87" t="s">
        <v>973</v>
      </c>
      <c r="O954" s="25">
        <f t="shared" si="28"/>
        <v>-1.5180042362909041E-2</v>
      </c>
    </row>
    <row r="955" spans="1:15">
      <c r="A955" s="88">
        <v>392.42292658588309</v>
      </c>
      <c r="B955" s="88">
        <v>393.52580389367108</v>
      </c>
      <c r="C955" s="88">
        <v>391.43513212760348</v>
      </c>
      <c r="D955" s="88">
        <v>391.83792210088251</v>
      </c>
      <c r="E955" s="89">
        <v>3143374.7213034895</v>
      </c>
      <c r="F955" s="87" t="s">
        <v>974</v>
      </c>
      <c r="G955" s="25">
        <f t="shared" si="27"/>
        <v>1.4929756718391474E-3</v>
      </c>
      <c r="I955" s="88">
        <v>170.98</v>
      </c>
      <c r="J955" s="88">
        <v>172.68</v>
      </c>
      <c r="K955" s="88">
        <v>168.14</v>
      </c>
      <c r="L955" s="88">
        <v>168.73</v>
      </c>
      <c r="M955" s="89">
        <v>1043619</v>
      </c>
      <c r="N955" s="87" t="s">
        <v>974</v>
      </c>
      <c r="O955" s="25">
        <f t="shared" si="28"/>
        <v>1.3334913767557577E-2</v>
      </c>
    </row>
    <row r="956" spans="1:15">
      <c r="A956" s="88">
        <v>391.99136590022698</v>
      </c>
      <c r="B956" s="88">
        <v>395.76032922162415</v>
      </c>
      <c r="C956" s="88">
        <v>391.74201972629231</v>
      </c>
      <c r="D956" s="88">
        <v>395.44385138547625</v>
      </c>
      <c r="E956" s="89">
        <v>4175110.3839786192</v>
      </c>
      <c r="F956" s="87" t="s">
        <v>975</v>
      </c>
      <c r="G956" s="25">
        <f t="shared" ref="G956:G1019" si="29">A956/D956-1</f>
        <v>-8.7306591647667853E-3</v>
      </c>
      <c r="I956" s="88">
        <v>169.68</v>
      </c>
      <c r="J956" s="88">
        <v>175.5538</v>
      </c>
      <c r="K956" s="88">
        <v>166.03</v>
      </c>
      <c r="L956" s="88">
        <v>175.43</v>
      </c>
      <c r="M956" s="89">
        <v>2420194</v>
      </c>
      <c r="N956" s="87" t="s">
        <v>975</v>
      </c>
      <c r="O956" s="25">
        <f t="shared" ref="O956:O1019" si="30">I956/L956-1</f>
        <v>-3.2776606053696589E-2</v>
      </c>
    </row>
    <row r="957" spans="1:15">
      <c r="A957" s="88">
        <v>396.93992842908432</v>
      </c>
      <c r="B957" s="88">
        <v>397.5249329140849</v>
      </c>
      <c r="C957" s="88">
        <v>394.5615495392459</v>
      </c>
      <c r="D957" s="88">
        <v>395.76032922162415</v>
      </c>
      <c r="E957" s="89">
        <v>3817320.4945561625</v>
      </c>
      <c r="F957" s="87" t="s">
        <v>976</v>
      </c>
      <c r="G957" s="25">
        <f t="shared" si="29"/>
        <v>2.9805898175296885E-3</v>
      </c>
      <c r="I957" s="88">
        <v>174.7</v>
      </c>
      <c r="J957" s="88">
        <v>179.15</v>
      </c>
      <c r="K957" s="88">
        <v>172.88</v>
      </c>
      <c r="L957" s="88">
        <v>177.65</v>
      </c>
      <c r="M957" s="89">
        <v>1101231</v>
      </c>
      <c r="N957" s="87" t="s">
        <v>976</v>
      </c>
      <c r="O957" s="25">
        <f t="shared" si="30"/>
        <v>-1.6605685336335552E-2</v>
      </c>
    </row>
    <row r="958" spans="1:15">
      <c r="A958" s="88">
        <v>393.53539413113015</v>
      </c>
      <c r="B958" s="88">
        <v>394.54236906432783</v>
      </c>
      <c r="C958" s="88">
        <v>392.23112183670258</v>
      </c>
      <c r="D958" s="88">
        <v>393.22850653244126</v>
      </c>
      <c r="E958" s="89">
        <v>2637836.6654718234</v>
      </c>
      <c r="F958" s="87" t="s">
        <v>977</v>
      </c>
      <c r="G958" s="25">
        <f t="shared" si="29"/>
        <v>7.8043070019284677E-4</v>
      </c>
      <c r="I958" s="88">
        <v>176.98</v>
      </c>
      <c r="J958" s="88">
        <v>182.31</v>
      </c>
      <c r="K958" s="88">
        <v>175.62</v>
      </c>
      <c r="L958" s="88">
        <v>175.64</v>
      </c>
      <c r="M958" s="89">
        <v>1012385</v>
      </c>
      <c r="N958" s="87" t="s">
        <v>977</v>
      </c>
      <c r="O958" s="25">
        <f t="shared" si="30"/>
        <v>7.6292416306080746E-3</v>
      </c>
    </row>
    <row r="959" spans="1:15">
      <c r="A959" s="88">
        <v>393.0750627330969</v>
      </c>
      <c r="B959" s="88">
        <v>395.26163687375475</v>
      </c>
      <c r="C959" s="88">
        <v>392.5188289604734</v>
      </c>
      <c r="D959" s="88">
        <v>393.871052442196</v>
      </c>
      <c r="E959" s="89">
        <v>7919820.5805129511</v>
      </c>
      <c r="F959" s="87" t="s">
        <v>978</v>
      </c>
      <c r="G959" s="25">
        <f t="shared" si="29"/>
        <v>-2.020939858777604E-3</v>
      </c>
      <c r="I959" s="88">
        <v>175.46</v>
      </c>
      <c r="J959" s="88">
        <v>177.98</v>
      </c>
      <c r="K959" s="88">
        <v>170.19</v>
      </c>
      <c r="L959" s="88">
        <v>174.17</v>
      </c>
      <c r="M959" s="89">
        <v>1198913</v>
      </c>
      <c r="N959" s="87" t="s">
        <v>978</v>
      </c>
      <c r="O959" s="25">
        <f t="shared" si="30"/>
        <v>7.4065568123098391E-3</v>
      </c>
    </row>
    <row r="960" spans="1:15">
      <c r="A960" s="88">
        <v>395.19450521154158</v>
      </c>
      <c r="B960" s="88">
        <v>395.4822123353124</v>
      </c>
      <c r="C960" s="88">
        <v>393.47785270637598</v>
      </c>
      <c r="D960" s="88">
        <v>395.00270046236108</v>
      </c>
      <c r="E960" s="89">
        <v>3489551.7595868763</v>
      </c>
      <c r="F960" s="87" t="s">
        <v>979</v>
      </c>
      <c r="G960" s="25">
        <f t="shared" si="29"/>
        <v>4.8557832378359755E-4</v>
      </c>
      <c r="I960" s="88">
        <v>175.26</v>
      </c>
      <c r="J960" s="88">
        <v>177.52</v>
      </c>
      <c r="K960" s="88">
        <v>172.88</v>
      </c>
      <c r="L960" s="88">
        <v>174.87</v>
      </c>
      <c r="M960" s="89">
        <v>995594</v>
      </c>
      <c r="N960" s="87" t="s">
        <v>979</v>
      </c>
      <c r="O960" s="25">
        <f t="shared" si="30"/>
        <v>2.2302281694972503E-3</v>
      </c>
    </row>
    <row r="961" spans="1:15">
      <c r="A961" s="88">
        <v>392.6147313350636</v>
      </c>
      <c r="B961" s="88">
        <v>394.00531576662235</v>
      </c>
      <c r="C961" s="88">
        <v>391.75160996375132</v>
      </c>
      <c r="D961" s="88">
        <v>392.06808779989916</v>
      </c>
      <c r="E961" s="89">
        <v>4301481.6031666677</v>
      </c>
      <c r="F961" s="87" t="s">
        <v>980</v>
      </c>
      <c r="G961" s="25">
        <f t="shared" si="29"/>
        <v>1.3942566410645174E-3</v>
      </c>
      <c r="I961" s="88">
        <v>171.92</v>
      </c>
      <c r="J961" s="88">
        <v>180.93</v>
      </c>
      <c r="K961" s="88">
        <v>171.1</v>
      </c>
      <c r="L961" s="88">
        <v>179.41</v>
      </c>
      <c r="M961" s="89">
        <v>1974874</v>
      </c>
      <c r="N961" s="87" t="s">
        <v>980</v>
      </c>
      <c r="O961" s="25">
        <f t="shared" si="30"/>
        <v>-4.1747951619196311E-2</v>
      </c>
    </row>
    <row r="962" spans="1:15">
      <c r="A962" s="88">
        <v>392.07767803735817</v>
      </c>
      <c r="B962" s="88">
        <v>392.65309228489974</v>
      </c>
      <c r="C962" s="88">
        <v>390.18360613920055</v>
      </c>
      <c r="D962" s="88">
        <v>390.4856986191599</v>
      </c>
      <c r="E962" s="89">
        <v>2341713.6536972602</v>
      </c>
      <c r="F962" s="87" t="s">
        <v>981</v>
      </c>
      <c r="G962" s="25">
        <f t="shared" si="29"/>
        <v>4.0769211877100808E-3</v>
      </c>
      <c r="I962" s="88">
        <v>178.53</v>
      </c>
      <c r="J962" s="88">
        <v>189.65799999999999</v>
      </c>
      <c r="K962" s="88">
        <v>170.86500000000001</v>
      </c>
      <c r="L962" s="88">
        <v>189</v>
      </c>
      <c r="M962" s="89">
        <v>3238351</v>
      </c>
      <c r="N962" s="87" t="s">
        <v>981</v>
      </c>
      <c r="O962" s="25">
        <f t="shared" si="30"/>
        <v>-5.5396825396825444E-2</v>
      </c>
    </row>
    <row r="963" spans="1:15">
      <c r="A963" s="88">
        <v>393.24768700735933</v>
      </c>
      <c r="B963" s="88">
        <v>395.24245639883674</v>
      </c>
      <c r="C963" s="88">
        <v>391.11865429145558</v>
      </c>
      <c r="D963" s="88">
        <v>395.21368568645971</v>
      </c>
      <c r="E963" s="89">
        <v>3904040.9749982045</v>
      </c>
      <c r="F963" s="87" t="s">
        <v>982</v>
      </c>
      <c r="G963" s="25">
        <f t="shared" si="29"/>
        <v>-4.9745207473915753E-3</v>
      </c>
      <c r="I963" s="88">
        <v>193.4</v>
      </c>
      <c r="J963" s="88">
        <v>198.19</v>
      </c>
      <c r="K963" s="88">
        <v>186.27180000000001</v>
      </c>
      <c r="L963" s="88">
        <v>186.97</v>
      </c>
      <c r="M963" s="89">
        <v>1283906</v>
      </c>
      <c r="N963" s="87" t="s">
        <v>982</v>
      </c>
      <c r="O963" s="25">
        <f t="shared" si="30"/>
        <v>3.4390543937530049E-2</v>
      </c>
    </row>
    <row r="964" spans="1:15">
      <c r="A964" s="88">
        <v>395.98090468318173</v>
      </c>
      <c r="B964" s="88">
        <v>397.48657196424887</v>
      </c>
      <c r="C964" s="88">
        <v>395.8562315962144</v>
      </c>
      <c r="D964" s="88">
        <v>397.22763555285513</v>
      </c>
      <c r="E964" s="89">
        <v>4615826.2701136507</v>
      </c>
      <c r="F964" s="87" t="s">
        <v>983</v>
      </c>
      <c r="G964" s="25">
        <f t="shared" si="29"/>
        <v>-3.1385803959440572E-3</v>
      </c>
      <c r="I964" s="88">
        <v>186.97</v>
      </c>
      <c r="J964" s="88">
        <v>191.6</v>
      </c>
      <c r="K964" s="88">
        <v>186.11</v>
      </c>
      <c r="L964" s="88">
        <v>190.8</v>
      </c>
      <c r="M964" s="89">
        <v>866518</v>
      </c>
      <c r="N964" s="87" t="s">
        <v>983</v>
      </c>
      <c r="O964" s="25">
        <f t="shared" si="30"/>
        <v>-2.0073375262054549E-2</v>
      </c>
    </row>
    <row r="965" spans="1:15">
      <c r="A965" s="88">
        <v>397.71673766326541</v>
      </c>
      <c r="B965" s="88">
        <v>399.79781919187405</v>
      </c>
      <c r="C965" s="88">
        <v>396.2782020444115</v>
      </c>
      <c r="D965" s="88">
        <v>399.39502921859497</v>
      </c>
      <c r="E965" s="89">
        <v>3741274.4109095465</v>
      </c>
      <c r="F965" s="87" t="s">
        <v>984</v>
      </c>
      <c r="G965" s="25">
        <f t="shared" si="29"/>
        <v>-4.2020842337799902E-3</v>
      </c>
      <c r="I965" s="88">
        <v>192.18</v>
      </c>
      <c r="J965" s="88">
        <v>193.5</v>
      </c>
      <c r="K965" s="88">
        <v>189.81</v>
      </c>
      <c r="L965" s="88">
        <v>192.4</v>
      </c>
      <c r="M965" s="89">
        <v>732238</v>
      </c>
      <c r="N965" s="87" t="s">
        <v>984</v>
      </c>
      <c r="O965" s="25">
        <f t="shared" si="30"/>
        <v>-1.1434511434511574E-3</v>
      </c>
    </row>
    <row r="966" spans="1:15">
      <c r="A966" s="88">
        <v>396.87279676687115</v>
      </c>
      <c r="B966" s="88">
        <v>399.06896114498812</v>
      </c>
      <c r="C966" s="88">
        <v>396.70976273006772</v>
      </c>
      <c r="D966" s="88">
        <v>397.97759212215095</v>
      </c>
      <c r="E966" s="89">
        <v>4954132.8046350107</v>
      </c>
      <c r="F966" s="87" t="s">
        <v>985</v>
      </c>
      <c r="G966" s="25">
        <f t="shared" si="29"/>
        <v>-2.7760240203189568E-3</v>
      </c>
      <c r="I966" s="88">
        <v>191.71</v>
      </c>
      <c r="J966" s="88">
        <v>202.38499999999999</v>
      </c>
      <c r="K966" s="88">
        <v>191.28</v>
      </c>
      <c r="L966" s="88">
        <v>201.5</v>
      </c>
      <c r="M966" s="89">
        <v>1322121</v>
      </c>
      <c r="N966" s="87" t="s">
        <v>985</v>
      </c>
      <c r="O966" s="25">
        <f t="shared" si="30"/>
        <v>-4.858560794044664E-2</v>
      </c>
    </row>
    <row r="967" spans="1:15">
      <c r="A967" s="88">
        <v>397.38107935219955</v>
      </c>
      <c r="B967" s="88">
        <v>398.02285804295758</v>
      </c>
      <c r="C967" s="88">
        <v>395.50139281023041</v>
      </c>
      <c r="D967" s="88">
        <v>396.10557777014907</v>
      </c>
      <c r="E967" s="89">
        <v>3132890.1008308893</v>
      </c>
      <c r="F967" s="87" t="s">
        <v>986</v>
      </c>
      <c r="G967" s="25">
        <f t="shared" si="29"/>
        <v>3.2201050771130113E-3</v>
      </c>
      <c r="I967" s="88">
        <v>201.62</v>
      </c>
      <c r="J967" s="88">
        <v>210.31</v>
      </c>
      <c r="K967" s="88">
        <v>197.11</v>
      </c>
      <c r="L967" s="88">
        <v>198.46</v>
      </c>
      <c r="M967" s="89">
        <v>3015142</v>
      </c>
      <c r="N967" s="87" t="s">
        <v>986</v>
      </c>
      <c r="O967" s="25">
        <f t="shared" si="30"/>
        <v>1.5922604051194167E-2</v>
      </c>
    </row>
    <row r="968" spans="1:15">
      <c r="A968" s="88">
        <v>395.73155850924707</v>
      </c>
      <c r="B968" s="88">
        <v>396.05762658285397</v>
      </c>
      <c r="C968" s="88">
        <v>389.91028437161833</v>
      </c>
      <c r="D968" s="88">
        <v>390.11167935825785</v>
      </c>
      <c r="E968" s="89">
        <v>3631467.9536138629</v>
      </c>
      <c r="F968" s="87" t="s">
        <v>987</v>
      </c>
      <c r="G968" s="25">
        <f t="shared" si="29"/>
        <v>1.4405821328482338E-2</v>
      </c>
      <c r="I968" s="88">
        <v>189.48</v>
      </c>
      <c r="J968" s="88">
        <v>192.04</v>
      </c>
      <c r="K968" s="88">
        <v>178.55</v>
      </c>
      <c r="L968" s="88">
        <v>181.21</v>
      </c>
      <c r="M968" s="89">
        <v>2022104</v>
      </c>
      <c r="N968" s="87" t="s">
        <v>987</v>
      </c>
      <c r="O968" s="25">
        <f t="shared" si="30"/>
        <v>4.5637657965895917E-2</v>
      </c>
    </row>
    <row r="969" spans="1:15">
      <c r="A969" s="88">
        <v>390.18840125793008</v>
      </c>
      <c r="B969" s="88">
        <v>390.74463503055358</v>
      </c>
      <c r="C969" s="88">
        <v>388.50051946514151</v>
      </c>
      <c r="D969" s="88">
        <v>389.70888938497876</v>
      </c>
      <c r="E969" s="89">
        <v>3375006.1078557908</v>
      </c>
      <c r="F969" s="87" t="s">
        <v>988</v>
      </c>
      <c r="G969" s="25">
        <f t="shared" si="29"/>
        <v>1.2304360665420511E-3</v>
      </c>
      <c r="I969" s="88">
        <v>181.21</v>
      </c>
      <c r="J969" s="88">
        <v>186.47</v>
      </c>
      <c r="K969" s="88">
        <v>179.37</v>
      </c>
      <c r="L969" s="88">
        <v>185.86</v>
      </c>
      <c r="M969" s="89">
        <v>1024012</v>
      </c>
      <c r="N969" s="87" t="s">
        <v>988</v>
      </c>
      <c r="O969" s="25">
        <f t="shared" si="30"/>
        <v>-2.5018831378456952E-2</v>
      </c>
    </row>
    <row r="970" spans="1:15">
      <c r="A970" s="88">
        <v>387.63739809382918</v>
      </c>
      <c r="B970" s="88">
        <v>389.17183608727333</v>
      </c>
      <c r="C970" s="88">
        <v>383.33138147472647</v>
      </c>
      <c r="D970" s="88">
        <v>386.56329149841827</v>
      </c>
      <c r="E970" s="89">
        <v>4606596.0502803884</v>
      </c>
      <c r="F970" s="87" t="s">
        <v>989</v>
      </c>
      <c r="G970" s="25">
        <f t="shared" si="29"/>
        <v>2.7786047434752437E-3</v>
      </c>
      <c r="I970" s="88">
        <v>183</v>
      </c>
      <c r="J970" s="88">
        <v>189.75</v>
      </c>
      <c r="K970" s="88">
        <v>180.75</v>
      </c>
      <c r="L970" s="88">
        <v>188.06</v>
      </c>
      <c r="M970" s="89">
        <v>1987660</v>
      </c>
      <c r="N970" s="87" t="s">
        <v>989</v>
      </c>
      <c r="O970" s="25">
        <f t="shared" si="30"/>
        <v>-2.6906306497926247E-2</v>
      </c>
    </row>
    <row r="971" spans="1:15">
      <c r="A971" s="88">
        <v>385.08639492972827</v>
      </c>
      <c r="B971" s="88">
        <v>392.31647495008792</v>
      </c>
      <c r="C971" s="88">
        <v>384.95213160530187</v>
      </c>
      <c r="D971" s="88">
        <v>391.85710257580058</v>
      </c>
      <c r="E971" s="89">
        <v>3606574.9307851819</v>
      </c>
      <c r="F971" s="87" t="s">
        <v>990</v>
      </c>
      <c r="G971" s="25">
        <f t="shared" si="29"/>
        <v>-1.7278511992168344E-2</v>
      </c>
      <c r="I971" s="88">
        <v>187.84</v>
      </c>
      <c r="J971" s="88">
        <v>191.13</v>
      </c>
      <c r="K971" s="88">
        <v>185.48</v>
      </c>
      <c r="L971" s="88">
        <v>189.44</v>
      </c>
      <c r="M971" s="89">
        <v>1385417</v>
      </c>
      <c r="N971" s="87" t="s">
        <v>990</v>
      </c>
      <c r="O971" s="25">
        <f t="shared" si="30"/>
        <v>-8.4459459459459429E-3</v>
      </c>
    </row>
    <row r="972" spans="1:15">
      <c r="A972" s="88">
        <v>390.27471339506127</v>
      </c>
      <c r="B972" s="88">
        <v>390.96521049211117</v>
      </c>
      <c r="C972" s="88">
        <v>386.93731075932027</v>
      </c>
      <c r="D972" s="88">
        <v>387.02362289645151</v>
      </c>
      <c r="E972" s="89">
        <v>3388825.3694294724</v>
      </c>
      <c r="F972" s="87" t="s">
        <v>991</v>
      </c>
      <c r="G972" s="25">
        <f t="shared" si="29"/>
        <v>8.4002378828424984E-3</v>
      </c>
      <c r="I972" s="88">
        <v>188.52</v>
      </c>
      <c r="J972" s="88">
        <v>199.92500000000001</v>
      </c>
      <c r="K972" s="88">
        <v>188.09</v>
      </c>
      <c r="L972" s="88">
        <v>199.5</v>
      </c>
      <c r="M972" s="89">
        <v>1373263</v>
      </c>
      <c r="N972" s="87" t="s">
        <v>991</v>
      </c>
      <c r="O972" s="25">
        <f t="shared" si="30"/>
        <v>-5.503759398496233E-2</v>
      </c>
    </row>
    <row r="973" spans="1:15">
      <c r="A973" s="88">
        <v>386.11255033784403</v>
      </c>
      <c r="B973" s="88">
        <v>388.78822658891227</v>
      </c>
      <c r="C973" s="88">
        <v>385.58508727759761</v>
      </c>
      <c r="D973" s="88">
        <v>388.74027540161717</v>
      </c>
      <c r="E973" s="89">
        <v>2761194.4034897257</v>
      </c>
      <c r="F973" s="87" t="s">
        <v>992</v>
      </c>
      <c r="G973" s="25">
        <f t="shared" si="29"/>
        <v>-6.7595904773652959E-3</v>
      </c>
      <c r="I973" s="88">
        <v>197.74</v>
      </c>
      <c r="J973" s="88">
        <v>199.81440000000001</v>
      </c>
      <c r="K973" s="88">
        <v>193.25</v>
      </c>
      <c r="L973" s="88">
        <v>196.6</v>
      </c>
      <c r="M973" s="89">
        <v>1779093</v>
      </c>
      <c r="N973" s="87" t="s">
        <v>992</v>
      </c>
      <c r="O973" s="25">
        <f t="shared" si="30"/>
        <v>5.7985757884029265E-3</v>
      </c>
    </row>
    <row r="974" spans="1:15">
      <c r="A974" s="88">
        <v>387.196247170714</v>
      </c>
      <c r="B974" s="88">
        <v>387.81961260555062</v>
      </c>
      <c r="C974" s="88">
        <v>383.59990812357927</v>
      </c>
      <c r="D974" s="88">
        <v>385.66180917726979</v>
      </c>
      <c r="E974" s="89">
        <v>3433109.9871789827</v>
      </c>
      <c r="F974" s="87" t="s">
        <v>993</v>
      </c>
      <c r="G974" s="25">
        <f t="shared" si="29"/>
        <v>3.9787138807381162E-3</v>
      </c>
      <c r="I974" s="88">
        <v>196.52</v>
      </c>
      <c r="J974" s="88">
        <v>205.41</v>
      </c>
      <c r="K974" s="88">
        <v>195.31</v>
      </c>
      <c r="L974" s="88">
        <v>204.26</v>
      </c>
      <c r="M974" s="89">
        <v>1681712</v>
      </c>
      <c r="N974" s="87" t="s">
        <v>993</v>
      </c>
      <c r="O974" s="25">
        <f t="shared" si="30"/>
        <v>-3.789288162146276E-2</v>
      </c>
    </row>
    <row r="975" spans="1:15">
      <c r="A975" s="88">
        <v>384.65483424407205</v>
      </c>
      <c r="B975" s="88">
        <v>385.54672632776146</v>
      </c>
      <c r="C975" s="88">
        <v>381.5475973073477</v>
      </c>
      <c r="D975" s="88">
        <v>381.85448490603653</v>
      </c>
      <c r="E975" s="89">
        <v>4335311.8395279841</v>
      </c>
      <c r="F975" s="87" t="s">
        <v>994</v>
      </c>
      <c r="G975" s="25">
        <f t="shared" si="29"/>
        <v>7.3335509958056821E-3</v>
      </c>
      <c r="I975" s="88">
        <v>205.10499999999999</v>
      </c>
      <c r="J975" s="88">
        <v>209.09</v>
      </c>
      <c r="K975" s="88">
        <v>204.65</v>
      </c>
      <c r="L975" s="88">
        <v>206.86</v>
      </c>
      <c r="M975" s="89">
        <v>821538</v>
      </c>
      <c r="N975" s="87" t="s">
        <v>994</v>
      </c>
      <c r="O975" s="25">
        <f t="shared" si="30"/>
        <v>-8.4839988397951149E-3</v>
      </c>
    </row>
    <row r="976" spans="1:15">
      <c r="A976" s="88">
        <v>384.29999545808818</v>
      </c>
      <c r="B976" s="88">
        <v>388.96085086317476</v>
      </c>
      <c r="C976" s="88">
        <v>383.96433714702221</v>
      </c>
      <c r="D976" s="88">
        <v>388.7210949266991</v>
      </c>
      <c r="E976" s="89">
        <v>7405973.0328318421</v>
      </c>
      <c r="F976" s="87" t="s">
        <v>995</v>
      </c>
      <c r="G976" s="25">
        <f t="shared" si="29"/>
        <v>-1.137344879480906E-2</v>
      </c>
      <c r="I976" s="88">
        <v>208.29</v>
      </c>
      <c r="J976" s="88">
        <v>211.69</v>
      </c>
      <c r="K976" s="88">
        <v>204.26</v>
      </c>
      <c r="L976" s="88">
        <v>211.69</v>
      </c>
      <c r="M976" s="89">
        <v>1450109</v>
      </c>
      <c r="N976" s="87" t="s">
        <v>995</v>
      </c>
      <c r="O976" s="25">
        <f t="shared" si="30"/>
        <v>-1.6061221597619135E-2</v>
      </c>
    </row>
    <row r="977" spans="1:15">
      <c r="A977" s="88">
        <v>387.43600310718961</v>
      </c>
      <c r="B977" s="88">
        <v>391.38718094030833</v>
      </c>
      <c r="C977" s="88">
        <v>387.32092025768134</v>
      </c>
      <c r="D977" s="88">
        <v>389.92946484653635</v>
      </c>
      <c r="E977" s="89">
        <v>3496944.6943606939</v>
      </c>
      <c r="F977" s="87" t="s">
        <v>996</v>
      </c>
      <c r="G977" s="25">
        <f t="shared" si="29"/>
        <v>-6.3946481713765824E-3</v>
      </c>
      <c r="I977" s="88">
        <v>210.6</v>
      </c>
      <c r="J977" s="88">
        <v>218.64</v>
      </c>
      <c r="K977" s="88">
        <v>210.18</v>
      </c>
      <c r="L977" s="88">
        <v>218.42</v>
      </c>
      <c r="M977" s="89">
        <v>1244249</v>
      </c>
      <c r="N977" s="87" t="s">
        <v>996</v>
      </c>
      <c r="O977" s="25">
        <f t="shared" si="30"/>
        <v>-3.5802582181118869E-2</v>
      </c>
    </row>
    <row r="978" spans="1:15">
      <c r="A978" s="88">
        <v>390.32266458235642</v>
      </c>
      <c r="B978" s="88">
        <v>394.84206398492239</v>
      </c>
      <c r="C978" s="88">
        <v>389.75684057227392</v>
      </c>
      <c r="D978" s="88">
        <v>393.28604795719542</v>
      </c>
      <c r="E978" s="89">
        <v>4886343.0337583646</v>
      </c>
      <c r="F978" s="87" t="s">
        <v>997</v>
      </c>
      <c r="G978" s="25">
        <f t="shared" si="29"/>
        <v>-7.5349313565313825E-3</v>
      </c>
      <c r="I978" s="88">
        <v>219.08</v>
      </c>
      <c r="J978" s="88">
        <v>227.55</v>
      </c>
      <c r="K978" s="88">
        <v>218.81</v>
      </c>
      <c r="L978" s="88">
        <v>222.86</v>
      </c>
      <c r="M978" s="89">
        <v>1036745</v>
      </c>
      <c r="N978" s="87" t="s">
        <v>997</v>
      </c>
      <c r="O978" s="25">
        <f t="shared" si="30"/>
        <v>-1.6961321008705066E-2</v>
      </c>
    </row>
    <row r="979" spans="1:15">
      <c r="A979" s="88">
        <v>394.84925666301672</v>
      </c>
      <c r="B979" s="88">
        <v>394.86843713793473</v>
      </c>
      <c r="C979" s="88">
        <v>391.57898568948883</v>
      </c>
      <c r="D979" s="88">
        <v>391.81874162596449</v>
      </c>
      <c r="E979" s="89">
        <v>2891390.3454916477</v>
      </c>
      <c r="F979" s="87" t="s">
        <v>998</v>
      </c>
      <c r="G979" s="25">
        <f t="shared" si="29"/>
        <v>7.7344820834148731E-3</v>
      </c>
      <c r="I979" s="88">
        <v>223.89</v>
      </c>
      <c r="J979" s="88">
        <v>226.87</v>
      </c>
      <c r="K979" s="88">
        <v>221.89</v>
      </c>
      <c r="L979" s="88">
        <v>226</v>
      </c>
      <c r="M979" s="89">
        <v>845521</v>
      </c>
      <c r="N979" s="87" t="s">
        <v>998</v>
      </c>
      <c r="O979" s="25">
        <f t="shared" si="30"/>
        <v>-9.336283185840788E-3</v>
      </c>
    </row>
    <row r="980" spans="1:15">
      <c r="A980" s="88">
        <v>392.63391180998173</v>
      </c>
      <c r="B980" s="88">
        <v>393.59293555588431</v>
      </c>
      <c r="C980" s="88">
        <v>390.64873265596327</v>
      </c>
      <c r="D980" s="88">
        <v>391.23373714096391</v>
      </c>
      <c r="E980" s="89">
        <v>3043576.3582192445</v>
      </c>
      <c r="F980" s="87" t="s">
        <v>999</v>
      </c>
      <c r="G980" s="25">
        <f t="shared" si="29"/>
        <v>3.5788699595540319E-3</v>
      </c>
      <c r="I980" s="88">
        <v>225.28</v>
      </c>
      <c r="J980" s="88">
        <v>231.72</v>
      </c>
      <c r="K980" s="88">
        <v>223.5</v>
      </c>
      <c r="L980" s="88">
        <v>231.72</v>
      </c>
      <c r="M980" s="89">
        <v>1611953</v>
      </c>
      <c r="N980" s="87" t="s">
        <v>999</v>
      </c>
      <c r="O980" s="25">
        <f t="shared" si="30"/>
        <v>-2.7792162955290856E-2</v>
      </c>
    </row>
    <row r="981" spans="1:15">
      <c r="A981" s="88">
        <v>392.99834083342466</v>
      </c>
      <c r="B981" s="88">
        <v>398.04280573687231</v>
      </c>
      <c r="C981" s="88">
        <v>391.87628305071865</v>
      </c>
      <c r="D981" s="88">
        <v>394.9259785626889</v>
      </c>
      <c r="E981" s="89">
        <v>4784371.6275050594</v>
      </c>
      <c r="F981" s="87" t="s">
        <v>1000</v>
      </c>
      <c r="G981" s="25">
        <f t="shared" si="29"/>
        <v>-4.8810101991257904E-3</v>
      </c>
      <c r="I981" s="88">
        <v>233.66</v>
      </c>
      <c r="J981" s="88">
        <v>239.7</v>
      </c>
      <c r="K981" s="88">
        <v>229.98</v>
      </c>
      <c r="L981" s="88">
        <v>230.33</v>
      </c>
      <c r="M981" s="89">
        <v>1771717</v>
      </c>
      <c r="N981" s="87" t="s">
        <v>1000</v>
      </c>
      <c r="O981" s="25">
        <f t="shared" si="30"/>
        <v>1.4457517474927295E-2</v>
      </c>
    </row>
    <row r="982" spans="1:15">
      <c r="A982" s="88">
        <v>392.76817513440807</v>
      </c>
      <c r="B982" s="88">
        <v>395.81787064637831</v>
      </c>
      <c r="C982" s="88">
        <v>392.09685851227624</v>
      </c>
      <c r="D982" s="88">
        <v>395.75073898416514</v>
      </c>
      <c r="E982" s="89">
        <v>3280350.4745747144</v>
      </c>
      <c r="F982" s="87" t="s">
        <v>1001</v>
      </c>
      <c r="G982" s="25">
        <f t="shared" si="29"/>
        <v>-7.5364707022730348E-3</v>
      </c>
      <c r="I982" s="88">
        <v>229.69</v>
      </c>
      <c r="J982" s="88">
        <v>239.13</v>
      </c>
      <c r="K982" s="88">
        <v>225.39</v>
      </c>
      <c r="L982" s="88">
        <v>235</v>
      </c>
      <c r="M982" s="89">
        <v>2758469</v>
      </c>
      <c r="N982" s="87" t="s">
        <v>1001</v>
      </c>
      <c r="O982" s="25">
        <f t="shared" si="30"/>
        <v>-2.2595744680851126E-2</v>
      </c>
    </row>
    <row r="983" spans="1:15">
      <c r="A983" s="88">
        <v>395.39590019818115</v>
      </c>
      <c r="B983" s="88">
        <v>395.82746088383732</v>
      </c>
      <c r="C983" s="88">
        <v>392.36059004239945</v>
      </c>
      <c r="D983" s="88">
        <v>394.88761761285275</v>
      </c>
      <c r="E983" s="89">
        <v>3941597.9178308365</v>
      </c>
      <c r="F983" s="87" t="s">
        <v>1002</v>
      </c>
      <c r="G983" s="25">
        <f t="shared" si="29"/>
        <v>1.2871575675150737E-3</v>
      </c>
      <c r="I983" s="88">
        <v>238.34</v>
      </c>
      <c r="J983" s="88">
        <v>256.81</v>
      </c>
      <c r="K983" s="88">
        <v>236.74</v>
      </c>
      <c r="L983" s="88">
        <v>255</v>
      </c>
      <c r="M983" s="89">
        <v>2576882</v>
      </c>
      <c r="N983" s="87" t="s">
        <v>1002</v>
      </c>
      <c r="O983" s="25">
        <f t="shared" si="30"/>
        <v>-6.5333333333333354E-2</v>
      </c>
    </row>
    <row r="984" spans="1:15">
      <c r="A984" s="88">
        <v>397.11255270334681</v>
      </c>
      <c r="B984" s="88">
        <v>397.26599650269122</v>
      </c>
      <c r="C984" s="88">
        <v>394.77253476334448</v>
      </c>
      <c r="D984" s="88">
        <v>395.39590019818115</v>
      </c>
      <c r="E984" s="89">
        <v>2708980.8892634725</v>
      </c>
      <c r="F984" s="87" t="s">
        <v>1003</v>
      </c>
      <c r="G984" s="25">
        <f t="shared" si="29"/>
        <v>4.341604210628569E-3</v>
      </c>
      <c r="I984" s="88">
        <v>260.85000000000002</v>
      </c>
      <c r="J984" s="88">
        <v>265.69</v>
      </c>
      <c r="K984" s="88">
        <v>259.83999999999997</v>
      </c>
      <c r="L984" s="88">
        <v>263.08</v>
      </c>
      <c r="M984" s="89">
        <v>521192</v>
      </c>
      <c r="N984" s="87" t="s">
        <v>1003</v>
      </c>
      <c r="O984" s="25">
        <f t="shared" si="30"/>
        <v>-8.4765090466776272E-3</v>
      </c>
    </row>
    <row r="985" spans="1:15">
      <c r="A985" s="88">
        <v>393.56416484350717</v>
      </c>
      <c r="B985" s="88">
        <v>399.07711284682824</v>
      </c>
      <c r="C985" s="88">
        <v>393.22850653244126</v>
      </c>
      <c r="D985" s="88">
        <v>397.17968436555998</v>
      </c>
      <c r="E985" s="89">
        <v>5961547.9016310833</v>
      </c>
      <c r="F985" s="87" t="s">
        <v>1004</v>
      </c>
      <c r="G985" s="25">
        <f t="shared" si="29"/>
        <v>-9.1029820113486259E-3</v>
      </c>
      <c r="I985" s="88">
        <v>263.14</v>
      </c>
      <c r="J985" s="88">
        <v>266.47500000000002</v>
      </c>
      <c r="K985" s="88">
        <v>260.47000000000003</v>
      </c>
      <c r="L985" s="88">
        <v>264.48</v>
      </c>
      <c r="M985" s="89">
        <v>626758</v>
      </c>
      <c r="N985" s="87" t="s">
        <v>1004</v>
      </c>
      <c r="O985" s="25">
        <f t="shared" si="30"/>
        <v>-5.066545674531242E-3</v>
      </c>
    </row>
    <row r="986" spans="1:15">
      <c r="A986" s="88">
        <v>395.50139281023041</v>
      </c>
      <c r="B986" s="88">
        <v>397.21804531539607</v>
      </c>
      <c r="C986" s="88">
        <v>394.24507170309801</v>
      </c>
      <c r="D986" s="88">
        <v>394.81089571318057</v>
      </c>
      <c r="E986" s="89">
        <v>3157585.0055203559</v>
      </c>
      <c r="F986" s="87" t="s">
        <v>1005</v>
      </c>
      <c r="G986" s="25">
        <f t="shared" si="29"/>
        <v>1.748931208705784E-3</v>
      </c>
      <c r="I986" s="88">
        <v>265.27999999999997</v>
      </c>
      <c r="J986" s="88">
        <v>269.33499999999998</v>
      </c>
      <c r="K986" s="88">
        <v>263.7</v>
      </c>
      <c r="L986" s="88">
        <v>268.12</v>
      </c>
      <c r="M986" s="89">
        <v>576569</v>
      </c>
      <c r="N986" s="87" t="s">
        <v>1005</v>
      </c>
      <c r="O986" s="25">
        <f t="shared" si="30"/>
        <v>-1.0592272116962675E-2</v>
      </c>
    </row>
    <row r="987" spans="1:15">
      <c r="A987" s="88">
        <v>396.62345059293648</v>
      </c>
      <c r="B987" s="88">
        <v>399.62519491761162</v>
      </c>
      <c r="C987" s="88">
        <v>395.96172420826366</v>
      </c>
      <c r="D987" s="88">
        <v>399.39502921859497</v>
      </c>
      <c r="E987" s="89">
        <v>5191808.8798874272</v>
      </c>
      <c r="F987" s="87" t="s">
        <v>1006</v>
      </c>
      <c r="G987" s="25">
        <f t="shared" si="29"/>
        <v>-6.9394419632137216E-3</v>
      </c>
      <c r="I987" s="88">
        <v>268.74</v>
      </c>
      <c r="J987" s="88">
        <v>270.08</v>
      </c>
      <c r="K987" s="88">
        <v>266.17</v>
      </c>
      <c r="L987" s="88">
        <v>269</v>
      </c>
      <c r="M987" s="89">
        <v>408160</v>
      </c>
      <c r="N987" s="87" t="s">
        <v>1006</v>
      </c>
      <c r="O987" s="25">
        <f t="shared" si="30"/>
        <v>-9.6654275092933339E-4</v>
      </c>
    </row>
    <row r="988" spans="1:15">
      <c r="A988" s="88">
        <v>402.19537855663054</v>
      </c>
      <c r="B988" s="88">
        <v>402.86669517876237</v>
      </c>
      <c r="C988" s="88">
        <v>401.39938884753144</v>
      </c>
      <c r="D988" s="88">
        <v>402.08029570712222</v>
      </c>
      <c r="E988" s="89">
        <v>3271321.5010618111</v>
      </c>
      <c r="F988" s="87" t="s">
        <v>1007</v>
      </c>
      <c r="G988" s="25">
        <f t="shared" si="29"/>
        <v>2.8621857558563946E-4</v>
      </c>
      <c r="I988" s="88">
        <v>270.94</v>
      </c>
      <c r="J988" s="88">
        <v>277.64999999999998</v>
      </c>
      <c r="K988" s="88">
        <v>269.55</v>
      </c>
      <c r="L988" s="88">
        <v>275.19</v>
      </c>
      <c r="M988" s="89">
        <v>536412</v>
      </c>
      <c r="N988" s="87" t="s">
        <v>1007</v>
      </c>
      <c r="O988" s="25">
        <f t="shared" si="30"/>
        <v>-1.5443875140811802E-2</v>
      </c>
    </row>
    <row r="989" spans="1:15">
      <c r="A989" s="88">
        <v>403.44210942630394</v>
      </c>
      <c r="B989" s="88">
        <v>403.72022631261569</v>
      </c>
      <c r="C989" s="88">
        <v>401.8789007204827</v>
      </c>
      <c r="D989" s="88">
        <v>403.09686087777902</v>
      </c>
      <c r="E989" s="89">
        <v>3602139.1699208915</v>
      </c>
      <c r="F989" s="87" t="s">
        <v>1008</v>
      </c>
      <c r="G989" s="25">
        <f t="shared" si="29"/>
        <v>8.5649029311007929E-4</v>
      </c>
      <c r="I989" s="88">
        <v>276.75</v>
      </c>
      <c r="J989" s="88">
        <v>281.83</v>
      </c>
      <c r="K989" s="88">
        <v>274.48</v>
      </c>
      <c r="L989" s="88">
        <v>281.83</v>
      </c>
      <c r="M989" s="89">
        <v>325206</v>
      </c>
      <c r="N989" s="87" t="s">
        <v>1008</v>
      </c>
      <c r="O989" s="25">
        <f t="shared" si="30"/>
        <v>-1.8025050562395672E-2</v>
      </c>
    </row>
    <row r="990" spans="1:15">
      <c r="A990" s="88">
        <v>402.66530019212286</v>
      </c>
      <c r="B990" s="88">
        <v>403.38456800154978</v>
      </c>
      <c r="C990" s="88">
        <v>401.02536958662944</v>
      </c>
      <c r="D990" s="88">
        <v>401.76381787097438</v>
      </c>
      <c r="E990" s="89">
        <v>2818208.6330472422</v>
      </c>
      <c r="F990" s="87" t="s">
        <v>1009</v>
      </c>
      <c r="G990" s="25">
        <f t="shared" si="29"/>
        <v>2.2438116153058463E-3</v>
      </c>
      <c r="I990" s="88">
        <v>280.52999999999997</v>
      </c>
      <c r="J990" s="88">
        <v>283</v>
      </c>
      <c r="K990" s="88">
        <v>277.98250000000002</v>
      </c>
      <c r="L990" s="88">
        <v>280.70999999999998</v>
      </c>
      <c r="M990" s="89">
        <v>284508</v>
      </c>
      <c r="N990" s="87" t="s">
        <v>1009</v>
      </c>
      <c r="O990" s="25">
        <f t="shared" si="30"/>
        <v>-6.4123116383463241E-4</v>
      </c>
    </row>
    <row r="991" spans="1:15">
      <c r="A991" s="88">
        <v>398.78125402121731</v>
      </c>
      <c r="B991" s="88">
        <v>404.85187433278071</v>
      </c>
      <c r="C991" s="88">
        <v>397.91813264990498</v>
      </c>
      <c r="D991" s="88">
        <v>404.50662578425585</v>
      </c>
      <c r="E991" s="89">
        <v>4326736.4522811752</v>
      </c>
      <c r="F991" s="87" t="s">
        <v>1010</v>
      </c>
      <c r="G991" s="25">
        <f t="shared" si="29"/>
        <v>-1.4153962872519577E-2</v>
      </c>
      <c r="I991" s="88">
        <v>277.57</v>
      </c>
      <c r="J991" s="88">
        <v>282.54500000000002</v>
      </c>
      <c r="K991" s="88">
        <v>277.07</v>
      </c>
      <c r="L991" s="88">
        <v>282.49</v>
      </c>
      <c r="M991" s="89">
        <v>342891</v>
      </c>
      <c r="N991" s="87" t="s">
        <v>1010</v>
      </c>
      <c r="O991" s="25">
        <f t="shared" si="30"/>
        <v>-1.7416545718432541E-2</v>
      </c>
    </row>
    <row r="992" spans="1:15">
      <c r="A992" s="88">
        <v>401.5048814595807</v>
      </c>
      <c r="B992" s="88">
        <v>402.68448066704087</v>
      </c>
      <c r="C992" s="88">
        <v>399.5101120681033</v>
      </c>
      <c r="D992" s="88">
        <v>400.50749676384197</v>
      </c>
      <c r="E992" s="89">
        <v>6401131.386191451</v>
      </c>
      <c r="F992" s="87" t="s">
        <v>1011</v>
      </c>
      <c r="G992" s="25">
        <f t="shared" si="29"/>
        <v>2.4903021885924748E-3</v>
      </c>
      <c r="I992" s="88">
        <v>280.87</v>
      </c>
      <c r="J992" s="88">
        <v>283.07</v>
      </c>
      <c r="K992" s="88">
        <v>278.95</v>
      </c>
      <c r="L992" s="88">
        <v>280.44</v>
      </c>
      <c r="M992" s="89">
        <v>305829</v>
      </c>
      <c r="N992" s="87" t="s">
        <v>1011</v>
      </c>
      <c r="O992" s="25">
        <f t="shared" si="30"/>
        <v>1.5333048067323052E-3</v>
      </c>
    </row>
    <row r="993" spans="1:15">
      <c r="A993" s="88">
        <v>401.40897908499045</v>
      </c>
      <c r="B993" s="88">
        <v>402.45431496802422</v>
      </c>
      <c r="C993" s="88">
        <v>399.97754024185622</v>
      </c>
      <c r="D993" s="88">
        <v>399.98962394105456</v>
      </c>
      <c r="E993" s="89">
        <v>4118050.2744309693</v>
      </c>
      <c r="F993" s="87" t="s">
        <v>1012</v>
      </c>
      <c r="G993" s="25">
        <f t="shared" si="29"/>
        <v>3.548479907931501E-3</v>
      </c>
      <c r="I993" s="88">
        <v>281.74</v>
      </c>
      <c r="J993" s="88">
        <v>283.39999999999998</v>
      </c>
      <c r="K993" s="88">
        <v>277.01</v>
      </c>
      <c r="L993" s="88">
        <v>277.5</v>
      </c>
      <c r="M993" s="89">
        <v>364951</v>
      </c>
      <c r="N993" s="87" t="s">
        <v>1012</v>
      </c>
      <c r="O993" s="25">
        <f t="shared" si="30"/>
        <v>1.5279279279279301E-2</v>
      </c>
    </row>
    <row r="994" spans="1:15">
      <c r="A994" s="88">
        <v>400.22937987753022</v>
      </c>
      <c r="B994" s="88">
        <v>400.96782816187527</v>
      </c>
      <c r="C994" s="88">
        <v>398.96826365166834</v>
      </c>
      <c r="D994" s="88">
        <v>399.5101120681033</v>
      </c>
      <c r="E994" s="89">
        <v>3619436.9689283469</v>
      </c>
      <c r="F994" s="87" t="s">
        <v>1013</v>
      </c>
      <c r="G994" s="25">
        <f t="shared" si="29"/>
        <v>1.8003744778913866E-3</v>
      </c>
      <c r="I994" s="88">
        <v>279.60000000000002</v>
      </c>
      <c r="J994" s="88">
        <v>284.60000000000002</v>
      </c>
      <c r="K994" s="88">
        <v>276.52</v>
      </c>
      <c r="L994" s="88">
        <v>283.31</v>
      </c>
      <c r="M994" s="89">
        <v>485162</v>
      </c>
      <c r="N994" s="87" t="s">
        <v>1013</v>
      </c>
      <c r="O994" s="25">
        <f t="shared" si="30"/>
        <v>-1.3095196074970783E-2</v>
      </c>
    </row>
    <row r="995" spans="1:15">
      <c r="A995" s="88">
        <v>398.54149808474165</v>
      </c>
      <c r="B995" s="88">
        <v>400.2006091651532</v>
      </c>
      <c r="C995" s="88">
        <v>398.45518594761046</v>
      </c>
      <c r="D995" s="88">
        <v>400.0183946534317</v>
      </c>
      <c r="E995" s="89">
        <v>3312444.5704002897</v>
      </c>
      <c r="F995" s="87" t="s">
        <v>1014</v>
      </c>
      <c r="G995" s="25">
        <f t="shared" si="29"/>
        <v>-3.6920716357796701E-3</v>
      </c>
      <c r="I995" s="88">
        <v>284.27999999999997</v>
      </c>
      <c r="J995" s="88">
        <v>286.71499999999997</v>
      </c>
      <c r="K995" s="88">
        <v>279.20999999999998</v>
      </c>
      <c r="L995" s="88">
        <v>280.98</v>
      </c>
      <c r="M995" s="89">
        <v>389342</v>
      </c>
      <c r="N995" s="87" t="s">
        <v>1014</v>
      </c>
      <c r="O995" s="25">
        <f t="shared" si="30"/>
        <v>1.1744608157163938E-2</v>
      </c>
    </row>
    <row r="996" spans="1:15">
      <c r="A996" s="88">
        <v>398.49354689744655</v>
      </c>
      <c r="B996" s="88">
        <v>401.02536958662944</v>
      </c>
      <c r="C996" s="88">
        <v>397.82223027531472</v>
      </c>
      <c r="D996" s="88">
        <v>400.2006091651532</v>
      </c>
      <c r="E996" s="89">
        <v>4259536.8649139758</v>
      </c>
      <c r="F996" s="87" t="s">
        <v>1015</v>
      </c>
      <c r="G996" s="25">
        <f t="shared" si="29"/>
        <v>-4.2655164150492419E-3</v>
      </c>
      <c r="I996" s="88">
        <v>278.83</v>
      </c>
      <c r="J996" s="88">
        <v>289.73</v>
      </c>
      <c r="K996" s="88">
        <v>277.77999999999997</v>
      </c>
      <c r="L996" s="88">
        <v>288.12</v>
      </c>
      <c r="M996" s="89">
        <v>731871</v>
      </c>
      <c r="N996" s="87" t="s">
        <v>1015</v>
      </c>
      <c r="O996" s="25">
        <f t="shared" si="30"/>
        <v>-3.2243509648757551E-2</v>
      </c>
    </row>
    <row r="997" spans="1:15">
      <c r="A997" s="88">
        <v>401.11168172376063</v>
      </c>
      <c r="B997" s="88">
        <v>402.18578831917154</v>
      </c>
      <c r="C997" s="88">
        <v>400.38282367687469</v>
      </c>
      <c r="D997" s="88">
        <v>400.93905744949814</v>
      </c>
      <c r="E997" s="89">
        <v>3644243.4454120025</v>
      </c>
      <c r="F997" s="87" t="s">
        <v>1016</v>
      </c>
      <c r="G997" s="25">
        <f t="shared" si="29"/>
        <v>4.3054990791024927E-4</v>
      </c>
      <c r="I997" s="88">
        <v>287.82</v>
      </c>
      <c r="J997" s="88">
        <v>289.99</v>
      </c>
      <c r="K997" s="88">
        <v>284.92500000000001</v>
      </c>
      <c r="L997" s="88">
        <v>286.60000000000002</v>
      </c>
      <c r="M997" s="89">
        <v>514930</v>
      </c>
      <c r="N997" s="87" t="s">
        <v>1016</v>
      </c>
      <c r="O997" s="25">
        <f t="shared" si="30"/>
        <v>4.2568039078854092E-3</v>
      </c>
    </row>
    <row r="998" spans="1:15">
      <c r="A998" s="88">
        <v>400.24856035244829</v>
      </c>
      <c r="B998" s="88">
        <v>400.80479412507179</v>
      </c>
      <c r="C998" s="88">
        <v>396.5946798805594</v>
      </c>
      <c r="D998" s="88">
        <v>396.94951866654338</v>
      </c>
      <c r="E998" s="89">
        <v>3750985.3279121644</v>
      </c>
      <c r="F998" s="87" t="s">
        <v>1017</v>
      </c>
      <c r="G998" s="25">
        <f t="shared" si="29"/>
        <v>8.3109854799352512E-3</v>
      </c>
      <c r="I998" s="88">
        <v>285.39</v>
      </c>
      <c r="J998" s="88">
        <v>288.185</v>
      </c>
      <c r="K998" s="88">
        <v>283.43</v>
      </c>
      <c r="L998" s="88">
        <v>286.92</v>
      </c>
      <c r="M998" s="89">
        <v>525531</v>
      </c>
      <c r="N998" s="87" t="s">
        <v>1017</v>
      </c>
      <c r="O998" s="25">
        <f t="shared" si="30"/>
        <v>-5.3324968632372238E-3</v>
      </c>
    </row>
    <row r="999" spans="1:15">
      <c r="A999" s="88">
        <v>397.23722579031414</v>
      </c>
      <c r="B999" s="88">
        <v>398.23413097417989</v>
      </c>
      <c r="C999" s="88">
        <v>395.72196827178806</v>
      </c>
      <c r="D999" s="88">
        <v>395.74114874670607</v>
      </c>
      <c r="E999" s="89">
        <v>3095092.2880500555</v>
      </c>
      <c r="F999" s="87" t="s">
        <v>1018</v>
      </c>
      <c r="G999" s="25">
        <f t="shared" si="29"/>
        <v>3.7804434751000926E-3</v>
      </c>
      <c r="I999" s="88">
        <v>287.95999999999998</v>
      </c>
      <c r="J999" s="88">
        <v>293.63900000000001</v>
      </c>
      <c r="K999" s="88">
        <v>287.74</v>
      </c>
      <c r="L999" s="88">
        <v>292.07</v>
      </c>
      <c r="M999" s="89">
        <v>336740</v>
      </c>
      <c r="N999" s="87" t="s">
        <v>1018</v>
      </c>
      <c r="O999" s="25">
        <f t="shared" si="30"/>
        <v>-1.407196904851582E-2</v>
      </c>
    </row>
    <row r="1000" spans="1:15">
      <c r="A1000" s="88">
        <v>395.8562315962144</v>
      </c>
      <c r="B1000" s="88">
        <v>397.71673766326541</v>
      </c>
      <c r="C1000" s="88">
        <v>395.19450521154158</v>
      </c>
      <c r="D1000" s="88">
        <v>396.97828937892046</v>
      </c>
      <c r="E1000" s="89">
        <v>3838220.9155161623</v>
      </c>
      <c r="F1000" s="87" t="s">
        <v>1019</v>
      </c>
      <c r="G1000" s="25">
        <f t="shared" si="29"/>
        <v>-2.8264965937092601E-3</v>
      </c>
      <c r="I1000" s="88">
        <v>290.89</v>
      </c>
      <c r="J1000" s="88">
        <v>291.54000000000002</v>
      </c>
      <c r="K1000" s="88">
        <v>285.52999999999997</v>
      </c>
      <c r="L1000" s="88">
        <v>287.07</v>
      </c>
      <c r="M1000" s="89">
        <v>396093</v>
      </c>
      <c r="N1000" s="87" t="s">
        <v>1019</v>
      </c>
      <c r="O1000" s="25">
        <f t="shared" si="30"/>
        <v>1.330685895426198E-2</v>
      </c>
    </row>
    <row r="1001" spans="1:15">
      <c r="A1001" s="88">
        <v>396.1727094323623</v>
      </c>
      <c r="B1001" s="88">
        <v>396.85361629195313</v>
      </c>
      <c r="C1001" s="88">
        <v>394.28343265293415</v>
      </c>
      <c r="D1001" s="88">
        <v>394.67663238875423</v>
      </c>
      <c r="E1001" s="89">
        <v>3413290.8741682703</v>
      </c>
      <c r="F1001" s="87" t="s">
        <v>1020</v>
      </c>
      <c r="G1001" s="25">
        <f t="shared" si="29"/>
        <v>3.7906400349905223E-3</v>
      </c>
      <c r="I1001" s="88">
        <v>285.75</v>
      </c>
      <c r="J1001" s="88">
        <v>288.08760000000001</v>
      </c>
      <c r="K1001" s="88">
        <v>285.23</v>
      </c>
      <c r="L1001" s="88">
        <v>286.83</v>
      </c>
      <c r="M1001" s="89">
        <v>287500</v>
      </c>
      <c r="N1001" s="87" t="s">
        <v>1020</v>
      </c>
      <c r="O1001" s="25">
        <f t="shared" si="30"/>
        <v>-3.7652965171006691E-3</v>
      </c>
    </row>
    <row r="1002" spans="1:15">
      <c r="A1002" s="88">
        <v>392.96957012104758</v>
      </c>
      <c r="B1002" s="88">
        <v>394.28343265293415</v>
      </c>
      <c r="C1002" s="88">
        <v>392.03931708752208</v>
      </c>
      <c r="D1002" s="88">
        <v>393.38195033178573</v>
      </c>
      <c r="E1002" s="89">
        <v>4427793.3869129522</v>
      </c>
      <c r="F1002" s="87" t="s">
        <v>1021</v>
      </c>
      <c r="G1002" s="25">
        <f t="shared" si="29"/>
        <v>-1.0482946927035108E-3</v>
      </c>
      <c r="I1002" s="88">
        <v>285.49</v>
      </c>
      <c r="J1002" s="88">
        <v>286.8</v>
      </c>
      <c r="K1002" s="88">
        <v>281.31</v>
      </c>
      <c r="L1002" s="88">
        <v>283.98</v>
      </c>
      <c r="M1002" s="89">
        <v>400719</v>
      </c>
      <c r="N1002" s="87" t="s">
        <v>1021</v>
      </c>
      <c r="O1002" s="25">
        <f t="shared" si="30"/>
        <v>5.3172758644974838E-3</v>
      </c>
    </row>
    <row r="1003" spans="1:15">
      <c r="A1003" s="88">
        <v>389.90069413415927</v>
      </c>
      <c r="B1003" s="88">
        <v>390.32266458235642</v>
      </c>
      <c r="C1003" s="88">
        <v>387.22501788309103</v>
      </c>
      <c r="D1003" s="88">
        <v>388.18404162899361</v>
      </c>
      <c r="E1003" s="89">
        <v>3317822.9565164181</v>
      </c>
      <c r="F1003" s="87" t="s">
        <v>1022</v>
      </c>
      <c r="G1003" s="25">
        <f t="shared" si="29"/>
        <v>4.4222644958866741E-3</v>
      </c>
      <c r="I1003" s="88">
        <v>282.5</v>
      </c>
      <c r="J1003" s="88">
        <v>286</v>
      </c>
      <c r="K1003" s="88">
        <v>280.17500000000001</v>
      </c>
      <c r="L1003" s="88">
        <v>285.33</v>
      </c>
      <c r="M1003" s="89">
        <v>452401</v>
      </c>
      <c r="N1003" s="87" t="s">
        <v>1022</v>
      </c>
      <c r="O1003" s="25">
        <f t="shared" si="30"/>
        <v>-9.9183401675252414E-3</v>
      </c>
    </row>
    <row r="1004" spans="1:15">
      <c r="A1004" s="88">
        <v>387.41682263227159</v>
      </c>
      <c r="B1004" s="88">
        <v>387.55108595669793</v>
      </c>
      <c r="C1004" s="88">
        <v>385.58508727759761</v>
      </c>
      <c r="D1004" s="88">
        <v>386.1317308127621</v>
      </c>
      <c r="E1004" s="89">
        <v>3505937.1724268999</v>
      </c>
      <c r="F1004" s="87" t="s">
        <v>1023</v>
      </c>
      <c r="G1004" s="25">
        <f t="shared" si="29"/>
        <v>3.3281176266051204E-3</v>
      </c>
      <c r="I1004" s="88">
        <v>285.52999999999997</v>
      </c>
      <c r="J1004" s="88">
        <v>285.85000000000002</v>
      </c>
      <c r="K1004" s="88">
        <v>277.92</v>
      </c>
      <c r="L1004" s="88">
        <v>277.92</v>
      </c>
      <c r="M1004" s="89">
        <v>562811</v>
      </c>
      <c r="N1004" s="87" t="s">
        <v>1023</v>
      </c>
      <c r="O1004" s="25">
        <f t="shared" si="30"/>
        <v>2.7381980426021801E-2</v>
      </c>
    </row>
    <row r="1005" spans="1:15">
      <c r="A1005" s="88">
        <v>386.38107698669677</v>
      </c>
      <c r="B1005" s="88">
        <v>390.01481795992169</v>
      </c>
      <c r="C1005" s="88">
        <v>386.20845271243428</v>
      </c>
      <c r="D1005" s="88">
        <v>386.51534031112311</v>
      </c>
      <c r="E1005" s="89">
        <v>3830196.0881509576</v>
      </c>
      <c r="F1005" s="87" t="s">
        <v>1024</v>
      </c>
      <c r="G1005" s="25">
        <f t="shared" si="29"/>
        <v>-3.4736868223206319E-4</v>
      </c>
      <c r="I1005" s="88">
        <v>278.67</v>
      </c>
      <c r="J1005" s="88">
        <v>280.67</v>
      </c>
      <c r="K1005" s="88">
        <v>275.42</v>
      </c>
      <c r="L1005" s="88">
        <v>277.43</v>
      </c>
      <c r="M1005" s="89">
        <v>535080</v>
      </c>
      <c r="N1005" s="87" t="s">
        <v>1024</v>
      </c>
      <c r="O1005" s="25">
        <f t="shared" si="30"/>
        <v>4.4695959341094493E-3</v>
      </c>
    </row>
    <row r="1006" spans="1:15">
      <c r="A1006" s="88">
        <v>387.28255930784519</v>
      </c>
      <c r="B1006" s="88">
        <v>387.78125165571458</v>
      </c>
      <c r="C1006" s="88">
        <v>385.10557540464629</v>
      </c>
      <c r="D1006" s="88">
        <v>387.23460812055004</v>
      </c>
      <c r="E1006" s="89">
        <v>6298353.9519296605</v>
      </c>
      <c r="F1006" s="87" t="s">
        <v>1025</v>
      </c>
      <c r="G1006" s="25">
        <f t="shared" si="29"/>
        <v>1.2382980831149304E-4</v>
      </c>
      <c r="I1006" s="88">
        <v>277.68</v>
      </c>
      <c r="J1006" s="88">
        <v>281.33</v>
      </c>
      <c r="K1006" s="88">
        <v>276.85000000000002</v>
      </c>
      <c r="L1006" s="88">
        <v>279.11</v>
      </c>
      <c r="M1006" s="89">
        <v>656848</v>
      </c>
      <c r="N1006" s="87" t="s">
        <v>1025</v>
      </c>
      <c r="O1006" s="25">
        <f t="shared" si="30"/>
        <v>-5.1234280391243558E-3</v>
      </c>
    </row>
    <row r="1007" spans="1:15">
      <c r="A1007" s="88">
        <v>390.46651814424177</v>
      </c>
      <c r="B1007" s="88">
        <v>391.12824452891459</v>
      </c>
      <c r="C1007" s="88">
        <v>389.37323107391285</v>
      </c>
      <c r="D1007" s="88">
        <v>389.37323107391285</v>
      </c>
      <c r="E1007" s="89">
        <v>4415035.6214746358</v>
      </c>
      <c r="F1007" s="87" t="s">
        <v>1026</v>
      </c>
      <c r="G1007" s="25">
        <f t="shared" si="29"/>
        <v>2.8078126154527094E-3</v>
      </c>
      <c r="I1007" s="88">
        <v>281.99</v>
      </c>
      <c r="J1007" s="88">
        <v>283.5</v>
      </c>
      <c r="K1007" s="88">
        <v>279.62</v>
      </c>
      <c r="L1007" s="88">
        <v>283.17</v>
      </c>
      <c r="M1007" s="89">
        <v>802912</v>
      </c>
      <c r="N1007" s="87" t="s">
        <v>1026</v>
      </c>
      <c r="O1007" s="25">
        <f t="shared" si="30"/>
        <v>-4.167108097609229E-3</v>
      </c>
    </row>
    <row r="1008" spans="1:15">
      <c r="A1008" s="88">
        <v>391.33922975301317</v>
      </c>
      <c r="B1008" s="88">
        <v>391.33922975301317</v>
      </c>
      <c r="C1008" s="88">
        <v>390.01577698366759</v>
      </c>
      <c r="D1008" s="88">
        <v>390.24594268268424</v>
      </c>
      <c r="E1008" s="89">
        <v>2473368.3708400237</v>
      </c>
      <c r="F1008" s="87" t="s">
        <v>1027</v>
      </c>
      <c r="G1008" s="25">
        <f t="shared" si="29"/>
        <v>2.8015334709523554E-3</v>
      </c>
      <c r="I1008" s="88">
        <v>283.43</v>
      </c>
      <c r="J1008" s="88">
        <v>287.02999999999997</v>
      </c>
      <c r="K1008" s="88">
        <v>280.75</v>
      </c>
      <c r="L1008" s="88">
        <v>287.02999999999997</v>
      </c>
      <c r="M1008" s="89">
        <v>279433</v>
      </c>
      <c r="N1008" s="87" t="s">
        <v>1027</v>
      </c>
      <c r="O1008" s="25">
        <f t="shared" si="30"/>
        <v>-1.2542242971117834E-2</v>
      </c>
    </row>
    <row r="1009" spans="1:15">
      <c r="A1009" s="88">
        <v>390.59119123120911</v>
      </c>
      <c r="B1009" s="88">
        <v>391.49267355235764</v>
      </c>
      <c r="C1009" s="88">
        <v>388.68273397686301</v>
      </c>
      <c r="D1009" s="88">
        <v>388.78822658891227</v>
      </c>
      <c r="E1009" s="89">
        <v>5394748.5889733871</v>
      </c>
      <c r="F1009" s="87" t="s">
        <v>1028</v>
      </c>
      <c r="G1009" s="25">
        <f t="shared" si="29"/>
        <v>4.6373951652687317E-3</v>
      </c>
      <c r="I1009" s="88">
        <v>288.33999999999997</v>
      </c>
      <c r="J1009" s="88">
        <v>295</v>
      </c>
      <c r="K1009" s="88">
        <v>278.61</v>
      </c>
      <c r="L1009" s="88">
        <v>293.14999999999998</v>
      </c>
      <c r="M1009" s="89">
        <v>1022534</v>
      </c>
      <c r="N1009" s="87" t="s">
        <v>1028</v>
      </c>
      <c r="O1009" s="25">
        <f t="shared" si="30"/>
        <v>-1.6407982261640752E-2</v>
      </c>
    </row>
    <row r="1010" spans="1:15">
      <c r="A1010" s="88">
        <v>386.01664796325377</v>
      </c>
      <c r="B1010" s="88">
        <v>386.17009176259819</v>
      </c>
      <c r="C1010" s="88">
        <v>383.79171287275977</v>
      </c>
      <c r="D1010" s="88">
        <v>384.18491260857985</v>
      </c>
      <c r="E1010" s="89">
        <v>4082118.9430669388</v>
      </c>
      <c r="F1010" s="87" t="s">
        <v>1029</v>
      </c>
      <c r="G1010" s="25">
        <f t="shared" si="29"/>
        <v>4.7678482276585221E-3</v>
      </c>
      <c r="I1010" s="88">
        <v>290.98</v>
      </c>
      <c r="J1010" s="88">
        <v>293.49</v>
      </c>
      <c r="K1010" s="88">
        <v>284.58999999999997</v>
      </c>
      <c r="L1010" s="88">
        <v>292.27999999999997</v>
      </c>
      <c r="M1010" s="89">
        <v>577030</v>
      </c>
      <c r="N1010" s="87" t="s">
        <v>1029</v>
      </c>
      <c r="O1010" s="25">
        <f t="shared" si="30"/>
        <v>-4.447789790611556E-3</v>
      </c>
    </row>
    <row r="1011" spans="1:15">
      <c r="A1011" s="88">
        <v>384.54339570117833</v>
      </c>
      <c r="B1011" s="88">
        <v>385.43657189042341</v>
      </c>
      <c r="C1011" s="88">
        <v>382.78570138223614</v>
      </c>
      <c r="D1011" s="88">
        <v>383.39707331925956</v>
      </c>
      <c r="E1011" s="89">
        <v>4522991.5090040136</v>
      </c>
      <c r="F1011" s="87" t="s">
        <v>1030</v>
      </c>
      <c r="G1011" s="25">
        <f t="shared" si="29"/>
        <v>2.9899090569327491E-3</v>
      </c>
      <c r="I1011" s="88">
        <v>294.54000000000002</v>
      </c>
      <c r="J1011" s="88">
        <v>296.58999999999997</v>
      </c>
      <c r="K1011" s="88">
        <v>291.95999999999998</v>
      </c>
      <c r="L1011" s="88">
        <v>294.66000000000003</v>
      </c>
      <c r="M1011" s="89">
        <v>356301</v>
      </c>
      <c r="N1011" s="87" t="s">
        <v>1030</v>
      </c>
      <c r="O1011" s="25">
        <f t="shared" si="30"/>
        <v>-4.0724903278355207E-4</v>
      </c>
    </row>
    <row r="1012" spans="1:15">
      <c r="A1012" s="88">
        <v>384.37144734389051</v>
      </c>
      <c r="B1012" s="88">
        <v>384.90639778878597</v>
      </c>
      <c r="C1012" s="88">
        <v>380.56947811052646</v>
      </c>
      <c r="D1012" s="88">
        <v>380.96113825768208</v>
      </c>
      <c r="E1012" s="89">
        <v>4503823.079296465</v>
      </c>
      <c r="F1012" s="87" t="s">
        <v>1031</v>
      </c>
      <c r="G1012" s="25">
        <f t="shared" si="29"/>
        <v>8.9518555667000843E-3</v>
      </c>
      <c r="I1012" s="88">
        <v>293.87</v>
      </c>
      <c r="J1012" s="88">
        <v>298.95</v>
      </c>
      <c r="K1012" s="88">
        <v>287.14999999999998</v>
      </c>
      <c r="L1012" s="88">
        <v>298.14</v>
      </c>
      <c r="M1012" s="89">
        <v>669173</v>
      </c>
      <c r="N1012" s="87" t="s">
        <v>1031</v>
      </c>
      <c r="O1012" s="25">
        <f t="shared" si="30"/>
        <v>-1.4322130542698042E-2</v>
      </c>
    </row>
    <row r="1013" spans="1:15">
      <c r="A1013" s="88">
        <v>380.15871259033889</v>
      </c>
      <c r="B1013" s="88">
        <v>382.92899167997604</v>
      </c>
      <c r="C1013" s="88">
        <v>379.93900080047115</v>
      </c>
      <c r="D1013" s="88">
        <v>381.19040273406586</v>
      </c>
      <c r="E1013" s="89">
        <v>3402917.0689928201</v>
      </c>
      <c r="F1013" s="87" t="s">
        <v>1032</v>
      </c>
      <c r="G1013" s="25">
        <f t="shared" si="29"/>
        <v>-2.7064955894147147E-3</v>
      </c>
      <c r="I1013" s="88">
        <v>296.74</v>
      </c>
      <c r="J1013" s="88">
        <v>297.19</v>
      </c>
      <c r="K1013" s="88">
        <v>285.42</v>
      </c>
      <c r="L1013" s="88">
        <v>287.45</v>
      </c>
      <c r="M1013" s="89">
        <v>839547</v>
      </c>
      <c r="N1013" s="87" t="s">
        <v>1032</v>
      </c>
      <c r="O1013" s="25">
        <f t="shared" si="30"/>
        <v>3.2318664115498441E-2</v>
      </c>
    </row>
    <row r="1014" spans="1:15">
      <c r="A1014" s="88">
        <v>381.73490586547729</v>
      </c>
      <c r="B1014" s="88">
        <v>383.33020451364757</v>
      </c>
      <c r="C1014" s="88">
        <v>381.08532318238997</v>
      </c>
      <c r="D1014" s="88">
        <v>381.46743064302956</v>
      </c>
      <c r="E1014" s="89">
        <v>4412692.6942950496</v>
      </c>
      <c r="F1014" s="87" t="s">
        <v>1033</v>
      </c>
      <c r="G1014" s="25">
        <f t="shared" si="29"/>
        <v>7.0117446723272359E-4</v>
      </c>
      <c r="I1014" s="88">
        <v>287.85000000000002</v>
      </c>
      <c r="J1014" s="88">
        <v>291.92</v>
      </c>
      <c r="K1014" s="88">
        <v>286.29000000000002</v>
      </c>
      <c r="L1014" s="88">
        <v>289.86</v>
      </c>
      <c r="M1014" s="89">
        <v>602097</v>
      </c>
      <c r="N1014" s="87" t="s">
        <v>1033</v>
      </c>
      <c r="O1014" s="25">
        <f t="shared" si="30"/>
        <v>-6.934382115504012E-3</v>
      </c>
    </row>
    <row r="1015" spans="1:15">
      <c r="A1015" s="88">
        <v>384.61981719330623</v>
      </c>
      <c r="B1015" s="88">
        <v>384.70579137195017</v>
      </c>
      <c r="C1015" s="88">
        <v>382.05969720702092</v>
      </c>
      <c r="D1015" s="88">
        <v>382.37493586204857</v>
      </c>
      <c r="E1015" s="89">
        <v>3288102.2471974948</v>
      </c>
      <c r="F1015" s="87" t="s">
        <v>1034</v>
      </c>
      <c r="G1015" s="25">
        <f t="shared" si="29"/>
        <v>5.8708903767363818E-3</v>
      </c>
      <c r="I1015" s="88">
        <v>291.41000000000003</v>
      </c>
      <c r="J1015" s="88">
        <v>294.31</v>
      </c>
      <c r="K1015" s="88">
        <v>289.64</v>
      </c>
      <c r="L1015" s="88">
        <v>289.64999999999998</v>
      </c>
      <c r="M1015" s="89">
        <v>477250</v>
      </c>
      <c r="N1015" s="87" t="s">
        <v>1034</v>
      </c>
      <c r="O1015" s="25">
        <f t="shared" si="30"/>
        <v>6.0762989815295043E-3</v>
      </c>
    </row>
    <row r="1016" spans="1:15">
      <c r="A1016" s="88">
        <v>383.22512496197174</v>
      </c>
      <c r="B1016" s="88">
        <v>385.03058271349386</v>
      </c>
      <c r="C1016" s="88">
        <v>382.74749063617224</v>
      </c>
      <c r="D1016" s="88">
        <v>384.31413122479461</v>
      </c>
      <c r="E1016" s="89">
        <v>3583853.6041870629</v>
      </c>
      <c r="F1016" s="87" t="s">
        <v>1035</v>
      </c>
      <c r="G1016" s="25">
        <f t="shared" si="29"/>
        <v>-2.8336357535233558E-3</v>
      </c>
      <c r="I1016" s="88">
        <v>289.08</v>
      </c>
      <c r="J1016" s="88">
        <v>290.40499999999997</v>
      </c>
      <c r="K1016" s="88">
        <v>284.07</v>
      </c>
      <c r="L1016" s="88">
        <v>288.2</v>
      </c>
      <c r="M1016" s="89">
        <v>387862</v>
      </c>
      <c r="N1016" s="87" t="s">
        <v>1035</v>
      </c>
      <c r="O1016" s="25">
        <f t="shared" si="30"/>
        <v>3.0534351145037331E-3</v>
      </c>
    </row>
    <row r="1017" spans="1:15">
      <c r="A1017" s="88">
        <v>385.33626868200548</v>
      </c>
      <c r="B1017" s="88">
        <v>386.23422121450858</v>
      </c>
      <c r="C1017" s="88">
        <v>383.31109914061562</v>
      </c>
      <c r="D1017" s="88">
        <v>385.44134823368142</v>
      </c>
      <c r="E1017" s="89">
        <v>4445745.1763870232</v>
      </c>
      <c r="F1017" s="87" t="s">
        <v>1036</v>
      </c>
      <c r="G1017" s="25">
        <f t="shared" si="29"/>
        <v>-2.7262137847294809E-4</v>
      </c>
      <c r="I1017" s="88">
        <v>288.70999999999998</v>
      </c>
      <c r="J1017" s="88">
        <v>290.70999999999998</v>
      </c>
      <c r="K1017" s="88">
        <v>281.27999999999997</v>
      </c>
      <c r="L1017" s="88">
        <v>282.8</v>
      </c>
      <c r="M1017" s="89">
        <v>577053</v>
      </c>
      <c r="N1017" s="87" t="s">
        <v>1036</v>
      </c>
      <c r="O1017" s="25">
        <f t="shared" si="30"/>
        <v>2.0898161244695679E-2</v>
      </c>
    </row>
    <row r="1018" spans="1:15">
      <c r="A1018" s="88">
        <v>387.12262106049565</v>
      </c>
      <c r="B1018" s="88">
        <v>390.47561402760812</v>
      </c>
      <c r="C1018" s="88">
        <v>386.77872434592001</v>
      </c>
      <c r="D1018" s="88">
        <v>390.40874522199618</v>
      </c>
      <c r="E1018" s="89">
        <v>5382658.5760907335</v>
      </c>
      <c r="F1018" s="87" t="s">
        <v>1037</v>
      </c>
      <c r="G1018" s="25">
        <f t="shared" si="29"/>
        <v>-8.4171376838189094E-3</v>
      </c>
      <c r="I1018" s="88">
        <v>284.5</v>
      </c>
      <c r="J1018" s="88">
        <v>292.83999999999997</v>
      </c>
      <c r="K1018" s="88">
        <v>282.63</v>
      </c>
      <c r="L1018" s="88">
        <v>289.23</v>
      </c>
      <c r="M1018" s="89">
        <v>727811</v>
      </c>
      <c r="N1018" s="87" t="s">
        <v>1037</v>
      </c>
      <c r="O1018" s="25">
        <f t="shared" si="30"/>
        <v>-1.6353766898316247E-2</v>
      </c>
    </row>
    <row r="1019" spans="1:15">
      <c r="A1019" s="88">
        <v>388.55552403789414</v>
      </c>
      <c r="B1019" s="88">
        <v>389.68274104678096</v>
      </c>
      <c r="C1019" s="88">
        <v>382.95764973952396</v>
      </c>
      <c r="D1019" s="88">
        <v>383.0627292911999</v>
      </c>
      <c r="E1019" s="89">
        <v>5532458.3206552286</v>
      </c>
      <c r="F1019" s="87" t="s">
        <v>1038</v>
      </c>
      <c r="G1019" s="25">
        <f t="shared" si="29"/>
        <v>1.4339152119700715E-2</v>
      </c>
      <c r="I1019" s="88">
        <v>287.13</v>
      </c>
      <c r="J1019" s="88">
        <v>287.44</v>
      </c>
      <c r="K1019" s="88">
        <v>282.02</v>
      </c>
      <c r="L1019" s="88">
        <v>283.33</v>
      </c>
      <c r="M1019" s="89">
        <v>528898</v>
      </c>
      <c r="N1019" s="87" t="s">
        <v>1038</v>
      </c>
      <c r="O1019" s="25">
        <f t="shared" si="30"/>
        <v>1.3411922493205886E-2</v>
      </c>
    </row>
    <row r="1020" spans="1:15">
      <c r="A1020" s="88">
        <v>383.63589048215931</v>
      </c>
      <c r="B1020" s="88">
        <v>385.389763726495</v>
      </c>
      <c r="C1020" s="88">
        <v>380.63634691613839</v>
      </c>
      <c r="D1020" s="88">
        <v>383.64544316867529</v>
      </c>
      <c r="E1020" s="89">
        <v>5402959.6714606471</v>
      </c>
      <c r="F1020" s="87" t="s">
        <v>1039</v>
      </c>
      <c r="G1020" s="25">
        <f t="shared" ref="G1020:G1083" si="31">A1020/D1020-1</f>
        <v>-2.4899778391929139E-5</v>
      </c>
      <c r="I1020" s="88">
        <v>283.58999999999997</v>
      </c>
      <c r="J1020" s="88">
        <v>287.5</v>
      </c>
      <c r="K1020" s="88">
        <v>281.14</v>
      </c>
      <c r="L1020" s="88">
        <v>281.5</v>
      </c>
      <c r="M1020" s="89">
        <v>718520</v>
      </c>
      <c r="N1020" s="87" t="s">
        <v>1039</v>
      </c>
      <c r="O1020" s="25">
        <f t="shared" ref="O1020:O1083" si="32">I1020/L1020-1</f>
        <v>7.4245115452928889E-3</v>
      </c>
    </row>
    <row r="1021" spans="1:15">
      <c r="A1021" s="88">
        <v>383.3397572001636</v>
      </c>
      <c r="B1021" s="88">
        <v>383.87470764505906</v>
      </c>
      <c r="C1021" s="88">
        <v>381.53429944864143</v>
      </c>
      <c r="D1021" s="88">
        <v>382.12561074398127</v>
      </c>
      <c r="E1021" s="89">
        <v>4096318.8663733257</v>
      </c>
      <c r="F1021" s="87" t="s">
        <v>1040</v>
      </c>
      <c r="G1021" s="25">
        <f t="shared" si="31"/>
        <v>3.1773490759188228E-3</v>
      </c>
      <c r="I1021" s="88">
        <v>281.48</v>
      </c>
      <c r="J1021" s="88">
        <v>285.5</v>
      </c>
      <c r="K1021" s="88">
        <v>279.81</v>
      </c>
      <c r="L1021" s="88">
        <v>284.36</v>
      </c>
      <c r="M1021" s="89">
        <v>528104</v>
      </c>
      <c r="N1021" s="87" t="s">
        <v>1040</v>
      </c>
      <c r="O1021" s="25">
        <f t="shared" si="32"/>
        <v>-1.0128006752004537E-2</v>
      </c>
    </row>
    <row r="1022" spans="1:15">
      <c r="A1022" s="88">
        <v>380.82740064645822</v>
      </c>
      <c r="B1022" s="88">
        <v>380.85128236274818</v>
      </c>
      <c r="C1022" s="88">
        <v>377.61769797708558</v>
      </c>
      <c r="D1022" s="88">
        <v>378.2672806601729</v>
      </c>
      <c r="E1022" s="89">
        <v>3975054.5499885073</v>
      </c>
      <c r="F1022" s="87" t="s">
        <v>1041</v>
      </c>
      <c r="G1022" s="25">
        <f t="shared" si="31"/>
        <v>6.7680185867973197E-3</v>
      </c>
      <c r="I1022" s="88">
        <v>284.08999999999997</v>
      </c>
      <c r="J1022" s="88">
        <v>285.75</v>
      </c>
      <c r="K1022" s="88">
        <v>280.95</v>
      </c>
      <c r="L1022" s="88">
        <v>284.2</v>
      </c>
      <c r="M1022" s="89">
        <v>422384</v>
      </c>
      <c r="N1022" s="87" t="s">
        <v>1041</v>
      </c>
      <c r="O1022" s="25">
        <f t="shared" si="32"/>
        <v>-3.8705137227312836E-4</v>
      </c>
    </row>
    <row r="1023" spans="1:15">
      <c r="A1023" s="88">
        <v>377.35977544115383</v>
      </c>
      <c r="B1023" s="88">
        <v>379.17478587919197</v>
      </c>
      <c r="C1023" s="88">
        <v>376.45227022213476</v>
      </c>
      <c r="D1023" s="88">
        <v>377.37888081418583</v>
      </c>
      <c r="E1023" s="89">
        <v>3206289.6598492325</v>
      </c>
      <c r="F1023" s="87" t="s">
        <v>1042</v>
      </c>
      <c r="G1023" s="25">
        <f t="shared" si="31"/>
        <v>-5.0626502974382426E-5</v>
      </c>
      <c r="I1023" s="88">
        <v>283.08999999999997</v>
      </c>
      <c r="J1023" s="88">
        <v>284.05</v>
      </c>
      <c r="K1023" s="88">
        <v>280.49</v>
      </c>
      <c r="L1023" s="88">
        <v>281.58999999999997</v>
      </c>
      <c r="M1023" s="89">
        <v>396601</v>
      </c>
      <c r="N1023" s="87" t="s">
        <v>1042</v>
      </c>
      <c r="O1023" s="25">
        <f t="shared" si="32"/>
        <v>5.3268937107142644E-3</v>
      </c>
    </row>
    <row r="1024" spans="1:15">
      <c r="A1024" s="88">
        <v>376.72929813109852</v>
      </c>
      <c r="B1024" s="88">
        <v>377.07319484567415</v>
      </c>
      <c r="C1024" s="88">
        <v>373.78707068417361</v>
      </c>
      <c r="D1024" s="88">
        <v>374.4271006807449</v>
      </c>
      <c r="E1024" s="89">
        <v>3622385.1732261893</v>
      </c>
      <c r="F1024" s="87" t="s">
        <v>1043</v>
      </c>
      <c r="G1024" s="25">
        <f t="shared" si="31"/>
        <v>6.1485865904684633E-3</v>
      </c>
      <c r="I1024" s="88">
        <v>281.33999999999997</v>
      </c>
      <c r="J1024" s="88">
        <v>282</v>
      </c>
      <c r="K1024" s="88">
        <v>275.66500000000002</v>
      </c>
      <c r="L1024" s="88">
        <v>277.61</v>
      </c>
      <c r="M1024" s="89">
        <v>445968</v>
      </c>
      <c r="N1024" s="87" t="s">
        <v>1043</v>
      </c>
      <c r="O1024" s="25">
        <f t="shared" si="32"/>
        <v>1.3436115413709704E-2</v>
      </c>
    </row>
    <row r="1025" spans="1:15">
      <c r="A1025" s="88">
        <v>374.4844167998408</v>
      </c>
      <c r="B1025" s="88">
        <v>377.10185290522207</v>
      </c>
      <c r="C1025" s="88">
        <v>374.02588784707336</v>
      </c>
      <c r="D1025" s="88">
        <v>376.06061007497919</v>
      </c>
      <c r="E1025" s="89">
        <v>4127522.653862955</v>
      </c>
      <c r="F1025" s="87" t="s">
        <v>1044</v>
      </c>
      <c r="G1025" s="25">
        <f t="shared" si="31"/>
        <v>-4.1913277618310651E-3</v>
      </c>
      <c r="I1025" s="88">
        <v>278.8</v>
      </c>
      <c r="J1025" s="88">
        <v>285.86</v>
      </c>
      <c r="K1025" s="88">
        <v>274.88</v>
      </c>
      <c r="L1025" s="88">
        <v>285.44</v>
      </c>
      <c r="M1025" s="89">
        <v>493951</v>
      </c>
      <c r="N1025" s="87" t="s">
        <v>1044</v>
      </c>
      <c r="O1025" s="25">
        <f t="shared" si="32"/>
        <v>-2.3262331838564965E-2</v>
      </c>
    </row>
    <row r="1026" spans="1:15">
      <c r="A1026" s="88">
        <v>375.71671336040356</v>
      </c>
      <c r="B1026" s="88">
        <v>376.17524231317111</v>
      </c>
      <c r="C1026" s="88">
        <v>373.90170292236547</v>
      </c>
      <c r="D1026" s="88">
        <v>374.51307485938884</v>
      </c>
      <c r="E1026" s="89">
        <v>3030208.3033444993</v>
      </c>
      <c r="F1026" s="87" t="s">
        <v>1045</v>
      </c>
      <c r="G1026" s="25">
        <f t="shared" si="31"/>
        <v>3.2138757811503993E-3</v>
      </c>
      <c r="I1026" s="88">
        <v>285.56</v>
      </c>
      <c r="J1026" s="88">
        <v>285.8</v>
      </c>
      <c r="K1026" s="88">
        <v>281.14</v>
      </c>
      <c r="L1026" s="88">
        <v>282.94</v>
      </c>
      <c r="M1026" s="89">
        <v>543717</v>
      </c>
      <c r="N1026" s="87" t="s">
        <v>1045</v>
      </c>
      <c r="O1026" s="25">
        <f t="shared" si="32"/>
        <v>9.2599137626352412E-3</v>
      </c>
    </row>
    <row r="1027" spans="1:15">
      <c r="A1027" s="88">
        <v>374.94294575260835</v>
      </c>
      <c r="B1027" s="88">
        <v>377.11140559173811</v>
      </c>
      <c r="C1027" s="88">
        <v>374.26470500997311</v>
      </c>
      <c r="D1027" s="88">
        <v>375.93642515027136</v>
      </c>
      <c r="E1027" s="89">
        <v>4199633.2584396834</v>
      </c>
      <c r="F1027" s="87" t="s">
        <v>1046</v>
      </c>
      <c r="G1027" s="25">
        <f t="shared" si="31"/>
        <v>-2.64267927021411E-3</v>
      </c>
      <c r="I1027" s="88">
        <v>284.07</v>
      </c>
      <c r="J1027" s="88">
        <v>287.8</v>
      </c>
      <c r="K1027" s="88">
        <v>280.55</v>
      </c>
      <c r="L1027" s="88">
        <v>283.22000000000003</v>
      </c>
      <c r="M1027" s="89">
        <v>732792</v>
      </c>
      <c r="N1027" s="87" t="s">
        <v>1046</v>
      </c>
      <c r="O1027" s="25">
        <f t="shared" si="32"/>
        <v>3.0012004801920344E-3</v>
      </c>
    </row>
    <row r="1028" spans="1:15">
      <c r="A1028" s="88">
        <v>375.66894992782358</v>
      </c>
      <c r="B1028" s="88">
        <v>376.3376379839429</v>
      </c>
      <c r="C1028" s="88">
        <v>372.11535054387537</v>
      </c>
      <c r="D1028" s="88">
        <v>372.63119561573876</v>
      </c>
      <c r="E1028" s="89">
        <v>7713957.7308073118</v>
      </c>
      <c r="F1028" s="87" t="s">
        <v>1047</v>
      </c>
      <c r="G1028" s="25">
        <f t="shared" si="31"/>
        <v>8.152173913043459E-3</v>
      </c>
      <c r="I1028" s="88">
        <v>281.02999999999997</v>
      </c>
      <c r="J1028" s="88">
        <v>281.19</v>
      </c>
      <c r="K1028" s="88">
        <v>272.55</v>
      </c>
      <c r="L1028" s="88">
        <v>274.45</v>
      </c>
      <c r="M1028" s="89">
        <v>687048</v>
      </c>
      <c r="N1028" s="87" t="s">
        <v>1047</v>
      </c>
      <c r="O1028" s="25">
        <f t="shared" si="32"/>
        <v>2.3975223173619886E-2</v>
      </c>
    </row>
    <row r="1029" spans="1:15">
      <c r="A1029" s="88">
        <v>370.23347130022529</v>
      </c>
      <c r="B1029" s="88">
        <v>371.18873995182429</v>
      </c>
      <c r="C1029" s="88">
        <v>365.83923550286988</v>
      </c>
      <c r="D1029" s="88">
        <v>367.01421594433663</v>
      </c>
      <c r="E1029" s="89">
        <v>3730421.79708823</v>
      </c>
      <c r="F1029" s="87" t="s">
        <v>1048</v>
      </c>
      <c r="G1029" s="25">
        <f t="shared" si="31"/>
        <v>8.7714731910464305E-3</v>
      </c>
      <c r="I1029" s="88">
        <v>272.48</v>
      </c>
      <c r="J1029" s="88">
        <v>274.56</v>
      </c>
      <c r="K1029" s="88">
        <v>270</v>
      </c>
      <c r="L1029" s="88">
        <v>274.48</v>
      </c>
      <c r="M1029" s="89">
        <v>574541</v>
      </c>
      <c r="N1029" s="87" t="s">
        <v>1048</v>
      </c>
      <c r="O1029" s="25">
        <f t="shared" si="32"/>
        <v>-7.286505392014031E-3</v>
      </c>
    </row>
    <row r="1030" spans="1:15">
      <c r="A1030" s="88">
        <v>366.71808266234092</v>
      </c>
      <c r="B1030" s="88">
        <v>367.93127384987173</v>
      </c>
      <c r="C1030" s="88">
        <v>365.31383774449046</v>
      </c>
      <c r="D1030" s="88">
        <v>367.11929549601251</v>
      </c>
      <c r="E1030" s="89">
        <v>4402267.3548019864</v>
      </c>
      <c r="F1030" s="87" t="s">
        <v>1049</v>
      </c>
      <c r="G1030" s="25">
        <f t="shared" si="31"/>
        <v>-1.0928677369832496E-3</v>
      </c>
      <c r="I1030" s="88">
        <v>274.25</v>
      </c>
      <c r="J1030" s="88">
        <v>275.31</v>
      </c>
      <c r="K1030" s="88">
        <v>270.02999999999997</v>
      </c>
      <c r="L1030" s="88">
        <v>272.87</v>
      </c>
      <c r="M1030" s="89">
        <v>907095</v>
      </c>
      <c r="N1030" s="87" t="s">
        <v>1049</v>
      </c>
      <c r="O1030" s="25">
        <f t="shared" si="32"/>
        <v>5.0573533184299357E-3</v>
      </c>
    </row>
    <row r="1031" spans="1:15">
      <c r="A1031" s="88">
        <v>368.72414683069888</v>
      </c>
      <c r="B1031" s="88">
        <v>370.89260666982858</v>
      </c>
      <c r="C1031" s="88">
        <v>367.54916638923208</v>
      </c>
      <c r="D1031" s="88">
        <v>370.41497234402908</v>
      </c>
      <c r="E1031" s="89">
        <v>4154277.4311261037</v>
      </c>
      <c r="F1031" s="87" t="s">
        <v>1050</v>
      </c>
      <c r="G1031" s="25">
        <f t="shared" si="31"/>
        <v>-4.5646791829997424E-3</v>
      </c>
      <c r="I1031" s="88">
        <v>272.58</v>
      </c>
      <c r="J1031" s="88">
        <v>276.25</v>
      </c>
      <c r="K1031" s="88">
        <v>271.47000000000003</v>
      </c>
      <c r="L1031" s="88">
        <v>272.63</v>
      </c>
      <c r="M1031" s="89">
        <v>503536</v>
      </c>
      <c r="N1031" s="87" t="s">
        <v>1050</v>
      </c>
      <c r="O1031" s="25">
        <f t="shared" si="32"/>
        <v>-1.8339874555262092E-4</v>
      </c>
    </row>
    <row r="1032" spans="1:15">
      <c r="A1032" s="88">
        <v>368.60951459250697</v>
      </c>
      <c r="B1032" s="88">
        <v>369.27820264862629</v>
      </c>
      <c r="C1032" s="88">
        <v>364.46842498782536</v>
      </c>
      <c r="D1032" s="88">
        <v>364.56872819624317</v>
      </c>
      <c r="E1032" s="89">
        <v>3185273.5823652754</v>
      </c>
      <c r="F1032" s="87" t="s">
        <v>1051</v>
      </c>
      <c r="G1032" s="25">
        <f t="shared" si="31"/>
        <v>1.1083743842364546E-2</v>
      </c>
      <c r="I1032" s="88">
        <v>272.63</v>
      </c>
      <c r="J1032" s="88">
        <v>281.02999999999997</v>
      </c>
      <c r="K1032" s="88">
        <v>272.5</v>
      </c>
      <c r="L1032" s="88">
        <v>277.83</v>
      </c>
      <c r="M1032" s="89">
        <v>773445</v>
      </c>
      <c r="N1032" s="87" t="s">
        <v>1051</v>
      </c>
      <c r="O1032" s="25">
        <f t="shared" si="32"/>
        <v>-1.8716481301515264E-2</v>
      </c>
    </row>
    <row r="1033" spans="1:15">
      <c r="A1033" s="88">
        <v>363.88093476709196</v>
      </c>
      <c r="B1033" s="88">
        <v>365.18010013326654</v>
      </c>
      <c r="C1033" s="88">
        <v>361.9703974638939</v>
      </c>
      <c r="D1033" s="88">
        <v>363.94780357270383</v>
      </c>
      <c r="E1033" s="89">
        <v>3471140.8088705079</v>
      </c>
      <c r="F1033" s="87" t="s">
        <v>1052</v>
      </c>
      <c r="G1033" s="25">
        <f t="shared" si="31"/>
        <v>-1.8373185647901913E-4</v>
      </c>
      <c r="I1033" s="88">
        <v>277.05</v>
      </c>
      <c r="J1033" s="88">
        <v>292.74</v>
      </c>
      <c r="K1033" s="88">
        <v>268.76</v>
      </c>
      <c r="L1033" s="88">
        <v>292.74</v>
      </c>
      <c r="M1033" s="89">
        <v>1925518</v>
      </c>
      <c r="N1033" s="87" t="s">
        <v>1052</v>
      </c>
      <c r="O1033" s="25">
        <f t="shared" si="32"/>
        <v>-5.3597048575527717E-2</v>
      </c>
    </row>
    <row r="1034" spans="1:15">
      <c r="A1034" s="88">
        <v>360.7381009033312</v>
      </c>
      <c r="B1034" s="88">
        <v>362.28563611892156</v>
      </c>
      <c r="C1034" s="88">
        <v>359.72551613263624</v>
      </c>
      <c r="D1034" s="88">
        <v>361.96084477737793</v>
      </c>
      <c r="E1034" s="89">
        <v>3780708.1745586847</v>
      </c>
      <c r="F1034" s="87" t="s">
        <v>1053</v>
      </c>
      <c r="G1034" s="25">
        <f t="shared" si="31"/>
        <v>-3.3781108970467599E-3</v>
      </c>
      <c r="I1034" s="88">
        <v>293.75</v>
      </c>
      <c r="J1034" s="88">
        <v>295.98</v>
      </c>
      <c r="K1034" s="88">
        <v>291.42</v>
      </c>
      <c r="L1034" s="88">
        <v>293.83</v>
      </c>
      <c r="M1034" s="89">
        <v>383626</v>
      </c>
      <c r="N1034" s="87" t="s">
        <v>1053</v>
      </c>
      <c r="O1034" s="25">
        <f t="shared" si="32"/>
        <v>-2.7226627641829815E-4</v>
      </c>
    </row>
    <row r="1035" spans="1:15">
      <c r="A1035" s="88">
        <v>363.46061656038836</v>
      </c>
      <c r="B1035" s="88">
        <v>366.92824176569275</v>
      </c>
      <c r="C1035" s="88">
        <v>363.07850909974877</v>
      </c>
      <c r="D1035" s="88">
        <v>366.04939460622165</v>
      </c>
      <c r="E1035" s="89">
        <v>3022462.8382466808</v>
      </c>
      <c r="F1035" s="87" t="s">
        <v>1054</v>
      </c>
      <c r="G1035" s="25">
        <f t="shared" si="31"/>
        <v>-7.0722096088102759E-3</v>
      </c>
      <c r="I1035" s="88">
        <v>296.43</v>
      </c>
      <c r="J1035" s="88">
        <v>305.60000000000002</v>
      </c>
      <c r="K1035" s="88">
        <v>294.49</v>
      </c>
      <c r="L1035" s="88">
        <v>303.45999999999998</v>
      </c>
      <c r="M1035" s="89">
        <v>461344</v>
      </c>
      <c r="N1035" s="87" t="s">
        <v>1054</v>
      </c>
      <c r="O1035" s="25">
        <f t="shared" si="32"/>
        <v>-2.3166150398734486E-2</v>
      </c>
    </row>
    <row r="1036" spans="1:15">
      <c r="A1036" s="88">
        <v>367.56827176226403</v>
      </c>
      <c r="B1036" s="88">
        <v>368.95341130708266</v>
      </c>
      <c r="C1036" s="88">
        <v>366.31686982866938</v>
      </c>
      <c r="D1036" s="88">
        <v>367.45363952407223</v>
      </c>
      <c r="E1036" s="89">
        <v>2914375.9667397295</v>
      </c>
      <c r="F1036" s="87" t="s">
        <v>1055</v>
      </c>
      <c r="G1036" s="25">
        <f t="shared" si="31"/>
        <v>3.1196381219755764E-4</v>
      </c>
      <c r="I1036" s="88">
        <v>306.55</v>
      </c>
      <c r="J1036" s="88">
        <v>309.72000000000003</v>
      </c>
      <c r="K1036" s="88">
        <v>299.5</v>
      </c>
      <c r="L1036" s="88">
        <v>302.27999999999997</v>
      </c>
      <c r="M1036" s="89">
        <v>611320</v>
      </c>
      <c r="N1036" s="87" t="s">
        <v>1055</v>
      </c>
      <c r="O1036" s="25">
        <f t="shared" si="32"/>
        <v>1.4125975916368994E-2</v>
      </c>
    </row>
    <row r="1037" spans="1:15">
      <c r="A1037" s="88">
        <v>367.36766534542829</v>
      </c>
      <c r="B1037" s="88">
        <v>369.24954458907831</v>
      </c>
      <c r="C1037" s="88">
        <v>366.2882117691214</v>
      </c>
      <c r="D1037" s="88">
        <v>368.75280489024681</v>
      </c>
      <c r="E1037" s="89">
        <v>3819912.8526744293</v>
      </c>
      <c r="F1037" s="87" t="s">
        <v>1056</v>
      </c>
      <c r="G1037" s="25">
        <f t="shared" si="31"/>
        <v>-3.7562820579243317E-3</v>
      </c>
      <c r="I1037" s="88">
        <v>301.02999999999997</v>
      </c>
      <c r="J1037" s="88">
        <v>305.54399999999998</v>
      </c>
      <c r="K1037" s="88">
        <v>299</v>
      </c>
      <c r="L1037" s="88">
        <v>302.97000000000003</v>
      </c>
      <c r="M1037" s="89">
        <v>490849</v>
      </c>
      <c r="N1037" s="87" t="s">
        <v>1056</v>
      </c>
      <c r="O1037" s="25">
        <f t="shared" si="32"/>
        <v>-6.4032742515762742E-3</v>
      </c>
    </row>
    <row r="1038" spans="1:15">
      <c r="A1038" s="88">
        <v>367.95037922290368</v>
      </c>
      <c r="B1038" s="88">
        <v>368.32293399702729</v>
      </c>
      <c r="C1038" s="88">
        <v>363.95735625921986</v>
      </c>
      <c r="D1038" s="88">
        <v>364.20572610863559</v>
      </c>
      <c r="E1038" s="89">
        <v>3497047.6571257864</v>
      </c>
      <c r="F1038" s="87" t="s">
        <v>1057</v>
      </c>
      <c r="G1038" s="25">
        <f t="shared" si="31"/>
        <v>1.0281697529245237E-2</v>
      </c>
      <c r="I1038" s="88">
        <v>302.87</v>
      </c>
      <c r="J1038" s="88">
        <v>313.01889999999997</v>
      </c>
      <c r="K1038" s="88">
        <v>301.08</v>
      </c>
      <c r="L1038" s="88">
        <v>311.75</v>
      </c>
      <c r="M1038" s="89">
        <v>984481</v>
      </c>
      <c r="N1038" s="87" t="s">
        <v>1057</v>
      </c>
      <c r="O1038" s="25">
        <f t="shared" si="32"/>
        <v>-2.8484362469927804E-2</v>
      </c>
    </row>
    <row r="1039" spans="1:15">
      <c r="A1039" s="88">
        <v>364.38722715243938</v>
      </c>
      <c r="B1039" s="88">
        <v>364.99859908946274</v>
      </c>
      <c r="C1039" s="88">
        <v>360.40375687527154</v>
      </c>
      <c r="D1039" s="88">
        <v>361.90352865828203</v>
      </c>
      <c r="E1039" s="89">
        <v>3373548.3673683722</v>
      </c>
      <c r="F1039" s="87" t="s">
        <v>1058</v>
      </c>
      <c r="G1039" s="25">
        <f t="shared" si="31"/>
        <v>6.8628744885836923E-3</v>
      </c>
      <c r="I1039" s="88">
        <v>313.16000000000003</v>
      </c>
      <c r="J1039" s="88">
        <v>320.27</v>
      </c>
      <c r="K1039" s="88">
        <v>312.99</v>
      </c>
      <c r="L1039" s="88">
        <v>319.87</v>
      </c>
      <c r="M1039" s="89">
        <v>341553</v>
      </c>
      <c r="N1039" s="87" t="s">
        <v>1058</v>
      </c>
      <c r="O1039" s="25">
        <f t="shared" si="32"/>
        <v>-2.0977272016756698E-2</v>
      </c>
    </row>
    <row r="1040" spans="1:15">
      <c r="A1040" s="88">
        <v>360.08851822024388</v>
      </c>
      <c r="B1040" s="88">
        <v>362.31429417846954</v>
      </c>
      <c r="C1040" s="88">
        <v>360.05030747417993</v>
      </c>
      <c r="D1040" s="88">
        <v>361.46410507854642</v>
      </c>
      <c r="E1040" s="89">
        <v>2384267.5002341499</v>
      </c>
      <c r="F1040" s="87" t="s">
        <v>1059</v>
      </c>
      <c r="G1040" s="25">
        <f t="shared" si="31"/>
        <v>-3.8055973995083647E-3</v>
      </c>
      <c r="I1040" s="88">
        <v>319.87</v>
      </c>
      <c r="J1040" s="88">
        <v>321.22500000000002</v>
      </c>
      <c r="K1040" s="88">
        <v>315.02</v>
      </c>
      <c r="L1040" s="88">
        <v>318.07</v>
      </c>
      <c r="M1040" s="89">
        <v>451597</v>
      </c>
      <c r="N1040" s="87" t="s">
        <v>1059</v>
      </c>
      <c r="O1040" s="25">
        <f t="shared" si="32"/>
        <v>5.6591316376899403E-3</v>
      </c>
    </row>
    <row r="1041" spans="1:15">
      <c r="A1041" s="88">
        <v>362.48624253575736</v>
      </c>
      <c r="B1041" s="88">
        <v>362.849244623365</v>
      </c>
      <c r="C1041" s="88">
        <v>360.05030747417993</v>
      </c>
      <c r="D1041" s="88">
        <v>361.79844910660609</v>
      </c>
      <c r="E1041" s="89">
        <v>4064365.5515137762</v>
      </c>
      <c r="F1041" s="87" t="s">
        <v>1060</v>
      </c>
      <c r="G1041" s="25">
        <f t="shared" si="31"/>
        <v>1.9010402914927393E-3</v>
      </c>
      <c r="I1041" s="88">
        <v>320.79000000000002</v>
      </c>
      <c r="J1041" s="88">
        <v>331.65</v>
      </c>
      <c r="K1041" s="88">
        <v>319.5</v>
      </c>
      <c r="L1041" s="88">
        <v>330.23</v>
      </c>
      <c r="M1041" s="89">
        <v>503575</v>
      </c>
      <c r="N1041" s="87" t="s">
        <v>1060</v>
      </c>
      <c r="O1041" s="25">
        <f t="shared" si="32"/>
        <v>-2.858613693486356E-2</v>
      </c>
    </row>
    <row r="1042" spans="1:15">
      <c r="A1042" s="88">
        <v>361.23484060216265</v>
      </c>
      <c r="B1042" s="88">
        <v>363.01164029413684</v>
      </c>
      <c r="C1042" s="88">
        <v>359.02339367371098</v>
      </c>
      <c r="D1042" s="88">
        <v>362.85879730988103</v>
      </c>
      <c r="E1042" s="89">
        <v>2649532.1455000038</v>
      </c>
      <c r="F1042" s="87" t="s">
        <v>1061</v>
      </c>
      <c r="G1042" s="25">
        <f t="shared" si="31"/>
        <v>-4.4754508358564316E-3</v>
      </c>
      <c r="I1042" s="88">
        <v>330.23</v>
      </c>
      <c r="J1042" s="88">
        <v>330.92</v>
      </c>
      <c r="K1042" s="88">
        <v>321.73</v>
      </c>
      <c r="L1042" s="88">
        <v>321.73</v>
      </c>
      <c r="M1042" s="89">
        <v>469176</v>
      </c>
      <c r="N1042" s="87" t="s">
        <v>1061</v>
      </c>
      <c r="O1042" s="25">
        <f t="shared" si="32"/>
        <v>2.6419668666272988E-2</v>
      </c>
    </row>
    <row r="1043" spans="1:15">
      <c r="A1043" s="88">
        <v>361.72202761447818</v>
      </c>
      <c r="B1043" s="88">
        <v>361.93218671782995</v>
      </c>
      <c r="C1043" s="88">
        <v>359.82104299779616</v>
      </c>
      <c r="D1043" s="88">
        <v>361.54052657067439</v>
      </c>
      <c r="E1043" s="89">
        <v>2801957.3295110897</v>
      </c>
      <c r="F1043" s="87" t="s">
        <v>1062</v>
      </c>
      <c r="G1043" s="25">
        <f t="shared" si="31"/>
        <v>5.0202129627185954E-4</v>
      </c>
      <c r="I1043" s="88">
        <v>321.27</v>
      </c>
      <c r="J1043" s="88">
        <v>326.39999999999998</v>
      </c>
      <c r="K1043" s="88">
        <v>319.13</v>
      </c>
      <c r="L1043" s="88">
        <v>322.73</v>
      </c>
      <c r="M1043" s="89">
        <v>616748</v>
      </c>
      <c r="N1043" s="87" t="s">
        <v>1062</v>
      </c>
      <c r="O1043" s="25">
        <f t="shared" si="32"/>
        <v>-4.5239054317851579E-3</v>
      </c>
    </row>
    <row r="1044" spans="1:15">
      <c r="A1044" s="88">
        <v>362.22831999982566</v>
      </c>
      <c r="B1044" s="88">
        <v>363.79496058844802</v>
      </c>
      <c r="C1044" s="88">
        <v>358.83711628664918</v>
      </c>
      <c r="D1044" s="88">
        <v>363.26956283006854</v>
      </c>
      <c r="E1044" s="89">
        <v>3677444.0301372381</v>
      </c>
      <c r="F1044" s="87" t="s">
        <v>1063</v>
      </c>
      <c r="G1044" s="25">
        <f t="shared" si="31"/>
        <v>-2.8663090354474896E-3</v>
      </c>
      <c r="I1044" s="88">
        <v>322.85000000000002</v>
      </c>
      <c r="J1044" s="88">
        <v>326.20999999999998</v>
      </c>
      <c r="K1044" s="88">
        <v>320.33440000000002</v>
      </c>
      <c r="L1044" s="88">
        <v>322.19</v>
      </c>
      <c r="M1044" s="89">
        <v>625286</v>
      </c>
      <c r="N1044" s="87" t="s">
        <v>1063</v>
      </c>
      <c r="O1044" s="25">
        <f t="shared" si="32"/>
        <v>2.048480710139966E-3</v>
      </c>
    </row>
    <row r="1045" spans="1:15">
      <c r="A1045" s="88">
        <v>360.65212672468732</v>
      </c>
      <c r="B1045" s="88">
        <v>361.64560612235022</v>
      </c>
      <c r="C1045" s="88">
        <v>360.45152030785147</v>
      </c>
      <c r="D1045" s="88">
        <v>360.81452239545911</v>
      </c>
      <c r="E1045" s="89">
        <v>2377392.994314786</v>
      </c>
      <c r="F1045" s="87" t="s">
        <v>1064</v>
      </c>
      <c r="G1045" s="25">
        <f t="shared" si="31"/>
        <v>-4.500807497814785E-4</v>
      </c>
      <c r="I1045" s="88">
        <v>319.72000000000003</v>
      </c>
      <c r="J1045" s="88">
        <v>322.19</v>
      </c>
      <c r="K1045" s="88">
        <v>315.7</v>
      </c>
      <c r="L1045" s="88">
        <v>318.14</v>
      </c>
      <c r="M1045" s="89">
        <v>578567</v>
      </c>
      <c r="N1045" s="87" t="s">
        <v>1064</v>
      </c>
      <c r="O1045" s="25">
        <f t="shared" si="32"/>
        <v>4.966367008235606E-3</v>
      </c>
    </row>
    <row r="1046" spans="1:15">
      <c r="A1046" s="88">
        <v>362.21876731330968</v>
      </c>
      <c r="B1046" s="88">
        <v>362.63908552001323</v>
      </c>
      <c r="C1046" s="88">
        <v>360.97691806623095</v>
      </c>
      <c r="D1046" s="88">
        <v>362.43847910317743</v>
      </c>
      <c r="E1046" s="89">
        <v>3096111.230122868</v>
      </c>
      <c r="F1046" s="87" t="s">
        <v>1065</v>
      </c>
      <c r="G1046" s="25">
        <f t="shared" si="31"/>
        <v>-6.0620436994274218E-4</v>
      </c>
      <c r="I1046" s="88">
        <v>318.98</v>
      </c>
      <c r="J1046" s="88">
        <v>327.3</v>
      </c>
      <c r="K1046" s="88">
        <v>316.27</v>
      </c>
      <c r="L1046" s="88">
        <v>326.98</v>
      </c>
      <c r="M1046" s="89">
        <v>770099</v>
      </c>
      <c r="N1046" s="87" t="s">
        <v>1065</v>
      </c>
      <c r="O1046" s="25">
        <f t="shared" si="32"/>
        <v>-2.4466328215792976E-2</v>
      </c>
    </row>
    <row r="1047" spans="1:15">
      <c r="A1047" s="88">
        <v>362.01816089647389</v>
      </c>
      <c r="B1047" s="88">
        <v>363.08806178626475</v>
      </c>
      <c r="C1047" s="88">
        <v>358.63650986981338</v>
      </c>
      <c r="D1047" s="88">
        <v>358.93264315180909</v>
      </c>
      <c r="E1047" s="89">
        <v>3286399.0614002049</v>
      </c>
      <c r="F1047" s="87" t="s">
        <v>1066</v>
      </c>
      <c r="G1047" s="25">
        <f t="shared" si="31"/>
        <v>8.5963698302018443E-3</v>
      </c>
      <c r="I1047" s="88">
        <v>328.76</v>
      </c>
      <c r="J1047" s="88">
        <v>335.91</v>
      </c>
      <c r="K1047" s="88">
        <v>324.375</v>
      </c>
      <c r="L1047" s="88">
        <v>325.95999999999998</v>
      </c>
      <c r="M1047" s="89">
        <v>975970</v>
      </c>
      <c r="N1047" s="87" t="s">
        <v>1066</v>
      </c>
      <c r="O1047" s="25">
        <f t="shared" si="32"/>
        <v>8.5900110443000166E-3</v>
      </c>
    </row>
    <row r="1048" spans="1:15">
      <c r="A1048" s="88">
        <v>355.49367600605268</v>
      </c>
      <c r="B1048" s="88">
        <v>357.3755552497027</v>
      </c>
      <c r="C1048" s="88">
        <v>354.32824825110191</v>
      </c>
      <c r="D1048" s="88">
        <v>357.11763271377094</v>
      </c>
      <c r="E1048" s="89">
        <v>4628524.1252279971</v>
      </c>
      <c r="F1048" s="87" t="s">
        <v>1067</v>
      </c>
      <c r="G1048" s="25">
        <f t="shared" si="31"/>
        <v>-4.5473999572008816E-3</v>
      </c>
      <c r="I1048" s="88">
        <v>322.23</v>
      </c>
      <c r="J1048" s="88">
        <v>324.08999999999997</v>
      </c>
      <c r="K1048" s="88">
        <v>315.64999999999998</v>
      </c>
      <c r="L1048" s="88">
        <v>320.99</v>
      </c>
      <c r="M1048" s="89">
        <v>720783</v>
      </c>
      <c r="N1048" s="87" t="s">
        <v>1067</v>
      </c>
      <c r="O1048" s="25">
        <f t="shared" si="32"/>
        <v>3.8630486931057195E-3</v>
      </c>
    </row>
    <row r="1049" spans="1:15">
      <c r="A1049" s="88">
        <v>358.11111211143395</v>
      </c>
      <c r="B1049" s="88">
        <v>363.19314133794063</v>
      </c>
      <c r="C1049" s="88">
        <v>357.84363688898623</v>
      </c>
      <c r="D1049" s="88">
        <v>361.00557612577893</v>
      </c>
      <c r="E1049" s="89">
        <v>5771192.2094081603</v>
      </c>
      <c r="F1049" s="87" t="s">
        <v>1068</v>
      </c>
      <c r="G1049" s="25">
        <f t="shared" si="31"/>
        <v>-8.0177820115900911E-3</v>
      </c>
      <c r="I1049" s="88">
        <v>320.99</v>
      </c>
      <c r="J1049" s="88">
        <v>323.91000000000003</v>
      </c>
      <c r="K1049" s="88">
        <v>314.7</v>
      </c>
      <c r="L1049" s="88">
        <v>314.7</v>
      </c>
      <c r="M1049" s="89">
        <v>500936</v>
      </c>
      <c r="N1049" s="87" t="s">
        <v>1068</v>
      </c>
      <c r="O1049" s="25">
        <f t="shared" si="32"/>
        <v>1.9987289482046533E-2</v>
      </c>
    </row>
    <row r="1050" spans="1:15">
      <c r="A1050" s="88">
        <v>360.62346866513934</v>
      </c>
      <c r="B1050" s="88">
        <v>364.06243581089575</v>
      </c>
      <c r="C1050" s="88">
        <v>357.91050569459816</v>
      </c>
      <c r="D1050" s="88">
        <v>364.01467237831577</v>
      </c>
      <c r="E1050" s="89">
        <v>4513484.2358565088</v>
      </c>
      <c r="F1050" s="87" t="s">
        <v>1069</v>
      </c>
      <c r="G1050" s="25">
        <f t="shared" si="31"/>
        <v>-9.3161181966093798E-3</v>
      </c>
      <c r="I1050" s="88">
        <v>314.83999999999997</v>
      </c>
      <c r="J1050" s="88">
        <v>318.45999999999998</v>
      </c>
      <c r="K1050" s="88">
        <v>311.92</v>
      </c>
      <c r="L1050" s="88">
        <v>316.92</v>
      </c>
      <c r="M1050" s="89">
        <v>457842</v>
      </c>
      <c r="N1050" s="87" t="s">
        <v>1069</v>
      </c>
      <c r="O1050" s="25">
        <f t="shared" si="32"/>
        <v>-6.563170516218686E-3</v>
      </c>
    </row>
    <row r="1051" spans="1:15">
      <c r="A1051" s="88">
        <v>364.71201849398307</v>
      </c>
      <c r="B1051" s="88">
        <v>366.47926549944117</v>
      </c>
      <c r="C1051" s="88">
        <v>364.45409595805131</v>
      </c>
      <c r="D1051" s="88">
        <v>364.65470237488711</v>
      </c>
      <c r="E1051" s="89">
        <v>3213019.7037894777</v>
      </c>
      <c r="F1051" s="87" t="s">
        <v>1070</v>
      </c>
      <c r="G1051" s="25">
        <f t="shared" si="31"/>
        <v>1.5717915804369653E-4</v>
      </c>
      <c r="I1051" s="88">
        <v>318.87</v>
      </c>
      <c r="J1051" s="88">
        <v>322.5</v>
      </c>
      <c r="K1051" s="88">
        <v>317.09500000000003</v>
      </c>
      <c r="L1051" s="88">
        <v>317.19</v>
      </c>
      <c r="M1051" s="89">
        <v>405882</v>
      </c>
      <c r="N1051" s="87" t="s">
        <v>1070</v>
      </c>
      <c r="O1051" s="25">
        <f t="shared" si="32"/>
        <v>5.2965099782464886E-3</v>
      </c>
    </row>
    <row r="1052" spans="1:15">
      <c r="A1052" s="88">
        <v>364.96038834339879</v>
      </c>
      <c r="B1052" s="88">
        <v>365.02725714901072</v>
      </c>
      <c r="C1052" s="88">
        <v>361.09155030442281</v>
      </c>
      <c r="D1052" s="88">
        <v>361.12976105048682</v>
      </c>
      <c r="E1052" s="89">
        <v>3545502.0892088674</v>
      </c>
      <c r="F1052" s="87" t="s">
        <v>1071</v>
      </c>
      <c r="G1052" s="25">
        <f t="shared" si="31"/>
        <v>1.0607343138292258E-2</v>
      </c>
      <c r="I1052" s="88">
        <v>318.04000000000002</v>
      </c>
      <c r="J1052" s="88">
        <v>319.33</v>
      </c>
      <c r="K1052" s="88">
        <v>313.3</v>
      </c>
      <c r="L1052" s="88">
        <v>314.31</v>
      </c>
      <c r="M1052" s="89">
        <v>332397</v>
      </c>
      <c r="N1052" s="87" t="s">
        <v>1071</v>
      </c>
      <c r="O1052" s="25">
        <f t="shared" si="32"/>
        <v>1.1867264802265298E-2</v>
      </c>
    </row>
    <row r="1053" spans="1:15">
      <c r="A1053" s="88">
        <v>361.86531791221802</v>
      </c>
      <c r="B1053" s="88">
        <v>362.1710038807297</v>
      </c>
      <c r="C1053" s="88">
        <v>356.95523704299916</v>
      </c>
      <c r="D1053" s="88">
        <v>357.16539614635093</v>
      </c>
      <c r="E1053" s="89">
        <v>4503839.8285114355</v>
      </c>
      <c r="F1053" s="87" t="s">
        <v>1072</v>
      </c>
      <c r="G1053" s="25">
        <f t="shared" si="31"/>
        <v>1.3158950493460608E-2</v>
      </c>
      <c r="I1053" s="88">
        <v>316.23</v>
      </c>
      <c r="J1053" s="88">
        <v>318.46499999999997</v>
      </c>
      <c r="K1053" s="88">
        <v>311.58</v>
      </c>
      <c r="L1053" s="88">
        <v>316.89999999999998</v>
      </c>
      <c r="M1053" s="89">
        <v>530402</v>
      </c>
      <c r="N1053" s="87" t="s">
        <v>1072</v>
      </c>
      <c r="O1053" s="25">
        <f t="shared" si="32"/>
        <v>-2.1142316188070831E-3</v>
      </c>
    </row>
    <row r="1054" spans="1:15">
      <c r="A1054" s="88">
        <v>354.82498794993336</v>
      </c>
      <c r="B1054" s="88">
        <v>357.92005838111413</v>
      </c>
      <c r="C1054" s="88">
        <v>354.38556437019787</v>
      </c>
      <c r="D1054" s="88">
        <v>356.94568435648318</v>
      </c>
      <c r="E1054" s="89">
        <v>3943284.4296676954</v>
      </c>
      <c r="F1054" s="87" t="s">
        <v>1073</v>
      </c>
      <c r="G1054" s="25">
        <f t="shared" si="31"/>
        <v>-5.9412299951828729E-3</v>
      </c>
      <c r="I1054" s="88">
        <v>316.67</v>
      </c>
      <c r="J1054" s="88">
        <v>321.16000000000003</v>
      </c>
      <c r="K1054" s="88">
        <v>316.27999999999997</v>
      </c>
      <c r="L1054" s="88">
        <v>320.27</v>
      </c>
      <c r="M1054" s="89">
        <v>432629</v>
      </c>
      <c r="N1054" s="87" t="s">
        <v>1073</v>
      </c>
      <c r="O1054" s="25">
        <f t="shared" si="32"/>
        <v>-1.1240515814781138E-2</v>
      </c>
    </row>
    <row r="1055" spans="1:15">
      <c r="A1055" s="88">
        <v>356.41073391158773</v>
      </c>
      <c r="B1055" s="88">
        <v>360.80496970894313</v>
      </c>
      <c r="C1055" s="88">
        <v>356.33431241945976</v>
      </c>
      <c r="D1055" s="88">
        <v>360.30823001011169</v>
      </c>
      <c r="E1055" s="89">
        <v>3973152.4672634453</v>
      </c>
      <c r="F1055" s="87" t="s">
        <v>1074</v>
      </c>
      <c r="G1055" s="25">
        <f t="shared" si="31"/>
        <v>-1.081711649610273E-2</v>
      </c>
      <c r="I1055" s="88">
        <v>321.33</v>
      </c>
      <c r="J1055" s="88">
        <v>325.22000000000003</v>
      </c>
      <c r="K1055" s="88">
        <v>316.19</v>
      </c>
      <c r="L1055" s="88">
        <v>316.19</v>
      </c>
      <c r="M1055" s="89">
        <v>426274</v>
      </c>
      <c r="N1055" s="87" t="s">
        <v>1074</v>
      </c>
      <c r="O1055" s="25">
        <f t="shared" si="32"/>
        <v>1.6256048578386473E-2</v>
      </c>
    </row>
    <row r="1056" spans="1:15">
      <c r="A1056" s="88">
        <v>362.13279313466575</v>
      </c>
      <c r="B1056" s="88">
        <v>362.49579522227339</v>
      </c>
      <c r="C1056" s="88">
        <v>360.35599344269161</v>
      </c>
      <c r="D1056" s="88">
        <v>361.55007925719036</v>
      </c>
      <c r="E1056" s="89">
        <v>2418558.3774079885</v>
      </c>
      <c r="F1056" s="87" t="s">
        <v>1075</v>
      </c>
      <c r="G1056" s="25">
        <f t="shared" si="31"/>
        <v>1.6117099978862903E-3</v>
      </c>
      <c r="I1056" s="88">
        <v>318.77</v>
      </c>
      <c r="J1056" s="88">
        <v>321.27</v>
      </c>
      <c r="K1056" s="88">
        <v>316.26499999999999</v>
      </c>
      <c r="L1056" s="88">
        <v>319.07</v>
      </c>
      <c r="M1056" s="89">
        <v>498172</v>
      </c>
      <c r="N1056" s="87" t="s">
        <v>1075</v>
      </c>
      <c r="O1056" s="25">
        <f t="shared" si="32"/>
        <v>-9.4023255085096125E-4</v>
      </c>
    </row>
    <row r="1057" spans="1:15">
      <c r="A1057" s="88">
        <v>361.65515880886625</v>
      </c>
      <c r="B1057" s="88">
        <v>362.14234582118178</v>
      </c>
      <c r="C1057" s="88">
        <v>359.96433329553599</v>
      </c>
      <c r="D1057" s="88">
        <v>361.74113298751018</v>
      </c>
      <c r="E1057" s="89">
        <v>2891653.5629806751</v>
      </c>
      <c r="F1057" s="87" t="s">
        <v>1076</v>
      </c>
      <c r="G1057" s="25">
        <f t="shared" si="31"/>
        <v>-2.3766768775757008E-4</v>
      </c>
      <c r="I1057" s="88">
        <v>319.3</v>
      </c>
      <c r="J1057" s="88">
        <v>324.60000000000002</v>
      </c>
      <c r="K1057" s="88">
        <v>313.58</v>
      </c>
      <c r="L1057" s="88">
        <v>321.52999999999997</v>
      </c>
      <c r="M1057" s="89">
        <v>561268</v>
      </c>
      <c r="N1057" s="87" t="s">
        <v>1076</v>
      </c>
      <c r="O1057" s="25">
        <f t="shared" si="32"/>
        <v>-6.9355892140701147E-3</v>
      </c>
    </row>
    <row r="1058" spans="1:15">
      <c r="A1058" s="88">
        <v>361.44499970551448</v>
      </c>
      <c r="B1058" s="88">
        <v>363.06895641323274</v>
      </c>
      <c r="C1058" s="88">
        <v>360.07896553372791</v>
      </c>
      <c r="D1058" s="88">
        <v>360.88139120107104</v>
      </c>
      <c r="E1058" s="89">
        <v>3091458.0888389372</v>
      </c>
      <c r="F1058" s="87" t="s">
        <v>1077</v>
      </c>
      <c r="G1058" s="25">
        <f t="shared" si="31"/>
        <v>1.5617555190852173E-3</v>
      </c>
      <c r="I1058" s="88">
        <v>321.14</v>
      </c>
      <c r="J1058" s="88">
        <v>328.86709999999999</v>
      </c>
      <c r="K1058" s="88">
        <v>320.375</v>
      </c>
      <c r="L1058" s="88">
        <v>326</v>
      </c>
      <c r="M1058" s="89">
        <v>387680</v>
      </c>
      <c r="N1058" s="87" t="s">
        <v>1077</v>
      </c>
      <c r="O1058" s="25">
        <f t="shared" si="32"/>
        <v>-1.4907975460122791E-2</v>
      </c>
    </row>
    <row r="1059" spans="1:15">
      <c r="A1059" s="88">
        <v>363.49882730645231</v>
      </c>
      <c r="B1059" s="88">
        <v>364.27259491424752</v>
      </c>
      <c r="C1059" s="88">
        <v>361.73158030099415</v>
      </c>
      <c r="D1059" s="88">
        <v>361.78889642009011</v>
      </c>
      <c r="E1059" s="89">
        <v>2796397.636966893</v>
      </c>
      <c r="F1059" s="87" t="s">
        <v>1078</v>
      </c>
      <c r="G1059" s="25">
        <f t="shared" si="31"/>
        <v>4.7263221820292856E-3</v>
      </c>
      <c r="I1059" s="88">
        <v>326.14</v>
      </c>
      <c r="J1059" s="88">
        <v>326.85000000000002</v>
      </c>
      <c r="K1059" s="88">
        <v>320.3</v>
      </c>
      <c r="L1059" s="88">
        <v>320.82</v>
      </c>
      <c r="M1059" s="89">
        <v>351531</v>
      </c>
      <c r="N1059" s="87" t="s">
        <v>1078</v>
      </c>
      <c r="O1059" s="25">
        <f t="shared" si="32"/>
        <v>1.6582507324979678E-2</v>
      </c>
    </row>
    <row r="1060" spans="1:15">
      <c r="A1060" s="88">
        <v>363.51793267948432</v>
      </c>
      <c r="B1060" s="88">
        <v>364.83142707543294</v>
      </c>
      <c r="C1060" s="88">
        <v>362.27608343240558</v>
      </c>
      <c r="D1060" s="88">
        <v>364.75978192656299</v>
      </c>
      <c r="E1060" s="89">
        <v>3160648.0490552234</v>
      </c>
      <c r="F1060" s="87" t="s">
        <v>1079</v>
      </c>
      <c r="G1060" s="25">
        <f t="shared" si="31"/>
        <v>-3.4045673580556102E-3</v>
      </c>
      <c r="I1060" s="88">
        <v>321.3</v>
      </c>
      <c r="J1060" s="88">
        <v>323.92</v>
      </c>
      <c r="K1060" s="88">
        <v>318.85000000000002</v>
      </c>
      <c r="L1060" s="88">
        <v>323.92</v>
      </c>
      <c r="M1060" s="89">
        <v>336801</v>
      </c>
      <c r="N1060" s="87" t="s">
        <v>1079</v>
      </c>
      <c r="O1060" s="25">
        <f t="shared" si="32"/>
        <v>-8.0884168930600575E-3</v>
      </c>
    </row>
    <row r="1061" spans="1:15">
      <c r="A1061" s="88">
        <v>363.26956283006854</v>
      </c>
      <c r="B1061" s="88">
        <v>363.30777357613249</v>
      </c>
      <c r="C1061" s="88">
        <v>360.78586433591119</v>
      </c>
      <c r="D1061" s="88">
        <v>361.893975971766</v>
      </c>
      <c r="E1061" s="89">
        <v>2848417.5581867718</v>
      </c>
      <c r="F1061" s="87" t="s">
        <v>1080</v>
      </c>
      <c r="G1061" s="25">
        <f t="shared" si="31"/>
        <v>3.8010769718086479E-3</v>
      </c>
      <c r="I1061" s="88">
        <v>321.27</v>
      </c>
      <c r="J1061" s="88">
        <v>325.29500000000002</v>
      </c>
      <c r="K1061" s="88">
        <v>319.43</v>
      </c>
      <c r="L1061" s="88">
        <v>319.43</v>
      </c>
      <c r="M1061" s="89">
        <v>546246</v>
      </c>
      <c r="N1061" s="87" t="s">
        <v>1080</v>
      </c>
      <c r="O1061" s="25">
        <f t="shared" si="32"/>
        <v>5.7602604639512833E-3</v>
      </c>
    </row>
    <row r="1062" spans="1:15">
      <c r="A1062" s="88">
        <v>362.03726626950584</v>
      </c>
      <c r="B1062" s="88">
        <v>364.27259491424752</v>
      </c>
      <c r="C1062" s="88">
        <v>359.86880643037614</v>
      </c>
      <c r="D1062" s="88">
        <v>362.30474149195356</v>
      </c>
      <c r="E1062" s="89">
        <v>3121271.6914860336</v>
      </c>
      <c r="F1062" s="87" t="s">
        <v>1081</v>
      </c>
      <c r="G1062" s="25">
        <f t="shared" si="31"/>
        <v>-7.3826034223645198E-4</v>
      </c>
      <c r="I1062" s="88">
        <v>318.82</v>
      </c>
      <c r="J1062" s="88">
        <v>320.51</v>
      </c>
      <c r="K1062" s="88">
        <v>316.02</v>
      </c>
      <c r="L1062" s="88">
        <v>317.04000000000002</v>
      </c>
      <c r="M1062" s="89">
        <v>527139</v>
      </c>
      <c r="N1062" s="87" t="s">
        <v>1081</v>
      </c>
      <c r="O1062" s="25">
        <f t="shared" si="32"/>
        <v>5.6144335099670428E-3</v>
      </c>
    </row>
    <row r="1063" spans="1:15">
      <c r="A1063" s="88">
        <v>362.78237581775306</v>
      </c>
      <c r="B1063" s="88">
        <v>363.16448327839271</v>
      </c>
      <c r="C1063" s="88">
        <v>358.65064784585707</v>
      </c>
      <c r="D1063" s="88">
        <v>359.09503882258093</v>
      </c>
      <c r="E1063" s="89">
        <v>2806404.2460856992</v>
      </c>
      <c r="F1063" s="87" t="s">
        <v>1082</v>
      </c>
      <c r="G1063" s="25">
        <f t="shared" si="31"/>
        <v>1.0268415312175705E-2</v>
      </c>
      <c r="I1063" s="88">
        <v>317.13</v>
      </c>
      <c r="J1063" s="88">
        <v>318.76</v>
      </c>
      <c r="K1063" s="88">
        <v>316.17</v>
      </c>
      <c r="L1063" s="88">
        <v>317.27</v>
      </c>
      <c r="M1063" s="89">
        <v>407978</v>
      </c>
      <c r="N1063" s="87" t="s">
        <v>1082</v>
      </c>
      <c r="O1063" s="25">
        <f t="shared" si="32"/>
        <v>-4.4126453809056887E-4</v>
      </c>
    </row>
    <row r="1064" spans="1:15">
      <c r="A1064" s="88">
        <v>358.13977017098193</v>
      </c>
      <c r="B1064" s="88">
        <v>361.68381686841423</v>
      </c>
      <c r="C1064" s="88">
        <v>357.5761616665385</v>
      </c>
      <c r="D1064" s="88">
        <v>361.4736577650624</v>
      </c>
      <c r="E1064" s="89">
        <v>3793878.2916550022</v>
      </c>
      <c r="F1064" s="87" t="s">
        <v>1083</v>
      </c>
      <c r="G1064" s="25">
        <f t="shared" si="31"/>
        <v>-9.2230443974629095E-3</v>
      </c>
      <c r="I1064" s="88">
        <v>316.29000000000002</v>
      </c>
      <c r="J1064" s="88">
        <v>319.47000000000003</v>
      </c>
      <c r="K1064" s="88">
        <v>314.63</v>
      </c>
      <c r="L1064" s="88">
        <v>317.24</v>
      </c>
      <c r="M1064" s="89">
        <v>533838</v>
      </c>
      <c r="N1064" s="87" t="s">
        <v>1083</v>
      </c>
      <c r="O1064" s="25">
        <f t="shared" si="32"/>
        <v>-2.9945782372966523E-3</v>
      </c>
    </row>
    <row r="1065" spans="1:15">
      <c r="A1065" s="88">
        <v>359.57267314838043</v>
      </c>
      <c r="B1065" s="88">
        <v>360.86228582803909</v>
      </c>
      <c r="C1065" s="88">
        <v>358.88487971922916</v>
      </c>
      <c r="D1065" s="88">
        <v>360.0407547876639</v>
      </c>
      <c r="E1065" s="89">
        <v>3212709.8433125275</v>
      </c>
      <c r="F1065" s="87" t="s">
        <v>1084</v>
      </c>
      <c r="G1065" s="25">
        <f t="shared" si="31"/>
        <v>-1.3000795967098577E-3</v>
      </c>
      <c r="I1065" s="88">
        <v>314</v>
      </c>
      <c r="J1065" s="88">
        <v>321.99</v>
      </c>
      <c r="K1065" s="88">
        <v>313.69</v>
      </c>
      <c r="L1065" s="88">
        <v>317.2</v>
      </c>
      <c r="M1065" s="89">
        <v>657736</v>
      </c>
      <c r="N1065" s="87" t="s">
        <v>1084</v>
      </c>
      <c r="O1065" s="25">
        <f t="shared" si="32"/>
        <v>-1.0088272383354302E-2</v>
      </c>
    </row>
    <row r="1066" spans="1:15">
      <c r="A1066" s="88">
        <v>359.5249097158005</v>
      </c>
      <c r="B1066" s="88">
        <v>359.55356777534843</v>
      </c>
      <c r="C1066" s="88">
        <v>356.27699630036386</v>
      </c>
      <c r="D1066" s="88">
        <v>356.8406048048073</v>
      </c>
      <c r="E1066" s="89">
        <v>2796194.5527353785</v>
      </c>
      <c r="F1066" s="87" t="s">
        <v>1085</v>
      </c>
      <c r="G1066" s="25">
        <f t="shared" si="31"/>
        <v>7.5224200240930905E-3</v>
      </c>
      <c r="I1066" s="88">
        <v>314.92</v>
      </c>
      <c r="J1066" s="88">
        <v>316.69</v>
      </c>
      <c r="K1066" s="88">
        <v>313.2</v>
      </c>
      <c r="L1066" s="88">
        <v>316.69</v>
      </c>
      <c r="M1066" s="89">
        <v>442344</v>
      </c>
      <c r="N1066" s="87" t="s">
        <v>1085</v>
      </c>
      <c r="O1066" s="25">
        <f t="shared" si="32"/>
        <v>-5.5890618585998642E-3</v>
      </c>
    </row>
    <row r="1067" spans="1:15">
      <c r="A1067" s="88">
        <v>359.13324956864489</v>
      </c>
      <c r="B1067" s="88">
        <v>359.35773770177065</v>
      </c>
      <c r="C1067" s="88">
        <v>356.04773182398014</v>
      </c>
      <c r="D1067" s="88">
        <v>356.95523704299916</v>
      </c>
      <c r="E1067" s="89">
        <v>3220270.0202197372</v>
      </c>
      <c r="F1067" s="87" t="s">
        <v>1086</v>
      </c>
      <c r="G1067" s="25">
        <f t="shared" si="31"/>
        <v>6.1016404849199013E-3</v>
      </c>
      <c r="I1067" s="88">
        <v>317.72000000000003</v>
      </c>
      <c r="J1067" s="88">
        <v>317.83999999999997</v>
      </c>
      <c r="K1067" s="88">
        <v>313.75</v>
      </c>
      <c r="L1067" s="88">
        <v>316.74</v>
      </c>
      <c r="M1067" s="89">
        <v>391003</v>
      </c>
      <c r="N1067" s="87" t="s">
        <v>1086</v>
      </c>
      <c r="O1067" s="25">
        <f t="shared" si="32"/>
        <v>3.0940203321336845E-3</v>
      </c>
    </row>
    <row r="1068" spans="1:15">
      <c r="A1068" s="88">
        <v>357.76721539685826</v>
      </c>
      <c r="B1068" s="88">
        <v>358.62695718329741</v>
      </c>
      <c r="C1068" s="88">
        <v>356.21012749475193</v>
      </c>
      <c r="D1068" s="88">
        <v>357.94871644066211</v>
      </c>
      <c r="E1068" s="89">
        <v>3378876.7113807919</v>
      </c>
      <c r="F1068" s="87" t="s">
        <v>1087</v>
      </c>
      <c r="G1068" s="25">
        <f t="shared" si="31"/>
        <v>-5.0705879213264193E-4</v>
      </c>
      <c r="I1068" s="88">
        <v>315.89</v>
      </c>
      <c r="J1068" s="88">
        <v>319.935</v>
      </c>
      <c r="K1068" s="88">
        <v>315.52999999999997</v>
      </c>
      <c r="L1068" s="88">
        <v>319.18</v>
      </c>
      <c r="M1068" s="89">
        <v>456337</v>
      </c>
      <c r="N1068" s="87" t="s">
        <v>1087</v>
      </c>
      <c r="O1068" s="25">
        <f t="shared" si="32"/>
        <v>-1.0307663387430388E-2</v>
      </c>
    </row>
    <row r="1069" spans="1:15">
      <c r="A1069" s="88">
        <v>358.63650986981338</v>
      </c>
      <c r="B1069" s="88">
        <v>361.4736577650624</v>
      </c>
      <c r="C1069" s="88">
        <v>357.3946606227347</v>
      </c>
      <c r="D1069" s="88">
        <v>361.27305134822666</v>
      </c>
      <c r="E1069" s="89">
        <v>2840329.7810079986</v>
      </c>
      <c r="F1069" s="87" t="s">
        <v>1088</v>
      </c>
      <c r="G1069" s="25">
        <f t="shared" si="31"/>
        <v>-7.2979190354055534E-3</v>
      </c>
      <c r="I1069" s="88">
        <v>319.91000000000003</v>
      </c>
      <c r="J1069" s="88">
        <v>321.86500000000001</v>
      </c>
      <c r="K1069" s="88">
        <v>317.08</v>
      </c>
      <c r="L1069" s="88">
        <v>319.99</v>
      </c>
      <c r="M1069" s="89">
        <v>553851</v>
      </c>
      <c r="N1069" s="87" t="s">
        <v>1088</v>
      </c>
      <c r="O1069" s="25">
        <f t="shared" si="32"/>
        <v>-2.5000781274409078E-4</v>
      </c>
    </row>
    <row r="1070" spans="1:15">
      <c r="A1070" s="88">
        <v>360.67123209771927</v>
      </c>
      <c r="B1070" s="88">
        <v>361.00557612577893</v>
      </c>
      <c r="C1070" s="88">
        <v>358.43590345297764</v>
      </c>
      <c r="D1070" s="88">
        <v>358.79890554058522</v>
      </c>
      <c r="E1070" s="89">
        <v>3690371.2836164865</v>
      </c>
      <c r="F1070" s="87" t="s">
        <v>1089</v>
      </c>
      <c r="G1070" s="25">
        <f t="shared" si="31"/>
        <v>5.2183173588924436E-3</v>
      </c>
      <c r="I1070" s="88">
        <v>318.83999999999997</v>
      </c>
      <c r="J1070" s="88">
        <v>320.95</v>
      </c>
      <c r="K1070" s="88">
        <v>312.77</v>
      </c>
      <c r="L1070" s="88">
        <v>318.43</v>
      </c>
      <c r="M1070" s="89">
        <v>526407</v>
      </c>
      <c r="N1070" s="87" t="s">
        <v>1089</v>
      </c>
      <c r="O1070" s="25">
        <f t="shared" si="32"/>
        <v>1.2875671262129185E-3</v>
      </c>
    </row>
    <row r="1071" spans="1:15">
      <c r="A1071" s="88">
        <v>359.24788180683674</v>
      </c>
      <c r="B1071" s="88">
        <v>359.50580434276844</v>
      </c>
      <c r="C1071" s="88">
        <v>355.02559436676916</v>
      </c>
      <c r="D1071" s="88">
        <v>355.14977929147699</v>
      </c>
      <c r="E1071" s="89">
        <v>4354632.5874265134</v>
      </c>
      <c r="F1071" s="87" t="s">
        <v>1090</v>
      </c>
      <c r="G1071" s="25">
        <f t="shared" si="31"/>
        <v>1.153908225294531E-2</v>
      </c>
      <c r="I1071" s="88">
        <v>318.95999999999998</v>
      </c>
      <c r="J1071" s="88">
        <v>324.18</v>
      </c>
      <c r="K1071" s="88">
        <v>318.31</v>
      </c>
      <c r="L1071" s="88">
        <v>318.77999999999997</v>
      </c>
      <c r="M1071" s="89">
        <v>895436</v>
      </c>
      <c r="N1071" s="87" t="s">
        <v>1090</v>
      </c>
      <c r="O1071" s="25">
        <f t="shared" si="32"/>
        <v>5.6465273856587395E-4</v>
      </c>
    </row>
    <row r="1072" spans="1:15">
      <c r="A1072" s="88">
        <v>354.29959019155393</v>
      </c>
      <c r="B1072" s="88">
        <v>354.86319869599737</v>
      </c>
      <c r="C1072" s="88">
        <v>352.59156984249489</v>
      </c>
      <c r="D1072" s="88">
        <v>354.62438153309762</v>
      </c>
      <c r="E1072" s="89">
        <v>3472051.5474345167</v>
      </c>
      <c r="F1072" s="87" t="s">
        <v>1091</v>
      </c>
      <c r="G1072" s="25">
        <f t="shared" si="31"/>
        <v>-9.1587425585226701E-4</v>
      </c>
      <c r="I1072" s="88">
        <v>316.88</v>
      </c>
      <c r="J1072" s="88">
        <v>318.45499999999998</v>
      </c>
      <c r="K1072" s="88">
        <v>312.88</v>
      </c>
      <c r="L1072" s="88">
        <v>315.48</v>
      </c>
      <c r="M1072" s="89">
        <v>398514</v>
      </c>
      <c r="N1072" s="87" t="s">
        <v>1091</v>
      </c>
      <c r="O1072" s="25">
        <f t="shared" si="32"/>
        <v>4.4376822619500711E-3</v>
      </c>
    </row>
    <row r="1073" spans="1:15">
      <c r="A1073" s="88">
        <v>352.19799915803611</v>
      </c>
      <c r="B1073" s="88">
        <v>352.43681632093586</v>
      </c>
      <c r="C1073" s="88">
        <v>349.90535439419853</v>
      </c>
      <c r="D1073" s="88">
        <v>350.96570259747341</v>
      </c>
      <c r="E1073" s="89">
        <v>3806331.3329854044</v>
      </c>
      <c r="F1073" s="87" t="s">
        <v>1092</v>
      </c>
      <c r="G1073" s="25">
        <f t="shared" si="31"/>
        <v>3.5111594991834583E-3</v>
      </c>
      <c r="I1073" s="88">
        <v>312.89999999999998</v>
      </c>
      <c r="J1073" s="88">
        <v>314.25</v>
      </c>
      <c r="K1073" s="88">
        <v>308.95999999999998</v>
      </c>
      <c r="L1073" s="88">
        <v>313.27</v>
      </c>
      <c r="M1073" s="89">
        <v>373376</v>
      </c>
      <c r="N1073" s="87" t="s">
        <v>1092</v>
      </c>
      <c r="O1073" s="25">
        <f t="shared" si="32"/>
        <v>-1.1810897947457377E-3</v>
      </c>
    </row>
    <row r="1074" spans="1:15">
      <c r="A1074" s="88">
        <v>347.25926022926927</v>
      </c>
      <c r="B1074" s="88">
        <v>347.90884291235659</v>
      </c>
      <c r="C1074" s="88">
        <v>345.50347644763031</v>
      </c>
      <c r="D1074" s="88">
        <v>347.27836560230128</v>
      </c>
      <c r="E1074" s="89">
        <v>2526674.560041138</v>
      </c>
      <c r="F1074" s="87" t="s">
        <v>1093</v>
      </c>
      <c r="G1074" s="25">
        <f t="shared" si="31"/>
        <v>-5.5014578863477048E-5</v>
      </c>
      <c r="I1074" s="88">
        <v>311.29000000000002</v>
      </c>
      <c r="J1074" s="88">
        <v>316.66000000000003</v>
      </c>
      <c r="K1074" s="88">
        <v>309.71499999999997</v>
      </c>
      <c r="L1074" s="88">
        <v>315.24</v>
      </c>
      <c r="M1074" s="89">
        <v>280646</v>
      </c>
      <c r="N1074" s="87" t="s">
        <v>1093</v>
      </c>
      <c r="O1074" s="25">
        <f t="shared" si="32"/>
        <v>-1.2530135769572404E-2</v>
      </c>
    </row>
    <row r="1075" spans="1:15">
      <c r="A1075" s="88">
        <v>347.87063216629269</v>
      </c>
      <c r="B1075" s="88">
        <v>350.03909200542239</v>
      </c>
      <c r="C1075" s="88">
        <v>347.14462799107736</v>
      </c>
      <c r="D1075" s="88">
        <v>349.36562760604511</v>
      </c>
      <c r="E1075" s="89">
        <v>4338878.9039210314</v>
      </c>
      <c r="F1075" s="87" t="s">
        <v>1094</v>
      </c>
      <c r="G1075" s="25">
        <f t="shared" si="31"/>
        <v>-4.2791715086470949E-3</v>
      </c>
      <c r="I1075" s="88">
        <v>314.93</v>
      </c>
      <c r="J1075" s="88">
        <v>314.94</v>
      </c>
      <c r="K1075" s="88">
        <v>308.52</v>
      </c>
      <c r="L1075" s="88">
        <v>312.92</v>
      </c>
      <c r="M1075" s="89">
        <v>777364</v>
      </c>
      <c r="N1075" s="87" t="s">
        <v>1094</v>
      </c>
      <c r="O1075" s="25">
        <f t="shared" si="32"/>
        <v>6.4233669947590943E-3</v>
      </c>
    </row>
    <row r="1076" spans="1:15">
      <c r="A1076" s="88">
        <v>347.29747097533323</v>
      </c>
      <c r="B1076" s="88">
        <v>347.36433978094516</v>
      </c>
      <c r="C1076" s="88">
        <v>341.7187020499951</v>
      </c>
      <c r="D1076" s="88">
        <v>343.87760920260882</v>
      </c>
      <c r="E1076" s="89">
        <v>3916114.0625080965</v>
      </c>
      <c r="F1076" s="87" t="s">
        <v>1095</v>
      </c>
      <c r="G1076" s="25">
        <f t="shared" si="31"/>
        <v>9.9449969442746422E-3</v>
      </c>
      <c r="I1076" s="88">
        <v>310.17</v>
      </c>
      <c r="J1076" s="88">
        <v>315.58</v>
      </c>
      <c r="K1076" s="88">
        <v>308.27</v>
      </c>
      <c r="L1076" s="88">
        <v>311.61</v>
      </c>
      <c r="M1076" s="89">
        <v>444235</v>
      </c>
      <c r="N1076" s="87" t="s">
        <v>1095</v>
      </c>
      <c r="O1076" s="25">
        <f t="shared" si="32"/>
        <v>-4.6211610667180603E-3</v>
      </c>
    </row>
    <row r="1077" spans="1:15">
      <c r="A1077" s="88">
        <v>344.99775720687506</v>
      </c>
      <c r="B1077" s="88">
        <v>350.36908231494374</v>
      </c>
      <c r="C1077" s="88">
        <v>342.60035386427273</v>
      </c>
      <c r="D1077" s="88">
        <v>346.74824218718794</v>
      </c>
      <c r="E1077" s="89">
        <v>5031996.9717339501</v>
      </c>
      <c r="F1077" s="87" t="s">
        <v>1096</v>
      </c>
      <c r="G1077" s="25">
        <f t="shared" si="31"/>
        <v>-5.0482879719052631E-3</v>
      </c>
      <c r="I1077" s="88">
        <v>311.49</v>
      </c>
      <c r="J1077" s="88">
        <v>320.62</v>
      </c>
      <c r="K1077" s="88">
        <v>307.60000000000002</v>
      </c>
      <c r="L1077" s="88">
        <v>318.23</v>
      </c>
      <c r="M1077" s="89">
        <v>724411</v>
      </c>
      <c r="N1077" s="87" t="s">
        <v>1096</v>
      </c>
      <c r="O1077" s="25">
        <f t="shared" si="32"/>
        <v>-2.1179649938723566E-2</v>
      </c>
    </row>
    <row r="1078" spans="1:15">
      <c r="A1078" s="88">
        <v>344.17959574868536</v>
      </c>
      <c r="B1078" s="88">
        <v>353.15939342758372</v>
      </c>
      <c r="C1078" s="88">
        <v>344.06543368475195</v>
      </c>
      <c r="D1078" s="88">
        <v>349.88769894535767</v>
      </c>
      <c r="E1078" s="89">
        <v>4304238.9307753099</v>
      </c>
      <c r="F1078" s="87" t="s">
        <v>1097</v>
      </c>
      <c r="G1078" s="25">
        <f t="shared" si="31"/>
        <v>-1.631410082114304E-2</v>
      </c>
      <c r="I1078" s="88">
        <v>315.16000000000003</v>
      </c>
      <c r="J1078" s="88">
        <v>326.33999999999997</v>
      </c>
      <c r="K1078" s="88">
        <v>315.02999999999997</v>
      </c>
      <c r="L1078" s="88">
        <v>325.01</v>
      </c>
      <c r="M1078" s="89">
        <v>838966</v>
      </c>
      <c r="N1078" s="87" t="s">
        <v>1097</v>
      </c>
      <c r="O1078" s="25">
        <f t="shared" si="32"/>
        <v>-3.0306759792006255E-2</v>
      </c>
    </row>
    <row r="1079" spans="1:15">
      <c r="A1079" s="88">
        <v>349.98283399863556</v>
      </c>
      <c r="B1079" s="88">
        <v>350.4870497810083</v>
      </c>
      <c r="C1079" s="88">
        <v>347.12878240029943</v>
      </c>
      <c r="D1079" s="88">
        <v>348.59386222077865</v>
      </c>
      <c r="E1079" s="89">
        <v>4328193.2979773106</v>
      </c>
      <c r="F1079" s="87" t="s">
        <v>1098</v>
      </c>
      <c r="G1079" s="25">
        <f t="shared" si="31"/>
        <v>3.9844986627366463E-3</v>
      </c>
      <c r="I1079" s="88">
        <v>326.02999999999997</v>
      </c>
      <c r="J1079" s="88">
        <v>326.74</v>
      </c>
      <c r="K1079" s="88">
        <v>317.10000000000002</v>
      </c>
      <c r="L1079" s="88">
        <v>318.37</v>
      </c>
      <c r="M1079" s="89">
        <v>814413</v>
      </c>
      <c r="N1079" s="87" t="s">
        <v>1098</v>
      </c>
      <c r="O1079" s="25">
        <f t="shared" si="32"/>
        <v>2.4060055909790323E-2</v>
      </c>
    </row>
    <row r="1080" spans="1:15">
      <c r="A1080" s="88">
        <v>345.46391896793665</v>
      </c>
      <c r="B1080" s="88">
        <v>345.89202670768708</v>
      </c>
      <c r="C1080" s="88">
        <v>342.31494870443908</v>
      </c>
      <c r="D1080" s="88">
        <v>342.93332655074528</v>
      </c>
      <c r="E1080" s="89">
        <v>3258265.9001053912</v>
      </c>
      <c r="F1080" s="87" t="s">
        <v>1099</v>
      </c>
      <c r="G1080" s="25">
        <f t="shared" si="31"/>
        <v>7.3792548617082065E-3</v>
      </c>
      <c r="I1080" s="88">
        <v>318.3</v>
      </c>
      <c r="J1080" s="88">
        <v>318.70999999999998</v>
      </c>
      <c r="K1080" s="88">
        <v>308.06</v>
      </c>
      <c r="L1080" s="88">
        <v>308.33</v>
      </c>
      <c r="M1080" s="89">
        <v>922051</v>
      </c>
      <c r="N1080" s="87" t="s">
        <v>1099</v>
      </c>
      <c r="O1080" s="25">
        <f t="shared" si="32"/>
        <v>3.2335484707942896E-2</v>
      </c>
    </row>
    <row r="1081" spans="1:15">
      <c r="A1081" s="88">
        <v>342.37202973640581</v>
      </c>
      <c r="B1081" s="88">
        <v>346.09181031957064</v>
      </c>
      <c r="C1081" s="88">
        <v>340.98315309360214</v>
      </c>
      <c r="D1081" s="88">
        <v>345.11191927080853</v>
      </c>
      <c r="E1081" s="89">
        <v>5455304.6655066609</v>
      </c>
      <c r="F1081" s="87" t="s">
        <v>1100</v>
      </c>
      <c r="G1081" s="25">
        <f t="shared" si="31"/>
        <v>-7.9391333112801554E-3</v>
      </c>
      <c r="I1081" s="88">
        <v>309.08999999999997</v>
      </c>
      <c r="J1081" s="88">
        <v>313.83</v>
      </c>
      <c r="K1081" s="88">
        <v>305.14</v>
      </c>
      <c r="L1081" s="88">
        <v>312.02999999999997</v>
      </c>
      <c r="M1081" s="89">
        <v>1321905</v>
      </c>
      <c r="N1081" s="87" t="s">
        <v>1100</v>
      </c>
      <c r="O1081" s="25">
        <f t="shared" si="32"/>
        <v>-9.422170945101449E-3</v>
      </c>
    </row>
    <row r="1082" spans="1:15">
      <c r="A1082" s="88">
        <v>346.15840485686516</v>
      </c>
      <c r="B1082" s="88">
        <v>346.53894506997659</v>
      </c>
      <c r="C1082" s="88">
        <v>337.71992563111786</v>
      </c>
      <c r="D1082" s="88">
        <v>338.24316842414618</v>
      </c>
      <c r="E1082" s="89">
        <v>5308077.1240547253</v>
      </c>
      <c r="F1082" s="87" t="s">
        <v>1101</v>
      </c>
      <c r="G1082" s="25">
        <f t="shared" si="31"/>
        <v>2.3401023794791032E-2</v>
      </c>
      <c r="I1082" s="88">
        <v>312.36</v>
      </c>
      <c r="J1082" s="88">
        <v>314.26</v>
      </c>
      <c r="K1082" s="88">
        <v>304.75</v>
      </c>
      <c r="L1082" s="88">
        <v>306</v>
      </c>
      <c r="M1082" s="89">
        <v>900592</v>
      </c>
      <c r="N1082" s="87" t="s">
        <v>1101</v>
      </c>
      <c r="O1082" s="25">
        <f t="shared" si="32"/>
        <v>2.0784313725490167E-2</v>
      </c>
    </row>
    <row r="1083" spans="1:15">
      <c r="A1083" s="88">
        <v>340.33613959625939</v>
      </c>
      <c r="B1083" s="88">
        <v>340.46932867084837</v>
      </c>
      <c r="C1083" s="88">
        <v>335.41290058912949</v>
      </c>
      <c r="D1083" s="88">
        <v>337.21570984874512</v>
      </c>
      <c r="E1083" s="89">
        <v>6948430.4388754126</v>
      </c>
      <c r="F1083" s="87" t="s">
        <v>1102</v>
      </c>
      <c r="G1083" s="25">
        <f t="shared" si="31"/>
        <v>9.2535123850365775E-3</v>
      </c>
      <c r="I1083" s="88">
        <v>307.89</v>
      </c>
      <c r="J1083" s="88">
        <v>312.76</v>
      </c>
      <c r="K1083" s="88">
        <v>302.05</v>
      </c>
      <c r="L1083" s="88">
        <v>309.60000000000002</v>
      </c>
      <c r="M1083" s="89">
        <v>1605614</v>
      </c>
      <c r="N1083" s="87" t="s">
        <v>1102</v>
      </c>
      <c r="O1083" s="25">
        <f t="shared" si="32"/>
        <v>-5.5232558139536314E-3</v>
      </c>
    </row>
    <row r="1084" spans="1:15">
      <c r="A1084" s="88">
        <v>342.44813777902812</v>
      </c>
      <c r="B1084" s="88">
        <v>343.92273110483512</v>
      </c>
      <c r="C1084" s="88">
        <v>338.32878997209627</v>
      </c>
      <c r="D1084" s="88">
        <v>341.42067920362712</v>
      </c>
      <c r="E1084" s="89">
        <v>5044209.0845143637</v>
      </c>
      <c r="F1084" s="87" t="s">
        <v>1103</v>
      </c>
      <c r="G1084" s="25">
        <f t="shared" ref="G1084:G1147" si="33">A1084/D1084-1</f>
        <v>3.0093624609897063E-3</v>
      </c>
      <c r="I1084" s="88">
        <v>312.77</v>
      </c>
      <c r="J1084" s="88">
        <v>313.41000000000003</v>
      </c>
      <c r="K1084" s="88">
        <v>306.68</v>
      </c>
      <c r="L1084" s="88">
        <v>307</v>
      </c>
      <c r="M1084" s="89">
        <v>16412410</v>
      </c>
      <c r="N1084" s="87" t="s">
        <v>1103</v>
      </c>
      <c r="O1084" s="25">
        <f t="shared" ref="O1084:O1147" si="34">I1084/L1084-1</f>
        <v>1.879478827361547E-2</v>
      </c>
    </row>
    <row r="1085" spans="1:15">
      <c r="A1085" s="88">
        <v>336.85419664628921</v>
      </c>
      <c r="B1085" s="88">
        <v>341.22089559174356</v>
      </c>
      <c r="C1085" s="88">
        <v>332.74436234468516</v>
      </c>
      <c r="D1085" s="88">
        <v>333.6957128774639</v>
      </c>
      <c r="E1085" s="89">
        <v>6809995.6606708653</v>
      </c>
      <c r="F1085" s="87" t="s">
        <v>1104</v>
      </c>
      <c r="G1085" s="25">
        <f t="shared" si="33"/>
        <v>9.4651613638954135E-3</v>
      </c>
      <c r="I1085" s="88">
        <v>303.44</v>
      </c>
      <c r="J1085" s="88">
        <v>308.39589999999998</v>
      </c>
      <c r="K1085" s="88">
        <v>292.3</v>
      </c>
      <c r="L1085" s="88">
        <v>299.35000000000002</v>
      </c>
      <c r="M1085" s="89">
        <v>4428996</v>
      </c>
      <c r="N1085" s="87" t="s">
        <v>1104</v>
      </c>
      <c r="O1085" s="25">
        <f t="shared" si="34"/>
        <v>1.3662936362117906E-2</v>
      </c>
    </row>
    <row r="1086" spans="1:15">
      <c r="A1086" s="88">
        <v>337.42500696595647</v>
      </c>
      <c r="B1086" s="88">
        <v>343.66586646098489</v>
      </c>
      <c r="C1086" s="88">
        <v>335.95992714547725</v>
      </c>
      <c r="D1086" s="88">
        <v>341.84878694337749</v>
      </c>
      <c r="E1086" s="89">
        <v>8787930.1182297152</v>
      </c>
      <c r="F1086" s="87" t="s">
        <v>1105</v>
      </c>
      <c r="G1086" s="25">
        <f t="shared" si="33"/>
        <v>-1.2940750841844428E-2</v>
      </c>
      <c r="I1086" s="88">
        <v>280.36</v>
      </c>
      <c r="J1086" s="88">
        <v>286.58999999999997</v>
      </c>
      <c r="K1086" s="88">
        <v>269.06</v>
      </c>
      <c r="L1086" s="88">
        <v>285.07</v>
      </c>
      <c r="M1086" s="89">
        <v>760570</v>
      </c>
      <c r="N1086" s="87" t="s">
        <v>1105</v>
      </c>
      <c r="O1086" s="25">
        <f t="shared" si="34"/>
        <v>-1.6522257691093389E-2</v>
      </c>
    </row>
    <row r="1087" spans="1:15">
      <c r="A1087" s="88">
        <v>342.33397571509465</v>
      </c>
      <c r="B1087" s="88">
        <v>350.9341845314143</v>
      </c>
      <c r="C1087" s="88">
        <v>341.39213868764375</v>
      </c>
      <c r="D1087" s="88">
        <v>349.47861821626287</v>
      </c>
      <c r="E1087" s="89">
        <v>4635125.3802531473</v>
      </c>
      <c r="F1087" s="87" t="s">
        <v>1106</v>
      </c>
      <c r="G1087" s="25">
        <f t="shared" si="33"/>
        <v>-2.0443718524567944E-2</v>
      </c>
      <c r="I1087" s="88">
        <v>283.12</v>
      </c>
      <c r="J1087" s="88">
        <v>294.12</v>
      </c>
      <c r="K1087" s="88">
        <v>282.05</v>
      </c>
      <c r="L1087" s="88">
        <v>286.69</v>
      </c>
      <c r="M1087" s="89">
        <v>373481</v>
      </c>
      <c r="N1087" s="87" t="s">
        <v>1106</v>
      </c>
      <c r="O1087" s="25">
        <f t="shared" si="34"/>
        <v>-1.2452474798562929E-2</v>
      </c>
    </row>
    <row r="1088" spans="1:15">
      <c r="A1088" s="88">
        <v>348.7175377900399</v>
      </c>
      <c r="B1088" s="88">
        <v>349.42981393393131</v>
      </c>
      <c r="C1088" s="88">
        <v>346.71018816587679</v>
      </c>
      <c r="D1088" s="88">
        <v>348.29894355561726</v>
      </c>
      <c r="E1088" s="89">
        <v>3054876.0944205858</v>
      </c>
      <c r="F1088" s="87" t="s">
        <v>1107</v>
      </c>
      <c r="G1088" s="25">
        <f t="shared" si="33"/>
        <v>1.201824588238587E-3</v>
      </c>
      <c r="I1088" s="88">
        <v>286.17</v>
      </c>
      <c r="J1088" s="88">
        <v>289.91000000000003</v>
      </c>
      <c r="K1088" s="88">
        <v>283.36</v>
      </c>
      <c r="L1088" s="88">
        <v>289.91000000000003</v>
      </c>
      <c r="M1088" s="89">
        <v>256240</v>
      </c>
      <c r="N1088" s="87" t="s">
        <v>1107</v>
      </c>
      <c r="O1088" s="25">
        <f t="shared" si="34"/>
        <v>-1.2900555344762199E-2</v>
      </c>
    </row>
    <row r="1089" spans="1:15">
      <c r="A1089" s="88">
        <v>348.175267986356</v>
      </c>
      <c r="B1089" s="88">
        <v>353.79774963507822</v>
      </c>
      <c r="C1089" s="88">
        <v>347.60921441935267</v>
      </c>
      <c r="D1089" s="88">
        <v>353.55039849655577</v>
      </c>
      <c r="E1089" s="89">
        <v>3727480.9629237014</v>
      </c>
      <c r="F1089" s="87" t="s">
        <v>1108</v>
      </c>
      <c r="G1089" s="25">
        <f t="shared" si="33"/>
        <v>-1.5203293598471612E-2</v>
      </c>
      <c r="I1089" s="88">
        <v>286.52</v>
      </c>
      <c r="J1089" s="88">
        <v>295.67500000000001</v>
      </c>
      <c r="K1089" s="88">
        <v>285.38</v>
      </c>
      <c r="L1089" s="88">
        <v>290.93</v>
      </c>
      <c r="M1089" s="89">
        <v>373536</v>
      </c>
      <c r="N1089" s="87" t="s">
        <v>1108</v>
      </c>
      <c r="O1089" s="25">
        <f t="shared" si="34"/>
        <v>-1.5158285498229951E-2</v>
      </c>
    </row>
    <row r="1090" spans="1:15">
      <c r="A1090" s="88">
        <v>353.64553354983366</v>
      </c>
      <c r="B1090" s="88">
        <v>356.22369349366397</v>
      </c>
      <c r="C1090" s="88">
        <v>353.2364528207388</v>
      </c>
      <c r="D1090" s="88">
        <v>354.14974933220634</v>
      </c>
      <c r="E1090" s="89">
        <v>2773241.7327753389</v>
      </c>
      <c r="F1090" s="87" t="s">
        <v>1109</v>
      </c>
      <c r="G1090" s="25">
        <f t="shared" si="33"/>
        <v>-1.4237360984257208E-3</v>
      </c>
      <c r="I1090" s="88">
        <v>290.57</v>
      </c>
      <c r="J1090" s="88">
        <v>290.67</v>
      </c>
      <c r="K1090" s="88">
        <v>281.07</v>
      </c>
      <c r="L1090" s="88">
        <v>284.66000000000003</v>
      </c>
      <c r="M1090" s="89">
        <v>530898</v>
      </c>
      <c r="N1090" s="87" t="s">
        <v>1109</v>
      </c>
      <c r="O1090" s="25">
        <f t="shared" si="34"/>
        <v>2.0761610342162395E-2</v>
      </c>
    </row>
    <row r="1091" spans="1:15">
      <c r="A1091" s="88">
        <v>353.21742581008317</v>
      </c>
      <c r="B1091" s="88">
        <v>353.58845251786693</v>
      </c>
      <c r="C1091" s="88">
        <v>348.86024036995667</v>
      </c>
      <c r="D1091" s="88">
        <v>349.42153718429614</v>
      </c>
      <c r="E1091" s="89">
        <v>5164867.0292413458</v>
      </c>
      <c r="F1091" s="87" t="s">
        <v>1110</v>
      </c>
      <c r="G1091" s="25">
        <f t="shared" si="33"/>
        <v>1.0863350485991852E-2</v>
      </c>
      <c r="I1091" s="88">
        <v>287.17</v>
      </c>
      <c r="J1091" s="88">
        <v>289.065</v>
      </c>
      <c r="K1091" s="88">
        <v>281.77</v>
      </c>
      <c r="L1091" s="88">
        <v>285.52</v>
      </c>
      <c r="M1091" s="89">
        <v>574442</v>
      </c>
      <c r="N1091" s="87" t="s">
        <v>1110</v>
      </c>
      <c r="O1091" s="25">
        <f t="shared" si="34"/>
        <v>5.778929672177302E-3</v>
      </c>
    </row>
    <row r="1092" spans="1:15">
      <c r="A1092" s="88">
        <v>347.70910622529442</v>
      </c>
      <c r="B1092" s="88">
        <v>348.53678118881191</v>
      </c>
      <c r="C1092" s="88">
        <v>342.99040758271195</v>
      </c>
      <c r="D1092" s="88">
        <v>343.25678573189003</v>
      </c>
      <c r="E1092" s="89">
        <v>2870460.3675616747</v>
      </c>
      <c r="F1092" s="87" t="s">
        <v>1111</v>
      </c>
      <c r="G1092" s="25">
        <f t="shared" si="33"/>
        <v>1.2970815664754332E-2</v>
      </c>
      <c r="I1092" s="88">
        <v>282.95</v>
      </c>
      <c r="J1092" s="88">
        <v>288.37</v>
      </c>
      <c r="K1092" s="88">
        <v>281.31</v>
      </c>
      <c r="L1092" s="88">
        <v>281.31</v>
      </c>
      <c r="M1092" s="89">
        <v>472192</v>
      </c>
      <c r="N1092" s="87" t="s">
        <v>1111</v>
      </c>
      <c r="O1092" s="25">
        <f t="shared" si="34"/>
        <v>5.8298674060643929E-3</v>
      </c>
    </row>
    <row r="1093" spans="1:15">
      <c r="A1093" s="88">
        <v>345.13094628146411</v>
      </c>
      <c r="B1093" s="88">
        <v>346.77678270317131</v>
      </c>
      <c r="C1093" s="88">
        <v>343.86565007286839</v>
      </c>
      <c r="D1093" s="88">
        <v>345.66370257982015</v>
      </c>
      <c r="E1093" s="89">
        <v>3957241.700389795</v>
      </c>
      <c r="F1093" s="87" t="s">
        <v>1112</v>
      </c>
      <c r="G1093" s="25">
        <f t="shared" si="33"/>
        <v>-1.5412561237407862E-3</v>
      </c>
      <c r="I1093" s="88">
        <v>282.48</v>
      </c>
      <c r="J1093" s="88">
        <v>282.91000000000003</v>
      </c>
      <c r="K1093" s="88">
        <v>272.45999999999998</v>
      </c>
      <c r="L1093" s="88">
        <v>276.05</v>
      </c>
      <c r="M1093" s="89">
        <v>450052</v>
      </c>
      <c r="N1093" s="87" t="s">
        <v>1112</v>
      </c>
      <c r="O1093" s="25">
        <f t="shared" si="34"/>
        <v>2.329288172432542E-2</v>
      </c>
    </row>
    <row r="1094" spans="1:15">
      <c r="A1094" s="88">
        <v>346.39624249005982</v>
      </c>
      <c r="B1094" s="88">
        <v>349.01245645520129</v>
      </c>
      <c r="C1094" s="88">
        <v>346.33916145809309</v>
      </c>
      <c r="D1094" s="88">
        <v>347.25245796956062</v>
      </c>
      <c r="E1094" s="89">
        <v>3176747.0515549183</v>
      </c>
      <c r="F1094" s="87" t="s">
        <v>1113</v>
      </c>
      <c r="G1094" s="25">
        <f t="shared" si="33"/>
        <v>-2.4656858716198826E-3</v>
      </c>
      <c r="I1094" s="88">
        <v>276.36</v>
      </c>
      <c r="J1094" s="88">
        <v>286.68</v>
      </c>
      <c r="K1094" s="88">
        <v>275.81</v>
      </c>
      <c r="L1094" s="88">
        <v>281.52999999999997</v>
      </c>
      <c r="M1094" s="89">
        <v>831236</v>
      </c>
      <c r="N1094" s="87" t="s">
        <v>1113</v>
      </c>
      <c r="O1094" s="25">
        <f t="shared" si="34"/>
        <v>-1.8363939899832871E-2</v>
      </c>
    </row>
    <row r="1095" spans="1:15">
      <c r="A1095" s="88">
        <v>347.70910622529442</v>
      </c>
      <c r="B1095" s="88">
        <v>350.82953597280863</v>
      </c>
      <c r="C1095" s="88">
        <v>346.85631560771157</v>
      </c>
      <c r="D1095" s="88">
        <v>349.61180729085186</v>
      </c>
      <c r="E1095" s="89">
        <v>3468908.5529398653</v>
      </c>
      <c r="F1095" s="87" t="s">
        <v>1114</v>
      </c>
      <c r="G1095" s="25">
        <f t="shared" si="33"/>
        <v>-5.4423249612234326E-3</v>
      </c>
      <c r="I1095" s="88">
        <v>281.94</v>
      </c>
      <c r="J1095" s="88">
        <v>296.45999999999998</v>
      </c>
      <c r="K1095" s="88">
        <v>279.14999999999998</v>
      </c>
      <c r="L1095" s="88">
        <v>295.64</v>
      </c>
      <c r="M1095" s="89">
        <v>760103</v>
      </c>
      <c r="N1095" s="87" t="s">
        <v>1114</v>
      </c>
      <c r="O1095" s="25">
        <f t="shared" si="34"/>
        <v>-4.6340143417670121E-2</v>
      </c>
    </row>
    <row r="1096" spans="1:15">
      <c r="A1096" s="88">
        <v>346.51040455399328</v>
      </c>
      <c r="B1096" s="88">
        <v>347.2714849802162</v>
      </c>
      <c r="C1096" s="88">
        <v>344.13202822204647</v>
      </c>
      <c r="D1096" s="88">
        <v>345.63516206383684</v>
      </c>
      <c r="E1096" s="89">
        <v>4262368.9799763598</v>
      </c>
      <c r="F1096" s="87" t="s">
        <v>1115</v>
      </c>
      <c r="G1096" s="25">
        <f t="shared" si="33"/>
        <v>2.5322727147616408E-3</v>
      </c>
      <c r="I1096" s="88">
        <v>294.35000000000002</v>
      </c>
      <c r="J1096" s="88">
        <v>311.93</v>
      </c>
      <c r="K1096" s="88">
        <v>286.42</v>
      </c>
      <c r="L1096" s="88">
        <v>310</v>
      </c>
      <c r="M1096" s="89">
        <v>1178871</v>
      </c>
      <c r="N1096" s="87" t="s">
        <v>1115</v>
      </c>
      <c r="O1096" s="25">
        <f t="shared" si="34"/>
        <v>-5.0483870967741873E-2</v>
      </c>
    </row>
    <row r="1097" spans="1:15">
      <c r="A1097" s="88">
        <v>350.25872565314143</v>
      </c>
      <c r="B1097" s="88">
        <v>351.5906163990316</v>
      </c>
      <c r="C1097" s="88">
        <v>346.4152695007154</v>
      </c>
      <c r="D1097" s="88">
        <v>351.11494113264223</v>
      </c>
      <c r="E1097" s="89">
        <v>3013813.4170435118</v>
      </c>
      <c r="F1097" s="87" t="s">
        <v>1116</v>
      </c>
      <c r="G1097" s="25">
        <f t="shared" si="33"/>
        <v>-2.4385617904461032E-3</v>
      </c>
      <c r="I1097" s="88">
        <v>297.58</v>
      </c>
      <c r="J1097" s="88">
        <v>299.82</v>
      </c>
      <c r="K1097" s="88">
        <v>286.44</v>
      </c>
      <c r="L1097" s="88">
        <v>290</v>
      </c>
      <c r="M1097" s="89">
        <v>718095</v>
      </c>
      <c r="N1097" s="87" t="s">
        <v>1116</v>
      </c>
      <c r="O1097" s="25">
        <f t="shared" si="34"/>
        <v>2.6137931034482698E-2</v>
      </c>
    </row>
    <row r="1098" spans="1:15">
      <c r="A1098" s="88">
        <v>348.50824067282855</v>
      </c>
      <c r="B1098" s="88">
        <v>350.66780638223628</v>
      </c>
      <c r="C1098" s="88">
        <v>347.09072837898822</v>
      </c>
      <c r="D1098" s="88">
        <v>349.31688862569047</v>
      </c>
      <c r="E1098" s="89">
        <v>4070007.7065081233</v>
      </c>
      <c r="F1098" s="87" t="s">
        <v>1117</v>
      </c>
      <c r="G1098" s="25">
        <f t="shared" si="33"/>
        <v>-2.3149409009205479E-3</v>
      </c>
      <c r="I1098" s="88">
        <v>287.77</v>
      </c>
      <c r="J1098" s="88">
        <v>294.95</v>
      </c>
      <c r="K1098" s="88">
        <v>273.185</v>
      </c>
      <c r="L1098" s="88">
        <v>293.88</v>
      </c>
      <c r="M1098" s="89">
        <v>739428</v>
      </c>
      <c r="N1098" s="87" t="s">
        <v>1117</v>
      </c>
      <c r="O1098" s="25">
        <f t="shared" si="34"/>
        <v>-2.0790798965564239E-2</v>
      </c>
    </row>
    <row r="1099" spans="1:15">
      <c r="A1099" s="88">
        <v>348.94586191790677</v>
      </c>
      <c r="B1099" s="88">
        <v>353.26975008938604</v>
      </c>
      <c r="C1099" s="88">
        <v>348.65094325274538</v>
      </c>
      <c r="D1099" s="88">
        <v>352.38023734123794</v>
      </c>
      <c r="E1099" s="89">
        <v>3268170.7665823954</v>
      </c>
      <c r="F1099" s="87" t="s">
        <v>1118</v>
      </c>
      <c r="G1099" s="25">
        <f t="shared" si="33"/>
        <v>-9.7462203023758187E-3</v>
      </c>
      <c r="I1099" s="88">
        <v>292.18</v>
      </c>
      <c r="J1099" s="88">
        <v>293.61</v>
      </c>
      <c r="K1099" s="88">
        <v>289.62</v>
      </c>
      <c r="L1099" s="88">
        <v>292.23</v>
      </c>
      <c r="M1099" s="89">
        <v>363609</v>
      </c>
      <c r="N1099" s="87" t="s">
        <v>1118</v>
      </c>
      <c r="O1099" s="25">
        <f t="shared" si="34"/>
        <v>-1.7109810765492117E-4</v>
      </c>
    </row>
    <row r="1100" spans="1:15">
      <c r="A1100" s="88">
        <v>356.01439637645268</v>
      </c>
      <c r="B1100" s="88">
        <v>356.23320699899176</v>
      </c>
      <c r="C1100" s="88">
        <v>353.25547983139438</v>
      </c>
      <c r="D1100" s="88">
        <v>355.02404047183001</v>
      </c>
      <c r="E1100" s="89">
        <v>3453329.6474898304</v>
      </c>
      <c r="F1100" s="87" t="s">
        <v>1119</v>
      </c>
      <c r="G1100" s="25">
        <f t="shared" si="33"/>
        <v>2.7895460355487067E-3</v>
      </c>
      <c r="I1100" s="88">
        <v>296</v>
      </c>
      <c r="J1100" s="88">
        <v>301.48</v>
      </c>
      <c r="K1100" s="88">
        <v>295.26</v>
      </c>
      <c r="L1100" s="88">
        <v>298</v>
      </c>
      <c r="M1100" s="89">
        <v>307781</v>
      </c>
      <c r="N1100" s="87" t="s">
        <v>1119</v>
      </c>
      <c r="O1100" s="25">
        <f t="shared" si="34"/>
        <v>-6.7114093959731447E-3</v>
      </c>
    </row>
    <row r="1101" spans="1:15">
      <c r="A1101" s="88">
        <v>356.937206393248</v>
      </c>
      <c r="B1101" s="88">
        <v>360.97093265222981</v>
      </c>
      <c r="C1101" s="88">
        <v>356.84207133997012</v>
      </c>
      <c r="D1101" s="88">
        <v>357.38434114365407</v>
      </c>
      <c r="E1101" s="89">
        <v>3234875.9936163435</v>
      </c>
      <c r="F1101" s="87" t="s">
        <v>1120</v>
      </c>
      <c r="G1101" s="25">
        <f t="shared" si="33"/>
        <v>-1.2511313421712522E-3</v>
      </c>
      <c r="I1101" s="88">
        <v>298.91000000000003</v>
      </c>
      <c r="J1101" s="88">
        <v>303.99</v>
      </c>
      <c r="K1101" s="88">
        <v>292.18009999999998</v>
      </c>
      <c r="L1101" s="88">
        <v>294.83999999999997</v>
      </c>
      <c r="M1101" s="89">
        <v>608372</v>
      </c>
      <c r="N1101" s="87" t="s">
        <v>1120</v>
      </c>
      <c r="O1101" s="25">
        <f t="shared" si="34"/>
        <v>1.3804097137430693E-2</v>
      </c>
    </row>
    <row r="1102" spans="1:15">
      <c r="A1102" s="88">
        <v>361.9698507116475</v>
      </c>
      <c r="B1102" s="88">
        <v>362.01741823828638</v>
      </c>
      <c r="C1102" s="88">
        <v>358.02174600061574</v>
      </c>
      <c r="D1102" s="88">
        <v>358.80185343749429</v>
      </c>
      <c r="E1102" s="89">
        <v>2976422.3621437992</v>
      </c>
      <c r="F1102" s="87" t="s">
        <v>1121</v>
      </c>
      <c r="G1102" s="25">
        <f t="shared" si="33"/>
        <v>8.8293782314730063E-3</v>
      </c>
      <c r="I1102" s="88">
        <v>297.74</v>
      </c>
      <c r="J1102" s="88">
        <v>298.57</v>
      </c>
      <c r="K1102" s="88">
        <v>291.95</v>
      </c>
      <c r="L1102" s="88">
        <v>291.95</v>
      </c>
      <c r="M1102" s="89">
        <v>264473</v>
      </c>
      <c r="N1102" s="87" t="s">
        <v>1121</v>
      </c>
      <c r="O1102" s="25">
        <f t="shared" si="34"/>
        <v>1.9832163041616724E-2</v>
      </c>
    </row>
    <row r="1103" spans="1:15">
      <c r="A1103" s="88">
        <v>360.76163553501846</v>
      </c>
      <c r="B1103" s="88">
        <v>362.86412021245945</v>
      </c>
      <c r="C1103" s="88">
        <v>357.18455753177045</v>
      </c>
      <c r="D1103" s="88">
        <v>359.57244736904505</v>
      </c>
      <c r="E1103" s="89">
        <v>4959304.5228234436</v>
      </c>
      <c r="F1103" s="87" t="s">
        <v>1122</v>
      </c>
      <c r="G1103" s="25">
        <f t="shared" si="33"/>
        <v>3.3072282781245743E-3</v>
      </c>
      <c r="I1103" s="88">
        <v>293.2</v>
      </c>
      <c r="J1103" s="88">
        <v>297.04500000000002</v>
      </c>
      <c r="K1103" s="88">
        <v>286.23</v>
      </c>
      <c r="L1103" s="88">
        <v>296.61</v>
      </c>
      <c r="M1103" s="89">
        <v>440351</v>
      </c>
      <c r="N1103" s="87" t="s">
        <v>1122</v>
      </c>
      <c r="O1103" s="25">
        <f t="shared" si="34"/>
        <v>-1.1496577998044599E-2</v>
      </c>
    </row>
    <row r="1104" spans="1:15">
      <c r="A1104" s="88">
        <v>360.8948246096075</v>
      </c>
      <c r="B1104" s="88">
        <v>360.98044615755759</v>
      </c>
      <c r="C1104" s="88">
        <v>356.94671989857579</v>
      </c>
      <c r="D1104" s="88">
        <v>357.37387628779345</v>
      </c>
      <c r="E1104" s="89">
        <v>3133019.7412032923</v>
      </c>
      <c r="F1104" s="87" t="s">
        <v>1123</v>
      </c>
      <c r="G1104" s="25">
        <f t="shared" si="33"/>
        <v>9.852282316737071E-3</v>
      </c>
      <c r="I1104" s="88">
        <v>298.61</v>
      </c>
      <c r="J1104" s="88">
        <v>306.97000000000003</v>
      </c>
      <c r="K1104" s="88">
        <v>296.16000000000003</v>
      </c>
      <c r="L1104" s="88">
        <v>296.16000000000003</v>
      </c>
      <c r="M1104" s="89">
        <v>393982</v>
      </c>
      <c r="N1104" s="87" t="s">
        <v>1123</v>
      </c>
      <c r="O1104" s="25">
        <f t="shared" si="34"/>
        <v>8.2725553754727787E-3</v>
      </c>
    </row>
    <row r="1105" spans="1:15">
      <c r="A1105" s="88">
        <v>356.7754768026756</v>
      </c>
      <c r="B1105" s="88">
        <v>357.12747649980378</v>
      </c>
      <c r="C1105" s="88">
        <v>354.09266830023961</v>
      </c>
      <c r="D1105" s="88">
        <v>354.85374872646264</v>
      </c>
      <c r="E1105" s="89">
        <v>3423243.99660319</v>
      </c>
      <c r="F1105" s="87" t="s">
        <v>1124</v>
      </c>
      <c r="G1105" s="25">
        <f t="shared" si="33"/>
        <v>5.4155495978551738E-3</v>
      </c>
      <c r="I1105" s="88">
        <v>294.83</v>
      </c>
      <c r="J1105" s="88">
        <v>294.89999999999998</v>
      </c>
      <c r="K1105" s="88">
        <v>285.39</v>
      </c>
      <c r="L1105" s="88">
        <v>285.39</v>
      </c>
      <c r="M1105" s="89">
        <v>326297</v>
      </c>
      <c r="N1105" s="87" t="s">
        <v>1124</v>
      </c>
      <c r="O1105" s="25">
        <f t="shared" si="34"/>
        <v>3.3077543011317934E-2</v>
      </c>
    </row>
    <row r="1106" spans="1:15">
      <c r="A1106" s="88">
        <v>355.90974781784701</v>
      </c>
      <c r="B1106" s="88">
        <v>362.46455298869239</v>
      </c>
      <c r="C1106" s="88">
        <v>354.80484930907778</v>
      </c>
      <c r="D1106" s="88">
        <v>362.43601247270902</v>
      </c>
      <c r="E1106" s="89">
        <v>3497885.2540086941</v>
      </c>
      <c r="F1106" s="87" t="s">
        <v>1125</v>
      </c>
      <c r="G1106" s="25">
        <f t="shared" si="33"/>
        <v>-1.8006667191642345E-2</v>
      </c>
      <c r="I1106" s="88">
        <v>286.54000000000002</v>
      </c>
      <c r="J1106" s="88">
        <v>291</v>
      </c>
      <c r="K1106" s="88">
        <v>286</v>
      </c>
      <c r="L1106" s="88">
        <v>289.38</v>
      </c>
      <c r="M1106" s="89">
        <v>374838</v>
      </c>
      <c r="N1106" s="87" t="s">
        <v>1125</v>
      </c>
      <c r="O1106" s="25">
        <f t="shared" si="34"/>
        <v>-9.8140852857833139E-3</v>
      </c>
    </row>
    <row r="1107" spans="1:15">
      <c r="A1107" s="88">
        <v>358.98261003872227</v>
      </c>
      <c r="B1107" s="88">
        <v>362.39795845139787</v>
      </c>
      <c r="C1107" s="88">
        <v>358.40228621372728</v>
      </c>
      <c r="D1107" s="88">
        <v>361.21828379075225</v>
      </c>
      <c r="E1107" s="89">
        <v>3070900.6820722814</v>
      </c>
      <c r="F1107" s="87" t="s">
        <v>1126</v>
      </c>
      <c r="G1107" s="25">
        <f t="shared" si="33"/>
        <v>-6.1892596591955895E-3</v>
      </c>
      <c r="I1107" s="88">
        <v>288.07</v>
      </c>
      <c r="J1107" s="88">
        <v>293.60000000000002</v>
      </c>
      <c r="K1107" s="88">
        <v>287.43</v>
      </c>
      <c r="L1107" s="88">
        <v>288.20999999999998</v>
      </c>
      <c r="M1107" s="89">
        <v>252769</v>
      </c>
      <c r="N1107" s="87" t="s">
        <v>1126</v>
      </c>
      <c r="O1107" s="25">
        <f t="shared" si="34"/>
        <v>-4.8575691336172344E-4</v>
      </c>
    </row>
    <row r="1108" spans="1:15">
      <c r="A1108" s="88">
        <v>362.95925526573728</v>
      </c>
      <c r="B1108" s="88">
        <v>364.12637209935025</v>
      </c>
      <c r="C1108" s="88">
        <v>356.39493658956417</v>
      </c>
      <c r="D1108" s="88">
        <v>357.50801671291526</v>
      </c>
      <c r="E1108" s="89">
        <v>4734987.6252686735</v>
      </c>
      <c r="F1108" s="87" t="s">
        <v>1127</v>
      </c>
      <c r="G1108" s="25">
        <f t="shared" si="33"/>
        <v>1.5247877804092536E-2</v>
      </c>
      <c r="I1108" s="88">
        <v>289.36</v>
      </c>
      <c r="J1108" s="88">
        <v>290.97000000000003</v>
      </c>
      <c r="K1108" s="88">
        <v>283.01</v>
      </c>
      <c r="L1108" s="88">
        <v>290.97000000000003</v>
      </c>
      <c r="M1108" s="89">
        <v>165826</v>
      </c>
      <c r="N1108" s="87" t="s">
        <v>1127</v>
      </c>
      <c r="O1108" s="25">
        <f t="shared" si="34"/>
        <v>-5.5332164827989194E-3</v>
      </c>
    </row>
    <row r="1109" spans="1:15">
      <c r="A1109" s="88">
        <v>358.33569167643276</v>
      </c>
      <c r="B1109" s="88">
        <v>359.54390685306174</v>
      </c>
      <c r="C1109" s="88">
        <v>356.7754768026756</v>
      </c>
      <c r="D1109" s="88">
        <v>358.25482688114653</v>
      </c>
      <c r="E1109" s="89">
        <v>3027378.3434879286</v>
      </c>
      <c r="F1109" s="87" t="s">
        <v>1128</v>
      </c>
      <c r="G1109" s="25">
        <f t="shared" si="33"/>
        <v>2.2571864834364241E-4</v>
      </c>
      <c r="I1109" s="88">
        <v>292.17</v>
      </c>
      <c r="J1109" s="88">
        <v>295.16000000000003</v>
      </c>
      <c r="K1109" s="88">
        <v>288.27</v>
      </c>
      <c r="L1109" s="88">
        <v>293.48</v>
      </c>
      <c r="M1109" s="89">
        <v>375741</v>
      </c>
      <c r="N1109" s="87" t="s">
        <v>1128</v>
      </c>
      <c r="O1109" s="25">
        <f t="shared" si="34"/>
        <v>-4.463677252282916E-3</v>
      </c>
    </row>
    <row r="1110" spans="1:15">
      <c r="A1110" s="88">
        <v>360.41914934321818</v>
      </c>
      <c r="B1110" s="88">
        <v>364.55752416080554</v>
      </c>
      <c r="C1110" s="88">
        <v>359.4107177784727</v>
      </c>
      <c r="D1110" s="88">
        <v>359.82931201289534</v>
      </c>
      <c r="E1110" s="89">
        <v>6803495.4278051332</v>
      </c>
      <c r="F1110" s="87" t="s">
        <v>1129</v>
      </c>
      <c r="G1110" s="25">
        <f t="shared" si="33"/>
        <v>1.6392142347250171E-3</v>
      </c>
      <c r="I1110" s="88">
        <v>295.19</v>
      </c>
      <c r="J1110" s="88">
        <v>295.32</v>
      </c>
      <c r="K1110" s="88">
        <v>287.53500000000003</v>
      </c>
      <c r="L1110" s="88">
        <v>291.43</v>
      </c>
      <c r="M1110" s="89">
        <v>338067</v>
      </c>
      <c r="N1110" s="87" t="s">
        <v>1129</v>
      </c>
      <c r="O1110" s="25">
        <f t="shared" si="34"/>
        <v>1.2901897539717933E-2</v>
      </c>
    </row>
    <row r="1111" spans="1:15">
      <c r="A1111" s="88">
        <v>364.3101730222831</v>
      </c>
      <c r="B1111" s="88">
        <v>365.70865830546785</v>
      </c>
      <c r="C1111" s="88">
        <v>360.94239213624638</v>
      </c>
      <c r="D1111" s="88">
        <v>362.70239062188705</v>
      </c>
      <c r="E1111" s="89">
        <v>5474245.1079399772</v>
      </c>
      <c r="F1111" s="87" t="s">
        <v>1130</v>
      </c>
      <c r="G1111" s="25">
        <f t="shared" si="33"/>
        <v>4.432786885245843E-3</v>
      </c>
      <c r="I1111" s="88">
        <v>292.95</v>
      </c>
      <c r="J1111" s="88">
        <v>294.08</v>
      </c>
      <c r="K1111" s="88">
        <v>286.27999999999997</v>
      </c>
      <c r="L1111" s="88">
        <v>290.935</v>
      </c>
      <c r="M1111" s="89">
        <v>412756</v>
      </c>
      <c r="N1111" s="87" t="s">
        <v>1130</v>
      </c>
      <c r="O1111" s="25">
        <f t="shared" si="34"/>
        <v>6.9259456579648937E-3</v>
      </c>
    </row>
    <row r="1112" spans="1:15">
      <c r="A1112" s="88">
        <v>359.1633666399502</v>
      </c>
      <c r="B1112" s="88">
        <v>361.66541854115826</v>
      </c>
      <c r="C1112" s="88">
        <v>351.77137300025959</v>
      </c>
      <c r="D1112" s="88">
        <v>354.32099242810654</v>
      </c>
      <c r="E1112" s="89">
        <v>5194396.6285131788</v>
      </c>
      <c r="F1112" s="87" t="s">
        <v>1131</v>
      </c>
      <c r="G1112" s="25">
        <f t="shared" si="33"/>
        <v>1.3666630866716822E-2</v>
      </c>
      <c r="I1112" s="88">
        <v>290.52999999999997</v>
      </c>
      <c r="J1112" s="88">
        <v>292.5</v>
      </c>
      <c r="K1112" s="88">
        <v>281.74</v>
      </c>
      <c r="L1112" s="88">
        <v>287.02</v>
      </c>
      <c r="M1112" s="89">
        <v>339503</v>
      </c>
      <c r="N1112" s="87" t="s">
        <v>1131</v>
      </c>
      <c r="O1112" s="25">
        <f t="shared" si="34"/>
        <v>1.2229112953801025E-2</v>
      </c>
    </row>
    <row r="1113" spans="1:15">
      <c r="A1113" s="88">
        <v>355.27234296088528</v>
      </c>
      <c r="B1113" s="88">
        <v>355.36747801416317</v>
      </c>
      <c r="C1113" s="88">
        <v>350.41094173838599</v>
      </c>
      <c r="D1113" s="88">
        <v>350.67731988756407</v>
      </c>
      <c r="E1113" s="89">
        <v>4395525.9979579384</v>
      </c>
      <c r="F1113" s="87" t="s">
        <v>1132</v>
      </c>
      <c r="G1113" s="25">
        <f t="shared" si="33"/>
        <v>1.3103279889313812E-2</v>
      </c>
      <c r="I1113" s="88">
        <v>287.32</v>
      </c>
      <c r="J1113" s="88">
        <v>292.49</v>
      </c>
      <c r="K1113" s="88">
        <v>285.38</v>
      </c>
      <c r="L1113" s="88">
        <v>285.82</v>
      </c>
      <c r="M1113" s="89">
        <v>239879</v>
      </c>
      <c r="N1113" s="87" t="s">
        <v>1132</v>
      </c>
      <c r="O1113" s="25">
        <f t="shared" si="34"/>
        <v>5.248058218459084E-3</v>
      </c>
    </row>
    <row r="1114" spans="1:15">
      <c r="A1114" s="88">
        <v>350.29677967445252</v>
      </c>
      <c r="B1114" s="88">
        <v>354.17828984818976</v>
      </c>
      <c r="C1114" s="88">
        <v>349.96380698798004</v>
      </c>
      <c r="D1114" s="88">
        <v>352.14239970804323</v>
      </c>
      <c r="E1114" s="89">
        <v>3448354.6148000648</v>
      </c>
      <c r="F1114" s="87" t="s">
        <v>1133</v>
      </c>
      <c r="G1114" s="25">
        <f t="shared" si="33"/>
        <v>-5.2411184654869158E-3</v>
      </c>
      <c r="I1114" s="88">
        <v>286.2</v>
      </c>
      <c r="J1114" s="88">
        <v>289.99</v>
      </c>
      <c r="K1114" s="88">
        <v>283</v>
      </c>
      <c r="L1114" s="88">
        <v>285.5</v>
      </c>
      <c r="M1114" s="89">
        <v>407949</v>
      </c>
      <c r="N1114" s="87" t="s">
        <v>1133</v>
      </c>
      <c r="O1114" s="25">
        <f t="shared" si="34"/>
        <v>2.4518388791592294E-3</v>
      </c>
    </row>
    <row r="1115" spans="1:15">
      <c r="A1115" s="88">
        <v>354.73007315720139</v>
      </c>
      <c r="B1115" s="88">
        <v>356.83255783464233</v>
      </c>
      <c r="C1115" s="88">
        <v>352.72272353303828</v>
      </c>
      <c r="D1115" s="88">
        <v>352.84639910229953</v>
      </c>
      <c r="E1115" s="89">
        <v>5833309.3941629119</v>
      </c>
      <c r="F1115" s="87" t="s">
        <v>1134</v>
      </c>
      <c r="G1115" s="25">
        <f t="shared" si="33"/>
        <v>5.3385100703713384E-3</v>
      </c>
      <c r="I1115" s="88">
        <v>285.5</v>
      </c>
      <c r="J1115" s="88">
        <v>288.79500000000002</v>
      </c>
      <c r="K1115" s="88">
        <v>281.38</v>
      </c>
      <c r="L1115" s="88">
        <v>285.60000000000002</v>
      </c>
      <c r="M1115" s="89">
        <v>334808</v>
      </c>
      <c r="N1115" s="87" t="s">
        <v>1134</v>
      </c>
      <c r="O1115" s="25">
        <f t="shared" si="34"/>
        <v>-3.5014005602251874E-4</v>
      </c>
    </row>
    <row r="1116" spans="1:15">
      <c r="A1116" s="88">
        <v>353.72164159245597</v>
      </c>
      <c r="B1116" s="88">
        <v>353.95947922565063</v>
      </c>
      <c r="C1116" s="88">
        <v>349.72596935478532</v>
      </c>
      <c r="D1116" s="88">
        <v>352.43731837320468</v>
      </c>
      <c r="E1116" s="89">
        <v>3637916.7097234363</v>
      </c>
      <c r="F1116" s="87" t="s">
        <v>1135</v>
      </c>
      <c r="G1116" s="25">
        <f t="shared" si="33"/>
        <v>3.6441181234141418E-3</v>
      </c>
      <c r="I1116" s="88">
        <v>286.13</v>
      </c>
      <c r="J1116" s="88">
        <v>292</v>
      </c>
      <c r="K1116" s="88">
        <v>284.05</v>
      </c>
      <c r="L1116" s="88">
        <v>291.35000000000002</v>
      </c>
      <c r="M1116" s="89">
        <v>329124</v>
      </c>
      <c r="N1116" s="87" t="s">
        <v>1135</v>
      </c>
      <c r="O1116" s="25">
        <f t="shared" si="34"/>
        <v>-1.7916595160460069E-2</v>
      </c>
    </row>
    <row r="1117" spans="1:15">
      <c r="A1117" s="88">
        <v>349.98283399863556</v>
      </c>
      <c r="B1117" s="88">
        <v>350.24921214781364</v>
      </c>
      <c r="C1117" s="88">
        <v>344.06543368475195</v>
      </c>
      <c r="D1117" s="88">
        <v>346.0822968142428</v>
      </c>
      <c r="E1117" s="89">
        <v>3218249.1043100446</v>
      </c>
      <c r="F1117" s="87" t="s">
        <v>1136</v>
      </c>
      <c r="G1117" s="25">
        <f t="shared" si="33"/>
        <v>1.1270548133487379E-2</v>
      </c>
      <c r="I1117" s="88">
        <v>289.7</v>
      </c>
      <c r="J1117" s="88">
        <v>290.38</v>
      </c>
      <c r="K1117" s="88">
        <v>281.83999999999997</v>
      </c>
      <c r="L1117" s="88">
        <v>288.58</v>
      </c>
      <c r="M1117" s="89">
        <v>301864</v>
      </c>
      <c r="N1117" s="87" t="s">
        <v>1136</v>
      </c>
      <c r="O1117" s="25">
        <f t="shared" si="34"/>
        <v>3.8810728394205185E-3</v>
      </c>
    </row>
    <row r="1118" spans="1:15">
      <c r="A1118" s="88">
        <v>349.85915842937436</v>
      </c>
      <c r="B1118" s="88">
        <v>350.67731988756407</v>
      </c>
      <c r="C1118" s="88">
        <v>347.64251168799996</v>
      </c>
      <c r="D1118" s="88">
        <v>348.73656480069542</v>
      </c>
      <c r="E1118" s="89">
        <v>2840572.330481431</v>
      </c>
      <c r="F1118" s="87" t="s">
        <v>1137</v>
      </c>
      <c r="G1118" s="25">
        <f t="shared" si="33"/>
        <v>3.2190304716699369E-3</v>
      </c>
      <c r="I1118" s="88">
        <v>291.68</v>
      </c>
      <c r="J1118" s="88">
        <v>295.98</v>
      </c>
      <c r="K1118" s="88">
        <v>290.47000000000003</v>
      </c>
      <c r="L1118" s="88">
        <v>294.98</v>
      </c>
      <c r="M1118" s="89">
        <v>251691</v>
      </c>
      <c r="N1118" s="87" t="s">
        <v>1137</v>
      </c>
      <c r="O1118" s="25">
        <f t="shared" si="34"/>
        <v>-1.118719913214461E-2</v>
      </c>
    </row>
    <row r="1119" spans="1:15">
      <c r="A1119" s="88">
        <v>350.230185137158</v>
      </c>
      <c r="B1119" s="88">
        <v>351.99969712812646</v>
      </c>
      <c r="C1119" s="88">
        <v>345.95862124498154</v>
      </c>
      <c r="D1119" s="88">
        <v>346.77678270317131</v>
      </c>
      <c r="E1119" s="89">
        <v>3409135.6321911821</v>
      </c>
      <c r="F1119" s="87" t="s">
        <v>1138</v>
      </c>
      <c r="G1119" s="25">
        <f t="shared" si="33"/>
        <v>9.9585745247041668E-3</v>
      </c>
      <c r="I1119" s="88">
        <v>294.82</v>
      </c>
      <c r="J1119" s="88">
        <v>299.04000000000002</v>
      </c>
      <c r="K1119" s="88">
        <v>293.44</v>
      </c>
      <c r="L1119" s="88">
        <v>294.51</v>
      </c>
      <c r="M1119" s="89">
        <v>228246</v>
      </c>
      <c r="N1119" s="87" t="s">
        <v>1138</v>
      </c>
      <c r="O1119" s="25">
        <f t="shared" si="34"/>
        <v>1.0525958371532251E-3</v>
      </c>
    </row>
    <row r="1120" spans="1:15">
      <c r="A1120" s="88">
        <v>346.01570227694828</v>
      </c>
      <c r="B1120" s="88">
        <v>346.2059723835041</v>
      </c>
      <c r="C1120" s="88">
        <v>339.51797813806962</v>
      </c>
      <c r="D1120" s="88">
        <v>341.01159847453221</v>
      </c>
      <c r="E1120" s="89">
        <v>3432028.3507524338</v>
      </c>
      <c r="F1120" s="87" t="s">
        <v>1139</v>
      </c>
      <c r="G1120" s="25">
        <f t="shared" si="33"/>
        <v>1.4674292090947061E-2</v>
      </c>
      <c r="I1120" s="88">
        <v>294.31</v>
      </c>
      <c r="J1120" s="88">
        <v>295.66000000000003</v>
      </c>
      <c r="K1120" s="88">
        <v>288.69</v>
      </c>
      <c r="L1120" s="88">
        <v>291.79000000000002</v>
      </c>
      <c r="M1120" s="89">
        <v>223202</v>
      </c>
      <c r="N1120" s="87" t="s">
        <v>1139</v>
      </c>
      <c r="O1120" s="25">
        <f t="shared" si="34"/>
        <v>8.6363480585351926E-3</v>
      </c>
    </row>
    <row r="1121" spans="1:15">
      <c r="A1121" s="88">
        <v>339.76532927659213</v>
      </c>
      <c r="B1121" s="88">
        <v>341.87257070669699</v>
      </c>
      <c r="C1121" s="88">
        <v>338.53808708930757</v>
      </c>
      <c r="D1121" s="88">
        <v>340.35516660691491</v>
      </c>
      <c r="E1121" s="89">
        <v>3694618.2073748251</v>
      </c>
      <c r="F1121" s="87" t="s">
        <v>1140</v>
      </c>
      <c r="G1121" s="25">
        <f t="shared" si="33"/>
        <v>-1.7330053667262701E-3</v>
      </c>
      <c r="I1121" s="88">
        <v>292.38</v>
      </c>
      <c r="J1121" s="88">
        <v>294.83</v>
      </c>
      <c r="K1121" s="88">
        <v>284.43</v>
      </c>
      <c r="L1121" s="88">
        <v>287</v>
      </c>
      <c r="M1121" s="89">
        <v>489321</v>
      </c>
      <c r="N1121" s="87" t="s">
        <v>1140</v>
      </c>
      <c r="O1121" s="25">
        <f t="shared" si="34"/>
        <v>1.8745644599303057E-2</v>
      </c>
    </row>
    <row r="1122" spans="1:15">
      <c r="A1122" s="88">
        <v>342.22932715648903</v>
      </c>
      <c r="B1122" s="88">
        <v>349.77353688142426</v>
      </c>
      <c r="C1122" s="88">
        <v>342.08662457657221</v>
      </c>
      <c r="D1122" s="88">
        <v>348.83169985397336</v>
      </c>
      <c r="E1122" s="89">
        <v>4132864.6640013177</v>
      </c>
      <c r="F1122" s="87" t="s">
        <v>1141</v>
      </c>
      <c r="G1122" s="25">
        <f t="shared" si="33"/>
        <v>-1.8927100662721297E-2</v>
      </c>
      <c r="I1122" s="88">
        <v>289.16000000000003</v>
      </c>
      <c r="J1122" s="88">
        <v>301.76</v>
      </c>
      <c r="K1122" s="88">
        <v>289.02</v>
      </c>
      <c r="L1122" s="88">
        <v>301.45</v>
      </c>
      <c r="M1122" s="89">
        <v>534233</v>
      </c>
      <c r="N1122" s="87" t="s">
        <v>1141</v>
      </c>
      <c r="O1122" s="25">
        <f t="shared" si="34"/>
        <v>-4.0769613534582749E-2</v>
      </c>
    </row>
    <row r="1123" spans="1:15">
      <c r="A1123" s="88">
        <v>347.88034932119461</v>
      </c>
      <c r="B1123" s="88">
        <v>349.83061791339099</v>
      </c>
      <c r="C1123" s="88">
        <v>347.11926889497164</v>
      </c>
      <c r="D1123" s="88">
        <v>348.37505159823951</v>
      </c>
      <c r="E1123" s="89">
        <v>5194723.5322035477</v>
      </c>
      <c r="F1123" s="87" t="s">
        <v>1142</v>
      </c>
      <c r="G1123" s="25">
        <f t="shared" si="33"/>
        <v>-1.4200278543924361E-3</v>
      </c>
      <c r="I1123" s="88">
        <v>298.92</v>
      </c>
      <c r="J1123" s="88">
        <v>306.14</v>
      </c>
      <c r="K1123" s="88">
        <v>298.08</v>
      </c>
      <c r="L1123" s="88">
        <v>305</v>
      </c>
      <c r="M1123" s="89">
        <v>548350</v>
      </c>
      <c r="N1123" s="87" t="s">
        <v>1142</v>
      </c>
      <c r="O1123" s="25">
        <f t="shared" si="34"/>
        <v>-1.993442622950814E-2</v>
      </c>
    </row>
    <row r="1124" spans="1:15">
      <c r="A1124" s="88">
        <v>348.41310561955072</v>
      </c>
      <c r="B1124" s="88">
        <v>348.88849548078019</v>
      </c>
      <c r="C1124" s="88">
        <v>343.88467708352402</v>
      </c>
      <c r="D1124" s="88">
        <v>344.08512664078046</v>
      </c>
      <c r="E1124" s="89">
        <v>3169347.0451877201</v>
      </c>
      <c r="F1124" s="87" t="s">
        <v>1143</v>
      </c>
      <c r="G1124" s="25">
        <f t="shared" si="33"/>
        <v>1.2578221619234942E-2</v>
      </c>
      <c r="I1124" s="88">
        <v>305.89</v>
      </c>
      <c r="J1124" s="88">
        <v>309.44</v>
      </c>
      <c r="K1124" s="88">
        <v>303.8775</v>
      </c>
      <c r="L1124" s="88">
        <v>304.10000000000002</v>
      </c>
      <c r="M1124" s="89">
        <v>262037</v>
      </c>
      <c r="N1124" s="87" t="s">
        <v>1143</v>
      </c>
      <c r="O1124" s="25">
        <f t="shared" si="34"/>
        <v>5.8862216376189824E-3</v>
      </c>
    </row>
    <row r="1125" spans="1:15">
      <c r="A1125" s="88">
        <v>347.06218786300491</v>
      </c>
      <c r="B1125" s="88">
        <v>348.33699757692835</v>
      </c>
      <c r="C1125" s="88">
        <v>343.05700212000653</v>
      </c>
      <c r="D1125" s="88">
        <v>346.74824218718794</v>
      </c>
      <c r="E1125" s="89">
        <v>4986027.5855895355</v>
      </c>
      <c r="F1125" s="87" t="s">
        <v>1144</v>
      </c>
      <c r="G1125" s="25">
        <f t="shared" si="33"/>
        <v>9.0539947322199055E-4</v>
      </c>
      <c r="I1125" s="88">
        <v>306.27999999999997</v>
      </c>
      <c r="J1125" s="88">
        <v>306.45999999999998</v>
      </c>
      <c r="K1125" s="88">
        <v>296.23</v>
      </c>
      <c r="L1125" s="88">
        <v>303.94</v>
      </c>
      <c r="M1125" s="89">
        <v>317947</v>
      </c>
      <c r="N1125" s="87" t="s">
        <v>1144</v>
      </c>
      <c r="O1125" s="25">
        <f t="shared" si="34"/>
        <v>7.6988879384087827E-3</v>
      </c>
    </row>
    <row r="1126" spans="1:15">
      <c r="A1126" s="88">
        <v>345.76835113842583</v>
      </c>
      <c r="B1126" s="88">
        <v>345.82543217039256</v>
      </c>
      <c r="C1126" s="88">
        <v>342.16273261919451</v>
      </c>
      <c r="D1126" s="88">
        <v>342.87624551877855</v>
      </c>
      <c r="E1126" s="89">
        <v>6002553.0056945309</v>
      </c>
      <c r="F1126" s="87" t="s">
        <v>1145</v>
      </c>
      <c r="G1126" s="25">
        <f t="shared" si="33"/>
        <v>8.4348381010515006E-3</v>
      </c>
      <c r="I1126" s="88">
        <v>303.94</v>
      </c>
      <c r="J1126" s="88">
        <v>305.87</v>
      </c>
      <c r="K1126" s="88">
        <v>296.01499999999999</v>
      </c>
      <c r="L1126" s="88">
        <v>301.74</v>
      </c>
      <c r="M1126" s="89">
        <v>429011</v>
      </c>
      <c r="N1126" s="87" t="s">
        <v>1145</v>
      </c>
      <c r="O1126" s="25">
        <f t="shared" si="34"/>
        <v>7.2910452707628526E-3</v>
      </c>
    </row>
    <row r="1127" spans="1:15">
      <c r="A1127" s="88">
        <v>341.41116569829933</v>
      </c>
      <c r="B1127" s="88">
        <v>341.48727374092158</v>
      </c>
      <c r="C1127" s="88">
        <v>337.69138511513449</v>
      </c>
      <c r="D1127" s="88">
        <v>338.52857358397978</v>
      </c>
      <c r="E1127" s="89">
        <v>3674480.5195931797</v>
      </c>
      <c r="F1127" s="87" t="s">
        <v>1146</v>
      </c>
      <c r="G1127" s="25">
        <f t="shared" si="33"/>
        <v>8.5150629496404395E-3</v>
      </c>
      <c r="I1127" s="88">
        <v>299.06</v>
      </c>
      <c r="J1127" s="88">
        <v>304</v>
      </c>
      <c r="K1127" s="88">
        <v>294.51</v>
      </c>
      <c r="L1127" s="88">
        <v>298.13</v>
      </c>
      <c r="M1127" s="89">
        <v>355762</v>
      </c>
      <c r="N1127" s="87" t="s">
        <v>1146</v>
      </c>
      <c r="O1127" s="25">
        <f t="shared" si="34"/>
        <v>3.1194445376179214E-3</v>
      </c>
    </row>
    <row r="1128" spans="1:15">
      <c r="A1128" s="88">
        <v>338.99473534504136</v>
      </c>
      <c r="B1128" s="88">
        <v>344.13202822204647</v>
      </c>
      <c r="C1128" s="88">
        <v>338.8914186771816</v>
      </c>
      <c r="D1128" s="88">
        <v>341.27797662371029</v>
      </c>
      <c r="E1128" s="89">
        <v>3968381.6531567788</v>
      </c>
      <c r="F1128" s="87" t="s">
        <v>1147</v>
      </c>
      <c r="G1128" s="25">
        <f t="shared" si="33"/>
        <v>-6.6902684470214746E-3</v>
      </c>
      <c r="I1128" s="88">
        <v>296.27</v>
      </c>
      <c r="J1128" s="88">
        <v>297.95999999999998</v>
      </c>
      <c r="K1128" s="88">
        <v>286.08</v>
      </c>
      <c r="L1128" s="88">
        <v>294.74</v>
      </c>
      <c r="M1128" s="89">
        <v>476591</v>
      </c>
      <c r="N1128" s="87" t="s">
        <v>1147</v>
      </c>
      <c r="O1128" s="25">
        <f t="shared" si="34"/>
        <v>5.191015810544819E-3</v>
      </c>
    </row>
    <row r="1129" spans="1:15">
      <c r="A1129" s="88">
        <v>339.24208648356381</v>
      </c>
      <c r="B1129" s="88">
        <v>340.26954505896487</v>
      </c>
      <c r="C1129" s="88">
        <v>331.77388966619759</v>
      </c>
      <c r="D1129" s="88">
        <v>334.48533381967019</v>
      </c>
      <c r="E1129" s="89">
        <v>3641956.2302446216</v>
      </c>
      <c r="F1129" s="87" t="s">
        <v>1148</v>
      </c>
      <c r="G1129" s="25">
        <f t="shared" si="33"/>
        <v>1.4221109815410138E-2</v>
      </c>
      <c r="I1129" s="88">
        <v>292.31</v>
      </c>
      <c r="J1129" s="88">
        <v>299.97000000000003</v>
      </c>
      <c r="K1129" s="88">
        <v>285.0437</v>
      </c>
      <c r="L1129" s="88">
        <v>289.86</v>
      </c>
      <c r="M1129" s="89">
        <v>398746</v>
      </c>
      <c r="N1129" s="87" t="s">
        <v>1148</v>
      </c>
      <c r="O1129" s="25">
        <f t="shared" si="34"/>
        <v>8.4523563099427879E-3</v>
      </c>
    </row>
    <row r="1130" spans="1:15">
      <c r="A1130" s="88">
        <v>331.69787675862858</v>
      </c>
      <c r="B1130" s="88">
        <v>333.73376689877506</v>
      </c>
      <c r="C1130" s="88">
        <v>331.12706643896132</v>
      </c>
      <c r="D1130" s="88">
        <v>333.66717236148054</v>
      </c>
      <c r="E1130" s="89">
        <v>3381022.9659567052</v>
      </c>
      <c r="F1130" s="87" t="s">
        <v>1149</v>
      </c>
      <c r="G1130" s="25">
        <f t="shared" si="33"/>
        <v>-5.9019758788811938E-3</v>
      </c>
      <c r="I1130" s="88">
        <v>286.16000000000003</v>
      </c>
      <c r="J1130" s="88">
        <v>289.89</v>
      </c>
      <c r="K1130" s="88">
        <v>278.18</v>
      </c>
      <c r="L1130" s="88">
        <v>279.58999999999997</v>
      </c>
      <c r="M1130" s="89">
        <v>523272</v>
      </c>
      <c r="N1130" s="87" t="s">
        <v>1149</v>
      </c>
      <c r="O1130" s="25">
        <f t="shared" si="34"/>
        <v>2.3498694516971508E-2</v>
      </c>
    </row>
    <row r="1131" spans="1:15">
      <c r="A1131" s="88">
        <v>335.36057630982663</v>
      </c>
      <c r="B1131" s="88">
        <v>337.31417462888771</v>
      </c>
      <c r="C1131" s="88">
        <v>332.21160604632905</v>
      </c>
      <c r="D1131" s="88">
        <v>334.97052259138741</v>
      </c>
      <c r="E1131" s="89">
        <v>3278588.5880462164</v>
      </c>
      <c r="F1131" s="87" t="s">
        <v>1150</v>
      </c>
      <c r="G1131" s="25">
        <f t="shared" si="33"/>
        <v>1.1644419199090539E-3</v>
      </c>
      <c r="I1131" s="88">
        <v>279.72000000000003</v>
      </c>
      <c r="J1131" s="88">
        <v>290.08</v>
      </c>
      <c r="K1131" s="88">
        <v>278.5</v>
      </c>
      <c r="L1131" s="88">
        <v>289.47000000000003</v>
      </c>
      <c r="M1131" s="89">
        <v>656255</v>
      </c>
      <c r="N1131" s="87" t="s">
        <v>1150</v>
      </c>
      <c r="O1131" s="25">
        <f t="shared" si="34"/>
        <v>-3.368224686496013E-2</v>
      </c>
    </row>
    <row r="1132" spans="1:15">
      <c r="A1132" s="88">
        <v>332.9631729672243</v>
      </c>
      <c r="B1132" s="88">
        <v>337.76968126398219</v>
      </c>
      <c r="C1132" s="88">
        <v>330.29939147544383</v>
      </c>
      <c r="D1132" s="88">
        <v>335.99893251732118</v>
      </c>
      <c r="E1132" s="89">
        <v>5210838.5176602975</v>
      </c>
      <c r="F1132" s="87" t="s">
        <v>1151</v>
      </c>
      <c r="G1132" s="25">
        <f t="shared" si="33"/>
        <v>-9.0350273655717128E-3</v>
      </c>
      <c r="I1132" s="88">
        <v>286.38</v>
      </c>
      <c r="J1132" s="88">
        <v>300</v>
      </c>
      <c r="K1132" s="88">
        <v>282.77</v>
      </c>
      <c r="L1132" s="88">
        <v>299.5</v>
      </c>
      <c r="M1132" s="89">
        <v>329030</v>
      </c>
      <c r="N1132" s="87" t="s">
        <v>1151</v>
      </c>
      <c r="O1132" s="25">
        <f t="shared" si="34"/>
        <v>-4.3806343906510836E-2</v>
      </c>
    </row>
    <row r="1133" spans="1:15">
      <c r="A1133" s="88">
        <v>334.24749618647553</v>
      </c>
      <c r="B1133" s="88">
        <v>334.39019876639236</v>
      </c>
      <c r="C1133" s="88">
        <v>330.84499100599248</v>
      </c>
      <c r="D1133" s="88">
        <v>332.77290286066852</v>
      </c>
      <c r="E1133" s="89">
        <v>5597775.8108205898</v>
      </c>
      <c r="F1133" s="87" t="s">
        <v>1152</v>
      </c>
      <c r="G1133" s="25">
        <f t="shared" si="33"/>
        <v>4.4312301666713516E-3</v>
      </c>
      <c r="I1133" s="88">
        <v>294.39</v>
      </c>
      <c r="J1133" s="88">
        <v>294.58</v>
      </c>
      <c r="K1133" s="88">
        <v>286.05</v>
      </c>
      <c r="L1133" s="88">
        <v>291.14999999999998</v>
      </c>
      <c r="M1133" s="89">
        <v>236559</v>
      </c>
      <c r="N1133" s="87" t="s">
        <v>1152</v>
      </c>
      <c r="O1133" s="25">
        <f t="shared" si="34"/>
        <v>1.1128284389489984E-2</v>
      </c>
    </row>
    <row r="1134" spans="1:15">
      <c r="A1134" s="88">
        <v>335.17030620327091</v>
      </c>
      <c r="B1134" s="88">
        <v>335.94565688748554</v>
      </c>
      <c r="C1134" s="88">
        <v>331.51712015740065</v>
      </c>
      <c r="D1134" s="88">
        <v>331.9357143918233</v>
      </c>
      <c r="E1134" s="89">
        <v>4295551.2812547283</v>
      </c>
      <c r="F1134" s="87" t="s">
        <v>1153</v>
      </c>
      <c r="G1134" s="25">
        <f t="shared" si="33"/>
        <v>9.7446332865207541E-3</v>
      </c>
      <c r="I1134" s="88">
        <v>295.04000000000002</v>
      </c>
      <c r="J1134" s="88">
        <v>300.92</v>
      </c>
      <c r="K1134" s="88">
        <v>288.43959999999998</v>
      </c>
      <c r="L1134" s="88">
        <v>293.24</v>
      </c>
      <c r="M1134" s="89">
        <v>146110</v>
      </c>
      <c r="N1134" s="87" t="s">
        <v>1153</v>
      </c>
      <c r="O1134" s="25">
        <f t="shared" si="34"/>
        <v>6.1383167371436009E-3</v>
      </c>
    </row>
    <row r="1135" spans="1:15">
      <c r="A1135" s="88">
        <v>329.32901393200956</v>
      </c>
      <c r="B1135" s="88">
        <v>335.06565764466524</v>
      </c>
      <c r="C1135" s="88">
        <v>329.07214928815927</v>
      </c>
      <c r="D1135" s="88">
        <v>333.37225369631915</v>
      </c>
      <c r="E1135" s="89">
        <v>4692953.6970559051</v>
      </c>
      <c r="F1135" s="87" t="s">
        <v>1154</v>
      </c>
      <c r="G1135" s="25">
        <f t="shared" si="33"/>
        <v>-1.2128303179042343E-2</v>
      </c>
      <c r="I1135" s="88">
        <v>290.04000000000002</v>
      </c>
      <c r="J1135" s="88">
        <v>297</v>
      </c>
      <c r="K1135" s="88">
        <v>289.41000000000003</v>
      </c>
      <c r="L1135" s="88">
        <v>291.89</v>
      </c>
      <c r="M1135" s="89">
        <v>115169</v>
      </c>
      <c r="N1135" s="87" t="s">
        <v>1154</v>
      </c>
      <c r="O1135" s="25">
        <f t="shared" si="34"/>
        <v>-6.338004042618639E-3</v>
      </c>
    </row>
    <row r="1136" spans="1:15">
      <c r="A1136" s="88">
        <v>333.41982122295809</v>
      </c>
      <c r="B1136" s="88">
        <v>334.91344155942068</v>
      </c>
      <c r="C1136" s="88">
        <v>331.87863335985656</v>
      </c>
      <c r="D1136" s="88">
        <v>334.64706341024259</v>
      </c>
      <c r="E1136" s="89">
        <v>4523269.6590089668</v>
      </c>
      <c r="F1136" s="87" t="s">
        <v>1155</v>
      </c>
      <c r="G1136" s="25">
        <f t="shared" si="33"/>
        <v>-3.6672731407776382E-3</v>
      </c>
      <c r="I1136" s="88">
        <v>292.05</v>
      </c>
      <c r="J1136" s="88">
        <v>296.60000000000002</v>
      </c>
      <c r="K1136" s="88">
        <v>288.29000000000002</v>
      </c>
      <c r="L1136" s="88">
        <v>290.67</v>
      </c>
      <c r="M1136" s="89">
        <v>119564</v>
      </c>
      <c r="N1136" s="87" t="s">
        <v>1155</v>
      </c>
      <c r="O1136" s="25">
        <f t="shared" si="34"/>
        <v>4.7476519764682035E-3</v>
      </c>
    </row>
    <row r="1137" spans="1:15">
      <c r="A1137" s="88">
        <v>334.75171196884827</v>
      </c>
      <c r="B1137" s="88">
        <v>334.82582217535173</v>
      </c>
      <c r="C1137" s="88">
        <v>330.4516075606885</v>
      </c>
      <c r="D1137" s="88">
        <v>331.95474140247882</v>
      </c>
      <c r="E1137" s="89">
        <v>4805779.6179985134</v>
      </c>
      <c r="F1137" s="87" t="s">
        <v>1156</v>
      </c>
      <c r="G1137" s="25">
        <f t="shared" si="33"/>
        <v>8.4257587481730845E-3</v>
      </c>
      <c r="I1137" s="88">
        <v>292.08999999999997</v>
      </c>
      <c r="J1137" s="88">
        <v>296.56</v>
      </c>
      <c r="K1137" s="88">
        <v>290.60000000000002</v>
      </c>
      <c r="L1137" s="88">
        <v>296.16000000000003</v>
      </c>
      <c r="M1137" s="89">
        <v>170435</v>
      </c>
      <c r="N1137" s="87" t="s">
        <v>1156</v>
      </c>
      <c r="O1137" s="25">
        <f t="shared" si="34"/>
        <v>-1.3742571582928353E-2</v>
      </c>
    </row>
    <row r="1138" spans="1:15">
      <c r="A1138" s="88">
        <v>332.88706492460199</v>
      </c>
      <c r="B1138" s="88">
        <v>335.11322517130418</v>
      </c>
      <c r="C1138" s="88">
        <v>327.58804245702447</v>
      </c>
      <c r="D1138" s="88">
        <v>334.85636052745394</v>
      </c>
      <c r="E1138" s="89">
        <v>6792693.9412384667</v>
      </c>
      <c r="F1138" s="87" t="s">
        <v>1157</v>
      </c>
      <c r="G1138" s="25">
        <f t="shared" si="33"/>
        <v>-5.8810159668163386E-3</v>
      </c>
      <c r="I1138" s="88">
        <v>297.82</v>
      </c>
      <c r="J1138" s="88">
        <v>303.39</v>
      </c>
      <c r="K1138" s="88">
        <v>293.68</v>
      </c>
      <c r="L1138" s="88">
        <v>301.70999999999998</v>
      </c>
      <c r="M1138" s="89">
        <v>136355</v>
      </c>
      <c r="N1138" s="87" t="s">
        <v>1157</v>
      </c>
      <c r="O1138" s="25">
        <f t="shared" si="34"/>
        <v>-1.2893175565940718E-2</v>
      </c>
    </row>
    <row r="1139" spans="1:15">
      <c r="A1139" s="88">
        <v>337.63430408316776</v>
      </c>
      <c r="B1139" s="88">
        <v>338.63474430343786</v>
      </c>
      <c r="C1139" s="88">
        <v>334.58998237827586</v>
      </c>
      <c r="D1139" s="88">
        <v>335.06565764466524</v>
      </c>
      <c r="E1139" s="89">
        <v>4028428.9207324279</v>
      </c>
      <c r="F1139" s="87" t="s">
        <v>1158</v>
      </c>
      <c r="G1139" s="25">
        <f t="shared" si="33"/>
        <v>7.6660988074956915E-3</v>
      </c>
      <c r="I1139" s="88">
        <v>301.47000000000003</v>
      </c>
      <c r="J1139" s="88">
        <v>303.48</v>
      </c>
      <c r="K1139" s="88">
        <v>296.13</v>
      </c>
      <c r="L1139" s="88">
        <v>300</v>
      </c>
      <c r="M1139" s="89">
        <v>255906</v>
      </c>
      <c r="N1139" s="87" t="s">
        <v>1158</v>
      </c>
      <c r="O1139" s="25">
        <f t="shared" si="34"/>
        <v>4.9000000000001265E-3</v>
      </c>
    </row>
    <row r="1140" spans="1:15">
      <c r="A1140" s="88">
        <v>332.65874079673512</v>
      </c>
      <c r="B1140" s="88">
        <v>334.08100984323931</v>
      </c>
      <c r="C1140" s="88">
        <v>330.31651578503391</v>
      </c>
      <c r="D1140" s="88">
        <v>331.49809314674502</v>
      </c>
      <c r="E1140" s="89">
        <v>5327384.4133945974</v>
      </c>
      <c r="F1140" s="87" t="s">
        <v>1159</v>
      </c>
      <c r="G1140" s="25">
        <f t="shared" si="33"/>
        <v>3.5012196871861967E-3</v>
      </c>
      <c r="I1140" s="88">
        <v>298.54000000000002</v>
      </c>
      <c r="J1140" s="88">
        <v>299.64499999999998</v>
      </c>
      <c r="K1140" s="88">
        <v>291.25</v>
      </c>
      <c r="L1140" s="88">
        <v>292.87</v>
      </c>
      <c r="M1140" s="89">
        <v>244560</v>
      </c>
      <c r="N1140" s="87" t="s">
        <v>1159</v>
      </c>
      <c r="O1140" s="25">
        <f t="shared" si="34"/>
        <v>1.9360125653020255E-2</v>
      </c>
    </row>
    <row r="1141" spans="1:15">
      <c r="A1141" s="88">
        <v>332.15290773408259</v>
      </c>
      <c r="B1141" s="88">
        <v>335.49517210596849</v>
      </c>
      <c r="C1141" s="88">
        <v>330.6758730541556</v>
      </c>
      <c r="D1141" s="88">
        <v>335.29634051443986</v>
      </c>
      <c r="E1141" s="89">
        <v>5849586.984936188</v>
      </c>
      <c r="F1141" s="87" t="s">
        <v>1160</v>
      </c>
      <c r="G1141" s="25">
        <f t="shared" si="33"/>
        <v>-9.3750882444298966E-3</v>
      </c>
      <c r="I1141" s="88">
        <v>294.29000000000002</v>
      </c>
      <c r="J1141" s="88">
        <v>298</v>
      </c>
      <c r="K1141" s="88">
        <v>290.05</v>
      </c>
      <c r="L1141" s="88">
        <v>298</v>
      </c>
      <c r="M1141" s="89">
        <v>389264</v>
      </c>
      <c r="N1141" s="87" t="s">
        <v>1160</v>
      </c>
      <c r="O1141" s="25">
        <f t="shared" si="34"/>
        <v>-1.2449664429530105E-2</v>
      </c>
    </row>
    <row r="1142" spans="1:15">
      <c r="A1142" s="88">
        <v>335.04069989676026</v>
      </c>
      <c r="B1142" s="88">
        <v>337.85274669123652</v>
      </c>
      <c r="C1142" s="88">
        <v>333.08078849454949</v>
      </c>
      <c r="D1142" s="88">
        <v>336.7345556931636</v>
      </c>
      <c r="E1142" s="89">
        <v>4787697.6323601305</v>
      </c>
      <c r="F1142" s="87" t="s">
        <v>1161</v>
      </c>
      <c r="G1142" s="25">
        <f t="shared" si="33"/>
        <v>-5.0302404899210673E-3</v>
      </c>
      <c r="I1142" s="88">
        <v>298.99</v>
      </c>
      <c r="J1142" s="88">
        <v>304.58999999999997</v>
      </c>
      <c r="K1142" s="88">
        <v>295.39</v>
      </c>
      <c r="L1142" s="88">
        <v>297.5</v>
      </c>
      <c r="M1142" s="89">
        <v>378886</v>
      </c>
      <c r="N1142" s="87" t="s">
        <v>1161</v>
      </c>
      <c r="O1142" s="25">
        <f t="shared" si="34"/>
        <v>5.008403361344671E-3</v>
      </c>
    </row>
    <row r="1143" spans="1:15">
      <c r="A1143" s="88">
        <v>339.08360892450895</v>
      </c>
      <c r="B1143" s="88">
        <v>343.92184431837222</v>
      </c>
      <c r="C1143" s="88">
        <v>337.50242436330512</v>
      </c>
      <c r="D1143" s="88">
        <v>343.19279514943395</v>
      </c>
      <c r="E1143" s="89">
        <v>5414722.6390077826</v>
      </c>
      <c r="F1143" s="87" t="s">
        <v>1162</v>
      </c>
      <c r="G1143" s="25">
        <f t="shared" si="33"/>
        <v>-1.1973404695561185E-2</v>
      </c>
      <c r="I1143" s="88">
        <v>299.13</v>
      </c>
      <c r="J1143" s="88">
        <v>308.3</v>
      </c>
      <c r="K1143" s="88">
        <v>298.31</v>
      </c>
      <c r="L1143" s="88">
        <v>306.3</v>
      </c>
      <c r="M1143" s="89">
        <v>441803</v>
      </c>
      <c r="N1143" s="87" t="s">
        <v>1162</v>
      </c>
      <c r="O1143" s="25">
        <f t="shared" si="34"/>
        <v>-2.3408423114593568E-2</v>
      </c>
    </row>
    <row r="1144" spans="1:15">
      <c r="A1144" s="88">
        <v>347.6333673602399</v>
      </c>
      <c r="B1144" s="88">
        <v>352.97341581843727</v>
      </c>
      <c r="C1144" s="88">
        <v>344.87812959191461</v>
      </c>
      <c r="D1144" s="88">
        <v>349.47019253912339</v>
      </c>
      <c r="E1144" s="89">
        <v>4971514.5485705407</v>
      </c>
      <c r="F1144" s="87" t="s">
        <v>1163</v>
      </c>
      <c r="G1144" s="25">
        <f t="shared" si="33"/>
        <v>-5.2560281766458328E-3</v>
      </c>
      <c r="I1144" s="88">
        <v>311.85000000000002</v>
      </c>
      <c r="J1144" s="88">
        <v>316.44</v>
      </c>
      <c r="K1144" s="88">
        <v>309.08999999999997</v>
      </c>
      <c r="L1144" s="88">
        <v>312.89</v>
      </c>
      <c r="M1144" s="89">
        <v>410425</v>
      </c>
      <c r="N1144" s="87" t="s">
        <v>1163</v>
      </c>
      <c r="O1144" s="25">
        <f t="shared" si="34"/>
        <v>-3.3238518329123945E-3</v>
      </c>
    </row>
    <row r="1145" spans="1:15">
      <c r="A1145" s="88">
        <v>349.74476949885337</v>
      </c>
      <c r="B1145" s="88">
        <v>357.12994289848808</v>
      </c>
      <c r="C1145" s="88">
        <v>347.29346002043616</v>
      </c>
      <c r="D1145" s="88">
        <v>357.05419753028673</v>
      </c>
      <c r="E1145" s="89">
        <v>6507935.8871082766</v>
      </c>
      <c r="F1145" s="87" t="s">
        <v>1164</v>
      </c>
      <c r="G1145" s="25">
        <f t="shared" si="33"/>
        <v>-2.0471480469889558E-2</v>
      </c>
      <c r="I1145" s="88">
        <v>313</v>
      </c>
      <c r="J1145" s="88">
        <v>314.7</v>
      </c>
      <c r="K1145" s="88">
        <v>307.67</v>
      </c>
      <c r="L1145" s="88">
        <v>310.77</v>
      </c>
      <c r="M1145" s="89">
        <v>604534</v>
      </c>
      <c r="N1145" s="87" t="s">
        <v>1164</v>
      </c>
      <c r="O1145" s="25">
        <f t="shared" si="34"/>
        <v>7.1757248125623452E-3</v>
      </c>
    </row>
    <row r="1146" spans="1:15">
      <c r="A1146" s="88">
        <v>347.17889515103161</v>
      </c>
      <c r="B1146" s="88">
        <v>347.17889515103161</v>
      </c>
      <c r="C1146" s="88">
        <v>342.3501279281935</v>
      </c>
      <c r="D1146" s="88">
        <v>343.01289989995558</v>
      </c>
      <c r="E1146" s="89">
        <v>3111705.5154232061</v>
      </c>
      <c r="F1146" s="87" t="s">
        <v>1165</v>
      </c>
      <c r="G1146" s="25">
        <f t="shared" si="33"/>
        <v>1.2145301976371981E-2</v>
      </c>
      <c r="I1146" s="88">
        <v>300.83999999999997</v>
      </c>
      <c r="J1146" s="88">
        <v>308.37</v>
      </c>
      <c r="K1146" s="88">
        <v>299.06</v>
      </c>
      <c r="L1146" s="88">
        <v>306.13</v>
      </c>
      <c r="M1146" s="89">
        <v>299906</v>
      </c>
      <c r="N1146" s="87" t="s">
        <v>1165</v>
      </c>
      <c r="O1146" s="25">
        <f t="shared" si="34"/>
        <v>-1.7280240420736392E-2</v>
      </c>
    </row>
    <row r="1147" spans="1:15">
      <c r="A1147" s="88">
        <v>342.29331890204247</v>
      </c>
      <c r="B1147" s="88">
        <v>346.00503130733068</v>
      </c>
      <c r="C1147" s="88">
        <v>342.12317586872018</v>
      </c>
      <c r="D1147" s="88">
        <v>343.69460821376805</v>
      </c>
      <c r="E1147" s="89">
        <v>4511277.8261439381</v>
      </c>
      <c r="F1147" s="87" t="s">
        <v>1166</v>
      </c>
      <c r="G1147" s="25">
        <f t="shared" si="33"/>
        <v>-4.077134986225972E-3</v>
      </c>
      <c r="I1147" s="88">
        <v>302.32</v>
      </c>
      <c r="J1147" s="88">
        <v>306.04500000000002</v>
      </c>
      <c r="K1147" s="88">
        <v>301.77999999999997</v>
      </c>
      <c r="L1147" s="88">
        <v>303.24</v>
      </c>
      <c r="M1147" s="89">
        <v>231637</v>
      </c>
      <c r="N1147" s="87" t="s">
        <v>1166</v>
      </c>
      <c r="O1147" s="25">
        <f t="shared" si="34"/>
        <v>-3.0339005408257513E-3</v>
      </c>
    </row>
    <row r="1148" spans="1:15">
      <c r="A1148" s="88">
        <v>344.81185239473842</v>
      </c>
      <c r="B1148" s="88">
        <v>345.73026498418017</v>
      </c>
      <c r="C1148" s="88">
        <v>342.36906427024388</v>
      </c>
      <c r="D1148" s="88">
        <v>343.81769443709527</v>
      </c>
      <c r="E1148" s="89">
        <v>3806982.3521531322</v>
      </c>
      <c r="F1148" s="87" t="s">
        <v>1167</v>
      </c>
      <c r="G1148" s="25">
        <f t="shared" ref="G1148:G1189" si="35">A1148/D1148-1</f>
        <v>2.8915264505824378E-3</v>
      </c>
      <c r="I1148" s="88">
        <v>303.33999999999997</v>
      </c>
      <c r="J1148" s="88">
        <v>313.95999999999998</v>
      </c>
      <c r="K1148" s="88">
        <v>302.64999999999998</v>
      </c>
      <c r="L1148" s="88">
        <v>310.86</v>
      </c>
      <c r="M1148" s="89">
        <v>622877</v>
      </c>
      <c r="N1148" s="87" t="s">
        <v>1167</v>
      </c>
      <c r="O1148" s="25">
        <f t="shared" ref="O1148:O1189" si="36">I1148/L1148-1</f>
        <v>-2.4190954127260023E-2</v>
      </c>
    </row>
    <row r="1149" spans="1:15">
      <c r="A1149" s="88">
        <v>342.11342365256422</v>
      </c>
      <c r="B1149" s="88">
        <v>344.27216664630362</v>
      </c>
      <c r="C1149" s="88">
        <v>341.14767020799661</v>
      </c>
      <c r="D1149" s="88">
        <v>341.8483148638594</v>
      </c>
      <c r="E1149" s="89">
        <v>3525471.8056163592</v>
      </c>
      <c r="F1149" s="87" t="s">
        <v>1168</v>
      </c>
      <c r="G1149" s="25">
        <f t="shared" si="35"/>
        <v>7.7551585652946287E-4</v>
      </c>
      <c r="I1149" s="88">
        <v>304.89</v>
      </c>
      <c r="J1149" s="88">
        <v>306.99</v>
      </c>
      <c r="K1149" s="88">
        <v>296.67500000000001</v>
      </c>
      <c r="L1149" s="88">
        <v>299.7</v>
      </c>
      <c r="M1149" s="89">
        <v>299154</v>
      </c>
      <c r="N1149" s="87" t="s">
        <v>1168</v>
      </c>
      <c r="O1149" s="25">
        <f t="shared" si="36"/>
        <v>1.7317317317317338E-2</v>
      </c>
    </row>
    <row r="1150" spans="1:15">
      <c r="A1150" s="88">
        <v>342.77619562432625</v>
      </c>
      <c r="B1150" s="88">
        <v>348.05943505637265</v>
      </c>
      <c r="C1150" s="88">
        <v>340.78882652614254</v>
      </c>
      <c r="D1150" s="88">
        <v>347.56709016306365</v>
      </c>
      <c r="E1150" s="89">
        <v>4130723.8637767141</v>
      </c>
      <c r="F1150" s="87" t="s">
        <v>1169</v>
      </c>
      <c r="G1150" s="25">
        <f t="shared" si="35"/>
        <v>-1.3784085646571742E-2</v>
      </c>
      <c r="I1150" s="88">
        <v>299.95999999999998</v>
      </c>
      <c r="J1150" s="88">
        <v>302.93</v>
      </c>
      <c r="K1150" s="88">
        <v>294.76</v>
      </c>
      <c r="L1150" s="88">
        <v>301.52999999999997</v>
      </c>
      <c r="M1150" s="89">
        <v>397844</v>
      </c>
      <c r="N1150" s="87" t="s">
        <v>1169</v>
      </c>
      <c r="O1150" s="25">
        <f t="shared" si="36"/>
        <v>-5.2067787616488781E-3</v>
      </c>
    </row>
    <row r="1151" spans="1:15">
      <c r="A1151" s="88">
        <v>347.80379443869299</v>
      </c>
      <c r="B1151" s="88">
        <v>352.39585738590176</v>
      </c>
      <c r="C1151" s="88">
        <v>346.52559135029469</v>
      </c>
      <c r="D1151" s="88">
        <v>351.53425382261099</v>
      </c>
      <c r="E1151" s="89">
        <v>3915215.5048154029</v>
      </c>
      <c r="F1151" s="87" t="s">
        <v>1170</v>
      </c>
      <c r="G1151" s="25">
        <f t="shared" si="35"/>
        <v>-1.061193708252528E-2</v>
      </c>
      <c r="I1151" s="88">
        <v>302.43</v>
      </c>
      <c r="J1151" s="88">
        <v>309</v>
      </c>
      <c r="K1151" s="88">
        <v>301.45</v>
      </c>
      <c r="L1151" s="88">
        <v>307.26</v>
      </c>
      <c r="M1151" s="89">
        <v>249372</v>
      </c>
      <c r="N1151" s="87" t="s">
        <v>1170</v>
      </c>
      <c r="O1151" s="25">
        <f t="shared" si="36"/>
        <v>-1.5719586018355769E-2</v>
      </c>
    </row>
    <row r="1152" spans="1:15">
      <c r="A1152" s="88">
        <v>354.10959634145797</v>
      </c>
      <c r="B1152" s="88">
        <v>354.9427953916732</v>
      </c>
      <c r="C1152" s="88">
        <v>350.00041011653309</v>
      </c>
      <c r="D1152" s="88">
        <v>350.00041011653309</v>
      </c>
      <c r="E1152" s="89">
        <v>3797971.1080835899</v>
      </c>
      <c r="F1152" s="87" t="s">
        <v>1171</v>
      </c>
      <c r="G1152" s="25">
        <f t="shared" si="35"/>
        <v>1.1740518314126369E-2</v>
      </c>
      <c r="I1152" s="88">
        <v>308.06</v>
      </c>
      <c r="J1152" s="88">
        <v>309</v>
      </c>
      <c r="K1152" s="88">
        <v>300.04349999999999</v>
      </c>
      <c r="L1152" s="88">
        <v>302.86</v>
      </c>
      <c r="M1152" s="89">
        <v>204531</v>
      </c>
      <c r="N1152" s="87" t="s">
        <v>1171</v>
      </c>
      <c r="O1152" s="25">
        <f t="shared" si="36"/>
        <v>1.7169649342930748E-2</v>
      </c>
    </row>
    <row r="1153" spans="1:15">
      <c r="A1153" s="88">
        <v>354.62087757681735</v>
      </c>
      <c r="B1153" s="88">
        <v>356.95004764900978</v>
      </c>
      <c r="C1153" s="88">
        <v>352.26330299154932</v>
      </c>
      <c r="D1153" s="88">
        <v>355.88014432316527</v>
      </c>
      <c r="E1153" s="89">
        <v>4867495.5149703277</v>
      </c>
      <c r="F1153" s="87" t="s">
        <v>1172</v>
      </c>
      <c r="G1153" s="25">
        <f t="shared" si="35"/>
        <v>-3.5384574453932727E-3</v>
      </c>
      <c r="I1153" s="88">
        <v>308</v>
      </c>
      <c r="J1153" s="88">
        <v>310.77</v>
      </c>
      <c r="K1153" s="88">
        <v>302.18</v>
      </c>
      <c r="L1153" s="88">
        <v>302.43</v>
      </c>
      <c r="M1153" s="89">
        <v>437300</v>
      </c>
      <c r="N1153" s="87" t="s">
        <v>1172</v>
      </c>
      <c r="O1153" s="25">
        <f t="shared" si="36"/>
        <v>1.8417485037860004E-2</v>
      </c>
    </row>
    <row r="1154" spans="1:15">
      <c r="A1154" s="88">
        <v>354.57353672169148</v>
      </c>
      <c r="B1154" s="88">
        <v>354.66821843194316</v>
      </c>
      <c r="C1154" s="88">
        <v>342.41640512536969</v>
      </c>
      <c r="D1154" s="88">
        <v>344.1206759099008</v>
      </c>
      <c r="E1154" s="89">
        <v>5015574.8004281474</v>
      </c>
      <c r="F1154" s="87" t="s">
        <v>1173</v>
      </c>
      <c r="G1154" s="25">
        <f t="shared" si="35"/>
        <v>3.037556747833281E-2</v>
      </c>
      <c r="I1154" s="88">
        <v>299.37</v>
      </c>
      <c r="J1154" s="88">
        <v>300.66000000000003</v>
      </c>
      <c r="K1154" s="88">
        <v>289.70999999999998</v>
      </c>
      <c r="L1154" s="88">
        <v>290.07</v>
      </c>
      <c r="M1154" s="89">
        <v>821317</v>
      </c>
      <c r="N1154" s="87" t="s">
        <v>1173</v>
      </c>
      <c r="O1154" s="25">
        <f t="shared" si="36"/>
        <v>3.2061226600475834E-2</v>
      </c>
    </row>
    <row r="1155" spans="1:15">
      <c r="A1155" s="88">
        <v>343.98812151554841</v>
      </c>
      <c r="B1155" s="88">
        <v>345.75866949725571</v>
      </c>
      <c r="C1155" s="88">
        <v>342.25544621794182</v>
      </c>
      <c r="D1155" s="88">
        <v>344.57514811910914</v>
      </c>
      <c r="E1155" s="89">
        <v>2648631.9198635994</v>
      </c>
      <c r="F1155" s="87" t="s">
        <v>1174</v>
      </c>
      <c r="G1155" s="25">
        <f t="shared" si="35"/>
        <v>-1.7036243233589099E-3</v>
      </c>
      <c r="I1155" s="88">
        <v>288.56</v>
      </c>
      <c r="J1155" s="88">
        <v>293.60000000000002</v>
      </c>
      <c r="K1155" s="88">
        <v>288.08</v>
      </c>
      <c r="L1155" s="88">
        <v>292.75</v>
      </c>
      <c r="M1155" s="89">
        <v>219463</v>
      </c>
      <c r="N1155" s="87" t="s">
        <v>1174</v>
      </c>
      <c r="O1155" s="25">
        <f t="shared" si="36"/>
        <v>-1.4312553373185266E-2</v>
      </c>
    </row>
    <row r="1156" spans="1:15">
      <c r="A1156" s="88">
        <v>344.59408446115947</v>
      </c>
      <c r="B1156" s="88">
        <v>348.78848422531092</v>
      </c>
      <c r="C1156" s="88">
        <v>343.83663077914559</v>
      </c>
      <c r="D1156" s="88">
        <v>347.3493222294847</v>
      </c>
      <c r="E1156" s="89">
        <v>3756798.4255281552</v>
      </c>
      <c r="F1156" s="87" t="s">
        <v>1175</v>
      </c>
      <c r="G1156" s="25">
        <f t="shared" si="35"/>
        <v>-7.932181213541889E-3</v>
      </c>
      <c r="I1156" s="88">
        <v>292.31</v>
      </c>
      <c r="J1156" s="88">
        <v>294.60000000000002</v>
      </c>
      <c r="K1156" s="88">
        <v>289.5</v>
      </c>
      <c r="L1156" s="88">
        <v>292.5</v>
      </c>
      <c r="M1156" s="89">
        <v>237879</v>
      </c>
      <c r="N1156" s="87" t="s">
        <v>1175</v>
      </c>
      <c r="O1156" s="25">
        <f t="shared" si="36"/>
        <v>-6.4957264957266059E-4</v>
      </c>
    </row>
    <row r="1157" spans="1:15">
      <c r="A1157" s="88">
        <v>350.13296451088547</v>
      </c>
      <c r="B1157" s="88">
        <v>350.64424574624479</v>
      </c>
      <c r="C1157" s="88">
        <v>349.43231985502268</v>
      </c>
      <c r="D1157" s="88">
        <v>349.74476949885337</v>
      </c>
      <c r="E1157" s="89">
        <v>1503399.1213461845</v>
      </c>
      <c r="F1157" s="87" t="s">
        <v>1176</v>
      </c>
      <c r="G1157" s="25">
        <f t="shared" si="35"/>
        <v>1.109938005901645E-3</v>
      </c>
      <c r="I1157" s="88">
        <v>293.7</v>
      </c>
      <c r="J1157" s="88">
        <v>295.94499999999999</v>
      </c>
      <c r="K1157" s="88">
        <v>291.82</v>
      </c>
      <c r="L1157" s="88">
        <v>291.82</v>
      </c>
      <c r="M1157" s="89">
        <v>106013</v>
      </c>
      <c r="N1157" s="87" t="s">
        <v>1176</v>
      </c>
      <c r="O1157" s="25">
        <f t="shared" si="36"/>
        <v>6.4423274621341342E-3</v>
      </c>
    </row>
    <row r="1158" spans="1:15">
      <c r="A1158" s="88">
        <v>350.17083719498612</v>
      </c>
      <c r="B1158" s="88">
        <v>350.66308740658485</v>
      </c>
      <c r="C1158" s="88">
        <v>347.50318000864377</v>
      </c>
      <c r="D1158" s="88">
        <v>347.68070821536571</v>
      </c>
      <c r="E1158" s="89">
        <v>2736388.04486292</v>
      </c>
      <c r="F1158" s="87" t="s">
        <v>1177</v>
      </c>
      <c r="G1158" s="25">
        <f t="shared" si="35"/>
        <v>7.1621143215054861E-3</v>
      </c>
      <c r="I1158" s="88">
        <v>292.63</v>
      </c>
      <c r="J1158" s="88">
        <v>293.82</v>
      </c>
      <c r="K1158" s="88">
        <v>288.29000000000002</v>
      </c>
      <c r="L1158" s="88">
        <v>292.23</v>
      </c>
      <c r="M1158" s="89">
        <v>329492</v>
      </c>
      <c r="N1158" s="87" t="s">
        <v>1177</v>
      </c>
      <c r="O1158" s="25">
        <f t="shared" si="36"/>
        <v>1.3687848612393694E-3</v>
      </c>
    </row>
    <row r="1159" spans="1:15">
      <c r="A1159" s="88">
        <v>347.99315785919646</v>
      </c>
      <c r="B1159" s="88">
        <v>348.1257122535489</v>
      </c>
      <c r="C1159" s="88">
        <v>343.89343980529668</v>
      </c>
      <c r="D1159" s="88">
        <v>345.12430203856911</v>
      </c>
      <c r="E1159" s="89">
        <v>2446052.1402102187</v>
      </c>
      <c r="F1159" s="87" t="s">
        <v>1178</v>
      </c>
      <c r="G1159" s="25">
        <f t="shared" si="35"/>
        <v>8.3125291487202713E-3</v>
      </c>
      <c r="I1159" s="88">
        <v>289.73</v>
      </c>
      <c r="J1159" s="88">
        <v>293.26499999999999</v>
      </c>
      <c r="K1159" s="88">
        <v>285.05</v>
      </c>
      <c r="L1159" s="88">
        <v>291.73</v>
      </c>
      <c r="M1159" s="89">
        <v>409617</v>
      </c>
      <c r="N1159" s="87" t="s">
        <v>1178</v>
      </c>
      <c r="O1159" s="25">
        <f t="shared" si="36"/>
        <v>-6.8556542008021415E-3</v>
      </c>
    </row>
    <row r="1160" spans="1:15">
      <c r="A1160" s="88">
        <v>343.42003125403801</v>
      </c>
      <c r="B1160" s="88">
        <v>344.39392732568734</v>
      </c>
      <c r="C1160" s="88">
        <v>341.67788778540626</v>
      </c>
      <c r="D1160" s="88">
        <v>343.47684028018904</v>
      </c>
      <c r="E1160" s="89">
        <v>2532564.0967245512</v>
      </c>
      <c r="F1160" s="87" t="s">
        <v>1179</v>
      </c>
      <c r="G1160" s="25">
        <f t="shared" si="35"/>
        <v>-1.6539405132731666E-4</v>
      </c>
      <c r="I1160" s="88">
        <v>290.60000000000002</v>
      </c>
      <c r="J1160" s="88">
        <v>298.13</v>
      </c>
      <c r="K1160" s="88">
        <v>290.51</v>
      </c>
      <c r="L1160" s="88">
        <v>293.5</v>
      </c>
      <c r="M1160" s="89">
        <v>370511</v>
      </c>
      <c r="N1160" s="87" t="s">
        <v>1179</v>
      </c>
      <c r="O1160" s="25">
        <f t="shared" si="36"/>
        <v>-9.8807495741055629E-3</v>
      </c>
    </row>
    <row r="1161" spans="1:15">
      <c r="A1161" s="88">
        <v>344.63195714526017</v>
      </c>
      <c r="B1161" s="88">
        <v>346.14686450928775</v>
      </c>
      <c r="C1161" s="88">
        <v>342.01874194231249</v>
      </c>
      <c r="D1161" s="88">
        <v>346.02377828596053</v>
      </c>
      <c r="E1161" s="89">
        <v>2718972.8545836555</v>
      </c>
      <c r="F1161" s="87" t="s">
        <v>1180</v>
      </c>
      <c r="G1161" s="25">
        <f t="shared" si="35"/>
        <v>-4.0223280249547244E-3</v>
      </c>
      <c r="I1161" s="88">
        <v>295.52999999999997</v>
      </c>
      <c r="J1161" s="88">
        <v>303.11</v>
      </c>
      <c r="K1161" s="88">
        <v>291.27</v>
      </c>
      <c r="L1161" s="88">
        <v>300.38</v>
      </c>
      <c r="M1161" s="89">
        <v>435179</v>
      </c>
      <c r="N1161" s="87" t="s">
        <v>1180</v>
      </c>
      <c r="O1161" s="25">
        <f t="shared" si="36"/>
        <v>-1.614621479459355E-2</v>
      </c>
    </row>
    <row r="1162" spans="1:15">
      <c r="A1162" s="88">
        <v>343.11704978123248</v>
      </c>
      <c r="B1162" s="88">
        <v>343.68514004274289</v>
      </c>
      <c r="C1162" s="88">
        <v>339.49547436410398</v>
      </c>
      <c r="D1162" s="88">
        <v>339.71797638319555</v>
      </c>
      <c r="E1162" s="89">
        <v>3468910.7233781735</v>
      </c>
      <c r="F1162" s="87" t="s">
        <v>1181</v>
      </c>
      <c r="G1162" s="25">
        <f t="shared" si="35"/>
        <v>1.0005574136008777E-2</v>
      </c>
      <c r="I1162" s="88">
        <v>297.45</v>
      </c>
      <c r="J1162" s="88">
        <v>301.25</v>
      </c>
      <c r="K1162" s="88">
        <v>291.12</v>
      </c>
      <c r="L1162" s="88">
        <v>298.17</v>
      </c>
      <c r="M1162" s="89">
        <v>320088</v>
      </c>
      <c r="N1162" s="87" t="s">
        <v>1181</v>
      </c>
      <c r="O1162" s="25">
        <f t="shared" si="36"/>
        <v>-2.4147298520978966E-3</v>
      </c>
    </row>
    <row r="1163" spans="1:15">
      <c r="A1163" s="88">
        <v>344.11120773887563</v>
      </c>
      <c r="B1163" s="88">
        <v>346.08058731211156</v>
      </c>
      <c r="C1163" s="88">
        <v>343.5525856483905</v>
      </c>
      <c r="D1163" s="88">
        <v>345.30419728804742</v>
      </c>
      <c r="E1163" s="89">
        <v>2909878.7851160029</v>
      </c>
      <c r="F1163" s="87" t="s">
        <v>1182</v>
      </c>
      <c r="G1163" s="25">
        <f t="shared" si="35"/>
        <v>-3.4548944337812193E-3</v>
      </c>
      <c r="I1163" s="88">
        <v>299.24</v>
      </c>
      <c r="J1163" s="88">
        <v>310.88</v>
      </c>
      <c r="K1163" s="88">
        <v>298.74</v>
      </c>
      <c r="L1163" s="88">
        <v>304.39999999999998</v>
      </c>
      <c r="M1163" s="89">
        <v>443186</v>
      </c>
      <c r="N1163" s="87" t="s">
        <v>1182</v>
      </c>
      <c r="O1163" s="25">
        <f t="shared" si="36"/>
        <v>-1.6951379763469054E-2</v>
      </c>
    </row>
    <row r="1164" spans="1:15">
      <c r="A1164" s="88">
        <v>346.7433592838737</v>
      </c>
      <c r="B1164" s="88">
        <v>350.07804911893948</v>
      </c>
      <c r="C1164" s="88">
        <v>343.30641320173595</v>
      </c>
      <c r="D1164" s="88">
        <v>349.04412484299058</v>
      </c>
      <c r="E1164" s="89">
        <v>4856059.3041422684</v>
      </c>
      <c r="F1164" s="87" t="s">
        <v>1183</v>
      </c>
      <c r="G1164" s="25">
        <f t="shared" si="35"/>
        <v>-6.5916180659160162E-3</v>
      </c>
      <c r="I1164" s="88">
        <v>305.67</v>
      </c>
      <c r="J1164" s="88">
        <v>307.48</v>
      </c>
      <c r="K1164" s="88">
        <v>292.5</v>
      </c>
      <c r="L1164" s="88">
        <v>292.5</v>
      </c>
      <c r="M1164" s="89">
        <v>545285</v>
      </c>
      <c r="N1164" s="87" t="s">
        <v>1183</v>
      </c>
      <c r="O1164" s="25">
        <f t="shared" si="36"/>
        <v>4.5025641025641105E-2</v>
      </c>
    </row>
    <row r="1165" spans="1:15">
      <c r="A1165" s="88">
        <v>343.9029079763219</v>
      </c>
      <c r="B1165" s="88">
        <v>348.22986213482579</v>
      </c>
      <c r="C1165" s="88">
        <v>343.59045833249115</v>
      </c>
      <c r="D1165" s="88">
        <v>345.18111106472014</v>
      </c>
      <c r="E1165" s="89">
        <v>5570571.1123905377</v>
      </c>
      <c r="F1165" s="87" t="s">
        <v>1184</v>
      </c>
      <c r="G1165" s="25">
        <f t="shared" si="35"/>
        <v>-3.7029925665851282E-3</v>
      </c>
      <c r="I1165" s="88">
        <v>290.08</v>
      </c>
      <c r="J1165" s="88">
        <v>297.95</v>
      </c>
      <c r="K1165" s="88">
        <v>289.52</v>
      </c>
      <c r="L1165" s="88">
        <v>293.66000000000003</v>
      </c>
      <c r="M1165" s="89">
        <v>456766</v>
      </c>
      <c r="N1165" s="87" t="s">
        <v>1184</v>
      </c>
      <c r="O1165" s="25">
        <f t="shared" si="36"/>
        <v>-1.2190969147994446E-2</v>
      </c>
    </row>
    <row r="1166" spans="1:15">
      <c r="A1166" s="88">
        <v>346.68655025772262</v>
      </c>
      <c r="B1166" s="88">
        <v>347.50081296588746</v>
      </c>
      <c r="C1166" s="88">
        <v>342.50161866459632</v>
      </c>
      <c r="D1166" s="88">
        <v>344.34791201450497</v>
      </c>
      <c r="E1166" s="89">
        <v>5151348.6469907211</v>
      </c>
      <c r="F1166" s="87" t="s">
        <v>1185</v>
      </c>
      <c r="G1166" s="25">
        <f t="shared" si="35"/>
        <v>6.7914982540075997E-3</v>
      </c>
      <c r="I1166" s="88">
        <v>293.67</v>
      </c>
      <c r="J1166" s="88">
        <v>307.48</v>
      </c>
      <c r="K1166" s="88">
        <v>289.19</v>
      </c>
      <c r="L1166" s="88">
        <v>305.20999999999998</v>
      </c>
      <c r="M1166" s="89">
        <v>611341</v>
      </c>
      <c r="N1166" s="87" t="s">
        <v>1185</v>
      </c>
      <c r="O1166" s="25">
        <f t="shared" si="36"/>
        <v>-3.7810032436682794E-2</v>
      </c>
    </row>
    <row r="1167" spans="1:15">
      <c r="A1167" s="88">
        <v>343.40109491198768</v>
      </c>
      <c r="B1167" s="88">
        <v>343.70407638479321</v>
      </c>
      <c r="C1167" s="88">
        <v>335.56144930314474</v>
      </c>
      <c r="D1167" s="88">
        <v>337.55923338945615</v>
      </c>
      <c r="E1167" s="89">
        <v>4862218.8886961322</v>
      </c>
      <c r="F1167" s="87" t="s">
        <v>1186</v>
      </c>
      <c r="G1167" s="25">
        <f t="shared" si="35"/>
        <v>1.7306181981375568E-2</v>
      </c>
      <c r="I1167" s="88">
        <v>304.95999999999998</v>
      </c>
      <c r="J1167" s="88">
        <v>311.75</v>
      </c>
      <c r="K1167" s="88">
        <v>298.31</v>
      </c>
      <c r="L1167" s="88">
        <v>308.67</v>
      </c>
      <c r="M1167" s="89">
        <v>574202</v>
      </c>
      <c r="N1167" s="87" t="s">
        <v>1186</v>
      </c>
      <c r="O1167" s="25">
        <f t="shared" si="36"/>
        <v>-1.2019308646775029E-2</v>
      </c>
    </row>
    <row r="1168" spans="1:15">
      <c r="A1168" s="88">
        <v>325.58199704261273</v>
      </c>
      <c r="B1168" s="88">
        <v>331.5942856435974</v>
      </c>
      <c r="C1168" s="88">
        <v>325.09732136783413</v>
      </c>
      <c r="D1168" s="88">
        <v>330.51491414672768</v>
      </c>
      <c r="E1168" s="89">
        <v>3771365.1248023147</v>
      </c>
      <c r="F1168" s="87" t="s">
        <v>1187</v>
      </c>
      <c r="G1168" s="25">
        <f t="shared" si="35"/>
        <v>-1.4924945571215709E-2</v>
      </c>
      <c r="I1168" s="88">
        <v>294.93</v>
      </c>
      <c r="J1168" s="88">
        <v>303.05</v>
      </c>
      <c r="K1168" s="88">
        <v>293.3</v>
      </c>
      <c r="L1168" s="88">
        <v>303.05</v>
      </c>
      <c r="M1168" s="89">
        <v>641804</v>
      </c>
      <c r="N1168" s="87" t="s">
        <v>1187</v>
      </c>
      <c r="O1168" s="25">
        <f t="shared" si="36"/>
        <v>-2.6794258373205704E-2</v>
      </c>
    </row>
    <row r="1169" spans="1:15">
      <c r="A1169" s="88">
        <v>332.37067566766154</v>
      </c>
      <c r="B1169" s="88">
        <v>335.05016806778542</v>
      </c>
      <c r="C1169" s="88">
        <v>328.62127994169316</v>
      </c>
      <c r="D1169" s="88">
        <v>331.58481747257218</v>
      </c>
      <c r="E1169" s="89">
        <v>3419029.917598011</v>
      </c>
      <c r="F1169" s="87" t="s">
        <v>1188</v>
      </c>
      <c r="G1169" s="25">
        <f t="shared" si="35"/>
        <v>2.3700065674880921E-3</v>
      </c>
      <c r="I1169" s="88">
        <v>304.3</v>
      </c>
      <c r="J1169" s="88">
        <v>308.45</v>
      </c>
      <c r="K1169" s="88">
        <v>296.57</v>
      </c>
      <c r="L1169" s="88">
        <v>305.06</v>
      </c>
      <c r="M1169" s="89">
        <v>1035184</v>
      </c>
      <c r="N1169" s="87" t="s">
        <v>1188</v>
      </c>
      <c r="O1169" s="25">
        <f t="shared" si="36"/>
        <v>-2.4913131842916325E-3</v>
      </c>
    </row>
    <row r="1170" spans="1:15">
      <c r="A1170" s="88">
        <v>330.57172317287871</v>
      </c>
      <c r="B1170" s="88">
        <v>331.11140892131357</v>
      </c>
      <c r="C1170" s="88">
        <v>326.74658207870897</v>
      </c>
      <c r="D1170" s="88">
        <v>328.60234359964284</v>
      </c>
      <c r="E1170" s="89">
        <v>3502890.8869329537</v>
      </c>
      <c r="F1170" s="87" t="s">
        <v>1189</v>
      </c>
      <c r="G1170" s="25">
        <f t="shared" si="35"/>
        <v>5.9932000230507043E-3</v>
      </c>
      <c r="I1170" s="88">
        <v>303.39</v>
      </c>
      <c r="J1170" s="88">
        <v>317.93</v>
      </c>
      <c r="K1170" s="88">
        <v>302.27499999999998</v>
      </c>
      <c r="L1170" s="88">
        <v>312.88</v>
      </c>
      <c r="M1170" s="89">
        <v>1280614</v>
      </c>
      <c r="N1170" s="87" t="s">
        <v>1189</v>
      </c>
      <c r="O1170" s="25">
        <f t="shared" si="36"/>
        <v>-3.0331117361288684E-2</v>
      </c>
    </row>
    <row r="1171" spans="1:15">
      <c r="A1171" s="88">
        <v>327.42829039252138</v>
      </c>
      <c r="B1171" s="88">
        <v>329.51128801805936</v>
      </c>
      <c r="C1171" s="88">
        <v>321.91781485587092</v>
      </c>
      <c r="D1171" s="88">
        <v>327.98691248300662</v>
      </c>
      <c r="E1171" s="89">
        <v>3860770.9876399646</v>
      </c>
      <c r="F1171" s="87" t="s">
        <v>1190</v>
      </c>
      <c r="G1171" s="25">
        <f t="shared" si="35"/>
        <v>-1.703184088219345E-3</v>
      </c>
      <c r="I1171" s="88">
        <v>313</v>
      </c>
      <c r="J1171" s="88">
        <v>320</v>
      </c>
      <c r="K1171" s="88">
        <v>288.82499999999999</v>
      </c>
      <c r="L1171" s="88">
        <v>306.38</v>
      </c>
      <c r="M1171" s="89">
        <v>2302972</v>
      </c>
      <c r="N1171" s="87" t="s">
        <v>1190</v>
      </c>
      <c r="O1171" s="25">
        <f t="shared" si="36"/>
        <v>2.1607154514002191E-2</v>
      </c>
    </row>
    <row r="1172" spans="1:15">
      <c r="A1172" s="88">
        <v>322.70367305096022</v>
      </c>
      <c r="B1172" s="88">
        <v>325.5251880164617</v>
      </c>
      <c r="C1172" s="88">
        <v>320.87631604310189</v>
      </c>
      <c r="D1172" s="88">
        <v>323.186549773244</v>
      </c>
      <c r="E1172" s="89">
        <v>4789493.1216848167</v>
      </c>
      <c r="F1172" s="87" t="s">
        <v>1191</v>
      </c>
      <c r="G1172" s="25">
        <f t="shared" si="35"/>
        <v>-1.494111443135826E-3</v>
      </c>
      <c r="I1172" s="88">
        <v>255.35</v>
      </c>
      <c r="J1172" s="88">
        <v>269.23</v>
      </c>
      <c r="K1172" s="88">
        <v>255</v>
      </c>
      <c r="L1172" s="88">
        <v>262.5</v>
      </c>
      <c r="M1172" s="89">
        <v>738175</v>
      </c>
      <c r="N1172" s="87" t="s">
        <v>1191</v>
      </c>
      <c r="O1172" s="25">
        <f t="shared" si="36"/>
        <v>-2.7238095238095283E-2</v>
      </c>
    </row>
    <row r="1173" spans="1:15">
      <c r="A1173" s="88">
        <v>326.17849181719862</v>
      </c>
      <c r="B1173" s="88">
        <v>338.13205773647911</v>
      </c>
      <c r="C1173" s="88">
        <v>326.0932782779721</v>
      </c>
      <c r="D1173" s="88">
        <v>334.01813742604156</v>
      </c>
      <c r="E1173" s="89">
        <v>5304651.7502131863</v>
      </c>
      <c r="F1173" s="87" t="s">
        <v>1192</v>
      </c>
      <c r="G1173" s="25">
        <f t="shared" si="35"/>
        <v>-2.3470718294687831E-2</v>
      </c>
      <c r="I1173" s="88">
        <v>261.7</v>
      </c>
      <c r="J1173" s="88">
        <v>269.125</v>
      </c>
      <c r="K1173" s="88">
        <v>258.85000000000002</v>
      </c>
      <c r="L1173" s="88">
        <v>266.79000000000002</v>
      </c>
      <c r="M1173" s="89">
        <v>873414</v>
      </c>
      <c r="N1173" s="87" t="s">
        <v>1192</v>
      </c>
      <c r="O1173" s="25">
        <f t="shared" si="36"/>
        <v>-1.9078676112298187E-2</v>
      </c>
    </row>
    <row r="1174" spans="1:15">
      <c r="A1174" s="88">
        <v>334.71878208190435</v>
      </c>
      <c r="B1174" s="88">
        <v>339.6848377846074</v>
      </c>
      <c r="C1174" s="88">
        <v>333.55419704580817</v>
      </c>
      <c r="D1174" s="88">
        <v>339.46233576551583</v>
      </c>
      <c r="E1174" s="89">
        <v>8464442.5820918679</v>
      </c>
      <c r="F1174" s="87" t="s">
        <v>1193</v>
      </c>
      <c r="G1174" s="25">
        <f t="shared" si="35"/>
        <v>-1.3973726048029378E-2</v>
      </c>
      <c r="I1174" s="88">
        <v>266.07</v>
      </c>
      <c r="J1174" s="88">
        <v>266.08</v>
      </c>
      <c r="K1174" s="88">
        <v>257.77999999999997</v>
      </c>
      <c r="L1174" s="88">
        <v>260.77</v>
      </c>
      <c r="M1174" s="89">
        <v>532502</v>
      </c>
      <c r="N1174" s="87" t="s">
        <v>1193</v>
      </c>
      <c r="O1174" s="25">
        <f t="shared" si="36"/>
        <v>2.0324423821758586E-2</v>
      </c>
    </row>
    <row r="1175" spans="1:15">
      <c r="A1175" s="88">
        <v>336.07273053850406</v>
      </c>
      <c r="B1175" s="88">
        <v>337.93796023046309</v>
      </c>
      <c r="C1175" s="88">
        <v>335.22059514623851</v>
      </c>
      <c r="D1175" s="88">
        <v>336.27156213003269</v>
      </c>
      <c r="E1175" s="89">
        <v>6792189.3076310549</v>
      </c>
      <c r="F1175" s="87" t="s">
        <v>1194</v>
      </c>
      <c r="G1175" s="25">
        <f t="shared" si="35"/>
        <v>-5.9128280211739881E-4</v>
      </c>
      <c r="I1175" s="88">
        <v>258.81</v>
      </c>
      <c r="J1175" s="88">
        <v>266.06</v>
      </c>
      <c r="K1175" s="88">
        <v>251.23</v>
      </c>
      <c r="L1175" s="88">
        <v>252.34</v>
      </c>
      <c r="M1175" s="89">
        <v>741012</v>
      </c>
      <c r="N1175" s="87" t="s">
        <v>1194</v>
      </c>
      <c r="O1175" s="25">
        <f t="shared" si="36"/>
        <v>2.5640009510977224E-2</v>
      </c>
    </row>
    <row r="1176" spans="1:15">
      <c r="A1176" s="88">
        <v>338.373496097621</v>
      </c>
      <c r="B1176" s="88">
        <v>338.94158635913141</v>
      </c>
      <c r="C1176" s="88">
        <v>330.39182792340046</v>
      </c>
      <c r="D1176" s="88">
        <v>330.47704146262703</v>
      </c>
      <c r="E1176" s="89">
        <v>4634557.1793470783</v>
      </c>
      <c r="F1176" s="87" t="s">
        <v>1195</v>
      </c>
      <c r="G1176" s="25">
        <f t="shared" si="35"/>
        <v>2.3894109557643706E-2</v>
      </c>
      <c r="I1176" s="88">
        <v>255.55</v>
      </c>
      <c r="J1176" s="88">
        <v>257.49</v>
      </c>
      <c r="K1176" s="88">
        <v>241.05439999999999</v>
      </c>
      <c r="L1176" s="88">
        <v>244</v>
      </c>
      <c r="M1176" s="89">
        <v>538526</v>
      </c>
      <c r="N1176" s="87" t="s">
        <v>1195</v>
      </c>
      <c r="O1176" s="25">
        <f t="shared" si="36"/>
        <v>4.7336065573770458E-2</v>
      </c>
    </row>
    <row r="1177" spans="1:15">
      <c r="A1177" s="88">
        <v>330.65693671210528</v>
      </c>
      <c r="B1177" s="88">
        <v>334.97442269958401</v>
      </c>
      <c r="C1177" s="88">
        <v>330.05570785200683</v>
      </c>
      <c r="D1177" s="88">
        <v>333.32696094120399</v>
      </c>
      <c r="E1177" s="89">
        <v>4378103.2144213952</v>
      </c>
      <c r="F1177" s="87" t="s">
        <v>1196</v>
      </c>
      <c r="G1177" s="25">
        <f t="shared" si="35"/>
        <v>-8.0102258201960597E-3</v>
      </c>
      <c r="I1177" s="88">
        <v>243.31</v>
      </c>
      <c r="J1177" s="88">
        <v>247.19</v>
      </c>
      <c r="K1177" s="88">
        <v>241.29</v>
      </c>
      <c r="L1177" s="88">
        <v>245.99</v>
      </c>
      <c r="M1177" s="89">
        <v>315176</v>
      </c>
      <c r="N1177" s="87" t="s">
        <v>1196</v>
      </c>
      <c r="O1177" s="25">
        <f t="shared" si="36"/>
        <v>-1.0894751819179649E-2</v>
      </c>
    </row>
    <row r="1178" spans="1:15">
      <c r="A1178" s="88">
        <v>332.43695286483774</v>
      </c>
      <c r="B1178" s="88">
        <v>337.22784740357514</v>
      </c>
      <c r="C1178" s="88">
        <v>331.8025854061512</v>
      </c>
      <c r="D1178" s="88">
        <v>332.04875785280564</v>
      </c>
      <c r="E1178" s="89">
        <v>4517987.6753673088</v>
      </c>
      <c r="F1178" s="87" t="s">
        <v>1197</v>
      </c>
      <c r="G1178" s="25">
        <f t="shared" si="35"/>
        <v>1.1690903906473871E-3</v>
      </c>
      <c r="I1178" s="88">
        <v>243.6</v>
      </c>
      <c r="J1178" s="88">
        <v>246.03</v>
      </c>
      <c r="K1178" s="88">
        <v>237.11</v>
      </c>
      <c r="L1178" s="88">
        <v>239.79</v>
      </c>
      <c r="M1178" s="89">
        <v>538514</v>
      </c>
      <c r="N1178" s="87" t="s">
        <v>1197</v>
      </c>
      <c r="O1178" s="25">
        <f t="shared" si="36"/>
        <v>1.5888902789941151E-2</v>
      </c>
    </row>
    <row r="1179" spans="1:15">
      <c r="A1179" s="88">
        <v>334.93655001548331</v>
      </c>
      <c r="B1179" s="88">
        <v>335.20165880418813</v>
      </c>
      <c r="C1179" s="88">
        <v>329.52075618908452</v>
      </c>
      <c r="D1179" s="88">
        <v>329.5396925311349</v>
      </c>
      <c r="E1179" s="89">
        <v>5495671.7471261611</v>
      </c>
      <c r="F1179" s="87" t="s">
        <v>1198</v>
      </c>
      <c r="G1179" s="25">
        <f t="shared" si="35"/>
        <v>1.6376957333716247E-2</v>
      </c>
      <c r="I1179" s="88">
        <v>238.03</v>
      </c>
      <c r="J1179" s="88">
        <v>240</v>
      </c>
      <c r="K1179" s="88">
        <v>233.29</v>
      </c>
      <c r="L1179" s="88">
        <v>233.29</v>
      </c>
      <c r="M1179" s="89">
        <v>338144</v>
      </c>
      <c r="N1179" s="87" t="s">
        <v>1198</v>
      </c>
      <c r="O1179" s="25">
        <f t="shared" si="36"/>
        <v>2.0318059068112682E-2</v>
      </c>
    </row>
    <row r="1180" spans="1:15">
      <c r="A1180" s="88">
        <v>329.57756521523555</v>
      </c>
      <c r="B1180" s="88">
        <v>330.65693671210528</v>
      </c>
      <c r="C1180" s="88">
        <v>324.63517994009544</v>
      </c>
      <c r="D1180" s="88">
        <v>327.07796806458998</v>
      </c>
      <c r="E1180" s="89">
        <v>5956184.1299726125</v>
      </c>
      <c r="F1180" s="87" t="s">
        <v>1199</v>
      </c>
      <c r="G1180" s="25">
        <f t="shared" si="35"/>
        <v>7.642205818497505E-3</v>
      </c>
      <c r="I1180" s="88">
        <v>230.62</v>
      </c>
      <c r="J1180" s="88">
        <v>231.7</v>
      </c>
      <c r="K1180" s="88">
        <v>224.80500000000001</v>
      </c>
      <c r="L1180" s="88">
        <v>228.79</v>
      </c>
      <c r="M1180" s="89">
        <v>280728</v>
      </c>
      <c r="N1180" s="87" t="s">
        <v>1199</v>
      </c>
      <c r="O1180" s="25">
        <f t="shared" si="36"/>
        <v>7.9986013374711007E-3</v>
      </c>
    </row>
    <row r="1181" spans="1:15">
      <c r="A1181" s="88">
        <v>325.61040155568821</v>
      </c>
      <c r="B1181" s="88">
        <v>326.07481534447294</v>
      </c>
      <c r="C1181" s="88">
        <v>316.35999846409453</v>
      </c>
      <c r="D1181" s="88">
        <v>317.65713789454321</v>
      </c>
      <c r="E1181" s="89">
        <v>4607468.5262885196</v>
      </c>
      <c r="F1181" s="87" t="s">
        <v>1200</v>
      </c>
      <c r="G1181" s="25">
        <f t="shared" si="35"/>
        <v>2.50372578241429E-2</v>
      </c>
      <c r="I1181" s="88">
        <v>227</v>
      </c>
      <c r="J1181" s="88">
        <v>227.4</v>
      </c>
      <c r="K1181" s="88">
        <v>208.5401</v>
      </c>
      <c r="L1181" s="88">
        <v>213.58</v>
      </c>
      <c r="M1181" s="89">
        <v>651212</v>
      </c>
      <c r="N1181" s="87" t="s">
        <v>1200</v>
      </c>
      <c r="O1181" s="25">
        <f t="shared" si="36"/>
        <v>6.283359865155913E-2</v>
      </c>
    </row>
    <row r="1182" spans="1:15">
      <c r="A1182" s="88">
        <v>317.9695875383739</v>
      </c>
      <c r="B1182" s="88">
        <v>324.20911224396269</v>
      </c>
      <c r="C1182" s="88">
        <v>317.23107019841046</v>
      </c>
      <c r="D1182" s="88">
        <v>320.18513955826432</v>
      </c>
      <c r="E1182" s="89">
        <v>3653355.0046820329</v>
      </c>
      <c r="F1182" s="87" t="s">
        <v>1201</v>
      </c>
      <c r="G1182" s="25">
        <f t="shared" si="35"/>
        <v>-6.9195966525712471E-3</v>
      </c>
      <c r="I1182" s="88">
        <v>212.22</v>
      </c>
      <c r="J1182" s="88">
        <v>218.21</v>
      </c>
      <c r="K1182" s="88">
        <v>210.25</v>
      </c>
      <c r="L1182" s="88">
        <v>215.07</v>
      </c>
      <c r="M1182" s="89">
        <v>342449</v>
      </c>
      <c r="N1182" s="87" t="s">
        <v>1201</v>
      </c>
      <c r="O1182" s="25">
        <f t="shared" si="36"/>
        <v>-1.3251499511786835E-2</v>
      </c>
    </row>
    <row r="1183" spans="1:15">
      <c r="A1183" s="88">
        <v>320.60173908337191</v>
      </c>
      <c r="B1183" s="88">
        <v>323.49899941707474</v>
      </c>
      <c r="C1183" s="88">
        <v>318.03586473555009</v>
      </c>
      <c r="D1183" s="88">
        <v>321.00887043745433</v>
      </c>
      <c r="E1183" s="89">
        <v>4650563.4385915594</v>
      </c>
      <c r="F1183" s="87" t="s">
        <v>1202</v>
      </c>
      <c r="G1183" s="25">
        <f t="shared" si="35"/>
        <v>-1.2682869277961251E-3</v>
      </c>
      <c r="I1183" s="88">
        <v>215.82</v>
      </c>
      <c r="J1183" s="88">
        <v>227.255</v>
      </c>
      <c r="K1183" s="88">
        <v>213.64</v>
      </c>
      <c r="L1183" s="88">
        <v>225.88</v>
      </c>
      <c r="M1183" s="89">
        <v>383582</v>
      </c>
      <c r="N1183" s="87" t="s">
        <v>1202</v>
      </c>
      <c r="O1183" s="25">
        <f t="shared" si="36"/>
        <v>-4.4536922259606926E-2</v>
      </c>
    </row>
    <row r="1184" spans="1:15">
      <c r="A1184" s="88">
        <v>322.83622744531266</v>
      </c>
      <c r="B1184" s="88">
        <v>326.65190036845723</v>
      </c>
      <c r="C1184" s="88">
        <v>319.80167863174478</v>
      </c>
      <c r="D1184" s="88">
        <v>326.34891889565171</v>
      </c>
      <c r="E1184" s="89">
        <v>5178696.061746073</v>
      </c>
      <c r="F1184" s="87" t="s">
        <v>1203</v>
      </c>
      <c r="G1184" s="25">
        <f t="shared" si="35"/>
        <v>-1.0763606823720462E-2</v>
      </c>
      <c r="I1184" s="88">
        <v>227.47</v>
      </c>
      <c r="J1184" s="88">
        <v>234.84</v>
      </c>
      <c r="K1184" s="88">
        <v>224.29</v>
      </c>
      <c r="L1184" s="88">
        <v>232.01</v>
      </c>
      <c r="M1184" s="89">
        <v>381732</v>
      </c>
      <c r="N1184" s="87" t="s">
        <v>1203</v>
      </c>
      <c r="O1184" s="25">
        <f t="shared" si="36"/>
        <v>-1.9568122063704063E-2</v>
      </c>
    </row>
    <row r="1185" spans="1:15">
      <c r="A1185" s="88">
        <v>319.07736354831911</v>
      </c>
      <c r="B1185" s="88">
        <v>320.11886236108813</v>
      </c>
      <c r="C1185" s="88">
        <v>316.67244810792522</v>
      </c>
      <c r="D1185" s="88">
        <v>316.77659798920212</v>
      </c>
      <c r="E1185" s="89">
        <v>4107990.8565858058</v>
      </c>
      <c r="F1185" s="87" t="s">
        <v>1204</v>
      </c>
      <c r="G1185" s="25">
        <f t="shared" si="35"/>
        <v>7.2630540694025303E-3</v>
      </c>
      <c r="I1185" s="88">
        <v>224.16</v>
      </c>
      <c r="J1185" s="88">
        <v>229.54</v>
      </c>
      <c r="K1185" s="88">
        <v>219.97</v>
      </c>
      <c r="L1185" s="88">
        <v>219.97</v>
      </c>
      <c r="M1185" s="89">
        <v>494890</v>
      </c>
      <c r="N1185" s="87" t="s">
        <v>1204</v>
      </c>
      <c r="O1185" s="25">
        <f t="shared" si="36"/>
        <v>1.904805200709192E-2</v>
      </c>
    </row>
    <row r="1186" spans="1:15">
      <c r="A1186" s="88">
        <v>311.17144074229992</v>
      </c>
      <c r="B1186" s="88">
        <v>322.09771010534917</v>
      </c>
      <c r="C1186" s="88">
        <v>310.57968005322658</v>
      </c>
      <c r="D1186" s="88">
        <v>320.61120725439707</v>
      </c>
      <c r="E1186" s="89">
        <v>5158333.1004637498</v>
      </c>
      <c r="F1186" s="87" t="s">
        <v>1205</v>
      </c>
      <c r="G1186" s="25">
        <f t="shared" si="35"/>
        <v>-2.9443033488866566E-2</v>
      </c>
      <c r="I1186" s="88">
        <v>221.12</v>
      </c>
      <c r="J1186" s="88">
        <v>237.54</v>
      </c>
      <c r="K1186" s="88">
        <v>220.57</v>
      </c>
      <c r="L1186" s="88">
        <v>236.64</v>
      </c>
      <c r="M1186" s="89">
        <v>457269</v>
      </c>
      <c r="N1186" s="87" t="s">
        <v>1205</v>
      </c>
      <c r="O1186" s="25">
        <f t="shared" si="36"/>
        <v>-6.558485463150765E-2</v>
      </c>
    </row>
    <row r="1187" spans="1:15">
      <c r="A1187" s="88">
        <v>318.33884620835568</v>
      </c>
      <c r="B1187" s="88">
        <v>319.71646509251826</v>
      </c>
      <c r="C1187" s="88">
        <v>302.85838658219831</v>
      </c>
      <c r="D1187" s="88">
        <v>303.77679917164005</v>
      </c>
      <c r="E1187" s="89">
        <v>6756205.5892239632</v>
      </c>
      <c r="F1187" s="87" t="s">
        <v>1206</v>
      </c>
      <c r="G1187" s="25">
        <f t="shared" si="35"/>
        <v>4.7936666251091165E-2</v>
      </c>
      <c r="I1187" s="88">
        <v>234.26</v>
      </c>
      <c r="J1187" s="88">
        <v>238.26</v>
      </c>
      <c r="K1187" s="88">
        <v>222.66499999999999</v>
      </c>
      <c r="L1187" s="88">
        <v>225</v>
      </c>
      <c r="M1187" s="89">
        <v>389982</v>
      </c>
      <c r="N1187" s="87" t="s">
        <v>1206</v>
      </c>
      <c r="O1187" s="25">
        <f t="shared" si="36"/>
        <v>4.1155555555555612E-2</v>
      </c>
    </row>
    <row r="1188" spans="1:15">
      <c r="A1188" s="88">
        <v>310.21515546875747</v>
      </c>
      <c r="B1188" s="88">
        <v>312.99879775015825</v>
      </c>
      <c r="C1188" s="88">
        <v>310.025792048254</v>
      </c>
      <c r="D1188" s="88">
        <v>311.64484929355854</v>
      </c>
      <c r="E1188" s="89">
        <v>3416776.0504104341</v>
      </c>
      <c r="F1188" s="87" t="s">
        <v>1207</v>
      </c>
      <c r="G1188" s="25">
        <f t="shared" si="35"/>
        <v>-4.5875740543824817E-3</v>
      </c>
      <c r="I1188" s="88">
        <v>232.55</v>
      </c>
      <c r="J1188" s="88">
        <v>233.81</v>
      </c>
      <c r="K1188" s="88">
        <v>228.46</v>
      </c>
      <c r="L1188" s="88">
        <v>232.01</v>
      </c>
      <c r="M1188" s="89">
        <v>241840</v>
      </c>
      <c r="N1188" s="87" t="s">
        <v>1207</v>
      </c>
      <c r="O1188" s="25">
        <f t="shared" si="36"/>
        <v>2.3274858842292634E-3</v>
      </c>
    </row>
    <row r="1189" spans="1:15">
      <c r="A1189" s="88">
        <v>311.18090891332514</v>
      </c>
      <c r="B1189" s="88">
        <v>315.82031271565972</v>
      </c>
      <c r="C1189" s="88">
        <v>309.46716995776887</v>
      </c>
      <c r="D1189" s="88">
        <v>311.6921901486844</v>
      </c>
      <c r="E1189" s="89">
        <v>5247167.5752280736</v>
      </c>
      <c r="F1189" s="87" t="s">
        <v>1208</v>
      </c>
      <c r="G1189" s="25">
        <f t="shared" si="35"/>
        <v>-1.6403402187118443E-3</v>
      </c>
      <c r="I1189" s="88">
        <v>232.78</v>
      </c>
      <c r="J1189" s="88">
        <v>235.89</v>
      </c>
      <c r="K1189" s="88">
        <v>226.01</v>
      </c>
      <c r="L1189" s="88">
        <v>230.23</v>
      </c>
      <c r="M1189" s="89">
        <v>330441</v>
      </c>
      <c r="N1189" s="87" t="s">
        <v>1208</v>
      </c>
      <c r="O1189" s="25">
        <f t="shared" si="36"/>
        <v>1.107588064109799E-2</v>
      </c>
    </row>
    <row r="1190" spans="1:15">
      <c r="G1190" s="25"/>
      <c r="O1190" s="25"/>
    </row>
    <row r="1191" spans="1:15">
      <c r="G1191" s="25"/>
      <c r="O1191" s="25"/>
    </row>
    <row r="1192" spans="1:15">
      <c r="G1192" s="25"/>
      <c r="O1192" s="25"/>
    </row>
    <row r="1193" spans="1:15">
      <c r="G1193" s="25"/>
      <c r="O1193" s="25"/>
    </row>
    <row r="1194" spans="1:15">
      <c r="G1194" s="25"/>
      <c r="O1194" s="25"/>
    </row>
    <row r="1195" spans="1:15">
      <c r="G1195" s="25"/>
      <c r="O1195" s="25"/>
    </row>
    <row r="1196" spans="1:15">
      <c r="G1196" s="25"/>
      <c r="O1196" s="25"/>
    </row>
    <row r="1197" spans="1:15">
      <c r="G1197" s="25"/>
      <c r="O1197" s="25"/>
    </row>
    <row r="1198" spans="1:15">
      <c r="G1198" s="25"/>
      <c r="O1198" s="25"/>
    </row>
    <row r="1199" spans="1:15">
      <c r="G1199" s="25"/>
      <c r="O1199" s="25"/>
    </row>
    <row r="1200" spans="1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sortState xmlns:xlrd2="http://schemas.microsoft.com/office/spreadsheetml/2017/richdata2" ref="Q211:Q267">
    <sortCondition ref="Q2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799B-D8BD-49AE-8720-99247FC9BA3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Product Lines</vt:lpstr>
      <vt:lpstr>Economics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2026-10-21T22:01:35Z</dcterms:modified>
</cp:coreProperties>
</file>