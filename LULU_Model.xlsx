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Consumer Discretionary\"/>
    </mc:Choice>
  </mc:AlternateContent>
  <xr:revisionPtr revIDLastSave="0" documentId="13_ncr:1_{037F133B-1F9C-494C-9B22-6CD34E0B0C1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Management" sheetId="6" r:id="rId5"/>
    <sheet name="Table Formatting" sheetId="4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63" i="2" l="1"/>
  <c r="CG96" i="2" l="1"/>
  <c r="CG97" i="2"/>
  <c r="CG95" i="2"/>
  <c r="CG94" i="2"/>
  <c r="CG93" i="2"/>
  <c r="CG92" i="2"/>
  <c r="CG82" i="2"/>
  <c r="CG81" i="2"/>
  <c r="CG90" i="2" s="1"/>
  <c r="CG80" i="2"/>
  <c r="CG79" i="2"/>
  <c r="CG78" i="2"/>
  <c r="CG77" i="2"/>
  <c r="CG76" i="2"/>
  <c r="CG75" i="2"/>
  <c r="CG74" i="2"/>
  <c r="CG73" i="2"/>
  <c r="CG72" i="2"/>
  <c r="CG71" i="2"/>
  <c r="CG70" i="2"/>
  <c r="CG68" i="2"/>
  <c r="CG67" i="2"/>
  <c r="CG66" i="2"/>
  <c r="CG65" i="2"/>
  <c r="CG64" i="2"/>
  <c r="CG63" i="2"/>
  <c r="CG62" i="2"/>
  <c r="CG61" i="2"/>
  <c r="CG60" i="2"/>
  <c r="CG59" i="2"/>
  <c r="CG88" i="2" s="1"/>
  <c r="CG58" i="2"/>
  <c r="CG57" i="2"/>
  <c r="CG48" i="2"/>
  <c r="CG49" i="2"/>
  <c r="CG47" i="2"/>
  <c r="CG46" i="2"/>
  <c r="CG45" i="2"/>
  <c r="CG44" i="2"/>
  <c r="CG43" i="2"/>
  <c r="CG53" i="2" s="1"/>
  <c r="CG42" i="2"/>
  <c r="CG41" i="2"/>
  <c r="CG52" i="2" s="1"/>
  <c r="CG40" i="2"/>
  <c r="CG51" i="2" s="1"/>
  <c r="CG39" i="2"/>
  <c r="CG38" i="2"/>
  <c r="CG23" i="2"/>
  <c r="CG22" i="2"/>
  <c r="CG21" i="2"/>
  <c r="CG35" i="2" s="1"/>
  <c r="CG20" i="2"/>
  <c r="CG19" i="2"/>
  <c r="CG18" i="2"/>
  <c r="CG25" i="2" s="1"/>
  <c r="BJ22" i="2"/>
  <c r="BJ29" i="2" s="1"/>
  <c r="BJ21" i="2"/>
  <c r="BJ35" i="2" s="1"/>
  <c r="BJ20" i="2"/>
  <c r="BJ19" i="2"/>
  <c r="BJ18" i="2"/>
  <c r="BJ6" i="2"/>
  <c r="BJ7" i="2" s="1"/>
  <c r="BJ5" i="2"/>
  <c r="BJ4" i="2"/>
  <c r="BJ96" i="2"/>
  <c r="BJ95" i="2"/>
  <c r="BJ88" i="2"/>
  <c r="BJ86" i="2"/>
  <c r="BJ85" i="2"/>
  <c r="BJ84" i="2"/>
  <c r="BJ80" i="2"/>
  <c r="BJ82" i="2" s="1"/>
  <c r="BJ68" i="2"/>
  <c r="BJ36" i="2"/>
  <c r="BJ26" i="2"/>
  <c r="BJ25" i="2"/>
  <c r="BJ34" i="2"/>
  <c r="BJ33" i="2"/>
  <c r="BJ23" i="2"/>
  <c r="BJ30" i="2" s="1"/>
  <c r="BJ9" i="2"/>
  <c r="CH44" i="2"/>
  <c r="CH6" i="2"/>
  <c r="CH5" i="2"/>
  <c r="CH3" i="2"/>
  <c r="CG7" i="2"/>
  <c r="CG12" i="2" s="1"/>
  <c r="CG6" i="2"/>
  <c r="CG5" i="2"/>
  <c r="CG89" i="2"/>
  <c r="CG87" i="2"/>
  <c r="CG54" i="2"/>
  <c r="CG55" i="2"/>
  <c r="CG36" i="2"/>
  <c r="CG29" i="2"/>
  <c r="CG28" i="2"/>
  <c r="CG26" i="2"/>
  <c r="CG34" i="2"/>
  <c r="CG33" i="2"/>
  <c r="CG10" i="2"/>
  <c r="CG3" i="2"/>
  <c r="CL72" i="2"/>
  <c r="CL74" i="2" s="1"/>
  <c r="CL68" i="2"/>
  <c r="CL79" i="2"/>
  <c r="BI96" i="2"/>
  <c r="BI95" i="2"/>
  <c r="BI97" i="2" s="1"/>
  <c r="BI88" i="2"/>
  <c r="BI86" i="2"/>
  <c r="BI85" i="2"/>
  <c r="BI84" i="2"/>
  <c r="BI80" i="2"/>
  <c r="BI82" i="2" s="1"/>
  <c r="BI68" i="2"/>
  <c r="BI29" i="2"/>
  <c r="BI28" i="2"/>
  <c r="BI26" i="2"/>
  <c r="BI25" i="2"/>
  <c r="BI23" i="2"/>
  <c r="BI11" i="2"/>
  <c r="BI10" i="2"/>
  <c r="BI9" i="2"/>
  <c r="BI7" i="2"/>
  <c r="CF88" i="2"/>
  <c r="CQ70" i="2"/>
  <c r="CF81" i="2"/>
  <c r="CE81" i="2"/>
  <c r="CD81" i="2"/>
  <c r="CF79" i="2"/>
  <c r="CE79" i="2"/>
  <c r="CD79" i="2"/>
  <c r="CF78" i="2"/>
  <c r="CE78" i="2"/>
  <c r="CF77" i="2"/>
  <c r="CE77" i="2"/>
  <c r="CD77" i="2"/>
  <c r="CF76" i="2"/>
  <c r="CE76" i="2"/>
  <c r="CD76" i="2"/>
  <c r="CF75" i="2"/>
  <c r="CE75" i="2"/>
  <c r="CD75" i="2"/>
  <c r="CF74" i="2"/>
  <c r="CE74" i="2"/>
  <c r="CD74" i="2"/>
  <c r="CF73" i="2"/>
  <c r="CE73" i="2"/>
  <c r="CD73" i="2"/>
  <c r="CF72" i="2"/>
  <c r="CE72" i="2"/>
  <c r="CD72" i="2"/>
  <c r="CF71" i="2"/>
  <c r="CE71" i="2"/>
  <c r="CD71" i="2"/>
  <c r="CF70" i="2"/>
  <c r="CE70" i="2"/>
  <c r="CD70" i="2"/>
  <c r="CF68" i="2"/>
  <c r="CF67" i="2"/>
  <c r="CE67" i="2"/>
  <c r="CD67" i="2"/>
  <c r="CF66" i="2"/>
  <c r="CE66" i="2"/>
  <c r="CD66" i="2"/>
  <c r="CF65" i="2"/>
  <c r="CE65" i="2"/>
  <c r="CD65" i="2"/>
  <c r="CF64" i="2"/>
  <c r="CE64" i="2"/>
  <c r="CD64" i="2"/>
  <c r="CF63" i="2"/>
  <c r="CE63" i="2"/>
  <c r="CD63" i="2"/>
  <c r="CF62" i="2"/>
  <c r="CE62" i="2"/>
  <c r="CD62" i="2"/>
  <c r="CF61" i="2"/>
  <c r="CE61" i="2"/>
  <c r="CD61" i="2"/>
  <c r="CF60" i="2"/>
  <c r="CE60" i="2"/>
  <c r="CD60" i="2"/>
  <c r="CF59" i="2"/>
  <c r="CE59" i="2"/>
  <c r="CD59" i="2"/>
  <c r="CF58" i="2"/>
  <c r="CE58" i="2"/>
  <c r="CD58" i="2"/>
  <c r="BG88" i="2"/>
  <c r="BF88" i="2"/>
  <c r="BE88" i="2"/>
  <c r="BD88" i="2"/>
  <c r="BC88" i="2"/>
  <c r="BB88" i="2"/>
  <c r="BA88" i="2"/>
  <c r="AZ88" i="2"/>
  <c r="AY88" i="2"/>
  <c r="AX88" i="2"/>
  <c r="BG86" i="2"/>
  <c r="BF86" i="2"/>
  <c r="BE86" i="2"/>
  <c r="BD86" i="2"/>
  <c r="BC86" i="2"/>
  <c r="BB86" i="2"/>
  <c r="BA86" i="2"/>
  <c r="AZ86" i="2"/>
  <c r="AY86" i="2"/>
  <c r="AX86" i="2"/>
  <c r="BG85" i="2"/>
  <c r="BF85" i="2"/>
  <c r="BE85" i="2"/>
  <c r="BD85" i="2"/>
  <c r="BC85" i="2"/>
  <c r="BB85" i="2"/>
  <c r="BA85" i="2"/>
  <c r="AZ85" i="2"/>
  <c r="AY85" i="2"/>
  <c r="AX85" i="2"/>
  <c r="BG84" i="2"/>
  <c r="BF84" i="2"/>
  <c r="BE84" i="2"/>
  <c r="BD84" i="2"/>
  <c r="BC84" i="2"/>
  <c r="BB84" i="2"/>
  <c r="BA84" i="2"/>
  <c r="AZ84" i="2"/>
  <c r="AY84" i="2"/>
  <c r="AX84" i="2"/>
  <c r="BH88" i="2"/>
  <c r="BH86" i="2"/>
  <c r="BH85" i="2"/>
  <c r="BH84" i="2"/>
  <c r="AY78" i="2"/>
  <c r="AZ78" i="2"/>
  <c r="BA78" i="2"/>
  <c r="BA80" i="2" s="1"/>
  <c r="BA82" i="2" s="1"/>
  <c r="AX78" i="2"/>
  <c r="CD78" i="2" s="1"/>
  <c r="AX68" i="2"/>
  <c r="CD68" i="2" s="1"/>
  <c r="BC78" i="2"/>
  <c r="BB78" i="2"/>
  <c r="BB80" i="2" s="1"/>
  <c r="BG80" i="2"/>
  <c r="BG82" i="2" s="1"/>
  <c r="BF80" i="2"/>
  <c r="BF82" i="2" s="1"/>
  <c r="CF82" i="2" s="1"/>
  <c r="BE80" i="2"/>
  <c r="BE82" i="2" s="1"/>
  <c r="BD80" i="2"/>
  <c r="BD82" i="2" s="1"/>
  <c r="BC80" i="2"/>
  <c r="BC82" i="2" s="1"/>
  <c r="AZ80" i="2"/>
  <c r="AZ82" i="2" s="1"/>
  <c r="AY80" i="2"/>
  <c r="AY82" i="2" s="1"/>
  <c r="BH80" i="2"/>
  <c r="BH82" i="2" s="1"/>
  <c r="BG68" i="2"/>
  <c r="BF68" i="2"/>
  <c r="BE68" i="2"/>
  <c r="BD68" i="2"/>
  <c r="BC68" i="2"/>
  <c r="BB68" i="2"/>
  <c r="CE68" i="2" s="1"/>
  <c r="BA68" i="2"/>
  <c r="AZ68" i="2"/>
  <c r="AY68" i="2"/>
  <c r="BH68" i="2"/>
  <c r="CE96" i="2"/>
  <c r="CD96" i="2"/>
  <c r="CB96" i="2"/>
  <c r="BY96" i="2"/>
  <c r="BW96" i="2"/>
  <c r="BV96" i="2"/>
  <c r="BT96" i="2"/>
  <c r="CF48" i="2"/>
  <c r="CF96" i="2" s="1"/>
  <c r="CE48" i="2"/>
  <c r="CD48" i="2"/>
  <c r="CC48" i="2"/>
  <c r="CC96" i="2" s="1"/>
  <c r="CB48" i="2"/>
  <c r="CA48" i="2"/>
  <c r="CA96" i="2" s="1"/>
  <c r="BZ48" i="2"/>
  <c r="BZ96" i="2" s="1"/>
  <c r="BY48" i="2"/>
  <c r="BX48" i="2"/>
  <c r="BX96" i="2" s="1"/>
  <c r="BW48" i="2"/>
  <c r="BV48" i="2"/>
  <c r="BU48" i="2"/>
  <c r="BU96" i="2" s="1"/>
  <c r="BT48" i="2"/>
  <c r="BS48" i="2"/>
  <c r="BS96" i="2" s="1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H9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CF39" i="2"/>
  <c r="CE39" i="2"/>
  <c r="CE88" i="2" s="1"/>
  <c r="CD39" i="2"/>
  <c r="CD88" i="2" s="1"/>
  <c r="CC39" i="2"/>
  <c r="CB39" i="2"/>
  <c r="CA39" i="2"/>
  <c r="BZ39" i="2"/>
  <c r="BY39" i="2"/>
  <c r="BX39" i="2"/>
  <c r="BW39" i="2"/>
  <c r="BV39" i="2"/>
  <c r="BU39" i="2"/>
  <c r="BT39" i="2"/>
  <c r="BS39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CG86" i="2" l="1"/>
  <c r="CG85" i="2"/>
  <c r="CI44" i="2"/>
  <c r="CJ44" i="2" s="1"/>
  <c r="CK44" i="2" s="1"/>
  <c r="CL44" i="2" s="1"/>
  <c r="CM44" i="2" s="1"/>
  <c r="CN44" i="2" s="1"/>
  <c r="CO44" i="2" s="1"/>
  <c r="CP44" i="2" s="1"/>
  <c r="CQ44" i="2" s="1"/>
  <c r="BJ97" i="2"/>
  <c r="BJ28" i="2"/>
  <c r="BJ15" i="2"/>
  <c r="BJ38" i="2"/>
  <c r="BJ87" i="2" s="1"/>
  <c r="BJ12" i="2"/>
  <c r="BJ16" i="2"/>
  <c r="BJ10" i="2"/>
  <c r="BJ11" i="2"/>
  <c r="BJ32" i="2"/>
  <c r="BJ14" i="2"/>
  <c r="CG4" i="2"/>
  <c r="CG9" i="2" s="1"/>
  <c r="CH4" i="2"/>
  <c r="CH7" i="2" s="1"/>
  <c r="CH12" i="2" s="1"/>
  <c r="CG15" i="2"/>
  <c r="CG16" i="2"/>
  <c r="CG84" i="2"/>
  <c r="CG11" i="2"/>
  <c r="CG32" i="2"/>
  <c r="CG30" i="2"/>
  <c r="BB82" i="2"/>
  <c r="CE80" i="2"/>
  <c r="AX80" i="2"/>
  <c r="BI30" i="2"/>
  <c r="CF80" i="2"/>
  <c r="BI38" i="2"/>
  <c r="BI16" i="2"/>
  <c r="BI14" i="2"/>
  <c r="BI15" i="2"/>
  <c r="AK43" i="2"/>
  <c r="AL40" i="2"/>
  <c r="AK40" i="2"/>
  <c r="AK51" i="2" s="1"/>
  <c r="AJ40" i="2"/>
  <c r="AI40" i="2"/>
  <c r="AH40" i="2"/>
  <c r="AG40" i="2"/>
  <c r="AF40" i="2"/>
  <c r="AE40" i="2"/>
  <c r="BZ40" i="2" s="1"/>
  <c r="AD40" i="2"/>
  <c r="AC40" i="2"/>
  <c r="AB40" i="2"/>
  <c r="AA40" i="2"/>
  <c r="Z40" i="2"/>
  <c r="Y40" i="2"/>
  <c r="X40" i="2"/>
  <c r="W40" i="2"/>
  <c r="BX40" i="2" s="1"/>
  <c r="V40" i="2"/>
  <c r="U40" i="2"/>
  <c r="T40" i="2"/>
  <c r="S40" i="2"/>
  <c r="R40" i="2"/>
  <c r="Q40" i="2"/>
  <c r="P40" i="2"/>
  <c r="O40" i="2"/>
  <c r="BV40" i="2" s="1"/>
  <c r="N40" i="2"/>
  <c r="M40" i="2"/>
  <c r="L40" i="2"/>
  <c r="K40" i="2"/>
  <c r="J40" i="2"/>
  <c r="I40" i="2"/>
  <c r="H40" i="2"/>
  <c r="G40" i="2"/>
  <c r="BT40" i="2" s="1"/>
  <c r="F40" i="2"/>
  <c r="E40" i="2"/>
  <c r="D40" i="2"/>
  <c r="C40" i="2"/>
  <c r="AP6" i="2"/>
  <c r="AP5" i="2"/>
  <c r="AP4" i="2"/>
  <c r="BH95" i="2"/>
  <c r="BH97" i="2" s="1"/>
  <c r="BG95" i="2"/>
  <c r="BG97" i="2" s="1"/>
  <c r="BF95" i="2"/>
  <c r="BF97" i="2" s="1"/>
  <c r="BE95" i="2"/>
  <c r="BE97" i="2" s="1"/>
  <c r="BD95" i="2"/>
  <c r="BD97" i="2" s="1"/>
  <c r="BC95" i="2"/>
  <c r="BB95" i="2"/>
  <c r="BB97" i="2" s="1"/>
  <c r="BA95" i="2"/>
  <c r="BA97" i="2" s="1"/>
  <c r="AZ95" i="2"/>
  <c r="AZ97" i="2" s="1"/>
  <c r="AY95" i="2"/>
  <c r="AX95" i="2"/>
  <c r="AX97" i="2" s="1"/>
  <c r="AW95" i="2"/>
  <c r="AW97" i="2" s="1"/>
  <c r="AV95" i="2"/>
  <c r="AV97" i="2" s="1"/>
  <c r="AU95" i="2"/>
  <c r="AT95" i="2"/>
  <c r="AT97" i="2" s="1"/>
  <c r="AS95" i="2"/>
  <c r="AS97" i="2" s="1"/>
  <c r="AR95" i="2"/>
  <c r="AR97" i="2" s="1"/>
  <c r="AQ95" i="2"/>
  <c r="AP95" i="2"/>
  <c r="AP97" i="2" s="1"/>
  <c r="AO95" i="2"/>
  <c r="AO97" i="2" s="1"/>
  <c r="AN95" i="2"/>
  <c r="AN97" i="2" s="1"/>
  <c r="AM95" i="2"/>
  <c r="AL95" i="2"/>
  <c r="AL97" i="2" s="1"/>
  <c r="AK95" i="2"/>
  <c r="AK97" i="2" s="1"/>
  <c r="AJ95" i="2"/>
  <c r="AJ97" i="2" s="1"/>
  <c r="AI95" i="2"/>
  <c r="AH95" i="2"/>
  <c r="AH97" i="2" s="1"/>
  <c r="AG95" i="2"/>
  <c r="AG97" i="2" s="1"/>
  <c r="AF95" i="2"/>
  <c r="AF97" i="2" s="1"/>
  <c r="AE95" i="2"/>
  <c r="AD95" i="2"/>
  <c r="AD97" i="2" s="1"/>
  <c r="AC95" i="2"/>
  <c r="AC97" i="2" s="1"/>
  <c r="AB95" i="2"/>
  <c r="AB97" i="2" s="1"/>
  <c r="AA95" i="2"/>
  <c r="Z95" i="2"/>
  <c r="Z97" i="2" s="1"/>
  <c r="Y95" i="2"/>
  <c r="Y97" i="2" s="1"/>
  <c r="X95" i="2"/>
  <c r="X97" i="2" s="1"/>
  <c r="W95" i="2"/>
  <c r="V95" i="2"/>
  <c r="V97" i="2" s="1"/>
  <c r="U95" i="2"/>
  <c r="U97" i="2" s="1"/>
  <c r="T95" i="2"/>
  <c r="T97" i="2" s="1"/>
  <c r="S95" i="2"/>
  <c r="R95" i="2"/>
  <c r="R97" i="2" s="1"/>
  <c r="Q95" i="2"/>
  <c r="Q97" i="2" s="1"/>
  <c r="P95" i="2"/>
  <c r="P97" i="2" s="1"/>
  <c r="O95" i="2"/>
  <c r="N95" i="2"/>
  <c r="N97" i="2" s="1"/>
  <c r="M95" i="2"/>
  <c r="M97" i="2" s="1"/>
  <c r="L95" i="2"/>
  <c r="L97" i="2" s="1"/>
  <c r="K95" i="2"/>
  <c r="J95" i="2"/>
  <c r="J97" i="2" s="1"/>
  <c r="I95" i="2"/>
  <c r="I97" i="2" s="1"/>
  <c r="H95" i="2"/>
  <c r="H97" i="2" s="1"/>
  <c r="G95" i="2"/>
  <c r="F95" i="2"/>
  <c r="F97" i="2" s="1"/>
  <c r="E95" i="2"/>
  <c r="E97" i="2" s="1"/>
  <c r="D95" i="2"/>
  <c r="D97" i="2" s="1"/>
  <c r="C95" i="2"/>
  <c r="AT6" i="2"/>
  <c r="AT5" i="2"/>
  <c r="AT4" i="2"/>
  <c r="BG29" i="2"/>
  <c r="BE29" i="2"/>
  <c r="BD29" i="2"/>
  <c r="BC29" i="2"/>
  <c r="BA29" i="2"/>
  <c r="AZ29" i="2"/>
  <c r="AY29" i="2"/>
  <c r="BG28" i="2"/>
  <c r="BE28" i="2"/>
  <c r="BD28" i="2"/>
  <c r="BC28" i="2"/>
  <c r="BA28" i="2"/>
  <c r="AZ28" i="2"/>
  <c r="AY28" i="2"/>
  <c r="BG26" i="2"/>
  <c r="BE26" i="2"/>
  <c r="BD26" i="2"/>
  <c r="BC26" i="2"/>
  <c r="BA26" i="2"/>
  <c r="AZ26" i="2"/>
  <c r="AY26" i="2"/>
  <c r="BG25" i="2"/>
  <c r="BE25" i="2"/>
  <c r="BD25" i="2"/>
  <c r="BC25" i="2"/>
  <c r="BA25" i="2"/>
  <c r="AZ25" i="2"/>
  <c r="AY25" i="2"/>
  <c r="BE11" i="2"/>
  <c r="BD11" i="2"/>
  <c r="BC11" i="2"/>
  <c r="BA11" i="2"/>
  <c r="BE10" i="2"/>
  <c r="BD10" i="2"/>
  <c r="BC10" i="2"/>
  <c r="BA10" i="2"/>
  <c r="BE9" i="2"/>
  <c r="BD9" i="2"/>
  <c r="BC9" i="2"/>
  <c r="BA9" i="2"/>
  <c r="BE23" i="2"/>
  <c r="BD23" i="2"/>
  <c r="BC23" i="2"/>
  <c r="BA23" i="2"/>
  <c r="BE30" i="2" s="1"/>
  <c r="BE7" i="2"/>
  <c r="BE15" i="2" s="1"/>
  <c r="BD7" i="2"/>
  <c r="BD16" i="2" s="1"/>
  <c r="BC7" i="2"/>
  <c r="BC15" i="2" s="1"/>
  <c r="BA7" i="2"/>
  <c r="BA15" i="2" s="1"/>
  <c r="AX22" i="2"/>
  <c r="AX21" i="2"/>
  <c r="AX20" i="2"/>
  <c r="AX19" i="2"/>
  <c r="AX18" i="2"/>
  <c r="AX6" i="2"/>
  <c r="AX5" i="2"/>
  <c r="AX4" i="2"/>
  <c r="BB22" i="2"/>
  <c r="BB21" i="2"/>
  <c r="BB20" i="2"/>
  <c r="BB19" i="2"/>
  <c r="BB18" i="2"/>
  <c r="BB6" i="2"/>
  <c r="BB5" i="2"/>
  <c r="BB4" i="2"/>
  <c r="BF22" i="2"/>
  <c r="BF21" i="2"/>
  <c r="BF20" i="2"/>
  <c r="BF19" i="2"/>
  <c r="BF18" i="2"/>
  <c r="BF6" i="2"/>
  <c r="BF5" i="2"/>
  <c r="BF4" i="2"/>
  <c r="BH29" i="2"/>
  <c r="BH28" i="2"/>
  <c r="BH26" i="2"/>
  <c r="BH25" i="2"/>
  <c r="CG14" i="2" l="1"/>
  <c r="BJ52" i="2"/>
  <c r="BJ40" i="2"/>
  <c r="AA97" i="2"/>
  <c r="BY97" i="2" s="1"/>
  <c r="BY95" i="2"/>
  <c r="AY97" i="2"/>
  <c r="CE97" i="2" s="1"/>
  <c r="CE95" i="2"/>
  <c r="BI12" i="2"/>
  <c r="CE82" i="2"/>
  <c r="AI97" i="2"/>
  <c r="CA97" i="2" s="1"/>
  <c r="CA95" i="2"/>
  <c r="S97" i="2"/>
  <c r="BW97" i="2" s="1"/>
  <c r="BW95" i="2"/>
  <c r="O97" i="2"/>
  <c r="BV97" i="2" s="1"/>
  <c r="BV95" i="2"/>
  <c r="W97" i="2"/>
  <c r="BX97" i="2" s="1"/>
  <c r="BX95" i="2"/>
  <c r="AE97" i="2"/>
  <c r="BZ97" i="2" s="1"/>
  <c r="BZ95" i="2"/>
  <c r="AM97" i="2"/>
  <c r="CB97" i="2" s="1"/>
  <c r="CB95" i="2"/>
  <c r="AU97" i="2"/>
  <c r="CD97" i="2" s="1"/>
  <c r="CD95" i="2"/>
  <c r="BC97" i="2"/>
  <c r="CF97" i="2" s="1"/>
  <c r="CF95" i="2"/>
  <c r="AQ97" i="2"/>
  <c r="CC97" i="2" s="1"/>
  <c r="CC95" i="2"/>
  <c r="AX82" i="2"/>
  <c r="CD80" i="2"/>
  <c r="BS40" i="2"/>
  <c r="BU40" i="2"/>
  <c r="BW40" i="2"/>
  <c r="BY40" i="2"/>
  <c r="CA40" i="2"/>
  <c r="BI87" i="2"/>
  <c r="BI40" i="2"/>
  <c r="BI52" i="2"/>
  <c r="K97" i="2"/>
  <c r="BU97" i="2" s="1"/>
  <c r="BU95" i="2"/>
  <c r="G97" i="2"/>
  <c r="BT97" i="2" s="1"/>
  <c r="BT95" i="2"/>
  <c r="C97" i="2"/>
  <c r="BS97" i="2" s="1"/>
  <c r="BS95" i="2"/>
  <c r="D43" i="2"/>
  <c r="D51" i="2"/>
  <c r="AJ43" i="2"/>
  <c r="AJ51" i="2"/>
  <c r="E43" i="2"/>
  <c r="E51" i="2"/>
  <c r="M43" i="2"/>
  <c r="M51" i="2"/>
  <c r="U43" i="2"/>
  <c r="U51" i="2"/>
  <c r="AC43" i="2"/>
  <c r="AC51" i="2"/>
  <c r="AB43" i="2"/>
  <c r="AB51" i="2"/>
  <c r="F43" i="2"/>
  <c r="F51" i="2"/>
  <c r="N43" i="2"/>
  <c r="N51" i="2"/>
  <c r="V43" i="2"/>
  <c r="V51" i="2"/>
  <c r="AD43" i="2"/>
  <c r="AD51" i="2"/>
  <c r="AL43" i="2"/>
  <c r="AL51" i="2"/>
  <c r="G43" i="2"/>
  <c r="G51" i="2"/>
  <c r="O43" i="2"/>
  <c r="O51" i="2"/>
  <c r="W43" i="2"/>
  <c r="W51" i="2"/>
  <c r="AE43" i="2"/>
  <c r="AE51" i="2"/>
  <c r="AK45" i="2"/>
  <c r="AK53" i="2"/>
  <c r="H43" i="2"/>
  <c r="H51" i="2"/>
  <c r="P43" i="2"/>
  <c r="P51" i="2"/>
  <c r="X43" i="2"/>
  <c r="X51" i="2"/>
  <c r="AF43" i="2"/>
  <c r="AF51" i="2"/>
  <c r="L43" i="2"/>
  <c r="L51" i="2"/>
  <c r="BF25" i="2"/>
  <c r="BF28" i="2"/>
  <c r="I43" i="2"/>
  <c r="I51" i="2"/>
  <c r="Q43" i="2"/>
  <c r="Q51" i="2"/>
  <c r="Y43" i="2"/>
  <c r="Y51" i="2"/>
  <c r="AG43" i="2"/>
  <c r="AG51" i="2"/>
  <c r="BF29" i="2"/>
  <c r="CE22" i="2"/>
  <c r="CD22" i="2"/>
  <c r="J43" i="2"/>
  <c r="J51" i="2"/>
  <c r="R43" i="2"/>
  <c r="R51" i="2"/>
  <c r="Z43" i="2"/>
  <c r="Z51" i="2"/>
  <c r="AH43" i="2"/>
  <c r="AH51" i="2"/>
  <c r="T43" i="2"/>
  <c r="T51" i="2"/>
  <c r="BF26" i="2"/>
  <c r="C43" i="2"/>
  <c r="C51" i="2"/>
  <c r="K43" i="2"/>
  <c r="K51" i="2"/>
  <c r="S43" i="2"/>
  <c r="BW43" i="2" s="1"/>
  <c r="S51" i="2"/>
  <c r="AA43" i="2"/>
  <c r="BY43" i="2" s="1"/>
  <c r="AA51" i="2"/>
  <c r="AI43" i="2"/>
  <c r="AI51" i="2"/>
  <c r="BB25" i="2"/>
  <c r="BB28" i="2"/>
  <c r="BB26" i="2"/>
  <c r="BE16" i="2"/>
  <c r="BD15" i="2"/>
  <c r="BE14" i="2"/>
  <c r="BE12" i="2"/>
  <c r="BA14" i="2"/>
  <c r="BA16" i="2"/>
  <c r="BC14" i="2"/>
  <c r="BC16" i="2"/>
  <c r="BB29" i="2"/>
  <c r="BD14" i="2"/>
  <c r="BB11" i="2"/>
  <c r="BB10" i="2"/>
  <c r="BB9" i="2"/>
  <c r="BB23" i="2"/>
  <c r="BB7" i="2"/>
  <c r="CF22" i="2"/>
  <c r="BJ51" i="2" l="1"/>
  <c r="BJ43" i="2"/>
  <c r="BV43" i="2"/>
  <c r="BU43" i="2"/>
  <c r="BZ43" i="2"/>
  <c r="BT43" i="2"/>
  <c r="CE29" i="2"/>
  <c r="BS43" i="2"/>
  <c r="BX43" i="2"/>
  <c r="CF29" i="2"/>
  <c r="CD82" i="2"/>
  <c r="CA43" i="2"/>
  <c r="BI43" i="2"/>
  <c r="BI51" i="2"/>
  <c r="T45" i="2"/>
  <c r="T53" i="2"/>
  <c r="O45" i="2"/>
  <c r="O53" i="2"/>
  <c r="AH45" i="2"/>
  <c r="AH53" i="2"/>
  <c r="AK47" i="2"/>
  <c r="AK54" i="2"/>
  <c r="G45" i="2"/>
  <c r="G53" i="2"/>
  <c r="AI45" i="2"/>
  <c r="AI53" i="2"/>
  <c r="C45" i="2"/>
  <c r="C53" i="2"/>
  <c r="Z45" i="2"/>
  <c r="Z53" i="2"/>
  <c r="Q45" i="2"/>
  <c r="Q53" i="2"/>
  <c r="P45" i="2"/>
  <c r="P53" i="2"/>
  <c r="J45" i="2"/>
  <c r="J53" i="2"/>
  <c r="AD45" i="2"/>
  <c r="AD53" i="2"/>
  <c r="K45" i="2"/>
  <c r="K53" i="2"/>
  <c r="X45" i="2"/>
  <c r="X53" i="2"/>
  <c r="E45" i="2"/>
  <c r="E53" i="2"/>
  <c r="AE45" i="2"/>
  <c r="AE53" i="2"/>
  <c r="N45" i="2"/>
  <c r="N53" i="2"/>
  <c r="AC45" i="2"/>
  <c r="AC53" i="2"/>
  <c r="AJ45" i="2"/>
  <c r="AJ53" i="2"/>
  <c r="AG45" i="2"/>
  <c r="AG53" i="2"/>
  <c r="V45" i="2"/>
  <c r="V53" i="2"/>
  <c r="AA45" i="2"/>
  <c r="AA53" i="2"/>
  <c r="R45" i="2"/>
  <c r="R53" i="2"/>
  <c r="I45" i="2"/>
  <c r="I53" i="2"/>
  <c r="L45" i="2"/>
  <c r="L53" i="2"/>
  <c r="H45" i="2"/>
  <c r="H53" i="2"/>
  <c r="S45" i="2"/>
  <c r="S53" i="2"/>
  <c r="AF45" i="2"/>
  <c r="AF53" i="2"/>
  <c r="M45" i="2"/>
  <c r="M53" i="2"/>
  <c r="Y45" i="2"/>
  <c r="Y53" i="2"/>
  <c r="AB45" i="2"/>
  <c r="AB53" i="2"/>
  <c r="W45" i="2"/>
  <c r="BX45" i="2" s="1"/>
  <c r="BX54" i="2" s="1"/>
  <c r="W53" i="2"/>
  <c r="AL45" i="2"/>
  <c r="AL53" i="2"/>
  <c r="F45" i="2"/>
  <c r="F53" i="2"/>
  <c r="U45" i="2"/>
  <c r="U53" i="2"/>
  <c r="D45" i="2"/>
  <c r="D53" i="2"/>
  <c r="BB15" i="2"/>
  <c r="BB16" i="2"/>
  <c r="BB14" i="2"/>
  <c r="BJ53" i="2" l="1"/>
  <c r="BJ45" i="2"/>
  <c r="BZ45" i="2"/>
  <c r="BZ54" i="2" s="1"/>
  <c r="BS45" i="2"/>
  <c r="BS54" i="2" s="1"/>
  <c r="BY45" i="2"/>
  <c r="BY54" i="2" s="1"/>
  <c r="CA45" i="2"/>
  <c r="CA54" i="2" s="1"/>
  <c r="BV45" i="2"/>
  <c r="BV54" i="2" s="1"/>
  <c r="BW45" i="2"/>
  <c r="BW54" i="2" s="1"/>
  <c r="BU45" i="2"/>
  <c r="BU54" i="2" s="1"/>
  <c r="BT45" i="2"/>
  <c r="BT54" i="2" s="1"/>
  <c r="BI45" i="2"/>
  <c r="BI53" i="2"/>
  <c r="D47" i="2"/>
  <c r="D54" i="2"/>
  <c r="I47" i="2"/>
  <c r="I54" i="2"/>
  <c r="Z47" i="2"/>
  <c r="Z54" i="2"/>
  <c r="AK55" i="2"/>
  <c r="AK92" i="2"/>
  <c r="AK49" i="2"/>
  <c r="AG47" i="2"/>
  <c r="AG54" i="2"/>
  <c r="AJ47" i="2"/>
  <c r="AJ54" i="2"/>
  <c r="W47" i="2"/>
  <c r="BX47" i="2" s="1"/>
  <c r="W54" i="2"/>
  <c r="AD47" i="2"/>
  <c r="AD54" i="2"/>
  <c r="AB47" i="2"/>
  <c r="AB54" i="2"/>
  <c r="E47" i="2"/>
  <c r="E54" i="2"/>
  <c r="AH47" i="2"/>
  <c r="AH54" i="2"/>
  <c r="F47" i="2"/>
  <c r="F54" i="2"/>
  <c r="AA47" i="2"/>
  <c r="AA54" i="2"/>
  <c r="X47" i="2"/>
  <c r="X54" i="2"/>
  <c r="P47" i="2"/>
  <c r="P54" i="2"/>
  <c r="AI47" i="2"/>
  <c r="AI54" i="2"/>
  <c r="O47" i="2"/>
  <c r="BV47" i="2" s="1"/>
  <c r="O54" i="2"/>
  <c r="AF47" i="2"/>
  <c r="AF54" i="2"/>
  <c r="U47" i="2"/>
  <c r="U54" i="2"/>
  <c r="R47" i="2"/>
  <c r="R54" i="2"/>
  <c r="C47" i="2"/>
  <c r="BS47" i="2" s="1"/>
  <c r="C54" i="2"/>
  <c r="Y47" i="2"/>
  <c r="Y54" i="2"/>
  <c r="H47" i="2"/>
  <c r="H54" i="2"/>
  <c r="AC47" i="2"/>
  <c r="AC54" i="2"/>
  <c r="AE47" i="2"/>
  <c r="BZ47" i="2" s="1"/>
  <c r="AE54" i="2"/>
  <c r="S47" i="2"/>
  <c r="S54" i="2"/>
  <c r="J47" i="2"/>
  <c r="J54" i="2"/>
  <c r="AL47" i="2"/>
  <c r="AL54" i="2"/>
  <c r="M47" i="2"/>
  <c r="M54" i="2"/>
  <c r="L47" i="2"/>
  <c r="L54" i="2"/>
  <c r="V47" i="2"/>
  <c r="V54" i="2"/>
  <c r="N47" i="2"/>
  <c r="N54" i="2"/>
  <c r="K47" i="2"/>
  <c r="BU47" i="2" s="1"/>
  <c r="K54" i="2"/>
  <c r="Q47" i="2"/>
  <c r="Q54" i="2"/>
  <c r="G47" i="2"/>
  <c r="BT47" i="2" s="1"/>
  <c r="G54" i="2"/>
  <c r="T47" i="2"/>
  <c r="T54" i="2"/>
  <c r="BG23" i="2"/>
  <c r="BG30" i="2" s="1"/>
  <c r="BF23" i="2"/>
  <c r="BF30" i="2" s="1"/>
  <c r="AZ23" i="2"/>
  <c r="AY23" i="2"/>
  <c r="AX23" i="2"/>
  <c r="BB30" i="2" s="1"/>
  <c r="AW23" i="2"/>
  <c r="AV23" i="2"/>
  <c r="AU23" i="2"/>
  <c r="BH23" i="2"/>
  <c r="BG11" i="2"/>
  <c r="BF11" i="2"/>
  <c r="AZ11" i="2"/>
  <c r="AY11" i="2"/>
  <c r="AX11" i="2"/>
  <c r="AW11" i="2"/>
  <c r="AV11" i="2"/>
  <c r="AU11" i="2"/>
  <c r="AT11" i="2"/>
  <c r="AS11" i="2"/>
  <c r="AR11" i="2"/>
  <c r="AQ11" i="2"/>
  <c r="BG10" i="2"/>
  <c r="BF10" i="2"/>
  <c r="AZ10" i="2"/>
  <c r="AY10" i="2"/>
  <c r="AX10" i="2"/>
  <c r="AW10" i="2"/>
  <c r="AV10" i="2"/>
  <c r="AU10" i="2"/>
  <c r="AT10" i="2"/>
  <c r="AS10" i="2"/>
  <c r="AR10" i="2"/>
  <c r="AQ10" i="2"/>
  <c r="BG9" i="2"/>
  <c r="BF9" i="2"/>
  <c r="AZ9" i="2"/>
  <c r="AY9" i="2"/>
  <c r="AX9" i="2"/>
  <c r="AW9" i="2"/>
  <c r="AV9" i="2"/>
  <c r="AU9" i="2"/>
  <c r="AT9" i="2"/>
  <c r="AS9" i="2"/>
  <c r="AR9" i="2"/>
  <c r="AQ9" i="2"/>
  <c r="BJ47" i="2" l="1"/>
  <c r="BJ54" i="2"/>
  <c r="BU92" i="2"/>
  <c r="BS92" i="2"/>
  <c r="BV92" i="2"/>
  <c r="BY47" i="2"/>
  <c r="BT92" i="2"/>
  <c r="BX92" i="2"/>
  <c r="BW47" i="2"/>
  <c r="BI33" i="2"/>
  <c r="BI32" i="2"/>
  <c r="BI36" i="2"/>
  <c r="BI34" i="2"/>
  <c r="BI35" i="2"/>
  <c r="CF36" i="2"/>
  <c r="CE36" i="2"/>
  <c r="CD36" i="2"/>
  <c r="BZ92" i="2"/>
  <c r="CA47" i="2"/>
  <c r="BI47" i="2"/>
  <c r="BI54" i="2"/>
  <c r="N55" i="2"/>
  <c r="N49" i="2"/>
  <c r="N92" i="2"/>
  <c r="AI55" i="2"/>
  <c r="AI49" i="2"/>
  <c r="CA49" i="2" s="1"/>
  <c r="AI92" i="2"/>
  <c r="T55" i="2"/>
  <c r="T49" i="2"/>
  <c r="T92" i="2"/>
  <c r="R55" i="2"/>
  <c r="R49" i="2"/>
  <c r="R92" i="2"/>
  <c r="F55" i="2"/>
  <c r="F92" i="2"/>
  <c r="F49" i="2"/>
  <c r="AD55" i="2"/>
  <c r="AD92" i="2"/>
  <c r="AD49" i="2"/>
  <c r="G55" i="2"/>
  <c r="G49" i="2"/>
  <c r="G92" i="2"/>
  <c r="V55" i="2"/>
  <c r="V49" i="2"/>
  <c r="V92" i="2"/>
  <c r="J55" i="2"/>
  <c r="J49" i="2"/>
  <c r="J92" i="2"/>
  <c r="H55" i="2"/>
  <c r="H49" i="2"/>
  <c r="H92" i="2"/>
  <c r="U55" i="2"/>
  <c r="U49" i="2"/>
  <c r="U92" i="2"/>
  <c r="P55" i="2"/>
  <c r="P92" i="2"/>
  <c r="P49" i="2"/>
  <c r="AH55" i="2"/>
  <c r="AH49" i="2"/>
  <c r="AH92" i="2"/>
  <c r="W55" i="2"/>
  <c r="W49" i="2"/>
  <c r="BX49" i="2" s="1"/>
  <c r="W92" i="2"/>
  <c r="L55" i="2"/>
  <c r="L49" i="2"/>
  <c r="L92" i="2"/>
  <c r="S55" i="2"/>
  <c r="S49" i="2"/>
  <c r="BW49" i="2" s="1"/>
  <c r="S92" i="2"/>
  <c r="Y55" i="2"/>
  <c r="Y92" i="2"/>
  <c r="Y49" i="2"/>
  <c r="AF55" i="2"/>
  <c r="AF92" i="2"/>
  <c r="AF49" i="2"/>
  <c r="X55" i="2"/>
  <c r="X49" i="2"/>
  <c r="X92" i="2"/>
  <c r="E55" i="2"/>
  <c r="E92" i="2"/>
  <c r="E49" i="2"/>
  <c r="AJ55" i="2"/>
  <c r="AJ49" i="2"/>
  <c r="AJ92" i="2"/>
  <c r="AC55" i="2"/>
  <c r="AC49" i="2"/>
  <c r="AC92" i="2"/>
  <c r="Q55" i="2"/>
  <c r="Q49" i="2"/>
  <c r="Q92" i="2"/>
  <c r="I55" i="2"/>
  <c r="I92" i="2"/>
  <c r="I49" i="2"/>
  <c r="AL55" i="2"/>
  <c r="AL92" i="2"/>
  <c r="AL49" i="2"/>
  <c r="BD36" i="2"/>
  <c r="AV36" i="2"/>
  <c r="BA35" i="2"/>
  <c r="BC33" i="2"/>
  <c r="AU33" i="2"/>
  <c r="AZ32" i="2"/>
  <c r="BH34" i="2"/>
  <c r="BC36" i="2"/>
  <c r="AU36" i="2"/>
  <c r="AZ35" i="2"/>
  <c r="BE34" i="2"/>
  <c r="AW34" i="2"/>
  <c r="BG32" i="2"/>
  <c r="AY32" i="2"/>
  <c r="BH33" i="2"/>
  <c r="AZ36" i="2"/>
  <c r="AW35" i="2"/>
  <c r="BG33" i="2"/>
  <c r="AV32" i="2"/>
  <c r="BG35" i="2"/>
  <c r="AY35" i="2"/>
  <c r="BD34" i="2"/>
  <c r="AV34" i="2"/>
  <c r="BA33" i="2"/>
  <c r="BH32" i="2"/>
  <c r="BE35" i="2"/>
  <c r="AY33" i="2"/>
  <c r="BH35" i="2"/>
  <c r="BA36" i="2"/>
  <c r="BC34" i="2"/>
  <c r="AU34" i="2"/>
  <c r="AZ33" i="2"/>
  <c r="BE32" i="2"/>
  <c r="AW32" i="2"/>
  <c r="BD32" i="2"/>
  <c r="BG36" i="2"/>
  <c r="AY36" i="2"/>
  <c r="BD35" i="2"/>
  <c r="AV35" i="2"/>
  <c r="BA34" i="2"/>
  <c r="BC32" i="2"/>
  <c r="AU32" i="2"/>
  <c r="BE36" i="2"/>
  <c r="AY34" i="2"/>
  <c r="AV33" i="2"/>
  <c r="BC35" i="2"/>
  <c r="AU35" i="2"/>
  <c r="AZ34" i="2"/>
  <c r="BE33" i="2"/>
  <c r="AW33" i="2"/>
  <c r="BH36" i="2"/>
  <c r="AW36" i="2"/>
  <c r="BG34" i="2"/>
  <c r="BD33" i="2"/>
  <c r="BA32" i="2"/>
  <c r="AX34" i="2"/>
  <c r="AX35" i="2"/>
  <c r="BF32" i="2"/>
  <c r="AX36" i="2"/>
  <c r="BB36" i="2"/>
  <c r="BB32" i="2"/>
  <c r="BF34" i="2"/>
  <c r="BF35" i="2"/>
  <c r="BB33" i="2"/>
  <c r="BF36" i="2"/>
  <c r="BF33" i="2"/>
  <c r="BB34" i="2"/>
  <c r="AX33" i="2"/>
  <c r="AX32" i="2"/>
  <c r="BB35" i="2"/>
  <c r="K55" i="2"/>
  <c r="K49" i="2"/>
  <c r="K92" i="2"/>
  <c r="M55" i="2"/>
  <c r="M49" i="2"/>
  <c r="M92" i="2"/>
  <c r="AE55" i="2"/>
  <c r="AE92" i="2"/>
  <c r="AE49" i="2"/>
  <c r="C55" i="2"/>
  <c r="C49" i="2"/>
  <c r="C92" i="2"/>
  <c r="O55" i="2"/>
  <c r="O49" i="2"/>
  <c r="BV49" i="2" s="1"/>
  <c r="O92" i="2"/>
  <c r="AA55" i="2"/>
  <c r="AA49" i="2"/>
  <c r="AA92" i="2"/>
  <c r="AB55" i="2"/>
  <c r="AB49" i="2"/>
  <c r="AB92" i="2"/>
  <c r="AG55" i="2"/>
  <c r="AG49" i="2"/>
  <c r="AG92" i="2"/>
  <c r="Z55" i="2"/>
  <c r="Z49" i="2"/>
  <c r="Z92" i="2"/>
  <c r="D55" i="2"/>
  <c r="D92" i="2"/>
  <c r="D49" i="2"/>
  <c r="AY30" i="2"/>
  <c r="BC30" i="2"/>
  <c r="BA30" i="2"/>
  <c r="AZ30" i="2"/>
  <c r="BD30" i="2"/>
  <c r="BH30" i="2"/>
  <c r="BJ92" i="2" l="1"/>
  <c r="BJ49" i="2"/>
  <c r="BJ90" i="2"/>
  <c r="BJ89" i="2"/>
  <c r="BJ55" i="2"/>
  <c r="CA92" i="2"/>
  <c r="BY92" i="2"/>
  <c r="BS49" i="2"/>
  <c r="BT49" i="2"/>
  <c r="BU49" i="2"/>
  <c r="BW92" i="2"/>
  <c r="BY49" i="2"/>
  <c r="BZ49" i="2"/>
  <c r="BI89" i="2"/>
  <c r="BI49" i="2"/>
  <c r="BI92" i="2"/>
  <c r="BI90" i="2"/>
  <c r="BI55" i="2"/>
  <c r="BH11" i="2"/>
  <c r="BH10" i="2"/>
  <c r="BH9" i="2"/>
  <c r="BG7" i="2"/>
  <c r="BF7" i="2"/>
  <c r="AZ7" i="2"/>
  <c r="BD12" i="2" s="1"/>
  <c r="AY7" i="2"/>
  <c r="BC12" i="2" s="1"/>
  <c r="AX7" i="2"/>
  <c r="BB12" i="2" s="1"/>
  <c r="AW7" i="2"/>
  <c r="BA12" i="2" s="1"/>
  <c r="AV7" i="2"/>
  <c r="AU7" i="2"/>
  <c r="AT7" i="2"/>
  <c r="AS7" i="2"/>
  <c r="AR7" i="2"/>
  <c r="AR38" i="2" s="1"/>
  <c r="AR52" i="2" s="1"/>
  <c r="AQ7" i="2"/>
  <c r="AQ38" i="2" s="1"/>
  <c r="AQ52" i="2" s="1"/>
  <c r="AP7" i="2"/>
  <c r="AP38" i="2" s="1"/>
  <c r="AO7" i="2"/>
  <c r="AO38" i="2" s="1"/>
  <c r="AN7" i="2"/>
  <c r="AN38" i="2" s="1"/>
  <c r="AM7" i="2"/>
  <c r="AM38" i="2" s="1"/>
  <c r="BH7" i="2"/>
  <c r="M275" i="3"/>
  <c r="M276" i="3" s="1"/>
  <c r="M277" i="3" s="1"/>
  <c r="M278" i="3" s="1"/>
  <c r="M279" i="3" s="1"/>
  <c r="M280" i="3" s="1"/>
  <c r="M281" i="3" s="1"/>
  <c r="M282" i="3" s="1"/>
  <c r="M283" i="3" s="1"/>
  <c r="M284" i="3" s="1"/>
  <c r="M285" i="3" s="1"/>
  <c r="M286" i="3" s="1"/>
  <c r="M287" i="3" s="1"/>
  <c r="M288" i="3" s="1"/>
  <c r="M289" i="3" s="1"/>
  <c r="M290" i="3" s="1"/>
  <c r="M291" i="3" s="1"/>
  <c r="M292" i="3" s="1"/>
  <c r="M293" i="3" s="1"/>
  <c r="M294" i="3" s="1"/>
  <c r="M295" i="3" s="1"/>
  <c r="M296" i="3" s="1"/>
  <c r="M297" i="3" s="1"/>
  <c r="M298" i="3" s="1"/>
  <c r="M299" i="3" s="1"/>
  <c r="M300" i="3" s="1"/>
  <c r="M301" i="3" s="1"/>
  <c r="M302" i="3" s="1"/>
  <c r="M303" i="3" s="1"/>
  <c r="M304" i="3" s="1"/>
  <c r="M305" i="3" s="1"/>
  <c r="M306" i="3" s="1"/>
  <c r="M307" i="3" s="1"/>
  <c r="M308" i="3" s="1"/>
  <c r="M309" i="3" s="1"/>
  <c r="M310" i="3" s="1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273" i="3"/>
  <c r="M272" i="3" s="1"/>
  <c r="M271" i="3" s="1"/>
  <c r="M270" i="3" s="1"/>
  <c r="M269" i="3" s="1"/>
  <c r="M268" i="3" s="1"/>
  <c r="M267" i="3" s="1"/>
  <c r="M266" i="3" s="1"/>
  <c r="M265" i="3" s="1"/>
  <c r="M264" i="3" s="1"/>
  <c r="M263" i="3" s="1"/>
  <c r="M262" i="3" s="1"/>
  <c r="M261" i="3" s="1"/>
  <c r="M260" i="3" s="1"/>
  <c r="M259" i="3" s="1"/>
  <c r="M258" i="3" s="1"/>
  <c r="M257" i="3" s="1"/>
  <c r="M256" i="3" s="1"/>
  <c r="M255" i="3" s="1"/>
  <c r="M254" i="3" s="1"/>
  <c r="M253" i="3" s="1"/>
  <c r="M252" i="3" s="1"/>
  <c r="M251" i="3" s="1"/>
  <c r="M250" i="3" s="1"/>
  <c r="M249" i="3" s="1"/>
  <c r="M248" i="3" s="1"/>
  <c r="M247" i="3" s="1"/>
  <c r="M246" i="3" s="1"/>
  <c r="M245" i="3" s="1"/>
  <c r="M244" i="3" s="1"/>
  <c r="M243" i="3" s="1"/>
  <c r="M242" i="3" s="1"/>
  <c r="M241" i="3" s="1"/>
  <c r="M240" i="3" s="1"/>
  <c r="M239" i="3" s="1"/>
  <c r="M238" i="3" s="1"/>
  <c r="M237" i="3" s="1"/>
  <c r="M236" i="3" s="1"/>
  <c r="M235" i="3" s="1"/>
  <c r="M234" i="3" s="1"/>
  <c r="M233" i="3" s="1"/>
  <c r="M232" i="3" s="1"/>
  <c r="M231" i="3" s="1"/>
  <c r="M230" i="3" s="1"/>
  <c r="M229" i="3" s="1"/>
  <c r="M228" i="3" s="1"/>
  <c r="M227" i="3" s="1"/>
  <c r="M226" i="3" s="1"/>
  <c r="M225" i="3" s="1"/>
  <c r="M224" i="3" s="1"/>
  <c r="M223" i="3" s="1"/>
  <c r="M222" i="3" s="1"/>
  <c r="M221" i="3" s="1"/>
  <c r="M220" i="3" s="1"/>
  <c r="M219" i="3" s="1"/>
  <c r="M218" i="3" s="1"/>
  <c r="M217" i="3" s="1"/>
  <c r="M216" i="3" s="1"/>
  <c r="M215" i="3" s="1"/>
  <c r="M214" i="3" s="1"/>
  <c r="M213" i="3" s="1"/>
  <c r="M212" i="3" s="1"/>
  <c r="AM12" i="2" l="1"/>
  <c r="AM52" i="2"/>
  <c r="AN12" i="2"/>
  <c r="AN52" i="2"/>
  <c r="AO12" i="2"/>
  <c r="AO52" i="2"/>
  <c r="AP52" i="2"/>
  <c r="AP12" i="2"/>
  <c r="AW12" i="2"/>
  <c r="AW15" i="2"/>
  <c r="AW16" i="2"/>
  <c r="AW14" i="2"/>
  <c r="AR16" i="2"/>
  <c r="AR14" i="2"/>
  <c r="AR12" i="2"/>
  <c r="AR15" i="2"/>
  <c r="AZ12" i="2"/>
  <c r="AZ15" i="2"/>
  <c r="AZ16" i="2"/>
  <c r="AZ14" i="2"/>
  <c r="AO16" i="2"/>
  <c r="AO15" i="2"/>
  <c r="AO14" i="2"/>
  <c r="AS16" i="2"/>
  <c r="AS14" i="2"/>
  <c r="AS15" i="2"/>
  <c r="AS12" i="2"/>
  <c r="AY12" i="2"/>
  <c r="AY15" i="2"/>
  <c r="AY16" i="2"/>
  <c r="AY14" i="2"/>
  <c r="AM15" i="2"/>
  <c r="AM16" i="2"/>
  <c r="AM14" i="2"/>
  <c r="AU16" i="2"/>
  <c r="AU14" i="2"/>
  <c r="AU12" i="2"/>
  <c r="AU15" i="2"/>
  <c r="AQ12" i="2"/>
  <c r="AQ15" i="2"/>
  <c r="AQ16" i="2"/>
  <c r="AQ14" i="2"/>
  <c r="AN14" i="2"/>
  <c r="AN15" i="2"/>
  <c r="AN16" i="2"/>
  <c r="AV16" i="2"/>
  <c r="AV14" i="2"/>
  <c r="AV12" i="2"/>
  <c r="AV15" i="2"/>
  <c r="AP14" i="2"/>
  <c r="AP16" i="2"/>
  <c r="AP15" i="2"/>
  <c r="AT16" i="2"/>
  <c r="AT14" i="2"/>
  <c r="AT15" i="2"/>
  <c r="AT12" i="2"/>
  <c r="AX16" i="2"/>
  <c r="AX15" i="2"/>
  <c r="AX14" i="2"/>
  <c r="AX12" i="2"/>
  <c r="BF12" i="2"/>
  <c r="BF14" i="2"/>
  <c r="BF15" i="2"/>
  <c r="BF16" i="2"/>
  <c r="BG12" i="2"/>
  <c r="BG14" i="2"/>
  <c r="BG16" i="2"/>
  <c r="BG15" i="2"/>
  <c r="BH38" i="2"/>
  <c r="BH87" i="2" s="1"/>
  <c r="BH15" i="2"/>
  <c r="BH14" i="2"/>
  <c r="BH16" i="2"/>
  <c r="BH12" i="2"/>
  <c r="M211" i="3"/>
  <c r="BH40" i="2" l="1"/>
  <c r="BH52" i="2"/>
  <c r="BH43" i="2"/>
  <c r="BH51" i="2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7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442" i="3"/>
  <c r="L204" i="3" l="1"/>
  <c r="BH45" i="2"/>
  <c r="BH53" i="2"/>
  <c r="L200" i="3"/>
  <c r="L201" i="3"/>
  <c r="L202" i="3"/>
  <c r="L203" i="3"/>
  <c r="BH47" i="2" l="1"/>
  <c r="BH54" i="2"/>
  <c r="N274" i="3"/>
  <c r="N291" i="3"/>
  <c r="N299" i="3"/>
  <c r="N307" i="3"/>
  <c r="N251" i="3"/>
  <c r="N315" i="3"/>
  <c r="N267" i="3"/>
  <c r="N323" i="3"/>
  <c r="N212" i="3"/>
  <c r="N314" i="3"/>
  <c r="N297" i="3"/>
  <c r="N233" i="3"/>
  <c r="N258" i="3"/>
  <c r="N288" i="3"/>
  <c r="N224" i="3"/>
  <c r="N335" i="3"/>
  <c r="N271" i="3"/>
  <c r="N334" i="3"/>
  <c r="N270" i="3"/>
  <c r="N333" i="3"/>
  <c r="N269" i="3"/>
  <c r="N242" i="3"/>
  <c r="N276" i="3"/>
  <c r="N283" i="3"/>
  <c r="N290" i="3"/>
  <c r="N289" i="3"/>
  <c r="N225" i="3"/>
  <c r="N218" i="3"/>
  <c r="N280" i="3"/>
  <c r="N216" i="3"/>
  <c r="N327" i="3"/>
  <c r="N326" i="3"/>
  <c r="N262" i="3"/>
  <c r="N325" i="3"/>
  <c r="N261" i="3"/>
  <c r="N332" i="3"/>
  <c r="N268" i="3"/>
  <c r="N275" i="3"/>
  <c r="N250" i="3"/>
  <c r="N281" i="3"/>
  <c r="N217" i="3"/>
  <c r="N336" i="3"/>
  <c r="N272" i="3"/>
  <c r="N255" i="3"/>
  <c r="N254" i="3"/>
  <c r="N253" i="3"/>
  <c r="N337" i="3"/>
  <c r="N273" i="3"/>
  <c r="N328" i="3"/>
  <c r="N235" i="3"/>
  <c r="N247" i="3"/>
  <c r="N246" i="3"/>
  <c r="N245" i="3"/>
  <c r="N252" i="3"/>
  <c r="N265" i="3"/>
  <c r="N320" i="3"/>
  <c r="N322" i="3"/>
  <c r="N239" i="3"/>
  <c r="N238" i="3"/>
  <c r="N237" i="3"/>
  <c r="N244" i="3"/>
  <c r="N257" i="3"/>
  <c r="N312" i="3"/>
  <c r="N298" i="3"/>
  <c r="N231" i="3"/>
  <c r="N230" i="3"/>
  <c r="N229" i="3"/>
  <c r="N236" i="3"/>
  <c r="N259" i="3"/>
  <c r="N249" i="3"/>
  <c r="N304" i="3"/>
  <c r="N266" i="3"/>
  <c r="N223" i="3"/>
  <c r="N222" i="3"/>
  <c r="N221" i="3"/>
  <c r="N228" i="3"/>
  <c r="N305" i="3"/>
  <c r="N241" i="3"/>
  <c r="N296" i="3"/>
  <c r="N234" i="3"/>
  <c r="N215" i="3"/>
  <c r="N214" i="3"/>
  <c r="N220" i="3"/>
  <c r="N263" i="3"/>
  <c r="N319" i="3"/>
  <c r="N318" i="3"/>
  <c r="N317" i="3"/>
  <c r="N324" i="3"/>
  <c r="N260" i="3"/>
  <c r="N226" i="3"/>
  <c r="N243" i="3"/>
  <c r="N264" i="3"/>
  <c r="N311" i="3"/>
  <c r="N310" i="3"/>
  <c r="N309" i="3"/>
  <c r="N316" i="3"/>
  <c r="N331" i="3"/>
  <c r="N329" i="3"/>
  <c r="N227" i="3"/>
  <c r="N256" i="3"/>
  <c r="N303" i="3"/>
  <c r="N302" i="3"/>
  <c r="N301" i="3"/>
  <c r="N308" i="3"/>
  <c r="N321" i="3"/>
  <c r="N330" i="3"/>
  <c r="N248" i="3"/>
  <c r="N295" i="3"/>
  <c r="N294" i="3"/>
  <c r="N293" i="3"/>
  <c r="N300" i="3"/>
  <c r="N313" i="3"/>
  <c r="N306" i="3"/>
  <c r="N240" i="3"/>
  <c r="N287" i="3"/>
  <c r="N286" i="3"/>
  <c r="N285" i="3"/>
  <c r="N292" i="3"/>
  <c r="N219" i="3"/>
  <c r="N282" i="3"/>
  <c r="N232" i="3"/>
  <c r="N279" i="3"/>
  <c r="N278" i="3"/>
  <c r="N277" i="3"/>
  <c r="N213" i="3"/>
  <c r="N284" i="3"/>
  <c r="N211" i="3"/>
  <c r="CQ64" i="2"/>
  <c r="CQ68" i="2"/>
  <c r="BF38" i="2"/>
  <c r="BF87" i="2" s="1"/>
  <c r="BE38" i="2"/>
  <c r="BD38" i="2"/>
  <c r="BD87" i="2" s="1"/>
  <c r="BC38" i="2"/>
  <c r="BC87" i="2" s="1"/>
  <c r="BB38" i="2"/>
  <c r="BB87" i="2" s="1"/>
  <c r="BA38" i="2"/>
  <c r="BA87" i="2" s="1"/>
  <c r="AZ38" i="2"/>
  <c r="AZ87" i="2" s="1"/>
  <c r="AY38" i="2"/>
  <c r="AY87" i="2" s="1"/>
  <c r="AX38" i="2"/>
  <c r="AX87" i="2" s="1"/>
  <c r="AW38" i="2"/>
  <c r="AV38" i="2"/>
  <c r="AU38" i="2"/>
  <c r="AT38" i="2"/>
  <c r="AS38" i="2"/>
  <c r="AR40" i="2"/>
  <c r="AQ40" i="2"/>
  <c r="AP40" i="2"/>
  <c r="AN40" i="2"/>
  <c r="AM40" i="2"/>
  <c r="BG38" i="2"/>
  <c r="BG87" i="2" s="1"/>
  <c r="CD57" i="2"/>
  <c r="CE57" i="2"/>
  <c r="CF57" i="2"/>
  <c r="CA38" i="2"/>
  <c r="BZ38" i="2"/>
  <c r="BY38" i="2"/>
  <c r="BX38" i="2"/>
  <c r="BW38" i="2"/>
  <c r="BV38" i="2"/>
  <c r="BU38" i="2"/>
  <c r="BT38" i="2"/>
  <c r="BS38" i="2"/>
  <c r="CF21" i="2"/>
  <c r="CE21" i="2"/>
  <c r="CD21" i="2"/>
  <c r="CD35" i="2" s="1"/>
  <c r="CF20" i="2"/>
  <c r="CF34" i="2" s="1"/>
  <c r="CE20" i="2"/>
  <c r="CE34" i="2" s="1"/>
  <c r="CD20" i="2"/>
  <c r="CD34" i="2" s="1"/>
  <c r="CF19" i="2"/>
  <c r="CE19" i="2"/>
  <c r="CD19" i="2"/>
  <c r="CD33" i="2" s="1"/>
  <c r="CF18" i="2"/>
  <c r="CE18" i="2"/>
  <c r="CD18" i="2"/>
  <c r="CF7" i="2"/>
  <c r="CE7" i="2"/>
  <c r="CD7" i="2"/>
  <c r="CC7" i="2"/>
  <c r="CB7" i="2"/>
  <c r="CF6" i="2"/>
  <c r="CE6" i="2"/>
  <c r="CE16" i="2" s="1"/>
  <c r="CD6" i="2"/>
  <c r="CD16" i="2" s="1"/>
  <c r="CC6" i="2"/>
  <c r="CC16" i="2" s="1"/>
  <c r="CB6" i="2"/>
  <c r="CF5" i="2"/>
  <c r="CE5" i="2"/>
  <c r="CE15" i="2" s="1"/>
  <c r="CD5" i="2"/>
  <c r="CC5" i="2"/>
  <c r="CC15" i="2" s="1"/>
  <c r="CB5" i="2"/>
  <c r="CB15" i="2" s="1"/>
  <c r="CC4" i="2"/>
  <c r="CC14" i="2" s="1"/>
  <c r="CE4" i="2"/>
  <c r="CE14" i="2" s="1"/>
  <c r="CF4" i="2"/>
  <c r="CD4" i="2"/>
  <c r="CB4" i="2"/>
  <c r="CB14" i="2" s="1"/>
  <c r="BT3" i="2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L205" i="3"/>
  <c r="C5" i="1"/>
  <c r="BV12" i="2" l="1"/>
  <c r="BV52" i="2"/>
  <c r="BV51" i="2"/>
  <c r="BV53" i="2"/>
  <c r="BV55" i="2"/>
  <c r="BW12" i="2"/>
  <c r="BW52" i="2"/>
  <c r="BW53" i="2"/>
  <c r="BW51" i="2"/>
  <c r="BW55" i="2"/>
  <c r="CE32" i="2"/>
  <c r="CE23" i="2"/>
  <c r="CE25" i="2"/>
  <c r="BX12" i="2"/>
  <c r="BX52" i="2"/>
  <c r="BX51" i="2"/>
  <c r="BX53" i="2"/>
  <c r="BX55" i="2"/>
  <c r="CF25" i="2"/>
  <c r="CF23" i="2"/>
  <c r="CF30" i="2" s="1"/>
  <c r="CF32" i="2"/>
  <c r="BY12" i="2"/>
  <c r="BY52" i="2"/>
  <c r="BY53" i="2"/>
  <c r="BY51" i="2"/>
  <c r="BY55" i="2"/>
  <c r="BE52" i="2"/>
  <c r="BE87" i="2"/>
  <c r="CD15" i="2"/>
  <c r="CF35" i="2"/>
  <c r="CF28" i="2"/>
  <c r="BZ12" i="2"/>
  <c r="BZ52" i="2"/>
  <c r="BZ51" i="2"/>
  <c r="BZ53" i="2"/>
  <c r="BZ55" i="2"/>
  <c r="CE33" i="2"/>
  <c r="CE26" i="2"/>
  <c r="BS52" i="2"/>
  <c r="BS51" i="2"/>
  <c r="BS53" i="2"/>
  <c r="BS55" i="2"/>
  <c r="CA12" i="2"/>
  <c r="CA52" i="2"/>
  <c r="CA51" i="2"/>
  <c r="CA53" i="2"/>
  <c r="CA55" i="2"/>
  <c r="CD84" i="2"/>
  <c r="CD86" i="2"/>
  <c r="CD85" i="2"/>
  <c r="CE28" i="2"/>
  <c r="CE35" i="2"/>
  <c r="CD23" i="2"/>
  <c r="CD32" i="2"/>
  <c r="CF16" i="2"/>
  <c r="CD14" i="2"/>
  <c r="CI5" i="2"/>
  <c r="CJ5" i="2" s="1"/>
  <c r="CK5" i="2" s="1"/>
  <c r="CL5" i="2" s="1"/>
  <c r="CM5" i="2" s="1"/>
  <c r="CN5" i="2" s="1"/>
  <c r="CO5" i="2" s="1"/>
  <c r="CP5" i="2" s="1"/>
  <c r="CQ5" i="2" s="1"/>
  <c r="CF15" i="2"/>
  <c r="CF26" i="2"/>
  <c r="CF33" i="2"/>
  <c r="BT52" i="2"/>
  <c r="BT12" i="2"/>
  <c r="BT51" i="2"/>
  <c r="BT53" i="2"/>
  <c r="BT55" i="2"/>
  <c r="CF86" i="2"/>
  <c r="CF84" i="2"/>
  <c r="CJ62" i="2"/>
  <c r="CL62" i="2" s="1"/>
  <c r="CF85" i="2"/>
  <c r="CI4" i="2"/>
  <c r="CJ4" i="2" s="1"/>
  <c r="CK4" i="2" s="1"/>
  <c r="CL4" i="2" s="1"/>
  <c r="CM4" i="2" s="1"/>
  <c r="CN4" i="2" s="1"/>
  <c r="CO4" i="2" s="1"/>
  <c r="CP4" i="2" s="1"/>
  <c r="CQ4" i="2" s="1"/>
  <c r="CF14" i="2"/>
  <c r="CB16" i="2"/>
  <c r="BU12" i="2"/>
  <c r="BU52" i="2"/>
  <c r="BU51" i="2"/>
  <c r="BU53" i="2"/>
  <c r="BU55" i="2"/>
  <c r="CE86" i="2"/>
  <c r="CE85" i="2"/>
  <c r="CE84" i="2"/>
  <c r="CI62" i="2"/>
  <c r="BH90" i="2"/>
  <c r="BH89" i="2"/>
  <c r="C8" i="1"/>
  <c r="CL65" i="2"/>
  <c r="BD40" i="2"/>
  <c r="BD52" i="2"/>
  <c r="AN43" i="2"/>
  <c r="AN51" i="2"/>
  <c r="AW40" i="2"/>
  <c r="AW52" i="2"/>
  <c r="AM43" i="2"/>
  <c r="AM51" i="2"/>
  <c r="AV40" i="2"/>
  <c r="AV51" i="2" s="1"/>
  <c r="AV52" i="2"/>
  <c r="AP43" i="2"/>
  <c r="AP51" i="2"/>
  <c r="AX40" i="2"/>
  <c r="AX52" i="2"/>
  <c r="BF40" i="2"/>
  <c r="BF52" i="2"/>
  <c r="AY40" i="2"/>
  <c r="CE40" i="2" s="1"/>
  <c r="CE51" i="2" s="1"/>
  <c r="AY52" i="2"/>
  <c r="AR43" i="2"/>
  <c r="AR51" i="2"/>
  <c r="AZ40" i="2"/>
  <c r="AZ52" i="2"/>
  <c r="AQ43" i="2"/>
  <c r="AQ51" i="2"/>
  <c r="AS40" i="2"/>
  <c r="CC40" i="2" s="1"/>
  <c r="CC51" i="2" s="1"/>
  <c r="AS52" i="2"/>
  <c r="BA40" i="2"/>
  <c r="BA52" i="2"/>
  <c r="AT40" i="2"/>
  <c r="AT52" i="2"/>
  <c r="BB40" i="2"/>
  <c r="BB52" i="2"/>
  <c r="BG40" i="2"/>
  <c r="BG52" i="2"/>
  <c r="AU40" i="2"/>
  <c r="AU52" i="2"/>
  <c r="BC40" i="2"/>
  <c r="BC52" i="2"/>
  <c r="BH55" i="2"/>
  <c r="BH92" i="2"/>
  <c r="BH49" i="2"/>
  <c r="AV43" i="2"/>
  <c r="CE11" i="2"/>
  <c r="CE12" i="2"/>
  <c r="CC10" i="2"/>
  <c r="CD10" i="2"/>
  <c r="CC11" i="2"/>
  <c r="CC12" i="2"/>
  <c r="CB38" i="2"/>
  <c r="CD38" i="2"/>
  <c r="CF38" i="2"/>
  <c r="CE10" i="2"/>
  <c r="CD11" i="2"/>
  <c r="CD12" i="2"/>
  <c r="CF11" i="2"/>
  <c r="CF12" i="2"/>
  <c r="AO40" i="2"/>
  <c r="CB40" i="2" s="1"/>
  <c r="CB51" i="2" s="1"/>
  <c r="CE38" i="2"/>
  <c r="CC38" i="2"/>
  <c r="CC52" i="2" s="1"/>
  <c r="CF10" i="2"/>
  <c r="BE40" i="2"/>
  <c r="CQ65" i="2"/>
  <c r="CC9" i="2"/>
  <c r="CD9" i="2"/>
  <c r="CE9" i="2"/>
  <c r="CI6" i="2"/>
  <c r="CJ6" i="2" s="1"/>
  <c r="CK6" i="2" s="1"/>
  <c r="CL6" i="2" s="1"/>
  <c r="CM6" i="2" s="1"/>
  <c r="CN6" i="2" s="1"/>
  <c r="CO6" i="2" s="1"/>
  <c r="CP6" i="2" s="1"/>
  <c r="CQ6" i="2" s="1"/>
  <c r="CF9" i="2"/>
  <c r="Q222" i="3"/>
  <c r="CF40" i="2" l="1"/>
  <c r="CF51" i="2" s="1"/>
  <c r="CE30" i="2"/>
  <c r="CF52" i="2"/>
  <c r="CF87" i="2"/>
  <c r="CB12" i="2"/>
  <c r="CB52" i="2"/>
  <c r="CC43" i="2"/>
  <c r="CC53" i="2" s="1"/>
  <c r="CQ7" i="2"/>
  <c r="CQ38" i="2" s="1"/>
  <c r="CQ41" i="2" s="1"/>
  <c r="CE52" i="2"/>
  <c r="CE87" i="2"/>
  <c r="CD52" i="2"/>
  <c r="CD87" i="2"/>
  <c r="CD40" i="2"/>
  <c r="CD51" i="2" s="1"/>
  <c r="CL67" i="2"/>
  <c r="CL66" i="2"/>
  <c r="BB43" i="2"/>
  <c r="BB51" i="2"/>
  <c r="AQ45" i="2"/>
  <c r="AQ53" i="2"/>
  <c r="BF43" i="2"/>
  <c r="BF51" i="2"/>
  <c r="AM45" i="2"/>
  <c r="AM53" i="2"/>
  <c r="AZ43" i="2"/>
  <c r="AZ51" i="2"/>
  <c r="AT43" i="2"/>
  <c r="AT51" i="2"/>
  <c r="AU43" i="2"/>
  <c r="CD43" i="2" s="1"/>
  <c r="CD53" i="2" s="1"/>
  <c r="AU51" i="2"/>
  <c r="BA43" i="2"/>
  <c r="BA51" i="2"/>
  <c r="AR45" i="2"/>
  <c r="AR53" i="2"/>
  <c r="AP45" i="2"/>
  <c r="AP53" i="2"/>
  <c r="AN45" i="2"/>
  <c r="AN53" i="2"/>
  <c r="BC43" i="2"/>
  <c r="BC51" i="2"/>
  <c r="AX43" i="2"/>
  <c r="AX51" i="2"/>
  <c r="AO43" i="2"/>
  <c r="CB43" i="2" s="1"/>
  <c r="CB53" i="2" s="1"/>
  <c r="AO51" i="2"/>
  <c r="BE43" i="2"/>
  <c r="BE51" i="2"/>
  <c r="AV45" i="2"/>
  <c r="AV53" i="2"/>
  <c r="AW43" i="2"/>
  <c r="AW51" i="2"/>
  <c r="BG43" i="2"/>
  <c r="BG51" i="2"/>
  <c r="AS43" i="2"/>
  <c r="AS51" i="2"/>
  <c r="AY43" i="2"/>
  <c r="AY51" i="2"/>
  <c r="BD43" i="2"/>
  <c r="BD51" i="2"/>
  <c r="CM7" i="2"/>
  <c r="CM38" i="2" s="1"/>
  <c r="CN7" i="2"/>
  <c r="CN38" i="2" s="1"/>
  <c r="CP7" i="2"/>
  <c r="CP38" i="2" s="1"/>
  <c r="CJ7" i="2"/>
  <c r="CJ38" i="2" s="1"/>
  <c r="CO7" i="2"/>
  <c r="CO38" i="2" s="1"/>
  <c r="CK7" i="2"/>
  <c r="CK38" i="2" s="1"/>
  <c r="CI7" i="2"/>
  <c r="CI38" i="2" s="1"/>
  <c r="CL7" i="2"/>
  <c r="CL38" i="2" s="1"/>
  <c r="Q212" i="3"/>
  <c r="Q211" i="3"/>
  <c r="Q214" i="3"/>
  <c r="Q221" i="3"/>
  <c r="Q213" i="3"/>
  <c r="Q224" i="3"/>
  <c r="Q220" i="3"/>
  <c r="Q216" i="3"/>
  <c r="Q219" i="3"/>
  <c r="Q223" i="3"/>
  <c r="Q218" i="3"/>
  <c r="Q215" i="3"/>
  <c r="Q217" i="3"/>
  <c r="CQ39" i="2" l="1"/>
  <c r="CQ40" i="2" s="1"/>
  <c r="CQ43" i="2" s="1"/>
  <c r="CE43" i="2"/>
  <c r="CE53" i="2" s="1"/>
  <c r="CF43" i="2"/>
  <c r="CF53" i="2" s="1"/>
  <c r="CL81" i="2"/>
  <c r="CM39" i="2"/>
  <c r="CM40" i="2" s="1"/>
  <c r="CM41" i="2"/>
  <c r="CI41" i="2"/>
  <c r="CI39" i="2"/>
  <c r="CI40" i="2" s="1"/>
  <c r="CO41" i="2"/>
  <c r="CO39" i="2"/>
  <c r="CO40" i="2" s="1"/>
  <c r="CH38" i="2"/>
  <c r="CK41" i="2"/>
  <c r="CK39" i="2"/>
  <c r="CK40" i="2" s="1"/>
  <c r="CP39" i="2"/>
  <c r="CP40" i="2" s="1"/>
  <c r="CP41" i="2"/>
  <c r="CL39" i="2"/>
  <c r="CL40" i="2" s="1"/>
  <c r="CL41" i="2"/>
  <c r="CJ41" i="2"/>
  <c r="CJ39" i="2"/>
  <c r="CJ40" i="2" s="1"/>
  <c r="CN39" i="2"/>
  <c r="CN40" i="2" s="1"/>
  <c r="CN41" i="2"/>
  <c r="CO12" i="2"/>
  <c r="AY45" i="2"/>
  <c r="AY53" i="2"/>
  <c r="AV47" i="2"/>
  <c r="AV54" i="2"/>
  <c r="BC45" i="2"/>
  <c r="BC53" i="2"/>
  <c r="BA45" i="2"/>
  <c r="BA53" i="2"/>
  <c r="AM47" i="2"/>
  <c r="AM54" i="2"/>
  <c r="AS45" i="2"/>
  <c r="CC45" i="2" s="1"/>
  <c r="CC54" i="2" s="1"/>
  <c r="AS53" i="2"/>
  <c r="BE45" i="2"/>
  <c r="BE53" i="2"/>
  <c r="BF45" i="2"/>
  <c r="BF53" i="2"/>
  <c r="BG45" i="2"/>
  <c r="BG53" i="2"/>
  <c r="AO45" i="2"/>
  <c r="CB45" i="2" s="1"/>
  <c r="CB54" i="2" s="1"/>
  <c r="AO53" i="2"/>
  <c r="AP47" i="2"/>
  <c r="AP54" i="2"/>
  <c r="AT45" i="2"/>
  <c r="AT53" i="2"/>
  <c r="AQ47" i="2"/>
  <c r="AQ54" i="2"/>
  <c r="AN47" i="2"/>
  <c r="AN54" i="2"/>
  <c r="AU45" i="2"/>
  <c r="CD45" i="2" s="1"/>
  <c r="CD54" i="2" s="1"/>
  <c r="AU53" i="2"/>
  <c r="BD45" i="2"/>
  <c r="BD53" i="2"/>
  <c r="AW45" i="2"/>
  <c r="AW53" i="2"/>
  <c r="AX45" i="2"/>
  <c r="AX53" i="2"/>
  <c r="AR47" i="2"/>
  <c r="AR54" i="2"/>
  <c r="AZ45" i="2"/>
  <c r="AZ53" i="2"/>
  <c r="BB45" i="2"/>
  <c r="BB53" i="2"/>
  <c r="CN12" i="2"/>
  <c r="CJ12" i="2"/>
  <c r="CL12" i="2"/>
  <c r="CM12" i="2"/>
  <c r="CP12" i="2"/>
  <c r="CI12" i="2"/>
  <c r="CK12" i="2"/>
  <c r="CQ12" i="2"/>
  <c r="CF45" i="2" l="1"/>
  <c r="CF54" i="2" s="1"/>
  <c r="CE45" i="2"/>
  <c r="CE54" i="2" s="1"/>
  <c r="CI43" i="2"/>
  <c r="CI53" i="2" s="1"/>
  <c r="CO43" i="2"/>
  <c r="CO53" i="2" s="1"/>
  <c r="CP43" i="2"/>
  <c r="CP53" i="2" s="1"/>
  <c r="CN43" i="2"/>
  <c r="CN53" i="2" s="1"/>
  <c r="CK43" i="2"/>
  <c r="CK53" i="2" s="1"/>
  <c r="CM43" i="2"/>
  <c r="CM53" i="2" s="1"/>
  <c r="CL43" i="2"/>
  <c r="CL53" i="2" s="1"/>
  <c r="CJ43" i="2"/>
  <c r="CJ53" i="2" s="1"/>
  <c r="CQ53" i="2"/>
  <c r="CH41" i="2"/>
  <c r="CH39" i="2"/>
  <c r="CH40" i="2" s="1"/>
  <c r="BA47" i="2"/>
  <c r="BA54" i="2"/>
  <c r="AT47" i="2"/>
  <c r="AT54" i="2"/>
  <c r="AP55" i="2"/>
  <c r="AP92" i="2"/>
  <c r="AP49" i="2"/>
  <c r="BC47" i="2"/>
  <c r="BC54" i="2"/>
  <c r="AX47" i="2"/>
  <c r="AX54" i="2"/>
  <c r="AN55" i="2"/>
  <c r="AN92" i="2"/>
  <c r="AN49" i="2"/>
  <c r="AO47" i="2"/>
  <c r="CB47" i="2" s="1"/>
  <c r="AO54" i="2"/>
  <c r="AS47" i="2"/>
  <c r="CC47" i="2" s="1"/>
  <c r="AS54" i="2"/>
  <c r="AV55" i="2"/>
  <c r="AV49" i="2"/>
  <c r="AV92" i="2"/>
  <c r="AZ47" i="2"/>
  <c r="AZ54" i="2"/>
  <c r="BD47" i="2"/>
  <c r="BD54" i="2"/>
  <c r="BE47" i="2"/>
  <c r="BE54" i="2"/>
  <c r="BF47" i="2"/>
  <c r="BF54" i="2"/>
  <c r="AR55" i="2"/>
  <c r="AR92" i="2"/>
  <c r="AR49" i="2"/>
  <c r="AU47" i="2"/>
  <c r="AU54" i="2"/>
  <c r="BB47" i="2"/>
  <c r="BB54" i="2"/>
  <c r="AW47" i="2"/>
  <c r="AW54" i="2"/>
  <c r="AQ55" i="2"/>
  <c r="AQ49" i="2"/>
  <c r="AQ92" i="2"/>
  <c r="BG47" i="2"/>
  <c r="BG54" i="2"/>
  <c r="AM55" i="2"/>
  <c r="AM49" i="2"/>
  <c r="AM92" i="2"/>
  <c r="AY47" i="2"/>
  <c r="AY54" i="2"/>
  <c r="CC92" i="2" l="1"/>
  <c r="CC55" i="2"/>
  <c r="CB55" i="2"/>
  <c r="CB92" i="2"/>
  <c r="CF47" i="2"/>
  <c r="BC90" i="2"/>
  <c r="BC89" i="2"/>
  <c r="AY90" i="2"/>
  <c r="AY89" i="2"/>
  <c r="CE47" i="2"/>
  <c r="BB89" i="2"/>
  <c r="BB90" i="2"/>
  <c r="BD90" i="2"/>
  <c r="BD89" i="2"/>
  <c r="AZ90" i="2"/>
  <c r="AZ89" i="2"/>
  <c r="AX89" i="2"/>
  <c r="AX90" i="2"/>
  <c r="BF89" i="2"/>
  <c r="BF90" i="2"/>
  <c r="BG90" i="2"/>
  <c r="BG89" i="2"/>
  <c r="BE89" i="2"/>
  <c r="BE90" i="2"/>
  <c r="CD47" i="2"/>
  <c r="BA90" i="2"/>
  <c r="BA89" i="2"/>
  <c r="CH43" i="2"/>
  <c r="CH45" i="2" s="1"/>
  <c r="CN62" i="2"/>
  <c r="CN63" i="2" s="1"/>
  <c r="BD55" i="2"/>
  <c r="BD92" i="2"/>
  <c r="BD49" i="2"/>
  <c r="AO55" i="2"/>
  <c r="AO49" i="2"/>
  <c r="CB49" i="2" s="1"/>
  <c r="AO92" i="2"/>
  <c r="AW55" i="2"/>
  <c r="AW92" i="2"/>
  <c r="AW49" i="2"/>
  <c r="BB55" i="2"/>
  <c r="BB92" i="2"/>
  <c r="BB49" i="2"/>
  <c r="AT55" i="2"/>
  <c r="AT92" i="2"/>
  <c r="AT49" i="2"/>
  <c r="AY55" i="2"/>
  <c r="AY49" i="2"/>
  <c r="AY92" i="2"/>
  <c r="BF55" i="2"/>
  <c r="BF92" i="2"/>
  <c r="BF49" i="2"/>
  <c r="BE55" i="2"/>
  <c r="BE92" i="2"/>
  <c r="BE49" i="2"/>
  <c r="AX55" i="2"/>
  <c r="AX49" i="2"/>
  <c r="AX92" i="2"/>
  <c r="BC55" i="2"/>
  <c r="BC92" i="2"/>
  <c r="BC49" i="2"/>
  <c r="AZ55" i="2"/>
  <c r="AZ92" i="2"/>
  <c r="AZ49" i="2"/>
  <c r="BG55" i="2"/>
  <c r="BG49" i="2"/>
  <c r="BG92" i="2"/>
  <c r="AU55" i="2"/>
  <c r="AU49" i="2"/>
  <c r="AU92" i="2"/>
  <c r="AS55" i="2"/>
  <c r="AS49" i="2"/>
  <c r="CC49" i="2" s="1"/>
  <c r="AS92" i="2"/>
  <c r="BA55" i="2"/>
  <c r="BA92" i="2"/>
  <c r="BA49" i="2"/>
  <c r="CE49" i="2" l="1"/>
  <c r="CF92" i="2"/>
  <c r="CF90" i="2"/>
  <c r="CF55" i="2"/>
  <c r="CF89" i="2"/>
  <c r="CD89" i="2"/>
  <c r="CD90" i="2"/>
  <c r="CD55" i="2"/>
  <c r="CD92" i="2"/>
  <c r="CE89" i="2"/>
  <c r="CE90" i="2"/>
  <c r="CE55" i="2"/>
  <c r="CE92" i="2"/>
  <c r="CF49" i="2"/>
  <c r="CD49" i="2"/>
  <c r="CH53" i="2"/>
  <c r="CH46" i="2"/>
  <c r="CH47" i="2" s="1"/>
  <c r="CH55" i="2" s="1"/>
  <c r="CH57" i="2" l="1"/>
  <c r="CI45" i="2" l="1"/>
  <c r="CI46" i="2" s="1"/>
  <c r="CI47" i="2" s="1"/>
  <c r="CI57" i="2" l="1"/>
  <c r="CJ45" i="2" s="1"/>
  <c r="CJ46" i="2" s="1"/>
  <c r="CJ47" i="2" s="1"/>
  <c r="CI55" i="2"/>
  <c r="CL45" i="2"/>
  <c r="CL46" i="2" s="1"/>
  <c r="CL47" i="2" s="1"/>
  <c r="CL55" i="2" l="1"/>
  <c r="CJ57" i="2"/>
  <c r="CK45" i="2" s="1"/>
  <c r="CK46" i="2" s="1"/>
  <c r="CK47" i="2" s="1"/>
  <c r="CJ55" i="2"/>
  <c r="CO45" i="2"/>
  <c r="CO46" i="2" s="1"/>
  <c r="CO47" i="2" s="1"/>
  <c r="CO55" i="2" s="1"/>
  <c r="CK57" i="2" l="1"/>
  <c r="CL57" i="2" s="1"/>
  <c r="CK55" i="2"/>
  <c r="CP45" i="2"/>
  <c r="CP46" i="2" s="1"/>
  <c r="CP47" i="2" s="1"/>
  <c r="CP55" i="2" s="1"/>
  <c r="CM45" i="2" l="1"/>
  <c r="CM46" i="2" s="1"/>
  <c r="CM47" i="2" s="1"/>
  <c r="CM55" i="2" s="1"/>
  <c r="CQ45" i="2"/>
  <c r="CQ46" i="2" s="1"/>
  <c r="CQ47" i="2" s="1"/>
  <c r="CQ55" i="2" s="1"/>
  <c r="CM57" i="2" l="1"/>
  <c r="CN45" i="2" s="1"/>
  <c r="CN46" i="2" s="1"/>
  <c r="CN47" i="2" s="1"/>
  <c r="CN55" i="2" s="1"/>
  <c r="CR47" i="2"/>
  <c r="CN57" i="2" l="1"/>
  <c r="CO57" i="2" s="1"/>
  <c r="CP57" i="2" s="1"/>
  <c r="CQ57" i="2" s="1"/>
  <c r="CS47" i="2"/>
  <c r="CT47" i="2" s="1"/>
  <c r="CU47" i="2" s="1"/>
  <c r="CV47" i="2" s="1"/>
  <c r="CW47" i="2" s="1"/>
  <c r="CX47" i="2" s="1"/>
  <c r="CY47" i="2" s="1"/>
  <c r="CZ47" i="2" s="1"/>
  <c r="DA47" i="2" s="1"/>
  <c r="DB47" i="2" s="1"/>
  <c r="DC47" i="2" s="1"/>
  <c r="DD47" i="2" s="1"/>
  <c r="DE47" i="2" s="1"/>
  <c r="DF47" i="2" s="1"/>
  <c r="DG47" i="2" s="1"/>
  <c r="DH47" i="2" s="1"/>
  <c r="DI47" i="2" s="1"/>
  <c r="DJ47" i="2" s="1"/>
  <c r="DK47" i="2" s="1"/>
  <c r="DL47" i="2" s="1"/>
  <c r="DM47" i="2" s="1"/>
  <c r="DN47" i="2" s="1"/>
  <c r="DO47" i="2" s="1"/>
  <c r="DP47" i="2" s="1"/>
  <c r="DQ47" i="2" s="1"/>
  <c r="DR47" i="2" s="1"/>
  <c r="DS47" i="2" s="1"/>
  <c r="DT47" i="2" s="1"/>
  <c r="DU47" i="2" s="1"/>
  <c r="DV47" i="2" s="1"/>
  <c r="DW47" i="2" s="1"/>
  <c r="DX47" i="2" s="1"/>
  <c r="DY47" i="2" s="1"/>
  <c r="DZ47" i="2" s="1"/>
  <c r="EA47" i="2" s="1"/>
  <c r="EB47" i="2" s="1"/>
  <c r="EC47" i="2" s="1"/>
  <c r="ED47" i="2" s="1"/>
  <c r="EE47" i="2" s="1"/>
  <c r="EF47" i="2" s="1"/>
  <c r="EG47" i="2" s="1"/>
  <c r="EH47" i="2" s="1"/>
  <c r="EI47" i="2" s="1"/>
  <c r="EJ47" i="2" s="1"/>
  <c r="EK47" i="2" s="1"/>
  <c r="EL47" i="2" s="1"/>
  <c r="EM47" i="2" s="1"/>
  <c r="EN47" i="2" s="1"/>
  <c r="EO47" i="2" s="1"/>
  <c r="CQ67" i="2" l="1"/>
  <c r="CQ69" i="2" s="1"/>
  <c r="CQ71" i="2" l="1"/>
  <c r="CR71" i="2" l="1"/>
  <c r="CP72" i="2" a="1"/>
  <c r="CP7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<sst xmlns="http://schemas.openxmlformats.org/spreadsheetml/2006/main" count="1651" uniqueCount="1546">
  <si>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</si>
  <si>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</si>
  <si>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</si>
  <si>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</si>
  <si>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</si>
  <si>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</si>
  <si>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</si>
  <si>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</si>
  <si>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</si>
  <si>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</si>
  <si>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</si>
  <si>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</si>
  <si>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</si>
  <si>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</si>
  <si>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</si>
  <si>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</si>
  <si>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</si>
  <si>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</si>
  <si>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</si>
  <si>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</si>
  <si>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</si>
  <si>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</si>
  <si>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</si>
  <si>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</si>
  <si>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</si>
  <si>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</si>
  <si>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</si>
  <si>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</si>
  <si>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</si>
  <si>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</si>
  <si>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</si>
  <si>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</si>
  <si>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</si>
  <si>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</si>
  <si>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</si>
  <si>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</si>
  <si>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</si>
  <si>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</si>
  <si>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</si>
  <si>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</si>
  <si>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</si>
  <si>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</si>
  <si>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</si>
  <si>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</si>
  <si>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</si>
  <si>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</si>
  <si>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</si>
  <si>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</si>
  <si>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</si>
  <si>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</si>
  <si>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</si>
  <si>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</si>
  <si>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</si>
  <si>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</si>
  <si>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</si>
  <si>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</si>
  <si>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</si>
  <si>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</si>
  <si>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</si>
  <si>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</si>
  <si>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</si>
  <si>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</si>
  <si>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</si>
  <si>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</si>
  <si>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</si>
  <si>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</si>
  <si>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</si>
  <si>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</si>
  <si>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</si>
  <si>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</si>
  <si>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</si>
  <si>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</si>
  <si>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</si>
  <si>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</si>
  <si>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</si>
  <si>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</si>
  <si>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</si>
  <si>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</si>
  <si>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</si>
  <si>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</si>
  <si>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</si>
  <si>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</si>
  <si>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</si>
  <si>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</si>
  <si>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</si>
  <si>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</si>
  <si>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</si>
  <si>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</si>
  <si>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</si>
  <si>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</si>
  <si>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</si>
  <si>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</si>
  <si>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</si>
  <si>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</si>
  <si>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</si>
  <si>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</si>
  <si>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</si>
  <si>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</si>
  <si>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</si>
  <si>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</si>
  <si>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</si>
  <si>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</si>
  <si>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</si>
  <si>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</si>
  <si>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</si>
  <si>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</si>
  <si>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</si>
  <si>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Quarterly</t>
  </si>
  <si>
    <t>Revenues</t>
  </si>
  <si>
    <t>Ttl Revenues</t>
  </si>
  <si>
    <t>U.S. Revenues</t>
  </si>
  <si>
    <t>U.S. % of Revenues</t>
  </si>
  <si>
    <t>U.S. Revenue Growth Y/y</t>
  </si>
  <si>
    <t>COGS</t>
  </si>
  <si>
    <t>GP</t>
  </si>
  <si>
    <t>Gross Profit Margin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</si>
  <si>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</si>
  <si>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</si>
  <si>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</si>
  <si>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</si>
  <si>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</si>
  <si>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Current Ratio</t>
  </si>
  <si>
    <t>Quick Ratio</t>
  </si>
  <si>
    <t>Cash Ratio</t>
  </si>
  <si>
    <t>Ttl Asset Turnover</t>
  </si>
  <si>
    <t>Inventory Turnover Ratio</t>
  </si>
  <si>
    <t>Return on Assets</t>
  </si>
  <si>
    <t>Return on Equity</t>
  </si>
  <si>
    <t>CFFO</t>
  </si>
  <si>
    <t>CapEx, net</t>
  </si>
  <si>
    <t>FCF</t>
  </si>
  <si>
    <t>SC</t>
  </si>
  <si>
    <t>FCF per Share</t>
  </si>
  <si>
    <t>Revenues:</t>
  </si>
  <si>
    <t>Earnings Scope:</t>
  </si>
  <si>
    <t>Balance Sheet Scope:</t>
  </si>
  <si>
    <t>[Equity Preformance Compared to Peers]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</si>
  <si>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</si>
  <si>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</si>
  <si>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</si>
  <si>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</si>
  <si>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</si>
  <si>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</si>
  <si>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</si>
  <si>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</si>
  <si>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</si>
  <si>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&lt;- Sharpe Ratio (Risk Adjusted Return)</t>
  </si>
  <si>
    <t>Earnings Calls</t>
  </si>
  <si>
    <t>Equity Analysis</t>
  </si>
  <si>
    <t>https://app.godelterminal.com/</t>
  </si>
  <si>
    <t>Investors Relation Department</t>
  </si>
  <si>
    <t>Business Segments and Geographical Info:</t>
  </si>
  <si>
    <t>Employee Scope:</t>
  </si>
  <si>
    <t>Resources:</t>
  </si>
  <si>
    <t>Y/y Total Revenues, Net Income, FCF</t>
  </si>
  <si>
    <t>Q/q Total Revenues, Net Income, FCF</t>
  </si>
  <si>
    <t>Institutional Ownership Snapshot Q2'25</t>
  </si>
  <si>
    <t>Company IR Page</t>
  </si>
  <si>
    <t>Company Homepage</t>
  </si>
  <si>
    <t>MacroTrends</t>
  </si>
  <si>
    <t>ROIC, WACC</t>
  </si>
  <si>
    <t>Ttl Revenue Growth Y/y</t>
  </si>
  <si>
    <t>Projected ROIC:</t>
  </si>
  <si>
    <t>Invested Capital</t>
  </si>
  <si>
    <t>ROIC</t>
  </si>
  <si>
    <t>2023-2024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</si>
  <si>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</si>
  <si>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</si>
  <si>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</si>
  <si>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</si>
  <si>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</si>
  <si>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</si>
  <si>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FV</t>
  </si>
  <si>
    <t>CP</t>
  </si>
  <si>
    <t>LULU</t>
  </si>
  <si>
    <t>Lululemon Athletica Inc. (LULU)</t>
  </si>
  <si>
    <t>Founder(s): Dennis "Chip" Wilson</t>
  </si>
  <si>
    <t>Founded: 1998</t>
  </si>
  <si>
    <t>Headquarters: Vancouver, BC, Canada</t>
  </si>
  <si>
    <t>Registered Exchange: NASDAQ</t>
  </si>
  <si>
    <t>Address: 1818 Cornwall Avenue, Vancouver, BC V6J 1C7 CA</t>
  </si>
  <si>
    <t>(604) 732 - 6124</t>
  </si>
  <si>
    <t>Fiscal Year: [March - February]</t>
  </si>
  <si>
    <t>investors@lululemon.com</t>
  </si>
  <si>
    <t>Current CEO: Calvin McDonald</t>
  </si>
  <si>
    <t>Employees: 39,000</t>
  </si>
  <si>
    <t>Industry: Clothing Apparel - Retail</t>
  </si>
  <si>
    <t>Sector: Consumer Discretionary</t>
  </si>
  <si>
    <t>IPO: July 27, 2007</t>
  </si>
  <si>
    <t>https://www.sec.gov/edgar/browse/?CIK=1397187&amp;owner=exclude</t>
  </si>
  <si>
    <t>https://shop.lululemon.com/</t>
  </si>
  <si>
    <t>https://corporate.lululemon.com/investors</t>
  </si>
  <si>
    <t>https://seekingalpha.com/symbol/LULU/earnings/transcripts</t>
  </si>
  <si>
    <t>https://stockanalysis.com/stocks/lulu/company/</t>
  </si>
  <si>
    <t>https://www.macrotrends.net/stocks/charts/LULU/lululemon-athletica-inc/income-statement?freq=A</t>
  </si>
  <si>
    <t>https://www.gurufocus.com/term/wacc/LULU</t>
  </si>
  <si>
    <t>Lululemon is a leading global retailer specializing in athletic apparel, footwear, and accessories</t>
  </si>
  <si>
    <t>Founded in 1998 and headquartered in Vancouver, Canada, Lululemon has built a strong brand in premium athleisure and activewear, recognized for its innovation, retail experience, and community engagement</t>
  </si>
  <si>
    <t>Business Segments</t>
  </si>
  <si>
    <t>Product Segments:</t>
  </si>
  <si>
    <t>Retail Channels:</t>
  </si>
  <si>
    <t>Digital Channels:</t>
  </si>
  <si>
    <t>Physical company-operated stores (784 globally as of Q2 2025), direct-to-consumer (DTC, including digital sales), and wholesale/partnered retail</t>
  </si>
  <si>
    <t>Digital (e-commerce) has grown rapidly since pandemic … strong omni-channel strategy</t>
  </si>
  <si>
    <t>Women’s apparel (core yoga, training, running, lifestyle), men’s athletic wear (rapidly expanding), footwear, and accessories (bags, yoga mats, and more)</t>
  </si>
  <si>
    <t>Management recent implementation of cost-saving programs and inventory discipline in response to tariff and U.S. market headwinds</t>
  </si>
  <si>
    <t>The Company has a strong North American and growing international presence</t>
  </si>
  <si>
    <t>Strong brand loyalty and premium positioning in athleisure/activewear</t>
  </si>
  <si>
    <t>Integrated omni-channel presence, blending engaging physical retail with high-penetration digital</t>
  </si>
  <si>
    <t>The Company offers pants, shorts, tops, and jackets for athletic activities, such as yoga, running, training, and other activities … The Company also offers fitness-inspired accessories</t>
  </si>
  <si>
    <t>Fri, 19 Sep 2025 00:00:00 GMT</t>
  </si>
  <si>
    <t>Thu, 18 Sep 2025 00:00:00 GMT</t>
  </si>
  <si>
    <t>Wed, 17 Sep 2025 00:00:00 GMT</t>
  </si>
  <si>
    <t>Tue, 16 Sep 2025 00:00:00 GMT</t>
  </si>
  <si>
    <t>Mon, 15 Sep 2025 00:00:00 GMT</t>
  </si>
  <si>
    <t>Fri, 12 Sep 2025 00:00:00 GMT</t>
  </si>
  <si>
    <t>Thu, 11 Sep 2025 00:00:00 GMT</t>
  </si>
  <si>
    <t>Wed, 10 Sep 2025 00:00:00 GMT</t>
  </si>
  <si>
    <t>Tue, 09 Sep 2025 00:00:00 GMT</t>
  </si>
  <si>
    <t>Mon, 08 Sep 2025 00:00:00 GMT</t>
  </si>
  <si>
    <t>Fri, 05 Sep 2025 00:00:00 GMT</t>
  </si>
  <si>
    <t>Thu, 04 Sep 2025 00:00:00 GMT</t>
  </si>
  <si>
    <t>Wed, 03 Sep 2025 00:00:00 GMT</t>
  </si>
  <si>
    <t>Tue, 02 Sep 2025 00:00:00 GMT</t>
  </si>
  <si>
    <t>Fri, 29 Aug 2025 00:00:00 GMT</t>
  </si>
  <si>
    <t>Thu, 28 Aug 2025 00:00:00 GMT</t>
  </si>
  <si>
    <t>Wed, 27 Aug 2025 00:00:00 GMT</t>
  </si>
  <si>
    <t>Tue, 26 Aug 2025 00:00:00 GMT</t>
  </si>
  <si>
    <t>Mon, 25 Aug 2025 00:00:00 GMT</t>
  </si>
  <si>
    <t>Fri, 22 Aug 2025 00:00:00 GMT</t>
  </si>
  <si>
    <t>Thu, 21 Aug 2025 00:00:00 GMT</t>
  </si>
  <si>
    <t>Wed, 20 Aug 2025 00:00:00 GMT</t>
  </si>
  <si>
    <t>Tue, 19 Aug 2025 00:00:00 GMT</t>
  </si>
  <si>
    <t>Mon, 18 Aug 2025 00:00:00 GMT</t>
  </si>
  <si>
    <t>Fri, 15 Aug 2025 00:00:00 GMT</t>
  </si>
  <si>
    <t>Thu, 14 Aug 2025 00:00:00 GMT</t>
  </si>
  <si>
    <t>Wed, 13 Aug 2025 00:00:00 GMT</t>
  </si>
  <si>
    <t>Tue, 12 Aug 2025 00:00:00 GMT</t>
  </si>
  <si>
    <t>Mon, 11 Aug 2025 00:00:00 GMT</t>
  </si>
  <si>
    <t>Fri, 08 Aug 2025 00:00:00 GMT</t>
  </si>
  <si>
    <t>Thu, 07 Aug 2025 00:00:00 GMT</t>
  </si>
  <si>
    <t>Wed, 06 Aug 2025 00:00:00 GMT</t>
  </si>
  <si>
    <t>Tue, 05 Aug 2025 00:00:00 GMT</t>
  </si>
  <si>
    <t>Mon, 04 Aug 2025 00:00:00 GMT</t>
  </si>
  <si>
    <t>Fri, 01 Aug 2025 00:00:00 GMT</t>
  </si>
  <si>
    <t>Thu, 31 Jul 2025 00:00:00 GMT</t>
  </si>
  <si>
    <t>Wed, 30 Jul 2025 00:00:00 GMT</t>
  </si>
  <si>
    <t>Tue, 29 Jul 2025 00:00:00 GMT</t>
  </si>
  <si>
    <t>Mon, 28 Jul 2025 00:00:00 GMT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</si>
  <si>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</si>
  <si>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</si>
  <si>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</si>
  <si>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</si>
  <si>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</si>
  <si>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</si>
  <si>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</si>
  <si>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</si>
  <si>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</si>
  <si>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</si>
  <si>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</si>
  <si>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</si>
  <si>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</si>
  <si>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</si>
  <si>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</si>
  <si>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</si>
  <si>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</si>
  <si>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</si>
  <si>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</si>
  <si>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</si>
  <si>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</si>
  <si>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</si>
  <si>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</si>
  <si>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</si>
  <si>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</si>
  <si>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</si>
  <si>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</si>
  <si>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</si>
  <si>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</si>
  <si>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</si>
  <si>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</si>
  <si>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</si>
  <si>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</si>
  <si>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</si>
  <si>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</si>
  <si>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</si>
  <si>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</si>
  <si>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</si>
  <si>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</si>
  <si>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</si>
  <si>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</si>
  <si>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</si>
  <si>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</si>
  <si>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</si>
  <si>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</si>
  <si>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</si>
  <si>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</si>
  <si>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</si>
  <si>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</si>
  <si>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</si>
  <si>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</si>
  <si>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</si>
  <si>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</si>
  <si>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</si>
  <si>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</si>
  <si>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</si>
  <si>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</si>
  <si>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</si>
  <si>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</si>
  <si>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</si>
  <si>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</si>
  <si>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</si>
  <si>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</si>
  <si>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</si>
  <si>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</si>
  <si>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</si>
  <si>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</si>
  <si>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</si>
  <si>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</si>
  <si>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</si>
  <si>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</si>
  <si>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</si>
  <si>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</si>
  <si>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</si>
  <si>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</si>
  <si>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</si>
  <si>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</si>
  <si>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</si>
  <si>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</si>
  <si>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</si>
  <si>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</si>
  <si>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</si>
  <si>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</si>
  <si>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</si>
  <si>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</si>
  <si>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</si>
  <si>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</si>
  <si>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</si>
  <si>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</si>
  <si>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</si>
  <si>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</si>
  <si>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</si>
  <si>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</si>
  <si>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</si>
  <si>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</si>
  <si>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</si>
  <si>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</si>
  <si>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</si>
  <si>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</si>
  <si>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</si>
  <si>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</si>
  <si>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</si>
  <si>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</si>
  <si>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</si>
  <si>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</si>
  <si>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</si>
  <si>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</si>
  <si>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</si>
  <si>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</si>
  <si>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</si>
  <si>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</si>
  <si>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</si>
  <si>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</si>
  <si>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</si>
  <si>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</si>
  <si>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</si>
  <si>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</si>
  <si>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</si>
  <si>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</si>
  <si>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</si>
  <si>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</si>
  <si>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</si>
  <si>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</si>
  <si>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</si>
  <si>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</si>
  <si>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</si>
  <si>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</si>
  <si>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</si>
  <si>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</si>
  <si>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</si>
  <si>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</si>
  <si>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</si>
  <si>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</si>
  <si>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</si>
  <si>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</si>
  <si>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</si>
  <si>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</si>
  <si>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</si>
  <si>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</si>
  <si>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</si>
  <si>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</si>
  <si>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</si>
  <si>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</si>
  <si>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</si>
  <si>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</si>
  <si>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</si>
  <si>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</si>
  <si>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</si>
  <si>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</si>
  <si>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</si>
  <si>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</si>
  <si>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</si>
  <si>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</si>
  <si>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</si>
  <si>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</si>
  <si>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</si>
  <si>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</si>
  <si>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</si>
  <si>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</si>
  <si>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</si>
  <si>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</si>
  <si>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</si>
  <si>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</si>
  <si>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</si>
  <si>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</si>
  <si>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</si>
  <si>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</si>
  <si>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</si>
  <si>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</si>
  <si>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</si>
  <si>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</si>
  <si>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</si>
  <si>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</si>
  <si>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</si>
  <si>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</si>
  <si>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</si>
  <si>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</si>
  <si>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</si>
  <si>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</si>
  <si>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</si>
  <si>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</si>
  <si>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</si>
  <si>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</si>
  <si>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</si>
  <si>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</si>
  <si>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</si>
  <si>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</si>
  <si>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</si>
  <si>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</si>
  <si>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</si>
  <si>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</si>
  <si>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</si>
  <si>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</si>
  <si>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</si>
  <si>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</si>
  <si>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</si>
  <si>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</si>
  <si>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</si>
  <si>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</si>
  <si>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</si>
  <si>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</si>
  <si>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</si>
  <si>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</si>
  <si>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</si>
  <si>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</si>
  <si>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</si>
  <si>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</si>
  <si>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</si>
  <si>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</si>
  <si>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</si>
  <si>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</si>
  <si>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</si>
  <si>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</si>
  <si>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</si>
  <si>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</si>
  <si>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</si>
  <si>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</si>
  <si>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</si>
  <si>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</si>
  <si>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</si>
  <si>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</si>
  <si>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</si>
  <si>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</si>
  <si>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</si>
  <si>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</si>
  <si>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</si>
  <si>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</si>
  <si>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</si>
  <si>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</si>
  <si>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</si>
  <si>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</si>
  <si>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</si>
  <si>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</si>
  <si>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</si>
  <si>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</si>
  <si>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</si>
  <si>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</si>
  <si>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</si>
  <si>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</si>
  <si>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</si>
  <si>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</si>
  <si>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</si>
  <si>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</si>
  <si>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</si>
  <si>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</si>
  <si>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</si>
  <si>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</si>
  <si>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</si>
  <si>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</si>
  <si>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</si>
  <si>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</si>
  <si>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</si>
  <si>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</si>
  <si>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</si>
  <si>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</si>
  <si>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</si>
  <si>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</si>
  <si>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</si>
  <si>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</si>
  <si>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</si>
  <si>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</si>
  <si>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</si>
  <si>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</si>
  <si>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</si>
  <si>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</si>
  <si>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</si>
  <si>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</si>
  <si>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</si>
  <si>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</si>
  <si>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</si>
  <si>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</si>
  <si>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</si>
  <si>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</si>
  <si>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</si>
  <si>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</si>
  <si>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</si>
  <si>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</si>
  <si>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</si>
  <si>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</si>
  <si>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</si>
  <si>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</si>
  <si>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</si>
  <si>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</si>
  <si>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</si>
  <si>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</si>
  <si>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</si>
  <si>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</si>
  <si>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</si>
  <si>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</si>
  <si>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</si>
  <si>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</si>
  <si>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</si>
  <si>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</si>
  <si>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</si>
  <si>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</si>
  <si>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</si>
  <si>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</si>
  <si>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</si>
  <si>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</si>
  <si>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</si>
  <si>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</si>
  <si>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</si>
  <si>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</si>
  <si>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</si>
  <si>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</si>
  <si>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</si>
  <si>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</si>
  <si>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</si>
  <si>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</si>
  <si>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</si>
  <si>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</si>
  <si>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</si>
  <si>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</si>
  <si>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</si>
  <si>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</si>
  <si>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</si>
  <si>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</si>
  <si>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</si>
  <si>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</si>
  <si>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</si>
  <si>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</si>
  <si>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</si>
  <si>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</si>
  <si>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</si>
  <si>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</si>
  <si>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</si>
  <si>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</si>
  <si>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</si>
  <si>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</si>
  <si>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</si>
  <si>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</si>
  <si>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</si>
  <si>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</si>
  <si>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</si>
  <si>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</si>
  <si>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</si>
  <si>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</si>
  <si>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</si>
  <si>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</si>
  <si>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</si>
  <si>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</si>
  <si>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</si>
  <si>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</si>
  <si>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</si>
  <si>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</si>
  <si>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</si>
  <si>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</si>
  <si>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</si>
  <si>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</si>
  <si>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</si>
  <si>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</si>
  <si>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</si>
  <si>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</si>
  <si>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</si>
  <si>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</si>
  <si>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</si>
  <si>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</si>
  <si>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</si>
  <si>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</si>
  <si>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</si>
  <si>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</si>
  <si>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</si>
  <si>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</si>
  <si>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</si>
  <si>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</si>
  <si>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</si>
  <si>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</si>
  <si>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</si>
  <si>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</si>
  <si>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</si>
  <si>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</si>
  <si>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</si>
  <si>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</si>
  <si>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</si>
  <si>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</si>
  <si>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</si>
  <si>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</si>
  <si>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</si>
  <si>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</si>
  <si>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</si>
  <si>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</si>
  <si>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</si>
  <si>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</si>
  <si>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</si>
  <si>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</si>
  <si>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</si>
  <si>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</si>
  <si>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</si>
  <si>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</si>
  <si>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</si>
  <si>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</si>
  <si>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</si>
  <si>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</si>
  <si>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</si>
  <si>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</si>
  <si>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</si>
  <si>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</si>
  <si>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</si>
  <si>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</si>
  <si>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</si>
  <si>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</si>
  <si>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</si>
  <si>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</si>
  <si>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</si>
  <si>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</si>
  <si>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</si>
  <si>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</si>
  <si>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</si>
  <si>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</si>
  <si>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</si>
  <si>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</si>
  <si>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</si>
  <si>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</si>
  <si>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</si>
  <si>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</si>
  <si>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</si>
  <si>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</si>
  <si>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</si>
  <si>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</si>
  <si>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</si>
  <si>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</si>
  <si>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</si>
  <si>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</si>
  <si>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</si>
  <si>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</si>
  <si>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</si>
  <si>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</si>
  <si>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</si>
  <si>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</si>
  <si>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</si>
  <si>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</si>
  <si>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</si>
  <si>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</si>
  <si>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</si>
  <si>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</si>
  <si>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</si>
  <si>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</si>
  <si>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</si>
  <si>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</si>
  <si>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</si>
  <si>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</si>
  <si>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</si>
  <si>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</si>
  <si>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</si>
  <si>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</si>
  <si>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</si>
  <si>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</si>
  <si>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</si>
  <si>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</si>
  <si>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</si>
  <si>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</si>
  <si>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</si>
  <si>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</si>
  <si>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</si>
  <si>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</si>
  <si>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</si>
  <si>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</si>
  <si>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</si>
  <si>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</si>
  <si>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</si>
  <si>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</si>
  <si>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</si>
  <si>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</si>
  <si>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</si>
  <si>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Mon, 18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</si>
  <si>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</si>
  <si>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</si>
  <si>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</si>
  <si>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</si>
  <si>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</si>
  <si>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</si>
  <si>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</si>
  <si>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</si>
  <si>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</si>
  <si>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</si>
  <si>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</si>
  <si>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</si>
  <si>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</si>
  <si>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</si>
  <si>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</si>
  <si>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</si>
  <si>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</si>
  <si>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</si>
  <si>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</si>
  <si>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</si>
  <si>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</si>
  <si>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</si>
  <si>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</si>
  <si>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</si>
  <si>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</si>
  <si>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</si>
  <si>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</si>
  <si>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</si>
  <si>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</si>
  <si>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</si>
  <si>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</si>
  <si>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</si>
  <si>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</si>
  <si>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</si>
  <si>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</si>
  <si>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</si>
  <si>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</si>
  <si>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</si>
  <si>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</si>
  <si>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</si>
  <si>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</si>
  <si>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</si>
  <si>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</si>
  <si>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</si>
  <si>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</si>
  <si>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</si>
  <si>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</si>
  <si>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</si>
  <si>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</si>
  <si>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</si>
  <si>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</si>
  <si>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</si>
  <si>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</si>
  <si>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</si>
  <si>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</si>
  <si>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</si>
  <si>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</si>
  <si>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</si>
  <si>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</si>
  <si>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</si>
  <si>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</si>
  <si>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</si>
  <si>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Fri, 16 Jun 2023 00:00:00 GMT</t>
  </si>
  <si>
    <t>Thu, 15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</si>
  <si>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</si>
  <si>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</si>
  <si>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</si>
  <si>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</si>
  <si>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</si>
  <si>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</si>
  <si>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</si>
  <si>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</si>
  <si>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</si>
  <si>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t>Thu, 01 Jun 2023 00:00:00 GMT</t>
  </si>
  <si>
    <t>Wed, 31 May 2023 00:00:00 GMT</t>
  </si>
  <si>
    <t>Tue, 30 May 2023 00:00:00 GMT</t>
  </si>
  <si>
    <t>Fri, 26 May 2023 00:00:00 GMT</t>
  </si>
  <si>
    <t>Thu, 25 May 2023 00:00:00 GMT</t>
  </si>
  <si>
    <t>Wed, 24 May 2023 00:00:00 GMT</t>
  </si>
  <si>
    <t>Tue, 23 May 2023 00:00:00 GMT</t>
  </si>
  <si>
    <t>Mon, 22 May 2023 00:00:00 GMT</t>
  </si>
  <si>
    <t>Fri, 19 May 2023 00:00:00 GMT</t>
  </si>
  <si>
    <t>Thu, 18 May 2023 00:00:00 GMT</t>
  </si>
  <si>
    <t>Wed, 17 May 2023 00:00:00 GMT</t>
  </si>
  <si>
    <t>Tue, 16 May 2023 00:00:00 GMT</t>
  </si>
  <si>
    <t>Mon, 15 May 2023 00:00:00 GMT</t>
  </si>
  <si>
    <t>Fri, 12 May 2023 00:00:00 GMT</t>
  </si>
  <si>
    <t>Thu, 11 May 2023 00:00:00 GMT</t>
  </si>
  <si>
    <t>Wed, 10 May 2023 00:00:00 GMT</t>
  </si>
  <si>
    <t>Tue, 09 May 2023 00:00:00 GMT</t>
  </si>
  <si>
    <t>Mon, 08 May 2023 00:00:00 GMT</t>
  </si>
  <si>
    <t>Fri, 05 May 2023 00:00:00 GMT</t>
  </si>
  <si>
    <t>Thu, 04 May 2023 00:00:00 GMT</t>
  </si>
  <si>
    <t>Wed, 03 May 2023 00:00:00 GMT</t>
  </si>
  <si>
    <t>Tue, 02 May 2023 00:00:00 GMT</t>
  </si>
  <si>
    <t>Mon, 01 May 2023 00:00:00 GMT</t>
  </si>
  <si>
    <t>Fri, 28 Apr 2023 00:00:00 GMT</t>
  </si>
  <si>
    <t>Thu, 27 Apr 2023 00:00:00 GMT</t>
  </si>
  <si>
    <t>Wed, 26 Apr 2023 00:00:00 GMT</t>
  </si>
  <si>
    <t>Tue, 25 Apr 2023 00:00:00 GMT</t>
  </si>
  <si>
    <t>Mon, 24 Apr 2023 00:00:00 GMT</t>
  </si>
  <si>
    <t>Fri, 21 Apr 2023 00:00:00 GMT</t>
  </si>
  <si>
    <t>Thu, 20 Apr 2023 00:00:00 GMT</t>
  </si>
  <si>
    <t>Wed, 19 Apr 2023 00:00:00 GMT</t>
  </si>
  <si>
    <t>Tue, 18 Apr 2023 00:00:00 GMT</t>
  </si>
  <si>
    <t>Mon, 17 Apr 2023 00:00:00 GMT</t>
  </si>
  <si>
    <t>Fri, 14 Apr 2023 00:00:00 GMT</t>
  </si>
  <si>
    <t>Thu, 13 Apr 2023 00:00:00 GMT</t>
  </si>
  <si>
    <t>Wed, 12 Apr 2023 00:00:00 GMT</t>
  </si>
  <si>
    <t>Tue, 11 Apr 2023 00:00:00 GMT</t>
  </si>
  <si>
    <t>Mon, 10 Apr 2023 00:00:00 GMT</t>
  </si>
  <si>
    <t>Thu, 06 Apr 2023 00:00:00 GMT</t>
  </si>
  <si>
    <t>Wed, 05 Apr 2023 00:00:00 GMT</t>
  </si>
  <si>
    <t>Tue, 04 Apr 2023 00:00:00 GMT</t>
  </si>
  <si>
    <t>Mon, 03 Apr 2023 00:00:00 GMT</t>
  </si>
  <si>
    <t>Fri, 31 Mar 2023 00:00:00 GMT</t>
  </si>
  <si>
    <t>Thu, 30 Mar 2023 00:00:00 GMT</t>
  </si>
  <si>
    <t>Wed, 29 Mar 2023 00:00:00 GMT</t>
  </si>
  <si>
    <t>Tue, 28 Mar 2023 00:00:00 GMT</t>
  </si>
  <si>
    <t>Mon, 27 Mar 2023 00:00:00 GMT</t>
  </si>
  <si>
    <t>Fri, 24 Mar 2023 00:00:00 GMT</t>
  </si>
  <si>
    <t>Thu, 23 Mar 2023 00:00:00 GMT</t>
  </si>
  <si>
    <t>Wed, 22 Mar 2023 00:00:00 GMT</t>
  </si>
  <si>
    <t>Tue, 21 Mar 2023 00:00:00 GMT</t>
  </si>
  <si>
    <t>Mon, 20 Mar 2023 00:00:00 GMT</t>
  </si>
  <si>
    <t>Fri, 17 Mar 2023 00:00:00 GMT</t>
  </si>
  <si>
    <t>Thu, 16 Mar 2023 00:00:00 GMT</t>
  </si>
  <si>
    <t>Wed, 15 Mar 2023 00:00:00 GMT</t>
  </si>
  <si>
    <t>Tue, 14 Mar 2023 00:00:00 GMT</t>
  </si>
  <si>
    <t>Mon, 13 Mar 2023 00:00:00 GMT</t>
  </si>
  <si>
    <t>Fri, 10 Mar 2023 00:00:00 GMT</t>
  </si>
  <si>
    <t>Thu, 09 Mar 2023 00:00:00 GMT</t>
  </si>
  <si>
    <t>Wed, 08 Mar 2023 00:00:00 GMT</t>
  </si>
  <si>
    <t>Tue, 07 Mar 2023 00:00:00 GMT</t>
  </si>
  <si>
    <t>Mon, 06 Mar 2023 00:00:00 GMT</t>
  </si>
  <si>
    <t>Fri, 03 Mar 2023 00:00:00 GMT</t>
  </si>
  <si>
    <t>Thu, 02 Mar 2023 00:00:00 GMT</t>
  </si>
  <si>
    <t>Wed, 01 Mar 2023 00:00:00 GMT</t>
  </si>
  <si>
    <t>Tue, 28 Feb 2023 00:00:00 GMT</t>
  </si>
  <si>
    <t>Mon, 27 Feb 2023 00:00:00 GMT</t>
  </si>
  <si>
    <t>Fri, 24 Feb 2023 00:00:00 GMT</t>
  </si>
  <si>
    <t>Thu, 23 Feb 2023 00:00:00 GMT</t>
  </si>
  <si>
    <t>Wed, 22 Feb 2023 00:00:00 GMT</t>
  </si>
  <si>
    <t>Tue, 21 Feb 2023 00:00:00 GMT</t>
  </si>
  <si>
    <t>Fri, 17 Feb 2023 00:00:00 GMT</t>
  </si>
  <si>
    <t>Thu, 16 Feb 2023 00:00:00 GMT</t>
  </si>
  <si>
    <t>Wed, 15 Feb 2023 00:00:00 GMT</t>
  </si>
  <si>
    <t>Tue, 14 Feb 2023 00:00:00 GMT</t>
  </si>
  <si>
    <t>Mon, 13 Feb 2023 00:00:00 GMT</t>
  </si>
  <si>
    <t>Fri, 10 Feb 2023 00:00:00 GMT</t>
  </si>
  <si>
    <t>Thu, 09 Feb 2023 00:00:00 GMT</t>
  </si>
  <si>
    <t>Wed, 08 Feb 2023 00:00:00 GMT</t>
  </si>
  <si>
    <t>Tue, 07 Feb 2023 00:00:00 GMT</t>
  </si>
  <si>
    <t>Mon, 06 Feb 2023 00:00:00 GMT</t>
  </si>
  <si>
    <t>Fri, 03 Feb 2023 00:00:00 GMT</t>
  </si>
  <si>
    <t>Thu, 02 Feb 2023 00:00:00 GMT</t>
  </si>
  <si>
    <t>Wed, 01 Feb 2023 00:00:00 GMT</t>
  </si>
  <si>
    <t>Tue, 31 Jan 2023 00:00:00 GMT</t>
  </si>
  <si>
    <t>Mon, 30 Jan 2023 00:00:00 GMT</t>
  </si>
  <si>
    <t>Fri, 27 Jan 2023 00:00:00 GMT</t>
  </si>
  <si>
    <t>Thu, 26 Jan 2023 00:00:00 GMT</t>
  </si>
  <si>
    <t>Wed, 25 Jan 2023 00:00:00 GMT</t>
  </si>
  <si>
    <t>Tue, 24 Jan 2023 00:00:00 GMT</t>
  </si>
  <si>
    <t>Mon, 23 Jan 2023 00:00:00 GMT</t>
  </si>
  <si>
    <t>Fri, 20 Jan 2023 00:00:00 GMT</t>
  </si>
  <si>
    <t>Thu, 19 Jan 2023 00:00:00 GMT</t>
  </si>
  <si>
    <t>Wed, 18 Jan 2023 00:00:00 GMT</t>
  </si>
  <si>
    <t>Tue, 17 Jan 2023 00:00:00 GMT</t>
  </si>
  <si>
    <t>Fri, 13 Jan 2023 00:00:00 GMT</t>
  </si>
  <si>
    <t>Thu, 12 Jan 2023 00:00:00 GMT</t>
  </si>
  <si>
    <t>Wed, 11 Jan 2023 00:00:00 GMT</t>
  </si>
  <si>
    <t>Tue, 10 Jan 2023 00:00:00 GMT</t>
  </si>
  <si>
    <t>Mon, 09 Jan 2023 00:00:00 GMT</t>
  </si>
  <si>
    <t>Fri, 06 Jan 2023 00:00:00 GMT</t>
  </si>
  <si>
    <t>Thu, 05 Jan 2023 00:00:00 GMT</t>
  </si>
  <si>
    <t>Wed, 04 Jan 2023 00:00:00 GMT</t>
  </si>
  <si>
    <t>Tue, 03 Jan 2023 00:00:00 GMT</t>
  </si>
  <si>
    <t>Fri, 30 Dec 2022 00:00:00 GMT</t>
  </si>
  <si>
    <t>Thu, 29 Dec 2022 00:00:00 GMT</t>
  </si>
  <si>
    <t>Wed, 28 Dec 2022 00:00:00 GMT</t>
  </si>
  <si>
    <t>Tue, 27 Dec 2022 00:00:00 GMT</t>
  </si>
  <si>
    <t>Fri, 23 Dec 2022 00:00:00 GMT</t>
  </si>
  <si>
    <t>Thu, 22 Dec 2022 00:00:00 GMT</t>
  </si>
  <si>
    <t>Wed, 21 Dec 2022 00:00:00 GMT</t>
  </si>
  <si>
    <t>Tue, 20 Dec 2022 00:00:00 GMT</t>
  </si>
  <si>
    <t>Mon, 19 Dec 2022 00:00:00 GMT</t>
  </si>
  <si>
    <t>Fri, 16 Dec 2022 00:00:00 GMT</t>
  </si>
  <si>
    <t>Thu, 15 Dec 2022 00:00:00 GMT</t>
  </si>
  <si>
    <t>Wed, 14 Dec 2022 00:00:00 GMT</t>
  </si>
  <si>
    <t>Tue, 13 Dec 2022 00:00:00 GMT</t>
  </si>
  <si>
    <t>Mon, 12 Dec 2022 00:00:00 GMT</t>
  </si>
  <si>
    <t>Fri, 09 Dec 2022 00:00:00 GMT</t>
  </si>
  <si>
    <t>Thu, 08 Dec 2022 00:00:00 GMT</t>
  </si>
  <si>
    <t>Wed, 07 Dec 2022 00:00:00 GMT</t>
  </si>
  <si>
    <t>Tue, 06 Dec 2022 00:00:00 GMT</t>
  </si>
  <si>
    <t>Mon, 05 Dec 2022 00:00:00 GMT</t>
  </si>
  <si>
    <t>Fri, 02 Dec 2022 00:00:00 GMT</t>
  </si>
  <si>
    <t>Thu, 01 Dec 2022 00:00:00 GMT</t>
  </si>
  <si>
    <t>Wed, 30 Nov 2022 00:00:00 GMT</t>
  </si>
  <si>
    <t>Tue, 29 Nov 2022 00:00:00 GMT</t>
  </si>
  <si>
    <t>Mon, 28 Nov 2022 00:00:00 GMT</t>
  </si>
  <si>
    <t>Fri, 25 Nov 2022 00:00:00 GMT</t>
  </si>
  <si>
    <t>Wed, 23 Nov 2022 00:00:00 GMT</t>
  </si>
  <si>
    <t>Tue, 22 Nov 2022 00:00:00 GMT</t>
  </si>
  <si>
    <t>Mon, 21 Nov 2022 00:00:00 GMT</t>
  </si>
  <si>
    <t>Fri, 18 Nov 2022 00:00:00 GMT</t>
  </si>
  <si>
    <t>Thu, 17 Nov 2022 00:00:00 GMT</t>
  </si>
  <si>
    <t>Wed, 16 Nov 2022 00:00:00 GMT</t>
  </si>
  <si>
    <t>Tue, 15 Nov 2022 00:00:00 GMT</t>
  </si>
  <si>
    <t>Mon, 14 Nov 2022 00:00:00 GMT</t>
  </si>
  <si>
    <t>Fri, 11 Nov 2022 00:00:00 GMT</t>
  </si>
  <si>
    <t>Thu, 10 Nov 2022 00:00:00 GMT</t>
  </si>
  <si>
    <t>Wed, 09 Nov 2022 00:00:00 GMT</t>
  </si>
  <si>
    <t>Tue, 08 Nov 2022 00:00:00 GMT</t>
  </si>
  <si>
    <t>Mon, 07 Nov 2022 00:00:00 GMT</t>
  </si>
  <si>
    <t>Fri, 04 Nov 2022 00:00:00 GMT</t>
  </si>
  <si>
    <t>Thu, 03 Nov 2022 00:00:00 GMT</t>
  </si>
  <si>
    <t>Wed, 02 Nov 2022 00:00:00 GMT</t>
  </si>
  <si>
    <t>Tue, 01 Nov 2022 00:00:00 GMT</t>
  </si>
  <si>
    <t>Mon, 31 Oct 2022 00:00:00 GMT</t>
  </si>
  <si>
    <t>Fri, 28 Oct 2022 00:00:00 GMT</t>
  </si>
  <si>
    <t>Thu, 27 Oct 2022 00:00:00 GMT</t>
  </si>
  <si>
    <t>Wed, 26 Oct 2022 00:00:00 GMT</t>
  </si>
  <si>
    <t>Tue, 25 Oct 2022 00:00:00 GMT</t>
  </si>
  <si>
    <t>Mon, 24 Oct 2022 00:00:00 GMT</t>
  </si>
  <si>
    <t>Fri, 21 Oct 2022 00:00:00 GMT</t>
  </si>
  <si>
    <t>Thu, 20 Oct 2022 00:00:00 GMT</t>
  </si>
  <si>
    <t>Wed, 19 Oct 2022 00:00:00 GMT</t>
  </si>
  <si>
    <t>Tue, 18 Oct 2022 00:00:00 GMT</t>
  </si>
  <si>
    <t>Mon, 17 Oct 2022 00:00:00 GMT</t>
  </si>
  <si>
    <t>Fri, 14 Oct 2022 00:00:00 GMT</t>
  </si>
  <si>
    <t>Thu, 13 Oct 2022 00:00:00 GMT</t>
  </si>
  <si>
    <t>Wed, 12 Oct 2022 00:00:00 GMT</t>
  </si>
  <si>
    <t>Tue, 11 Oct 2022 00:00:00 GMT</t>
  </si>
  <si>
    <t>Mon, 10 Oct 2022 00:00:00 GMT</t>
  </si>
  <si>
    <t>Fri, 07 Oct 2022 00:00:00 GMT</t>
  </si>
  <si>
    <t>Thu, 06 Oct 2022 00:00:00 GMT</t>
  </si>
  <si>
    <t>Wed, 05 Oct 2022 00:00:00 GMT</t>
  </si>
  <si>
    <t>Tue, 04 Oct 2022 00:00:00 GMT</t>
  </si>
  <si>
    <t>Mon, 03 Oct 2022 00:00:00 GMT</t>
  </si>
  <si>
    <t>Fri, 30 Sep 2022 00:00:00 GMT</t>
  </si>
  <si>
    <t>Thu, 29 Sep 2022 00:00:00 GMT</t>
  </si>
  <si>
    <t>Wed, 28 Sep 2022 00:00:00 GMT</t>
  </si>
  <si>
    <t>Tue, 27 Sep 2022 00:00:00 GMT</t>
  </si>
  <si>
    <t>Mon, 26 Sep 2022 00:00:00 GMT</t>
  </si>
  <si>
    <t>Fri, 23 Sep 2022 00:00:00 GMT</t>
  </si>
  <si>
    <t>Thu, 22 Sep 2022 00:00:00 GMT</t>
  </si>
  <si>
    <t>Wed, 21 Sep 2022 00:00:00 GMT</t>
  </si>
  <si>
    <t>Tue, 20 Sep 2022 00:00:00 GMT</t>
  </si>
  <si>
    <t>Mon, 19 Sep 2022 00:00:00 GMT</t>
  </si>
  <si>
    <t>Fri, 16 Sep 2022 00:00:00 GMT</t>
  </si>
  <si>
    <t>Thu, 15 Sep 2022 00:00:00 GMT</t>
  </si>
  <si>
    <t>Wed, 14 Sep 2022 00:00:00 GMT</t>
  </si>
  <si>
    <t>Tue, 13 Sep 2022 00:00:00 GMT</t>
  </si>
  <si>
    <t>Mon, 12 Sep 2022 00:00:00 GMT</t>
  </si>
  <si>
    <t>Fri, 09 Sep 2022 00:00:00 GMT</t>
  </si>
  <si>
    <t>Thu, 08 Sep 2022 00:00:00 GMT</t>
  </si>
  <si>
    <t>Wed, 07 Sep 2022 00:00:00 GMT</t>
  </si>
  <si>
    <t>Tue, 06 Sep 2022 00:00:00 GMT</t>
  </si>
  <si>
    <t>Fri, 02 Sep 2022 00:00:00 GMT</t>
  </si>
  <si>
    <t>Thu, 01 Sep 2022 00:00:00 GMT</t>
  </si>
  <si>
    <t>Wed, 31 Aug 2022 00:00:00 GMT</t>
  </si>
  <si>
    <t>Tue, 30 Aug 2022 00:00:00 GMT</t>
  </si>
  <si>
    <t>Mon, 29 Aug 2022 00:00:00 GMT</t>
  </si>
  <si>
    <t>Fri, 26 Aug 2022 00:00:00 GMT</t>
  </si>
  <si>
    <t>Thu, 25 Aug 2022 00:00:00 GMT</t>
  </si>
  <si>
    <t>Wed, 24 Aug 2022 00:00:00 GMT</t>
  </si>
  <si>
    <t>Tue, 23 Aug 2022 00:00:00 GMT</t>
  </si>
  <si>
    <t>Mon, 22 Aug 2022 00:00:00 GMT</t>
  </si>
  <si>
    <t>Fri, 19 Aug 2022 00:00:00 GMT</t>
  </si>
  <si>
    <t>Thu, 18 Aug 2022 00:00:00 GMT</t>
  </si>
  <si>
    <t>Wed, 17 Aug 2022 00:00:00 GMT</t>
  </si>
  <si>
    <t>Tue, 16 Aug 2022 00:00:00 GMT</t>
  </si>
  <si>
    <t>Mon, 15 Aug 2022 00:00:00 GMT</t>
  </si>
  <si>
    <t>Fri, 12 Aug 2022 00:00:00 GMT</t>
  </si>
  <si>
    <t>Thu, 11 Aug 2022 00:00:00 GMT</t>
  </si>
  <si>
    <t>Wed, 10 Aug 2022 00:00:00 GMT</t>
  </si>
  <si>
    <t>Tue, 09 Aug 2022 00:00:00 GMT</t>
  </si>
  <si>
    <t>Mon, 08 Aug 2022 00:00:00 GMT</t>
  </si>
  <si>
    <t>Fri, 05 Aug 2022 00:00:00 GMT</t>
  </si>
  <si>
    <t>Thu, 04 Aug 2022 00:00:00 GMT</t>
  </si>
  <si>
    <t>Wed, 03 Aug 2022 00:00:00 GMT</t>
  </si>
  <si>
    <t>Tue, 02 Aug 2022 00:00:00 GMT</t>
  </si>
  <si>
    <t>Mon, 01 Aug 2022 00:00:00 GMT</t>
  </si>
  <si>
    <t>Fri, 29 Jul 2022 00:00:00 GMT</t>
  </si>
  <si>
    <t>Thu, 28 Jul 2022 00:00:00 GMT</t>
  </si>
  <si>
    <t>Wed, 27 Jul 2022 00:00:00 GMT</t>
  </si>
  <si>
    <t>Tue, 26 Jul 2022 00:00:00 GMT</t>
  </si>
  <si>
    <t>Mon, 25 Jul 2022 00:00:00 GMT</t>
  </si>
  <si>
    <t>Fri, 22 Jul 2022 00:00:00 GMT</t>
  </si>
  <si>
    <t>Thu, 21 Jul 2022 00:00:00 GMT</t>
  </si>
  <si>
    <t>Wed, 20 Jul 2022 00:00:00 GMT</t>
  </si>
  <si>
    <t>Tue, 19 Jul 2022 00:00:00 GMT</t>
  </si>
  <si>
    <t>Mon, 18 Jul 2022 00:00:00 GMT</t>
  </si>
  <si>
    <t>Fri, 15 Jul 2022 00:00:00 GMT</t>
  </si>
  <si>
    <t>Thu, 14 Jul 2022 00:00:00 GMT</t>
  </si>
  <si>
    <t>Wed, 13 Jul 2022 00:00:00 GMT</t>
  </si>
  <si>
    <t>Tue, 12 Jul 2022 00:00:00 GMT</t>
  </si>
  <si>
    <t>Mon, 11 Jul 2022 00:00:00 GMT</t>
  </si>
  <si>
    <t>Fri, 08 Jul 2022 00:00:00 GMT</t>
  </si>
  <si>
    <t>Thu, 07 Jul 2022 00:00:00 GMT</t>
  </si>
  <si>
    <t>Wed, 06 Jul 2022 00:00:00 GMT</t>
  </si>
  <si>
    <t>Tue, 05 Jul 2022 00:00:00 GMT</t>
  </si>
  <si>
    <t>Fri, 01 Jul 2022 00:00:00 GMT</t>
  </si>
  <si>
    <t>Thu, 30 Jun 2022 00:00:00 GMT</t>
  </si>
  <si>
    <t>Wed, 29 Jun 2022 00:00:00 GMT</t>
  </si>
  <si>
    <t>Tue, 28 Jun 2022 00:00:00 GMT</t>
  </si>
  <si>
    <t>Mon, 27 Jun 2022 00:00:00 GMT</t>
  </si>
  <si>
    <t>Fri, 24 Jun 2022 00:00:00 GMT</t>
  </si>
  <si>
    <t>Thu, 23 Jun 2022 00:00:00 GMT</t>
  </si>
  <si>
    <t>Wed, 22 Jun 2022 00:00:00 GMT</t>
  </si>
  <si>
    <t>Tue, 21 Jun 2022 00:00:00 GMT</t>
  </si>
  <si>
    <t>Fri, 17 Jun 2022 00:00:00 GMT</t>
  </si>
  <si>
    <t>Thu, 16 Jun 2022 00:00:00 GMT</t>
  </si>
  <si>
    <t>Wed, 15 Jun 2022 00:00:00 GMT</t>
  </si>
  <si>
    <t>Tue, 14 Jun 2022 00:00:00 GMT</t>
  </si>
  <si>
    <t>Mon, 13 Jun 2022 00:00:00 GMT</t>
  </si>
  <si>
    <t>Fri, 10 Jun 2022 00:00:00 GMT</t>
  </si>
  <si>
    <t>Thu, 09 Jun 2022 00:00:00 GMT</t>
  </si>
  <si>
    <t>Wed, 08 Jun 2022 00:00:00 GMT</t>
  </si>
  <si>
    <t>Tue, 07 Jun 2022 00:00:00 GMT</t>
  </si>
  <si>
    <t>Mon, 06 Jun 2022 00:00:00 GMT</t>
  </si>
  <si>
    <t>Fri, 03 Jun 2022 00:00:00 GMT</t>
  </si>
  <si>
    <t>Thu, 02 Jun 2022 00:00:00 GMT</t>
  </si>
  <si>
    <t>Wed, 01 Jun 2022 00:00:00 GMT</t>
  </si>
  <si>
    <t>Tue, 31 May 2022 00:00:00 GMT</t>
  </si>
  <si>
    <t>Fri, 27 May 2022 00:00:00 GMT</t>
  </si>
  <si>
    <t>Thu, 26 May 2022 00:00:00 GMT</t>
  </si>
  <si>
    <t>Wed, 25 May 2022 00:00:00 GMT</t>
  </si>
  <si>
    <t>Tue, 24 May 2022 00:00:00 GMT</t>
  </si>
  <si>
    <t>Mon, 23 May 2022 00:00:00 GMT</t>
  </si>
  <si>
    <t>Fri, 20 May 2022 00:00:00 GMT</t>
  </si>
  <si>
    <t>Thu, 19 May 2022 00:00:00 GMT</t>
  </si>
  <si>
    <t>Wed, 18 May 2022 00:00:00 GMT</t>
  </si>
  <si>
    <t>Tue, 17 May 2022 00:00:00 GMT</t>
  </si>
  <si>
    <t>Mon, 16 May 2022 00:00:00 GMT</t>
  </si>
  <si>
    <t>Fri, 13 May 2022 00:00:00 GMT</t>
  </si>
  <si>
    <t>Thu, 12 May 2022 00:00:00 GMT</t>
  </si>
  <si>
    <t>Wed, 11 May 2022 00:00:00 GMT</t>
  </si>
  <si>
    <t>Tue, 10 May 2022 00:00:00 GMT</t>
  </si>
  <si>
    <t>Mon, 09 May 2022 00:00:00 GMT</t>
  </si>
  <si>
    <t>Fri, 06 May 2022 00:00:00 GMT</t>
  </si>
  <si>
    <t>Thu, 05 May 2022 00:00:00 GMT</t>
  </si>
  <si>
    <t>Wed, 04 May 2022 00:00:00 GMT</t>
  </si>
  <si>
    <t>Tue, 03 May 2022 00:00:00 GMT</t>
  </si>
  <si>
    <t>Mon, 02 May 2022 00:00:00 GMT</t>
  </si>
  <si>
    <t>Fri, 29 Apr 2022 00:00:00 GMT</t>
  </si>
  <si>
    <t>Thu, 28 Apr 2022 00:00:00 GMT</t>
  </si>
  <si>
    <t>Wed, 27 Apr 2022 00:00:00 GMT</t>
  </si>
  <si>
    <t>Tue, 26 Apr 2022 00:00:00 GMT</t>
  </si>
  <si>
    <t>Mon, 25 Apr 2022 00:00:00 GMT</t>
  </si>
  <si>
    <t>Fri, 22 Apr 2022 00:00:00 GMT</t>
  </si>
  <si>
    <t>Thu, 21 Apr 2022 00:00:00 GMT</t>
  </si>
  <si>
    <t>Wed, 20 Apr 2022 00:00:00 GMT</t>
  </si>
  <si>
    <t>Tue, 19 Apr 2022 00:00:00 GMT</t>
  </si>
  <si>
    <t>Mon, 18 Apr 2022 00:00:00 GMT</t>
  </si>
  <si>
    <t>Thu, 14 Apr 2022 00:00:00 GMT</t>
  </si>
  <si>
    <t>Wed, 13 Apr 2022 00:00:00 GMT</t>
  </si>
  <si>
    <t>Tue, 12 Apr 2022 00:00:00 GMT</t>
  </si>
  <si>
    <t>Mon, 11 Apr 2022 00:00:00 GMT</t>
  </si>
  <si>
    <t>Fri, 08 Apr 2022 00:00:00 GMT</t>
  </si>
  <si>
    <t>Thu, 07 Apr 2022 00:00:00 GMT</t>
  </si>
  <si>
    <t>Wed, 06 Apr 2022 00:00:00 GMT</t>
  </si>
  <si>
    <t>Tue, 05 Apr 2022 00:00:00 GMT</t>
  </si>
  <si>
    <t>Mon, 04 Apr 2022 00:00:00 GMT</t>
  </si>
  <si>
    <t>Fri, 01 Apr 2022 00:00:00 GMT</t>
  </si>
  <si>
    <t>Thu, 31 Mar 2022 00:00:00 GMT</t>
  </si>
  <si>
    <t>Wed, 30 Mar 2022 00:00:00 GMT</t>
  </si>
  <si>
    <t>Tue, 29 Mar 2022 00:00:00 GMT</t>
  </si>
  <si>
    <t>Mon, 28 Mar 2022 00:00:00 GMT</t>
  </si>
  <si>
    <t>Fri, 25 Mar 2022 00:00:00 GMT</t>
  </si>
  <si>
    <t>Thu, 24 Mar 2022 00:00:00 GMT</t>
  </si>
  <si>
    <t>Wed, 23 Mar 2022 00:00:00 GMT</t>
  </si>
  <si>
    <t>Tue, 22 Mar 2022 00:00:00 GMT</t>
  </si>
  <si>
    <t>Mon, 21 Mar 2022 00:00:00 GMT</t>
  </si>
  <si>
    <t>Fri, 18 Mar 2022 00:00:00 GMT</t>
  </si>
  <si>
    <t>Thu, 17 Mar 2022 00:00:00 GMT</t>
  </si>
  <si>
    <t>Wed, 16 Mar 2022 00:00:00 GMT</t>
  </si>
  <si>
    <t>Tue, 15 Mar 2022 00:00:00 GMT</t>
  </si>
  <si>
    <t>Mon, 14 Mar 2022 00:00:00 GMT</t>
  </si>
  <si>
    <t>Fri, 11 Mar 2022 00:00:00 GMT</t>
  </si>
  <si>
    <t>Thu, 10 Mar 2022 00:00:00 GMT</t>
  </si>
  <si>
    <t>Wed, 09 Mar 2022 00:00:00 GMT</t>
  </si>
  <si>
    <t>Tue, 08 Mar 2022 00:00:00 GMT</t>
  </si>
  <si>
    <t>Mon, 07 Mar 2022 00:00:00 GMT</t>
  </si>
  <si>
    <t>Fri, 04 Mar 2022 00:00:00 GMT</t>
  </si>
  <si>
    <t>Thu, 03 Mar 2022 00:00:00 GMT</t>
  </si>
  <si>
    <t>Wed, 02 Mar 2022 00:00:00 GMT</t>
  </si>
  <si>
    <t>Tue, 01 Mar 2022 00:00:00 GMT</t>
  </si>
  <si>
    <t>Mon, 28 Feb 2022 00:00:00 GMT</t>
  </si>
  <si>
    <t>Fri, 25 Feb 2022 00:00:00 GMT</t>
  </si>
  <si>
    <t>Thu, 24 Feb 2022 00:00:00 GMT</t>
  </si>
  <si>
    <t>Wed, 23 Feb 2022 00:00:00 GMT</t>
  </si>
  <si>
    <t>Tue, 22 Feb 2022 00:00:00 GMT</t>
  </si>
  <si>
    <t>Fri, 18 Feb 2022 00:00:00 GMT</t>
  </si>
  <si>
    <t>Thu, 17 Feb 2022 00:00:00 GMT</t>
  </si>
  <si>
    <t>Wed, 16 Feb 2022 00:00:00 GMT</t>
  </si>
  <si>
    <t>Tue, 15 Feb 2022 00:00:00 GMT</t>
  </si>
  <si>
    <t>Mon, 14 Feb 2022 00:00:00 GMT</t>
  </si>
  <si>
    <t>Fri, 11 Feb 2022 00:00:00 GMT</t>
  </si>
  <si>
    <t>Thu, 10 Feb 2022 00:00:00 GMT</t>
  </si>
  <si>
    <t>Wed, 09 Feb 2022 00:00:00 GMT</t>
  </si>
  <si>
    <t>Tue, 08 Feb 2022 00:00:00 GMT</t>
  </si>
  <si>
    <t>Mon, 07 Feb 2022 00:00:00 GMT</t>
  </si>
  <si>
    <t>Fri, 04 Feb 2022 00:00:00 GMT</t>
  </si>
  <si>
    <t>Thu, 03 Feb 2022 00:00:00 GMT</t>
  </si>
  <si>
    <t>Wed, 02 Feb 2022 00:00:00 GMT</t>
  </si>
  <si>
    <t>Tue, 01 Feb 2022 00:00:00 GMT</t>
  </si>
  <si>
    <t>Mon, 31 Jan 2022 00:00:00 GMT</t>
  </si>
  <si>
    <t>Fri, 28 Jan 2022 00:00:00 GMT</t>
  </si>
  <si>
    <t>Thu, 27 Jan 2022 00:00:00 GMT</t>
  </si>
  <si>
    <t>Wed, 26 Jan 2022 00:00:00 GMT</t>
  </si>
  <si>
    <t>Tue, 25 Jan 2022 00:00:00 GMT</t>
  </si>
  <si>
    <t>Mon, 24 Jan 2022 00:00:00 GMT</t>
  </si>
  <si>
    <t>Fri, 21 Jan 2022 00:00:00 GMT</t>
  </si>
  <si>
    <t>Thu, 20 Jan 2022 00:00:00 GMT</t>
  </si>
  <si>
    <t>Wed, 19 Jan 2022 00:00:00 GMT</t>
  </si>
  <si>
    <t>Tue, 18 Jan 2022 00:00:00 GMT</t>
  </si>
  <si>
    <t>Fri, 14 Jan 2022 00:00:00 GMT</t>
  </si>
  <si>
    <t>Thu, 13 Jan 2022 00:00:00 GMT</t>
  </si>
  <si>
    <t>Wed, 12 Jan 2022 00:00:00 GMT</t>
  </si>
  <si>
    <t>Tue, 11 Jan 2022 00:00:00 GMT</t>
  </si>
  <si>
    <t>Mon, 10 Jan 2022 00:00:00 GMT</t>
  </si>
  <si>
    <t>Fri, 07 Jan 2022 00:00:00 GMT</t>
  </si>
  <si>
    <t>Thu, 06 Jan 2022 00:00:00 GMT</t>
  </si>
  <si>
    <t>Wed, 05 Jan 2022 00:00:00 GMT</t>
  </si>
  <si>
    <t>Tue, 04 Jan 2022 00:00:00 GMT</t>
  </si>
  <si>
    <t>Mon, 03 Jan 2022 00:00:00 GMT</t>
  </si>
  <si>
    <t>Fri, 31 Dec 2021 00:00:00 GMT</t>
  </si>
  <si>
    <t>Thu, 30 Dec 2021 00:00:00 GMT</t>
  </si>
  <si>
    <t>Wed, 29 Dec 2021 00:00:00 GMT</t>
  </si>
  <si>
    <t>Tue, 28 Dec 2021 00:00:00 GMT</t>
  </si>
  <si>
    <t>Mon, 27 Dec 2021 00:00:00 GMT</t>
  </si>
  <si>
    <t>Thu, 23 Dec 2021 00:00:00 GMT</t>
  </si>
  <si>
    <t>Wed, 22 Dec 2021 00:00:00 GMT</t>
  </si>
  <si>
    <t>Tue, 21 Dec 2021 00:00:00 GMT</t>
  </si>
  <si>
    <t>Mon, 20 Dec 2021 00:00:00 GMT</t>
  </si>
  <si>
    <t>Fri, 17 Dec 2021 00:00:00 GMT</t>
  </si>
  <si>
    <t>Thu, 16 Dec 2021 00:00:00 GMT</t>
  </si>
  <si>
    <t>Wed, 15 Dec 2021 00:00:00 GMT</t>
  </si>
  <si>
    <t>Tue, 14 Dec 2021 00:00:00 GMT</t>
  </si>
  <si>
    <t>Mon, 13 Dec 2021 00:00:00 GMT</t>
  </si>
  <si>
    <t>Fri, 10 Dec 2021 00:00:00 GMT</t>
  </si>
  <si>
    <t>Thu, 09 Dec 2021 00:00:00 GMT</t>
  </si>
  <si>
    <t>Wed, 08 Dec 2021 00:00:00 GMT</t>
  </si>
  <si>
    <t>Tue, 07 Dec 2021 00:00:00 GMT</t>
  </si>
  <si>
    <t>Mon, 06 Dec 2021 00:00:00 GMT</t>
  </si>
  <si>
    <t>Fri, 03 Dec 2021 00:00:00 GMT</t>
  </si>
  <si>
    <t>Thu, 02 Dec 2021 00:00:00 GMT</t>
  </si>
  <si>
    <t>Wed, 01 Dec 2021 00:00:00 GMT</t>
  </si>
  <si>
    <t>Tue, 30 Nov 2021 00:00:00 GMT</t>
  </si>
  <si>
    <t>Mon, 29 Nov 2021 00:00:00 GMT</t>
  </si>
  <si>
    <t>Fri, 26 Nov 2021 00:00:00 GMT</t>
  </si>
  <si>
    <t>Wed, 24 Nov 2021 00:00:00 GMT</t>
  </si>
  <si>
    <t>Tue, 23 Nov 2021 00:00:00 GMT</t>
  </si>
  <si>
    <t>Mon, 22 Nov 2021 00:00:00 GMT</t>
  </si>
  <si>
    <t>Fri, 19 Nov 2021 00:00:00 GMT</t>
  </si>
  <si>
    <t>Thu, 18 Nov 2021 00:00:00 GMT</t>
  </si>
  <si>
    <t>Wed, 17 Nov 2021 00:00:00 GMT</t>
  </si>
  <si>
    <t>Tue, 16 Nov 2021 00:00:00 GMT</t>
  </si>
  <si>
    <t>Mon, 15 Nov 2021 00:00:00 GMT</t>
  </si>
  <si>
    <t>Fri, 12 Nov 2021 00:00:00 GMT</t>
  </si>
  <si>
    <t>Thu, 11 Nov 2021 00:00:00 GMT</t>
  </si>
  <si>
    <t>Wed, 10 Nov 2021 00:00:00 GMT</t>
  </si>
  <si>
    <t>Tue, 09 Nov 2021 00:00:00 GMT</t>
  </si>
  <si>
    <t>Mon, 08 Nov 2021 00:00:00 GMT</t>
  </si>
  <si>
    <t>Fri, 05 Nov 2021 00:00:00 GMT</t>
  </si>
  <si>
    <t>Thu, 04 Nov 2021 00:00:00 GMT</t>
  </si>
  <si>
    <t>Wed, 03 Nov 2021 00:00:00 GMT</t>
  </si>
  <si>
    <t>Tue, 02 Nov 2021 00:00:00 GMT</t>
  </si>
  <si>
    <t>Mon, 01 Nov 2021 00:00:00 GMT</t>
  </si>
  <si>
    <t>Fri, 29 Oct 2021 00:00:00 GMT</t>
  </si>
  <si>
    <t>Thu, 28 Oct 2021 00:00:00 GMT</t>
  </si>
  <si>
    <t>Wed, 27 Oct 2021 00:00:00 GMT</t>
  </si>
  <si>
    <t>Tue, 26 Oct 2021 00:00:00 GMT</t>
  </si>
  <si>
    <t>Mon, 25 Oct 2021 00:00:00 GMT</t>
  </si>
  <si>
    <t>Fri, 22 Oct 2021 00:00:00 GMT</t>
  </si>
  <si>
    <t>Thu, 21 Oct 2021 00:00:00 GMT</t>
  </si>
  <si>
    <t>Wed, 20 Oct 2021 00:00:00 GMT</t>
  </si>
  <si>
    <t>Tue, 19 Oct 2021 00:00:00 GMT</t>
  </si>
  <si>
    <t>Mon, 18 Oct 2021 00:00:00 GMT</t>
  </si>
  <si>
    <t>Fri, 15 Oct 2021 00:00:00 GMT</t>
  </si>
  <si>
    <t>Thu, 14 Oct 2021 00:00:00 GMT</t>
  </si>
  <si>
    <t>Wed, 13 Oct 2021 00:00:00 GMT</t>
  </si>
  <si>
    <t>Tue, 12 Oct 2021 00:00:00 GMT</t>
  </si>
  <si>
    <t>Mon, 11 Oct 2021 00:00:00 GMT</t>
  </si>
  <si>
    <t>Fri, 08 Oct 2021 00:00:00 GMT</t>
  </si>
  <si>
    <t>Thu, 07 Oct 2021 00:00:00 GMT</t>
  </si>
  <si>
    <t>Wed, 06 Oct 2021 00:00:00 GMT</t>
  </si>
  <si>
    <t>Tue, 05 Oct 2021 00:00:00 GMT</t>
  </si>
  <si>
    <t>Mon, 04 Oct 2021 00:00:00 GMT</t>
  </si>
  <si>
    <t>Fri, 01 Oct 2021 00:00:00 GMT</t>
  </si>
  <si>
    <t>Thu, 30 Sep 2021 00:00:00 GMT</t>
  </si>
  <si>
    <t>Wed, 29 Sep 2021 00:00:00 GMT</t>
  </si>
  <si>
    <t>Tue, 28 Sep 2021 00:00:00 GMT</t>
  </si>
  <si>
    <t>Mon, 27 Sep 2021 00:00:00 GMT</t>
  </si>
  <si>
    <t>Fri, 24 Sep 2021 00:00:00 GMT</t>
  </si>
  <si>
    <t>Thu, 23 Sep 2021 00:00:00 GMT</t>
  </si>
  <si>
    <t>Wed, 22 Sep 2021 00:00:00 GMT</t>
  </si>
  <si>
    <t>Tue, 21 Sep 2021 00:00:00 GMT</t>
  </si>
  <si>
    <t>Mon, 20 Sep 2021 00:00:00 GMT</t>
  </si>
  <si>
    <t>Fri, 17 Sep 2021 00:00:00 GMT</t>
  </si>
  <si>
    <t>Thu, 16 Sep 2021 00:00:00 GMT</t>
  </si>
  <si>
    <t>Wed, 15 Sep 2021 00:00:00 GMT</t>
  </si>
  <si>
    <t>Tue, 14 Sep 2021 00:00:00 GMT</t>
  </si>
  <si>
    <t>Mon, 13 Sep 2021 00:00:00 GMT</t>
  </si>
  <si>
    <t>Fri, 10 Sep 2021 00:00:00 GMT</t>
  </si>
  <si>
    <t>Thu, 09 Sep 2021 00:00:00 GMT</t>
  </si>
  <si>
    <t>Wed, 08 Sep 2021 00:00:00 GMT</t>
  </si>
  <si>
    <t>Tue, 07 Sep 2021 00:00:00 GMT</t>
  </si>
  <si>
    <t>Fri, 03 Sep 2021 00:00:00 GMT</t>
  </si>
  <si>
    <t>Thu, 02 Sep 2021 00:00:00 GMT</t>
  </si>
  <si>
    <t>Wed, 01 Sep 2021 00:00:00 GMT</t>
  </si>
  <si>
    <t>Tue, 31 Aug 2021 00:00:00 GMT</t>
  </si>
  <si>
    <t>Mon, 30 Aug 2021 00:00:00 GMT</t>
  </si>
  <si>
    <t>Fri, 27 Aug 2021 00:00:00 GMT</t>
  </si>
  <si>
    <t>Thu, 26 Aug 2021 00:00:00 GMT</t>
  </si>
  <si>
    <t>Wed, 25 Aug 2021 00:00:00 GMT</t>
  </si>
  <si>
    <t>Tue, 24 Aug 2021 00:00:00 GMT</t>
  </si>
  <si>
    <t>Mon, 23 Aug 2021 00:00:00 GMT</t>
  </si>
  <si>
    <t>Fri, 20 Aug 2021 00:00:00 GMT</t>
  </si>
  <si>
    <t>Thu, 19 Aug 2021 00:00:00 GMT</t>
  </si>
  <si>
    <t>Wed, 18 Aug 2021 00:00:00 GMT</t>
  </si>
  <si>
    <t>Tue, 17 Aug 2021 00:00:00 GMT</t>
  </si>
  <si>
    <t>Mon, 16 Aug 2021 00:00:00 GMT</t>
  </si>
  <si>
    <t>Fri, 13 Aug 2021 00:00:00 GMT</t>
  </si>
  <si>
    <t>Thu, 12 Aug 2021 00:00:00 GMT</t>
  </si>
  <si>
    <t>Wed, 11 Aug 2021 00:00:00 GMT</t>
  </si>
  <si>
    <t>Tue, 10 Aug 2021 00:00:00 GMT</t>
  </si>
  <si>
    <t>Mon, 09 Aug 2021 00:00:00 GMT</t>
  </si>
  <si>
    <t>Fri, 06 Aug 2021 00:00:00 GMT</t>
  </si>
  <si>
    <t>Thu, 05 Aug 2021 00:00:00 GMT</t>
  </si>
  <si>
    <t>Wed, 04 Aug 2021 00:00:00 GMT</t>
  </si>
  <si>
    <t>Tue, 03 Aug 2021 00:00:00 GMT</t>
  </si>
  <si>
    <t>Mon, 02 Aug 2021 00:00:00 GMT</t>
  </si>
  <si>
    <t>Fri, 30 Jul 2021 00:00:00 GMT</t>
  </si>
  <si>
    <t>Thu, 29 Jul 2021 00:00:00 GMT</t>
  </si>
  <si>
    <t>Wed, 28 Jul 2021 00:00:00 GMT</t>
  </si>
  <si>
    <t>Tue, 27 Jul 2021 00:00:00 GMT</t>
  </si>
  <si>
    <t>Mon, 26 Jul 2021 00:00:00 GMT</t>
  </si>
  <si>
    <t>Fri, 23 Jul 2021 00:00:00 GMT</t>
  </si>
  <si>
    <t>Thu, 22 Jul 2021 00:00:00 GMT</t>
  </si>
  <si>
    <t>Wed, 21 Jul 2021 00:00:00 GMT</t>
  </si>
  <si>
    <t>Tue, 20 Jul 2021 00:00:00 GMT</t>
  </si>
  <si>
    <t>Mon, 19 Jul 2021 00:00:00 GMT</t>
  </si>
  <si>
    <t>Fri, 16 Jul 2021 00:00:00 GMT</t>
  </si>
  <si>
    <t>Thu, 15 Jul 2021 00:00:00 GMT</t>
  </si>
  <si>
    <t>Wed, 14 Jul 2021 00:00:00 GMT</t>
  </si>
  <si>
    <t>Tue, 13 Jul 2021 00:00:00 GMT</t>
  </si>
  <si>
    <t>Mon, 12 Jul 2021 00:00:00 GMT</t>
  </si>
  <si>
    <t>Fri, 09 Jul 2021 00:00:00 GMT</t>
  </si>
  <si>
    <t>Thu, 08 Jul 2021 00:00:00 GMT</t>
  </si>
  <si>
    <t>Wed, 07 Jul 2021 00:00:00 GMT</t>
  </si>
  <si>
    <t>Tue, 06 Jul 2021 00:00:00 GMT</t>
  </si>
  <si>
    <t>Fri, 02 Jul 2021 00:00:00 GMT</t>
  </si>
  <si>
    <t>Thu, 01 Jul 2021 00:00:00 GMT</t>
  </si>
  <si>
    <t>Wed, 30 Jun 2021 00:00:00 GMT</t>
  </si>
  <si>
    <t>Tue, 29 Jun 2021 00:00:00 GMT</t>
  </si>
  <si>
    <t>Mon, 28 Jun 2021 00:00:00 GMT</t>
  </si>
  <si>
    <t>Fri, 25 Jun 2021 00:00:00 GMT</t>
  </si>
  <si>
    <t>Thu, 24 Jun 2021 00:00:00 GMT</t>
  </si>
  <si>
    <t>Wed, 23 Jun 2021 00:00:00 GMT</t>
  </si>
  <si>
    <t>Tue, 22 Jun 2021 00:00:00 GMT</t>
  </si>
  <si>
    <t>Mon, 21 Jun 2021 00:00:00 GMT</t>
  </si>
  <si>
    <t>Fri, 18 Jun 2021 00:00:00 GMT</t>
  </si>
  <si>
    <t>Thu, 17 Jun 2021 00:00:00 GMT</t>
  </si>
  <si>
    <t>Wed, 16 Jun 2021 00:00:00 GMT</t>
  </si>
  <si>
    <t>Tue, 15 Jun 2021 00:00:00 GMT</t>
  </si>
  <si>
    <t>Mon, 14 Jun 2021 00:00:00 GMT</t>
  </si>
  <si>
    <t>Fri, 11 Jun 2021 00:00:00 GMT</t>
  </si>
  <si>
    <t>Thu, 10 Jun 2021 00:00:00 GMT</t>
  </si>
  <si>
    <t>Wed, 09 Jun 2021 00:00:00 GMT</t>
  </si>
  <si>
    <t>Tue, 08 Jun 2021 00:00:00 GMT</t>
  </si>
  <si>
    <t>Mon, 07 Jun 2021 00:00:00 GMT</t>
  </si>
  <si>
    <t>Fri, 04 Jun 2021 00:00:00 GMT</t>
  </si>
  <si>
    <t>Thu, 03 Jun 2021 00:00:00 GMT</t>
  </si>
  <si>
    <t>Wed, 02 Jun 2021 00:00:00 GMT</t>
  </si>
  <si>
    <t>Tue, 01 Jun 2021 00:00:00 GMT</t>
  </si>
  <si>
    <t>Fri, 28 May 2021 00:00:00 GMT</t>
  </si>
  <si>
    <t>Thu, 27 May 2021 00:00:00 GMT</t>
  </si>
  <si>
    <t>Wed, 26 May 2021 00:00:00 GMT</t>
  </si>
  <si>
    <t>Tue, 25 May 2021 00:00:00 GMT</t>
  </si>
  <si>
    <t>Mon, 24 May 2021 00:00:00 GMT</t>
  </si>
  <si>
    <t>Fri, 21 May 2021 00:00:00 GMT</t>
  </si>
  <si>
    <t>Thu, 20 May 2021 00:00:00 GMT</t>
  </si>
  <si>
    <t>Wed, 19 May 2021 00:00:00 GMT</t>
  </si>
  <si>
    <t>Tue, 18 May 2021 00:00:00 GMT</t>
  </si>
  <si>
    <t>Mon, 17 May 2021 00:00:00 GMT</t>
  </si>
  <si>
    <t>Fri, 14 May 2021 00:00:00 GMT</t>
  </si>
  <si>
    <t>Thu, 13 May 2021 00:00:00 GMT</t>
  </si>
  <si>
    <t>Wed, 12 May 2021 00:00:00 GMT</t>
  </si>
  <si>
    <t>Tue, 11 May 2021 00:00:00 GMT</t>
  </si>
  <si>
    <t>Mon, 10 May 2021 00:00:00 GMT</t>
  </si>
  <si>
    <t>Fri, 07 May 2021 00:00:00 GMT</t>
  </si>
  <si>
    <t>Thu, 06 May 2021 00:00:00 GMT</t>
  </si>
  <si>
    <t>Wed, 05 May 2021 00:00:00 GMT</t>
  </si>
  <si>
    <t>Tue, 04 May 2021 00:00:00 GMT</t>
  </si>
  <si>
    <t>Mon, 03 May 2021 00:00:00 GMT</t>
  </si>
  <si>
    <t>Fri, 30 Apr 2021 00:00:00 GMT</t>
  </si>
  <si>
    <t>Thu, 29 Apr 2021 00:00:00 GMT</t>
  </si>
  <si>
    <t>Wed, 28 Apr 2021 00:00:00 GMT</t>
  </si>
  <si>
    <t>Tue, 27 Apr 2021 00:00:00 GMT</t>
  </si>
  <si>
    <t>Mon, 26 Apr 2021 00:00:00 GMT</t>
  </si>
  <si>
    <t>Fri, 23 Apr 2021 00:00:00 GMT</t>
  </si>
  <si>
    <t>Thu, 22 Apr 2021 00:00:00 GMT</t>
  </si>
  <si>
    <t>Wed, 21 Apr 2021 00:00:00 GMT</t>
  </si>
  <si>
    <t>Tue, 20 Apr 2021 00:00:00 GMT</t>
  </si>
  <si>
    <t>Mon, 19 Apr 2021 00:00:00 GMT</t>
  </si>
  <si>
    <t>Fri, 16 Apr 2021 00:00:00 GMT</t>
  </si>
  <si>
    <t>Thu, 15 Apr 2021 00:00:00 GMT</t>
  </si>
  <si>
    <t>Wed, 14 Apr 2021 00:00:00 GMT</t>
  </si>
  <si>
    <t>Tue, 13 Apr 2021 00:00:00 GMT</t>
  </si>
  <si>
    <t>Mon, 12 Apr 2021 00:00:00 GMT</t>
  </si>
  <si>
    <t>Fri, 09 Apr 2021 00:00:00 GMT</t>
  </si>
  <si>
    <t>Thu, 08 Apr 2021 00:00:00 GMT</t>
  </si>
  <si>
    <t>Wed, 07 Apr 2021 00:00:00 GMT</t>
  </si>
  <si>
    <t>Tue, 06 Apr 2021 00:00:00 GMT</t>
  </si>
  <si>
    <t>Mon, 05 Apr 2021 00:00:00 GMT</t>
  </si>
  <si>
    <t>Thu, 01 Apr 2021 00:00:00 GMT</t>
  </si>
  <si>
    <t>Wed, 31 Mar 2021 00:00:00 GMT</t>
  </si>
  <si>
    <t>Tue, 30 Mar 2021 00:00:00 GMT</t>
  </si>
  <si>
    <t>Mon, 29 Mar 2021 00:00:00 GMT</t>
  </si>
  <si>
    <t>Fri, 26 Mar 2021 00:00:00 GMT</t>
  </si>
  <si>
    <t>Thu, 25 Mar 2021 00:00:00 GMT</t>
  </si>
  <si>
    <t>Wed, 24 Mar 2021 00:00:00 GMT</t>
  </si>
  <si>
    <t>Tue, 23 Mar 2021 00:00:00 GMT</t>
  </si>
  <si>
    <t>Mon, 22 Mar 2021 00:00:00 GMT</t>
  </si>
  <si>
    <t>Fri, 19 Mar 2021 00:00:00 GMT</t>
  </si>
  <si>
    <t>Thu, 18 Mar 2021 00:00:00 GMT</t>
  </si>
  <si>
    <t>Wed, 17 Mar 2021 00:00:00 GMT</t>
  </si>
  <si>
    <t>Tue, 16 Mar 2021 00:00:00 GMT</t>
  </si>
  <si>
    <t>Mon, 15 Mar 2021 00:00:00 GMT</t>
  </si>
  <si>
    <t>Fri, 12 Mar 2021 00:00:00 GMT</t>
  </si>
  <si>
    <t>Thu, 11 Mar 2021 00:00:00 GMT</t>
  </si>
  <si>
    <t>Wed, 10 Mar 2021 00:00:00 GMT</t>
  </si>
  <si>
    <t>Tue, 09 Mar 2021 00:00:00 GMT</t>
  </si>
  <si>
    <t>Mon, 08 Mar 2021 00:00:00 GMT</t>
  </si>
  <si>
    <t>Fri, 05 Mar 2021 00:00:00 GMT</t>
  </si>
  <si>
    <t>Thu, 04 Mar 2021 00:00:00 GMT</t>
  </si>
  <si>
    <t>Wed, 03 Mar 2021 00:00:00 GMT</t>
  </si>
  <si>
    <t>Tue, 02 Mar 2021 00:00:00 GMT</t>
  </si>
  <si>
    <t>Mon, 01 Mar 2021 00:00:00 GMT</t>
  </si>
  <si>
    <t>Fri, 26 Feb 2021 00:00:00 GMT</t>
  </si>
  <si>
    <t>Thu, 25 Feb 2021 00:00:00 GMT</t>
  </si>
  <si>
    <t>Wed, 24 Feb 2021 00:00:00 GMT</t>
  </si>
  <si>
    <t>Tue, 23 Feb 2021 00:00:00 GMT</t>
  </si>
  <si>
    <t>Mon, 22 Feb 2021 00:00:00 GMT</t>
  </si>
  <si>
    <t>Fri, 19 Feb 2021 00:00:00 GMT</t>
  </si>
  <si>
    <t>Thu, 18 Feb 2021 00:00:00 GMT</t>
  </si>
  <si>
    <t>Wed, 17 Feb 2021 00:00:00 GMT</t>
  </si>
  <si>
    <t>Tue, 16 Feb 2021 00:00:00 GMT</t>
  </si>
  <si>
    <t>Fri, 12 Feb 2021 00:00:00 GMT</t>
  </si>
  <si>
    <t>Thu, 11 Feb 2021 00:00:00 GMT</t>
  </si>
  <si>
    <t>Wed, 10 Feb 2021 00:00:00 GMT</t>
  </si>
  <si>
    <t>Tue, 09 Feb 2021 00:00:00 GMT</t>
  </si>
  <si>
    <t>Mon, 08 Feb 2021 00:00:00 GMT</t>
  </si>
  <si>
    <t>Fri, 05 Feb 2021 00:00:00 GMT</t>
  </si>
  <si>
    <t>Thu, 04 Feb 2021 00:00:00 GMT</t>
  </si>
  <si>
    <t>Wed, 03 Feb 2021 00:00:00 GMT</t>
  </si>
  <si>
    <t>Tue, 02 Feb 2021 00:00:00 GMT</t>
  </si>
  <si>
    <t>Mon, 01 Feb 2021 00:00:00 GMT</t>
  </si>
  <si>
    <t>Fri, 29 Jan 2021 00:00:00 GMT</t>
  </si>
  <si>
    <t>Thu, 28 Jan 2021 00:00:00 GMT</t>
  </si>
  <si>
    <t>Wed, 27 Jan 2021 00:00:00 GMT</t>
  </si>
  <si>
    <t>Tue, 26 Jan 2021 00:00:00 GMT</t>
  </si>
  <si>
    <t>Mon, 25 Jan 2021 00:00:00 GMT</t>
  </si>
  <si>
    <t>Fri, 22 Jan 2021 00:00:00 GMT</t>
  </si>
  <si>
    <t>Thu, 21 Jan 2021 00:00:00 GMT</t>
  </si>
  <si>
    <t>Wed, 20 Jan 2021 00:00:00 GMT</t>
  </si>
  <si>
    <t>Tue, 19 Jan 2021 00:00:00 GMT</t>
  </si>
  <si>
    <t>Fri, 15 Jan 2021 00:00:00 GMT</t>
  </si>
  <si>
    <t>Thu, 14 Jan 2021 00:00:00 GMT</t>
  </si>
  <si>
    <t>Wed, 13 Jan 2021 00:00:00 GMT</t>
  </si>
  <si>
    <t>Tue, 12 Jan 2021 00:00:00 GMT</t>
  </si>
  <si>
    <t>Mon, 11 Jan 2021 00:00:00 GMT</t>
  </si>
  <si>
    <t>Fri, 08 Jan 2021 00:00:00 GMT</t>
  </si>
  <si>
    <t>Thu, 07 Jan 2021 00:00:00 GMT</t>
  </si>
  <si>
    <t>Wed, 06 Jan 2021 00:00:00 GMT</t>
  </si>
  <si>
    <t>Tue, 05 Jan 2021 00:00:00 GMT</t>
  </si>
  <si>
    <t>Mon, 04 Jan 2021 00:00:00 GMT</t>
  </si>
  <si>
    <t>Thu, 31 Dec 2020 00:00:00 GMT</t>
  </si>
  <si>
    <t>Wed, 30 Dec 2020 00:00:00 GMT</t>
  </si>
  <si>
    <t>Tue, 29 Dec 2020 00:00:00 GMT</t>
  </si>
  <si>
    <t>Mon, 28 Dec 2020 00:00:00 GMT</t>
  </si>
  <si>
    <t>Thu, 24 Dec 2020 00:00:00 GMT</t>
  </si>
  <si>
    <t>Wed, 23 Dec 2020 00:00:00 GMT</t>
  </si>
  <si>
    <t>Tue, 22 Dec 2020 00:00:00 GMT</t>
  </si>
  <si>
    <t>Mon, 21 Dec 2020 00:00:00 GMT</t>
  </si>
  <si>
    <t>Fri, 18 Dec 2020 00:00:00 GMT</t>
  </si>
  <si>
    <t>Thu, 17 Dec 2020 00:00:00 GMT</t>
  </si>
  <si>
    <t>Wed, 16 Dec 2020 00:00:00 GMT</t>
  </si>
  <si>
    <t>Tue, 15 Dec 2020 00:00:00 GMT</t>
  </si>
  <si>
    <t>Mon, 14 Dec 2020 00:00:00 GMT</t>
  </si>
  <si>
    <t>Fri, 11 Dec 2020 00:00:00 GMT</t>
  </si>
  <si>
    <t>Thu, 10 Dec 2020 00:00:00 GMT</t>
  </si>
  <si>
    <t>Wed, 09 Dec 2020 00:00:00 GMT</t>
  </si>
  <si>
    <t>Tue, 08 Dec 2020 00:00:00 GMT</t>
  </si>
  <si>
    <t>Mon, 07 Dec 2020 00:00:00 GMT</t>
  </si>
  <si>
    <t>Fri, 04 Dec 2020 00:00:00 GMT</t>
  </si>
  <si>
    <t>Thu, 03 Dec 2020 00:00:00 GMT</t>
  </si>
  <si>
    <t>Wed, 02 Dec 2020 00:00:00 GMT</t>
  </si>
  <si>
    <t>Tue, 01 Dec 2020 00:00:00 GMT</t>
  </si>
  <si>
    <t>Mon, 30 Nov 2020 00:00:00 GMT</t>
  </si>
  <si>
    <t>Fri, 27 Nov 2020 00:00:00 GMT</t>
  </si>
  <si>
    <t>Wed, 25 Nov 2020 00:00:00 GMT</t>
  </si>
  <si>
    <t>Tue, 24 Nov 2020 00:00:00 GMT</t>
  </si>
  <si>
    <t>Mon, 23 Nov 2020 00:00:00 GMT</t>
  </si>
  <si>
    <t>Fri, 20 Nov 2020 00:00:00 GMT</t>
  </si>
  <si>
    <t>Thu, 19 Nov 2020 00:00:00 GMT</t>
  </si>
  <si>
    <t>Wed, 18 Nov 2020 00:00:00 GMT</t>
  </si>
  <si>
    <t>Tue, 17 Nov 2020 00:00:00 GMT</t>
  </si>
  <si>
    <t>Mon, 16 Nov 2020 00:00:00 GMT</t>
  </si>
  <si>
    <t>Fri, 13 Nov 2020 00:00:00 GMT</t>
  </si>
  <si>
    <t>Thu, 12 Nov 2020 00:00:00 GMT</t>
  </si>
  <si>
    <t>Wed, 11 Nov 2020 00:00:00 GMT</t>
  </si>
  <si>
    <t>Tue, 10 Nov 2020 00:00:00 GMT</t>
  </si>
  <si>
    <t>Mon, 09 Nov 2020 00:00:00 GMT</t>
  </si>
  <si>
    <t>Fri, 06 Nov 2020 00:00:00 GMT</t>
  </si>
  <si>
    <t>Thu, 05 Nov 2020 00:00:00 GMT</t>
  </si>
  <si>
    <t>Wed, 04 Nov 2020 00:00:00 GMT</t>
  </si>
  <si>
    <t>Tue, 03 Nov 2020 00:00:00 GMT</t>
  </si>
  <si>
    <t>Mon, 02 Nov 2020 00:00:00 GMT</t>
  </si>
  <si>
    <t>Fri, 30 Oct 2020 00:00:00 GMT</t>
  </si>
  <si>
    <t>Thu, 29 Oct 2020 00:00:00 GMT</t>
  </si>
  <si>
    <t>Wed, 28 Oct 2020 00:00:00 GMT</t>
  </si>
  <si>
    <t>Tue, 27 Oct 2020 00:00:00 GMT</t>
  </si>
  <si>
    <t>Mon, 26 Oct 2020 00:00:00 GMT</t>
  </si>
  <si>
    <t>Fri, 23 Oct 2020 00:00:00 GMT</t>
  </si>
  <si>
    <t>Thu, 22 Oct 2020 00:00:00 GMT</t>
  </si>
  <si>
    <t>Wed, 21 Oct 2020 00:00:00 GMT</t>
  </si>
  <si>
    <t>Tue, 20 Oct 2020 00:00:00 GMT</t>
  </si>
  <si>
    <t>Mon, 19 Oct 2020 00:00:00 GMT</t>
  </si>
  <si>
    <t>Fri, 16 Oct 2020 00:00:00 GMT</t>
  </si>
  <si>
    <t>Thu, 15 Oct 2020 00:00:00 GMT</t>
  </si>
  <si>
    <t>Wed, 14 Oct 2020 00:00:00 GMT</t>
  </si>
  <si>
    <t>Tue, 13 Oct 2020 00:00:00 GMT</t>
  </si>
  <si>
    <t>Mon, 12 Oct 2020 00:00:00 GMT</t>
  </si>
  <si>
    <t>Fri, 09 Oct 2020 00:00:00 GMT</t>
  </si>
  <si>
    <t>Thu, 08 Oct 2020 00:00:00 GMT</t>
  </si>
  <si>
    <t>Wed, 07 Oct 2020 00:00:00 GMT</t>
  </si>
  <si>
    <t>Tue, 06 Oct 2020 00:00:00 GMT</t>
  </si>
  <si>
    <t>Mon, 05 Oct 2020 00:00:00 GMT</t>
  </si>
  <si>
    <t>Fri, 02 Oct 2020 00:00:00 GMT</t>
  </si>
  <si>
    <t>Thu, 01 Oct 2020 00:00:00 GMT</t>
  </si>
  <si>
    <t>Wed, 30 Sep 2020 00:00:00 GMT</t>
  </si>
  <si>
    <t>Tue, 29 Sep 2020 00:00:00 GMT</t>
  </si>
  <si>
    <t>Mon, 28 Sep 2020 00:00:00 GMT</t>
  </si>
  <si>
    <t>Fri, 25 Sep 2020 00:00:00 GMT</t>
  </si>
  <si>
    <t>Thu, 24 Sep 2020 00:00:00 GMT</t>
  </si>
  <si>
    <t>Wed, 23 Sep 2020 00:00:00 GMT</t>
  </si>
  <si>
    <t>Tue, 22 Sep 2020 00:00:00 GMT</t>
  </si>
  <si>
    <t>Mon, 21 Sep 2020 00:00:00 GMT</t>
  </si>
  <si>
    <r>
      <t xml:space="preserve">1256 Trading Days? (From: </t>
    </r>
    <r>
      <rPr>
        <i/>
        <sz val="11"/>
        <color theme="1"/>
        <rFont val="Calibre"/>
      </rPr>
      <t>9/22/2020 - 9/22/2025</t>
    </r>
    <r>
      <rPr>
        <sz val="11"/>
        <color theme="1"/>
        <rFont val="Calibre"/>
      </rPr>
      <t>)</t>
    </r>
  </si>
  <si>
    <t>More</t>
  </si>
  <si>
    <t xml:space="preserve">Ttl Revenues </t>
  </si>
  <si>
    <t>Canada Revenue Growth Y/y</t>
  </si>
  <si>
    <t>Mexico Revenue Growth Y/y</t>
  </si>
  <si>
    <t>China Revenue Growth Y/y</t>
  </si>
  <si>
    <t>Other Revenue Growth Y/y</t>
  </si>
  <si>
    <t>Men's Apparel</t>
  </si>
  <si>
    <t>Women's Apparel</t>
  </si>
  <si>
    <t>Acccessories &amp; Other</t>
  </si>
  <si>
    <t>Women's Apparel Growth Y/y</t>
  </si>
  <si>
    <t>Men's Apparel Growth Y/y</t>
  </si>
  <si>
    <t>Acccessories &amp; Other Growth Y/y</t>
  </si>
  <si>
    <t>Canada % of Revenues</t>
  </si>
  <si>
    <t>Mexico % of Revenues</t>
  </si>
  <si>
    <t>China % of Revenues</t>
  </si>
  <si>
    <t>Other % of Revenues</t>
  </si>
  <si>
    <t>Canada Revenues</t>
  </si>
  <si>
    <t>Mexico Revenues</t>
  </si>
  <si>
    <t>China Revenues</t>
  </si>
  <si>
    <t>Other Revenues</t>
  </si>
  <si>
    <t>Women's Apparel % of Ttl Revenues</t>
  </si>
  <si>
    <t>Men's Apparel % of Ttl Revenues</t>
  </si>
  <si>
    <t>Acccessories &amp; Other % of Ttl Revenues</t>
  </si>
  <si>
    <t>SG&amp;A</t>
  </si>
  <si>
    <t>Amortization of Intangibles</t>
  </si>
  <si>
    <t>OI</t>
  </si>
  <si>
    <t>Other Income</t>
  </si>
  <si>
    <t>Pretax Income</t>
  </si>
  <si>
    <t>Taxes</t>
  </si>
  <si>
    <t>NI</t>
  </si>
  <si>
    <t>EPS</t>
  </si>
  <si>
    <t>A/R</t>
  </si>
  <si>
    <t>Inventories</t>
  </si>
  <si>
    <t>Preaid ST Expenses</t>
  </si>
  <si>
    <t>Prepaid ST Taxes</t>
  </si>
  <si>
    <t>PP&amp;E</t>
  </si>
  <si>
    <t xml:space="preserve">LT Prepaid Leases </t>
  </si>
  <si>
    <t>Goodwill</t>
  </si>
  <si>
    <t>LT Intangibles</t>
  </si>
  <si>
    <t>Prepaid LT Taxes</t>
  </si>
  <si>
    <t>Other LT Assets</t>
  </si>
  <si>
    <t>A/P</t>
  </si>
  <si>
    <t>Accrued ST Liabilities</t>
  </si>
  <si>
    <t>Accrued ST Comp.</t>
  </si>
  <si>
    <t>ST Lease Liabilities</t>
  </si>
  <si>
    <t>ST Taxes Payable</t>
  </si>
  <si>
    <t>ST Gift Card Liabilities</t>
  </si>
  <si>
    <t>Other ST Liabilities</t>
  </si>
  <si>
    <t>LT Lease Liabilities</t>
  </si>
  <si>
    <t>LT Income Taxes</t>
  </si>
  <si>
    <t>Other LT Liabilities</t>
  </si>
  <si>
    <t>Ttl Assets</t>
  </si>
  <si>
    <t>Ttl Liabilities</t>
  </si>
  <si>
    <t>SE</t>
  </si>
  <si>
    <t>Ttl L + SE</t>
  </si>
  <si>
    <t xml:space="preserve">General Notes/Observations </t>
  </si>
  <si>
    <t xml:space="preserve">Financial Stmts. Notes/Observations </t>
  </si>
  <si>
    <t>Sept.</t>
  </si>
  <si>
    <t>June</t>
  </si>
  <si>
    <t>Dec.</t>
  </si>
  <si>
    <t>Mar.</t>
  </si>
  <si>
    <t>Clothing / Consumer Discretionary has really been hammered the last year … LEVI is an outpreformer, but even their management team has ste tampered expectations for future earnings  in the coming quarters</t>
  </si>
  <si>
    <t>Revenue Breakdown by Segment</t>
  </si>
  <si>
    <t>Q3'25</t>
  </si>
  <si>
    <r>
      <rPr>
        <b/>
        <sz val="11"/>
        <color rgb="FF0070C0"/>
        <rFont val="Calibre"/>
      </rPr>
      <t>Avg.</t>
    </r>
    <r>
      <rPr>
        <sz val="11"/>
        <color rgb="FF0070C0"/>
        <rFont val="Calibre"/>
      </rPr>
      <t xml:space="preserve"> (2024-2025)</t>
    </r>
  </si>
  <si>
    <t>Capital Structure</t>
  </si>
  <si>
    <t>Mkt Cap</t>
  </si>
  <si>
    <t>Debt to Ttl Mkt Cap</t>
  </si>
  <si>
    <t>Mkt Equity to Ttl Mkt Cap</t>
  </si>
  <si>
    <t>LT Debt / Equity</t>
  </si>
  <si>
    <t>Cost of Equity</t>
  </si>
  <si>
    <t>Change Δ</t>
  </si>
  <si>
    <t>Market Return(1-year avg.)</t>
  </si>
  <si>
    <t xml:space="preserve">Cost of Equity </t>
  </si>
  <si>
    <t>Cost of Debt</t>
  </si>
  <si>
    <t>Tax Rate</t>
  </si>
  <si>
    <t>After Tax Cost of Debt</t>
  </si>
  <si>
    <t>WACC</t>
  </si>
  <si>
    <t>2/18/2025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</si>
</sst>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%"/>
    <numFmt numFmtId="166" formatCode="_(* #,##0.0_);_(* \(#,##0.0\);_(* &quot;-&quot;??_);_(@_)"/>
    <numFmt numFmtId="167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1"/>
      <color theme="4" tint="-0.249977111117893"/>
      <name val="Calibre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0" fontId="16" fillId="0" borderId="0" xfId="2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165" fontId="13" fillId="0" borderId="0" xfId="1" applyNumberFormat="1" applyFont="1" applyAlignment="1">
      <alignment vertical="top"/>
    </xf>
    <xf numFmtId="0" fontId="12" fillId="0" borderId="0" xfId="0" applyFont="1" applyAlignment="1">
      <alignment vertical="top"/>
    </xf>
    <xf numFmtId="2" fontId="13" fillId="0" borderId="0" xfId="0" applyNumberFormat="1" applyFont="1" applyAlignment="1">
      <alignment vertical="top"/>
    </xf>
    <xf numFmtId="10" fontId="2" fillId="0" borderId="0" xfId="1" applyNumberFormat="1" applyFont="1"/>
    <xf numFmtId="0" fontId="18" fillId="0" borderId="0" xfId="0" applyFont="1"/>
    <xf numFmtId="10" fontId="0" fillId="0" borderId="0" xfId="0" applyNumberFormat="1"/>
    <xf numFmtId="0" fontId="0" fillId="0" borderId="18" xfId="0" applyBorder="1"/>
    <xf numFmtId="0" fontId="9" fillId="0" borderId="17" xfId="0" applyFont="1" applyBorder="1" applyAlignment="1">
      <alignment horizontal="center"/>
    </xf>
    <xf numFmtId="1" fontId="2" fillId="0" borderId="0" xfId="0" applyNumberFormat="1" applyFont="1"/>
    <xf numFmtId="1" fontId="3" fillId="0" borderId="0" xfId="0" applyNumberFormat="1" applyFont="1"/>
    <xf numFmtId="0" fontId="2" fillId="0" borderId="0" xfId="0" applyFont="1" applyAlignment="1">
      <alignment horizontal="left" indent="1"/>
    </xf>
    <xf numFmtId="9" fontId="2" fillId="0" borderId="0" xfId="1" applyFont="1"/>
    <xf numFmtId="165" fontId="2" fillId="0" borderId="0" xfId="1" applyNumberFormat="1" applyFont="1"/>
    <xf numFmtId="165" fontId="3" fillId="0" borderId="0" xfId="1" applyNumberFormat="1" applyFont="1"/>
    <xf numFmtId="1" fontId="13" fillId="0" borderId="0" xfId="0" applyNumberFormat="1" applyFont="1"/>
    <xf numFmtId="1" fontId="12" fillId="0" borderId="0" xfId="0" applyNumberFormat="1" applyFont="1"/>
    <xf numFmtId="2" fontId="13" fillId="0" borderId="0" xfId="0" applyNumberFormat="1" applyFont="1"/>
    <xf numFmtId="165" fontId="13" fillId="0" borderId="0" xfId="1" applyNumberFormat="1" applyFont="1"/>
    <xf numFmtId="0" fontId="12" fillId="0" borderId="0" xfId="0" applyFont="1" applyAlignment="1">
      <alignment horizontal="right" vertical="top"/>
    </xf>
    <xf numFmtId="165" fontId="13" fillId="0" borderId="0" xfId="0" applyNumberFormat="1" applyFont="1"/>
    <xf numFmtId="165" fontId="12" fillId="0" borderId="0" xfId="0" applyNumberFormat="1" applyFont="1"/>
    <xf numFmtId="10" fontId="13" fillId="0" borderId="0" xfId="0" applyNumberFormat="1" applyFont="1"/>
    <xf numFmtId="0" fontId="13" fillId="0" borderId="0" xfId="0" applyFont="1" applyAlignment="1">
      <alignment horizontal="right"/>
    </xf>
    <xf numFmtId="43" fontId="2" fillId="0" borderId="0" xfId="3" applyFont="1" applyAlignment="1">
      <alignment horizontal="left"/>
    </xf>
    <xf numFmtId="166" fontId="2" fillId="0" borderId="0" xfId="3" applyNumberFormat="1" applyFont="1" applyAlignment="1">
      <alignment horizontal="left"/>
    </xf>
    <xf numFmtId="167" fontId="2" fillId="0" borderId="0" xfId="3" applyNumberFormat="1" applyFont="1" applyAlignment="1">
      <alignment horizontal="left"/>
    </xf>
    <xf numFmtId="0" fontId="12" fillId="0" borderId="0" xfId="0" applyFont="1" applyAlignment="1">
      <alignment horizontal="left" vertical="top" indent="1"/>
    </xf>
    <xf numFmtId="0" fontId="12" fillId="0" borderId="0" xfId="0" applyFont="1" applyAlignment="1">
      <alignment horizontal="right" vertical="center"/>
    </xf>
    <xf numFmtId="10" fontId="13" fillId="0" borderId="0" xfId="1" applyNumberFormat="1" applyFont="1"/>
    <xf numFmtId="0" fontId="13" fillId="0" borderId="0" xfId="0" applyFont="1" applyAlignment="1">
      <alignment horizontal="left" indent="1"/>
    </xf>
    <xf numFmtId="0" fontId="12" fillId="0" borderId="0" xfId="0" applyFont="1" applyAlignment="1">
      <alignment horizontal="left" indent="1"/>
    </xf>
    <xf numFmtId="10" fontId="12" fillId="0" borderId="0" xfId="1" applyNumberFormat="1" applyFont="1"/>
    <xf numFmtId="0" fontId="13" fillId="0" borderId="0" xfId="0" applyFont="1" applyAlignment="1">
      <alignment horizontal="left" vertical="top" indent="1"/>
    </xf>
    <xf numFmtId="9" fontId="13" fillId="0" borderId="0" xfId="1" applyFont="1"/>
    <xf numFmtId="10" fontId="13" fillId="0" borderId="0" xfId="1" applyNumberFormat="1" applyFont="1" applyAlignment="1">
      <alignment horizontal="left" indent="1"/>
    </xf>
    <xf numFmtId="10" fontId="13" fillId="0" borderId="0" xfId="1" applyNumberFormat="1" applyFont="1" applyAlignment="1">
      <alignment horizontal="right"/>
    </xf>
    <xf numFmtId="0" fontId="13" fillId="0" borderId="0" xfId="0" applyFont="1" applyAlignment="1">
      <alignment horizontal="center"/>
    </xf>
    <xf numFmtId="1" fontId="12" fillId="0" borderId="0" xfId="0" applyNumberFormat="1" applyFont="1" applyAlignment="1">
      <alignment horizontal="left" indent="1"/>
    </xf>
    <xf numFmtId="0" fontId="17" fillId="0" borderId="0" xfId="0" applyFont="1" applyAlignment="1">
      <alignment horizontal="center"/>
    </xf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"/>
                <a:ea typeface="+mn-ea"/>
                <a:cs typeface="+mn-cs"/>
              </a:defRPr>
            </a:pPr>
            <a:r>
              <a:rPr lang="en-US">
                <a:latin typeface="Calibri "/>
              </a:rPr>
              <a:t>(LULU)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 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9"/>
          <c:order val="0"/>
          <c:tx>
            <c:strRef>
              <c:f>Model!$B$6</c:f>
              <c:strCache>
                <c:ptCount val="1"/>
                <c:pt idx="0">
                  <c:v>Acccessories &amp; Other</c:v>
                </c:pt>
              </c:strCache>
            </c:strRef>
          </c:tx>
          <c:spPr>
            <a:solidFill>
              <a:srgbClr val="70AD47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Model!$AM$1:$BI$1</c:f>
              <c:strCache>
                <c:ptCount val="21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</c:strCache>
            </c:strRef>
          </c:cat>
          <c:val>
            <c:numRef>
              <c:f>Model!$AM$6:$BJ$6</c:f>
              <c:numCache>
                <c:formatCode>0</c:formatCode>
                <c:ptCount val="24"/>
                <c:pt idx="0">
                  <c:v>45.94</c:v>
                </c:pt>
                <c:pt idx="1">
                  <c:v>65.363</c:v>
                </c:pt>
                <c:pt idx="2">
                  <c:v>91.97</c:v>
                </c:pt>
                <c:pt idx="3">
                  <c:v>195.51700000000002</c:v>
                </c:pt>
                <c:pt idx="4">
                  <c:v>102.51300000000001</c:v>
                </c:pt>
                <c:pt idx="5">
                  <c:v>118.604</c:v>
                </c:pt>
                <c:pt idx="6">
                  <c:v>122.206</c:v>
                </c:pt>
                <c:pt idx="7">
                  <c:v>205.68199999999996</c:v>
                </c:pt>
                <c:pt idx="8">
                  <c:v>164.54</c:v>
                </c:pt>
                <c:pt idx="9">
                  <c:v>201.38200000000001</c:v>
                </c:pt>
                <c:pt idx="10">
                  <c:v>211.49</c:v>
                </c:pt>
                <c:pt idx="11">
                  <c:v>316.70100000000002</c:v>
                </c:pt>
                <c:pt idx="12">
                  <c:v>253.79900000000001</c:v>
                </c:pt>
                <c:pt idx="13">
                  <c:v>282.11</c:v>
                </c:pt>
                <c:pt idx="14">
                  <c:v>265.45999999999998</c:v>
                </c:pt>
                <c:pt idx="15">
                  <c:v>417.78100000000018</c:v>
                </c:pt>
                <c:pt idx="16">
                  <c:v>267.95</c:v>
                </c:pt>
                <c:pt idx="17">
                  <c:v>307.43</c:v>
                </c:pt>
                <c:pt idx="18">
                  <c:v>289.54000000000002</c:v>
                </c:pt>
                <c:pt idx="19">
                  <c:v>472.19599999999991</c:v>
                </c:pt>
                <c:pt idx="20">
                  <c:v>290.7</c:v>
                </c:pt>
                <c:pt idx="21">
                  <c:v>353.3</c:v>
                </c:pt>
                <c:pt idx="22">
                  <c:v>324.72699999999998</c:v>
                </c:pt>
                <c:pt idx="23">
                  <c:v>474.51300000000003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ser>
          <c:idx val="8"/>
          <c:order val="1"/>
          <c:tx>
            <c:strRef>
              <c:f>Model!$B$5</c:f>
              <c:strCache>
                <c:ptCount val="1"/>
                <c:pt idx="0">
                  <c:v>Men's Apparel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Model!$AM$1:$BI$1</c:f>
              <c:strCache>
                <c:ptCount val="21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</c:strCache>
            </c:strRef>
          </c:cat>
          <c:val>
            <c:numRef>
              <c:f>Model!$AM$5:$BJ$5</c:f>
              <c:numCache>
                <c:formatCode>0</c:formatCode>
                <c:ptCount val="24"/>
                <c:pt idx="0">
                  <c:v>128.39099999999999</c:v>
                </c:pt>
                <c:pt idx="1">
                  <c:v>190.381</c:v>
                </c:pt>
                <c:pt idx="2">
                  <c:v>238.05</c:v>
                </c:pt>
                <c:pt idx="3">
                  <c:v>396.36099999999999</c:v>
                </c:pt>
                <c:pt idx="4">
                  <c:v>274.30700000000002</c:v>
                </c:pt>
                <c:pt idx="5">
                  <c:v>363.06</c:v>
                </c:pt>
                <c:pt idx="6">
                  <c:v>343.26</c:v>
                </c:pt>
                <c:pt idx="7">
                  <c:v>555.22299999999996</c:v>
                </c:pt>
                <c:pt idx="8">
                  <c:v>374.99799999999999</c:v>
                </c:pt>
                <c:pt idx="9">
                  <c:v>461.31</c:v>
                </c:pt>
                <c:pt idx="10">
                  <c:v>440.56</c:v>
                </c:pt>
                <c:pt idx="11">
                  <c:v>679.73400000000015</c:v>
                </c:pt>
                <c:pt idx="12">
                  <c:v>438.16500000000002</c:v>
                </c:pt>
                <c:pt idx="13">
                  <c:v>530.72</c:v>
                </c:pt>
                <c:pt idx="14">
                  <c:v>504.82799999999997</c:v>
                </c:pt>
                <c:pt idx="15">
                  <c:v>779.03700000000003</c:v>
                </c:pt>
                <c:pt idx="16">
                  <c:v>505.69799999999998</c:v>
                </c:pt>
                <c:pt idx="17">
                  <c:v>587.52499999999998</c:v>
                </c:pt>
                <c:pt idx="18">
                  <c:v>551.42999999999995</c:v>
                </c:pt>
                <c:pt idx="19">
                  <c:v>913.72700000000032</c:v>
                </c:pt>
                <c:pt idx="20">
                  <c:v>544.78800000000001</c:v>
                </c:pt>
                <c:pt idx="21">
                  <c:v>624.59</c:v>
                </c:pt>
                <c:pt idx="22">
                  <c:v>596.24</c:v>
                </c:pt>
                <c:pt idx="23">
                  <c:v>898.36199999999985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7"/>
          <c:order val="2"/>
          <c:tx>
            <c:strRef>
              <c:f>Model!$B$4</c:f>
              <c:strCache>
                <c:ptCount val="1"/>
                <c:pt idx="0">
                  <c:v>Women's Apparel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cat>
            <c:strRef>
              <c:f>Model!$AM$1:$BI$1</c:f>
              <c:strCache>
                <c:ptCount val="21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</c:strCache>
            </c:strRef>
          </c:cat>
          <c:val>
            <c:numRef>
              <c:f>Model!$AM$4:$BJ$4</c:f>
              <c:numCache>
                <c:formatCode>0</c:formatCode>
                <c:ptCount val="24"/>
                <c:pt idx="0">
                  <c:v>477.62700000000001</c:v>
                </c:pt>
                <c:pt idx="1">
                  <c:v>647.19799999999998</c:v>
                </c:pt>
                <c:pt idx="2">
                  <c:v>787.40200000000004</c:v>
                </c:pt>
                <c:pt idx="3">
                  <c:v>1137.6789999999999</c:v>
                </c:pt>
                <c:pt idx="4">
                  <c:v>849.64499999999998</c:v>
                </c:pt>
                <c:pt idx="5">
                  <c:v>968.95100000000002</c:v>
                </c:pt>
                <c:pt idx="6">
                  <c:v>984.952</c:v>
                </c:pt>
                <c:pt idx="7">
                  <c:v>1368.2139999999999</c:v>
                </c:pt>
                <c:pt idx="8">
                  <c:v>1073.92</c:v>
                </c:pt>
                <c:pt idx="9">
                  <c:v>1205.636</c:v>
                </c:pt>
                <c:pt idx="10">
                  <c:v>1204.835</c:v>
                </c:pt>
                <c:pt idx="11">
                  <c:v>1775.4119999999998</c:v>
                </c:pt>
                <c:pt idx="12">
                  <c:v>1308.828</c:v>
                </c:pt>
                <c:pt idx="13">
                  <c:v>1396.32</c:v>
                </c:pt>
                <c:pt idx="14">
                  <c:v>1433.92</c:v>
                </c:pt>
                <c:pt idx="15">
                  <c:v>2008.3019999999997</c:v>
                </c:pt>
                <c:pt idx="16">
                  <c:v>1435.24</c:v>
                </c:pt>
                <c:pt idx="17">
                  <c:v>1476.1210000000001</c:v>
                </c:pt>
                <c:pt idx="18">
                  <c:v>1555.68</c:v>
                </c:pt>
                <c:pt idx="19">
                  <c:v>2225.5889999999999</c:v>
                </c:pt>
                <c:pt idx="20">
                  <c:v>1535.172</c:v>
                </c:pt>
                <c:pt idx="21">
                  <c:v>1547.32</c:v>
                </c:pt>
                <c:pt idx="22">
                  <c:v>1644.95</c:v>
                </c:pt>
                <c:pt idx="23">
                  <c:v>2267.9179999999997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(LULU)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Model!$AM$47:$BJ$47</c:f>
              <c:numCache>
                <c:formatCode>0</c:formatCode>
                <c:ptCount val="24"/>
                <c:pt idx="0">
                  <c:v>27.65800000000004</c:v>
                </c:pt>
                <c:pt idx="1">
                  <c:v>86.042000000000058</c:v>
                </c:pt>
                <c:pt idx="2">
                  <c:v>143.322</c:v>
                </c:pt>
                <c:pt idx="3">
                  <c:v>329.85700000000014</c:v>
                </c:pt>
                <c:pt idx="4">
                  <c:v>143.76499999999984</c:v>
                </c:pt>
                <c:pt idx="5">
                  <c:v>208.41500000000011</c:v>
                </c:pt>
                <c:pt idx="6">
                  <c:v>187.11799999999988</c:v>
                </c:pt>
                <c:pt idx="7">
                  <c:v>435.21899999999965</c:v>
                </c:pt>
                <c:pt idx="8">
                  <c:v>190.15800000000007</c:v>
                </c:pt>
                <c:pt idx="9">
                  <c:v>289.42799999999994</c:v>
                </c:pt>
                <c:pt idx="10">
                  <c:v>256.68499999999995</c:v>
                </c:pt>
                <c:pt idx="11">
                  <c:v>118.94699999999978</c:v>
                </c:pt>
                <c:pt idx="12">
                  <c:v>290.29199999999992</c:v>
                </c:pt>
                <c:pt idx="13">
                  <c:v>341.45000000000005</c:v>
                </c:pt>
                <c:pt idx="14">
                  <c:v>248.40800000000024</c:v>
                </c:pt>
                <c:pt idx="15">
                  <c:v>669.41999999999985</c:v>
                </c:pt>
                <c:pt idx="16">
                  <c:v>321.488</c:v>
                </c:pt>
                <c:pt idx="17">
                  <c:v>392.87599999999992</c:v>
                </c:pt>
                <c:pt idx="18">
                  <c:v>351.95000000000022</c:v>
                </c:pt>
                <c:pt idx="19">
                  <c:v>748.11200000000019</c:v>
                </c:pt>
                <c:pt idx="20">
                  <c:v>314.25999999999988</c:v>
                </c:pt>
                <c:pt idx="21">
                  <c:v>372.51</c:v>
                </c:pt>
                <c:pt idx="22">
                  <c:v>306.83999999999992</c:v>
                </c:pt>
                <c:pt idx="23">
                  <c:v>586.69299999999964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Model!$AM$95:$BJ$95</c:f>
              <c:numCache>
                <c:formatCode>0</c:formatCode>
                <c:ptCount val="24"/>
                <c:pt idx="0">
                  <c:v>-173.3</c:v>
                </c:pt>
                <c:pt idx="1">
                  <c:v>128.70000000000002</c:v>
                </c:pt>
                <c:pt idx="2">
                  <c:v>-40.799999999999997</c:v>
                </c:pt>
                <c:pt idx="3">
                  <c:v>659.5</c:v>
                </c:pt>
                <c:pt idx="4">
                  <c:v>149.89999999999998</c:v>
                </c:pt>
                <c:pt idx="5">
                  <c:v>205.39999999999998</c:v>
                </c:pt>
                <c:pt idx="6">
                  <c:v>35.900000000000006</c:v>
                </c:pt>
                <c:pt idx="7">
                  <c:v>603.5</c:v>
                </c:pt>
                <c:pt idx="8">
                  <c:v>-354.70000000000005</c:v>
                </c:pt>
                <c:pt idx="9">
                  <c:v>-47.099999999999994</c:v>
                </c:pt>
                <c:pt idx="10">
                  <c:v>-109.8</c:v>
                </c:pt>
                <c:pt idx="11">
                  <c:v>839.3</c:v>
                </c:pt>
                <c:pt idx="12">
                  <c:v>-91.4</c:v>
                </c:pt>
                <c:pt idx="13">
                  <c:v>331.2</c:v>
                </c:pt>
                <c:pt idx="14">
                  <c:v>226.99999999999997</c:v>
                </c:pt>
                <c:pt idx="15">
                  <c:v>1177.5999999999999</c:v>
                </c:pt>
                <c:pt idx="16">
                  <c:v>-3.1999999999999886</c:v>
                </c:pt>
                <c:pt idx="17">
                  <c:v>298</c:v>
                </c:pt>
                <c:pt idx="18">
                  <c:v>122.19999999999999</c:v>
                </c:pt>
                <c:pt idx="19">
                  <c:v>1166.4000000000001</c:v>
                </c:pt>
                <c:pt idx="20">
                  <c:v>-271.3</c:v>
                </c:pt>
                <c:pt idx="21">
                  <c:v>150.79999999999998</c:v>
                </c:pt>
                <c:pt idx="22">
                  <c:v>82.5</c:v>
                </c:pt>
                <c:pt idx="23">
                  <c:v>959.7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strRef>
              <c:f>Model!$B$38</c:f>
              <c:strCache>
                <c:ptCount val="1"/>
                <c:pt idx="0">
                  <c:v>Revenues</c:v>
                </c:pt>
              </c:strCache>
            </c:strRef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cat>
            <c:strRef>
              <c:f>Model!$AM$1:$BH$1</c:f>
              <c:strCache>
                <c:ptCount val="21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</c:strCache>
            </c:strRef>
          </c:cat>
          <c:val>
            <c:numRef>
              <c:f>Model!$AM$38:$BJ$38</c:f>
              <c:numCache>
                <c:formatCode>0</c:formatCode>
                <c:ptCount val="24"/>
                <c:pt idx="0">
                  <c:v>651.95800000000008</c:v>
                </c:pt>
                <c:pt idx="1">
                  <c:v>902.94200000000001</c:v>
                </c:pt>
                <c:pt idx="2">
                  <c:v>1117.422</c:v>
                </c:pt>
                <c:pt idx="3">
                  <c:v>1729.557</c:v>
                </c:pt>
                <c:pt idx="4">
                  <c:v>1226.4649999999999</c:v>
                </c:pt>
                <c:pt idx="5">
                  <c:v>1450.615</c:v>
                </c:pt>
                <c:pt idx="6">
                  <c:v>1450.4179999999999</c:v>
                </c:pt>
                <c:pt idx="7">
                  <c:v>2129.1189999999997</c:v>
                </c:pt>
                <c:pt idx="8">
                  <c:v>1613.4580000000001</c:v>
                </c:pt>
                <c:pt idx="9">
                  <c:v>1868.328</c:v>
                </c:pt>
                <c:pt idx="10">
                  <c:v>1856.885</c:v>
                </c:pt>
                <c:pt idx="11">
                  <c:v>2771.8469999999998</c:v>
                </c:pt>
                <c:pt idx="12">
                  <c:v>2000.7919999999999</c:v>
                </c:pt>
                <c:pt idx="13">
                  <c:v>2209.15</c:v>
                </c:pt>
                <c:pt idx="14">
                  <c:v>2204.2080000000001</c:v>
                </c:pt>
                <c:pt idx="15">
                  <c:v>3205.12</c:v>
                </c:pt>
                <c:pt idx="16">
                  <c:v>2208.8879999999999</c:v>
                </c:pt>
                <c:pt idx="17">
                  <c:v>2371.076</c:v>
                </c:pt>
                <c:pt idx="18">
                  <c:v>2396.65</c:v>
                </c:pt>
                <c:pt idx="19">
                  <c:v>3611.5120000000002</c:v>
                </c:pt>
                <c:pt idx="20">
                  <c:v>2370.66</c:v>
                </c:pt>
                <c:pt idx="21">
                  <c:v>2525.21</c:v>
                </c:pt>
                <c:pt idx="22">
                  <c:v>2565.9169999999999</c:v>
                </c:pt>
                <c:pt idx="23">
                  <c:v>3640.7929999999997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(LULU) Historical Return Histogram + Normal Distribution Overlay</a:t>
            </a:r>
          </a:p>
        </c:rich>
      </c:tx>
      <c:layout>
        <c:manualLayout>
          <c:xMode val="edge"/>
          <c:yMode val="edge"/>
          <c:x val="0.26993827160493827"/>
          <c:y val="9.084836817195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4362787984838E-2"/>
          <c:y val="6.1527057344455703E-2"/>
          <c:w val="0.93313376105764534"/>
          <c:h val="0.872157568268167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Analysis'!$J$209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Analysis'!$J$211:$J$335</c:f>
              <c:numCache>
                <c:formatCode>0.00%</c:formatCode>
                <c:ptCount val="125"/>
                <c:pt idx="0">
                  <c:v>-6.2000000000000048E-2</c:v>
                </c:pt>
                <c:pt idx="1">
                  <c:v>-6.1000000000000047E-2</c:v>
                </c:pt>
                <c:pt idx="2">
                  <c:v>-6.0000000000000046E-2</c:v>
                </c:pt>
                <c:pt idx="3">
                  <c:v>-5.9000000000000045E-2</c:v>
                </c:pt>
                <c:pt idx="4">
                  <c:v>-5.8000000000000045E-2</c:v>
                </c:pt>
                <c:pt idx="5">
                  <c:v>-5.7000000000000044E-2</c:v>
                </c:pt>
                <c:pt idx="6">
                  <c:v>-5.6000000000000043E-2</c:v>
                </c:pt>
                <c:pt idx="7">
                  <c:v>-5.5000000000000042E-2</c:v>
                </c:pt>
                <c:pt idx="8">
                  <c:v>-5.4000000000000041E-2</c:v>
                </c:pt>
                <c:pt idx="9">
                  <c:v>-5.300000000000004E-2</c:v>
                </c:pt>
                <c:pt idx="10">
                  <c:v>-5.2000000000000039E-2</c:v>
                </c:pt>
                <c:pt idx="11">
                  <c:v>-5.1000000000000038E-2</c:v>
                </c:pt>
                <c:pt idx="12">
                  <c:v>-5.0000000000000037E-2</c:v>
                </c:pt>
                <c:pt idx="13">
                  <c:v>-4.9000000000000037E-2</c:v>
                </c:pt>
                <c:pt idx="14">
                  <c:v>-4.8000000000000036E-2</c:v>
                </c:pt>
                <c:pt idx="15">
                  <c:v>-4.7000000000000035E-2</c:v>
                </c:pt>
                <c:pt idx="16">
                  <c:v>-4.6000000000000034E-2</c:v>
                </c:pt>
                <c:pt idx="17">
                  <c:v>-4.5000000000000033E-2</c:v>
                </c:pt>
                <c:pt idx="18">
                  <c:v>-4.4000000000000032E-2</c:v>
                </c:pt>
                <c:pt idx="19">
                  <c:v>-4.3000000000000031E-2</c:v>
                </c:pt>
                <c:pt idx="20">
                  <c:v>-4.200000000000003E-2</c:v>
                </c:pt>
                <c:pt idx="21">
                  <c:v>-4.1000000000000029E-2</c:v>
                </c:pt>
                <c:pt idx="22">
                  <c:v>-4.0000000000000029E-2</c:v>
                </c:pt>
                <c:pt idx="23">
                  <c:v>-3.9000000000000028E-2</c:v>
                </c:pt>
                <c:pt idx="24">
                  <c:v>-3.8000000000000027E-2</c:v>
                </c:pt>
                <c:pt idx="25">
                  <c:v>-3.7000000000000026E-2</c:v>
                </c:pt>
                <c:pt idx="26">
                  <c:v>-3.6000000000000025E-2</c:v>
                </c:pt>
                <c:pt idx="27">
                  <c:v>-3.5000000000000024E-2</c:v>
                </c:pt>
                <c:pt idx="28">
                  <c:v>-3.4000000000000023E-2</c:v>
                </c:pt>
                <c:pt idx="29">
                  <c:v>-3.3000000000000022E-2</c:v>
                </c:pt>
                <c:pt idx="30">
                  <c:v>-3.2000000000000021E-2</c:v>
                </c:pt>
                <c:pt idx="31">
                  <c:v>-3.1000000000000021E-2</c:v>
                </c:pt>
                <c:pt idx="32">
                  <c:v>-3.000000000000002E-2</c:v>
                </c:pt>
                <c:pt idx="33">
                  <c:v>-2.9000000000000019E-2</c:v>
                </c:pt>
                <c:pt idx="34">
                  <c:v>-2.8000000000000018E-2</c:v>
                </c:pt>
                <c:pt idx="35">
                  <c:v>-2.7000000000000017E-2</c:v>
                </c:pt>
                <c:pt idx="36">
                  <c:v>-2.6000000000000016E-2</c:v>
                </c:pt>
                <c:pt idx="37">
                  <c:v>-2.5000000000000015E-2</c:v>
                </c:pt>
                <c:pt idx="38">
                  <c:v>-2.4000000000000014E-2</c:v>
                </c:pt>
                <c:pt idx="39">
                  <c:v>-2.3000000000000013E-2</c:v>
                </c:pt>
                <c:pt idx="40">
                  <c:v>-2.2000000000000013E-2</c:v>
                </c:pt>
                <c:pt idx="41">
                  <c:v>-2.1000000000000012E-2</c:v>
                </c:pt>
                <c:pt idx="42">
                  <c:v>-2.0000000000000011E-2</c:v>
                </c:pt>
                <c:pt idx="43">
                  <c:v>-1.900000000000001E-2</c:v>
                </c:pt>
                <c:pt idx="44">
                  <c:v>-1.8000000000000009E-2</c:v>
                </c:pt>
                <c:pt idx="45">
                  <c:v>-1.7000000000000008E-2</c:v>
                </c:pt>
                <c:pt idx="46">
                  <c:v>-1.6000000000000007E-2</c:v>
                </c:pt>
                <c:pt idx="47">
                  <c:v>-1.5000000000000006E-2</c:v>
                </c:pt>
                <c:pt idx="48">
                  <c:v>-1.4000000000000005E-2</c:v>
                </c:pt>
                <c:pt idx="49">
                  <c:v>-1.3000000000000005E-2</c:v>
                </c:pt>
                <c:pt idx="50">
                  <c:v>-1.2000000000000004E-2</c:v>
                </c:pt>
                <c:pt idx="51">
                  <c:v>-1.1000000000000003E-2</c:v>
                </c:pt>
                <c:pt idx="52">
                  <c:v>-1.0000000000000002E-2</c:v>
                </c:pt>
                <c:pt idx="53">
                  <c:v>-9.0000000000000011E-3</c:v>
                </c:pt>
                <c:pt idx="54">
                  <c:v>-8.0000000000000002E-3</c:v>
                </c:pt>
                <c:pt idx="55">
                  <c:v>-7.0000000000000001E-3</c:v>
                </c:pt>
                <c:pt idx="56">
                  <c:v>-6.0000000000000001E-3</c:v>
                </c:pt>
                <c:pt idx="57">
                  <c:v>-5.0000000000000001E-3</c:v>
                </c:pt>
                <c:pt idx="58">
                  <c:v>-4.0000000000000001E-3</c:v>
                </c:pt>
                <c:pt idx="59">
                  <c:v>-3.0000000000000001E-3</c:v>
                </c:pt>
                <c:pt idx="60">
                  <c:v>-2E-3</c:v>
                </c:pt>
                <c:pt idx="61">
                  <c:v>-1E-3</c:v>
                </c:pt>
                <c:pt idx="62">
                  <c:v>0</c:v>
                </c:pt>
                <c:pt idx="63">
                  <c:v>1E-3</c:v>
                </c:pt>
                <c:pt idx="64">
                  <c:v>2E-3</c:v>
                </c:pt>
                <c:pt idx="65">
                  <c:v>3.0000000000000001E-3</c:v>
                </c:pt>
                <c:pt idx="66">
                  <c:v>4.0000000000000001E-3</c:v>
                </c:pt>
                <c:pt idx="67">
                  <c:v>5.0000000000000001E-3</c:v>
                </c:pt>
                <c:pt idx="68">
                  <c:v>6.0000000000000001E-3</c:v>
                </c:pt>
                <c:pt idx="69">
                  <c:v>7.0000000000000001E-3</c:v>
                </c:pt>
                <c:pt idx="70">
                  <c:v>8.0000000000000002E-3</c:v>
                </c:pt>
                <c:pt idx="71">
                  <c:v>9.0000000000000011E-3</c:v>
                </c:pt>
                <c:pt idx="72">
                  <c:v>1.0000000000000002E-2</c:v>
                </c:pt>
                <c:pt idx="73">
                  <c:v>1.1000000000000003E-2</c:v>
                </c:pt>
                <c:pt idx="74">
                  <c:v>1.2000000000000004E-2</c:v>
                </c:pt>
                <c:pt idx="75">
                  <c:v>1.3000000000000005E-2</c:v>
                </c:pt>
                <c:pt idx="76">
                  <c:v>1.4000000000000005E-2</c:v>
                </c:pt>
                <c:pt idx="77">
                  <c:v>1.5000000000000006E-2</c:v>
                </c:pt>
                <c:pt idx="78">
                  <c:v>1.6000000000000007E-2</c:v>
                </c:pt>
                <c:pt idx="79">
                  <c:v>1.7000000000000008E-2</c:v>
                </c:pt>
                <c:pt idx="80">
                  <c:v>1.8000000000000009E-2</c:v>
                </c:pt>
                <c:pt idx="81">
                  <c:v>1.900000000000001E-2</c:v>
                </c:pt>
                <c:pt idx="82">
                  <c:v>2.0000000000000011E-2</c:v>
                </c:pt>
                <c:pt idx="83">
                  <c:v>2.1000000000000012E-2</c:v>
                </c:pt>
                <c:pt idx="84">
                  <c:v>2.2000000000000013E-2</c:v>
                </c:pt>
                <c:pt idx="85">
                  <c:v>2.3000000000000013E-2</c:v>
                </c:pt>
                <c:pt idx="86">
                  <c:v>2.4000000000000014E-2</c:v>
                </c:pt>
                <c:pt idx="87">
                  <c:v>2.5000000000000015E-2</c:v>
                </c:pt>
                <c:pt idx="88">
                  <c:v>2.6000000000000016E-2</c:v>
                </c:pt>
                <c:pt idx="89">
                  <c:v>2.7000000000000017E-2</c:v>
                </c:pt>
                <c:pt idx="90">
                  <c:v>2.8000000000000018E-2</c:v>
                </c:pt>
                <c:pt idx="91">
                  <c:v>2.9000000000000019E-2</c:v>
                </c:pt>
                <c:pt idx="92">
                  <c:v>3.000000000000002E-2</c:v>
                </c:pt>
                <c:pt idx="93">
                  <c:v>3.1000000000000021E-2</c:v>
                </c:pt>
                <c:pt idx="94">
                  <c:v>3.2000000000000021E-2</c:v>
                </c:pt>
                <c:pt idx="95">
                  <c:v>3.3000000000000022E-2</c:v>
                </c:pt>
                <c:pt idx="96">
                  <c:v>3.4000000000000023E-2</c:v>
                </c:pt>
                <c:pt idx="97">
                  <c:v>3.5000000000000024E-2</c:v>
                </c:pt>
                <c:pt idx="98">
                  <c:v>3.6000000000000025E-2</c:v>
                </c:pt>
                <c:pt idx="99">
                  <c:v>3.7000000000000026E-2</c:v>
                </c:pt>
                <c:pt idx="100">
                  <c:v>3.8000000000000027E-2</c:v>
                </c:pt>
                <c:pt idx="101">
                  <c:v>3.9000000000000028E-2</c:v>
                </c:pt>
                <c:pt idx="102">
                  <c:v>4.0000000000000029E-2</c:v>
                </c:pt>
                <c:pt idx="103">
                  <c:v>4.1000000000000029E-2</c:v>
                </c:pt>
                <c:pt idx="104">
                  <c:v>4.200000000000003E-2</c:v>
                </c:pt>
                <c:pt idx="105">
                  <c:v>4.3000000000000031E-2</c:v>
                </c:pt>
                <c:pt idx="106">
                  <c:v>4.4000000000000032E-2</c:v>
                </c:pt>
                <c:pt idx="107">
                  <c:v>4.5000000000000033E-2</c:v>
                </c:pt>
                <c:pt idx="108">
                  <c:v>4.6000000000000034E-2</c:v>
                </c:pt>
                <c:pt idx="109">
                  <c:v>4.7000000000000035E-2</c:v>
                </c:pt>
                <c:pt idx="110">
                  <c:v>4.8000000000000036E-2</c:v>
                </c:pt>
                <c:pt idx="111">
                  <c:v>4.9000000000000037E-2</c:v>
                </c:pt>
                <c:pt idx="112">
                  <c:v>5.0000000000000037E-2</c:v>
                </c:pt>
                <c:pt idx="113">
                  <c:v>5.1000000000000038E-2</c:v>
                </c:pt>
                <c:pt idx="114">
                  <c:v>5.2000000000000039E-2</c:v>
                </c:pt>
                <c:pt idx="115">
                  <c:v>5.300000000000004E-2</c:v>
                </c:pt>
                <c:pt idx="116">
                  <c:v>5.4000000000000041E-2</c:v>
                </c:pt>
                <c:pt idx="117">
                  <c:v>5.5000000000000042E-2</c:v>
                </c:pt>
                <c:pt idx="118">
                  <c:v>5.6000000000000043E-2</c:v>
                </c:pt>
                <c:pt idx="119">
                  <c:v>5.7000000000000044E-2</c:v>
                </c:pt>
                <c:pt idx="120">
                  <c:v>5.8000000000000045E-2</c:v>
                </c:pt>
                <c:pt idx="121">
                  <c:v>5.9000000000000045E-2</c:v>
                </c:pt>
                <c:pt idx="122">
                  <c:v>6.0000000000000046E-2</c:v>
                </c:pt>
                <c:pt idx="123">
                  <c:v>6.1000000000000047E-2</c:v>
                </c:pt>
                <c:pt idx="124">
                  <c:v>6.2000000000000048E-2</c:v>
                </c:pt>
              </c:numCache>
            </c:numRef>
          </c:xVal>
          <c:yVal>
            <c:numRef>
              <c:f>'Notes | Quant Analysis'!$K$211:$K$335</c:f>
              <c:numCache>
                <c:formatCode>General</c:formatCode>
                <c:ptCount val="125"/>
                <c:pt idx="0">
                  <c:v>5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4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3</c:v>
                </c:pt>
                <c:pt idx="22">
                  <c:v>0</c:v>
                </c:pt>
                <c:pt idx="23">
                  <c:v>3</c:v>
                </c:pt>
                <c:pt idx="24">
                  <c:v>7</c:v>
                </c:pt>
                <c:pt idx="25">
                  <c:v>4</c:v>
                </c:pt>
                <c:pt idx="26">
                  <c:v>5</c:v>
                </c:pt>
                <c:pt idx="27">
                  <c:v>5</c:v>
                </c:pt>
                <c:pt idx="28">
                  <c:v>4</c:v>
                </c:pt>
                <c:pt idx="29">
                  <c:v>7</c:v>
                </c:pt>
                <c:pt idx="30">
                  <c:v>5</c:v>
                </c:pt>
                <c:pt idx="31">
                  <c:v>5</c:v>
                </c:pt>
                <c:pt idx="32">
                  <c:v>6</c:v>
                </c:pt>
                <c:pt idx="33">
                  <c:v>9</c:v>
                </c:pt>
                <c:pt idx="34">
                  <c:v>8</c:v>
                </c:pt>
                <c:pt idx="35">
                  <c:v>8</c:v>
                </c:pt>
                <c:pt idx="36">
                  <c:v>10</c:v>
                </c:pt>
                <c:pt idx="37">
                  <c:v>8</c:v>
                </c:pt>
                <c:pt idx="38">
                  <c:v>6</c:v>
                </c:pt>
                <c:pt idx="39">
                  <c:v>13</c:v>
                </c:pt>
                <c:pt idx="40">
                  <c:v>10</c:v>
                </c:pt>
                <c:pt idx="41">
                  <c:v>19</c:v>
                </c:pt>
                <c:pt idx="42">
                  <c:v>15</c:v>
                </c:pt>
                <c:pt idx="43">
                  <c:v>8</c:v>
                </c:pt>
                <c:pt idx="44">
                  <c:v>19</c:v>
                </c:pt>
                <c:pt idx="45">
                  <c:v>18</c:v>
                </c:pt>
                <c:pt idx="46">
                  <c:v>12</c:v>
                </c:pt>
                <c:pt idx="47">
                  <c:v>18</c:v>
                </c:pt>
                <c:pt idx="48">
                  <c:v>13</c:v>
                </c:pt>
                <c:pt idx="49">
                  <c:v>21</c:v>
                </c:pt>
                <c:pt idx="50">
                  <c:v>32</c:v>
                </c:pt>
                <c:pt idx="51">
                  <c:v>19</c:v>
                </c:pt>
                <c:pt idx="52">
                  <c:v>26</c:v>
                </c:pt>
                <c:pt idx="53">
                  <c:v>17</c:v>
                </c:pt>
                <c:pt idx="54">
                  <c:v>26</c:v>
                </c:pt>
                <c:pt idx="55">
                  <c:v>26</c:v>
                </c:pt>
                <c:pt idx="56">
                  <c:v>17</c:v>
                </c:pt>
                <c:pt idx="57">
                  <c:v>22</c:v>
                </c:pt>
                <c:pt idx="58">
                  <c:v>35</c:v>
                </c:pt>
                <c:pt idx="59">
                  <c:v>32</c:v>
                </c:pt>
                <c:pt idx="60">
                  <c:v>38</c:v>
                </c:pt>
                <c:pt idx="61">
                  <c:v>23</c:v>
                </c:pt>
                <c:pt idx="62">
                  <c:v>31</c:v>
                </c:pt>
                <c:pt idx="63">
                  <c:v>25</c:v>
                </c:pt>
                <c:pt idx="64">
                  <c:v>28</c:v>
                </c:pt>
                <c:pt idx="65">
                  <c:v>35</c:v>
                </c:pt>
                <c:pt idx="66">
                  <c:v>29</c:v>
                </c:pt>
                <c:pt idx="67">
                  <c:v>31</c:v>
                </c:pt>
                <c:pt idx="68">
                  <c:v>26</c:v>
                </c:pt>
                <c:pt idx="69">
                  <c:v>31</c:v>
                </c:pt>
                <c:pt idx="70">
                  <c:v>26</c:v>
                </c:pt>
                <c:pt idx="71">
                  <c:v>33</c:v>
                </c:pt>
                <c:pt idx="72">
                  <c:v>24</c:v>
                </c:pt>
                <c:pt idx="73">
                  <c:v>18</c:v>
                </c:pt>
                <c:pt idx="74">
                  <c:v>30</c:v>
                </c:pt>
                <c:pt idx="75">
                  <c:v>21</c:v>
                </c:pt>
                <c:pt idx="76">
                  <c:v>14</c:v>
                </c:pt>
                <c:pt idx="77">
                  <c:v>19</c:v>
                </c:pt>
                <c:pt idx="78">
                  <c:v>17</c:v>
                </c:pt>
                <c:pt idx="79">
                  <c:v>13</c:v>
                </c:pt>
                <c:pt idx="80">
                  <c:v>8</c:v>
                </c:pt>
                <c:pt idx="81">
                  <c:v>14</c:v>
                </c:pt>
                <c:pt idx="82">
                  <c:v>17</c:v>
                </c:pt>
                <c:pt idx="83">
                  <c:v>14</c:v>
                </c:pt>
                <c:pt idx="84">
                  <c:v>17</c:v>
                </c:pt>
                <c:pt idx="85">
                  <c:v>14</c:v>
                </c:pt>
                <c:pt idx="86">
                  <c:v>10</c:v>
                </c:pt>
                <c:pt idx="87">
                  <c:v>16</c:v>
                </c:pt>
                <c:pt idx="88">
                  <c:v>7</c:v>
                </c:pt>
                <c:pt idx="89">
                  <c:v>4</c:v>
                </c:pt>
                <c:pt idx="90">
                  <c:v>6</c:v>
                </c:pt>
                <c:pt idx="91">
                  <c:v>9</c:v>
                </c:pt>
                <c:pt idx="92">
                  <c:v>5</c:v>
                </c:pt>
                <c:pt idx="93">
                  <c:v>3</c:v>
                </c:pt>
                <c:pt idx="94">
                  <c:v>8</c:v>
                </c:pt>
                <c:pt idx="95">
                  <c:v>2</c:v>
                </c:pt>
                <c:pt idx="96">
                  <c:v>3</c:v>
                </c:pt>
                <c:pt idx="97">
                  <c:v>1</c:v>
                </c:pt>
                <c:pt idx="98">
                  <c:v>3</c:v>
                </c:pt>
                <c:pt idx="99">
                  <c:v>3</c:v>
                </c:pt>
                <c:pt idx="100">
                  <c:v>5</c:v>
                </c:pt>
                <c:pt idx="101">
                  <c:v>1</c:v>
                </c:pt>
                <c:pt idx="102">
                  <c:v>3</c:v>
                </c:pt>
                <c:pt idx="103">
                  <c:v>2</c:v>
                </c:pt>
                <c:pt idx="104">
                  <c:v>2</c:v>
                </c:pt>
                <c:pt idx="105">
                  <c:v>3</c:v>
                </c:pt>
                <c:pt idx="106">
                  <c:v>3</c:v>
                </c:pt>
                <c:pt idx="107">
                  <c:v>2</c:v>
                </c:pt>
                <c:pt idx="108">
                  <c:v>2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2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7-4862-86E9-AF862A5BA0AD}"/>
            </c:ext>
          </c:extLst>
        </c:ser>
        <c:ser>
          <c:idx val="1"/>
          <c:order val="1"/>
          <c:tx>
            <c:strRef>
              <c:f>'Notes | Quant Analysis'!$M$209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Analysis'!$M$211:$M$337</c:f>
              <c:numCache>
                <c:formatCode>0.00%</c:formatCode>
                <c:ptCount val="127"/>
                <c:pt idx="0">
                  <c:v>-6.3000000000000042E-2</c:v>
                </c:pt>
                <c:pt idx="1">
                  <c:v>-6.2000000000000048E-2</c:v>
                </c:pt>
                <c:pt idx="2">
                  <c:v>-6.1000000000000047E-2</c:v>
                </c:pt>
                <c:pt idx="3">
                  <c:v>-6.0000000000000046E-2</c:v>
                </c:pt>
                <c:pt idx="4">
                  <c:v>-5.9000000000000045E-2</c:v>
                </c:pt>
                <c:pt idx="5">
                  <c:v>-5.8000000000000045E-2</c:v>
                </c:pt>
                <c:pt idx="6">
                  <c:v>-5.7000000000000044E-2</c:v>
                </c:pt>
                <c:pt idx="7">
                  <c:v>-5.6000000000000043E-2</c:v>
                </c:pt>
                <c:pt idx="8">
                  <c:v>-5.5000000000000042E-2</c:v>
                </c:pt>
                <c:pt idx="9">
                  <c:v>-5.4000000000000041E-2</c:v>
                </c:pt>
                <c:pt idx="10">
                  <c:v>-5.300000000000004E-2</c:v>
                </c:pt>
                <c:pt idx="11">
                  <c:v>-5.2000000000000039E-2</c:v>
                </c:pt>
                <c:pt idx="12">
                  <c:v>-5.1000000000000038E-2</c:v>
                </c:pt>
                <c:pt idx="13">
                  <c:v>-5.0000000000000037E-2</c:v>
                </c:pt>
                <c:pt idx="14">
                  <c:v>-4.9000000000000037E-2</c:v>
                </c:pt>
                <c:pt idx="15">
                  <c:v>-4.8000000000000036E-2</c:v>
                </c:pt>
                <c:pt idx="16">
                  <c:v>-4.7000000000000035E-2</c:v>
                </c:pt>
                <c:pt idx="17">
                  <c:v>-4.6000000000000034E-2</c:v>
                </c:pt>
                <c:pt idx="18">
                  <c:v>-4.5000000000000033E-2</c:v>
                </c:pt>
                <c:pt idx="19">
                  <c:v>-4.4000000000000032E-2</c:v>
                </c:pt>
                <c:pt idx="20">
                  <c:v>-4.3000000000000031E-2</c:v>
                </c:pt>
                <c:pt idx="21">
                  <c:v>-4.200000000000003E-2</c:v>
                </c:pt>
                <c:pt idx="22">
                  <c:v>-4.1000000000000029E-2</c:v>
                </c:pt>
                <c:pt idx="23">
                  <c:v>-4.0000000000000029E-2</c:v>
                </c:pt>
                <c:pt idx="24">
                  <c:v>-3.9000000000000028E-2</c:v>
                </c:pt>
                <c:pt idx="25">
                  <c:v>-3.8000000000000027E-2</c:v>
                </c:pt>
                <c:pt idx="26">
                  <c:v>-3.7000000000000026E-2</c:v>
                </c:pt>
                <c:pt idx="27">
                  <c:v>-3.6000000000000025E-2</c:v>
                </c:pt>
                <c:pt idx="28">
                  <c:v>-3.5000000000000024E-2</c:v>
                </c:pt>
                <c:pt idx="29">
                  <c:v>-3.4000000000000023E-2</c:v>
                </c:pt>
                <c:pt idx="30">
                  <c:v>-3.3000000000000022E-2</c:v>
                </c:pt>
                <c:pt idx="31">
                  <c:v>-3.2000000000000021E-2</c:v>
                </c:pt>
                <c:pt idx="32">
                  <c:v>-3.1000000000000021E-2</c:v>
                </c:pt>
                <c:pt idx="33">
                  <c:v>-3.000000000000002E-2</c:v>
                </c:pt>
                <c:pt idx="34">
                  <c:v>-2.9000000000000019E-2</c:v>
                </c:pt>
                <c:pt idx="35">
                  <c:v>-2.8000000000000018E-2</c:v>
                </c:pt>
                <c:pt idx="36">
                  <c:v>-2.7000000000000017E-2</c:v>
                </c:pt>
                <c:pt idx="37">
                  <c:v>-2.6000000000000016E-2</c:v>
                </c:pt>
                <c:pt idx="38">
                  <c:v>-2.5000000000000015E-2</c:v>
                </c:pt>
                <c:pt idx="39">
                  <c:v>-2.4000000000000014E-2</c:v>
                </c:pt>
                <c:pt idx="40">
                  <c:v>-2.3000000000000013E-2</c:v>
                </c:pt>
                <c:pt idx="41">
                  <c:v>-2.2000000000000013E-2</c:v>
                </c:pt>
                <c:pt idx="42">
                  <c:v>-2.1000000000000012E-2</c:v>
                </c:pt>
                <c:pt idx="43">
                  <c:v>-2.0000000000000011E-2</c:v>
                </c:pt>
                <c:pt idx="44">
                  <c:v>-1.900000000000001E-2</c:v>
                </c:pt>
                <c:pt idx="45">
                  <c:v>-1.8000000000000009E-2</c:v>
                </c:pt>
                <c:pt idx="46">
                  <c:v>-1.7000000000000008E-2</c:v>
                </c:pt>
                <c:pt idx="47">
                  <c:v>-1.6000000000000007E-2</c:v>
                </c:pt>
                <c:pt idx="48">
                  <c:v>-1.5000000000000006E-2</c:v>
                </c:pt>
                <c:pt idx="49">
                  <c:v>-1.4000000000000005E-2</c:v>
                </c:pt>
                <c:pt idx="50">
                  <c:v>-1.3000000000000005E-2</c:v>
                </c:pt>
                <c:pt idx="51">
                  <c:v>-1.2000000000000004E-2</c:v>
                </c:pt>
                <c:pt idx="52">
                  <c:v>-1.1000000000000003E-2</c:v>
                </c:pt>
                <c:pt idx="53">
                  <c:v>-1.0000000000000002E-2</c:v>
                </c:pt>
                <c:pt idx="54">
                  <c:v>-9.0000000000000011E-3</c:v>
                </c:pt>
                <c:pt idx="55">
                  <c:v>-8.0000000000000002E-3</c:v>
                </c:pt>
                <c:pt idx="56">
                  <c:v>-7.0000000000000001E-3</c:v>
                </c:pt>
                <c:pt idx="57">
                  <c:v>-6.0000000000000001E-3</c:v>
                </c:pt>
                <c:pt idx="58">
                  <c:v>-5.0000000000000001E-3</c:v>
                </c:pt>
                <c:pt idx="59">
                  <c:v>-4.0000000000000001E-3</c:v>
                </c:pt>
                <c:pt idx="60">
                  <c:v>-3.0000000000000001E-3</c:v>
                </c:pt>
                <c:pt idx="61">
                  <c:v>-2E-3</c:v>
                </c:pt>
                <c:pt idx="62">
                  <c:v>-1E-3</c:v>
                </c:pt>
                <c:pt idx="63">
                  <c:v>0</c:v>
                </c:pt>
                <c:pt idx="64">
                  <c:v>1E-3</c:v>
                </c:pt>
                <c:pt idx="65">
                  <c:v>2E-3</c:v>
                </c:pt>
                <c:pt idx="66">
                  <c:v>3.0000000000000001E-3</c:v>
                </c:pt>
                <c:pt idx="67">
                  <c:v>4.0000000000000001E-3</c:v>
                </c:pt>
                <c:pt idx="68">
                  <c:v>5.0000000000000001E-3</c:v>
                </c:pt>
                <c:pt idx="69">
                  <c:v>6.0000000000000001E-3</c:v>
                </c:pt>
                <c:pt idx="70">
                  <c:v>7.0000000000000001E-3</c:v>
                </c:pt>
                <c:pt idx="71">
                  <c:v>8.0000000000000002E-3</c:v>
                </c:pt>
                <c:pt idx="72">
                  <c:v>9.0000000000000011E-3</c:v>
                </c:pt>
                <c:pt idx="73">
                  <c:v>1.0000000000000002E-2</c:v>
                </c:pt>
                <c:pt idx="74">
                  <c:v>1.1000000000000003E-2</c:v>
                </c:pt>
                <c:pt idx="75">
                  <c:v>1.2000000000000004E-2</c:v>
                </c:pt>
                <c:pt idx="76">
                  <c:v>1.3000000000000005E-2</c:v>
                </c:pt>
                <c:pt idx="77">
                  <c:v>1.4000000000000005E-2</c:v>
                </c:pt>
                <c:pt idx="78">
                  <c:v>1.5000000000000006E-2</c:v>
                </c:pt>
                <c:pt idx="79">
                  <c:v>1.6000000000000007E-2</c:v>
                </c:pt>
                <c:pt idx="80">
                  <c:v>1.7000000000000008E-2</c:v>
                </c:pt>
                <c:pt idx="81">
                  <c:v>1.8000000000000009E-2</c:v>
                </c:pt>
                <c:pt idx="82">
                  <c:v>1.900000000000001E-2</c:v>
                </c:pt>
                <c:pt idx="83">
                  <c:v>2.0000000000000011E-2</c:v>
                </c:pt>
                <c:pt idx="84">
                  <c:v>2.1000000000000012E-2</c:v>
                </c:pt>
                <c:pt idx="85">
                  <c:v>2.2000000000000013E-2</c:v>
                </c:pt>
                <c:pt idx="86">
                  <c:v>2.3000000000000013E-2</c:v>
                </c:pt>
                <c:pt idx="87">
                  <c:v>2.4000000000000014E-2</c:v>
                </c:pt>
                <c:pt idx="88">
                  <c:v>2.5000000000000015E-2</c:v>
                </c:pt>
                <c:pt idx="89">
                  <c:v>2.6000000000000016E-2</c:v>
                </c:pt>
                <c:pt idx="90">
                  <c:v>2.7000000000000017E-2</c:v>
                </c:pt>
                <c:pt idx="91">
                  <c:v>2.8000000000000018E-2</c:v>
                </c:pt>
                <c:pt idx="92">
                  <c:v>2.9000000000000019E-2</c:v>
                </c:pt>
                <c:pt idx="93">
                  <c:v>3.000000000000002E-2</c:v>
                </c:pt>
                <c:pt idx="94">
                  <c:v>3.1000000000000021E-2</c:v>
                </c:pt>
                <c:pt idx="95">
                  <c:v>3.2000000000000021E-2</c:v>
                </c:pt>
                <c:pt idx="96">
                  <c:v>3.3000000000000022E-2</c:v>
                </c:pt>
                <c:pt idx="97">
                  <c:v>3.4000000000000023E-2</c:v>
                </c:pt>
                <c:pt idx="98">
                  <c:v>3.5000000000000024E-2</c:v>
                </c:pt>
                <c:pt idx="99">
                  <c:v>3.6000000000000025E-2</c:v>
                </c:pt>
                <c:pt idx="100">
                  <c:v>3.7000000000000026E-2</c:v>
                </c:pt>
                <c:pt idx="101">
                  <c:v>3.8000000000000027E-2</c:v>
                </c:pt>
                <c:pt idx="102">
                  <c:v>3.9000000000000028E-2</c:v>
                </c:pt>
                <c:pt idx="103">
                  <c:v>4.0000000000000029E-2</c:v>
                </c:pt>
                <c:pt idx="104">
                  <c:v>4.1000000000000029E-2</c:v>
                </c:pt>
                <c:pt idx="105">
                  <c:v>4.200000000000003E-2</c:v>
                </c:pt>
                <c:pt idx="106">
                  <c:v>4.3000000000000031E-2</c:v>
                </c:pt>
                <c:pt idx="107">
                  <c:v>4.4000000000000032E-2</c:v>
                </c:pt>
                <c:pt idx="108">
                  <c:v>4.5000000000000033E-2</c:v>
                </c:pt>
                <c:pt idx="109">
                  <c:v>4.6000000000000034E-2</c:v>
                </c:pt>
                <c:pt idx="110">
                  <c:v>4.7000000000000035E-2</c:v>
                </c:pt>
                <c:pt idx="111">
                  <c:v>4.8000000000000036E-2</c:v>
                </c:pt>
                <c:pt idx="112">
                  <c:v>4.9000000000000037E-2</c:v>
                </c:pt>
                <c:pt idx="113">
                  <c:v>5.0000000000000037E-2</c:v>
                </c:pt>
                <c:pt idx="114">
                  <c:v>5.1000000000000038E-2</c:v>
                </c:pt>
                <c:pt idx="115">
                  <c:v>5.2000000000000039E-2</c:v>
                </c:pt>
                <c:pt idx="116">
                  <c:v>5.300000000000004E-2</c:v>
                </c:pt>
                <c:pt idx="117">
                  <c:v>5.4000000000000041E-2</c:v>
                </c:pt>
                <c:pt idx="118">
                  <c:v>5.5000000000000042E-2</c:v>
                </c:pt>
                <c:pt idx="119">
                  <c:v>5.6000000000000043E-2</c:v>
                </c:pt>
                <c:pt idx="120">
                  <c:v>5.7000000000000044E-2</c:v>
                </c:pt>
                <c:pt idx="121">
                  <c:v>5.8000000000000045E-2</c:v>
                </c:pt>
                <c:pt idx="122">
                  <c:v>5.9000000000000045E-2</c:v>
                </c:pt>
                <c:pt idx="123">
                  <c:v>6.0000000000000046E-2</c:v>
                </c:pt>
                <c:pt idx="124">
                  <c:v>6.1000000000000047E-2</c:v>
                </c:pt>
                <c:pt idx="125">
                  <c:v>6.2000000000000048E-2</c:v>
                </c:pt>
                <c:pt idx="126">
                  <c:v>6.3000000000000042E-2</c:v>
                </c:pt>
              </c:numCache>
            </c:numRef>
          </c:xVal>
          <c:yVal>
            <c:numRef>
              <c:f>'Notes | Quant Analysis'!$N$211:$N$337</c:f>
              <c:numCache>
                <c:formatCode>General</c:formatCode>
                <c:ptCount val="127"/>
                <c:pt idx="0">
                  <c:v>0.13404400245536949</c:v>
                </c:pt>
                <c:pt idx="1">
                  <c:v>0.1571662170022094</c:v>
                </c:pt>
                <c:pt idx="2">
                  <c:v>0.18380480798729121</c:v>
                </c:pt>
                <c:pt idx="3">
                  <c:v>0.21440770599991543</c:v>
                </c:pt>
                <c:pt idx="4">
                  <c:v>0.24946508345881918</c:v>
                </c:pt>
                <c:pt idx="5">
                  <c:v>0.28951095408998889</c:v>
                </c:pt>
                <c:pt idx="6">
                  <c:v>0.33512442992330749</c:v>
                </c:pt>
                <c:pt idx="7">
                  <c:v>0.3869305590567364</c:v>
                </c:pt>
                <c:pt idx="8">
                  <c:v>0.44560066311802454</c:v>
                </c:pt>
                <c:pt idx="9">
                  <c:v>0.51185209013053756</c:v>
                </c:pt>
                <c:pt idx="10">
                  <c:v>0.58644729661544859</c:v>
                </c:pt>
                <c:pt idx="11">
                  <c:v>0.67019217249368468</c:v>
                </c:pt>
                <c:pt idx="12">
                  <c:v>0.76393352393962166</c:v>
                </c:pt>
                <c:pt idx="13">
                  <c:v>0.86855563302377703</c:v>
                </c:pt>
                <c:pt idx="14">
                  <c:v>0.98497581898067743</c:v>
                </c:pt>
                <c:pt idx="15">
                  <c:v>1.1141389344363317</c:v>
                </c:pt>
                <c:pt idx="16">
                  <c:v>1.257010741070729</c:v>
                </c:pt>
                <c:pt idx="17">
                  <c:v>1.4145701230662531</c:v>
                </c:pt>
                <c:pt idx="18">
                  <c:v>1.587800113332182</c:v>
                </c:pt>
                <c:pt idx="19">
                  <c:v>1.7776777268570714</c:v>
                </c:pt>
                <c:pt idx="20">
                  <c:v>1.9851626175033936</c:v>
                </c:pt>
                <c:pt idx="21">
                  <c:v>2.2111845989153438</c:v>
                </c:pt>
                <c:pt idx="22">
                  <c:v>2.4566300966629284</c:v>
                </c:pt>
                <c:pt idx="23">
                  <c:v>2.722327626902397</c:v>
                </c:pt>
                <c:pt idx="24">
                  <c:v>3.0090324262105583</c:v>
                </c:pt>
                <c:pt idx="25">
                  <c:v>3.3174103872755123</c:v>
                </c:pt>
                <c:pt idx="26">
                  <c:v>3.6480214851427784</c:v>
                </c:pt>
                <c:pt idx="27">
                  <c:v>4.0013029079956652</c:v>
                </c:pt>
                <c:pt idx="28">
                  <c:v>4.377552134204783</c:v>
                </c:pt>
                <c:pt idx="29">
                  <c:v>4.7769102227852098</c:v>
                </c:pt>
                <c:pt idx="30">
                  <c:v>5.1993456066004704</c:v>
                </c:pt>
                <c:pt idx="31">
                  <c:v>5.6446386958009693</c:v>
                </c:pt>
                <c:pt idx="32">
                  <c:v>6.1123676122580131</c:v>
                </c:pt>
                <c:pt idx="33">
                  <c:v>6.6018953833832708</c:v>
                </c:pt>
                <c:pt idx="34">
                  <c:v>7.1123589250181638</c:v>
                </c:pt>
                <c:pt idx="35">
                  <c:v>7.642660137457236</c:v>
                </c:pt>
                <c:pt idx="36">
                  <c:v>8.191459425686709</c:v>
                </c:pt>
                <c:pt idx="37">
                  <c:v>8.7571719342867311</c:v>
                </c:pt>
                <c:pt idx="38">
                  <c:v>9.3379667590545523</c:v>
                </c:pt>
                <c:pt idx="39">
                  <c:v>9.9317693613458466</c:v>
                </c:pt>
                <c:pt idx="40">
                  <c:v>10.536267367701406</c:v>
                </c:pt>
                <c:pt idx="41">
                  <c:v>11.148919887041824</c:v>
                </c:pt>
                <c:pt idx="42">
                  <c:v>11.766970421305478</c:v>
                </c:pt>
                <c:pt idx="43">
                  <c:v>12.387463383816836</c:v>
                </c:pt>
                <c:pt idx="44">
                  <c:v>13.007264174040973</c:v>
                </c:pt>
                <c:pt idx="45">
                  <c:v>13.623082689019579</c:v>
                </c:pt>
                <c:pt idx="46">
                  <c:v>14.23150008215503</c:v>
                </c:pt>
                <c:pt idx="47">
                  <c:v>14.828998510688047</c:v>
                </c:pt>
                <c:pt idx="48">
                  <c:v>15.4119935458511</c:v>
                </c:pt>
                <c:pt idx="49">
                  <c:v>15.976868855955829</c:v>
                </c:pt>
                <c:pt idx="50">
                  <c:v>16.520012714253923</c:v>
                </c:pt>
                <c:pt idx="51">
                  <c:v>17.03785583189903</c:v>
                </c:pt>
                <c:pt idx="52">
                  <c:v>17.526909973220349</c:v>
                </c:pt>
                <c:pt idx="53">
                  <c:v>17.983806777125967</c:v>
                </c:pt>
                <c:pt idx="54">
                  <c:v>18.40533618590867</c:v>
                </c:pt>
                <c:pt idx="55">
                  <c:v>18.788483871910493</c:v>
                </c:pt>
                <c:pt idx="56">
                  <c:v>19.130467054017963</c:v>
                </c:pt>
                <c:pt idx="57">
                  <c:v>19.428768110109683</c:v>
                </c:pt>
                <c:pt idx="58">
                  <c:v>19.681165418344563</c:v>
                </c:pt>
                <c:pt idx="59">
                  <c:v>19.885760899218582</c:v>
                </c:pt>
                <c:pt idx="60">
                  <c:v>20.041003780963493</c:v>
                </c:pt>
                <c:pt idx="61">
                  <c:v>20.145710172133175</c:v>
                </c:pt>
                <c:pt idx="62">
                  <c:v>20.199078095855381</c:v>
                </c:pt>
                <c:pt idx="63">
                  <c:v>20.200697718693821</c:v>
                </c:pt>
                <c:pt idx="64">
                  <c:v>20.15055659162627</c:v>
                </c:pt>
                <c:pt idx="65">
                  <c:v>20.049039809388038</c:v>
                </c:pt>
                <c:pt idx="66">
                  <c:v>19.896925085327876</c:v>
                </c:pt>
                <c:pt idx="67">
                  <c:v>19.695372829886775</c:v>
                </c:pt>
                <c:pt idx="68">
                  <c:v>19.445911409748678</c:v>
                </c:pt>
                <c:pt idx="69">
                  <c:v>19.150417849591925</c:v>
                </c:pt>
                <c:pt idx="70">
                  <c:v>18.811094317271351</c:v>
                </c:pt>
                <c:pt idx="71">
                  <c:v>18.430440804429828</c:v>
                </c:pt>
                <c:pt idx="72">
                  <c:v>18.011224476435494</c:v>
                </c:pt>
                <c:pt idx="73">
                  <c:v>17.556446216882382</c:v>
                </c:pt>
                <c:pt idx="74">
                  <c:v>17.069304931680232</c:v>
                </c:pt>
                <c:pt idx="75">
                  <c:v>16.553160205306309</c:v>
                </c:pt>
                <c:pt idx="76">
                  <c:v>16.011493916734615</c:v>
                </c:pt>
                <c:pt idx="77">
                  <c:v>15.447871424857404</c:v>
                </c:pt>
                <c:pt idx="78">
                  <c:v>14.865902923153744</c:v>
                </c:pt>
                <c:pt idx="79">
                  <c:v>14.269205541524732</c:v>
                </c:pt>
                <c:pt idx="80">
                  <c:v>13.661366740469589</c:v>
                </c:pt>
                <c:pt idx="81">
                  <c:v>13.045909500230978</c:v>
                </c:pt>
                <c:pt idx="82">
                  <c:v>12.426259756508495</c:v>
                </c:pt>
                <c:pt idx="83">
                  <c:v>11.805716476306177</c:v>
                </c:pt>
                <c:pt idx="84">
                  <c:v>11.187424704039271</c:v>
                </c:pt>
                <c:pt idx="85">
                  <c:v>10.57435184084027</c:v>
                </c:pt>
                <c:pt idx="86">
                  <c:v>9.9692673507565974</c:v>
                </c:pt>
                <c:pt idx="87">
                  <c:v>9.374726017875739</c:v>
                </c:pt>
                <c:pt idx="88">
                  <c:v>8.7930548099295756</c:v>
                </c:pt>
                <c:pt idx="89">
                  <c:v>8.2263433380876823</c:v>
                </c:pt>
                <c:pt idx="90">
                  <c:v>7.6764378407731666</c:v>
                </c:pt>
                <c:pt idx="91">
                  <c:v>7.1449385625736159</c:v>
                </c:pt>
                <c:pt idx="92">
                  <c:v>6.6332003486288791</c:v>
                </c:pt>
                <c:pt idx="93">
                  <c:v>6.1423362310014884</c:v>
                </c:pt>
                <c:pt idx="94">
                  <c:v>5.6732237470038154</c:v>
                </c:pt>
                <c:pt idx="95">
                  <c:v>5.2265137005807976</c:v>
                </c:pt>
                <c:pt idx="96">
                  <c:v>4.8026410567304563</c:v>
                </c:pt>
                <c:pt idx="97">
                  <c:v>4.401837645490196</c:v>
                </c:pt>
                <c:pt idx="98">
                  <c:v>4.0241463459476989</c:v>
                </c:pt>
                <c:pt idx="99">
                  <c:v>3.669436421613435</c:v>
                </c:pt>
                <c:pt idx="100">
                  <c:v>3.3374196857437668</c:v>
                </c:pt>
                <c:pt idx="101">
                  <c:v>3.0276671881461779</c:v>
                </c:pt>
                <c:pt idx="102">
                  <c:v>2.7396261328655593</c:v>
                </c:pt>
                <c:pt idx="103">
                  <c:v>2.4726367581226225</c:v>
                </c:pt>
                <c:pt idx="104">
                  <c:v>2.2259489351038746</c:v>
                </c:pt>
                <c:pt idx="105">
                  <c:v>1.9987382698363081</c:v>
                </c:pt>
                <c:pt idx="106">
                  <c:v>1.7901215215880346</c:v>
                </c:pt>
                <c:pt idx="107">
                  <c:v>1.599171181228662</c:v>
                </c:pt>
                <c:pt idx="108">
                  <c:v>1.4249290830275467</c:v>
                </c:pt>
                <c:pt idx="109">
                  <c:v>1.2664189528038625</c:v>
                </c:pt>
                <c:pt idx="110">
                  <c:v>1.1226578235906375</c:v>
                </c:pt>
                <c:pt idx="111">
                  <c:v>0.99266627654623585</c:v>
                </c:pt>
                <c:pt idx="112">
                  <c:v>0.87547748934392333</c:v>
                </c:pt>
                <c:pt idx="113">
                  <c:v>0.77014509638937567</c:v>
                </c:pt>
                <c:pt idx="114">
                  <c:v>0.6757498847446306</c:v>
                </c:pt>
                <c:pt idx="115">
                  <c:v>0.59140536644841468</c:v>
                </c:pt>
                <c:pt idx="116">
                  <c:v>0.51626228197086532</c:v>
                </c:pt>
                <c:pt idx="117">
                  <c:v>0.44951210085047144</c:v>
                </c:pt>
                <c:pt idx="118">
                  <c:v>0.39038959422079833</c:v>
                </c:pt>
                <c:pt idx="119">
                  <c:v>0.3381745600846624</c:v>
                </c:pt>
                <c:pt idx="120">
                  <c:v>0.29219278601722803</c:v>
                </c:pt>
                <c:pt idx="121">
                  <c:v>0.25181633569230172</c:v>
                </c:pt>
                <c:pt idx="122">
                  <c:v>0.21646324546610618</c:v>
                </c:pt>
                <c:pt idx="123">
                  <c:v>0.1855967154712721</c:v>
                </c:pt>
                <c:pt idx="124">
                  <c:v>0.15872387652725573</c:v>
                </c:pt>
                <c:pt idx="125">
                  <c:v>0.1353942099158193</c:v>
                </c:pt>
                <c:pt idx="126">
                  <c:v>0.11519769194711568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7-4862-86E9-AF862A5BA0AD}"/>
            </c:ext>
          </c:extLst>
        </c:ser>
        <c:ser>
          <c:idx val="2"/>
          <c:order val="2"/>
          <c:tx>
            <c:strRef>
              <c:f>'Notes | Quant Analysis'!$P$211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C7-4862-86E9-AF862A5BA0AD}"/>
                </c:ext>
              </c:extLst>
            </c:dLbl>
            <c:dLbl>
              <c:idx val="1"/>
              <c:layout>
                <c:manualLayout>
                  <c:x val="-5.6565382155499722E-2"/>
                  <c:y val="-2.71032296781458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60851051661095"/>
                      <c:h val="7.744834597831758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Analysis'!$Q$211:$Q$212</c:f>
              <c:numCache>
                <c:formatCode>0.00%</c:formatCode>
                <c:ptCount val="2"/>
                <c:pt idx="0">
                  <c:v>-4.6874586226488413E-4</c:v>
                </c:pt>
                <c:pt idx="1">
                  <c:v>-4.6874586226488413E-4</c:v>
                </c:pt>
              </c:numCache>
            </c:numRef>
          </c:xVal>
          <c:yVal>
            <c:numRef>
              <c:f>'Notes | Quant Analysis'!$R$211:$R$212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7-4862-86E9-AF862A5BA0AD}"/>
            </c:ext>
          </c:extLst>
        </c:ser>
        <c:ser>
          <c:idx val="3"/>
          <c:order val="3"/>
          <c:tx>
            <c:strRef>
              <c:f>'Notes | Quant Analysis'!$P$213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7-4862-86E9-AF862A5BA0AD}"/>
                </c:ext>
              </c:extLst>
            </c:dLbl>
            <c:dLbl>
              <c:idx val="1"/>
              <c:layout>
                <c:manualLayout>
                  <c:x val="-5.0654610706392225E-2"/>
                  <c:y val="-2.93768521516408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Analysis'!$Q$213:$Q$214</c:f>
              <c:numCache>
                <c:formatCode>0.00%</c:formatCode>
                <c:ptCount val="2"/>
                <c:pt idx="0">
                  <c:v>-5.9698857216225178E-2</c:v>
                </c:pt>
                <c:pt idx="1">
                  <c:v>-5.9698857216225178E-2</c:v>
                </c:pt>
              </c:numCache>
            </c:numRef>
          </c:xVal>
          <c:yVal>
            <c:numRef>
              <c:f>'Notes | Quant Analysis'!$R$213:$R$214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7-4862-86E9-AF862A5BA0AD}"/>
            </c:ext>
          </c:extLst>
        </c:ser>
        <c:ser>
          <c:idx val="4"/>
          <c:order val="4"/>
          <c:tx>
            <c:strRef>
              <c:f>'Notes | Quant Analysis'!$P$215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C7-4862-86E9-AF862A5BA0AD}"/>
                </c:ext>
              </c:extLst>
            </c:dLbl>
            <c:dLbl>
              <c:idx val="1"/>
              <c:layout>
                <c:manualLayout>
                  <c:x val="-5.9747504549306565E-2"/>
                  <c:y val="-8.18706190233631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Analysis'!$Q$215:$Q$216</c:f>
              <c:numCache>
                <c:formatCode>0.00%</c:formatCode>
                <c:ptCount val="2"/>
                <c:pt idx="0">
                  <c:v>-3.9955486764905082E-2</c:v>
                </c:pt>
                <c:pt idx="1">
                  <c:v>-3.9955486764905082E-2</c:v>
                </c:pt>
              </c:numCache>
            </c:numRef>
          </c:xVal>
          <c:yVal>
            <c:numRef>
              <c:f>'Notes | Quant Analysis'!$R$215:$R$216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C7-4862-86E9-AF862A5BA0AD}"/>
            </c:ext>
          </c:extLst>
        </c:ser>
        <c:ser>
          <c:idx val="5"/>
          <c:order val="5"/>
          <c:tx>
            <c:strRef>
              <c:f>'Notes | Quant Analysis'!$P$217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C7-4862-86E9-AF862A5BA0AD}"/>
                </c:ext>
              </c:extLst>
            </c:dLbl>
            <c:dLbl>
              <c:idx val="1"/>
              <c:layout>
                <c:manualLayout>
                  <c:x val="-8.861845712378244E-2"/>
                  <c:y val="-4.00553505915542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Analysis'!$Q$217:$Q$218</c:f>
              <c:numCache>
                <c:formatCode>0.00%</c:formatCode>
                <c:ptCount val="2"/>
                <c:pt idx="0">
                  <c:v>-2.0212116313584983E-2</c:v>
                </c:pt>
                <c:pt idx="1">
                  <c:v>-2.0212116313584983E-2</c:v>
                </c:pt>
              </c:numCache>
            </c:numRef>
          </c:xVal>
          <c:yVal>
            <c:numRef>
              <c:f>'Notes | Quant Analysis'!$R$217:$R$218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8C7-4862-86E9-AF862A5BA0AD}"/>
            </c:ext>
          </c:extLst>
        </c:ser>
        <c:ser>
          <c:idx val="6"/>
          <c:order val="6"/>
          <c:tx>
            <c:strRef>
              <c:f>'Notes | Quant Analysis'!$P$219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C7-4862-86E9-AF862A5BA0AD}"/>
                </c:ext>
              </c:extLst>
            </c:dLbl>
            <c:dLbl>
              <c:idx val="1"/>
              <c:layout>
                <c:manualLayout>
                  <c:x val="-7.6401953575900693E-3"/>
                  <c:y val="-2.9579158151323236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2D-40A7-A22D-BAD8FA8D6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Analysis'!$Q$219:$Q$220</c:f>
              <c:numCache>
                <c:formatCode>0.00%</c:formatCode>
                <c:ptCount val="2"/>
                <c:pt idx="0">
                  <c:v>1.9274624589055215E-2</c:v>
                </c:pt>
                <c:pt idx="1">
                  <c:v>1.9274624589055215E-2</c:v>
                </c:pt>
              </c:numCache>
            </c:numRef>
          </c:xVal>
          <c:yVal>
            <c:numRef>
              <c:f>'Notes | Quant Analysis'!$R$219:$R$220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8C7-4862-86E9-AF862A5BA0AD}"/>
            </c:ext>
          </c:extLst>
        </c:ser>
        <c:ser>
          <c:idx val="7"/>
          <c:order val="7"/>
          <c:tx>
            <c:strRef>
              <c:f>'Notes | Quant Analysis'!$P$221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8C7-4862-86E9-AF862A5BA0AD}"/>
                </c:ext>
              </c:extLst>
            </c:dLbl>
            <c:dLbl>
              <c:idx val="1"/>
              <c:layout>
                <c:manualLayout>
                  <c:x val="-4.5002636920516884E-2"/>
                  <c:y val="-7.9398608811137861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Analysis'!$Q$221:$Q$222</c:f>
              <c:numCache>
                <c:formatCode>0.00%</c:formatCode>
                <c:ptCount val="2"/>
                <c:pt idx="0">
                  <c:v>3.9017995040375314E-2</c:v>
                </c:pt>
                <c:pt idx="1">
                  <c:v>3.9017995040375314E-2</c:v>
                </c:pt>
              </c:numCache>
            </c:numRef>
          </c:xVal>
          <c:yVal>
            <c:numRef>
              <c:f>'Notes | Quant Analysis'!$R$221:$R$222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8C7-4862-86E9-AF862A5BA0AD}"/>
            </c:ext>
          </c:extLst>
        </c:ser>
        <c:ser>
          <c:idx val="8"/>
          <c:order val="8"/>
          <c:tx>
            <c:strRef>
              <c:f>'Notes | Quant Analysis'!$P$223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C7-4862-86E9-AF862A5BA0AD}"/>
                </c:ext>
              </c:extLst>
            </c:dLbl>
            <c:dLbl>
              <c:idx val="1"/>
              <c:layout>
                <c:manualLayout>
                  <c:x val="-4.7027593902142027E-2"/>
                  <c:y val="-2.6657785275175438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Analysis'!$Q$223:$Q$224</c:f>
              <c:numCache>
                <c:formatCode>0.00%</c:formatCode>
                <c:ptCount val="2"/>
                <c:pt idx="0">
                  <c:v>5.876136549169541E-2</c:v>
                </c:pt>
                <c:pt idx="1">
                  <c:v>5.876136549169541E-2</c:v>
                </c:pt>
              </c:numCache>
            </c:numRef>
          </c:xVal>
          <c:yVal>
            <c:numRef>
              <c:f>'Notes | Quant Analysis'!$R$223:$R$224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8C7-4862-86E9-AF862A5BA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98191"/>
        <c:axId val="1274092911"/>
      </c:scatterChart>
      <c:valAx>
        <c:axId val="1274098191"/>
        <c:scaling>
          <c:orientation val="minMax"/>
          <c:max val="8.0000000000000016E-2"/>
          <c:min val="-8.000000000000001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2911"/>
        <c:crossesAt val="0"/>
        <c:crossBetween val="midCat"/>
        <c:majorUnit val="1.0000000000000002E-2"/>
      </c:valAx>
      <c:valAx>
        <c:axId val="12740929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8191"/>
        <c:crossesAt val="-1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(LULU)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numRef>
              <c:f>Model!$BS$3:$CG$3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Model!$BS$47:$CG$47</c:f>
              <c:numCache>
                <c:formatCode>0</c:formatCode>
                <c:ptCount val="15"/>
                <c:pt idx="0">
                  <c:v>184.76999999999998</c:v>
                </c:pt>
                <c:pt idx="1">
                  <c:v>271.3</c:v>
                </c:pt>
                <c:pt idx="2">
                  <c:v>279.5</c:v>
                </c:pt>
                <c:pt idx="3">
                  <c:v>237.09999999999997</c:v>
                </c:pt>
                <c:pt idx="4">
                  <c:v>265.89999999999992</c:v>
                </c:pt>
                <c:pt idx="5">
                  <c:v>303.2</c:v>
                </c:pt>
                <c:pt idx="6">
                  <c:v>255.29999999999995</c:v>
                </c:pt>
                <c:pt idx="7">
                  <c:v>482.90000000000009</c:v>
                </c:pt>
                <c:pt idx="8">
                  <c:v>645.5</c:v>
                </c:pt>
                <c:pt idx="9">
                  <c:v>586.87900000000025</c:v>
                </c:pt>
                <c:pt idx="10">
                  <c:v>974.51699999999937</c:v>
                </c:pt>
                <c:pt idx="11">
                  <c:v>855.21799999999973</c:v>
                </c:pt>
                <c:pt idx="12">
                  <c:v>1549.5700000000002</c:v>
                </c:pt>
                <c:pt idx="13">
                  <c:v>1814.4260000000004</c:v>
                </c:pt>
                <c:pt idx="14">
                  <c:v>1580.3029999999994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numRef>
              <c:f>Model!$BS$3:$CG$3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Model!$BS$95:$CG$95</c:f>
              <c:numCache>
                <c:formatCode>0</c:formatCode>
                <c:ptCount val="15"/>
                <c:pt idx="0">
                  <c:v>87.082999999999984</c:v>
                </c:pt>
                <c:pt idx="1">
                  <c:v>186.98400000000001</c:v>
                </c:pt>
                <c:pt idx="2">
                  <c:v>171.91</c:v>
                </c:pt>
                <c:pt idx="3">
                  <c:v>194.7</c:v>
                </c:pt>
                <c:pt idx="4">
                  <c:v>154.10000000000002</c:v>
                </c:pt>
                <c:pt idx="5">
                  <c:v>236.99999999999997</c:v>
                </c:pt>
                <c:pt idx="6">
                  <c:v>331.5</c:v>
                </c:pt>
                <c:pt idx="7">
                  <c:v>516.89999999999986</c:v>
                </c:pt>
                <c:pt idx="8">
                  <c:v>386.30000000000007</c:v>
                </c:pt>
                <c:pt idx="9">
                  <c:v>574.1</c:v>
                </c:pt>
                <c:pt idx="10">
                  <c:v>994.69999999999993</c:v>
                </c:pt>
                <c:pt idx="11">
                  <c:v>327.69999999999987</c:v>
                </c:pt>
                <c:pt idx="12">
                  <c:v>1644.3999999999999</c:v>
                </c:pt>
                <c:pt idx="13">
                  <c:v>1583.4</c:v>
                </c:pt>
                <c:pt idx="14">
                  <c:v>921.7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strRef>
              <c:f>Model!$B$38</c:f>
              <c:strCache>
                <c:ptCount val="1"/>
                <c:pt idx="0">
                  <c:v>Revenues</c:v>
                </c:pt>
              </c:strCache>
            </c:strRef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Model!$BS$3:$CG$3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Model!$BS$38:$CG$38</c:f>
              <c:numCache>
                <c:formatCode>0</c:formatCode>
                <c:ptCount val="15"/>
                <c:pt idx="0">
                  <c:v>1000.52</c:v>
                </c:pt>
                <c:pt idx="1">
                  <c:v>1370.3</c:v>
                </c:pt>
                <c:pt idx="2">
                  <c:v>1591.1999999999998</c:v>
                </c:pt>
                <c:pt idx="3">
                  <c:v>1797.1999999999998</c:v>
                </c:pt>
                <c:pt idx="4">
                  <c:v>2060.5</c:v>
                </c:pt>
                <c:pt idx="5">
                  <c:v>2344.3000000000002</c:v>
                </c:pt>
                <c:pt idx="6">
                  <c:v>2649.2</c:v>
                </c:pt>
                <c:pt idx="7">
                  <c:v>3288.4</c:v>
                </c:pt>
                <c:pt idx="8">
                  <c:v>3979.2999999999997</c:v>
                </c:pt>
                <c:pt idx="9">
                  <c:v>4401.8789999999999</c:v>
                </c:pt>
                <c:pt idx="10">
                  <c:v>6256.6169999999993</c:v>
                </c:pt>
                <c:pt idx="11">
                  <c:v>8110.518</c:v>
                </c:pt>
                <c:pt idx="12">
                  <c:v>9619.27</c:v>
                </c:pt>
                <c:pt idx="13">
                  <c:v>10588.126</c:v>
                </c:pt>
                <c:pt idx="14">
                  <c:v>11102.58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</xdr:row>
      <xdr:rowOff>9525</xdr:rowOff>
    </xdr:from>
    <xdr:to>
      <xdr:col>8</xdr:col>
      <xdr:colOff>2421</xdr:colOff>
      <xdr:row>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ED939B-F1E2-58A6-34FD-9C2F80C94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381000"/>
          <a:ext cx="1821696" cy="1076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0</xdr:colOff>
      <xdr:row>0</xdr:row>
      <xdr:rowOff>0</xdr:rowOff>
    </xdr:from>
    <xdr:to>
      <xdr:col>62</xdr:col>
      <xdr:colOff>0</xdr:colOff>
      <xdr:row>112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39859324" y="0"/>
          <a:ext cx="0" cy="2025575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0</xdr:colOff>
      <xdr:row>0</xdr:row>
      <xdr:rowOff>0</xdr:rowOff>
    </xdr:from>
    <xdr:to>
      <xdr:col>85</xdr:col>
      <xdr:colOff>0</xdr:colOff>
      <xdr:row>111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208025" y="0"/>
          <a:ext cx="0" cy="23517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68</xdr:row>
      <xdr:rowOff>190499</xdr:rowOff>
    </xdr:from>
    <xdr:to>
      <xdr:col>24</xdr:col>
      <xdr:colOff>0</xdr:colOff>
      <xdr:row>99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105</xdr:row>
      <xdr:rowOff>0</xdr:rowOff>
    </xdr:from>
    <xdr:to>
      <xdr:col>24</xdr:col>
      <xdr:colOff>0</xdr:colOff>
      <xdr:row>133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170</xdr:row>
      <xdr:rowOff>0</xdr:rowOff>
    </xdr:from>
    <xdr:to>
      <xdr:col>24</xdr:col>
      <xdr:colOff>0</xdr:colOff>
      <xdr:row>198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138</xdr:row>
      <xdr:rowOff>0</xdr:rowOff>
    </xdr:from>
    <xdr:to>
      <xdr:col>24</xdr:col>
      <xdr:colOff>0</xdr:colOff>
      <xdr:row>166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17319</xdr:colOff>
      <xdr:row>2</xdr:row>
      <xdr:rowOff>17318</xdr:rowOff>
    </xdr:from>
    <xdr:to>
      <xdr:col>20</xdr:col>
      <xdr:colOff>11971</xdr:colOff>
      <xdr:row>31</xdr:row>
      <xdr:rowOff>173180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00701DC-6241-DF82-A9BB-ABB1404E9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5137" y="381000"/>
          <a:ext cx="6662152" cy="5178135"/>
        </a:xfrm>
        <a:prstGeom prst="rect">
          <a:avLst/>
        </a:prstGeom>
      </xdr:spPr>
    </xdr:pic>
    <xdr:clientData/>
  </xdr:twoCellAnchor>
  <xdr:twoCellAnchor editAs="oneCell">
    <xdr:from>
      <xdr:col>20</xdr:col>
      <xdr:colOff>17318</xdr:colOff>
      <xdr:row>2</xdr:row>
      <xdr:rowOff>17318</xdr:rowOff>
    </xdr:from>
    <xdr:to>
      <xdr:col>31</xdr:col>
      <xdr:colOff>0</xdr:colOff>
      <xdr:row>32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649E31B-49AB-A44A-34BF-97560C866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92636" y="381000"/>
          <a:ext cx="6650182" cy="5178136"/>
        </a:xfrm>
        <a:prstGeom prst="rect">
          <a:avLst/>
        </a:prstGeom>
      </xdr:spPr>
    </xdr:pic>
    <xdr:clientData/>
  </xdr:twoCellAnchor>
  <xdr:twoCellAnchor editAs="oneCell">
    <xdr:from>
      <xdr:col>9</xdr:col>
      <xdr:colOff>11207</xdr:colOff>
      <xdr:row>37</xdr:row>
      <xdr:rowOff>11206</xdr:rowOff>
    </xdr:from>
    <xdr:to>
      <xdr:col>17</xdr:col>
      <xdr:colOff>1018</xdr:colOff>
      <xdr:row>64</xdr:row>
      <xdr:rowOff>13997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A142AB-C0EF-27CD-3A21-6F9453AF9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4119" y="6689912"/>
          <a:ext cx="4830752" cy="4843732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138</xdr:row>
      <xdr:rowOff>0</xdr:rowOff>
    </xdr:from>
    <xdr:to>
      <xdr:col>44</xdr:col>
      <xdr:colOff>11206</xdr:colOff>
      <xdr:row>166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91FA096-2ECE-E198-D47F-442D2C095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716000" y="24821029"/>
          <a:ext cx="7272618" cy="50314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.lululemon.com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investors@lululemon.com" TargetMode="External"/><Relationship Id="rId1" Type="http://schemas.openxmlformats.org/officeDocument/2006/relationships/hyperlink" Target="https://app.godelterminal.com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sec.gov/edgar/browse/?CIK=1397187&amp;owner=exclude" TargetMode="External"/><Relationship Id="rId4" Type="http://schemas.openxmlformats.org/officeDocument/2006/relationships/hyperlink" Target="https://corporate.lululemon.com/investor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38"/>
  <sheetViews>
    <sheetView zoomScale="85" zoomScaleNormal="85" workbookViewId="0">
      <selection activeCell="C7" sqref="C7"/>
    </sheetView>
  </sheetViews>
  <sheetFormatPr defaultColWidth="9.140625" defaultRowHeight="14.25"/>
  <cols>
    <col min="1" max="1" width="3.42578125" style="1" customWidth="1"/>
    <col min="2" max="2" width="9.140625" style="1" customWidth="1"/>
    <col min="3" max="3" width="11.5703125" style="1" customWidth="1"/>
    <col min="4" max="4" width="9.140625" style="1" customWidth="1"/>
    <col min="5" max="16384" width="9.140625" style="1"/>
  </cols>
  <sheetData>
    <row r="2" spans="2:19" ht="15">
      <c r="B2" s="2" t="s">
        <v>174</v>
      </c>
    </row>
    <row r="3" spans="2:19">
      <c r="B3" s="1" t="s">
        <v>0</v>
      </c>
      <c r="C3" s="74">
        <v>147.03</v>
      </c>
      <c r="D3" s="42" t="s">
        <v>1545</v>
      </c>
    </row>
    <row r="4" spans="2:19">
      <c r="B4" s="1" t="s">
        <v>1</v>
      </c>
      <c r="C4" s="75">
        <v>118.98099999999999</v>
      </c>
      <c r="D4" s="1" t="s">
        <v>1530</v>
      </c>
    </row>
    <row r="5" spans="2:19">
      <c r="B5" s="1" t="s">
        <v>2</v>
      </c>
      <c r="C5" s="76">
        <f>C3*C4</f>
        <v>17493.776429999998</v>
      </c>
    </row>
    <row r="6" spans="2:19">
      <c r="B6" s="1" t="s">
        <v>3</v>
      </c>
      <c r="C6" s="76">
        <v>1807.2</v>
      </c>
      <c r="D6" s="1" t="s">
        <v>1530</v>
      </c>
    </row>
    <row r="7" spans="2:19">
      <c r="B7" s="1" t="s">
        <v>4</v>
      </c>
      <c r="C7" s="76">
        <v>0</v>
      </c>
      <c r="D7" s="1" t="s">
        <v>1530</v>
      </c>
    </row>
    <row r="8" spans="2:19">
      <c r="B8" s="1" t="s">
        <v>5</v>
      </c>
      <c r="C8" s="76">
        <f>C5-C6+C7</f>
        <v>15686.576429999997</v>
      </c>
    </row>
    <row r="10" spans="2:19" ht="15">
      <c r="B10" s="2" t="s">
        <v>175</v>
      </c>
    </row>
    <row r="12" spans="2:19" ht="15">
      <c r="B12" s="1" t="s">
        <v>176</v>
      </c>
      <c r="G12" s="1" t="s">
        <v>179</v>
      </c>
      <c r="O12" s="1" t="s">
        <v>153</v>
      </c>
      <c r="R12" s="2"/>
    </row>
    <row r="13" spans="2:19">
      <c r="B13" s="1" t="s">
        <v>177</v>
      </c>
      <c r="G13" s="1" t="s">
        <v>180</v>
      </c>
      <c r="O13" s="1" t="s">
        <v>7</v>
      </c>
      <c r="R13" s="43" t="s">
        <v>189</v>
      </c>
    </row>
    <row r="14" spans="2:19">
      <c r="B14" s="1" t="s">
        <v>178</v>
      </c>
      <c r="G14" s="1" t="s">
        <v>6</v>
      </c>
      <c r="O14" s="1" t="s">
        <v>158</v>
      </c>
      <c r="R14" s="43" t="s">
        <v>190</v>
      </c>
    </row>
    <row r="15" spans="2:19">
      <c r="B15" s="1" t="s">
        <v>184</v>
      </c>
      <c r="G15" s="1" t="s">
        <v>150</v>
      </c>
      <c r="P15" s="1" t="s">
        <v>157</v>
      </c>
      <c r="S15" s="43" t="s">
        <v>191</v>
      </c>
    </row>
    <row r="16" spans="2:19">
      <c r="B16" s="1" t="s">
        <v>185</v>
      </c>
      <c r="G16" s="1" t="s">
        <v>144</v>
      </c>
      <c r="H16" s="1" t="s">
        <v>181</v>
      </c>
      <c r="J16" s="1" t="s">
        <v>145</v>
      </c>
      <c r="K16" s="43" t="s">
        <v>183</v>
      </c>
      <c r="O16" s="1" t="s">
        <v>147</v>
      </c>
      <c r="R16" s="43" t="s">
        <v>192</v>
      </c>
    </row>
    <row r="17" spans="1:18">
      <c r="B17" s="1" t="s">
        <v>186</v>
      </c>
      <c r="O17" s="1" t="s">
        <v>148</v>
      </c>
      <c r="R17" s="43" t="s">
        <v>193</v>
      </c>
    </row>
    <row r="18" spans="1:18">
      <c r="B18" s="1" t="s">
        <v>187</v>
      </c>
      <c r="O18" s="1" t="s">
        <v>159</v>
      </c>
      <c r="R18" s="43" t="s">
        <v>194</v>
      </c>
    </row>
    <row r="19" spans="1:18">
      <c r="B19" s="1" t="s">
        <v>188</v>
      </c>
      <c r="O19" s="1" t="s">
        <v>160</v>
      </c>
      <c r="R19" s="43" t="s">
        <v>195</v>
      </c>
    </row>
    <row r="20" spans="1:18">
      <c r="B20" s="1" t="s">
        <v>182</v>
      </c>
      <c r="O20" s="1" t="s">
        <v>8</v>
      </c>
      <c r="R20" s="43" t="s">
        <v>149</v>
      </c>
    </row>
    <row r="21" spans="1:18">
      <c r="Q21" s="43"/>
    </row>
    <row r="22" spans="1:18" ht="15">
      <c r="A22" s="2" t="s">
        <v>9</v>
      </c>
      <c r="N22" s="2"/>
    </row>
    <row r="23" spans="1:18">
      <c r="B23" s="1" t="s">
        <v>196</v>
      </c>
    </row>
    <row r="24" spans="1:18">
      <c r="C24" s="1" t="s">
        <v>206</v>
      </c>
    </row>
    <row r="25" spans="1:18">
      <c r="C25" s="1" t="s">
        <v>205</v>
      </c>
    </row>
    <row r="26" spans="1:18">
      <c r="B26" s="1" t="s">
        <v>197</v>
      </c>
    </row>
    <row r="27" spans="1:18">
      <c r="C27" s="1" t="s">
        <v>209</v>
      </c>
    </row>
    <row r="28" spans="1:18">
      <c r="C28" s="1" t="s">
        <v>207</v>
      </c>
    </row>
    <row r="29" spans="1:18">
      <c r="B29" s="1" t="s">
        <v>198</v>
      </c>
    </row>
    <row r="30" spans="1:18">
      <c r="B30" s="1" t="s">
        <v>199</v>
      </c>
    </row>
    <row r="31" spans="1:18">
      <c r="C31" s="1" t="s">
        <v>204</v>
      </c>
    </row>
    <row r="32" spans="1:18">
      <c r="C32" s="1" t="s">
        <v>200</v>
      </c>
    </row>
    <row r="33" spans="1:4">
      <c r="D33" s="1" t="s">
        <v>202</v>
      </c>
    </row>
    <row r="34" spans="1:4">
      <c r="C34" s="1" t="s">
        <v>201</v>
      </c>
    </row>
    <row r="35" spans="1:4">
      <c r="D35" s="1" t="s">
        <v>203</v>
      </c>
    </row>
    <row r="36" spans="1:4">
      <c r="C36" s="1" t="s">
        <v>208</v>
      </c>
    </row>
    <row r="38" spans="1:4" ht="15">
      <c r="A38" s="2" t="s">
        <v>151</v>
      </c>
    </row>
  </sheetData>
  <hyperlinks>
    <hyperlink ref="R20" r:id="rId1" xr:uid="{14375537-5C3D-4253-9650-337AB6789785}"/>
    <hyperlink ref="K16" r:id="rId2" xr:uid="{C09B587C-556B-46BF-9102-5494E7C6151F}"/>
    <hyperlink ref="R14" r:id="rId3" xr:uid="{1435B295-2525-47EE-A2D9-91294BA28106}"/>
    <hyperlink ref="S15" r:id="rId4" xr:uid="{7925C401-FA67-4968-B6A2-0D0CC832D94B}"/>
    <hyperlink ref="R13" r:id="rId5" xr:uid="{47B2CCF9-E7E0-4CE2-BA07-305962928EA0}"/>
  </hyperlinks>
  <pageMargins left="0.7" right="0.7" top="0.75" bottom="0.75" header="0.3" footer="0.3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ER102"/>
  <sheetViews>
    <sheetView tabSelected="1" zoomScale="85" zoomScaleNormal="85" workbookViewId="0">
      <pane xSplit="2" ySplit="3" topLeftCell="BU45" activePane="bottomRight" state="frozen"/>
      <selection pane="topRight" activeCell="C1" sqref="C1"/>
      <selection pane="bottomLeft" activeCell="A4" sqref="A4"/>
      <selection pane="bottomRight" activeCell="CU81" sqref="CU81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3" width="9.42578125" style="1" bestFit="1" customWidth="1"/>
    <col min="4" max="14" width="9.5703125" style="1" bestFit="1" customWidth="1"/>
    <col min="15" max="60" width="9.28515625" style="1" bestFit="1" customWidth="1"/>
    <col min="61" max="62" width="9.140625" style="1"/>
    <col min="63" max="66" width="9.140625" style="35"/>
    <col min="67" max="70" width="9.140625" style="1"/>
    <col min="71" max="71" width="9.5703125" style="1" bestFit="1" customWidth="1"/>
    <col min="72" max="73" width="9.42578125" style="1" bestFit="1" customWidth="1"/>
    <col min="74" max="84" width="9.28515625" style="1" bestFit="1" customWidth="1"/>
    <col min="85" max="85" width="9.28515625" style="1" customWidth="1"/>
    <col min="86" max="147" width="9.140625" style="35"/>
    <col min="148" max="16384" width="9.140625" style="1"/>
  </cols>
  <sheetData>
    <row r="1" spans="2:148" ht="15">
      <c r="AM1" s="33" t="s">
        <v>79</v>
      </c>
      <c r="AQ1" s="33" t="s">
        <v>83</v>
      </c>
      <c r="AU1" s="33" t="s">
        <v>87</v>
      </c>
      <c r="AY1" s="33" t="s">
        <v>91</v>
      </c>
      <c r="BC1" s="33" t="s">
        <v>95</v>
      </c>
      <c r="BG1" s="33" t="s">
        <v>99</v>
      </c>
    </row>
    <row r="2" spans="2:148">
      <c r="B2" s="1" t="s">
        <v>107</v>
      </c>
      <c r="C2" s="1" t="s">
        <v>1525</v>
      </c>
      <c r="D2" s="1" t="s">
        <v>1524</v>
      </c>
      <c r="E2" s="1" t="s">
        <v>1526</v>
      </c>
      <c r="F2" s="1" t="s">
        <v>1527</v>
      </c>
      <c r="G2" s="1" t="s">
        <v>1525</v>
      </c>
      <c r="H2" s="1" t="s">
        <v>1524</v>
      </c>
      <c r="I2" s="1" t="s">
        <v>1526</v>
      </c>
      <c r="J2" s="1" t="s">
        <v>1527</v>
      </c>
      <c r="K2" s="1" t="s">
        <v>1525</v>
      </c>
      <c r="L2" s="1" t="s">
        <v>1524</v>
      </c>
      <c r="M2" s="1" t="s">
        <v>1526</v>
      </c>
      <c r="N2" s="1" t="s">
        <v>1527</v>
      </c>
      <c r="O2" s="1" t="s">
        <v>1525</v>
      </c>
      <c r="P2" s="1" t="s">
        <v>1524</v>
      </c>
      <c r="Q2" s="1" t="s">
        <v>1526</v>
      </c>
      <c r="R2" s="1" t="s">
        <v>1527</v>
      </c>
      <c r="S2" s="1" t="s">
        <v>1525</v>
      </c>
      <c r="T2" s="1" t="s">
        <v>1524</v>
      </c>
      <c r="U2" s="1" t="s">
        <v>1526</v>
      </c>
      <c r="V2" s="1" t="s">
        <v>1527</v>
      </c>
      <c r="W2" s="1" t="s">
        <v>1525</v>
      </c>
      <c r="X2" s="1" t="s">
        <v>1524</v>
      </c>
      <c r="Y2" s="1" t="s">
        <v>1526</v>
      </c>
      <c r="Z2" s="1" t="s">
        <v>1527</v>
      </c>
      <c r="AA2" s="1" t="s">
        <v>1525</v>
      </c>
      <c r="AB2" s="1" t="s">
        <v>1524</v>
      </c>
      <c r="AC2" s="1" t="s">
        <v>1526</v>
      </c>
      <c r="AD2" s="1" t="s">
        <v>1527</v>
      </c>
      <c r="AE2" s="1" t="s">
        <v>1525</v>
      </c>
      <c r="AF2" s="1" t="s">
        <v>1524</v>
      </c>
      <c r="AG2" s="1" t="s">
        <v>1526</v>
      </c>
      <c r="AH2" s="1" t="s">
        <v>1527</v>
      </c>
      <c r="AI2" s="1" t="s">
        <v>1525</v>
      </c>
      <c r="AJ2" s="1" t="s">
        <v>1524</v>
      </c>
      <c r="AK2" s="1" t="s">
        <v>1526</v>
      </c>
      <c r="AL2" s="1" t="s">
        <v>1527</v>
      </c>
      <c r="AM2" s="1" t="s">
        <v>1525</v>
      </c>
      <c r="AN2" s="1" t="s">
        <v>1524</v>
      </c>
      <c r="AO2" s="1" t="s">
        <v>1526</v>
      </c>
      <c r="AP2" s="1" t="s">
        <v>1527</v>
      </c>
      <c r="AQ2" s="1" t="s">
        <v>1525</v>
      </c>
      <c r="AR2" s="1" t="s">
        <v>1524</v>
      </c>
      <c r="AS2" s="1" t="s">
        <v>1526</v>
      </c>
      <c r="AT2" s="1" t="s">
        <v>1527</v>
      </c>
      <c r="AU2" s="1" t="s">
        <v>1525</v>
      </c>
      <c r="AV2" s="1" t="s">
        <v>1524</v>
      </c>
      <c r="AW2" s="1" t="s">
        <v>1526</v>
      </c>
      <c r="AX2" s="1" t="s">
        <v>1527</v>
      </c>
      <c r="AY2" s="1" t="s">
        <v>1525</v>
      </c>
      <c r="AZ2" s="1" t="s">
        <v>1524</v>
      </c>
      <c r="BA2" s="1" t="s">
        <v>1526</v>
      </c>
      <c r="BB2" s="1" t="s">
        <v>1527</v>
      </c>
      <c r="BC2" s="1" t="s">
        <v>1525</v>
      </c>
      <c r="BD2" s="1" t="s">
        <v>1524</v>
      </c>
      <c r="BE2" s="1" t="s">
        <v>1526</v>
      </c>
      <c r="BF2" s="1" t="s">
        <v>1527</v>
      </c>
      <c r="BG2" s="1" t="s">
        <v>1525</v>
      </c>
      <c r="BH2" s="1" t="s">
        <v>1524</v>
      </c>
      <c r="BI2" s="1" t="s">
        <v>1526</v>
      </c>
      <c r="BJ2" s="1" t="s">
        <v>1527</v>
      </c>
      <c r="BK2" s="35" t="s">
        <v>1525</v>
      </c>
      <c r="BL2" s="35" t="s">
        <v>1524</v>
      </c>
      <c r="BM2" s="35" t="s">
        <v>1526</v>
      </c>
      <c r="BN2" s="35" t="s">
        <v>1527</v>
      </c>
    </row>
    <row r="3" spans="2:148" ht="15">
      <c r="B3" s="2" t="s">
        <v>108</v>
      </c>
      <c r="C3" s="33" t="s">
        <v>43</v>
      </c>
      <c r="D3" s="33" t="s">
        <v>44</v>
      </c>
      <c r="E3" s="33" t="s">
        <v>45</v>
      </c>
      <c r="F3" s="33" t="s">
        <v>46</v>
      </c>
      <c r="G3" s="33" t="s">
        <v>47</v>
      </c>
      <c r="H3" s="33" t="s">
        <v>48</v>
      </c>
      <c r="I3" s="33" t="s">
        <v>49</v>
      </c>
      <c r="J3" s="33" t="s">
        <v>50</v>
      </c>
      <c r="K3" s="33" t="s">
        <v>51</v>
      </c>
      <c r="L3" s="33" t="s">
        <v>52</v>
      </c>
      <c r="M3" s="33" t="s">
        <v>53</v>
      </c>
      <c r="N3" s="33" t="s">
        <v>54</v>
      </c>
      <c r="O3" s="33" t="s">
        <v>55</v>
      </c>
      <c r="P3" s="33" t="s">
        <v>56</v>
      </c>
      <c r="Q3" s="33" t="s">
        <v>57</v>
      </c>
      <c r="R3" s="33" t="s">
        <v>58</v>
      </c>
      <c r="S3" s="33" t="s">
        <v>59</v>
      </c>
      <c r="T3" s="33" t="s">
        <v>60</v>
      </c>
      <c r="U3" s="33" t="s">
        <v>61</v>
      </c>
      <c r="V3" s="33" t="s">
        <v>62</v>
      </c>
      <c r="W3" s="33" t="s">
        <v>63</v>
      </c>
      <c r="X3" s="33" t="s">
        <v>64</v>
      </c>
      <c r="Y3" s="33" t="s">
        <v>65</v>
      </c>
      <c r="Z3" s="33" t="s">
        <v>66</v>
      </c>
      <c r="AA3" s="33" t="s">
        <v>67</v>
      </c>
      <c r="AB3" s="33" t="s">
        <v>68</v>
      </c>
      <c r="AC3" s="33" t="s">
        <v>69</v>
      </c>
      <c r="AD3" s="33" t="s">
        <v>70</v>
      </c>
      <c r="AE3" s="33" t="s">
        <v>71</v>
      </c>
      <c r="AF3" s="33" t="s">
        <v>72</v>
      </c>
      <c r="AG3" s="33" t="s">
        <v>73</v>
      </c>
      <c r="AH3" s="33" t="s">
        <v>74</v>
      </c>
      <c r="AI3" s="33" t="s">
        <v>75</v>
      </c>
      <c r="AJ3" s="33" t="s">
        <v>76</v>
      </c>
      <c r="AK3" s="33" t="s">
        <v>77</v>
      </c>
      <c r="AL3" s="33" t="s">
        <v>78</v>
      </c>
      <c r="AM3" s="33" t="s">
        <v>79</v>
      </c>
      <c r="AN3" s="33" t="s">
        <v>80</v>
      </c>
      <c r="AO3" s="33" t="s">
        <v>81</v>
      </c>
      <c r="AP3" s="33" t="s">
        <v>82</v>
      </c>
      <c r="AQ3" s="33" t="s">
        <v>83</v>
      </c>
      <c r="AR3" s="33" t="s">
        <v>84</v>
      </c>
      <c r="AS3" s="33" t="s">
        <v>85</v>
      </c>
      <c r="AT3" s="33" t="s">
        <v>86</v>
      </c>
      <c r="AU3" s="33" t="s">
        <v>87</v>
      </c>
      <c r="AV3" s="33" t="s">
        <v>88</v>
      </c>
      <c r="AW3" s="33" t="s">
        <v>89</v>
      </c>
      <c r="AX3" s="33" t="s">
        <v>90</v>
      </c>
      <c r="AY3" s="33" t="s">
        <v>91</v>
      </c>
      <c r="AZ3" s="33" t="s">
        <v>92</v>
      </c>
      <c r="BA3" s="33" t="s">
        <v>93</v>
      </c>
      <c r="BB3" s="33" t="s">
        <v>94</v>
      </c>
      <c r="BC3" s="33" t="s">
        <v>95</v>
      </c>
      <c r="BD3" s="33" t="s">
        <v>96</v>
      </c>
      <c r="BE3" s="33" t="s">
        <v>97</v>
      </c>
      <c r="BF3" s="33" t="s">
        <v>98</v>
      </c>
      <c r="BG3" s="33" t="s">
        <v>99</v>
      </c>
      <c r="BH3" s="2" t="s">
        <v>100</v>
      </c>
      <c r="BI3" s="2" t="s">
        <v>101</v>
      </c>
      <c r="BJ3" s="2" t="s">
        <v>102</v>
      </c>
      <c r="BK3" s="34" t="s">
        <v>103</v>
      </c>
      <c r="BL3" s="34" t="s">
        <v>104</v>
      </c>
      <c r="BM3" s="34" t="s">
        <v>105</v>
      </c>
      <c r="BN3" s="34" t="s">
        <v>106</v>
      </c>
      <c r="BS3" s="2">
        <v>2011</v>
      </c>
      <c r="BT3" s="2">
        <f t="shared" ref="BT3:ED3" si="0">BS3+1</f>
        <v>2012</v>
      </c>
      <c r="BU3" s="2">
        <f t="shared" si="0"/>
        <v>2013</v>
      </c>
      <c r="BV3" s="2">
        <f t="shared" si="0"/>
        <v>2014</v>
      </c>
      <c r="BW3" s="2">
        <f t="shared" si="0"/>
        <v>2015</v>
      </c>
      <c r="BX3" s="2">
        <f t="shared" si="0"/>
        <v>2016</v>
      </c>
      <c r="BY3" s="2">
        <f t="shared" si="0"/>
        <v>2017</v>
      </c>
      <c r="BZ3" s="2">
        <f t="shared" si="0"/>
        <v>2018</v>
      </c>
      <c r="CA3" s="2">
        <f t="shared" si="0"/>
        <v>2019</v>
      </c>
      <c r="CB3" s="2">
        <f t="shared" si="0"/>
        <v>2020</v>
      </c>
      <c r="CC3" s="2">
        <f t="shared" si="0"/>
        <v>2021</v>
      </c>
      <c r="CD3" s="2">
        <f t="shared" si="0"/>
        <v>2022</v>
      </c>
      <c r="CE3" s="2">
        <f t="shared" si="0"/>
        <v>2023</v>
      </c>
      <c r="CF3" s="2">
        <f t="shared" si="0"/>
        <v>2024</v>
      </c>
      <c r="CG3" s="2">
        <f t="shared" si="0"/>
        <v>2025</v>
      </c>
      <c r="CH3" s="34">
        <f>CG3+1</f>
        <v>2026</v>
      </c>
      <c r="CI3" s="34">
        <f t="shared" si="0"/>
        <v>2027</v>
      </c>
      <c r="CJ3" s="34">
        <f t="shared" si="0"/>
        <v>2028</v>
      </c>
      <c r="CK3" s="34">
        <f t="shared" si="0"/>
        <v>2029</v>
      </c>
      <c r="CL3" s="34">
        <f t="shared" si="0"/>
        <v>2030</v>
      </c>
      <c r="CM3" s="34">
        <f t="shared" si="0"/>
        <v>2031</v>
      </c>
      <c r="CN3" s="34">
        <f t="shared" si="0"/>
        <v>2032</v>
      </c>
      <c r="CO3" s="34">
        <f t="shared" si="0"/>
        <v>2033</v>
      </c>
      <c r="CP3" s="34">
        <f t="shared" si="0"/>
        <v>2034</v>
      </c>
      <c r="CQ3" s="34">
        <f t="shared" si="0"/>
        <v>2035</v>
      </c>
      <c r="CR3" s="34">
        <f t="shared" si="0"/>
        <v>2036</v>
      </c>
      <c r="CS3" s="34">
        <f t="shared" si="0"/>
        <v>2037</v>
      </c>
      <c r="CT3" s="34">
        <f t="shared" si="0"/>
        <v>2038</v>
      </c>
      <c r="CU3" s="34">
        <f t="shared" si="0"/>
        <v>2039</v>
      </c>
      <c r="CV3" s="34">
        <f t="shared" si="0"/>
        <v>2040</v>
      </c>
      <c r="CW3" s="34">
        <f t="shared" si="0"/>
        <v>2041</v>
      </c>
      <c r="CX3" s="34">
        <f t="shared" si="0"/>
        <v>2042</v>
      </c>
      <c r="CY3" s="34">
        <f t="shared" si="0"/>
        <v>2043</v>
      </c>
      <c r="CZ3" s="34">
        <f t="shared" si="0"/>
        <v>2044</v>
      </c>
      <c r="DA3" s="34">
        <f t="shared" si="0"/>
        <v>2045</v>
      </c>
      <c r="DB3" s="34">
        <f t="shared" si="0"/>
        <v>2046</v>
      </c>
      <c r="DC3" s="34">
        <f t="shared" si="0"/>
        <v>2047</v>
      </c>
      <c r="DD3" s="34">
        <f t="shared" si="0"/>
        <v>2048</v>
      </c>
      <c r="DE3" s="34">
        <f t="shared" si="0"/>
        <v>2049</v>
      </c>
      <c r="DF3" s="34">
        <f t="shared" si="0"/>
        <v>2050</v>
      </c>
      <c r="DG3" s="34">
        <f t="shared" si="0"/>
        <v>2051</v>
      </c>
      <c r="DH3" s="34">
        <f t="shared" si="0"/>
        <v>2052</v>
      </c>
      <c r="DI3" s="34">
        <f t="shared" si="0"/>
        <v>2053</v>
      </c>
      <c r="DJ3" s="34">
        <f t="shared" si="0"/>
        <v>2054</v>
      </c>
      <c r="DK3" s="34">
        <f t="shared" si="0"/>
        <v>2055</v>
      </c>
      <c r="DL3" s="34">
        <f t="shared" si="0"/>
        <v>2056</v>
      </c>
      <c r="DM3" s="34">
        <f t="shared" si="0"/>
        <v>2057</v>
      </c>
      <c r="DN3" s="34">
        <f t="shared" si="0"/>
        <v>2058</v>
      </c>
      <c r="DO3" s="34">
        <f t="shared" si="0"/>
        <v>2059</v>
      </c>
      <c r="DP3" s="34">
        <f t="shared" si="0"/>
        <v>2060</v>
      </c>
      <c r="DQ3" s="34">
        <f t="shared" si="0"/>
        <v>2061</v>
      </c>
      <c r="DR3" s="34">
        <f t="shared" si="0"/>
        <v>2062</v>
      </c>
      <c r="DS3" s="34">
        <f t="shared" si="0"/>
        <v>2063</v>
      </c>
      <c r="DT3" s="34">
        <f t="shared" si="0"/>
        <v>2064</v>
      </c>
      <c r="DU3" s="34">
        <f t="shared" si="0"/>
        <v>2065</v>
      </c>
      <c r="DV3" s="34">
        <f t="shared" si="0"/>
        <v>2066</v>
      </c>
      <c r="DW3" s="34">
        <f t="shared" si="0"/>
        <v>2067</v>
      </c>
      <c r="DX3" s="34">
        <f t="shared" si="0"/>
        <v>2068</v>
      </c>
      <c r="DY3" s="34">
        <f t="shared" si="0"/>
        <v>2069</v>
      </c>
      <c r="DZ3" s="34">
        <f t="shared" si="0"/>
        <v>2070</v>
      </c>
      <c r="EA3" s="34">
        <f t="shared" si="0"/>
        <v>2071</v>
      </c>
      <c r="EB3" s="34">
        <f t="shared" si="0"/>
        <v>2072</v>
      </c>
      <c r="EC3" s="34">
        <f t="shared" si="0"/>
        <v>2073</v>
      </c>
      <c r="ED3" s="34">
        <f t="shared" si="0"/>
        <v>2074</v>
      </c>
      <c r="EE3" s="34">
        <f t="shared" ref="EE3:EO3" si="1">ED3+1</f>
        <v>2075</v>
      </c>
      <c r="EF3" s="34">
        <f t="shared" si="1"/>
        <v>2076</v>
      </c>
      <c r="EG3" s="34">
        <f t="shared" si="1"/>
        <v>2077</v>
      </c>
      <c r="EH3" s="34">
        <f t="shared" si="1"/>
        <v>2078</v>
      </c>
      <c r="EI3" s="34">
        <f t="shared" si="1"/>
        <v>2079</v>
      </c>
      <c r="EJ3" s="34">
        <f t="shared" si="1"/>
        <v>2080</v>
      </c>
      <c r="EK3" s="34">
        <f t="shared" si="1"/>
        <v>2081</v>
      </c>
      <c r="EL3" s="34">
        <f t="shared" si="1"/>
        <v>2082</v>
      </c>
      <c r="EM3" s="34">
        <f t="shared" si="1"/>
        <v>2083</v>
      </c>
      <c r="EN3" s="34">
        <f t="shared" si="1"/>
        <v>2084</v>
      </c>
      <c r="EO3" s="34">
        <f t="shared" si="1"/>
        <v>2085</v>
      </c>
      <c r="EP3" s="34"/>
      <c r="EQ3" s="34"/>
      <c r="ER3" s="2"/>
    </row>
    <row r="4" spans="2:148">
      <c r="B4" s="36" t="s">
        <v>1474</v>
      </c>
      <c r="AM4" s="59">
        <v>477.62700000000001</v>
      </c>
      <c r="AN4" s="59">
        <v>647.19799999999998</v>
      </c>
      <c r="AO4" s="59">
        <v>787.40200000000004</v>
      </c>
      <c r="AP4" s="59">
        <f>3049.906-SUM(AM4:AO4)</f>
        <v>1137.6789999999999</v>
      </c>
      <c r="AQ4" s="59">
        <v>849.64499999999998</v>
      </c>
      <c r="AR4" s="59">
        <v>968.95100000000002</v>
      </c>
      <c r="AS4" s="59">
        <v>984.952</v>
      </c>
      <c r="AT4" s="59">
        <f>4171.762-SUM(AQ4:AS4)</f>
        <v>1368.2139999999999</v>
      </c>
      <c r="AU4" s="59">
        <v>1073.92</v>
      </c>
      <c r="AV4" s="59">
        <v>1205.636</v>
      </c>
      <c r="AW4" s="59">
        <v>1204.835</v>
      </c>
      <c r="AX4" s="59">
        <f>5259.803-SUM(AU4:AW4)</f>
        <v>1775.4119999999998</v>
      </c>
      <c r="AY4" s="59">
        <v>1308.828</v>
      </c>
      <c r="AZ4" s="59">
        <v>1396.32</v>
      </c>
      <c r="BA4" s="59">
        <v>1433.92</v>
      </c>
      <c r="BB4" s="59">
        <f>6147.37-SUM(AY4:BA4)</f>
        <v>2008.3019999999997</v>
      </c>
      <c r="BC4" s="59">
        <v>1435.24</v>
      </c>
      <c r="BD4" s="59">
        <v>1476.1210000000001</v>
      </c>
      <c r="BE4" s="59">
        <v>1555.68</v>
      </c>
      <c r="BF4" s="59">
        <f>6692.63-SUM(BC4:BE4)</f>
        <v>2225.5889999999999</v>
      </c>
      <c r="BG4" s="59">
        <v>1535.172</v>
      </c>
      <c r="BH4" s="59">
        <v>1547.32</v>
      </c>
      <c r="BI4" s="59">
        <v>1644.95</v>
      </c>
      <c r="BJ4" s="59">
        <f>6995.36-SUM(BG4:BI4)</f>
        <v>2267.9179999999997</v>
      </c>
      <c r="CB4" s="59">
        <f>SUM(AM4:AP4)</f>
        <v>3049.9059999999999</v>
      </c>
      <c r="CC4" s="59">
        <f>SUM(AQ4:AT4)</f>
        <v>4171.7619999999997</v>
      </c>
      <c r="CD4" s="59">
        <f>SUM(AU4:AX4)</f>
        <v>5259.8029999999999</v>
      </c>
      <c r="CE4" s="59">
        <f>SUM(AY4:BB4)</f>
        <v>6147.37</v>
      </c>
      <c r="CF4" s="59">
        <f>SUM(BC4:BF4)</f>
        <v>6692.63</v>
      </c>
      <c r="CG4" s="59">
        <f>SUM(BG4:BJ4)</f>
        <v>6995.36</v>
      </c>
      <c r="CH4" s="65">
        <f t="shared" ref="CH4:CQ4" si="2">CG4*(1+CH9)</f>
        <v>7240.1975999999995</v>
      </c>
      <c r="CI4" s="65">
        <f t="shared" si="2"/>
        <v>7529.8055039999999</v>
      </c>
      <c r="CJ4" s="65">
        <f t="shared" si="2"/>
        <v>7868.6467516799994</v>
      </c>
      <c r="CK4" s="65">
        <f t="shared" si="2"/>
        <v>8262.0790892639998</v>
      </c>
      <c r="CL4" s="65">
        <f t="shared" si="2"/>
        <v>8633.8726482808797</v>
      </c>
      <c r="CM4" s="65">
        <f t="shared" si="2"/>
        <v>9000.8122358328164</v>
      </c>
      <c r="CN4" s="65">
        <f t="shared" si="2"/>
        <v>9360.8447252661299</v>
      </c>
      <c r="CO4" s="65">
        <f t="shared" si="2"/>
        <v>9711.8764024636112</v>
      </c>
      <c r="CP4" s="65">
        <f t="shared" si="2"/>
        <v>10051.792076549837</v>
      </c>
      <c r="CQ4" s="65">
        <f t="shared" si="2"/>
        <v>10393.553007152532</v>
      </c>
    </row>
    <row r="5" spans="2:148">
      <c r="B5" s="36" t="s">
        <v>1473</v>
      </c>
      <c r="AM5" s="59">
        <v>128.39099999999999</v>
      </c>
      <c r="AN5" s="59">
        <v>190.381</v>
      </c>
      <c r="AO5" s="59">
        <v>238.05</v>
      </c>
      <c r="AP5" s="59">
        <f>953.183-SUM(AM5:AO5)</f>
        <v>396.36099999999999</v>
      </c>
      <c r="AQ5" s="59">
        <v>274.30700000000002</v>
      </c>
      <c r="AR5" s="59">
        <v>363.06</v>
      </c>
      <c r="AS5" s="59">
        <v>343.26</v>
      </c>
      <c r="AT5" s="59">
        <f>1535.85-SUM(AQ5:AS5)</f>
        <v>555.22299999999996</v>
      </c>
      <c r="AU5" s="59">
        <v>374.99799999999999</v>
      </c>
      <c r="AV5" s="59">
        <v>461.31</v>
      </c>
      <c r="AW5" s="59">
        <v>440.56</v>
      </c>
      <c r="AX5" s="59">
        <f>1956.602-SUM(AU5:AW5)</f>
        <v>679.73400000000015</v>
      </c>
      <c r="AY5" s="59">
        <v>438.16500000000002</v>
      </c>
      <c r="AZ5" s="59">
        <v>530.72</v>
      </c>
      <c r="BA5" s="59">
        <v>504.82799999999997</v>
      </c>
      <c r="BB5" s="59">
        <f>2252.75-SUM(AY5:BA5)</f>
        <v>779.03700000000003</v>
      </c>
      <c r="BC5" s="59">
        <v>505.69799999999998</v>
      </c>
      <c r="BD5" s="59">
        <v>587.52499999999998</v>
      </c>
      <c r="BE5" s="59">
        <v>551.42999999999995</v>
      </c>
      <c r="BF5" s="59">
        <f>2558.38-SUM(BC5:BE5)</f>
        <v>913.72700000000032</v>
      </c>
      <c r="BG5" s="59">
        <v>544.78800000000001</v>
      </c>
      <c r="BH5" s="59">
        <v>624.59</v>
      </c>
      <c r="BI5" s="59">
        <v>596.24</v>
      </c>
      <c r="BJ5" s="59">
        <f>2663.98-SUM(BG5:BI5)</f>
        <v>898.36199999999985</v>
      </c>
      <c r="CB5" s="59">
        <f t="shared" ref="CB5:CB7" si="3">SUM(AM5:AP5)</f>
        <v>953.18299999999999</v>
      </c>
      <c r="CC5" s="59">
        <f t="shared" ref="CC5:CC7" si="4">SUM(AQ5:AT5)</f>
        <v>1535.85</v>
      </c>
      <c r="CD5" s="59">
        <f t="shared" ref="CD5:CD7" si="5">SUM(AU5:AX5)</f>
        <v>1956.6020000000001</v>
      </c>
      <c r="CE5" s="59">
        <f t="shared" ref="CE5:CE7" si="6">SUM(AY5:BB5)</f>
        <v>2252.75</v>
      </c>
      <c r="CF5" s="59">
        <f t="shared" ref="CF5:CF7" si="7">SUM(BC5:BF5)</f>
        <v>2558.38</v>
      </c>
      <c r="CG5" s="59">
        <f t="shared" ref="CG5:CG6" si="8">SUM(BF5:BI5)</f>
        <v>2679.3450000000003</v>
      </c>
      <c r="CH5" s="65">
        <f t="shared" ref="CH5:CQ5" si="9">CG5*(1+CH10)</f>
        <v>2834.7470100000005</v>
      </c>
      <c r="CI5" s="65">
        <f t="shared" si="9"/>
        <v>3019.0055656500003</v>
      </c>
      <c r="CJ5" s="65">
        <f t="shared" si="9"/>
        <v>3207.6934135031252</v>
      </c>
      <c r="CK5" s="65">
        <f t="shared" si="9"/>
        <v>3416.193485380828</v>
      </c>
      <c r="CL5" s="65">
        <f t="shared" si="9"/>
        <v>3612.6246107902261</v>
      </c>
      <c r="CM5" s="65">
        <f t="shared" si="9"/>
        <v>3829.3820874376397</v>
      </c>
      <c r="CN5" s="65">
        <f t="shared" si="9"/>
        <v>4039.9981022467095</v>
      </c>
      <c r="CO5" s="65">
        <f t="shared" si="9"/>
        <v>4241.998007359045</v>
      </c>
      <c r="CP5" s="65">
        <f t="shared" si="9"/>
        <v>4432.8879176902019</v>
      </c>
      <c r="CQ5" s="65">
        <f t="shared" si="9"/>
        <v>4610.2034343978103</v>
      </c>
    </row>
    <row r="6" spans="2:148">
      <c r="B6" s="36" t="s">
        <v>1475</v>
      </c>
      <c r="AM6" s="59">
        <v>45.94</v>
      </c>
      <c r="AN6" s="59">
        <v>65.363</v>
      </c>
      <c r="AO6" s="59">
        <v>91.97</v>
      </c>
      <c r="AP6" s="59">
        <f>398.79-SUM(AM6:AO6)</f>
        <v>195.51700000000002</v>
      </c>
      <c r="AQ6" s="59">
        <v>102.51300000000001</v>
      </c>
      <c r="AR6" s="59">
        <v>118.604</v>
      </c>
      <c r="AS6" s="59">
        <v>122.206</v>
      </c>
      <c r="AT6" s="59">
        <f>549.005-SUM(AQ6:AS6)</f>
        <v>205.68199999999996</v>
      </c>
      <c r="AU6" s="59">
        <v>164.54</v>
      </c>
      <c r="AV6" s="59">
        <v>201.38200000000001</v>
      </c>
      <c r="AW6" s="59">
        <v>211.49</v>
      </c>
      <c r="AX6" s="59">
        <f>894.113-SUM(AU6:AW6)</f>
        <v>316.70100000000002</v>
      </c>
      <c r="AY6" s="59">
        <v>253.79900000000001</v>
      </c>
      <c r="AZ6" s="59">
        <v>282.11</v>
      </c>
      <c r="BA6" s="59">
        <v>265.45999999999998</v>
      </c>
      <c r="BB6" s="59">
        <f>1219.15-SUM(AY6:BA6)</f>
        <v>417.78100000000018</v>
      </c>
      <c r="BC6" s="59">
        <v>267.95</v>
      </c>
      <c r="BD6" s="59">
        <v>307.43</v>
      </c>
      <c r="BE6" s="59">
        <v>289.54000000000002</v>
      </c>
      <c r="BF6" s="59">
        <f>1337.116-SUM(BC6:BE6)</f>
        <v>472.19599999999991</v>
      </c>
      <c r="BG6" s="59">
        <v>290.7</v>
      </c>
      <c r="BH6" s="59">
        <v>353.3</v>
      </c>
      <c r="BI6" s="59">
        <v>324.72699999999998</v>
      </c>
      <c r="BJ6" s="59">
        <f>1443.24-SUM(BG6:BI6)</f>
        <v>474.51300000000003</v>
      </c>
      <c r="CB6" s="59">
        <f t="shared" si="3"/>
        <v>398.79</v>
      </c>
      <c r="CC6" s="59">
        <f t="shared" si="4"/>
        <v>549.005</v>
      </c>
      <c r="CD6" s="59">
        <f t="shared" si="5"/>
        <v>894.11300000000006</v>
      </c>
      <c r="CE6" s="59">
        <f t="shared" si="6"/>
        <v>1219.1500000000001</v>
      </c>
      <c r="CF6" s="59">
        <f t="shared" si="7"/>
        <v>1337.116</v>
      </c>
      <c r="CG6" s="59">
        <f t="shared" si="8"/>
        <v>1440.9229999999998</v>
      </c>
      <c r="CH6" s="65">
        <f t="shared" ref="CH6:CQ6" si="10">CG6*(1+CH11)</f>
        <v>1534.5829949999998</v>
      </c>
      <c r="CI6" s="65">
        <f t="shared" si="10"/>
        <v>1642.0038046499999</v>
      </c>
      <c r="CJ6" s="65">
        <f t="shared" si="10"/>
        <v>1765.1540899987499</v>
      </c>
      <c r="CK6" s="65">
        <f t="shared" si="10"/>
        <v>1879.8891058486686</v>
      </c>
      <c r="CL6" s="65">
        <f t="shared" si="10"/>
        <v>1997.3821749642104</v>
      </c>
      <c r="CM6" s="65">
        <f t="shared" si="10"/>
        <v>2117.2251054620633</v>
      </c>
      <c r="CN6" s="65">
        <f t="shared" si="10"/>
        <v>2233.6724862624765</v>
      </c>
      <c r="CO6" s="65">
        <f t="shared" si="10"/>
        <v>2345.3561105756003</v>
      </c>
      <c r="CP6" s="65">
        <f t="shared" si="10"/>
        <v>2450.8971355515023</v>
      </c>
      <c r="CQ6" s="65">
        <f t="shared" si="10"/>
        <v>2524.4240496180473</v>
      </c>
    </row>
    <row r="7" spans="2:148" s="2" customFormat="1" ht="15">
      <c r="B7" s="33" t="s">
        <v>109</v>
      </c>
      <c r="AM7" s="60">
        <f t="shared" ref="AM7:BG7" si="11">SUM(AM4:AM6)</f>
        <v>651.95800000000008</v>
      </c>
      <c r="AN7" s="60">
        <f t="shared" si="11"/>
        <v>902.94200000000001</v>
      </c>
      <c r="AO7" s="60">
        <f t="shared" si="11"/>
        <v>1117.422</v>
      </c>
      <c r="AP7" s="60">
        <f t="shared" si="11"/>
        <v>1729.557</v>
      </c>
      <c r="AQ7" s="60">
        <f t="shared" si="11"/>
        <v>1226.4649999999999</v>
      </c>
      <c r="AR7" s="60">
        <f t="shared" si="11"/>
        <v>1450.615</v>
      </c>
      <c r="AS7" s="60">
        <f t="shared" si="11"/>
        <v>1450.4179999999999</v>
      </c>
      <c r="AT7" s="60">
        <f t="shared" si="11"/>
        <v>2129.1189999999997</v>
      </c>
      <c r="AU7" s="60">
        <f t="shared" si="11"/>
        <v>1613.4580000000001</v>
      </c>
      <c r="AV7" s="60">
        <f t="shared" si="11"/>
        <v>1868.328</v>
      </c>
      <c r="AW7" s="60">
        <f t="shared" si="11"/>
        <v>1856.885</v>
      </c>
      <c r="AX7" s="60">
        <f t="shared" si="11"/>
        <v>2771.8469999999998</v>
      </c>
      <c r="AY7" s="60">
        <f t="shared" si="11"/>
        <v>2000.7919999999999</v>
      </c>
      <c r="AZ7" s="60">
        <f t="shared" si="11"/>
        <v>2209.15</v>
      </c>
      <c r="BA7" s="60">
        <f t="shared" ref="BA7" si="12">SUM(BA4:BA6)</f>
        <v>2204.2080000000001</v>
      </c>
      <c r="BB7" s="60">
        <f t="shared" ref="BB7" si="13">SUM(BB4:BB6)</f>
        <v>3205.12</v>
      </c>
      <c r="BC7" s="60">
        <f t="shared" ref="BC7" si="14">SUM(BC4:BC6)</f>
        <v>2208.8879999999999</v>
      </c>
      <c r="BD7" s="60">
        <f t="shared" ref="BD7" si="15">SUM(BD4:BD6)</f>
        <v>2371.076</v>
      </c>
      <c r="BE7" s="60">
        <f t="shared" ref="BE7" si="16">SUM(BE4:BE6)</f>
        <v>2396.65</v>
      </c>
      <c r="BF7" s="60">
        <f t="shared" si="11"/>
        <v>3611.5120000000002</v>
      </c>
      <c r="BG7" s="60">
        <f t="shared" si="11"/>
        <v>2370.66</v>
      </c>
      <c r="BH7" s="60">
        <f>SUM(BH4:BH6)</f>
        <v>2525.21</v>
      </c>
      <c r="BI7" s="60">
        <f>SUM(BI4:BI6)</f>
        <v>2565.9169999999999</v>
      </c>
      <c r="BJ7" s="60">
        <f t="shared" ref="BJ7" si="17">SUM(BJ4:BJ6)</f>
        <v>3640.7929999999997</v>
      </c>
      <c r="BK7" s="34"/>
      <c r="BL7" s="34"/>
      <c r="BM7" s="34"/>
      <c r="BN7" s="34"/>
      <c r="CB7" s="60">
        <f t="shared" si="3"/>
        <v>4401.8789999999999</v>
      </c>
      <c r="CC7" s="60">
        <f t="shared" si="4"/>
        <v>6256.6169999999993</v>
      </c>
      <c r="CD7" s="60">
        <f t="shared" si="5"/>
        <v>8110.518</v>
      </c>
      <c r="CE7" s="60">
        <f t="shared" si="6"/>
        <v>9619.27</v>
      </c>
      <c r="CF7" s="60">
        <f t="shared" si="7"/>
        <v>10588.126</v>
      </c>
      <c r="CG7" s="60">
        <f>SUM(BF7:BI7)</f>
        <v>11073.299000000001</v>
      </c>
      <c r="CH7" s="66">
        <f t="shared" ref="CH7" si="18">SUM(CH4:CH6)</f>
        <v>11609.527604999999</v>
      </c>
      <c r="CI7" s="66">
        <f t="shared" ref="CI7:CQ7" si="19">SUM(CI4:CI6)</f>
        <v>12190.8148743</v>
      </c>
      <c r="CJ7" s="66">
        <f t="shared" si="19"/>
        <v>12841.494255181875</v>
      </c>
      <c r="CK7" s="66">
        <f t="shared" si="19"/>
        <v>13558.161680493495</v>
      </c>
      <c r="CL7" s="66">
        <f t="shared" si="19"/>
        <v>14243.879434035316</v>
      </c>
      <c r="CM7" s="66">
        <f t="shared" si="19"/>
        <v>14947.419428732519</v>
      </c>
      <c r="CN7" s="66">
        <f t="shared" si="19"/>
        <v>15634.515313775315</v>
      </c>
      <c r="CO7" s="66">
        <f t="shared" si="19"/>
        <v>16299.230520398256</v>
      </c>
      <c r="CP7" s="66">
        <f t="shared" si="19"/>
        <v>16935.577129791542</v>
      </c>
      <c r="CQ7" s="66">
        <f t="shared" si="19"/>
        <v>17528.18049116839</v>
      </c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</row>
    <row r="8" spans="2:148">
      <c r="B8" s="36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</row>
    <row r="9" spans="2:148">
      <c r="B9" s="36" t="s">
        <v>1476</v>
      </c>
      <c r="AM9" s="59"/>
      <c r="AN9" s="59"/>
      <c r="AO9" s="59"/>
      <c r="AP9" s="59"/>
      <c r="AQ9" s="63">
        <f t="shared" ref="AQ9:BG9" si="20">AQ4/AM4-1</f>
        <v>0.77888812818370812</v>
      </c>
      <c r="AR9" s="63">
        <f t="shared" si="20"/>
        <v>0.49714770441194212</v>
      </c>
      <c r="AS9" s="63">
        <f t="shared" si="20"/>
        <v>0.25088836452028307</v>
      </c>
      <c r="AT9" s="63">
        <f t="shared" si="20"/>
        <v>0.20263624449427309</v>
      </c>
      <c r="AU9" s="63">
        <f t="shared" si="20"/>
        <v>0.26396318462416657</v>
      </c>
      <c r="AV9" s="63">
        <f t="shared" si="20"/>
        <v>0.2442693180563309</v>
      </c>
      <c r="AW9" s="63">
        <f t="shared" si="20"/>
        <v>0.2232423508962873</v>
      </c>
      <c r="AX9" s="63">
        <f t="shared" si="20"/>
        <v>0.29761280033678927</v>
      </c>
      <c r="AY9" s="63">
        <f t="shared" si="20"/>
        <v>0.2187388259833134</v>
      </c>
      <c r="AZ9" s="63">
        <f t="shared" si="20"/>
        <v>0.1581605061560869</v>
      </c>
      <c r="BA9" s="63">
        <f t="shared" ref="BA9:BA12" si="21">BA4/AW4-1</f>
        <v>0.19013806869820349</v>
      </c>
      <c r="BB9" s="63">
        <f t="shared" ref="BB9:BB12" si="22">BB4/AX4-1</f>
        <v>0.13117518637927406</v>
      </c>
      <c r="BC9" s="63">
        <f t="shared" ref="BC9:BC12" si="23">BC4/AY4-1</f>
        <v>9.6584119532895141E-2</v>
      </c>
      <c r="BD9" s="63">
        <f t="shared" ref="BD9:BD12" si="24">BD4/AZ4-1</f>
        <v>5.715093961269635E-2</v>
      </c>
      <c r="BE9" s="63">
        <f t="shared" ref="BE9:BE12" si="25">BE4/BA4-1</f>
        <v>8.4914081678196807E-2</v>
      </c>
      <c r="BF9" s="63">
        <f t="shared" si="20"/>
        <v>0.10819438510741919</v>
      </c>
      <c r="BG9" s="63">
        <f t="shared" si="20"/>
        <v>6.9627379392993571E-2</v>
      </c>
      <c r="BH9" s="63">
        <f t="shared" ref="BH9:BJ12" si="26">BH4/BD4-1</f>
        <v>4.8233850748007567E-2</v>
      </c>
      <c r="BI9" s="63">
        <f t="shared" si="26"/>
        <v>5.7383266481538575E-2</v>
      </c>
      <c r="BJ9" s="63">
        <f t="shared" si="26"/>
        <v>1.9019234908152383E-2</v>
      </c>
      <c r="CC9" s="63">
        <f t="shared" ref="CC9:CG12" si="27">CC4/CB4-1</f>
        <v>0.36783297583597641</v>
      </c>
      <c r="CD9" s="63">
        <f t="shared" si="27"/>
        <v>0.26081089956713743</v>
      </c>
      <c r="CE9" s="63">
        <f t="shared" si="27"/>
        <v>0.16874529331231614</v>
      </c>
      <c r="CF9" s="63">
        <f t="shared" si="27"/>
        <v>8.8698093656311539E-2</v>
      </c>
      <c r="CG9" s="63">
        <f t="shared" si="27"/>
        <v>4.52333387621906E-2</v>
      </c>
      <c r="CH9" s="70">
        <v>3.5000000000000003E-2</v>
      </c>
      <c r="CI9" s="70">
        <v>0.04</v>
      </c>
      <c r="CJ9" s="70">
        <v>4.4999999999999998E-2</v>
      </c>
      <c r="CK9" s="70">
        <v>0.05</v>
      </c>
      <c r="CL9" s="70">
        <v>4.4999999999999998E-2</v>
      </c>
      <c r="CM9" s="70">
        <v>4.2500000000000003E-2</v>
      </c>
      <c r="CN9" s="70">
        <v>0.04</v>
      </c>
      <c r="CO9" s="70">
        <v>3.7499999999999999E-2</v>
      </c>
      <c r="CP9" s="70">
        <v>3.5000000000000003E-2</v>
      </c>
      <c r="CQ9" s="70">
        <v>3.4000000000000002E-2</v>
      </c>
    </row>
    <row r="10" spans="2:148">
      <c r="B10" s="36" t="s">
        <v>1477</v>
      </c>
      <c r="AM10" s="59"/>
      <c r="AN10" s="59"/>
      <c r="AO10" s="59"/>
      <c r="AP10" s="59"/>
      <c r="AQ10" s="63">
        <f t="shared" ref="AQ10:BG10" si="28">AQ5/AM5-1</f>
        <v>1.1364971064950038</v>
      </c>
      <c r="AR10" s="63">
        <f t="shared" si="28"/>
        <v>0.90701803226162281</v>
      </c>
      <c r="AS10" s="63">
        <f t="shared" si="28"/>
        <v>0.44196597353497147</v>
      </c>
      <c r="AT10" s="63">
        <f t="shared" si="28"/>
        <v>0.40080128973334905</v>
      </c>
      <c r="AU10" s="63">
        <f t="shared" si="28"/>
        <v>0.36707411768565867</v>
      </c>
      <c r="AV10" s="63">
        <f t="shared" si="28"/>
        <v>0.2706164270368534</v>
      </c>
      <c r="AW10" s="63">
        <f t="shared" si="28"/>
        <v>0.28345860280836677</v>
      </c>
      <c r="AX10" s="63">
        <f t="shared" si="28"/>
        <v>0.22425403846742697</v>
      </c>
      <c r="AY10" s="63">
        <f t="shared" si="28"/>
        <v>0.16844623171323581</v>
      </c>
      <c r="AZ10" s="63">
        <f t="shared" si="28"/>
        <v>0.15046281242548409</v>
      </c>
      <c r="BA10" s="63">
        <f t="shared" si="21"/>
        <v>0.14587797348828757</v>
      </c>
      <c r="BB10" s="63">
        <f t="shared" si="22"/>
        <v>0.14609097087978506</v>
      </c>
      <c r="BC10" s="63">
        <f t="shared" si="23"/>
        <v>0.15412687001472047</v>
      </c>
      <c r="BD10" s="63">
        <f t="shared" si="24"/>
        <v>0.10703384082001799</v>
      </c>
      <c r="BE10" s="63">
        <f t="shared" si="25"/>
        <v>9.2312629251943168E-2</v>
      </c>
      <c r="BF10" s="63">
        <f t="shared" si="28"/>
        <v>0.17289294346738382</v>
      </c>
      <c r="BG10" s="63">
        <f t="shared" si="28"/>
        <v>7.7299099462525112E-2</v>
      </c>
      <c r="BH10" s="63">
        <f t="shared" si="26"/>
        <v>6.3086677162674132E-2</v>
      </c>
      <c r="BI10" s="63">
        <f t="shared" si="26"/>
        <v>8.1261447509203499E-2</v>
      </c>
      <c r="BJ10" s="63">
        <f t="shared" si="26"/>
        <v>-1.6815744746516703E-2</v>
      </c>
      <c r="CC10" s="63">
        <f t="shared" si="27"/>
        <v>0.61128555586912481</v>
      </c>
      <c r="CD10" s="63">
        <f t="shared" si="27"/>
        <v>0.27395383663769257</v>
      </c>
      <c r="CE10" s="63">
        <f t="shared" si="27"/>
        <v>0.15135832427851947</v>
      </c>
      <c r="CF10" s="63">
        <f t="shared" si="27"/>
        <v>0.13566973698812568</v>
      </c>
      <c r="CG10" s="63">
        <f t="shared" si="27"/>
        <v>4.72818736856917E-2</v>
      </c>
      <c r="CH10" s="70">
        <v>5.8000000000000003E-2</v>
      </c>
      <c r="CI10" s="70">
        <v>6.5000000000000002E-2</v>
      </c>
      <c r="CJ10" s="70">
        <v>6.25E-2</v>
      </c>
      <c r="CK10" s="70">
        <v>6.5000000000000002E-2</v>
      </c>
      <c r="CL10" s="70">
        <v>5.7500000000000002E-2</v>
      </c>
      <c r="CM10" s="70">
        <v>0.06</v>
      </c>
      <c r="CN10" s="70">
        <v>5.5E-2</v>
      </c>
      <c r="CO10" s="70">
        <v>0.05</v>
      </c>
      <c r="CP10" s="70">
        <v>4.4999999999999998E-2</v>
      </c>
      <c r="CQ10" s="70">
        <v>0.04</v>
      </c>
    </row>
    <row r="11" spans="2:148">
      <c r="B11" s="36" t="s">
        <v>1478</v>
      </c>
      <c r="AM11" s="59"/>
      <c r="AN11" s="59"/>
      <c r="AO11" s="59"/>
      <c r="AP11" s="59"/>
      <c r="AQ11" s="63">
        <f t="shared" ref="AQ11:BG11" si="29">AQ6/AM6-1</f>
        <v>1.2314540705267745</v>
      </c>
      <c r="AR11" s="63">
        <f t="shared" si="29"/>
        <v>0.81454339611094961</v>
      </c>
      <c r="AS11" s="63">
        <f t="shared" si="29"/>
        <v>0.32875937805806243</v>
      </c>
      <c r="AT11" s="63">
        <f t="shared" si="29"/>
        <v>5.1990364009267376E-2</v>
      </c>
      <c r="AU11" s="63">
        <f t="shared" si="29"/>
        <v>0.60506472349848295</v>
      </c>
      <c r="AV11" s="63">
        <f t="shared" si="29"/>
        <v>0.69793598866817308</v>
      </c>
      <c r="AW11" s="63">
        <f t="shared" si="29"/>
        <v>0.73060242541282761</v>
      </c>
      <c r="AX11" s="63">
        <f t="shared" si="29"/>
        <v>0.53976040684162974</v>
      </c>
      <c r="AY11" s="63">
        <f t="shared" si="29"/>
        <v>0.54247599367934862</v>
      </c>
      <c r="AZ11" s="63">
        <f t="shared" si="29"/>
        <v>0.4008699883802922</v>
      </c>
      <c r="BA11" s="63">
        <f t="shared" si="21"/>
        <v>0.25518937065582281</v>
      </c>
      <c r="BB11" s="63">
        <f t="shared" si="22"/>
        <v>0.31916539575182945</v>
      </c>
      <c r="BC11" s="63">
        <f t="shared" si="23"/>
        <v>5.5756720869664544E-2</v>
      </c>
      <c r="BD11" s="63">
        <f t="shared" si="24"/>
        <v>8.9752224309666451E-2</v>
      </c>
      <c r="BE11" s="63">
        <f t="shared" si="25"/>
        <v>9.0710464853462014E-2</v>
      </c>
      <c r="BF11" s="63">
        <f t="shared" si="29"/>
        <v>0.13024766564300361</v>
      </c>
      <c r="BG11" s="63">
        <f t="shared" si="29"/>
        <v>8.4903899981339848E-2</v>
      </c>
      <c r="BH11" s="63">
        <f t="shared" si="26"/>
        <v>0.14920469700419603</v>
      </c>
      <c r="BI11" s="63">
        <f t="shared" si="26"/>
        <v>0.12152725012088128</v>
      </c>
      <c r="BJ11" s="63">
        <f t="shared" si="26"/>
        <v>4.9068607103832651E-3</v>
      </c>
      <c r="CC11" s="63">
        <f t="shared" si="27"/>
        <v>0.37667694776699512</v>
      </c>
      <c r="CD11" s="63">
        <f t="shared" si="27"/>
        <v>0.62860629684611258</v>
      </c>
      <c r="CE11" s="63">
        <f t="shared" si="27"/>
        <v>0.3635301130841404</v>
      </c>
      <c r="CF11" s="63">
        <f t="shared" si="27"/>
        <v>9.6760857974818482E-2</v>
      </c>
      <c r="CG11" s="63">
        <f t="shared" si="27"/>
        <v>7.7634999506400293E-2</v>
      </c>
      <c r="CH11" s="70">
        <v>6.5000000000000002E-2</v>
      </c>
      <c r="CI11" s="70">
        <v>7.0000000000000007E-2</v>
      </c>
      <c r="CJ11" s="70">
        <v>7.4999999999999997E-2</v>
      </c>
      <c r="CK11" s="70">
        <v>6.5000000000000002E-2</v>
      </c>
      <c r="CL11" s="70">
        <v>6.25E-2</v>
      </c>
      <c r="CM11" s="70">
        <v>0.06</v>
      </c>
      <c r="CN11" s="70">
        <v>5.5E-2</v>
      </c>
      <c r="CO11" s="70">
        <v>0.05</v>
      </c>
      <c r="CP11" s="70">
        <v>4.4999999999999998E-2</v>
      </c>
      <c r="CQ11" s="70">
        <v>0.03</v>
      </c>
    </row>
    <row r="12" spans="2:148" s="2" customFormat="1" ht="15">
      <c r="B12" s="33" t="s">
        <v>161</v>
      </c>
      <c r="G12" s="64">
        <f t="shared" ref="G12:AO12" si="30">G38/C38-1</f>
        <v>0.52944325481798704</v>
      </c>
      <c r="H12" s="64">
        <f t="shared" si="30"/>
        <v>0.33301886792452851</v>
      </c>
      <c r="I12" s="64">
        <f t="shared" si="30"/>
        <v>0.3748913987836664</v>
      </c>
      <c r="J12" s="64">
        <f t="shared" si="30"/>
        <v>0.30679371231696817</v>
      </c>
      <c r="K12" s="64">
        <f t="shared" si="30"/>
        <v>0.21036051802590139</v>
      </c>
      <c r="L12" s="64">
        <f t="shared" si="30"/>
        <v>0.21903750884642603</v>
      </c>
      <c r="M12" s="64">
        <f t="shared" si="30"/>
        <v>0.20031595576619265</v>
      </c>
      <c r="N12" s="64">
        <f t="shared" si="30"/>
        <v>7.3120494335736419E-2</v>
      </c>
      <c r="O12" s="64">
        <f t="shared" si="30"/>
        <v>0.11220358588779655</v>
      </c>
      <c r="P12" s="64">
        <f t="shared" si="30"/>
        <v>0.13410740203193039</v>
      </c>
      <c r="Q12" s="64">
        <f t="shared" si="30"/>
        <v>0.10397473019215586</v>
      </c>
      <c r="R12" s="64">
        <f t="shared" si="30"/>
        <v>0.15642994241842612</v>
      </c>
      <c r="S12" s="64">
        <f t="shared" si="30"/>
        <v>0.10114404576183045</v>
      </c>
      <c r="T12" s="64">
        <f t="shared" si="30"/>
        <v>0.15945738418223709</v>
      </c>
      <c r="U12" s="64">
        <f t="shared" si="30"/>
        <v>0.14377682403433489</v>
      </c>
      <c r="V12" s="64">
        <f t="shared" si="30"/>
        <v>0.16896265560165968</v>
      </c>
      <c r="W12" s="64">
        <f t="shared" si="30"/>
        <v>0.17001180637544278</v>
      </c>
      <c r="X12" s="64">
        <f t="shared" si="30"/>
        <v>0.13576158940397343</v>
      </c>
      <c r="Y12" s="64">
        <f t="shared" si="30"/>
        <v>0.13487596414425673</v>
      </c>
      <c r="Z12" s="64">
        <f t="shared" si="30"/>
        <v>0.12153911685361352</v>
      </c>
      <c r="AA12" s="64">
        <f t="shared" si="30"/>
        <v>5.0050454086780993E-2</v>
      </c>
      <c r="AB12" s="64">
        <f t="shared" si="30"/>
        <v>0.12944606413994175</v>
      </c>
      <c r="AC12" s="64">
        <f t="shared" si="30"/>
        <v>0.13703159441587065</v>
      </c>
      <c r="AD12" s="64">
        <f t="shared" si="30"/>
        <v>0.17584504367641474</v>
      </c>
      <c r="AE12" s="64">
        <f t="shared" si="30"/>
        <v>0.24870267153565262</v>
      </c>
      <c r="AF12" s="64">
        <f t="shared" si="30"/>
        <v>0.24505248666322488</v>
      </c>
      <c r="AG12" s="64">
        <f t="shared" si="30"/>
        <v>0.20791599353796464</v>
      </c>
      <c r="AH12" s="64">
        <f t="shared" si="30"/>
        <v>0.25699827734711467</v>
      </c>
      <c r="AI12" s="64">
        <f t="shared" si="30"/>
        <v>0.20409419732184064</v>
      </c>
      <c r="AJ12" s="64">
        <f t="shared" si="30"/>
        <v>0.22100898410504488</v>
      </c>
      <c r="AK12" s="64">
        <f t="shared" si="30"/>
        <v>0.22522402032900901</v>
      </c>
      <c r="AL12" s="64">
        <f t="shared" si="30"/>
        <v>0.19700214132762306</v>
      </c>
      <c r="AM12" s="64">
        <f t="shared" si="30"/>
        <v>-0.16661383101112093</v>
      </c>
      <c r="AN12" s="64">
        <f t="shared" si="30"/>
        <v>2.212134933212595E-2</v>
      </c>
      <c r="AO12" s="64">
        <f t="shared" si="30"/>
        <v>0.2197598515445911</v>
      </c>
      <c r="AP12" s="64">
        <f>AP38/AL38-1</f>
        <v>0.23760787119856897</v>
      </c>
      <c r="AQ12" s="64">
        <f t="shared" ref="AQ12:BG12" si="31">AQ7/AM7-1</f>
        <v>0.88120247009776675</v>
      </c>
      <c r="AR12" s="64">
        <f t="shared" si="31"/>
        <v>0.60654283442347356</v>
      </c>
      <c r="AS12" s="64">
        <f t="shared" si="31"/>
        <v>0.29800379802796062</v>
      </c>
      <c r="AT12" s="64">
        <f t="shared" si="31"/>
        <v>0.23101985074790798</v>
      </c>
      <c r="AU12" s="64">
        <f t="shared" si="31"/>
        <v>0.31553529860208007</v>
      </c>
      <c r="AV12" s="64">
        <f t="shared" si="31"/>
        <v>0.28795579805806493</v>
      </c>
      <c r="AW12" s="64">
        <f t="shared" si="31"/>
        <v>0.2802412821683129</v>
      </c>
      <c r="AX12" s="64">
        <f t="shared" si="31"/>
        <v>0.30187509481621277</v>
      </c>
      <c r="AY12" s="64">
        <f t="shared" si="31"/>
        <v>0.24006450741203045</v>
      </c>
      <c r="AZ12" s="64">
        <f t="shared" si="31"/>
        <v>0.18242085972056299</v>
      </c>
      <c r="BA12" s="64">
        <f t="shared" si="21"/>
        <v>0.18704604754737097</v>
      </c>
      <c r="BB12" s="64">
        <f t="shared" si="22"/>
        <v>0.15631201866481104</v>
      </c>
      <c r="BC12" s="64">
        <f t="shared" si="23"/>
        <v>0.10400681330193251</v>
      </c>
      <c r="BD12" s="64">
        <f t="shared" si="24"/>
        <v>7.329787474820626E-2</v>
      </c>
      <c r="BE12" s="64">
        <f t="shared" si="25"/>
        <v>8.7306642567307691E-2</v>
      </c>
      <c r="BF12" s="64">
        <f t="shared" si="31"/>
        <v>0.12679462859424939</v>
      </c>
      <c r="BG12" s="64">
        <f t="shared" si="31"/>
        <v>7.3236850397122799E-2</v>
      </c>
      <c r="BH12" s="64">
        <f t="shared" si="26"/>
        <v>6.5005929797273376E-2</v>
      </c>
      <c r="BI12" s="64">
        <f t="shared" si="26"/>
        <v>7.0626499488869898E-2</v>
      </c>
      <c r="BJ12" s="64">
        <f t="shared" si="26"/>
        <v>8.1076845376670814E-3</v>
      </c>
      <c r="BK12" s="34"/>
      <c r="BL12" s="34"/>
      <c r="BM12" s="34"/>
      <c r="BN12" s="34"/>
      <c r="BT12" s="64">
        <f t="shared" ref="BT12:CA12" si="32">BT38/BS38-1</f>
        <v>0.36958781433654497</v>
      </c>
      <c r="BU12" s="64">
        <f t="shared" si="32"/>
        <v>0.16120557542144054</v>
      </c>
      <c r="BV12" s="64">
        <f t="shared" si="32"/>
        <v>0.12946204122674709</v>
      </c>
      <c r="BW12" s="64">
        <f t="shared" si="32"/>
        <v>0.14650567549521498</v>
      </c>
      <c r="BX12" s="64">
        <f t="shared" si="32"/>
        <v>0.13773355981557889</v>
      </c>
      <c r="BY12" s="64">
        <f t="shared" si="32"/>
        <v>0.13006014588576531</v>
      </c>
      <c r="BZ12" s="64">
        <f t="shared" si="32"/>
        <v>0.24128038653178341</v>
      </c>
      <c r="CA12" s="64">
        <f t="shared" si="32"/>
        <v>0.21010217735068726</v>
      </c>
      <c r="CB12" s="64">
        <f>CB38/CA38-1</f>
        <v>0.10619430553112363</v>
      </c>
      <c r="CC12" s="64">
        <f t="shared" si="27"/>
        <v>0.42135142742451559</v>
      </c>
      <c r="CD12" s="64">
        <f t="shared" si="27"/>
        <v>0.29631045020016433</v>
      </c>
      <c r="CE12" s="64">
        <f t="shared" si="27"/>
        <v>0.18602412324342299</v>
      </c>
      <c r="CF12" s="64">
        <f t="shared" si="27"/>
        <v>0.10072032493110172</v>
      </c>
      <c r="CG12" s="64">
        <f t="shared" si="27"/>
        <v>4.5822367433103972E-2</v>
      </c>
      <c r="CH12" s="71">
        <f>CH7/CG7-1</f>
        <v>4.8425370343562424E-2</v>
      </c>
      <c r="CI12" s="71">
        <f t="shared" ref="CI12:CQ12" si="33">CI7/CH7-1</f>
        <v>5.0069846860061107E-2</v>
      </c>
      <c r="CJ12" s="71">
        <f t="shared" si="33"/>
        <v>5.337456007584862E-2</v>
      </c>
      <c r="CK12" s="71">
        <f t="shared" si="33"/>
        <v>5.5808725298648554E-2</v>
      </c>
      <c r="CL12" s="71">
        <f t="shared" si="33"/>
        <v>5.0576012419764949E-2</v>
      </c>
      <c r="CM12" s="71">
        <f t="shared" si="33"/>
        <v>4.9392442413975779E-2</v>
      </c>
      <c r="CN12" s="71">
        <f t="shared" si="33"/>
        <v>4.5967525586525948E-2</v>
      </c>
      <c r="CO12" s="71">
        <f t="shared" si="33"/>
        <v>4.2515881898639529E-2</v>
      </c>
      <c r="CP12" s="71">
        <f t="shared" si="33"/>
        <v>3.9041512333782169E-2</v>
      </c>
      <c r="CQ12" s="71">
        <f t="shared" si="33"/>
        <v>3.4991624840135849E-2</v>
      </c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</row>
    <row r="13" spans="2:148"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</row>
    <row r="14" spans="2:148">
      <c r="B14" s="36" t="s">
        <v>1487</v>
      </c>
      <c r="AM14" s="63">
        <f t="shared" ref="AM14:BG14" si="34">AM4/AM7</f>
        <v>0.73260394074464907</v>
      </c>
      <c r="AN14" s="63">
        <f t="shared" si="34"/>
        <v>0.71676586093015937</v>
      </c>
      <c r="AO14" s="63">
        <f t="shared" si="34"/>
        <v>0.70465947511325178</v>
      </c>
      <c r="AP14" s="63">
        <f t="shared" si="34"/>
        <v>0.65778635800959429</v>
      </c>
      <c r="AQ14" s="63">
        <f t="shared" si="34"/>
        <v>0.69275927156502637</v>
      </c>
      <c r="AR14" s="63">
        <f t="shared" si="34"/>
        <v>0.66795876231805129</v>
      </c>
      <c r="AS14" s="63">
        <f t="shared" si="34"/>
        <v>0.67908147858065748</v>
      </c>
      <c r="AT14" s="63">
        <f t="shared" si="34"/>
        <v>0.64261978780894824</v>
      </c>
      <c r="AU14" s="63">
        <f t="shared" si="34"/>
        <v>0.66560145972191409</v>
      </c>
      <c r="AV14" s="63">
        <f t="shared" si="34"/>
        <v>0.64530210969380108</v>
      </c>
      <c r="AW14" s="63">
        <f t="shared" si="34"/>
        <v>0.64884739765790556</v>
      </c>
      <c r="AX14" s="63">
        <f t="shared" si="34"/>
        <v>0.6405158726293334</v>
      </c>
      <c r="AY14" s="63">
        <f t="shared" si="34"/>
        <v>0.65415495463796336</v>
      </c>
      <c r="AZ14" s="63">
        <f t="shared" si="34"/>
        <v>0.63206210533463092</v>
      </c>
      <c r="BA14" s="63">
        <f t="shared" ref="BA14:BE14" si="35">BA4/BA7</f>
        <v>0.65053751733048792</v>
      </c>
      <c r="BB14" s="63">
        <f t="shared" si="35"/>
        <v>0.62659182807507985</v>
      </c>
      <c r="BC14" s="63">
        <f t="shared" si="35"/>
        <v>0.64975680070696207</v>
      </c>
      <c r="BD14" s="63">
        <f t="shared" si="35"/>
        <v>0.62255322056315365</v>
      </c>
      <c r="BE14" s="63">
        <f t="shared" si="35"/>
        <v>0.64910604385287796</v>
      </c>
      <c r="BF14" s="63">
        <f t="shared" si="34"/>
        <v>0.61624854077738078</v>
      </c>
      <c r="BG14" s="63">
        <f t="shared" si="34"/>
        <v>0.64757156234972546</v>
      </c>
      <c r="BH14" s="63">
        <f>BH4/BH7</f>
        <v>0.61274903869381159</v>
      </c>
      <c r="BI14" s="63">
        <f>BI4/BI7</f>
        <v>0.64107685478524834</v>
      </c>
      <c r="BJ14" s="63">
        <f t="shared" ref="BJ14" si="36">BJ4/BJ7</f>
        <v>0.6229186883187261</v>
      </c>
      <c r="CB14" s="63">
        <f t="shared" ref="CB14:CF14" si="37">CB4/CB7</f>
        <v>0.69286456988027156</v>
      </c>
      <c r="CC14" s="63">
        <f t="shared" si="37"/>
        <v>0.66677599092289019</v>
      </c>
      <c r="CD14" s="63">
        <f t="shared" si="37"/>
        <v>0.64851628465654099</v>
      </c>
      <c r="CE14" s="63">
        <f t="shared" si="37"/>
        <v>0.63906824530343775</v>
      </c>
      <c r="CF14" s="63">
        <f t="shared" si="37"/>
        <v>0.63208824677756947</v>
      </c>
      <c r="CG14" s="63">
        <f t="shared" ref="CG14" si="38">CG4/CG7</f>
        <v>0.63173224167431941</v>
      </c>
    </row>
    <row r="15" spans="2:148">
      <c r="B15" s="36" t="s">
        <v>1488</v>
      </c>
      <c r="AM15" s="63">
        <f t="shared" ref="AM15:BG15" si="39">AM5/AM7</f>
        <v>0.19693139742130625</v>
      </c>
      <c r="AN15" s="63">
        <f t="shared" si="39"/>
        <v>0.21084521486429914</v>
      </c>
      <c r="AO15" s="63">
        <f t="shared" si="39"/>
        <v>0.21303500378549914</v>
      </c>
      <c r="AP15" s="63">
        <f t="shared" si="39"/>
        <v>0.2291690878068777</v>
      </c>
      <c r="AQ15" s="63">
        <f t="shared" si="39"/>
        <v>0.223656606588855</v>
      </c>
      <c r="AR15" s="63">
        <f t="shared" si="39"/>
        <v>0.25028005363242489</v>
      </c>
      <c r="AS15" s="63">
        <f t="shared" si="39"/>
        <v>0.23666281030709768</v>
      </c>
      <c r="AT15" s="63">
        <f t="shared" si="39"/>
        <v>0.26077593596224541</v>
      </c>
      <c r="AU15" s="63">
        <f t="shared" si="39"/>
        <v>0.23241881722362775</v>
      </c>
      <c r="AV15" s="63">
        <f t="shared" si="39"/>
        <v>0.24691060670289158</v>
      </c>
      <c r="AW15" s="63">
        <f t="shared" si="39"/>
        <v>0.23725755768397075</v>
      </c>
      <c r="AX15" s="63">
        <f t="shared" si="39"/>
        <v>0.24522782101609511</v>
      </c>
      <c r="AY15" s="63">
        <f t="shared" si="39"/>
        <v>0.2189957776720419</v>
      </c>
      <c r="AZ15" s="63">
        <f t="shared" si="39"/>
        <v>0.24023719530136026</v>
      </c>
      <c r="BA15" s="63">
        <f t="shared" ref="BA15:BE15" si="40">BA5/BA7</f>
        <v>0.22902920232573332</v>
      </c>
      <c r="BB15" s="63">
        <f t="shared" si="40"/>
        <v>0.24306016623402557</v>
      </c>
      <c r="BC15" s="63">
        <f t="shared" si="40"/>
        <v>0.22893781848604366</v>
      </c>
      <c r="BD15" s="63">
        <f t="shared" si="40"/>
        <v>0.2477883458817853</v>
      </c>
      <c r="BE15" s="63">
        <f t="shared" si="40"/>
        <v>0.23008365843990566</v>
      </c>
      <c r="BF15" s="63">
        <f t="shared" si="39"/>
        <v>0.2530040049707713</v>
      </c>
      <c r="BG15" s="63">
        <f t="shared" si="39"/>
        <v>0.2298043582799727</v>
      </c>
      <c r="BH15" s="63">
        <f>BH5/BH7</f>
        <v>0.24734180523600019</v>
      </c>
      <c r="BI15" s="63">
        <f>BI5/BI7</f>
        <v>0.23236916860521989</v>
      </c>
      <c r="BJ15" s="63">
        <f t="shared" ref="BJ15" si="41">BJ5/BJ7</f>
        <v>0.24674899122251662</v>
      </c>
      <c r="CB15" s="63">
        <f t="shared" ref="CB15:CF15" si="42">CB5/CB7</f>
        <v>0.216540027565501</v>
      </c>
      <c r="CC15" s="63">
        <f t="shared" si="42"/>
        <v>0.24547610953331489</v>
      </c>
      <c r="CD15" s="63">
        <f t="shared" si="42"/>
        <v>0.24124254455757327</v>
      </c>
      <c r="CE15" s="63">
        <f t="shared" si="42"/>
        <v>0.23419136795203793</v>
      </c>
      <c r="CF15" s="63">
        <f t="shared" si="42"/>
        <v>0.24162727190817337</v>
      </c>
      <c r="CG15" s="63">
        <f t="shared" ref="CG15" si="43">CG5/CG7</f>
        <v>0.24196447689166525</v>
      </c>
    </row>
    <row r="16" spans="2:148">
      <c r="B16" s="36" t="s">
        <v>1489</v>
      </c>
      <c r="AM16" s="63">
        <f t="shared" ref="AM16:BG16" si="44">AM6/AM7</f>
        <v>7.0464661834044512E-2</v>
      </c>
      <c r="AN16" s="63">
        <f t="shared" si="44"/>
        <v>7.2388924205541438E-2</v>
      </c>
      <c r="AO16" s="63">
        <f t="shared" si="44"/>
        <v>8.2305521101249127E-2</v>
      </c>
      <c r="AP16" s="63">
        <f t="shared" si="44"/>
        <v>0.11304455418352793</v>
      </c>
      <c r="AQ16" s="63">
        <f t="shared" si="44"/>
        <v>8.3584121846118728E-2</v>
      </c>
      <c r="AR16" s="63">
        <f t="shared" si="44"/>
        <v>8.1761184049523816E-2</v>
      </c>
      <c r="AS16" s="63">
        <f t="shared" si="44"/>
        <v>8.4255711112244891E-2</v>
      </c>
      <c r="AT16" s="63">
        <f t="shared" si="44"/>
        <v>9.6604276228806366E-2</v>
      </c>
      <c r="AU16" s="63">
        <f t="shared" si="44"/>
        <v>0.10197972305445818</v>
      </c>
      <c r="AV16" s="63">
        <f t="shared" si="44"/>
        <v>0.10778728360330735</v>
      </c>
      <c r="AW16" s="63">
        <f t="shared" si="44"/>
        <v>0.1138950446581237</v>
      </c>
      <c r="AX16" s="63">
        <f t="shared" si="44"/>
        <v>0.11425630635457154</v>
      </c>
      <c r="AY16" s="63">
        <f t="shared" si="44"/>
        <v>0.12684926768999477</v>
      </c>
      <c r="AZ16" s="63">
        <f t="shared" si="44"/>
        <v>0.1277006993640088</v>
      </c>
      <c r="BA16" s="63">
        <f t="shared" ref="BA16:BE16" si="45">BA6/BA7</f>
        <v>0.1204332803437788</v>
      </c>
      <c r="BB16" s="63">
        <f t="shared" si="45"/>
        <v>0.13034800569089464</v>
      </c>
      <c r="BC16" s="63">
        <f t="shared" si="45"/>
        <v>0.12130538080699428</v>
      </c>
      <c r="BD16" s="63">
        <f t="shared" si="45"/>
        <v>0.12965843355506107</v>
      </c>
      <c r="BE16" s="63">
        <f t="shared" si="45"/>
        <v>0.12081029770721632</v>
      </c>
      <c r="BF16" s="63">
        <f t="shared" si="44"/>
        <v>0.13074745425184794</v>
      </c>
      <c r="BG16" s="63">
        <f t="shared" si="44"/>
        <v>0.12262407937030194</v>
      </c>
      <c r="BH16" s="63">
        <f>BH6/BH7</f>
        <v>0.13990915607018822</v>
      </c>
      <c r="BI16" s="63">
        <f>BI6/BI7</f>
        <v>0.1265539766095318</v>
      </c>
      <c r="BJ16" s="63">
        <f t="shared" ref="BJ16" si="46">BJ6/BJ7</f>
        <v>0.13033232045875723</v>
      </c>
      <c r="CB16" s="63">
        <f t="shared" ref="CB16:CF16" si="47">CB6/CB7</f>
        <v>9.0595402554227419E-2</v>
      </c>
      <c r="CC16" s="63">
        <f t="shared" si="47"/>
        <v>8.7747899543794999E-2</v>
      </c>
      <c r="CD16" s="63">
        <f t="shared" si="47"/>
        <v>0.11024117078588569</v>
      </c>
      <c r="CE16" s="63">
        <f t="shared" si="47"/>
        <v>0.12674038674452429</v>
      </c>
      <c r="CF16" s="63">
        <f t="shared" si="47"/>
        <v>0.12628448131425712</v>
      </c>
      <c r="CG16" s="63">
        <f t="shared" ref="CG16" si="48">CG6/CG7</f>
        <v>0.13012590014953987</v>
      </c>
    </row>
    <row r="17" spans="2:147"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</row>
    <row r="18" spans="2:147">
      <c r="B18" s="61" t="s">
        <v>110</v>
      </c>
      <c r="AM18" s="59"/>
      <c r="AN18" s="59"/>
      <c r="AO18" s="59"/>
      <c r="AP18" s="59"/>
      <c r="AQ18" s="59"/>
      <c r="AR18" s="59"/>
      <c r="AS18" s="59"/>
      <c r="AT18" s="59"/>
      <c r="AU18" s="59">
        <v>1098.32</v>
      </c>
      <c r="AV18" s="59">
        <v>1278.3610000000001</v>
      </c>
      <c r="AW18" s="59">
        <v>1268.51</v>
      </c>
      <c r="AX18" s="59">
        <f>5654.34-SUM(AU18:AW18)</f>
        <v>2009.1490000000003</v>
      </c>
      <c r="AY18" s="59">
        <v>1314.39</v>
      </c>
      <c r="AZ18" s="59">
        <v>1424.9259999999999</v>
      </c>
      <c r="BA18" s="59">
        <v>1423.57</v>
      </c>
      <c r="BB18" s="59">
        <f>6346-SUM(AY18:BA18)</f>
        <v>2183.1140000000005</v>
      </c>
      <c r="BC18" s="59">
        <v>1340.4</v>
      </c>
      <c r="BD18" s="59">
        <v>1421.98</v>
      </c>
      <c r="BE18" s="59">
        <v>1424.23</v>
      </c>
      <c r="BF18" s="59">
        <f>6483.18-SUM(BC18:BE18)</f>
        <v>2296.5699999999997</v>
      </c>
      <c r="BG18" s="59">
        <v>1362.52</v>
      </c>
      <c r="BH18" s="59">
        <v>1415.002</v>
      </c>
      <c r="BI18" s="59">
        <v>1380.97</v>
      </c>
      <c r="BJ18" s="59">
        <f>6328.38-SUM(BG18:BI18)</f>
        <v>2169.8879999999999</v>
      </c>
      <c r="CA18" s="59"/>
      <c r="CB18" s="59"/>
      <c r="CC18" s="59"/>
      <c r="CD18" s="59">
        <f t="shared" ref="CD18:CD22" si="49">SUM(AU18:AX18)</f>
        <v>5654.34</v>
      </c>
      <c r="CE18" s="59">
        <f t="shared" ref="CE18:CE22" si="50">SUM(AY18:BB18)</f>
        <v>6346</v>
      </c>
      <c r="CF18" s="59">
        <f t="shared" ref="CF18:CF21" si="51">SUM(BC18:BF18)</f>
        <v>6483.18</v>
      </c>
      <c r="CG18" s="59">
        <f t="shared" ref="CG18:CG23" si="52">SUM(BG18:BJ18)</f>
        <v>6328.38</v>
      </c>
    </row>
    <row r="19" spans="2:147">
      <c r="B19" s="61" t="s">
        <v>1483</v>
      </c>
      <c r="AM19" s="59"/>
      <c r="AN19" s="59"/>
      <c r="AO19" s="59"/>
      <c r="AP19" s="59"/>
      <c r="AQ19" s="59"/>
      <c r="AR19" s="59"/>
      <c r="AS19" s="59"/>
      <c r="AT19" s="59"/>
      <c r="AU19" s="59">
        <v>244.94399999999999</v>
      </c>
      <c r="AV19" s="59">
        <v>268.62</v>
      </c>
      <c r="AW19" s="59">
        <v>271.82</v>
      </c>
      <c r="AX19" s="59">
        <f>1163.11-SUM(AU19:AW19)</f>
        <v>377.72599999999989</v>
      </c>
      <c r="AY19" s="59">
        <v>253.34</v>
      </c>
      <c r="AZ19" s="59">
        <v>294.84699999999998</v>
      </c>
      <c r="BA19" s="59">
        <v>308.82</v>
      </c>
      <c r="BB19" s="59">
        <f>1285.25-SUM(AY19:BA19)</f>
        <v>428.24299999999994</v>
      </c>
      <c r="BC19" s="59">
        <v>281.86</v>
      </c>
      <c r="BD19" s="59">
        <v>319.45299999999997</v>
      </c>
      <c r="BE19" s="59">
        <v>335.48</v>
      </c>
      <c r="BF19" s="59">
        <f>1411.67-SUM(BC19:BE19)</f>
        <v>474.87700000000007</v>
      </c>
      <c r="BG19" s="59">
        <v>292.82</v>
      </c>
      <c r="BH19" s="59">
        <v>321.29000000000002</v>
      </c>
      <c r="BI19" s="59">
        <v>331.596</v>
      </c>
      <c r="BJ19" s="59">
        <f>1423.17-SUM(BG19:BI19)</f>
        <v>477.46400000000006</v>
      </c>
      <c r="CA19" s="59"/>
      <c r="CB19" s="59"/>
      <c r="CC19" s="59"/>
      <c r="CD19" s="59">
        <f t="shared" si="49"/>
        <v>1163.1099999999999</v>
      </c>
      <c r="CE19" s="59">
        <f t="shared" si="50"/>
        <v>1285.25</v>
      </c>
      <c r="CF19" s="59">
        <f t="shared" si="51"/>
        <v>1411.67</v>
      </c>
      <c r="CG19" s="59">
        <f t="shared" si="52"/>
        <v>1423.17</v>
      </c>
    </row>
    <row r="20" spans="2:147">
      <c r="B20" s="61" t="s">
        <v>1484</v>
      </c>
      <c r="AM20" s="59"/>
      <c r="AN20" s="59"/>
      <c r="AO20" s="59"/>
      <c r="AP20" s="59"/>
      <c r="AQ20" s="59"/>
      <c r="AR20" s="59"/>
      <c r="AS20" s="59"/>
      <c r="AT20" s="59"/>
      <c r="AU20" s="1">
        <v>0</v>
      </c>
      <c r="AV20" s="1">
        <v>0</v>
      </c>
      <c r="AW20" s="59">
        <v>0</v>
      </c>
      <c r="AX20" s="59">
        <f>0-SUM(AU20:AW20)</f>
        <v>0</v>
      </c>
      <c r="AY20" s="59">
        <v>0</v>
      </c>
      <c r="AZ20" s="1">
        <v>0</v>
      </c>
      <c r="BA20" s="59">
        <v>0</v>
      </c>
      <c r="BB20" s="59">
        <f>0-SUM(AY20:BA20)</f>
        <v>0</v>
      </c>
      <c r="BC20" s="1">
        <v>0</v>
      </c>
      <c r="BD20" s="59">
        <v>0</v>
      </c>
      <c r="BE20" s="59">
        <v>10.66</v>
      </c>
      <c r="BF20" s="59">
        <f>33.3-SUM(BC20:BE20)</f>
        <v>22.639999999999997</v>
      </c>
      <c r="BG20" s="59">
        <v>19.213999999999999</v>
      </c>
      <c r="BH20" s="59">
        <v>21.92</v>
      </c>
      <c r="BI20" s="59">
        <v>20.81</v>
      </c>
      <c r="BJ20" s="59">
        <f>95.48-SUM(BG20:BI20)</f>
        <v>33.536000000000001</v>
      </c>
      <c r="CA20" s="59"/>
      <c r="CB20" s="59"/>
      <c r="CC20" s="59"/>
      <c r="CD20" s="59">
        <f t="shared" si="49"/>
        <v>0</v>
      </c>
      <c r="CE20" s="59">
        <f t="shared" si="50"/>
        <v>0</v>
      </c>
      <c r="CF20" s="59">
        <f t="shared" si="51"/>
        <v>33.299999999999997</v>
      </c>
      <c r="CG20" s="59">
        <f t="shared" si="52"/>
        <v>95.48</v>
      </c>
    </row>
    <row r="21" spans="2:147">
      <c r="B21" s="61" t="s">
        <v>1485</v>
      </c>
      <c r="AM21" s="59"/>
      <c r="AN21" s="59"/>
      <c r="AO21" s="59"/>
      <c r="AP21" s="59"/>
      <c r="AQ21" s="59"/>
      <c r="AR21" s="59"/>
      <c r="AS21" s="59"/>
      <c r="AT21" s="59"/>
      <c r="AU21" s="59">
        <v>139.42699999999999</v>
      </c>
      <c r="AV21" s="59">
        <v>172.02</v>
      </c>
      <c r="AW21" s="59">
        <v>174.15</v>
      </c>
      <c r="AX21" s="59">
        <f>681.63-SUM(AU21:AW21)</f>
        <v>196.03300000000002</v>
      </c>
      <c r="AY21" s="59">
        <v>249.68</v>
      </c>
      <c r="AZ21" s="59">
        <v>277.5</v>
      </c>
      <c r="BA21" s="59">
        <v>266.89100000000002</v>
      </c>
      <c r="BB21" s="59">
        <f>1134.29-SUM(AY21:BA21)</f>
        <v>340.21899999999982</v>
      </c>
      <c r="BC21" s="59">
        <v>346.05</v>
      </c>
      <c r="BD21" s="59">
        <v>356.22399999999999</v>
      </c>
      <c r="BE21" s="59">
        <v>359.38799999999998</v>
      </c>
      <c r="BF21" s="59">
        <f>1541.42-SUM(BC21:BE21)</f>
        <v>479.75800000000004</v>
      </c>
      <c r="BG21" s="59">
        <v>412.20499999999998</v>
      </c>
      <c r="BH21" s="59">
        <v>440.53199999999998</v>
      </c>
      <c r="BI21" s="59">
        <v>511.82</v>
      </c>
      <c r="BJ21" s="59">
        <f>1754.79+199.07-SUM(BG21:BI21)</f>
        <v>589.30299999999988</v>
      </c>
      <c r="CA21" s="59"/>
      <c r="CB21" s="59"/>
      <c r="CC21" s="59"/>
      <c r="CD21" s="59">
        <f t="shared" si="49"/>
        <v>681.63</v>
      </c>
      <c r="CE21" s="59">
        <f t="shared" si="50"/>
        <v>1134.29</v>
      </c>
      <c r="CF21" s="59">
        <f t="shared" si="51"/>
        <v>1541.42</v>
      </c>
      <c r="CG21" s="59">
        <f t="shared" si="52"/>
        <v>1953.86</v>
      </c>
    </row>
    <row r="22" spans="2:147">
      <c r="B22" s="61" t="s">
        <v>1486</v>
      </c>
      <c r="AM22" s="59"/>
      <c r="AN22" s="59"/>
      <c r="AO22" s="59"/>
      <c r="AP22" s="59"/>
      <c r="AQ22" s="59"/>
      <c r="AR22" s="59"/>
      <c r="AS22" s="59"/>
      <c r="AT22" s="59"/>
      <c r="AU22" s="59">
        <v>130.76300000000001</v>
      </c>
      <c r="AV22" s="59">
        <v>149.32499999999999</v>
      </c>
      <c r="AW22" s="59">
        <v>142.4</v>
      </c>
      <c r="AX22" s="59">
        <f>611.43-SUM(AU22:AW22)</f>
        <v>188.94200000000001</v>
      </c>
      <c r="AY22" s="59">
        <v>183.36</v>
      </c>
      <c r="AZ22" s="59">
        <v>211.892</v>
      </c>
      <c r="BA22" s="59">
        <v>204.929</v>
      </c>
      <c r="BB22" s="59">
        <f>853.338-SUM(AY22:BA22)</f>
        <v>253.15699999999993</v>
      </c>
      <c r="BC22" s="59">
        <v>240.57</v>
      </c>
      <c r="BD22" s="59">
        <v>273.42</v>
      </c>
      <c r="BE22" s="59">
        <v>266.89</v>
      </c>
      <c r="BF22" s="59">
        <f>1118.54-SUM(BC22:BE22)</f>
        <v>337.65999999999997</v>
      </c>
      <c r="BG22" s="59">
        <v>283.89699999999999</v>
      </c>
      <c r="BH22" s="59">
        <v>326.47000000000003</v>
      </c>
      <c r="BI22" s="59">
        <v>320.70999999999998</v>
      </c>
      <c r="BJ22" s="59">
        <f>1301.67-SUM(BG22:BI22)</f>
        <v>370.59300000000007</v>
      </c>
      <c r="CA22" s="59"/>
      <c r="CB22" s="59"/>
      <c r="CC22" s="59"/>
      <c r="CD22" s="59">
        <f t="shared" si="49"/>
        <v>611.42999999999995</v>
      </c>
      <c r="CE22" s="59">
        <f t="shared" si="50"/>
        <v>853.33799999999997</v>
      </c>
      <c r="CF22" s="59">
        <f>SUM(BC22:BF22)</f>
        <v>1118.54</v>
      </c>
      <c r="CG22" s="59">
        <f t="shared" si="52"/>
        <v>1301.67</v>
      </c>
    </row>
    <row r="23" spans="2:147" ht="15">
      <c r="B23" s="2" t="s">
        <v>1468</v>
      </c>
      <c r="AM23" s="60"/>
      <c r="AN23" s="60"/>
      <c r="AO23" s="60"/>
      <c r="AP23" s="60"/>
      <c r="AQ23" s="60"/>
      <c r="AR23" s="60"/>
      <c r="AS23" s="60"/>
      <c r="AT23" s="60"/>
      <c r="AU23" s="60">
        <f>SUM(AU18:AU22)</f>
        <v>1613.4539999999997</v>
      </c>
      <c r="AV23" s="60">
        <f>SUM(AV18:AV22)</f>
        <v>1868.3260000000002</v>
      </c>
      <c r="AW23" s="60">
        <f t="shared" ref="AW23:BG23" si="53">SUM(AW18:AW22)</f>
        <v>1856.88</v>
      </c>
      <c r="AX23" s="60">
        <f t="shared" si="53"/>
        <v>2771.85</v>
      </c>
      <c r="AY23" s="60">
        <f t="shared" si="53"/>
        <v>2000.77</v>
      </c>
      <c r="AZ23" s="60">
        <f t="shared" si="53"/>
        <v>2209.165</v>
      </c>
      <c r="BA23" s="60">
        <f t="shared" ref="BA23" si="54">SUM(BA18:BA22)</f>
        <v>2204.21</v>
      </c>
      <c r="BB23" s="60">
        <f t="shared" ref="BB23" si="55">SUM(BB18:BB22)</f>
        <v>3204.7330000000002</v>
      </c>
      <c r="BC23" s="60">
        <f t="shared" ref="BC23" si="56">SUM(BC18:BC22)</f>
        <v>2208.88</v>
      </c>
      <c r="BD23" s="60">
        <f t="shared" ref="BD23" si="57">SUM(BD18:BD22)</f>
        <v>2371.0770000000002</v>
      </c>
      <c r="BE23" s="60">
        <f t="shared" ref="BE23" si="58">SUM(BE18:BE22)</f>
        <v>2396.6480000000001</v>
      </c>
      <c r="BF23" s="60">
        <f t="shared" si="53"/>
        <v>3611.5049999999992</v>
      </c>
      <c r="BG23" s="60">
        <f t="shared" si="53"/>
        <v>2370.6559999999999</v>
      </c>
      <c r="BH23" s="60">
        <f>SUM(BH18:BH22)</f>
        <v>2525.2139999999999</v>
      </c>
      <c r="BI23" s="60">
        <f>SUM(BI18:BI22)</f>
        <v>2565.9059999999999</v>
      </c>
      <c r="BJ23" s="60">
        <f t="shared" ref="BJ23" si="59">SUM(BJ18:BJ22)</f>
        <v>3640.7839999999997</v>
      </c>
      <c r="CA23" s="59"/>
      <c r="CB23" s="59"/>
      <c r="CC23" s="59"/>
      <c r="CD23" s="60">
        <f t="shared" ref="CD23:CE23" si="60">SUM(CD18:CD22)</f>
        <v>8110.51</v>
      </c>
      <c r="CE23" s="60">
        <f t="shared" si="60"/>
        <v>9618.8780000000006</v>
      </c>
      <c r="CF23" s="60">
        <f>SUM(CF18:CF22)</f>
        <v>10588.11</v>
      </c>
      <c r="CG23" s="60">
        <f t="shared" si="52"/>
        <v>11102.56</v>
      </c>
    </row>
    <row r="24" spans="2:147"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</row>
    <row r="25" spans="2:147">
      <c r="B25" s="61" t="s">
        <v>112</v>
      </c>
      <c r="AM25" s="59"/>
      <c r="AN25" s="59"/>
      <c r="AO25" s="59"/>
      <c r="AP25" s="59"/>
      <c r="AQ25" s="63"/>
      <c r="AR25" s="63"/>
      <c r="AS25" s="63"/>
      <c r="AT25" s="63"/>
      <c r="AU25" s="63"/>
      <c r="AV25" s="63"/>
      <c r="AW25" s="63"/>
      <c r="AX25" s="63"/>
      <c r="AY25" s="63">
        <f t="shared" ref="AY25:BG26" si="61">AY18/AU18-1</f>
        <v>0.19672772962342511</v>
      </c>
      <c r="AZ25" s="63">
        <f t="shared" si="61"/>
        <v>0.11465071290504003</v>
      </c>
      <c r="BA25" s="63">
        <f t="shared" si="61"/>
        <v>0.12223790115962818</v>
      </c>
      <c r="BB25" s="63">
        <f t="shared" si="61"/>
        <v>8.6586410465326447E-2</v>
      </c>
      <c r="BC25" s="63">
        <f t="shared" si="61"/>
        <v>1.9788647205167376E-2</v>
      </c>
      <c r="BD25" s="63">
        <f t="shared" si="61"/>
        <v>-2.0674757847073399E-3</v>
      </c>
      <c r="BE25" s="63">
        <f t="shared" si="61"/>
        <v>4.6362314462933263E-4</v>
      </c>
      <c r="BF25" s="63">
        <f t="shared" si="61"/>
        <v>5.1969800935727228E-2</v>
      </c>
      <c r="BG25" s="63">
        <f t="shared" si="61"/>
        <v>1.650253655625189E-2</v>
      </c>
      <c r="BH25" s="63">
        <f>BH18/BD18-1</f>
        <v>-4.9072420146556439E-3</v>
      </c>
      <c r="BI25" s="63">
        <f>BI18/BE18-1</f>
        <v>-3.0374307520554922E-2</v>
      </c>
      <c r="BJ25" s="63">
        <f t="shared" ref="BJ25:BJ26" si="62">BJ18/BF18-1</f>
        <v>-5.5161392859786496E-2</v>
      </c>
      <c r="CE25" s="63">
        <f>CE18/CD18-1</f>
        <v>0.12232373716472655</v>
      </c>
      <c r="CF25" s="63">
        <f>CF18/CE18-1</f>
        <v>2.1616766467065895E-2</v>
      </c>
      <c r="CG25" s="63">
        <f>CG18/CF18-1</f>
        <v>-2.387717138811507E-2</v>
      </c>
    </row>
    <row r="26" spans="2:147">
      <c r="B26" s="61" t="s">
        <v>1469</v>
      </c>
      <c r="AM26" s="59"/>
      <c r="AN26" s="59"/>
      <c r="AO26" s="59"/>
      <c r="AP26" s="59"/>
      <c r="AQ26" s="63"/>
      <c r="AR26" s="63"/>
      <c r="AS26" s="63"/>
      <c r="AT26" s="63"/>
      <c r="AU26" s="63"/>
      <c r="AV26" s="63"/>
      <c r="AW26" s="63"/>
      <c r="AX26" s="63"/>
      <c r="AY26" s="63">
        <f t="shared" si="61"/>
        <v>3.427722254882748E-2</v>
      </c>
      <c r="AZ26" s="63">
        <f t="shared" si="61"/>
        <v>9.7636065817883866E-2</v>
      </c>
      <c r="BA26" s="63">
        <f t="shared" si="61"/>
        <v>0.13611949083952624</v>
      </c>
      <c r="BB26" s="63">
        <f t="shared" si="61"/>
        <v>0.1337398008079933</v>
      </c>
      <c r="BC26" s="63">
        <f t="shared" si="61"/>
        <v>0.11257598484250408</v>
      </c>
      <c r="BD26" s="63">
        <f t="shared" si="61"/>
        <v>8.3453452129409467E-2</v>
      </c>
      <c r="BE26" s="63">
        <f t="shared" si="61"/>
        <v>8.6328605660255242E-2</v>
      </c>
      <c r="BF26" s="63">
        <f t="shared" si="61"/>
        <v>0.10889611739129457</v>
      </c>
      <c r="BG26" s="63">
        <f t="shared" si="61"/>
        <v>3.8884552614773193E-2</v>
      </c>
      <c r="BH26" s="63">
        <f t="shared" ref="BH26:BJ30" si="63">BH19/BD19-1</f>
        <v>5.7504546834747927E-3</v>
      </c>
      <c r="BI26" s="63">
        <f t="shared" si="63"/>
        <v>-1.1577441278168621E-2</v>
      </c>
      <c r="BJ26" s="63">
        <f t="shared" si="62"/>
        <v>5.4477264639054557E-3</v>
      </c>
      <c r="CE26" s="63">
        <f t="shared" ref="CE26:CG30" si="64">CE19/CD19-1</f>
        <v>0.10501156382457388</v>
      </c>
      <c r="CF26" s="63">
        <f t="shared" si="64"/>
        <v>9.8362186345069214E-2</v>
      </c>
      <c r="CG26" s="63">
        <f t="shared" si="64"/>
        <v>8.1463798196461656E-3</v>
      </c>
    </row>
    <row r="27" spans="2:147">
      <c r="B27" s="61" t="s">
        <v>1470</v>
      </c>
      <c r="AM27" s="59"/>
      <c r="AN27" s="59"/>
      <c r="AO27" s="59"/>
      <c r="AP27" s="59"/>
      <c r="AQ27" s="62"/>
      <c r="AR27" s="62"/>
      <c r="AS27" s="62"/>
      <c r="AT27" s="62"/>
      <c r="AU27" s="62"/>
      <c r="AV27" s="62"/>
      <c r="AW27" s="62"/>
      <c r="AX27" s="62"/>
      <c r="AY27" s="62">
        <v>0</v>
      </c>
      <c r="AZ27" s="62">
        <v>0</v>
      </c>
      <c r="BA27" s="62">
        <v>0</v>
      </c>
      <c r="BB27" s="62">
        <v>0</v>
      </c>
      <c r="BC27" s="62">
        <v>0</v>
      </c>
      <c r="BD27" s="62">
        <v>0</v>
      </c>
      <c r="BE27" s="62">
        <v>0</v>
      </c>
      <c r="BF27" s="62">
        <v>0</v>
      </c>
      <c r="BG27" s="62">
        <v>0</v>
      </c>
      <c r="BH27" s="62">
        <v>0</v>
      </c>
      <c r="BI27" s="62">
        <v>0</v>
      </c>
      <c r="BJ27" s="62">
        <v>0</v>
      </c>
      <c r="CE27" s="63">
        <v>0</v>
      </c>
      <c r="CF27" s="63">
        <v>0</v>
      </c>
      <c r="CG27" s="63">
        <v>0</v>
      </c>
    </row>
    <row r="28" spans="2:147">
      <c r="B28" s="61" t="s">
        <v>1471</v>
      </c>
      <c r="AM28" s="59"/>
      <c r="AN28" s="59"/>
      <c r="AO28" s="59"/>
      <c r="AP28" s="59"/>
      <c r="AQ28" s="63"/>
      <c r="AR28" s="63"/>
      <c r="AS28" s="63"/>
      <c r="AT28" s="63"/>
      <c r="AU28" s="63"/>
      <c r="AV28" s="63"/>
      <c r="AW28" s="63"/>
      <c r="AX28" s="63"/>
      <c r="AY28" s="63">
        <f t="shared" ref="AY28:BG30" si="65">AY21/AU21-1</f>
        <v>0.79075788764012733</v>
      </c>
      <c r="AZ28" s="63">
        <f t="shared" si="65"/>
        <v>0.61318451342867109</v>
      </c>
      <c r="BA28" s="63">
        <f t="shared" si="65"/>
        <v>0.53253517082974455</v>
      </c>
      <c r="BB28" s="63">
        <f t="shared" si="65"/>
        <v>0.73551901975687661</v>
      </c>
      <c r="BC28" s="63">
        <f t="shared" si="65"/>
        <v>0.38597404677987823</v>
      </c>
      <c r="BD28" s="63">
        <f t="shared" si="65"/>
        <v>0.28369009009009005</v>
      </c>
      <c r="BE28" s="63">
        <f t="shared" si="65"/>
        <v>0.34657219613999701</v>
      </c>
      <c r="BF28" s="63">
        <f t="shared" si="65"/>
        <v>0.41014464212757162</v>
      </c>
      <c r="BG28" s="63">
        <f t="shared" si="65"/>
        <v>0.1911717959832393</v>
      </c>
      <c r="BH28" s="63">
        <f t="shared" si="63"/>
        <v>0.23667130794107072</v>
      </c>
      <c r="BI28" s="63">
        <f t="shared" si="63"/>
        <v>0.42414326577403827</v>
      </c>
      <c r="BJ28" s="63">
        <f t="shared" si="63"/>
        <v>0.22833386832528024</v>
      </c>
      <c r="CE28" s="63">
        <f t="shared" si="64"/>
        <v>0.66408462068864327</v>
      </c>
      <c r="CF28" s="63">
        <f t="shared" si="64"/>
        <v>0.35892937432226346</v>
      </c>
      <c r="CG28" s="63">
        <f t="shared" si="64"/>
        <v>0.26757146008226163</v>
      </c>
    </row>
    <row r="29" spans="2:147">
      <c r="B29" s="61" t="s">
        <v>1472</v>
      </c>
      <c r="AM29" s="59"/>
      <c r="AN29" s="59"/>
      <c r="AO29" s="59"/>
      <c r="AP29" s="59"/>
      <c r="AQ29" s="63"/>
      <c r="AR29" s="63"/>
      <c r="AS29" s="63"/>
      <c r="AT29" s="63"/>
      <c r="AU29" s="63"/>
      <c r="AV29" s="63"/>
      <c r="AW29" s="63"/>
      <c r="AX29" s="63"/>
      <c r="AY29" s="63">
        <f t="shared" si="65"/>
        <v>0.40223151808997959</v>
      </c>
      <c r="AZ29" s="63">
        <f t="shared" si="65"/>
        <v>0.41899882805960154</v>
      </c>
      <c r="BA29" s="63">
        <f t="shared" si="65"/>
        <v>0.43910814606741577</v>
      </c>
      <c r="BB29" s="63">
        <f t="shared" si="65"/>
        <v>0.33986620232663944</v>
      </c>
      <c r="BC29" s="63">
        <f t="shared" si="65"/>
        <v>0.31200916230366471</v>
      </c>
      <c r="BD29" s="63">
        <f t="shared" si="65"/>
        <v>0.29037434164574405</v>
      </c>
      <c r="BE29" s="63">
        <f t="shared" si="65"/>
        <v>0.30235349804078471</v>
      </c>
      <c r="BF29" s="63">
        <f t="shared" si="65"/>
        <v>0.33379681383489324</v>
      </c>
      <c r="BG29" s="63">
        <f t="shared" si="65"/>
        <v>0.18010142578043808</v>
      </c>
      <c r="BH29" s="63">
        <f t="shared" si="63"/>
        <v>0.19402384609757894</v>
      </c>
      <c r="BI29" s="63">
        <f t="shared" si="63"/>
        <v>0.20165611300535802</v>
      </c>
      <c r="BJ29" s="63">
        <f t="shared" si="63"/>
        <v>9.753302138245612E-2</v>
      </c>
      <c r="CE29" s="63">
        <f t="shared" si="64"/>
        <v>0.3956430008341103</v>
      </c>
      <c r="CF29" s="63">
        <f t="shared" si="64"/>
        <v>0.31078189416151636</v>
      </c>
      <c r="CG29" s="63">
        <f t="shared" si="64"/>
        <v>0.16372235235217336</v>
      </c>
    </row>
    <row r="30" spans="2:147" s="2" customFormat="1" ht="15">
      <c r="B30" s="2" t="s">
        <v>161</v>
      </c>
      <c r="AM30" s="60"/>
      <c r="AN30" s="60"/>
      <c r="AO30" s="60"/>
      <c r="AP30" s="60"/>
      <c r="AQ30" s="64"/>
      <c r="AR30" s="64"/>
      <c r="AS30" s="64"/>
      <c r="AT30" s="64"/>
      <c r="AU30" s="64"/>
      <c r="AV30" s="64"/>
      <c r="AW30" s="64"/>
      <c r="AX30" s="64"/>
      <c r="AY30" s="64">
        <f t="shared" si="65"/>
        <v>0.24005394637839084</v>
      </c>
      <c r="AZ30" s="64">
        <f t="shared" si="65"/>
        <v>0.18243015405234408</v>
      </c>
      <c r="BA30" s="64">
        <f t="shared" si="65"/>
        <v>0.18705032096850616</v>
      </c>
      <c r="BB30" s="64">
        <f t="shared" si="65"/>
        <v>0.15617114923246223</v>
      </c>
      <c r="BC30" s="64">
        <f t="shared" si="65"/>
        <v>0.10401495424261675</v>
      </c>
      <c r="BD30" s="64">
        <f t="shared" si="65"/>
        <v>7.3291039827265259E-2</v>
      </c>
      <c r="BE30" s="64">
        <f t="shared" si="65"/>
        <v>8.7304748640102403E-2</v>
      </c>
      <c r="BF30" s="64">
        <f t="shared" si="65"/>
        <v>0.12692851479358769</v>
      </c>
      <c r="BG30" s="64">
        <f t="shared" si="65"/>
        <v>7.32389265147948E-2</v>
      </c>
      <c r="BH30" s="64">
        <f t="shared" si="63"/>
        <v>6.5007167628887474E-2</v>
      </c>
      <c r="BI30" s="64">
        <f t="shared" si="63"/>
        <v>7.062280318177705E-2</v>
      </c>
      <c r="BJ30" s="64">
        <f t="shared" si="63"/>
        <v>8.1071464666393478E-3</v>
      </c>
      <c r="BK30" s="34"/>
      <c r="BL30" s="34"/>
      <c r="BM30" s="34"/>
      <c r="BN30" s="34"/>
      <c r="CE30" s="63">
        <f t="shared" si="64"/>
        <v>0.18597696075832482</v>
      </c>
      <c r="CF30" s="63">
        <f t="shared" si="64"/>
        <v>0.10076351940423822</v>
      </c>
      <c r="CG30" s="63">
        <f t="shared" si="64"/>
        <v>4.8587519396757095E-2</v>
      </c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/>
      <c r="EO30" s="34"/>
      <c r="EP30" s="34"/>
      <c r="EQ30" s="34"/>
    </row>
    <row r="31" spans="2:147"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</row>
    <row r="32" spans="2:147">
      <c r="B32" s="61" t="s">
        <v>111</v>
      </c>
      <c r="AM32" s="59"/>
      <c r="AN32" s="59"/>
      <c r="AO32" s="59"/>
      <c r="AP32" s="59"/>
      <c r="AQ32" s="59"/>
      <c r="AR32" s="59"/>
      <c r="AS32" s="59"/>
      <c r="AT32" s="59"/>
      <c r="AU32" s="63">
        <f t="shared" ref="AU32:BG36" si="66">AU18/$BH$23</f>
        <v>0.43494135546531898</v>
      </c>
      <c r="AV32" s="63">
        <f t="shared" si="66"/>
        <v>0.5062386791772896</v>
      </c>
      <c r="AW32" s="63">
        <f t="shared" si="66"/>
        <v>0.50233762366278656</v>
      </c>
      <c r="AX32" s="63">
        <f t="shared" si="66"/>
        <v>0.79563514220972975</v>
      </c>
      <c r="AY32" s="63">
        <f t="shared" si="66"/>
        <v>0.52050638084534628</v>
      </c>
      <c r="AZ32" s="63">
        <f t="shared" si="66"/>
        <v>0.5642793046450717</v>
      </c>
      <c r="BA32" s="63">
        <f t="shared" si="66"/>
        <v>0.56374232045284078</v>
      </c>
      <c r="BB32" s="63">
        <f t="shared" si="66"/>
        <v>0.86452633321373973</v>
      </c>
      <c r="BC32" s="63">
        <f t="shared" si="66"/>
        <v>0.53080649798393331</v>
      </c>
      <c r="BD32" s="63">
        <f t="shared" si="66"/>
        <v>0.56311267084690642</v>
      </c>
      <c r="BE32" s="63">
        <f t="shared" si="66"/>
        <v>0.56400368444020987</v>
      </c>
      <c r="BF32" s="63">
        <f t="shared" si="66"/>
        <v>0.90945559465455195</v>
      </c>
      <c r="BG32" s="63">
        <f t="shared" si="66"/>
        <v>0.53956615162120913</v>
      </c>
      <c r="BH32" s="63">
        <f>BH18/$BH$23</f>
        <v>0.56034934068954156</v>
      </c>
      <c r="BI32" s="63">
        <f>BI18/$BH$23</f>
        <v>0.54687246308629689</v>
      </c>
      <c r="BJ32" s="63">
        <f t="shared" ref="BJ32" si="67">BJ18/$BH$23</f>
        <v>0.85928875730928145</v>
      </c>
      <c r="CD32" s="63">
        <f t="shared" ref="CD32:CF36" si="68">CD18/$BH$23</f>
        <v>2.2391528005151247</v>
      </c>
      <c r="CE32" s="63">
        <f t="shared" si="68"/>
        <v>2.5130543391569984</v>
      </c>
      <c r="CF32" s="63">
        <f t="shared" si="68"/>
        <v>2.5673784479256017</v>
      </c>
      <c r="CG32" s="63">
        <f t="shared" ref="CG32" si="69">CG18/$BH$23</f>
        <v>2.5060767127063293</v>
      </c>
    </row>
    <row r="33" spans="2:147">
      <c r="B33" s="61" t="s">
        <v>1479</v>
      </c>
      <c r="AM33" s="59"/>
      <c r="AN33" s="59"/>
      <c r="AO33" s="59"/>
      <c r="AP33" s="59"/>
      <c r="AQ33" s="59"/>
      <c r="AR33" s="59"/>
      <c r="AS33" s="59"/>
      <c r="AT33" s="59"/>
      <c r="AU33" s="63">
        <f t="shared" si="66"/>
        <v>9.6999303821379099E-2</v>
      </c>
      <c r="AV33" s="63">
        <f t="shared" si="66"/>
        <v>0.10637514285917947</v>
      </c>
      <c r="AW33" s="63">
        <f t="shared" si="66"/>
        <v>0.1076423621918776</v>
      </c>
      <c r="AX33" s="63">
        <f t="shared" si="66"/>
        <v>0.14958177801960543</v>
      </c>
      <c r="AY33" s="63">
        <f t="shared" si="66"/>
        <v>0.10032417054554585</v>
      </c>
      <c r="AZ33" s="63">
        <f t="shared" si="66"/>
        <v>0.11676119330876511</v>
      </c>
      <c r="BA33" s="63">
        <f t="shared" si="66"/>
        <v>0.12229458572619983</v>
      </c>
      <c r="BB33" s="63">
        <f t="shared" si="66"/>
        <v>0.16958681521645291</v>
      </c>
      <c r="BC33" s="63">
        <f t="shared" si="66"/>
        <v>0.11161826284821802</v>
      </c>
      <c r="BD33" s="63">
        <f t="shared" si="66"/>
        <v>0.12650531796513087</v>
      </c>
      <c r="BE33" s="63">
        <f t="shared" si="66"/>
        <v>0.13285210679174123</v>
      </c>
      <c r="BF33" s="63">
        <f t="shared" si="66"/>
        <v>0.18805416095427954</v>
      </c>
      <c r="BG33" s="63">
        <f t="shared" si="66"/>
        <v>0.11595848906270914</v>
      </c>
      <c r="BH33" s="63">
        <f t="shared" ref="BH33:BJ36" si="70">BH19/$BH$23</f>
        <v>0.1272327810633079</v>
      </c>
      <c r="BI33" s="63">
        <f t="shared" si="70"/>
        <v>0.13131401932667885</v>
      </c>
      <c r="BJ33" s="63">
        <f t="shared" si="70"/>
        <v>0.1890786285835577</v>
      </c>
      <c r="CD33" s="63">
        <f t="shared" si="68"/>
        <v>0.46059858689204158</v>
      </c>
      <c r="CE33" s="63">
        <f t="shared" si="68"/>
        <v>0.50896676479696379</v>
      </c>
      <c r="CF33" s="63">
        <f t="shared" si="68"/>
        <v>0.55902984855936966</v>
      </c>
      <c r="CG33" s="63">
        <f t="shared" ref="CG33" si="71">CG19/$BH$23</f>
        <v>0.56358391803625363</v>
      </c>
    </row>
    <row r="34" spans="2:147">
      <c r="B34" s="61" t="s">
        <v>1480</v>
      </c>
      <c r="AM34" s="59"/>
      <c r="AN34" s="59"/>
      <c r="AO34" s="59"/>
      <c r="AP34" s="59"/>
      <c r="AQ34" s="59"/>
      <c r="AR34" s="59"/>
      <c r="AS34" s="59"/>
      <c r="AT34" s="59"/>
      <c r="AU34" s="63">
        <f t="shared" si="66"/>
        <v>0</v>
      </c>
      <c r="AV34" s="63">
        <f t="shared" si="66"/>
        <v>0</v>
      </c>
      <c r="AW34" s="63">
        <f t="shared" si="66"/>
        <v>0</v>
      </c>
      <c r="AX34" s="63">
        <f t="shared" si="66"/>
        <v>0</v>
      </c>
      <c r="AY34" s="63">
        <f t="shared" si="66"/>
        <v>0</v>
      </c>
      <c r="AZ34" s="63">
        <f t="shared" si="66"/>
        <v>0</v>
      </c>
      <c r="BA34" s="63">
        <f t="shared" si="66"/>
        <v>0</v>
      </c>
      <c r="BB34" s="63">
        <f t="shared" si="66"/>
        <v>0</v>
      </c>
      <c r="BC34" s="63">
        <f t="shared" si="66"/>
        <v>0</v>
      </c>
      <c r="BD34" s="63">
        <f t="shared" si="66"/>
        <v>0</v>
      </c>
      <c r="BE34" s="63">
        <f t="shared" si="66"/>
        <v>4.221424402050678E-3</v>
      </c>
      <c r="BF34" s="63">
        <f t="shared" si="66"/>
        <v>8.9655767788393362E-3</v>
      </c>
      <c r="BG34" s="63">
        <f t="shared" si="66"/>
        <v>7.6088600807693915E-3</v>
      </c>
      <c r="BH34" s="63">
        <f t="shared" si="70"/>
        <v>8.6804524289822577E-3</v>
      </c>
      <c r="BI34" s="63">
        <f t="shared" si="70"/>
        <v>8.2408857229525883E-3</v>
      </c>
      <c r="BJ34" s="63">
        <f t="shared" si="70"/>
        <v>1.3280458606676504E-2</v>
      </c>
      <c r="CD34" s="63">
        <f t="shared" si="68"/>
        <v>0</v>
      </c>
      <c r="CE34" s="63">
        <f t="shared" si="68"/>
        <v>0</v>
      </c>
      <c r="CF34" s="63">
        <f t="shared" si="68"/>
        <v>1.3187001180890015E-2</v>
      </c>
      <c r="CG34" s="63">
        <f t="shared" ref="CG34" si="72">CG20/$BH$23</f>
        <v>3.7810656839380744E-2</v>
      </c>
    </row>
    <row r="35" spans="2:147">
      <c r="B35" s="61" t="s">
        <v>1481</v>
      </c>
      <c r="AM35" s="59"/>
      <c r="AN35" s="59"/>
      <c r="AO35" s="59"/>
      <c r="AP35" s="59"/>
      <c r="AQ35" s="59"/>
      <c r="AR35" s="59"/>
      <c r="AS35" s="59"/>
      <c r="AT35" s="59"/>
      <c r="AU35" s="63">
        <f t="shared" si="66"/>
        <v>5.5213934343782349E-2</v>
      </c>
      <c r="AV35" s="63">
        <f t="shared" si="66"/>
        <v>6.8120959253354374E-2</v>
      </c>
      <c r="AW35" s="63">
        <f t="shared" si="66"/>
        <v>6.8964452121681577E-2</v>
      </c>
      <c r="AX35" s="63">
        <f t="shared" si="66"/>
        <v>7.7630252327129515E-2</v>
      </c>
      <c r="AY35" s="63">
        <f t="shared" si="66"/>
        <v>9.8874788433772356E-2</v>
      </c>
      <c r="AZ35" s="63">
        <f t="shared" si="66"/>
        <v>0.1098916765074168</v>
      </c>
      <c r="BA35" s="63">
        <f t="shared" si="66"/>
        <v>0.10569044841348101</v>
      </c>
      <c r="BB35" s="63">
        <f t="shared" si="66"/>
        <v>0.1347287794222588</v>
      </c>
      <c r="BC35" s="63">
        <f t="shared" si="66"/>
        <v>0.13703789065005975</v>
      </c>
      <c r="BD35" s="63">
        <f t="shared" si="66"/>
        <v>0.1410668561159569</v>
      </c>
      <c r="BE35" s="63">
        <f t="shared" si="66"/>
        <v>0.14231981923116219</v>
      </c>
      <c r="BF35" s="63">
        <f t="shared" si="66"/>
        <v>0.18998706644268568</v>
      </c>
      <c r="BG35" s="63">
        <f t="shared" si="66"/>
        <v>0.16323567032338646</v>
      </c>
      <c r="BH35" s="63">
        <f t="shared" si="70"/>
        <v>0.17445333346005526</v>
      </c>
      <c r="BI35" s="63">
        <f t="shared" si="70"/>
        <v>0.20268381214423808</v>
      </c>
      <c r="BJ35" s="63">
        <f t="shared" si="70"/>
        <v>0.23336754825531614</v>
      </c>
      <c r="CD35" s="63">
        <f t="shared" si="68"/>
        <v>0.26992959804594779</v>
      </c>
      <c r="CE35" s="63">
        <f t="shared" si="68"/>
        <v>0.44918569277692899</v>
      </c>
      <c r="CF35" s="63">
        <f t="shared" si="68"/>
        <v>0.61041163243986452</v>
      </c>
      <c r="CG35" s="63">
        <f t="shared" ref="CG35" si="73">CG21/$BH$23</f>
        <v>0.77374036418299597</v>
      </c>
    </row>
    <row r="36" spans="2:147">
      <c r="B36" s="61" t="s">
        <v>1482</v>
      </c>
      <c r="AM36" s="59"/>
      <c r="AN36" s="59"/>
      <c r="AO36" s="59"/>
      <c r="AP36" s="59"/>
      <c r="AQ36" s="59"/>
      <c r="AR36" s="59"/>
      <c r="AS36" s="59"/>
      <c r="AT36" s="59"/>
      <c r="AU36" s="63">
        <f t="shared" si="66"/>
        <v>5.1782938000502141E-2</v>
      </c>
      <c r="AV36" s="63">
        <f t="shared" si="66"/>
        <v>5.913360214223428E-2</v>
      </c>
      <c r="AW36" s="63">
        <f t="shared" si="66"/>
        <v>5.639126030506722E-2</v>
      </c>
      <c r="AX36" s="63">
        <f t="shared" si="66"/>
        <v>7.482217348707873E-2</v>
      </c>
      <c r="AY36" s="63">
        <f t="shared" si="66"/>
        <v>7.2611667763603407E-2</v>
      </c>
      <c r="AZ36" s="63">
        <f t="shared" si="66"/>
        <v>8.3910512138773194E-2</v>
      </c>
      <c r="BA36" s="63">
        <f t="shared" si="66"/>
        <v>8.1153122072030334E-2</v>
      </c>
      <c r="BB36" s="63">
        <f t="shared" si="66"/>
        <v>0.10025170143995714</v>
      </c>
      <c r="BC36" s="63">
        <f t="shared" si="66"/>
        <v>9.5267173395997329E-2</v>
      </c>
      <c r="BD36" s="63">
        <f t="shared" si="66"/>
        <v>0.10827597185822668</v>
      </c>
      <c r="BE36" s="63">
        <f t="shared" si="66"/>
        <v>0.10569005240743952</v>
      </c>
      <c r="BF36" s="63">
        <f t="shared" si="66"/>
        <v>0.13371539996214182</v>
      </c>
      <c r="BG36" s="63">
        <f t="shared" si="66"/>
        <v>0.11242492715468867</v>
      </c>
      <c r="BH36" s="63">
        <f t="shared" si="70"/>
        <v>0.12928409235811303</v>
      </c>
      <c r="BI36" s="63">
        <f t="shared" si="70"/>
        <v>0.12700309755925637</v>
      </c>
      <c r="BJ36" s="63">
        <f t="shared" si="70"/>
        <v>0.14675706692581306</v>
      </c>
      <c r="CD36" s="63">
        <f t="shared" si="68"/>
        <v>0.24212997393488234</v>
      </c>
      <c r="CE36" s="63">
        <f t="shared" si="68"/>
        <v>0.3379270034143641</v>
      </c>
      <c r="CF36" s="63">
        <f t="shared" si="68"/>
        <v>0.44294859762380534</v>
      </c>
      <c r="CG36" s="63">
        <f t="shared" ref="CG36" si="74">CG22/$BH$23</f>
        <v>0.51546918399787112</v>
      </c>
    </row>
    <row r="37" spans="2:147"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</row>
    <row r="38" spans="2:147" s="2" customFormat="1" ht="15">
      <c r="B38" s="60" t="s">
        <v>108</v>
      </c>
      <c r="C38" s="60">
        <v>186.8</v>
      </c>
      <c r="D38" s="60">
        <v>212</v>
      </c>
      <c r="E38" s="60">
        <v>230.2</v>
      </c>
      <c r="F38" s="60">
        <v>371.52</v>
      </c>
      <c r="G38" s="60">
        <v>285.7</v>
      </c>
      <c r="H38" s="60">
        <v>282.60000000000002</v>
      </c>
      <c r="I38" s="60">
        <v>316.5</v>
      </c>
      <c r="J38" s="60">
        <v>485.5</v>
      </c>
      <c r="K38" s="60">
        <v>345.8</v>
      </c>
      <c r="L38" s="60">
        <v>344.5</v>
      </c>
      <c r="M38" s="60">
        <v>379.9</v>
      </c>
      <c r="N38" s="60">
        <v>521</v>
      </c>
      <c r="O38" s="60">
        <v>384.6</v>
      </c>
      <c r="P38" s="60">
        <v>390.7</v>
      </c>
      <c r="Q38" s="60">
        <v>419.4</v>
      </c>
      <c r="R38" s="60">
        <v>602.5</v>
      </c>
      <c r="S38" s="60">
        <v>423.5</v>
      </c>
      <c r="T38" s="60">
        <v>453</v>
      </c>
      <c r="U38" s="60">
        <v>479.7</v>
      </c>
      <c r="V38" s="60">
        <v>704.3</v>
      </c>
      <c r="W38" s="60">
        <v>495.5</v>
      </c>
      <c r="X38" s="60">
        <v>514.5</v>
      </c>
      <c r="Y38" s="60">
        <v>544.4</v>
      </c>
      <c r="Z38" s="60">
        <v>789.9</v>
      </c>
      <c r="AA38" s="60">
        <v>520.29999999999995</v>
      </c>
      <c r="AB38" s="60">
        <v>581.1</v>
      </c>
      <c r="AC38" s="60">
        <v>619</v>
      </c>
      <c r="AD38" s="60">
        <v>928.8</v>
      </c>
      <c r="AE38" s="60">
        <v>649.70000000000005</v>
      </c>
      <c r="AF38" s="60">
        <v>723.5</v>
      </c>
      <c r="AG38" s="60">
        <v>747.7</v>
      </c>
      <c r="AH38" s="60">
        <v>1167.5</v>
      </c>
      <c r="AI38" s="60">
        <v>782.3</v>
      </c>
      <c r="AJ38" s="60">
        <v>883.4</v>
      </c>
      <c r="AK38" s="60">
        <v>916.1</v>
      </c>
      <c r="AL38" s="60">
        <v>1397.5</v>
      </c>
      <c r="AM38" s="60">
        <f t="shared" ref="AM38:BH38" si="75">AM7</f>
        <v>651.95800000000008</v>
      </c>
      <c r="AN38" s="60">
        <f t="shared" si="75"/>
        <v>902.94200000000001</v>
      </c>
      <c r="AO38" s="60">
        <f t="shared" si="75"/>
        <v>1117.422</v>
      </c>
      <c r="AP38" s="60">
        <f t="shared" si="75"/>
        <v>1729.557</v>
      </c>
      <c r="AQ38" s="60">
        <f t="shared" si="75"/>
        <v>1226.4649999999999</v>
      </c>
      <c r="AR38" s="60">
        <f t="shared" si="75"/>
        <v>1450.615</v>
      </c>
      <c r="AS38" s="60">
        <f t="shared" si="75"/>
        <v>1450.4179999999999</v>
      </c>
      <c r="AT38" s="60">
        <f t="shared" si="75"/>
        <v>2129.1189999999997</v>
      </c>
      <c r="AU38" s="60">
        <f t="shared" si="75"/>
        <v>1613.4580000000001</v>
      </c>
      <c r="AV38" s="60">
        <f t="shared" si="75"/>
        <v>1868.328</v>
      </c>
      <c r="AW38" s="60">
        <f t="shared" si="75"/>
        <v>1856.885</v>
      </c>
      <c r="AX38" s="60">
        <f t="shared" si="75"/>
        <v>2771.8469999999998</v>
      </c>
      <c r="AY38" s="60">
        <f t="shared" si="75"/>
        <v>2000.7919999999999</v>
      </c>
      <c r="AZ38" s="60">
        <f t="shared" si="75"/>
        <v>2209.15</v>
      </c>
      <c r="BA38" s="60">
        <f t="shared" si="75"/>
        <v>2204.2080000000001</v>
      </c>
      <c r="BB38" s="60">
        <f t="shared" si="75"/>
        <v>3205.12</v>
      </c>
      <c r="BC38" s="60">
        <f t="shared" si="75"/>
        <v>2208.8879999999999</v>
      </c>
      <c r="BD38" s="60">
        <f t="shared" si="75"/>
        <v>2371.076</v>
      </c>
      <c r="BE38" s="60">
        <f t="shared" si="75"/>
        <v>2396.65</v>
      </c>
      <c r="BF38" s="60">
        <f t="shared" si="75"/>
        <v>3611.5120000000002</v>
      </c>
      <c r="BG38" s="60">
        <f t="shared" si="75"/>
        <v>2370.66</v>
      </c>
      <c r="BH38" s="60">
        <f t="shared" si="75"/>
        <v>2525.21</v>
      </c>
      <c r="BI38" s="60">
        <f t="shared" ref="BI38:BJ38" si="76">BI7</f>
        <v>2565.9169999999999</v>
      </c>
      <c r="BJ38" s="60">
        <f t="shared" si="76"/>
        <v>3640.7929999999997</v>
      </c>
      <c r="BK38" s="34"/>
      <c r="BL38" s="34"/>
      <c r="BM38" s="34"/>
      <c r="BN38" s="34"/>
      <c r="BS38" s="60">
        <f>SUM(C38:F38)</f>
        <v>1000.52</v>
      </c>
      <c r="BT38" s="60">
        <f>SUM(G38:J38)</f>
        <v>1370.3</v>
      </c>
      <c r="BU38" s="60">
        <f>SUM(K38:N38)</f>
        <v>1591.1999999999998</v>
      </c>
      <c r="BV38" s="60">
        <f>SUM(O38:R38)</f>
        <v>1797.1999999999998</v>
      </c>
      <c r="BW38" s="60">
        <f>SUM(S38:V38)</f>
        <v>2060.5</v>
      </c>
      <c r="BX38" s="60">
        <f>SUM(W38:Z38)</f>
        <v>2344.3000000000002</v>
      </c>
      <c r="BY38" s="60">
        <f>SUM(AA38:AD38)</f>
        <v>2649.2</v>
      </c>
      <c r="BZ38" s="60">
        <f>SUM(AE38:AH38)</f>
        <v>3288.4</v>
      </c>
      <c r="CA38" s="60">
        <f>SUM(AI38:AL38)</f>
        <v>3979.2999999999997</v>
      </c>
      <c r="CB38" s="60">
        <f>SUM(AM38:AP38)</f>
        <v>4401.8789999999999</v>
      </c>
      <c r="CC38" s="60">
        <f>SUM(AQ38:AT38)</f>
        <v>6256.6169999999993</v>
      </c>
      <c r="CD38" s="60">
        <f>SUM(AU38:AX38)</f>
        <v>8110.518</v>
      </c>
      <c r="CE38" s="60">
        <f>SUM(AY38:BB38)</f>
        <v>9619.27</v>
      </c>
      <c r="CF38" s="60">
        <f>SUM(BC38:BF38)</f>
        <v>10588.126</v>
      </c>
      <c r="CG38" s="60">
        <f t="shared" ref="CG38:CG49" si="77">SUM(BG38:BJ38)</f>
        <v>11102.58</v>
      </c>
      <c r="CH38" s="66">
        <f>CH7</f>
        <v>11609.527604999999</v>
      </c>
      <c r="CI38" s="66">
        <f t="shared" ref="CI38:CQ38" si="78">CI7</f>
        <v>12190.8148743</v>
      </c>
      <c r="CJ38" s="66">
        <f t="shared" si="78"/>
        <v>12841.494255181875</v>
      </c>
      <c r="CK38" s="66">
        <f t="shared" si="78"/>
        <v>13558.161680493495</v>
      </c>
      <c r="CL38" s="66">
        <f t="shared" si="78"/>
        <v>14243.879434035316</v>
      </c>
      <c r="CM38" s="66">
        <f t="shared" si="78"/>
        <v>14947.419428732519</v>
      </c>
      <c r="CN38" s="66">
        <f t="shared" si="78"/>
        <v>15634.515313775315</v>
      </c>
      <c r="CO38" s="66">
        <f t="shared" si="78"/>
        <v>16299.230520398256</v>
      </c>
      <c r="CP38" s="66">
        <f t="shared" si="78"/>
        <v>16935.577129791542</v>
      </c>
      <c r="CQ38" s="66">
        <f t="shared" si="78"/>
        <v>17528.18049116839</v>
      </c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</row>
    <row r="39" spans="2:147">
      <c r="B39" s="1" t="s">
        <v>113</v>
      </c>
      <c r="C39" s="59">
        <v>77.099999999999994</v>
      </c>
      <c r="D39" s="59">
        <v>90.3</v>
      </c>
      <c r="E39" s="59">
        <v>101.7</v>
      </c>
      <c r="F39" s="59">
        <v>162.47</v>
      </c>
      <c r="G39" s="59">
        <v>128.4</v>
      </c>
      <c r="H39" s="59">
        <v>126.9</v>
      </c>
      <c r="I39" s="59">
        <v>141.19999999999999</v>
      </c>
      <c r="J39" s="59">
        <v>211</v>
      </c>
      <c r="K39" s="59">
        <v>175.1</v>
      </c>
      <c r="L39" s="59">
        <v>158.6</v>
      </c>
      <c r="M39" s="59">
        <v>175.3</v>
      </c>
      <c r="N39" s="59">
        <v>242.2</v>
      </c>
      <c r="O39" s="59">
        <v>188.9</v>
      </c>
      <c r="P39" s="59">
        <v>193.4</v>
      </c>
      <c r="Q39" s="59">
        <v>208.3</v>
      </c>
      <c r="R39" s="59">
        <v>292.39999999999998</v>
      </c>
      <c r="S39" s="59">
        <v>217.7</v>
      </c>
      <c r="T39" s="59">
        <v>241</v>
      </c>
      <c r="U39" s="59">
        <v>254.9</v>
      </c>
      <c r="V39" s="59">
        <v>349.8</v>
      </c>
      <c r="W39" s="59">
        <v>256.39999999999998</v>
      </c>
      <c r="X39" s="59">
        <v>260.39999999999998</v>
      </c>
      <c r="Y39" s="59">
        <v>266</v>
      </c>
      <c r="Z39" s="59">
        <v>362</v>
      </c>
      <c r="AA39" s="59">
        <v>263.39999999999998</v>
      </c>
      <c r="AB39" s="59">
        <v>283.60000000000002</v>
      </c>
      <c r="AC39" s="59">
        <v>297.10000000000002</v>
      </c>
      <c r="AD39" s="59">
        <v>406.3</v>
      </c>
      <c r="AE39" s="59">
        <v>305</v>
      </c>
      <c r="AF39" s="59">
        <v>327.3</v>
      </c>
      <c r="AG39" s="59">
        <v>340.9</v>
      </c>
      <c r="AH39" s="59">
        <v>498.9</v>
      </c>
      <c r="AI39" s="59">
        <v>360.6</v>
      </c>
      <c r="AJ39" s="59">
        <v>397.6</v>
      </c>
      <c r="AK39" s="59">
        <v>411.1</v>
      </c>
      <c r="AL39" s="59">
        <v>586.70000000000005</v>
      </c>
      <c r="AM39" s="59">
        <v>317.60000000000002</v>
      </c>
      <c r="AN39" s="59">
        <v>413.4</v>
      </c>
      <c r="AO39" s="59">
        <v>490.1</v>
      </c>
      <c r="AP39" s="59">
        <v>716.8</v>
      </c>
      <c r="AQ39" s="59">
        <v>526.20000000000005</v>
      </c>
      <c r="AR39" s="59">
        <v>607.9</v>
      </c>
      <c r="AS39" s="59">
        <v>621</v>
      </c>
      <c r="AT39" s="59">
        <v>892.9</v>
      </c>
      <c r="AU39" s="59">
        <v>743.1</v>
      </c>
      <c r="AV39" s="59">
        <v>812.9</v>
      </c>
      <c r="AW39" s="59">
        <v>818</v>
      </c>
      <c r="AX39" s="59">
        <v>1244.2</v>
      </c>
      <c r="AY39" s="59">
        <v>850</v>
      </c>
      <c r="AZ39" s="59">
        <v>910.7</v>
      </c>
      <c r="BA39" s="59">
        <v>947.6</v>
      </c>
      <c r="BB39" s="59">
        <v>1301.7</v>
      </c>
      <c r="BC39" s="59">
        <v>933.8</v>
      </c>
      <c r="BD39" s="59">
        <v>958.9</v>
      </c>
      <c r="BE39" s="59">
        <v>995.1</v>
      </c>
      <c r="BF39" s="59">
        <v>1429.5</v>
      </c>
      <c r="BG39" s="59">
        <v>987.5</v>
      </c>
      <c r="BH39" s="59">
        <v>1048</v>
      </c>
      <c r="BI39" s="59">
        <v>1140</v>
      </c>
      <c r="BJ39" s="59">
        <v>1642.9</v>
      </c>
      <c r="BS39" s="59">
        <f t="shared" ref="BS39:BS49" si="79">SUM(C39:F39)</f>
        <v>431.56999999999994</v>
      </c>
      <c r="BT39" s="59">
        <f t="shared" ref="BT39:BT49" si="80">SUM(G39:J39)</f>
        <v>607.5</v>
      </c>
      <c r="BU39" s="59">
        <f t="shared" ref="BU39:BU49" si="81">SUM(K39:N39)</f>
        <v>751.2</v>
      </c>
      <c r="BV39" s="59">
        <f t="shared" ref="BV39:BV49" si="82">SUM(O39:R39)</f>
        <v>883</v>
      </c>
      <c r="BW39" s="59">
        <f t="shared" ref="BW39:BW49" si="83">SUM(S39:V39)</f>
        <v>1063.4000000000001</v>
      </c>
      <c r="BX39" s="59">
        <f t="shared" ref="BX39:BX49" si="84">SUM(W39:Z39)</f>
        <v>1144.8</v>
      </c>
      <c r="BY39" s="59">
        <f t="shared" ref="BY39:BY49" si="85">SUM(AA39:AD39)</f>
        <v>1250.4000000000001</v>
      </c>
      <c r="BZ39" s="59">
        <f t="shared" ref="BZ39:BZ49" si="86">SUM(AE39:AH39)</f>
        <v>1472.1</v>
      </c>
      <c r="CA39" s="59">
        <f t="shared" ref="CA39:CA49" si="87">SUM(AI39:AL39)</f>
        <v>1756.0000000000002</v>
      </c>
      <c r="CB39" s="59">
        <f t="shared" ref="CB39:CB49" si="88">SUM(AM39:AP39)</f>
        <v>1937.8999999999999</v>
      </c>
      <c r="CC39" s="59">
        <f t="shared" ref="CC39:CC49" si="89">SUM(AQ39:AT39)</f>
        <v>2648</v>
      </c>
      <c r="CD39" s="59">
        <f t="shared" ref="CD39:CD49" si="90">SUM(AU39:AX39)</f>
        <v>3618.2</v>
      </c>
      <c r="CE39" s="59">
        <f t="shared" ref="CE39:CE49" si="91">SUM(AY39:BB39)</f>
        <v>4010</v>
      </c>
      <c r="CF39" s="59">
        <f t="shared" ref="CF39:CF49" si="92">SUM(BC39:BF39)</f>
        <v>4317.2999999999993</v>
      </c>
      <c r="CG39" s="59">
        <f t="shared" si="77"/>
        <v>4818.3999999999996</v>
      </c>
      <c r="CH39" s="65">
        <f>CH38*(1-CH51)</f>
        <v>5061.7540357800008</v>
      </c>
      <c r="CI39" s="65">
        <f t="shared" ref="CI39:CQ39" si="93">CI38*(1-CI51)</f>
        <v>5266.4320256976007</v>
      </c>
      <c r="CJ39" s="65">
        <f t="shared" si="93"/>
        <v>5534.6840239833891</v>
      </c>
      <c r="CK39" s="65">
        <f t="shared" si="93"/>
        <v>5830.009522612203</v>
      </c>
      <c r="CL39" s="65">
        <f t="shared" si="93"/>
        <v>6053.6487594650098</v>
      </c>
      <c r="CM39" s="65">
        <f t="shared" si="93"/>
        <v>6277.9161600676589</v>
      </c>
      <c r="CN39" s="65">
        <f t="shared" si="93"/>
        <v>6488.3238552167559</v>
      </c>
      <c r="CO39" s="65">
        <f t="shared" si="93"/>
        <v>6682.6845133632851</v>
      </c>
      <c r="CP39" s="65">
        <f t="shared" si="93"/>
        <v>6858.9087375655745</v>
      </c>
      <c r="CQ39" s="65">
        <f t="shared" si="93"/>
        <v>7055.0926476952764</v>
      </c>
    </row>
    <row r="40" spans="2:147">
      <c r="B40" s="1" t="s">
        <v>114</v>
      </c>
      <c r="C40" s="59">
        <f>C38-C39</f>
        <v>109.70000000000002</v>
      </c>
      <c r="D40" s="59">
        <f t="shared" ref="D40:AL40" si="94">D38-D39</f>
        <v>121.7</v>
      </c>
      <c r="E40" s="59">
        <f t="shared" si="94"/>
        <v>128.5</v>
      </c>
      <c r="F40" s="59">
        <f t="shared" si="94"/>
        <v>209.04999999999998</v>
      </c>
      <c r="G40" s="59">
        <f t="shared" si="94"/>
        <v>157.29999999999998</v>
      </c>
      <c r="H40" s="59">
        <f t="shared" si="94"/>
        <v>155.70000000000002</v>
      </c>
      <c r="I40" s="59">
        <f t="shared" si="94"/>
        <v>175.3</v>
      </c>
      <c r="J40" s="59">
        <f t="shared" si="94"/>
        <v>274.5</v>
      </c>
      <c r="K40" s="59">
        <f t="shared" si="94"/>
        <v>170.70000000000002</v>
      </c>
      <c r="L40" s="59">
        <f t="shared" si="94"/>
        <v>185.9</v>
      </c>
      <c r="M40" s="59">
        <f t="shared" si="94"/>
        <v>204.59999999999997</v>
      </c>
      <c r="N40" s="59">
        <f t="shared" si="94"/>
        <v>278.8</v>
      </c>
      <c r="O40" s="59">
        <f t="shared" si="94"/>
        <v>195.70000000000002</v>
      </c>
      <c r="P40" s="59">
        <f t="shared" si="94"/>
        <v>197.29999999999998</v>
      </c>
      <c r="Q40" s="59">
        <f t="shared" si="94"/>
        <v>211.09999999999997</v>
      </c>
      <c r="R40" s="59">
        <f t="shared" si="94"/>
        <v>310.10000000000002</v>
      </c>
      <c r="S40" s="59">
        <f t="shared" si="94"/>
        <v>205.8</v>
      </c>
      <c r="T40" s="59">
        <f t="shared" si="94"/>
        <v>212</v>
      </c>
      <c r="U40" s="59">
        <f t="shared" si="94"/>
        <v>224.79999999999998</v>
      </c>
      <c r="V40" s="59">
        <f t="shared" si="94"/>
        <v>354.49999999999994</v>
      </c>
      <c r="W40" s="59">
        <f t="shared" si="94"/>
        <v>239.10000000000002</v>
      </c>
      <c r="X40" s="59">
        <f t="shared" si="94"/>
        <v>254.10000000000002</v>
      </c>
      <c r="Y40" s="59">
        <f t="shared" si="94"/>
        <v>278.39999999999998</v>
      </c>
      <c r="Z40" s="59">
        <f t="shared" si="94"/>
        <v>427.9</v>
      </c>
      <c r="AA40" s="59">
        <f t="shared" si="94"/>
        <v>256.89999999999998</v>
      </c>
      <c r="AB40" s="59">
        <f t="shared" si="94"/>
        <v>297.5</v>
      </c>
      <c r="AC40" s="59">
        <f t="shared" si="94"/>
        <v>321.89999999999998</v>
      </c>
      <c r="AD40" s="59">
        <f t="shared" si="94"/>
        <v>522.5</v>
      </c>
      <c r="AE40" s="59">
        <f t="shared" si="94"/>
        <v>344.70000000000005</v>
      </c>
      <c r="AF40" s="59">
        <f t="shared" si="94"/>
        <v>396.2</v>
      </c>
      <c r="AG40" s="59">
        <f t="shared" si="94"/>
        <v>406.80000000000007</v>
      </c>
      <c r="AH40" s="59">
        <f t="shared" si="94"/>
        <v>668.6</v>
      </c>
      <c r="AI40" s="59">
        <f t="shared" si="94"/>
        <v>421.69999999999993</v>
      </c>
      <c r="AJ40" s="59">
        <f t="shared" si="94"/>
        <v>485.79999999999995</v>
      </c>
      <c r="AK40" s="59">
        <f t="shared" si="94"/>
        <v>505</v>
      </c>
      <c r="AL40" s="59">
        <f t="shared" si="94"/>
        <v>810.8</v>
      </c>
      <c r="AM40" s="59">
        <f t="shared" ref="AM40:BF40" si="95">AM38-AM39</f>
        <v>334.35800000000006</v>
      </c>
      <c r="AN40" s="59">
        <f t="shared" si="95"/>
        <v>489.54200000000003</v>
      </c>
      <c r="AO40" s="59">
        <f t="shared" si="95"/>
        <v>627.322</v>
      </c>
      <c r="AP40" s="59">
        <f t="shared" si="95"/>
        <v>1012.7570000000001</v>
      </c>
      <c r="AQ40" s="59">
        <f t="shared" si="95"/>
        <v>700.26499999999987</v>
      </c>
      <c r="AR40" s="59">
        <f t="shared" si="95"/>
        <v>842.71500000000003</v>
      </c>
      <c r="AS40" s="59">
        <f t="shared" si="95"/>
        <v>829.41799999999989</v>
      </c>
      <c r="AT40" s="59">
        <f t="shared" si="95"/>
        <v>1236.2189999999996</v>
      </c>
      <c r="AU40" s="59">
        <f t="shared" si="95"/>
        <v>870.35800000000006</v>
      </c>
      <c r="AV40" s="59">
        <f t="shared" si="95"/>
        <v>1055.4279999999999</v>
      </c>
      <c r="AW40" s="59">
        <f t="shared" si="95"/>
        <v>1038.885</v>
      </c>
      <c r="AX40" s="59">
        <f t="shared" si="95"/>
        <v>1527.6469999999997</v>
      </c>
      <c r="AY40" s="59">
        <f t="shared" si="95"/>
        <v>1150.7919999999999</v>
      </c>
      <c r="AZ40" s="59">
        <f t="shared" si="95"/>
        <v>1298.45</v>
      </c>
      <c r="BA40" s="59">
        <f t="shared" si="95"/>
        <v>1256.6080000000002</v>
      </c>
      <c r="BB40" s="59">
        <f t="shared" si="95"/>
        <v>1903.4199999999998</v>
      </c>
      <c r="BC40" s="59">
        <f t="shared" si="95"/>
        <v>1275.088</v>
      </c>
      <c r="BD40" s="59">
        <f t="shared" si="95"/>
        <v>1412.1759999999999</v>
      </c>
      <c r="BE40" s="59">
        <f t="shared" si="95"/>
        <v>1401.5500000000002</v>
      </c>
      <c r="BF40" s="59">
        <f t="shared" si="95"/>
        <v>2182.0120000000002</v>
      </c>
      <c r="BG40" s="59">
        <f>BG38-BG39</f>
        <v>1383.1599999999999</v>
      </c>
      <c r="BH40" s="59">
        <f>BH38-BH39</f>
        <v>1477.21</v>
      </c>
      <c r="BI40" s="59">
        <f>BI38-BI39</f>
        <v>1425.9169999999999</v>
      </c>
      <c r="BJ40" s="59">
        <f t="shared" ref="BJ40" si="96">BJ38-BJ39</f>
        <v>1997.8929999999996</v>
      </c>
      <c r="BS40" s="59">
        <f t="shared" si="79"/>
        <v>568.95000000000005</v>
      </c>
      <c r="BT40" s="59">
        <f t="shared" si="80"/>
        <v>762.8</v>
      </c>
      <c r="BU40" s="59">
        <f t="shared" si="81"/>
        <v>840</v>
      </c>
      <c r="BV40" s="59">
        <f t="shared" si="82"/>
        <v>914.19999999999993</v>
      </c>
      <c r="BW40" s="59">
        <f t="shared" si="83"/>
        <v>997.09999999999991</v>
      </c>
      <c r="BX40" s="59">
        <f t="shared" si="84"/>
        <v>1199.5</v>
      </c>
      <c r="BY40" s="59">
        <f t="shared" si="85"/>
        <v>1398.8</v>
      </c>
      <c r="BZ40" s="59">
        <f t="shared" si="86"/>
        <v>1816.3000000000002</v>
      </c>
      <c r="CA40" s="59">
        <f t="shared" si="87"/>
        <v>2223.3000000000002</v>
      </c>
      <c r="CB40" s="59">
        <f t="shared" si="88"/>
        <v>2463.9790000000003</v>
      </c>
      <c r="CC40" s="59">
        <f t="shared" si="89"/>
        <v>3608.6169999999997</v>
      </c>
      <c r="CD40" s="59">
        <f t="shared" si="90"/>
        <v>4492.3180000000002</v>
      </c>
      <c r="CE40" s="59">
        <f t="shared" si="91"/>
        <v>5609.27</v>
      </c>
      <c r="CF40" s="59">
        <f t="shared" si="92"/>
        <v>6270.8260000000009</v>
      </c>
      <c r="CG40" s="59">
        <f t="shared" si="77"/>
        <v>6284.18</v>
      </c>
      <c r="CH40" s="65">
        <f>CH38-CH39</f>
        <v>6547.7735692199985</v>
      </c>
      <c r="CI40" s="65">
        <f t="shared" ref="CI40:CQ40" si="97">CI38-CI39</f>
        <v>6924.3828486023995</v>
      </c>
      <c r="CJ40" s="65">
        <f t="shared" si="97"/>
        <v>7306.8102311984858</v>
      </c>
      <c r="CK40" s="65">
        <f t="shared" si="97"/>
        <v>7728.1521578812917</v>
      </c>
      <c r="CL40" s="65">
        <f t="shared" si="97"/>
        <v>8190.2306745703063</v>
      </c>
      <c r="CM40" s="65">
        <f t="shared" si="97"/>
        <v>8669.5032686648592</v>
      </c>
      <c r="CN40" s="65">
        <f t="shared" si="97"/>
        <v>9146.1914585585582</v>
      </c>
      <c r="CO40" s="65">
        <f t="shared" si="97"/>
        <v>9616.5460070349709</v>
      </c>
      <c r="CP40" s="65">
        <f t="shared" si="97"/>
        <v>10076.668392225967</v>
      </c>
      <c r="CQ40" s="65">
        <f t="shared" si="97"/>
        <v>10473.087843473113</v>
      </c>
    </row>
    <row r="41" spans="2:147">
      <c r="B41" s="1" t="s">
        <v>1490</v>
      </c>
      <c r="C41" s="59">
        <v>58</v>
      </c>
      <c r="D41" s="59">
        <v>63</v>
      </c>
      <c r="E41" s="59">
        <v>68.8</v>
      </c>
      <c r="F41" s="59">
        <v>92.97</v>
      </c>
      <c r="G41" s="59">
        <v>84.2</v>
      </c>
      <c r="H41" s="59">
        <v>85.6</v>
      </c>
      <c r="I41" s="59">
        <v>94.7</v>
      </c>
      <c r="J41" s="59">
        <v>121.9</v>
      </c>
      <c r="K41" s="59">
        <v>104.8</v>
      </c>
      <c r="L41" s="59">
        <v>107</v>
      </c>
      <c r="M41" s="59">
        <v>112.3</v>
      </c>
      <c r="N41" s="59">
        <v>124.6</v>
      </c>
      <c r="O41" s="59">
        <v>125.9</v>
      </c>
      <c r="P41" s="59">
        <v>129.4</v>
      </c>
      <c r="Q41" s="59">
        <v>129.9</v>
      </c>
      <c r="R41" s="59">
        <v>152.9</v>
      </c>
      <c r="S41" s="59">
        <v>137.80000000000001</v>
      </c>
      <c r="T41" s="59">
        <v>145.4</v>
      </c>
      <c r="U41" s="59">
        <v>156.6</v>
      </c>
      <c r="V41" s="59">
        <v>188.2</v>
      </c>
      <c r="W41" s="59">
        <v>181.5</v>
      </c>
      <c r="X41" s="59">
        <v>180.2</v>
      </c>
      <c r="Y41" s="59">
        <v>185.5</v>
      </c>
      <c r="Z41" s="59">
        <v>231.3</v>
      </c>
      <c r="AA41" s="59">
        <v>199.1</v>
      </c>
      <c r="AB41" s="59">
        <v>225.5</v>
      </c>
      <c r="AC41" s="59">
        <v>215.4</v>
      </c>
      <c r="AD41" s="59">
        <v>264.2</v>
      </c>
      <c r="AE41" s="59">
        <v>240.4</v>
      </c>
      <c r="AF41" s="59">
        <v>262</v>
      </c>
      <c r="AG41" s="59">
        <v>270.89999999999998</v>
      </c>
      <c r="AH41" s="59">
        <v>337.1</v>
      </c>
      <c r="AI41" s="59">
        <v>292.89999999999998</v>
      </c>
      <c r="AJ41" s="59">
        <v>317.8</v>
      </c>
      <c r="AK41" s="59">
        <v>329.2</v>
      </c>
      <c r="AL41" s="59">
        <v>394.3</v>
      </c>
      <c r="AM41" s="59">
        <v>299.60000000000002</v>
      </c>
      <c r="AN41" s="59">
        <v>352.9</v>
      </c>
      <c r="AO41" s="59">
        <v>411.7</v>
      </c>
      <c r="AP41" s="59">
        <v>544.79999999999995</v>
      </c>
      <c r="AQ41" s="59">
        <v>496.6</v>
      </c>
      <c r="AR41" s="59">
        <v>541.29999999999995</v>
      </c>
      <c r="AS41" s="59">
        <v>545.1</v>
      </c>
      <c r="AT41" s="59">
        <v>642</v>
      </c>
      <c r="AU41" s="59">
        <v>607.9</v>
      </c>
      <c r="AV41" s="59">
        <v>662.3</v>
      </c>
      <c r="AW41" s="59">
        <v>684.2</v>
      </c>
      <c r="AX41" s="59">
        <v>803.1</v>
      </c>
      <c r="AY41" s="59">
        <v>747.5</v>
      </c>
      <c r="AZ41" s="59">
        <v>817.4</v>
      </c>
      <c r="BA41" s="59">
        <v>842.8</v>
      </c>
      <c r="BB41" s="59">
        <v>989.5</v>
      </c>
      <c r="BC41" s="59">
        <v>842.4</v>
      </c>
      <c r="BD41" s="59">
        <v>872</v>
      </c>
      <c r="BE41" s="59">
        <v>909.8</v>
      </c>
      <c r="BF41" s="59">
        <v>1138.2</v>
      </c>
      <c r="BG41" s="59">
        <v>942.9</v>
      </c>
      <c r="BH41" s="59">
        <v>951.7</v>
      </c>
      <c r="BI41" s="59">
        <v>988.25</v>
      </c>
      <c r="BJ41" s="59">
        <v>1183.8</v>
      </c>
      <c r="BS41" s="59">
        <f t="shared" si="79"/>
        <v>282.77</v>
      </c>
      <c r="BT41" s="59">
        <f t="shared" si="80"/>
        <v>386.4</v>
      </c>
      <c r="BU41" s="59">
        <f t="shared" si="81"/>
        <v>448.70000000000005</v>
      </c>
      <c r="BV41" s="59">
        <f t="shared" si="82"/>
        <v>538.1</v>
      </c>
      <c r="BW41" s="59">
        <f t="shared" si="83"/>
        <v>628</v>
      </c>
      <c r="BX41" s="59">
        <f t="shared" si="84"/>
        <v>778.5</v>
      </c>
      <c r="BY41" s="59">
        <f t="shared" si="85"/>
        <v>904.2</v>
      </c>
      <c r="BZ41" s="59">
        <f t="shared" si="86"/>
        <v>1110.4000000000001</v>
      </c>
      <c r="CA41" s="59">
        <f t="shared" si="87"/>
        <v>1334.2</v>
      </c>
      <c r="CB41" s="59">
        <f t="shared" si="88"/>
        <v>1609</v>
      </c>
      <c r="CC41" s="59">
        <f t="shared" si="89"/>
        <v>2225</v>
      </c>
      <c r="CD41" s="59">
        <f t="shared" si="90"/>
        <v>2757.5</v>
      </c>
      <c r="CE41" s="59">
        <f t="shared" si="91"/>
        <v>3397.2</v>
      </c>
      <c r="CF41" s="59">
        <f t="shared" si="92"/>
        <v>3762.3999999999996</v>
      </c>
      <c r="CG41" s="59">
        <f t="shared" si="77"/>
        <v>4066.6499999999996</v>
      </c>
      <c r="CH41" s="65">
        <f>CH38*CH52</f>
        <v>4208.4537568124997</v>
      </c>
      <c r="CI41" s="65">
        <f t="shared" ref="CI41:CQ41" si="98">CI38*CI52</f>
        <v>4388.6933547480003</v>
      </c>
      <c r="CJ41" s="65">
        <f t="shared" si="98"/>
        <v>4494.5229893136557</v>
      </c>
      <c r="CK41" s="65">
        <f t="shared" si="98"/>
        <v>4474.1933545628535</v>
      </c>
      <c r="CL41" s="65">
        <f t="shared" si="98"/>
        <v>4664.8705146465663</v>
      </c>
      <c r="CM41" s="65">
        <f t="shared" si="98"/>
        <v>4857.9113143380691</v>
      </c>
      <c r="CN41" s="65">
        <f t="shared" si="98"/>
        <v>5042.1311886925396</v>
      </c>
      <c r="CO41" s="65">
        <f t="shared" si="98"/>
        <v>5215.7537665274422</v>
      </c>
      <c r="CP41" s="65">
        <f t="shared" si="98"/>
        <v>5419.3846815332936</v>
      </c>
      <c r="CQ41" s="65">
        <f t="shared" si="98"/>
        <v>5609.017757173885</v>
      </c>
    </row>
    <row r="42" spans="2:147">
      <c r="B42" s="1" t="s">
        <v>1491</v>
      </c>
      <c r="C42" s="59"/>
      <c r="D42" s="59">
        <v>0</v>
      </c>
      <c r="E42" s="59">
        <v>0</v>
      </c>
      <c r="F42" s="59">
        <v>1</v>
      </c>
      <c r="G42" s="59">
        <v>0</v>
      </c>
      <c r="H42" s="59">
        <v>0</v>
      </c>
      <c r="I42" s="59">
        <v>0</v>
      </c>
      <c r="J42" s="59">
        <v>0</v>
      </c>
      <c r="K42" s="59">
        <v>0</v>
      </c>
      <c r="L42" s="59">
        <v>0</v>
      </c>
      <c r="M42" s="59">
        <v>0</v>
      </c>
      <c r="N42" s="59">
        <v>0</v>
      </c>
      <c r="O42" s="59">
        <v>0</v>
      </c>
      <c r="P42" s="59">
        <v>1</v>
      </c>
      <c r="Q42" s="59">
        <v>1</v>
      </c>
      <c r="R42" s="59">
        <v>0</v>
      </c>
      <c r="S42" s="59">
        <v>0</v>
      </c>
      <c r="T42" s="59">
        <v>0</v>
      </c>
      <c r="U42" s="59">
        <v>0</v>
      </c>
      <c r="V42" s="59">
        <v>0</v>
      </c>
      <c r="W42" s="59">
        <v>0</v>
      </c>
      <c r="X42" s="59">
        <v>0</v>
      </c>
      <c r="Y42" s="59">
        <v>0</v>
      </c>
      <c r="Z42" s="59">
        <v>0</v>
      </c>
      <c r="AA42" s="59">
        <v>13</v>
      </c>
      <c r="AB42" s="59">
        <v>4</v>
      </c>
      <c r="AC42" s="59">
        <v>22</v>
      </c>
      <c r="AD42" s="59">
        <v>3</v>
      </c>
      <c r="AE42" s="59">
        <v>0</v>
      </c>
      <c r="AF42" s="59">
        <v>0</v>
      </c>
      <c r="AG42" s="59">
        <v>0</v>
      </c>
      <c r="AH42" s="59">
        <v>1</v>
      </c>
      <c r="AI42" s="59">
        <v>0</v>
      </c>
      <c r="AJ42" s="59">
        <v>0</v>
      </c>
      <c r="AK42" s="59">
        <v>0</v>
      </c>
      <c r="AL42" s="59">
        <v>0</v>
      </c>
      <c r="AM42" s="59">
        <v>3</v>
      </c>
      <c r="AN42" s="59">
        <v>13</v>
      </c>
      <c r="AO42" s="59">
        <v>11</v>
      </c>
      <c r="AP42" s="59">
        <v>10</v>
      </c>
      <c r="AQ42" s="59">
        <v>11</v>
      </c>
      <c r="AR42" s="59">
        <v>10</v>
      </c>
      <c r="AS42" s="59">
        <v>27</v>
      </c>
      <c r="AT42" s="59">
        <v>3</v>
      </c>
      <c r="AU42" s="59">
        <v>2</v>
      </c>
      <c r="AV42" s="59">
        <v>-8</v>
      </c>
      <c r="AW42" s="59">
        <v>1</v>
      </c>
      <c r="AX42" s="59">
        <v>411</v>
      </c>
      <c r="AY42" s="59">
        <v>2</v>
      </c>
      <c r="AZ42" s="59">
        <v>2</v>
      </c>
      <c r="BA42" s="59">
        <v>76</v>
      </c>
      <c r="BB42" s="59">
        <v>0</v>
      </c>
      <c r="BC42" s="59">
        <v>0</v>
      </c>
      <c r="BD42" s="59">
        <v>0</v>
      </c>
      <c r="BE42" s="59">
        <v>1</v>
      </c>
      <c r="BF42" s="59">
        <v>2</v>
      </c>
      <c r="BG42" s="59">
        <v>2</v>
      </c>
      <c r="BH42" s="59">
        <v>2</v>
      </c>
      <c r="BI42" s="59">
        <v>1.776</v>
      </c>
      <c r="BJ42" s="59">
        <v>2</v>
      </c>
      <c r="BS42" s="59">
        <f t="shared" si="79"/>
        <v>1</v>
      </c>
      <c r="BT42" s="59">
        <f t="shared" si="80"/>
        <v>0</v>
      </c>
      <c r="BU42" s="59">
        <f t="shared" si="81"/>
        <v>0</v>
      </c>
      <c r="BV42" s="59">
        <f t="shared" si="82"/>
        <v>2</v>
      </c>
      <c r="BW42" s="59">
        <f t="shared" si="83"/>
        <v>0</v>
      </c>
      <c r="BX42" s="59">
        <f t="shared" si="84"/>
        <v>0</v>
      </c>
      <c r="BY42" s="59">
        <f t="shared" si="85"/>
        <v>42</v>
      </c>
      <c r="BZ42" s="59">
        <f t="shared" si="86"/>
        <v>1</v>
      </c>
      <c r="CA42" s="59">
        <f t="shared" si="87"/>
        <v>0</v>
      </c>
      <c r="CB42" s="59">
        <f t="shared" si="88"/>
        <v>37</v>
      </c>
      <c r="CC42" s="59">
        <f t="shared" si="89"/>
        <v>51</v>
      </c>
      <c r="CD42" s="59">
        <f t="shared" si="90"/>
        <v>406</v>
      </c>
      <c r="CE42" s="59">
        <f t="shared" si="91"/>
        <v>80</v>
      </c>
      <c r="CF42" s="59">
        <f t="shared" si="92"/>
        <v>3</v>
      </c>
      <c r="CG42" s="59">
        <f t="shared" si="77"/>
        <v>7.7759999999999998</v>
      </c>
      <c r="CH42" s="35">
        <v>0</v>
      </c>
      <c r="CI42" s="35">
        <v>0</v>
      </c>
      <c r="CJ42" s="35">
        <v>0</v>
      </c>
      <c r="CK42" s="35">
        <v>0</v>
      </c>
      <c r="CL42" s="35">
        <v>0</v>
      </c>
      <c r="CM42" s="35">
        <v>0</v>
      </c>
      <c r="CN42" s="35">
        <v>0</v>
      </c>
      <c r="CO42" s="35">
        <v>0</v>
      </c>
      <c r="CP42" s="35">
        <v>0</v>
      </c>
      <c r="CQ42" s="35">
        <v>0</v>
      </c>
    </row>
    <row r="43" spans="2:147">
      <c r="B43" s="1" t="s">
        <v>1492</v>
      </c>
      <c r="C43" s="59">
        <f t="shared" ref="C43:AL43" si="99">C40-SUM(C41:C42)</f>
        <v>51.700000000000017</v>
      </c>
      <c r="D43" s="59">
        <f t="shared" si="99"/>
        <v>58.7</v>
      </c>
      <c r="E43" s="59">
        <f t="shared" si="99"/>
        <v>59.7</v>
      </c>
      <c r="F43" s="59">
        <f t="shared" si="99"/>
        <v>115.07999999999998</v>
      </c>
      <c r="G43" s="59">
        <f t="shared" si="99"/>
        <v>73.09999999999998</v>
      </c>
      <c r="H43" s="59">
        <f t="shared" si="99"/>
        <v>70.100000000000023</v>
      </c>
      <c r="I43" s="59">
        <f t="shared" si="99"/>
        <v>80.600000000000009</v>
      </c>
      <c r="J43" s="59">
        <f t="shared" si="99"/>
        <v>152.6</v>
      </c>
      <c r="K43" s="59">
        <f t="shared" si="99"/>
        <v>65.90000000000002</v>
      </c>
      <c r="L43" s="59">
        <f t="shared" si="99"/>
        <v>78.900000000000006</v>
      </c>
      <c r="M43" s="59">
        <f t="shared" si="99"/>
        <v>92.299999999999969</v>
      </c>
      <c r="N43" s="59">
        <f t="shared" si="99"/>
        <v>154.20000000000002</v>
      </c>
      <c r="O43" s="59">
        <f t="shared" si="99"/>
        <v>69.800000000000011</v>
      </c>
      <c r="P43" s="59">
        <f t="shared" si="99"/>
        <v>66.899999999999977</v>
      </c>
      <c r="Q43" s="59">
        <f t="shared" si="99"/>
        <v>80.19999999999996</v>
      </c>
      <c r="R43" s="59">
        <f t="shared" si="99"/>
        <v>157.20000000000002</v>
      </c>
      <c r="S43" s="59">
        <f t="shared" si="99"/>
        <v>68</v>
      </c>
      <c r="T43" s="59">
        <f t="shared" si="99"/>
        <v>66.599999999999994</v>
      </c>
      <c r="U43" s="59">
        <f t="shared" si="99"/>
        <v>68.199999999999989</v>
      </c>
      <c r="V43" s="59">
        <f t="shared" si="99"/>
        <v>166.29999999999995</v>
      </c>
      <c r="W43" s="59">
        <f t="shared" si="99"/>
        <v>57.600000000000023</v>
      </c>
      <c r="X43" s="59">
        <f t="shared" si="99"/>
        <v>73.900000000000034</v>
      </c>
      <c r="Y43" s="59">
        <f t="shared" si="99"/>
        <v>92.899999999999977</v>
      </c>
      <c r="Z43" s="59">
        <f t="shared" si="99"/>
        <v>196.59999999999997</v>
      </c>
      <c r="AA43" s="59">
        <f t="shared" si="99"/>
        <v>44.799999999999983</v>
      </c>
      <c r="AB43" s="59">
        <f t="shared" si="99"/>
        <v>68</v>
      </c>
      <c r="AC43" s="59">
        <f t="shared" si="99"/>
        <v>84.499999999999972</v>
      </c>
      <c r="AD43" s="59">
        <f t="shared" si="99"/>
        <v>255.3</v>
      </c>
      <c r="AE43" s="59">
        <f t="shared" si="99"/>
        <v>104.30000000000004</v>
      </c>
      <c r="AF43" s="59">
        <f t="shared" si="99"/>
        <v>134.19999999999999</v>
      </c>
      <c r="AG43" s="59">
        <f t="shared" si="99"/>
        <v>135.90000000000009</v>
      </c>
      <c r="AH43" s="59">
        <f t="shared" si="99"/>
        <v>330.5</v>
      </c>
      <c r="AI43" s="59">
        <f t="shared" si="99"/>
        <v>128.79999999999995</v>
      </c>
      <c r="AJ43" s="59">
        <f t="shared" si="99"/>
        <v>167.99999999999994</v>
      </c>
      <c r="AK43" s="59">
        <f t="shared" si="99"/>
        <v>175.8</v>
      </c>
      <c r="AL43" s="59">
        <f t="shared" si="99"/>
        <v>416.49999999999994</v>
      </c>
      <c r="AM43" s="59">
        <f>AM40-SUM(AM41:AM42)</f>
        <v>31.758000000000038</v>
      </c>
      <c r="AN43" s="59">
        <f t="shared" ref="AN43:BH43" si="100">AN40-SUM(AN41:AN42)</f>
        <v>123.64200000000005</v>
      </c>
      <c r="AO43" s="59">
        <f t="shared" si="100"/>
        <v>204.62200000000001</v>
      </c>
      <c r="AP43" s="59">
        <f t="shared" si="100"/>
        <v>457.95700000000011</v>
      </c>
      <c r="AQ43" s="59">
        <f t="shared" si="100"/>
        <v>192.66499999999985</v>
      </c>
      <c r="AR43" s="59">
        <f t="shared" si="100"/>
        <v>291.41500000000008</v>
      </c>
      <c r="AS43" s="59">
        <f t="shared" si="100"/>
        <v>257.31799999999987</v>
      </c>
      <c r="AT43" s="59">
        <f t="shared" si="100"/>
        <v>591.2189999999996</v>
      </c>
      <c r="AU43" s="59">
        <f t="shared" si="100"/>
        <v>260.45800000000008</v>
      </c>
      <c r="AV43" s="59">
        <f t="shared" si="100"/>
        <v>401.12799999999993</v>
      </c>
      <c r="AW43" s="59">
        <f t="shared" si="100"/>
        <v>353.68499999999995</v>
      </c>
      <c r="AX43" s="59">
        <f t="shared" si="100"/>
        <v>313.5469999999998</v>
      </c>
      <c r="AY43" s="59">
        <f t="shared" si="100"/>
        <v>401.29199999999992</v>
      </c>
      <c r="AZ43" s="59">
        <f t="shared" si="100"/>
        <v>479.05000000000007</v>
      </c>
      <c r="BA43" s="59">
        <f t="shared" si="100"/>
        <v>337.80800000000022</v>
      </c>
      <c r="BB43" s="59">
        <f t="shared" si="100"/>
        <v>913.91999999999985</v>
      </c>
      <c r="BC43" s="59">
        <f t="shared" si="100"/>
        <v>432.68799999999999</v>
      </c>
      <c r="BD43" s="59">
        <f t="shared" si="100"/>
        <v>540.17599999999993</v>
      </c>
      <c r="BE43" s="59">
        <f t="shared" si="100"/>
        <v>490.75000000000023</v>
      </c>
      <c r="BF43" s="59">
        <f t="shared" si="100"/>
        <v>1041.8120000000001</v>
      </c>
      <c r="BG43" s="59">
        <f t="shared" si="100"/>
        <v>438.25999999999988</v>
      </c>
      <c r="BH43" s="59">
        <f t="shared" si="100"/>
        <v>523.51</v>
      </c>
      <c r="BI43" s="59">
        <f t="shared" ref="BI43:BJ43" si="101">BI40-SUM(BI41:BI42)</f>
        <v>435.89099999999996</v>
      </c>
      <c r="BJ43" s="59">
        <f t="shared" si="101"/>
        <v>812.09299999999962</v>
      </c>
      <c r="BS43" s="59">
        <f t="shared" si="79"/>
        <v>285.18</v>
      </c>
      <c r="BT43" s="59">
        <f t="shared" si="80"/>
        <v>376.4</v>
      </c>
      <c r="BU43" s="59">
        <f t="shared" si="81"/>
        <v>391.29999999999995</v>
      </c>
      <c r="BV43" s="59">
        <f t="shared" si="82"/>
        <v>374.09999999999997</v>
      </c>
      <c r="BW43" s="59">
        <f t="shared" si="83"/>
        <v>369.09999999999991</v>
      </c>
      <c r="BX43" s="59">
        <f t="shared" si="84"/>
        <v>421</v>
      </c>
      <c r="BY43" s="59">
        <f t="shared" si="85"/>
        <v>452.59999999999997</v>
      </c>
      <c r="BZ43" s="59">
        <f t="shared" si="86"/>
        <v>704.90000000000009</v>
      </c>
      <c r="CA43" s="59">
        <f t="shared" si="87"/>
        <v>889.09999999999991</v>
      </c>
      <c r="CB43" s="59">
        <f t="shared" si="88"/>
        <v>817.97900000000027</v>
      </c>
      <c r="CC43" s="59">
        <f t="shared" si="89"/>
        <v>1332.6169999999993</v>
      </c>
      <c r="CD43" s="59">
        <f t="shared" si="90"/>
        <v>1328.8179999999998</v>
      </c>
      <c r="CE43" s="59">
        <f t="shared" si="91"/>
        <v>2132.0699999999997</v>
      </c>
      <c r="CF43" s="59">
        <f t="shared" si="92"/>
        <v>2505.4260000000004</v>
      </c>
      <c r="CG43" s="59">
        <f t="shared" si="77"/>
        <v>2209.7539999999995</v>
      </c>
      <c r="CH43" s="65">
        <f>CH40-SUM(CH41:CH42)</f>
        <v>2339.3198124074988</v>
      </c>
      <c r="CI43" s="65">
        <f t="shared" ref="CI43:CQ43" si="102">CI40-SUM(CI41:CI42)</f>
        <v>2535.6894938543992</v>
      </c>
      <c r="CJ43" s="65">
        <f t="shared" si="102"/>
        <v>2812.2872418848301</v>
      </c>
      <c r="CK43" s="65">
        <f t="shared" si="102"/>
        <v>3253.9588033184382</v>
      </c>
      <c r="CL43" s="65">
        <f t="shared" si="102"/>
        <v>3525.36015992374</v>
      </c>
      <c r="CM43" s="65">
        <f t="shared" si="102"/>
        <v>3811.5919543267901</v>
      </c>
      <c r="CN43" s="65">
        <f t="shared" si="102"/>
        <v>4104.0602698660186</v>
      </c>
      <c r="CO43" s="65">
        <f t="shared" si="102"/>
        <v>4400.7922405075287</v>
      </c>
      <c r="CP43" s="65">
        <f t="shared" si="102"/>
        <v>4657.2837106926736</v>
      </c>
      <c r="CQ43" s="65">
        <f t="shared" si="102"/>
        <v>4864.070086299228</v>
      </c>
    </row>
    <row r="44" spans="2:147">
      <c r="B44" s="1" t="s">
        <v>1493</v>
      </c>
      <c r="C44" s="59">
        <v>0.9</v>
      </c>
      <c r="D44" s="59">
        <v>1</v>
      </c>
      <c r="E44" s="59">
        <v>0.6</v>
      </c>
      <c r="F44" s="59">
        <v>1.6</v>
      </c>
      <c r="G44" s="59">
        <v>0.9</v>
      </c>
      <c r="H44" s="59">
        <v>1.2</v>
      </c>
      <c r="I44" s="59">
        <v>1.4</v>
      </c>
      <c r="J44" s="59">
        <v>1.5</v>
      </c>
      <c r="K44" s="59">
        <v>1.5</v>
      </c>
      <c r="L44" s="59">
        <v>1.3</v>
      </c>
      <c r="M44" s="59">
        <v>1.5</v>
      </c>
      <c r="N44" s="59">
        <v>1.5</v>
      </c>
      <c r="O44" s="59">
        <v>1.6</v>
      </c>
      <c r="P44" s="59">
        <v>1.9</v>
      </c>
      <c r="Q44" s="59">
        <v>1.8</v>
      </c>
      <c r="R44" s="59">
        <v>1.8</v>
      </c>
      <c r="S44" s="59">
        <v>0.5</v>
      </c>
      <c r="T44" s="59">
        <v>0.8</v>
      </c>
      <c r="U44" s="59">
        <v>-2.9</v>
      </c>
      <c r="V44" s="59">
        <v>0.9</v>
      </c>
      <c r="W44" s="59">
        <v>-0.5</v>
      </c>
      <c r="X44" s="59">
        <v>0.6</v>
      </c>
      <c r="Y44" s="59">
        <v>0.6</v>
      </c>
      <c r="Z44" s="59">
        <v>0.9</v>
      </c>
      <c r="AA44" s="59">
        <v>0.9</v>
      </c>
      <c r="AB44" s="59">
        <v>0.8</v>
      </c>
      <c r="AC44" s="59">
        <v>1.1000000000000001</v>
      </c>
      <c r="AD44" s="59">
        <v>1.2</v>
      </c>
      <c r="AE44" s="59">
        <v>2.9</v>
      </c>
      <c r="AF44" s="59">
        <v>1.6</v>
      </c>
      <c r="AG44" s="59">
        <v>2</v>
      </c>
      <c r="AH44" s="59">
        <v>2.9</v>
      </c>
      <c r="AI44" s="59">
        <v>2.4</v>
      </c>
      <c r="AJ44" s="59">
        <v>1.8</v>
      </c>
      <c r="AK44" s="59">
        <v>1.9</v>
      </c>
      <c r="AL44" s="59">
        <v>2.1</v>
      </c>
      <c r="AM44" s="59">
        <v>1.2</v>
      </c>
      <c r="AN44" s="59">
        <v>-0.3</v>
      </c>
      <c r="AO44" s="59">
        <v>-0.6</v>
      </c>
      <c r="AP44" s="59">
        <v>-0.9</v>
      </c>
      <c r="AQ44" s="59">
        <v>0.2</v>
      </c>
      <c r="AR44" s="59">
        <v>0.1</v>
      </c>
      <c r="AS44" s="59">
        <v>0</v>
      </c>
      <c r="AT44" s="59">
        <v>0.2</v>
      </c>
      <c r="AU44" s="59">
        <v>0</v>
      </c>
      <c r="AV44" s="59">
        <v>0.1</v>
      </c>
      <c r="AW44" s="59">
        <v>0.3</v>
      </c>
      <c r="AX44" s="59">
        <v>3.7</v>
      </c>
      <c r="AY44" s="59">
        <v>8</v>
      </c>
      <c r="AZ44" s="59">
        <v>7.4</v>
      </c>
      <c r="BA44" s="59">
        <v>9.8000000000000007</v>
      </c>
      <c r="BB44" s="59">
        <v>17.8</v>
      </c>
      <c r="BC44" s="59">
        <v>23.3</v>
      </c>
      <c r="BD44" s="59">
        <v>18</v>
      </c>
      <c r="BE44" s="59">
        <v>13.7</v>
      </c>
      <c r="BF44" s="59">
        <v>15.4</v>
      </c>
      <c r="BG44" s="59">
        <v>11.8</v>
      </c>
      <c r="BH44" s="59">
        <v>10</v>
      </c>
      <c r="BI44" s="59">
        <v>5.8540000000000001</v>
      </c>
      <c r="BJ44" s="59">
        <v>1</v>
      </c>
      <c r="BS44" s="59">
        <f t="shared" si="79"/>
        <v>4.0999999999999996</v>
      </c>
      <c r="BT44" s="59">
        <f t="shared" si="80"/>
        <v>5</v>
      </c>
      <c r="BU44" s="59">
        <f t="shared" si="81"/>
        <v>5.8</v>
      </c>
      <c r="BV44" s="59">
        <f t="shared" si="82"/>
        <v>7.1</v>
      </c>
      <c r="BW44" s="59">
        <f t="shared" si="83"/>
        <v>-0.69999999999999984</v>
      </c>
      <c r="BX44" s="59">
        <f t="shared" si="84"/>
        <v>1.6</v>
      </c>
      <c r="BY44" s="59">
        <f t="shared" si="85"/>
        <v>4</v>
      </c>
      <c r="BZ44" s="59">
        <f t="shared" si="86"/>
        <v>9.4</v>
      </c>
      <c r="CA44" s="59">
        <f t="shared" si="87"/>
        <v>8.1999999999999993</v>
      </c>
      <c r="CB44" s="59">
        <f t="shared" si="88"/>
        <v>-0.60000000000000009</v>
      </c>
      <c r="CC44" s="59">
        <f t="shared" si="89"/>
        <v>0.5</v>
      </c>
      <c r="CD44" s="59">
        <f t="shared" si="90"/>
        <v>4.1000000000000005</v>
      </c>
      <c r="CE44" s="59">
        <f t="shared" si="91"/>
        <v>43</v>
      </c>
      <c r="CF44" s="59">
        <f t="shared" si="92"/>
        <v>70.400000000000006</v>
      </c>
      <c r="CG44" s="59">
        <f t="shared" si="77"/>
        <v>28.654</v>
      </c>
      <c r="CH44" s="65">
        <f t="shared" ref="CH44:CQ44" si="103">CG44*(1+$CQ$60)</f>
        <v>36.820389999999996</v>
      </c>
      <c r="CI44" s="65">
        <f t="shared" si="103"/>
        <v>47.314201149999995</v>
      </c>
      <c r="CJ44" s="65">
        <f t="shared" si="103"/>
        <v>60.798748477749989</v>
      </c>
      <c r="CK44" s="65">
        <f t="shared" si="103"/>
        <v>78.126391793908724</v>
      </c>
      <c r="CL44" s="65">
        <f t="shared" si="103"/>
        <v>100.3924134551727</v>
      </c>
      <c r="CM44" s="65">
        <f t="shared" si="103"/>
        <v>129.0042512898969</v>
      </c>
      <c r="CN44" s="65">
        <f t="shared" si="103"/>
        <v>165.7704629075175</v>
      </c>
      <c r="CO44" s="65">
        <f t="shared" si="103"/>
        <v>213.01504483615997</v>
      </c>
      <c r="CP44" s="65">
        <f t="shared" si="103"/>
        <v>273.72433261446554</v>
      </c>
      <c r="CQ44" s="65">
        <f t="shared" si="103"/>
        <v>351.73576740958822</v>
      </c>
    </row>
    <row r="45" spans="2:147">
      <c r="B45" s="1" t="s">
        <v>1494</v>
      </c>
      <c r="C45" s="59">
        <f t="shared" ref="C45:AL45" si="104">C43+C44</f>
        <v>52.600000000000016</v>
      </c>
      <c r="D45" s="59">
        <f t="shared" si="104"/>
        <v>59.7</v>
      </c>
      <c r="E45" s="59">
        <f t="shared" si="104"/>
        <v>60.300000000000004</v>
      </c>
      <c r="F45" s="59">
        <f t="shared" si="104"/>
        <v>116.67999999999998</v>
      </c>
      <c r="G45" s="59">
        <f t="shared" si="104"/>
        <v>73.999999999999986</v>
      </c>
      <c r="H45" s="59">
        <f t="shared" si="104"/>
        <v>71.300000000000026</v>
      </c>
      <c r="I45" s="59">
        <f t="shared" si="104"/>
        <v>82.000000000000014</v>
      </c>
      <c r="J45" s="59">
        <f t="shared" si="104"/>
        <v>154.1</v>
      </c>
      <c r="K45" s="59">
        <f t="shared" si="104"/>
        <v>67.40000000000002</v>
      </c>
      <c r="L45" s="59">
        <f t="shared" si="104"/>
        <v>80.2</v>
      </c>
      <c r="M45" s="59">
        <f t="shared" si="104"/>
        <v>93.799999999999969</v>
      </c>
      <c r="N45" s="59">
        <f t="shared" si="104"/>
        <v>155.70000000000002</v>
      </c>
      <c r="O45" s="59">
        <f t="shared" si="104"/>
        <v>71.400000000000006</v>
      </c>
      <c r="P45" s="59">
        <f t="shared" si="104"/>
        <v>68.799999999999983</v>
      </c>
      <c r="Q45" s="59">
        <f t="shared" si="104"/>
        <v>81.999999999999957</v>
      </c>
      <c r="R45" s="59">
        <f t="shared" si="104"/>
        <v>159.00000000000003</v>
      </c>
      <c r="S45" s="59">
        <f t="shared" si="104"/>
        <v>68.5</v>
      </c>
      <c r="T45" s="59">
        <f t="shared" si="104"/>
        <v>67.399999999999991</v>
      </c>
      <c r="U45" s="59">
        <f t="shared" si="104"/>
        <v>65.299999999999983</v>
      </c>
      <c r="V45" s="59">
        <f t="shared" si="104"/>
        <v>167.19999999999996</v>
      </c>
      <c r="W45" s="59">
        <f t="shared" si="104"/>
        <v>57.100000000000023</v>
      </c>
      <c r="X45" s="59">
        <f t="shared" si="104"/>
        <v>74.500000000000028</v>
      </c>
      <c r="Y45" s="59">
        <f t="shared" si="104"/>
        <v>93.499999999999972</v>
      </c>
      <c r="Z45" s="59">
        <f t="shared" si="104"/>
        <v>197.49999999999997</v>
      </c>
      <c r="AA45" s="59">
        <f t="shared" si="104"/>
        <v>45.699999999999982</v>
      </c>
      <c r="AB45" s="59">
        <f t="shared" si="104"/>
        <v>68.8</v>
      </c>
      <c r="AC45" s="59">
        <f t="shared" si="104"/>
        <v>85.599999999999966</v>
      </c>
      <c r="AD45" s="59">
        <f t="shared" si="104"/>
        <v>256.5</v>
      </c>
      <c r="AE45" s="59">
        <f t="shared" si="104"/>
        <v>107.20000000000005</v>
      </c>
      <c r="AF45" s="59">
        <f t="shared" si="104"/>
        <v>135.79999999999998</v>
      </c>
      <c r="AG45" s="59">
        <f t="shared" si="104"/>
        <v>137.90000000000009</v>
      </c>
      <c r="AH45" s="59">
        <f t="shared" si="104"/>
        <v>333.4</v>
      </c>
      <c r="AI45" s="59">
        <f t="shared" si="104"/>
        <v>131.19999999999996</v>
      </c>
      <c r="AJ45" s="59">
        <f t="shared" si="104"/>
        <v>169.79999999999995</v>
      </c>
      <c r="AK45" s="59">
        <f t="shared" si="104"/>
        <v>177.70000000000002</v>
      </c>
      <c r="AL45" s="59">
        <f t="shared" si="104"/>
        <v>418.59999999999997</v>
      </c>
      <c r="AM45" s="59">
        <f>AM43+AM44</f>
        <v>32.958000000000041</v>
      </c>
      <c r="AN45" s="59">
        <f t="shared" ref="AN45:BH45" si="105">AN43+AN44</f>
        <v>123.34200000000006</v>
      </c>
      <c r="AO45" s="59">
        <f t="shared" si="105"/>
        <v>204.02200000000002</v>
      </c>
      <c r="AP45" s="59">
        <f t="shared" si="105"/>
        <v>457.05700000000013</v>
      </c>
      <c r="AQ45" s="59">
        <f t="shared" si="105"/>
        <v>192.86499999999984</v>
      </c>
      <c r="AR45" s="59">
        <f t="shared" si="105"/>
        <v>291.5150000000001</v>
      </c>
      <c r="AS45" s="59">
        <f t="shared" si="105"/>
        <v>257.31799999999987</v>
      </c>
      <c r="AT45" s="59">
        <f t="shared" si="105"/>
        <v>591.41899999999964</v>
      </c>
      <c r="AU45" s="59">
        <f t="shared" si="105"/>
        <v>260.45800000000008</v>
      </c>
      <c r="AV45" s="59">
        <f t="shared" si="105"/>
        <v>401.22799999999995</v>
      </c>
      <c r="AW45" s="59">
        <f t="shared" si="105"/>
        <v>353.98499999999996</v>
      </c>
      <c r="AX45" s="59">
        <f t="shared" si="105"/>
        <v>317.24699999999979</v>
      </c>
      <c r="AY45" s="59">
        <f t="shared" si="105"/>
        <v>409.29199999999992</v>
      </c>
      <c r="AZ45" s="59">
        <f t="shared" si="105"/>
        <v>486.45000000000005</v>
      </c>
      <c r="BA45" s="59">
        <f t="shared" si="105"/>
        <v>347.60800000000023</v>
      </c>
      <c r="BB45" s="59">
        <f t="shared" si="105"/>
        <v>931.7199999999998</v>
      </c>
      <c r="BC45" s="59">
        <f t="shared" si="105"/>
        <v>455.988</v>
      </c>
      <c r="BD45" s="59">
        <f t="shared" si="105"/>
        <v>558.17599999999993</v>
      </c>
      <c r="BE45" s="59">
        <f t="shared" si="105"/>
        <v>504.45000000000022</v>
      </c>
      <c r="BF45" s="59">
        <f t="shared" si="105"/>
        <v>1057.2120000000002</v>
      </c>
      <c r="BG45" s="59">
        <f t="shared" si="105"/>
        <v>450.05999999999989</v>
      </c>
      <c r="BH45" s="59">
        <f t="shared" si="105"/>
        <v>533.51</v>
      </c>
      <c r="BI45" s="59">
        <f t="shared" ref="BI45:BJ45" si="106">BI43+BI44</f>
        <v>441.74499999999995</v>
      </c>
      <c r="BJ45" s="59">
        <f t="shared" si="106"/>
        <v>813.09299999999962</v>
      </c>
      <c r="BS45" s="59">
        <f t="shared" si="79"/>
        <v>289.27999999999997</v>
      </c>
      <c r="BT45" s="59">
        <f t="shared" si="80"/>
        <v>381.4</v>
      </c>
      <c r="BU45" s="59">
        <f t="shared" si="81"/>
        <v>397.1</v>
      </c>
      <c r="BV45" s="59">
        <f t="shared" si="82"/>
        <v>381.19999999999993</v>
      </c>
      <c r="BW45" s="59">
        <f t="shared" si="83"/>
        <v>368.39999999999992</v>
      </c>
      <c r="BX45" s="59">
        <f t="shared" si="84"/>
        <v>422.6</v>
      </c>
      <c r="BY45" s="59">
        <f t="shared" si="85"/>
        <v>456.59999999999991</v>
      </c>
      <c r="BZ45" s="59">
        <f t="shared" si="86"/>
        <v>714.30000000000007</v>
      </c>
      <c r="CA45" s="59">
        <f t="shared" si="87"/>
        <v>897.3</v>
      </c>
      <c r="CB45" s="59">
        <f t="shared" si="88"/>
        <v>817.37900000000025</v>
      </c>
      <c r="CC45" s="59">
        <f t="shared" si="89"/>
        <v>1333.1169999999995</v>
      </c>
      <c r="CD45" s="59">
        <f t="shared" si="90"/>
        <v>1332.9179999999999</v>
      </c>
      <c r="CE45" s="59">
        <f t="shared" si="91"/>
        <v>2175.0699999999997</v>
      </c>
      <c r="CF45" s="59">
        <f t="shared" si="92"/>
        <v>2575.8260000000005</v>
      </c>
      <c r="CG45" s="59">
        <f t="shared" si="77"/>
        <v>2238.4079999999994</v>
      </c>
      <c r="CH45" s="65">
        <f>CH43+CH44</f>
        <v>2376.1402024074987</v>
      </c>
      <c r="CI45" s="65">
        <f t="shared" ref="CI45:CQ45" si="107">CI43+CI44</f>
        <v>2583.0036950043991</v>
      </c>
      <c r="CJ45" s="65">
        <f t="shared" si="107"/>
        <v>2873.0859903625801</v>
      </c>
      <c r="CK45" s="65">
        <f t="shared" si="107"/>
        <v>3332.0851951123468</v>
      </c>
      <c r="CL45" s="65">
        <f t="shared" si="107"/>
        <v>3625.7525733789125</v>
      </c>
      <c r="CM45" s="65">
        <f t="shared" si="107"/>
        <v>3940.5962056166868</v>
      </c>
      <c r="CN45" s="65">
        <f t="shared" si="107"/>
        <v>4269.8307327735365</v>
      </c>
      <c r="CO45" s="65">
        <f t="shared" si="107"/>
        <v>4613.8072853436888</v>
      </c>
      <c r="CP45" s="65">
        <f t="shared" si="107"/>
        <v>4931.0080433071389</v>
      </c>
      <c r="CQ45" s="65">
        <f t="shared" si="107"/>
        <v>5215.8058537088164</v>
      </c>
    </row>
    <row r="46" spans="2:147">
      <c r="B46" s="1" t="s">
        <v>1495</v>
      </c>
      <c r="C46" s="59">
        <v>19.100000000000001</v>
      </c>
      <c r="D46" s="59">
        <v>21.46</v>
      </c>
      <c r="E46" s="59">
        <v>21.4</v>
      </c>
      <c r="F46" s="59">
        <v>42.55</v>
      </c>
      <c r="G46" s="59">
        <v>27</v>
      </c>
      <c r="H46" s="59">
        <v>13.7</v>
      </c>
      <c r="I46" s="59">
        <v>24.7</v>
      </c>
      <c r="J46" s="59">
        <v>44.7</v>
      </c>
      <c r="K46" s="59">
        <v>20.100000000000001</v>
      </c>
      <c r="L46" s="59">
        <v>23.8</v>
      </c>
      <c r="M46" s="59">
        <v>27.7</v>
      </c>
      <c r="N46" s="59">
        <v>46</v>
      </c>
      <c r="O46" s="59">
        <v>52.5</v>
      </c>
      <c r="P46" s="59">
        <v>21</v>
      </c>
      <c r="Q46" s="59">
        <v>22.5</v>
      </c>
      <c r="R46" s="59">
        <v>48.1</v>
      </c>
      <c r="S46" s="59">
        <v>20.8</v>
      </c>
      <c r="T46" s="59">
        <v>19.8</v>
      </c>
      <c r="U46" s="59">
        <v>12.1</v>
      </c>
      <c r="V46" s="59">
        <v>49.8</v>
      </c>
      <c r="W46" s="59">
        <v>11.8</v>
      </c>
      <c r="X46" s="59">
        <v>20.9</v>
      </c>
      <c r="Y46" s="59">
        <v>25.3</v>
      </c>
      <c r="Z46" s="59">
        <v>61.4</v>
      </c>
      <c r="AA46" s="59">
        <v>15.1</v>
      </c>
      <c r="AB46" s="59">
        <v>20.8</v>
      </c>
      <c r="AC46" s="59">
        <v>27.7</v>
      </c>
      <c r="AD46" s="59">
        <v>137.69999999999999</v>
      </c>
      <c r="AE46" s="59">
        <v>32.1</v>
      </c>
      <c r="AF46" s="59">
        <v>40</v>
      </c>
      <c r="AG46" s="59">
        <v>43.5</v>
      </c>
      <c r="AH46" s="59">
        <v>115.8</v>
      </c>
      <c r="AI46" s="59">
        <v>34.6</v>
      </c>
      <c r="AJ46" s="59">
        <v>44.8</v>
      </c>
      <c r="AK46" s="59">
        <v>51.8</v>
      </c>
      <c r="AL46" s="59">
        <v>120.6</v>
      </c>
      <c r="AM46" s="59">
        <v>5.3</v>
      </c>
      <c r="AN46" s="59">
        <v>37.299999999999997</v>
      </c>
      <c r="AO46" s="59">
        <v>60.7</v>
      </c>
      <c r="AP46" s="59">
        <v>127.2</v>
      </c>
      <c r="AQ46" s="59">
        <v>49.1</v>
      </c>
      <c r="AR46" s="59">
        <v>83.1</v>
      </c>
      <c r="AS46" s="59">
        <v>70.2</v>
      </c>
      <c r="AT46" s="59">
        <v>156.19999999999999</v>
      </c>
      <c r="AU46" s="59">
        <v>70.3</v>
      </c>
      <c r="AV46" s="59">
        <v>111.8</v>
      </c>
      <c r="AW46" s="59">
        <v>97.3</v>
      </c>
      <c r="AX46" s="59">
        <v>198.3</v>
      </c>
      <c r="AY46" s="59">
        <v>119</v>
      </c>
      <c r="AZ46" s="59">
        <v>145</v>
      </c>
      <c r="BA46" s="59">
        <v>99.2</v>
      </c>
      <c r="BB46" s="59">
        <v>262.3</v>
      </c>
      <c r="BC46" s="59">
        <v>134.5</v>
      </c>
      <c r="BD46" s="59">
        <v>165.3</v>
      </c>
      <c r="BE46" s="59">
        <v>152.5</v>
      </c>
      <c r="BF46" s="59">
        <v>309.10000000000002</v>
      </c>
      <c r="BG46" s="59">
        <v>135.80000000000001</v>
      </c>
      <c r="BH46" s="59">
        <v>161</v>
      </c>
      <c r="BI46" s="59">
        <v>134.905</v>
      </c>
      <c r="BJ46" s="59">
        <v>226.4</v>
      </c>
      <c r="BS46" s="59">
        <f t="shared" si="79"/>
        <v>104.50999999999999</v>
      </c>
      <c r="BT46" s="59">
        <f t="shared" si="80"/>
        <v>110.10000000000001</v>
      </c>
      <c r="BU46" s="59">
        <f t="shared" si="81"/>
        <v>117.60000000000001</v>
      </c>
      <c r="BV46" s="59">
        <f t="shared" si="82"/>
        <v>144.1</v>
      </c>
      <c r="BW46" s="59">
        <f t="shared" si="83"/>
        <v>102.5</v>
      </c>
      <c r="BX46" s="59">
        <f t="shared" si="84"/>
        <v>119.4</v>
      </c>
      <c r="BY46" s="59">
        <f t="shared" si="85"/>
        <v>201.29999999999998</v>
      </c>
      <c r="BZ46" s="59">
        <f t="shared" si="86"/>
        <v>231.39999999999998</v>
      </c>
      <c r="CA46" s="59">
        <f t="shared" si="87"/>
        <v>251.79999999999998</v>
      </c>
      <c r="CB46" s="59">
        <f t="shared" si="88"/>
        <v>230.5</v>
      </c>
      <c r="CC46" s="59">
        <f t="shared" si="89"/>
        <v>358.59999999999997</v>
      </c>
      <c r="CD46" s="59">
        <f t="shared" si="90"/>
        <v>477.7</v>
      </c>
      <c r="CE46" s="59">
        <f t="shared" si="91"/>
        <v>625.5</v>
      </c>
      <c r="CF46" s="59">
        <f t="shared" si="92"/>
        <v>761.40000000000009</v>
      </c>
      <c r="CG46" s="59">
        <f t="shared" si="77"/>
        <v>658.10500000000002</v>
      </c>
      <c r="CH46" s="65">
        <f>CH45*CH54</f>
        <v>712.84206072224958</v>
      </c>
      <c r="CI46" s="65">
        <f t="shared" ref="CI46:CQ46" si="108">CI45*CI54</f>
        <v>774.90110850131975</v>
      </c>
      <c r="CJ46" s="65">
        <f t="shared" si="108"/>
        <v>861.92579710877396</v>
      </c>
      <c r="CK46" s="65">
        <f t="shared" si="108"/>
        <v>999.62555853370395</v>
      </c>
      <c r="CL46" s="65">
        <f t="shared" si="108"/>
        <v>1087.7257720136738</v>
      </c>
      <c r="CM46" s="65">
        <f t="shared" si="108"/>
        <v>1182.178861685006</v>
      </c>
      <c r="CN46" s="65">
        <f t="shared" si="108"/>
        <v>1280.9492198320609</v>
      </c>
      <c r="CO46" s="65">
        <f t="shared" si="108"/>
        <v>1384.1421856031066</v>
      </c>
      <c r="CP46" s="65">
        <f t="shared" si="108"/>
        <v>1479.3024129921416</v>
      </c>
      <c r="CQ46" s="65">
        <f t="shared" si="108"/>
        <v>1564.7417561126449</v>
      </c>
    </row>
    <row r="47" spans="2:147" s="2" customFormat="1" ht="15">
      <c r="B47" s="2" t="s">
        <v>1496</v>
      </c>
      <c r="C47" s="60">
        <f t="shared" ref="C47:AL47" si="109">C45-C46</f>
        <v>33.500000000000014</v>
      </c>
      <c r="D47" s="60">
        <f t="shared" si="109"/>
        <v>38.24</v>
      </c>
      <c r="E47" s="60">
        <f t="shared" si="109"/>
        <v>38.900000000000006</v>
      </c>
      <c r="F47" s="60">
        <f t="shared" si="109"/>
        <v>74.129999999999981</v>
      </c>
      <c r="G47" s="60">
        <f t="shared" si="109"/>
        <v>46.999999999999986</v>
      </c>
      <c r="H47" s="60">
        <f t="shared" si="109"/>
        <v>57.600000000000023</v>
      </c>
      <c r="I47" s="60">
        <f t="shared" si="109"/>
        <v>57.300000000000011</v>
      </c>
      <c r="J47" s="60">
        <f t="shared" si="109"/>
        <v>109.39999999999999</v>
      </c>
      <c r="K47" s="60">
        <f t="shared" si="109"/>
        <v>47.300000000000018</v>
      </c>
      <c r="L47" s="60">
        <f t="shared" si="109"/>
        <v>56.400000000000006</v>
      </c>
      <c r="M47" s="60">
        <f t="shared" si="109"/>
        <v>66.099999999999966</v>
      </c>
      <c r="N47" s="60">
        <f t="shared" si="109"/>
        <v>109.70000000000002</v>
      </c>
      <c r="O47" s="60">
        <f t="shared" si="109"/>
        <v>18.900000000000006</v>
      </c>
      <c r="P47" s="60">
        <f t="shared" si="109"/>
        <v>47.799999999999983</v>
      </c>
      <c r="Q47" s="60">
        <f t="shared" si="109"/>
        <v>59.499999999999957</v>
      </c>
      <c r="R47" s="60">
        <f t="shared" si="109"/>
        <v>110.90000000000003</v>
      </c>
      <c r="S47" s="60">
        <f t="shared" si="109"/>
        <v>47.7</v>
      </c>
      <c r="T47" s="60">
        <f t="shared" si="109"/>
        <v>47.599999999999994</v>
      </c>
      <c r="U47" s="60">
        <f t="shared" si="109"/>
        <v>53.199999999999982</v>
      </c>
      <c r="V47" s="60">
        <f t="shared" si="109"/>
        <v>117.39999999999996</v>
      </c>
      <c r="W47" s="60">
        <f t="shared" si="109"/>
        <v>45.300000000000026</v>
      </c>
      <c r="X47" s="60">
        <f t="shared" si="109"/>
        <v>53.60000000000003</v>
      </c>
      <c r="Y47" s="60">
        <f t="shared" si="109"/>
        <v>68.199999999999974</v>
      </c>
      <c r="Z47" s="60">
        <f t="shared" si="109"/>
        <v>136.09999999999997</v>
      </c>
      <c r="AA47" s="60">
        <f t="shared" si="109"/>
        <v>30.59999999999998</v>
      </c>
      <c r="AB47" s="60">
        <f t="shared" si="109"/>
        <v>48</v>
      </c>
      <c r="AC47" s="60">
        <f t="shared" si="109"/>
        <v>57.899999999999963</v>
      </c>
      <c r="AD47" s="60">
        <f t="shared" si="109"/>
        <v>118.80000000000001</v>
      </c>
      <c r="AE47" s="60">
        <f t="shared" si="109"/>
        <v>75.100000000000051</v>
      </c>
      <c r="AF47" s="60">
        <f t="shared" si="109"/>
        <v>95.799999999999983</v>
      </c>
      <c r="AG47" s="60">
        <f t="shared" si="109"/>
        <v>94.400000000000091</v>
      </c>
      <c r="AH47" s="60">
        <f t="shared" si="109"/>
        <v>217.59999999999997</v>
      </c>
      <c r="AI47" s="60">
        <f t="shared" si="109"/>
        <v>96.599999999999966</v>
      </c>
      <c r="AJ47" s="60">
        <f t="shared" si="109"/>
        <v>124.99999999999996</v>
      </c>
      <c r="AK47" s="60">
        <f t="shared" si="109"/>
        <v>125.90000000000002</v>
      </c>
      <c r="AL47" s="60">
        <f t="shared" si="109"/>
        <v>298</v>
      </c>
      <c r="AM47" s="60">
        <f>AM45-AM46</f>
        <v>27.65800000000004</v>
      </c>
      <c r="AN47" s="60">
        <f t="shared" ref="AN47:BH47" si="110">AN45-AN46</f>
        <v>86.042000000000058</v>
      </c>
      <c r="AO47" s="60">
        <f t="shared" si="110"/>
        <v>143.322</v>
      </c>
      <c r="AP47" s="60">
        <f t="shared" si="110"/>
        <v>329.85700000000014</v>
      </c>
      <c r="AQ47" s="60">
        <f t="shared" si="110"/>
        <v>143.76499999999984</v>
      </c>
      <c r="AR47" s="60">
        <f t="shared" si="110"/>
        <v>208.41500000000011</v>
      </c>
      <c r="AS47" s="60">
        <f t="shared" si="110"/>
        <v>187.11799999999988</v>
      </c>
      <c r="AT47" s="60">
        <f t="shared" si="110"/>
        <v>435.21899999999965</v>
      </c>
      <c r="AU47" s="60">
        <f t="shared" si="110"/>
        <v>190.15800000000007</v>
      </c>
      <c r="AV47" s="60">
        <f t="shared" si="110"/>
        <v>289.42799999999994</v>
      </c>
      <c r="AW47" s="60">
        <f t="shared" si="110"/>
        <v>256.68499999999995</v>
      </c>
      <c r="AX47" s="60">
        <f t="shared" si="110"/>
        <v>118.94699999999978</v>
      </c>
      <c r="AY47" s="60">
        <f t="shared" si="110"/>
        <v>290.29199999999992</v>
      </c>
      <c r="AZ47" s="60">
        <f t="shared" si="110"/>
        <v>341.45000000000005</v>
      </c>
      <c r="BA47" s="60">
        <f t="shared" si="110"/>
        <v>248.40800000000024</v>
      </c>
      <c r="BB47" s="60">
        <f t="shared" si="110"/>
        <v>669.41999999999985</v>
      </c>
      <c r="BC47" s="60">
        <f t="shared" si="110"/>
        <v>321.488</v>
      </c>
      <c r="BD47" s="60">
        <f t="shared" si="110"/>
        <v>392.87599999999992</v>
      </c>
      <c r="BE47" s="60">
        <f t="shared" si="110"/>
        <v>351.95000000000022</v>
      </c>
      <c r="BF47" s="60">
        <f t="shared" si="110"/>
        <v>748.11200000000019</v>
      </c>
      <c r="BG47" s="60">
        <f t="shared" si="110"/>
        <v>314.25999999999988</v>
      </c>
      <c r="BH47" s="60">
        <f t="shared" si="110"/>
        <v>372.51</v>
      </c>
      <c r="BI47" s="60">
        <f t="shared" ref="BI47:BJ47" si="111">BI45-BI46</f>
        <v>306.83999999999992</v>
      </c>
      <c r="BJ47" s="60">
        <f t="shared" si="111"/>
        <v>586.69299999999964</v>
      </c>
      <c r="BK47" s="34"/>
      <c r="BL47" s="34"/>
      <c r="BM47" s="34"/>
      <c r="BN47" s="34"/>
      <c r="BS47" s="60">
        <f t="shared" si="79"/>
        <v>184.76999999999998</v>
      </c>
      <c r="BT47" s="60">
        <f t="shared" si="80"/>
        <v>271.3</v>
      </c>
      <c r="BU47" s="60">
        <f t="shared" si="81"/>
        <v>279.5</v>
      </c>
      <c r="BV47" s="60">
        <f t="shared" si="82"/>
        <v>237.09999999999997</v>
      </c>
      <c r="BW47" s="60">
        <f t="shared" si="83"/>
        <v>265.89999999999992</v>
      </c>
      <c r="BX47" s="60">
        <f t="shared" si="84"/>
        <v>303.2</v>
      </c>
      <c r="BY47" s="60">
        <f t="shared" si="85"/>
        <v>255.29999999999995</v>
      </c>
      <c r="BZ47" s="60">
        <f t="shared" si="86"/>
        <v>482.90000000000009</v>
      </c>
      <c r="CA47" s="60">
        <f t="shared" si="87"/>
        <v>645.5</v>
      </c>
      <c r="CB47" s="60">
        <f t="shared" si="88"/>
        <v>586.87900000000025</v>
      </c>
      <c r="CC47" s="60">
        <f t="shared" si="89"/>
        <v>974.51699999999937</v>
      </c>
      <c r="CD47" s="60">
        <f t="shared" si="90"/>
        <v>855.21799999999973</v>
      </c>
      <c r="CE47" s="60">
        <f t="shared" si="91"/>
        <v>1549.5700000000002</v>
      </c>
      <c r="CF47" s="60">
        <f t="shared" si="92"/>
        <v>1814.4260000000004</v>
      </c>
      <c r="CG47" s="60">
        <f t="shared" si="77"/>
        <v>1580.3029999999994</v>
      </c>
      <c r="CH47" s="66">
        <f>CH45-CH46</f>
        <v>1663.298141685249</v>
      </c>
      <c r="CI47" s="66">
        <f t="shared" ref="CI47:CQ47" si="112">CI45-CI46</f>
        <v>1808.1025865030792</v>
      </c>
      <c r="CJ47" s="66">
        <f t="shared" si="112"/>
        <v>2011.160193253806</v>
      </c>
      <c r="CK47" s="66">
        <f t="shared" si="112"/>
        <v>2332.4596365786429</v>
      </c>
      <c r="CL47" s="66">
        <f t="shared" si="112"/>
        <v>2538.0268013652385</v>
      </c>
      <c r="CM47" s="66">
        <f t="shared" si="112"/>
        <v>2758.417343931681</v>
      </c>
      <c r="CN47" s="66">
        <f t="shared" si="112"/>
        <v>2988.8815129414756</v>
      </c>
      <c r="CO47" s="66">
        <f t="shared" si="112"/>
        <v>3229.6650997405823</v>
      </c>
      <c r="CP47" s="66">
        <f t="shared" si="112"/>
        <v>3451.7056303149975</v>
      </c>
      <c r="CQ47" s="66">
        <f t="shared" si="112"/>
        <v>3651.0640975961715</v>
      </c>
      <c r="CR47" s="66">
        <f t="shared" ref="CR47:DW47" si="113">CQ47*(1+$CQ$61)</f>
        <v>3605.4257963762193</v>
      </c>
      <c r="CS47" s="66">
        <f t="shared" si="113"/>
        <v>3560.3579739215165</v>
      </c>
      <c r="CT47" s="66">
        <f t="shared" si="113"/>
        <v>3515.8534992474979</v>
      </c>
      <c r="CU47" s="66">
        <f t="shared" si="113"/>
        <v>3471.9053305069042</v>
      </c>
      <c r="CV47" s="66">
        <f t="shared" si="113"/>
        <v>3428.5065138755681</v>
      </c>
      <c r="CW47" s="66">
        <f t="shared" si="113"/>
        <v>3385.6501824521238</v>
      </c>
      <c r="CX47" s="66">
        <f t="shared" si="113"/>
        <v>3343.3295551714723</v>
      </c>
      <c r="CY47" s="66">
        <f t="shared" si="113"/>
        <v>3301.5379357318288</v>
      </c>
      <c r="CZ47" s="66">
        <f t="shared" si="113"/>
        <v>3260.268711535181</v>
      </c>
      <c r="DA47" s="66">
        <f t="shared" si="113"/>
        <v>3219.5153526409913</v>
      </c>
      <c r="DB47" s="66">
        <f t="shared" si="113"/>
        <v>3179.2714107329789</v>
      </c>
      <c r="DC47" s="66">
        <f t="shared" si="113"/>
        <v>3139.5305180988166</v>
      </c>
      <c r="DD47" s="66">
        <f t="shared" si="113"/>
        <v>3100.2863866225816</v>
      </c>
      <c r="DE47" s="66">
        <f t="shared" si="113"/>
        <v>3061.5328067897995</v>
      </c>
      <c r="DF47" s="66">
        <f t="shared" si="113"/>
        <v>3023.2636467049269</v>
      </c>
      <c r="DG47" s="66">
        <f t="shared" si="113"/>
        <v>2985.4728511211156</v>
      </c>
      <c r="DH47" s="66">
        <f t="shared" si="113"/>
        <v>2948.1544404821016</v>
      </c>
      <c r="DI47" s="66">
        <f t="shared" si="113"/>
        <v>2911.3025099760753</v>
      </c>
      <c r="DJ47" s="66">
        <f t="shared" si="113"/>
        <v>2874.9112286013747</v>
      </c>
      <c r="DK47" s="66">
        <f t="shared" si="113"/>
        <v>2838.9748382438574</v>
      </c>
      <c r="DL47" s="66">
        <f t="shared" si="113"/>
        <v>2803.4876527658093</v>
      </c>
      <c r="DM47" s="66">
        <f t="shared" si="113"/>
        <v>2768.4440571062369</v>
      </c>
      <c r="DN47" s="66">
        <f t="shared" si="113"/>
        <v>2733.8385063924088</v>
      </c>
      <c r="DO47" s="66">
        <f t="shared" si="113"/>
        <v>2699.665525062504</v>
      </c>
      <c r="DP47" s="66">
        <f t="shared" si="113"/>
        <v>2665.919705999223</v>
      </c>
      <c r="DQ47" s="66">
        <f t="shared" si="113"/>
        <v>2632.5957096742327</v>
      </c>
      <c r="DR47" s="66">
        <f t="shared" si="113"/>
        <v>2599.6882633033051</v>
      </c>
      <c r="DS47" s="66">
        <f t="shared" si="113"/>
        <v>2567.192160012014</v>
      </c>
      <c r="DT47" s="66">
        <f t="shared" si="113"/>
        <v>2535.1022580118638</v>
      </c>
      <c r="DU47" s="66">
        <f t="shared" si="113"/>
        <v>2503.4134797867155</v>
      </c>
      <c r="DV47" s="66">
        <f t="shared" si="113"/>
        <v>2472.1208112893814</v>
      </c>
      <c r="DW47" s="66">
        <f t="shared" si="113"/>
        <v>2441.2193011482641</v>
      </c>
      <c r="DX47" s="66">
        <f t="shared" ref="DX47:EO47" si="114">DW47*(1+$CQ$61)</f>
        <v>2410.7040598839108</v>
      </c>
      <c r="DY47" s="66">
        <f t="shared" si="114"/>
        <v>2380.570259135362</v>
      </c>
      <c r="DZ47" s="66">
        <f t="shared" si="114"/>
        <v>2350.8131308961702</v>
      </c>
      <c r="EA47" s="66">
        <f t="shared" si="114"/>
        <v>2321.4279667599681</v>
      </c>
      <c r="EB47" s="66">
        <f t="shared" si="114"/>
        <v>2292.4101171754687</v>
      </c>
      <c r="EC47" s="66">
        <f t="shared" si="114"/>
        <v>2263.7549907107755</v>
      </c>
      <c r="ED47" s="66">
        <f t="shared" si="114"/>
        <v>2235.4580533268909</v>
      </c>
      <c r="EE47" s="66">
        <f t="shared" si="114"/>
        <v>2207.5148276603049</v>
      </c>
      <c r="EF47" s="66">
        <f t="shared" si="114"/>
        <v>2179.9208923145511</v>
      </c>
      <c r="EG47" s="66">
        <f t="shared" si="114"/>
        <v>2152.6718811606193</v>
      </c>
      <c r="EH47" s="66">
        <f t="shared" si="114"/>
        <v>2125.7634826461117</v>
      </c>
      <c r="EI47" s="66">
        <f t="shared" si="114"/>
        <v>2099.1914391130354</v>
      </c>
      <c r="EJ47" s="66">
        <f t="shared" si="114"/>
        <v>2072.9515461241226</v>
      </c>
      <c r="EK47" s="66">
        <f t="shared" si="114"/>
        <v>2047.0396517975712</v>
      </c>
      <c r="EL47" s="66">
        <f t="shared" si="114"/>
        <v>2021.4516561501016</v>
      </c>
      <c r="EM47" s="66">
        <f t="shared" si="114"/>
        <v>1996.1835104482254</v>
      </c>
      <c r="EN47" s="66">
        <f t="shared" si="114"/>
        <v>1971.2312165676226</v>
      </c>
      <c r="EO47" s="66">
        <f t="shared" si="114"/>
        <v>1946.5908263605274</v>
      </c>
      <c r="EP47" s="34"/>
      <c r="EQ47" s="34"/>
    </row>
    <row r="48" spans="2:147">
      <c r="B48" s="1" t="s">
        <v>131</v>
      </c>
      <c r="C48" s="1">
        <v>143</v>
      </c>
      <c r="D48" s="1">
        <v>143</v>
      </c>
      <c r="E48" s="1">
        <v>143</v>
      </c>
      <c r="F48" s="1">
        <v>143</v>
      </c>
      <c r="G48" s="1">
        <v>144</v>
      </c>
      <c r="H48" s="1">
        <v>144</v>
      </c>
      <c r="I48" s="1">
        <v>144</v>
      </c>
      <c r="J48" s="1">
        <v>144</v>
      </c>
      <c r="K48" s="1">
        <v>144</v>
      </c>
      <c r="L48" s="1">
        <v>145</v>
      </c>
      <c r="M48" s="1">
        <v>145</v>
      </c>
      <c r="N48" s="1">
        <v>145</v>
      </c>
      <c r="O48" s="1">
        <v>145</v>
      </c>
      <c r="P48" s="1">
        <v>145</v>
      </c>
      <c r="Q48" s="1">
        <v>143</v>
      </c>
      <c r="R48" s="1">
        <v>144</v>
      </c>
      <c r="S48" s="1">
        <v>142</v>
      </c>
      <c r="T48" s="1">
        <v>141</v>
      </c>
      <c r="U48" s="1">
        <v>140</v>
      </c>
      <c r="V48" s="1">
        <v>140</v>
      </c>
      <c r="W48" s="1">
        <v>137</v>
      </c>
      <c r="X48" s="1">
        <v>137</v>
      </c>
      <c r="Y48" s="1">
        <v>137</v>
      </c>
      <c r="Z48" s="1">
        <v>137</v>
      </c>
      <c r="AA48" s="1">
        <v>137</v>
      </c>
      <c r="AB48" s="1">
        <v>136</v>
      </c>
      <c r="AC48" s="1">
        <v>135</v>
      </c>
      <c r="AD48" s="1">
        <v>136</v>
      </c>
      <c r="AE48" s="1">
        <v>136</v>
      </c>
      <c r="AF48" s="1">
        <v>134</v>
      </c>
      <c r="AG48" s="1">
        <v>132</v>
      </c>
      <c r="AH48" s="1">
        <v>133</v>
      </c>
      <c r="AI48" s="1">
        <v>131</v>
      </c>
      <c r="AJ48" s="1">
        <v>130</v>
      </c>
      <c r="AK48" s="1">
        <v>130</v>
      </c>
      <c r="AL48" s="1">
        <v>130</v>
      </c>
      <c r="AM48" s="59">
        <v>130</v>
      </c>
      <c r="AN48" s="59">
        <v>130</v>
      </c>
      <c r="AO48" s="59">
        <v>130</v>
      </c>
      <c r="AP48" s="59">
        <v>130</v>
      </c>
      <c r="AQ48" s="59">
        <v>130</v>
      </c>
      <c r="AR48" s="59">
        <v>130</v>
      </c>
      <c r="AS48" s="59">
        <v>130</v>
      </c>
      <c r="AT48" s="59">
        <v>130</v>
      </c>
      <c r="AU48" s="59">
        <v>128</v>
      </c>
      <c r="AV48" s="59">
        <v>128</v>
      </c>
      <c r="AW48" s="59">
        <v>128</v>
      </c>
      <c r="AX48" s="59">
        <v>128</v>
      </c>
      <c r="AY48" s="59">
        <v>127</v>
      </c>
      <c r="AZ48" s="59">
        <v>127</v>
      </c>
      <c r="BA48" s="59">
        <v>126</v>
      </c>
      <c r="BB48" s="59">
        <v>127</v>
      </c>
      <c r="BC48" s="59">
        <v>126</v>
      </c>
      <c r="BD48" s="59">
        <v>125</v>
      </c>
      <c r="BE48" s="59">
        <v>123</v>
      </c>
      <c r="BF48" s="59">
        <v>124</v>
      </c>
      <c r="BG48" s="59">
        <v>121</v>
      </c>
      <c r="BH48" s="59">
        <v>120</v>
      </c>
      <c r="BI48" s="59">
        <v>118.535</v>
      </c>
      <c r="BJ48" s="59">
        <v>118.98</v>
      </c>
      <c r="BS48" s="59">
        <f>AVERAGE(C48:F48)</f>
        <v>143</v>
      </c>
      <c r="BT48" s="59">
        <f>AVERAGE(G48:J48)</f>
        <v>144</v>
      </c>
      <c r="BU48" s="59">
        <f>AVERAGE(K48:N48)</f>
        <v>144.75</v>
      </c>
      <c r="BV48" s="59">
        <f>AVERAGE(O48:R48)</f>
        <v>144.25</v>
      </c>
      <c r="BW48" s="59">
        <f>AVERAGE(S48:V48)</f>
        <v>140.75</v>
      </c>
      <c r="BX48" s="59">
        <f>AVERAGE(W48:Z48)</f>
        <v>137</v>
      </c>
      <c r="BY48" s="59">
        <f>AVERAGE(AA48:AD48)</f>
        <v>136</v>
      </c>
      <c r="BZ48" s="59">
        <f>AVERAGE(AE48:AH48)</f>
        <v>133.75</v>
      </c>
      <c r="CA48" s="59">
        <f>AVERAGE(AI48:AL48)</f>
        <v>130.25</v>
      </c>
      <c r="CB48" s="59">
        <f>AVERAGE(AM48:AP48)</f>
        <v>130</v>
      </c>
      <c r="CC48" s="59">
        <f>AVERAGE(AQ48:AT48)</f>
        <v>130</v>
      </c>
      <c r="CD48" s="59">
        <f>AVERAGE(AU48:AX48)</f>
        <v>128</v>
      </c>
      <c r="CE48" s="59">
        <f>AVERAGE(AY48:BB48)</f>
        <v>126.75</v>
      </c>
      <c r="CF48" s="59">
        <f>AVERAGE(BC48:BF48)</f>
        <v>124.5</v>
      </c>
      <c r="CG48" s="59">
        <f>AVERAGE(BG48:BJ48)</f>
        <v>119.62875</v>
      </c>
    </row>
    <row r="49" spans="2:108">
      <c r="B49" s="1" t="s">
        <v>1497</v>
      </c>
      <c r="C49" s="39">
        <f t="shared" ref="C49:AL49" si="115">C47/C48</f>
        <v>0.23426573426573435</v>
      </c>
      <c r="D49" s="39">
        <f t="shared" si="115"/>
        <v>0.26741258741258744</v>
      </c>
      <c r="E49" s="39">
        <f t="shared" si="115"/>
        <v>0.27202797202797208</v>
      </c>
      <c r="F49" s="39">
        <f t="shared" si="115"/>
        <v>0.51839160839160825</v>
      </c>
      <c r="G49" s="39">
        <f t="shared" si="115"/>
        <v>0.32638888888888878</v>
      </c>
      <c r="H49" s="39">
        <f t="shared" si="115"/>
        <v>0.40000000000000013</v>
      </c>
      <c r="I49" s="39">
        <f t="shared" si="115"/>
        <v>0.39791666666666675</v>
      </c>
      <c r="J49" s="39">
        <f t="shared" si="115"/>
        <v>0.75972222222222219</v>
      </c>
      <c r="K49" s="39">
        <f t="shared" si="115"/>
        <v>0.32847222222222233</v>
      </c>
      <c r="L49" s="39">
        <f t="shared" si="115"/>
        <v>0.38896551724137934</v>
      </c>
      <c r="M49" s="39">
        <f t="shared" si="115"/>
        <v>0.45586206896551701</v>
      </c>
      <c r="N49" s="39">
        <f t="shared" si="115"/>
        <v>0.75655172413793115</v>
      </c>
      <c r="O49" s="39">
        <f t="shared" si="115"/>
        <v>0.13034482758620694</v>
      </c>
      <c r="P49" s="39">
        <f t="shared" si="115"/>
        <v>0.329655172413793</v>
      </c>
      <c r="Q49" s="39">
        <f t="shared" si="115"/>
        <v>0.41608391608391576</v>
      </c>
      <c r="R49" s="39">
        <f t="shared" si="115"/>
        <v>0.77013888888888915</v>
      </c>
      <c r="S49" s="39">
        <f t="shared" si="115"/>
        <v>0.33591549295774648</v>
      </c>
      <c r="T49" s="39">
        <f t="shared" si="115"/>
        <v>0.33758865248226944</v>
      </c>
      <c r="U49" s="39">
        <f t="shared" si="115"/>
        <v>0.37999999999999989</v>
      </c>
      <c r="V49" s="39">
        <f t="shared" si="115"/>
        <v>0.8385714285714283</v>
      </c>
      <c r="W49" s="39">
        <f t="shared" si="115"/>
        <v>0.33065693430656951</v>
      </c>
      <c r="X49" s="39">
        <f t="shared" si="115"/>
        <v>0.39124087591240897</v>
      </c>
      <c r="Y49" s="39">
        <f t="shared" si="115"/>
        <v>0.49781021897810201</v>
      </c>
      <c r="Z49" s="39">
        <f t="shared" si="115"/>
        <v>0.99343065693430632</v>
      </c>
      <c r="AA49" s="39">
        <f t="shared" si="115"/>
        <v>0.2233576642335765</v>
      </c>
      <c r="AB49" s="39">
        <f t="shared" si="115"/>
        <v>0.35294117647058826</v>
      </c>
      <c r="AC49" s="39">
        <f t="shared" si="115"/>
        <v>0.4288888888888886</v>
      </c>
      <c r="AD49" s="39">
        <f t="shared" si="115"/>
        <v>0.873529411764706</v>
      </c>
      <c r="AE49" s="39">
        <f t="shared" si="115"/>
        <v>0.55220588235294155</v>
      </c>
      <c r="AF49" s="39">
        <f t="shared" si="115"/>
        <v>0.71492537313432825</v>
      </c>
      <c r="AG49" s="39">
        <f t="shared" si="115"/>
        <v>0.71515151515151587</v>
      </c>
      <c r="AH49" s="39">
        <f t="shared" si="115"/>
        <v>1.6360902255639096</v>
      </c>
      <c r="AI49" s="39">
        <f t="shared" si="115"/>
        <v>0.73740458015267152</v>
      </c>
      <c r="AJ49" s="39">
        <f t="shared" si="115"/>
        <v>0.96153846153846123</v>
      </c>
      <c r="AK49" s="39">
        <f t="shared" si="115"/>
        <v>0.9684615384615386</v>
      </c>
      <c r="AL49" s="39">
        <f t="shared" si="115"/>
        <v>2.2923076923076922</v>
      </c>
      <c r="AM49" s="39">
        <f>AM47/AM48</f>
        <v>0.21275384615384646</v>
      </c>
      <c r="AN49" s="39">
        <f t="shared" ref="AN49:BH49" si="116">AN47/AN48</f>
        <v>0.66186153846153895</v>
      </c>
      <c r="AO49" s="39">
        <f t="shared" si="116"/>
        <v>1.1024769230769231</v>
      </c>
      <c r="AP49" s="39">
        <f t="shared" si="116"/>
        <v>2.5373615384615396</v>
      </c>
      <c r="AQ49" s="39">
        <f t="shared" si="116"/>
        <v>1.1058846153846142</v>
      </c>
      <c r="AR49" s="39">
        <f t="shared" si="116"/>
        <v>1.6031923076923085</v>
      </c>
      <c r="AS49" s="39">
        <f t="shared" si="116"/>
        <v>1.4393692307692298</v>
      </c>
      <c r="AT49" s="39">
        <f t="shared" si="116"/>
        <v>3.3478384615384589</v>
      </c>
      <c r="AU49" s="39">
        <f t="shared" si="116"/>
        <v>1.4856093750000006</v>
      </c>
      <c r="AV49" s="39">
        <f t="shared" si="116"/>
        <v>2.2611562499999995</v>
      </c>
      <c r="AW49" s="39">
        <f t="shared" si="116"/>
        <v>2.0053515624999996</v>
      </c>
      <c r="AX49" s="39">
        <f t="shared" si="116"/>
        <v>0.92927343749999824</v>
      </c>
      <c r="AY49" s="39">
        <f t="shared" si="116"/>
        <v>2.2857637795275583</v>
      </c>
      <c r="AZ49" s="39">
        <f t="shared" si="116"/>
        <v>2.6885826771653547</v>
      </c>
      <c r="BA49" s="39">
        <f t="shared" si="116"/>
        <v>1.9714920634920654</v>
      </c>
      <c r="BB49" s="39">
        <f t="shared" si="116"/>
        <v>5.2710236220472426</v>
      </c>
      <c r="BC49" s="39">
        <f t="shared" si="116"/>
        <v>2.5514920634920637</v>
      </c>
      <c r="BD49" s="39">
        <f t="shared" si="116"/>
        <v>3.1430079999999991</v>
      </c>
      <c r="BE49" s="39">
        <f t="shared" si="116"/>
        <v>2.8613821138211399</v>
      </c>
      <c r="BF49" s="39">
        <f t="shared" si="116"/>
        <v>6.0331612903225826</v>
      </c>
      <c r="BG49" s="39">
        <f t="shared" si="116"/>
        <v>2.597190082644627</v>
      </c>
      <c r="BH49" s="39">
        <f t="shared" si="116"/>
        <v>3.10425</v>
      </c>
      <c r="BI49" s="39">
        <f t="shared" ref="BI49:BJ49" si="117">BI47/BI48</f>
        <v>2.5886025224617195</v>
      </c>
      <c r="BJ49" s="39">
        <f t="shared" si="117"/>
        <v>4.9310220205076449</v>
      </c>
      <c r="BS49" s="39">
        <f t="shared" si="79"/>
        <v>1.2920979020979022</v>
      </c>
      <c r="BT49" s="39">
        <f t="shared" si="80"/>
        <v>1.8840277777777779</v>
      </c>
      <c r="BU49" s="39">
        <f t="shared" si="81"/>
        <v>1.9298515325670498</v>
      </c>
      <c r="BV49" s="39">
        <f t="shared" si="82"/>
        <v>1.6462228049728049</v>
      </c>
      <c r="BW49" s="39">
        <f t="shared" si="83"/>
        <v>1.8920755740114441</v>
      </c>
      <c r="BX49" s="39">
        <f t="shared" si="84"/>
        <v>2.2131386861313871</v>
      </c>
      <c r="BY49" s="39">
        <f t="shared" si="85"/>
        <v>1.8787171413577592</v>
      </c>
      <c r="BZ49" s="39">
        <f t="shared" si="86"/>
        <v>3.6183729962026954</v>
      </c>
      <c r="CA49" s="39">
        <f t="shared" si="87"/>
        <v>4.9597122724603633</v>
      </c>
      <c r="CB49" s="39">
        <f t="shared" si="88"/>
        <v>4.5144538461538479</v>
      </c>
      <c r="CC49" s="39">
        <f t="shared" si="89"/>
        <v>7.4962846153846119</v>
      </c>
      <c r="CD49" s="39">
        <f t="shared" si="90"/>
        <v>6.6813906249999979</v>
      </c>
      <c r="CE49" s="39">
        <f t="shared" si="91"/>
        <v>12.216862142232221</v>
      </c>
      <c r="CF49" s="39">
        <f t="shared" si="92"/>
        <v>14.589043467635786</v>
      </c>
      <c r="CG49" s="39">
        <f t="shared" si="77"/>
        <v>13.221064625613991</v>
      </c>
    </row>
    <row r="50" spans="2:108">
      <c r="CG50" s="59"/>
    </row>
    <row r="51" spans="2:108">
      <c r="B51" s="37" t="s">
        <v>115</v>
      </c>
      <c r="C51" s="63">
        <f t="shared" ref="C51:BG51" si="118">C40/C38</f>
        <v>0.58725910064239839</v>
      </c>
      <c r="D51" s="63">
        <f t="shared" si="118"/>
        <v>0.57405660377358492</v>
      </c>
      <c r="E51" s="63">
        <f t="shared" si="118"/>
        <v>0.55821025195482188</v>
      </c>
      <c r="F51" s="63">
        <f t="shared" si="118"/>
        <v>0.56268841515934542</v>
      </c>
      <c r="G51" s="63">
        <f t="shared" si="118"/>
        <v>0.55057752887644373</v>
      </c>
      <c r="H51" s="63">
        <f t="shared" si="118"/>
        <v>0.55095541401273884</v>
      </c>
      <c r="I51" s="63">
        <f t="shared" si="118"/>
        <v>0.553870458135861</v>
      </c>
      <c r="J51" s="63">
        <f t="shared" si="118"/>
        <v>0.56539649845520079</v>
      </c>
      <c r="K51" s="63">
        <f t="shared" si="118"/>
        <v>0.4936379410063621</v>
      </c>
      <c r="L51" s="63">
        <f t="shared" si="118"/>
        <v>0.53962264150943395</v>
      </c>
      <c r="M51" s="63">
        <f t="shared" si="118"/>
        <v>0.53856277967886279</v>
      </c>
      <c r="N51" s="63">
        <f t="shared" si="118"/>
        <v>0.53512476007677545</v>
      </c>
      <c r="O51" s="63">
        <f t="shared" si="118"/>
        <v>0.50884035361414459</v>
      </c>
      <c r="P51" s="63">
        <f t="shared" si="118"/>
        <v>0.50499104171998976</v>
      </c>
      <c r="Q51" s="63">
        <f t="shared" si="118"/>
        <v>0.5033381020505483</v>
      </c>
      <c r="R51" s="63">
        <f t="shared" si="118"/>
        <v>0.51468879668049794</v>
      </c>
      <c r="S51" s="63">
        <f t="shared" si="118"/>
        <v>0.48595041322314053</v>
      </c>
      <c r="T51" s="63">
        <f t="shared" si="118"/>
        <v>0.46799116997792495</v>
      </c>
      <c r="U51" s="63">
        <f t="shared" si="118"/>
        <v>0.46862622472378568</v>
      </c>
      <c r="V51" s="63">
        <f t="shared" si="118"/>
        <v>0.50333664631549047</v>
      </c>
      <c r="W51" s="63">
        <f t="shared" si="118"/>
        <v>0.48254288597376394</v>
      </c>
      <c r="X51" s="63">
        <f t="shared" si="118"/>
        <v>0.4938775510204082</v>
      </c>
      <c r="Y51" s="63">
        <f t="shared" si="118"/>
        <v>0.51138868479059518</v>
      </c>
      <c r="Z51" s="63">
        <f t="shared" si="118"/>
        <v>0.54171414103051019</v>
      </c>
      <c r="AA51" s="63">
        <f t="shared" si="118"/>
        <v>0.49375360369017873</v>
      </c>
      <c r="AB51" s="63">
        <f t="shared" si="118"/>
        <v>0.51196007571846491</v>
      </c>
      <c r="AC51" s="63">
        <f t="shared" si="118"/>
        <v>0.5200323101777059</v>
      </c>
      <c r="AD51" s="63">
        <f t="shared" si="118"/>
        <v>0.56255383290267014</v>
      </c>
      <c r="AE51" s="63">
        <f t="shared" si="118"/>
        <v>0.53055256272125595</v>
      </c>
      <c r="AF51" s="63">
        <f t="shared" si="118"/>
        <v>0.54761575673807872</v>
      </c>
      <c r="AG51" s="63">
        <f t="shared" si="118"/>
        <v>0.54406847666176283</v>
      </c>
      <c r="AH51" s="63">
        <f t="shared" si="118"/>
        <v>0.57267665952890789</v>
      </c>
      <c r="AI51" s="63">
        <f t="shared" si="118"/>
        <v>0.53905151476415691</v>
      </c>
      <c r="AJ51" s="63">
        <f t="shared" si="118"/>
        <v>0.54992076069730578</v>
      </c>
      <c r="AK51" s="63">
        <f t="shared" si="118"/>
        <v>0.551249863552014</v>
      </c>
      <c r="AL51" s="63">
        <f t="shared" si="118"/>
        <v>0.58017889087656527</v>
      </c>
      <c r="AM51" s="63">
        <f t="shared" si="118"/>
        <v>0.51285205488697128</v>
      </c>
      <c r="AN51" s="63">
        <f t="shared" si="118"/>
        <v>0.54216328402045755</v>
      </c>
      <c r="AO51" s="63">
        <f t="shared" si="118"/>
        <v>0.56140115372706101</v>
      </c>
      <c r="AP51" s="63">
        <f t="shared" si="118"/>
        <v>0.58555861414223409</v>
      </c>
      <c r="AQ51" s="63">
        <f t="shared" si="118"/>
        <v>0.57096207392791476</v>
      </c>
      <c r="AR51" s="63">
        <f t="shared" si="118"/>
        <v>0.5809363614742713</v>
      </c>
      <c r="AS51" s="63">
        <f t="shared" si="118"/>
        <v>0.57184756394363556</v>
      </c>
      <c r="AT51" s="63">
        <f t="shared" si="118"/>
        <v>0.58062466212550812</v>
      </c>
      <c r="AU51" s="63">
        <f t="shared" si="118"/>
        <v>0.53943641545054166</v>
      </c>
      <c r="AV51" s="63">
        <f t="shared" si="118"/>
        <v>0.56490509161132296</v>
      </c>
      <c r="AW51" s="63">
        <f t="shared" si="118"/>
        <v>0.55947729665542023</v>
      </c>
      <c r="AX51" s="63">
        <f t="shared" si="118"/>
        <v>0.55112962584154168</v>
      </c>
      <c r="AY51" s="63">
        <f t="shared" si="118"/>
        <v>0.57516823337958167</v>
      </c>
      <c r="AZ51" s="63">
        <f t="shared" si="118"/>
        <v>0.58775999818934888</v>
      </c>
      <c r="BA51" s="63">
        <f t="shared" si="118"/>
        <v>0.5700950182559904</v>
      </c>
      <c r="BB51" s="63">
        <f t="shared" si="118"/>
        <v>0.59386856030351431</v>
      </c>
      <c r="BC51" s="63">
        <f t="shared" si="118"/>
        <v>0.57725335100738473</v>
      </c>
      <c r="BD51" s="63">
        <f t="shared" si="118"/>
        <v>0.5955844519534591</v>
      </c>
      <c r="BE51" s="63">
        <f t="shared" si="118"/>
        <v>0.58479544364008096</v>
      </c>
      <c r="BF51" s="63">
        <f t="shared" si="118"/>
        <v>0.60418240338118778</v>
      </c>
      <c r="BG51" s="63">
        <f t="shared" si="118"/>
        <v>0.58344933478440597</v>
      </c>
      <c r="BH51" s="63">
        <f>BH40/BH38</f>
        <v>0.58498501114758772</v>
      </c>
      <c r="BI51" s="63">
        <f>BI40/BI38</f>
        <v>0.55571438982632715</v>
      </c>
      <c r="BJ51" s="63">
        <f t="shared" ref="BJ51" si="119">BJ40/BJ38</f>
        <v>0.54875215372035702</v>
      </c>
      <c r="BS51" s="63">
        <f t="shared" ref="BS51:CF51" si="120">BS40/BS38</f>
        <v>0.56865429976412274</v>
      </c>
      <c r="BT51" s="63">
        <f t="shared" si="120"/>
        <v>0.55666642341093187</v>
      </c>
      <c r="BU51" s="63">
        <f t="shared" si="120"/>
        <v>0.52790346907993968</v>
      </c>
      <c r="BV51" s="63">
        <f t="shared" si="120"/>
        <v>0.50868016915201431</v>
      </c>
      <c r="BW51" s="63">
        <f t="shared" si="120"/>
        <v>0.48391167192429019</v>
      </c>
      <c r="BX51" s="63">
        <f t="shared" si="120"/>
        <v>0.51166659557223904</v>
      </c>
      <c r="BY51" s="63">
        <f t="shared" si="120"/>
        <v>0.52800845538275709</v>
      </c>
      <c r="BZ51" s="63">
        <f t="shared" si="120"/>
        <v>0.55233548230142326</v>
      </c>
      <c r="CA51" s="63">
        <f t="shared" si="120"/>
        <v>0.55871635714824219</v>
      </c>
      <c r="CB51" s="63">
        <f t="shared" si="120"/>
        <v>0.55975618593786891</v>
      </c>
      <c r="CC51" s="63">
        <f t="shared" si="120"/>
        <v>0.57676808409400804</v>
      </c>
      <c r="CD51" s="63">
        <f t="shared" si="120"/>
        <v>0.55388792676374066</v>
      </c>
      <c r="CE51" s="63">
        <f t="shared" si="120"/>
        <v>0.58312844945614373</v>
      </c>
      <c r="CF51" s="63">
        <f t="shared" si="120"/>
        <v>0.59225079112205514</v>
      </c>
      <c r="CG51" s="63">
        <f t="shared" ref="CG51" si="121">CG40/CG38</f>
        <v>0.56601078307924824</v>
      </c>
      <c r="CH51" s="68">
        <v>0.56399999999999995</v>
      </c>
      <c r="CI51" s="68">
        <v>0.56799999999999995</v>
      </c>
      <c r="CJ51" s="68">
        <v>0.56899999999999995</v>
      </c>
      <c r="CK51" s="68">
        <v>0.56999999999999995</v>
      </c>
      <c r="CL51" s="68">
        <v>0.57499999999999996</v>
      </c>
      <c r="CM51" s="68">
        <v>0.57999999999999996</v>
      </c>
      <c r="CN51" s="68">
        <v>0.58499999999999996</v>
      </c>
      <c r="CO51" s="68">
        <v>0.59</v>
      </c>
      <c r="CP51" s="68">
        <v>0.59499999999999997</v>
      </c>
      <c r="CQ51" s="68">
        <v>0.59750000000000003</v>
      </c>
    </row>
    <row r="52" spans="2:108">
      <c r="B52" s="37" t="s">
        <v>116</v>
      </c>
      <c r="C52" s="63">
        <f t="shared" ref="C52:BG52" si="122">C41/C38</f>
        <v>0.31049250535331901</v>
      </c>
      <c r="D52" s="63">
        <f t="shared" si="122"/>
        <v>0.29716981132075471</v>
      </c>
      <c r="E52" s="63">
        <f t="shared" si="122"/>
        <v>0.2988705473501303</v>
      </c>
      <c r="F52" s="63">
        <f t="shared" si="122"/>
        <v>0.2502422480620155</v>
      </c>
      <c r="G52" s="63">
        <f t="shared" si="122"/>
        <v>0.29471473573678686</v>
      </c>
      <c r="H52" s="63">
        <f t="shared" si="122"/>
        <v>0.30290162774239204</v>
      </c>
      <c r="I52" s="63">
        <f t="shared" si="122"/>
        <v>0.29921011058451819</v>
      </c>
      <c r="J52" s="63">
        <f t="shared" si="122"/>
        <v>0.25108135942327497</v>
      </c>
      <c r="K52" s="63">
        <f t="shared" si="122"/>
        <v>0.3030653556969346</v>
      </c>
      <c r="L52" s="63">
        <f t="shared" si="122"/>
        <v>0.31059506531204645</v>
      </c>
      <c r="M52" s="63">
        <f t="shared" si="122"/>
        <v>0.29560410634377471</v>
      </c>
      <c r="N52" s="63">
        <f t="shared" si="122"/>
        <v>0.23915547024952014</v>
      </c>
      <c r="O52" s="63">
        <f t="shared" si="122"/>
        <v>0.32735309412376495</v>
      </c>
      <c r="P52" s="63">
        <f t="shared" si="122"/>
        <v>0.33120040952137192</v>
      </c>
      <c r="Q52" s="63">
        <f t="shared" si="122"/>
        <v>0.30972818311874106</v>
      </c>
      <c r="R52" s="63">
        <f t="shared" si="122"/>
        <v>0.25377593360995854</v>
      </c>
      <c r="S52" s="63">
        <f t="shared" si="122"/>
        <v>0.32538370720188903</v>
      </c>
      <c r="T52" s="63">
        <f t="shared" si="122"/>
        <v>0.32097130242825606</v>
      </c>
      <c r="U52" s="63">
        <f t="shared" si="122"/>
        <v>0.32645403377110693</v>
      </c>
      <c r="V52" s="63">
        <f t="shared" si="122"/>
        <v>0.2672156751384353</v>
      </c>
      <c r="W52" s="63">
        <f t="shared" si="122"/>
        <v>0.36629667003027244</v>
      </c>
      <c r="X52" s="63">
        <f t="shared" si="122"/>
        <v>0.35024295432458696</v>
      </c>
      <c r="Y52" s="63">
        <f t="shared" si="122"/>
        <v>0.34074210139603234</v>
      </c>
      <c r="Z52" s="63">
        <f t="shared" si="122"/>
        <v>0.29282187618685912</v>
      </c>
      <c r="AA52" s="63">
        <f t="shared" si="122"/>
        <v>0.38266384778012685</v>
      </c>
      <c r="AB52" s="63">
        <f t="shared" si="122"/>
        <v>0.38805713302357597</v>
      </c>
      <c r="AC52" s="63">
        <f t="shared" si="122"/>
        <v>0.34798061389337642</v>
      </c>
      <c r="AD52" s="63">
        <f t="shared" si="122"/>
        <v>0.28445305770887164</v>
      </c>
      <c r="AE52" s="63">
        <f t="shared" si="122"/>
        <v>0.37001693089118054</v>
      </c>
      <c r="AF52" s="63">
        <f t="shared" si="122"/>
        <v>0.36212854181064269</v>
      </c>
      <c r="AG52" s="63">
        <f t="shared" si="122"/>
        <v>0.36231108733449241</v>
      </c>
      <c r="AH52" s="63">
        <f t="shared" si="122"/>
        <v>0.28873661670235545</v>
      </c>
      <c r="AI52" s="63">
        <f t="shared" si="122"/>
        <v>0.37440879458008436</v>
      </c>
      <c r="AJ52" s="63">
        <f t="shared" si="122"/>
        <v>0.35974643423137881</v>
      </c>
      <c r="AK52" s="63">
        <f t="shared" si="122"/>
        <v>0.35934941600261977</v>
      </c>
      <c r="AL52" s="63">
        <f t="shared" si="122"/>
        <v>0.28214669051878355</v>
      </c>
      <c r="AM52" s="63">
        <f t="shared" si="122"/>
        <v>0.45953880464692509</v>
      </c>
      <c r="AN52" s="63">
        <f t="shared" si="122"/>
        <v>0.39083351976095915</v>
      </c>
      <c r="AO52" s="63">
        <f t="shared" si="122"/>
        <v>0.36843734954207091</v>
      </c>
      <c r="AP52" s="63">
        <f t="shared" si="122"/>
        <v>0.31499395509948497</v>
      </c>
      <c r="AQ52" s="63">
        <f t="shared" si="122"/>
        <v>0.40490352354123443</v>
      </c>
      <c r="AR52" s="63">
        <f t="shared" si="122"/>
        <v>0.37315207687773805</v>
      </c>
      <c r="AS52" s="63">
        <f t="shared" si="122"/>
        <v>0.3758226938716977</v>
      </c>
      <c r="AT52" s="63">
        <f t="shared" si="122"/>
        <v>0.30153316935314561</v>
      </c>
      <c r="AU52" s="63">
        <f t="shared" si="122"/>
        <v>0.37676840673881806</v>
      </c>
      <c r="AV52" s="63">
        <f t="shared" si="122"/>
        <v>0.35448807704000579</v>
      </c>
      <c r="AW52" s="63">
        <f t="shared" si="122"/>
        <v>0.36846654477794805</v>
      </c>
      <c r="AX52" s="63">
        <f t="shared" si="122"/>
        <v>0.28973460656378225</v>
      </c>
      <c r="AY52" s="63">
        <f t="shared" si="122"/>
        <v>0.37360205358677967</v>
      </c>
      <c r="AZ52" s="63">
        <f t="shared" si="122"/>
        <v>0.37000656361043838</v>
      </c>
      <c r="BA52" s="63">
        <f t="shared" si="122"/>
        <v>0.38235955953340151</v>
      </c>
      <c r="BB52" s="63">
        <f t="shared" si="122"/>
        <v>0.30872479033546329</v>
      </c>
      <c r="BC52" s="63">
        <f t="shared" si="122"/>
        <v>0.38136836272368724</v>
      </c>
      <c r="BD52" s="63">
        <f t="shared" si="122"/>
        <v>0.36776552080152641</v>
      </c>
      <c r="BE52" s="63">
        <f t="shared" si="122"/>
        <v>0.37961321010577259</v>
      </c>
      <c r="BF52" s="63">
        <f t="shared" si="122"/>
        <v>0.31515885867193572</v>
      </c>
      <c r="BG52" s="63">
        <f t="shared" si="122"/>
        <v>0.39773733896889474</v>
      </c>
      <c r="BH52" s="63">
        <f>BH41/BH38</f>
        <v>0.37687954665156564</v>
      </c>
      <c r="BI52" s="63">
        <f>BI41/BI38</f>
        <v>0.38514495987204578</v>
      </c>
      <c r="BJ52" s="63">
        <f t="shared" ref="BJ52" si="123">BJ41/BJ38</f>
        <v>0.32514894419979384</v>
      </c>
      <c r="BS52" s="63">
        <f t="shared" ref="BS52:CF52" si="124">BS41/BS38</f>
        <v>0.28262303602126893</v>
      </c>
      <c r="BT52" s="63">
        <f t="shared" si="124"/>
        <v>0.28198204772677515</v>
      </c>
      <c r="BU52" s="63">
        <f t="shared" si="124"/>
        <v>0.28198843640020116</v>
      </c>
      <c r="BV52" s="63">
        <f t="shared" si="124"/>
        <v>0.29941019363454269</v>
      </c>
      <c r="BW52" s="63">
        <f t="shared" si="124"/>
        <v>0.30478039310846883</v>
      </c>
      <c r="BX52" s="63">
        <f t="shared" si="124"/>
        <v>0.33208207140724305</v>
      </c>
      <c r="BY52" s="63">
        <f t="shared" si="124"/>
        <v>0.34131058432734412</v>
      </c>
      <c r="BZ52" s="63">
        <f t="shared" si="124"/>
        <v>0.33767181608076879</v>
      </c>
      <c r="CA52" s="63">
        <f t="shared" si="124"/>
        <v>0.33528510039454179</v>
      </c>
      <c r="CB52" s="63">
        <f t="shared" si="124"/>
        <v>0.36552572208368289</v>
      </c>
      <c r="CC52" s="63">
        <f t="shared" si="124"/>
        <v>0.35562349429412099</v>
      </c>
      <c r="CD52" s="63">
        <f t="shared" si="124"/>
        <v>0.33999061465617858</v>
      </c>
      <c r="CE52" s="63">
        <f t="shared" si="124"/>
        <v>0.35316609264528387</v>
      </c>
      <c r="CF52" s="63">
        <f t="shared" si="124"/>
        <v>0.35534144569114495</v>
      </c>
      <c r="CG52" s="63">
        <f t="shared" ref="CG52" si="125">CG41/CG38</f>
        <v>0.36627972957636873</v>
      </c>
      <c r="CH52" s="68">
        <v>0.36249999999999999</v>
      </c>
      <c r="CI52" s="68">
        <v>0.36</v>
      </c>
      <c r="CJ52" s="68">
        <v>0.35</v>
      </c>
      <c r="CK52" s="68">
        <v>0.33</v>
      </c>
      <c r="CL52" s="68">
        <v>0.32750000000000001</v>
      </c>
      <c r="CM52" s="68">
        <v>0.32500000000000001</v>
      </c>
      <c r="CN52" s="68">
        <v>0.32250000000000001</v>
      </c>
      <c r="CO52" s="68">
        <v>0.32</v>
      </c>
      <c r="CP52" s="68">
        <v>0.32</v>
      </c>
      <c r="CQ52" s="68">
        <v>0.32</v>
      </c>
    </row>
    <row r="53" spans="2:108">
      <c r="B53" s="37" t="s">
        <v>117</v>
      </c>
      <c r="C53" s="63">
        <f t="shared" ref="C53:BG53" si="126">C43/C38</f>
        <v>0.27676659528907932</v>
      </c>
      <c r="D53" s="63">
        <f t="shared" si="126"/>
        <v>0.27688679245283021</v>
      </c>
      <c r="E53" s="63">
        <f t="shared" si="126"/>
        <v>0.25933970460469158</v>
      </c>
      <c r="F53" s="63">
        <f t="shared" si="126"/>
        <v>0.30975452196382425</v>
      </c>
      <c r="G53" s="63">
        <f t="shared" si="126"/>
        <v>0.25586279313965693</v>
      </c>
      <c r="H53" s="63">
        <f t="shared" si="126"/>
        <v>0.24805378627034683</v>
      </c>
      <c r="I53" s="63">
        <f t="shared" si="126"/>
        <v>0.25466034755134281</v>
      </c>
      <c r="J53" s="63">
        <f t="shared" si="126"/>
        <v>0.31431513903192582</v>
      </c>
      <c r="K53" s="63">
        <f t="shared" si="126"/>
        <v>0.19057258530942747</v>
      </c>
      <c r="L53" s="63">
        <f t="shared" si="126"/>
        <v>0.22902757619738753</v>
      </c>
      <c r="M53" s="63">
        <f t="shared" si="126"/>
        <v>0.24295867333508811</v>
      </c>
      <c r="N53" s="63">
        <f t="shared" si="126"/>
        <v>0.29596928982725529</v>
      </c>
      <c r="O53" s="63">
        <f t="shared" si="126"/>
        <v>0.18148725949037964</v>
      </c>
      <c r="P53" s="63">
        <f t="shared" si="126"/>
        <v>0.1712311236242641</v>
      </c>
      <c r="Q53" s="63">
        <f t="shared" si="126"/>
        <v>0.19122556032427268</v>
      </c>
      <c r="R53" s="63">
        <f t="shared" si="126"/>
        <v>0.26091286307053946</v>
      </c>
      <c r="S53" s="63">
        <f t="shared" si="126"/>
        <v>0.16056670602125148</v>
      </c>
      <c r="T53" s="63">
        <f t="shared" si="126"/>
        <v>0.14701986754966886</v>
      </c>
      <c r="U53" s="63">
        <f t="shared" si="126"/>
        <v>0.14217219095267875</v>
      </c>
      <c r="V53" s="63">
        <f t="shared" si="126"/>
        <v>0.23612097117705519</v>
      </c>
      <c r="W53" s="63">
        <f t="shared" si="126"/>
        <v>0.11624621594349147</v>
      </c>
      <c r="X53" s="63">
        <f t="shared" si="126"/>
        <v>0.14363459669582126</v>
      </c>
      <c r="Y53" s="63">
        <f t="shared" si="126"/>
        <v>0.17064658339456279</v>
      </c>
      <c r="Z53" s="63">
        <f t="shared" si="126"/>
        <v>0.24889226484365107</v>
      </c>
      <c r="AA53" s="63">
        <f t="shared" si="126"/>
        <v>8.6104170670766839E-2</v>
      </c>
      <c r="AB53" s="63">
        <f t="shared" si="126"/>
        <v>0.11701944587850628</v>
      </c>
      <c r="AC53" s="63">
        <f t="shared" si="126"/>
        <v>0.1365105008077544</v>
      </c>
      <c r="AD53" s="63">
        <f t="shared" si="126"/>
        <v>0.27487080103359174</v>
      </c>
      <c r="AE53" s="63">
        <f t="shared" si="126"/>
        <v>0.16053563183007546</v>
      </c>
      <c r="AF53" s="63">
        <f t="shared" si="126"/>
        <v>0.18548721492743606</v>
      </c>
      <c r="AG53" s="63">
        <f t="shared" si="126"/>
        <v>0.1817573893272704</v>
      </c>
      <c r="AH53" s="63">
        <f t="shared" si="126"/>
        <v>0.28308351177730195</v>
      </c>
      <c r="AI53" s="63">
        <f t="shared" si="126"/>
        <v>0.16464272018407256</v>
      </c>
      <c r="AJ53" s="63">
        <f t="shared" si="126"/>
        <v>0.19017432646592705</v>
      </c>
      <c r="AK53" s="63">
        <f t="shared" si="126"/>
        <v>0.19190044754939417</v>
      </c>
      <c r="AL53" s="63">
        <f t="shared" si="126"/>
        <v>0.29803220035778172</v>
      </c>
      <c r="AM53" s="63">
        <f t="shared" si="126"/>
        <v>4.8711726829028919E-2</v>
      </c>
      <c r="AN53" s="63">
        <f t="shared" si="126"/>
        <v>0.13693238325385246</v>
      </c>
      <c r="AO53" s="63">
        <f t="shared" si="126"/>
        <v>0.18311971663346524</v>
      </c>
      <c r="AP53" s="63">
        <f t="shared" si="126"/>
        <v>0.26478283167308164</v>
      </c>
      <c r="AQ53" s="63">
        <f t="shared" si="126"/>
        <v>0.15708968458129655</v>
      </c>
      <c r="AR53" s="63">
        <f t="shared" si="126"/>
        <v>0.20089065672145956</v>
      </c>
      <c r="AS53" s="63">
        <f t="shared" si="126"/>
        <v>0.17740954676513934</v>
      </c>
      <c r="AT53" s="63">
        <f t="shared" si="126"/>
        <v>0.27768245927071228</v>
      </c>
      <c r="AU53" s="63">
        <f t="shared" si="126"/>
        <v>0.16142843507547147</v>
      </c>
      <c r="AV53" s="63">
        <f t="shared" si="126"/>
        <v>0.21469891796301288</v>
      </c>
      <c r="AW53" s="63">
        <f t="shared" si="126"/>
        <v>0.19047221556531499</v>
      </c>
      <c r="AX53" s="63">
        <f t="shared" si="126"/>
        <v>0.11311843691228261</v>
      </c>
      <c r="AY53" s="63">
        <f t="shared" si="126"/>
        <v>0.2005665756360481</v>
      </c>
      <c r="AZ53" s="63">
        <f t="shared" si="126"/>
        <v>0.21684810900119958</v>
      </c>
      <c r="BA53" s="63">
        <f t="shared" si="126"/>
        <v>0.15325595406604106</v>
      </c>
      <c r="BB53" s="63">
        <f t="shared" si="126"/>
        <v>0.28514376996805108</v>
      </c>
      <c r="BC53" s="63">
        <f t="shared" si="126"/>
        <v>0.19588498828369749</v>
      </c>
      <c r="BD53" s="63">
        <f t="shared" si="126"/>
        <v>0.22781893115193269</v>
      </c>
      <c r="BE53" s="63">
        <f t="shared" si="126"/>
        <v>0.20476498445747199</v>
      </c>
      <c r="BF53" s="63">
        <f t="shared" si="126"/>
        <v>0.28846976003402452</v>
      </c>
      <c r="BG53" s="63">
        <f t="shared" si="126"/>
        <v>0.18486834889861892</v>
      </c>
      <c r="BH53" s="63">
        <f>BH43/BH38</f>
        <v>0.20731345115851751</v>
      </c>
      <c r="BI53" s="63">
        <f>BI43/BI38</f>
        <v>0.16987727974053721</v>
      </c>
      <c r="BJ53" s="63">
        <f t="shared" ref="BJ53" si="127">BJ43/BJ38</f>
        <v>0.22305387864676726</v>
      </c>
      <c r="BS53" s="63">
        <f t="shared" ref="BS53:CF53" si="128">BS43/BS38</f>
        <v>0.28503178347259428</v>
      </c>
      <c r="BT53" s="63">
        <f t="shared" si="128"/>
        <v>0.27468437568415677</v>
      </c>
      <c r="BU53" s="63">
        <f t="shared" si="128"/>
        <v>0.24591503267973855</v>
      </c>
      <c r="BV53" s="63">
        <f t="shared" si="128"/>
        <v>0.20815713331849545</v>
      </c>
      <c r="BW53" s="63">
        <f t="shared" si="128"/>
        <v>0.17913127881582136</v>
      </c>
      <c r="BX53" s="63">
        <f t="shared" si="128"/>
        <v>0.17958452416499593</v>
      </c>
      <c r="BY53" s="63">
        <f t="shared" si="128"/>
        <v>0.17084402838592783</v>
      </c>
      <c r="BZ53" s="63">
        <f t="shared" si="128"/>
        <v>0.21435956696265662</v>
      </c>
      <c r="CA53" s="63">
        <f t="shared" si="128"/>
        <v>0.2234312567537004</v>
      </c>
      <c r="CB53" s="63">
        <f t="shared" si="128"/>
        <v>0.18582496247625169</v>
      </c>
      <c r="CC53" s="63">
        <f t="shared" si="128"/>
        <v>0.21299321981831387</v>
      </c>
      <c r="CD53" s="63">
        <f t="shared" si="128"/>
        <v>0.16383885714821173</v>
      </c>
      <c r="CE53" s="63">
        <f t="shared" si="128"/>
        <v>0.22164571739851358</v>
      </c>
      <c r="CF53" s="63">
        <f t="shared" si="128"/>
        <v>0.23662600917291693</v>
      </c>
      <c r="CG53" s="63">
        <f t="shared" ref="CG53" si="129">CG43/CG38</f>
        <v>0.19903067575284297</v>
      </c>
      <c r="CH53" s="68">
        <f>CH43/CH38</f>
        <v>0.2014999999999999</v>
      </c>
      <c r="CI53" s="68">
        <f t="shared" ref="CI53:CQ53" si="130">CI43/CI38</f>
        <v>0.20799999999999993</v>
      </c>
      <c r="CJ53" s="68">
        <f t="shared" si="130"/>
        <v>0.21899999999999997</v>
      </c>
      <c r="CK53" s="68">
        <f t="shared" si="130"/>
        <v>0.23999999999999996</v>
      </c>
      <c r="CL53" s="68">
        <f t="shared" si="130"/>
        <v>0.24749999999999994</v>
      </c>
      <c r="CM53" s="68">
        <f t="shared" si="130"/>
        <v>0.25499999999999984</v>
      </c>
      <c r="CN53" s="68">
        <f t="shared" si="130"/>
        <v>0.2624999999999999</v>
      </c>
      <c r="CO53" s="68">
        <f t="shared" si="130"/>
        <v>0.26999999999999996</v>
      </c>
      <c r="CP53" s="68">
        <f t="shared" si="130"/>
        <v>0.27499999999999997</v>
      </c>
      <c r="CQ53" s="68">
        <f t="shared" si="130"/>
        <v>0.27749999999999997</v>
      </c>
    </row>
    <row r="54" spans="2:108">
      <c r="B54" s="37" t="s">
        <v>118</v>
      </c>
      <c r="C54" s="63">
        <f t="shared" ref="C54:BG54" si="131">C46/C45</f>
        <v>0.3631178707224334</v>
      </c>
      <c r="D54" s="63">
        <f t="shared" si="131"/>
        <v>0.359463986599665</v>
      </c>
      <c r="E54" s="63">
        <f t="shared" si="131"/>
        <v>0.35489220563847423</v>
      </c>
      <c r="F54" s="63">
        <f t="shared" si="131"/>
        <v>0.36467260884470348</v>
      </c>
      <c r="G54" s="63">
        <f t="shared" si="131"/>
        <v>0.36486486486486491</v>
      </c>
      <c r="H54" s="63">
        <f t="shared" si="131"/>
        <v>0.19214586255259458</v>
      </c>
      <c r="I54" s="63">
        <f t="shared" si="131"/>
        <v>0.30121951219512189</v>
      </c>
      <c r="J54" s="63">
        <f t="shared" si="131"/>
        <v>0.29007138221933815</v>
      </c>
      <c r="K54" s="63">
        <f t="shared" si="131"/>
        <v>0.29821958456973285</v>
      </c>
      <c r="L54" s="63">
        <f t="shared" si="131"/>
        <v>0.29675810473815462</v>
      </c>
      <c r="M54" s="63">
        <f t="shared" si="131"/>
        <v>0.29530916844349692</v>
      </c>
      <c r="N54" s="63">
        <f t="shared" si="131"/>
        <v>0.29543994861913936</v>
      </c>
      <c r="O54" s="63">
        <f t="shared" si="131"/>
        <v>0.73529411764705876</v>
      </c>
      <c r="P54" s="63">
        <f t="shared" si="131"/>
        <v>0.30523255813953498</v>
      </c>
      <c r="Q54" s="63">
        <f t="shared" si="131"/>
        <v>0.27439024390243916</v>
      </c>
      <c r="R54" s="63">
        <f t="shared" si="131"/>
        <v>0.30251572327044018</v>
      </c>
      <c r="S54" s="63">
        <f t="shared" si="131"/>
        <v>0.30364963503649633</v>
      </c>
      <c r="T54" s="63">
        <f t="shared" si="131"/>
        <v>0.29376854599406532</v>
      </c>
      <c r="U54" s="63">
        <f t="shared" si="131"/>
        <v>0.18529862174578871</v>
      </c>
      <c r="V54" s="63">
        <f t="shared" si="131"/>
        <v>0.29784688995215314</v>
      </c>
      <c r="W54" s="63">
        <f t="shared" si="131"/>
        <v>0.20665499124343251</v>
      </c>
      <c r="X54" s="63">
        <f t="shared" si="131"/>
        <v>0.28053691275167775</v>
      </c>
      <c r="Y54" s="63">
        <f t="shared" si="131"/>
        <v>0.27058823529411774</v>
      </c>
      <c r="Z54" s="63">
        <f t="shared" si="131"/>
        <v>0.31088607594936712</v>
      </c>
      <c r="AA54" s="63">
        <f t="shared" si="131"/>
        <v>0.33041575492341368</v>
      </c>
      <c r="AB54" s="63">
        <f t="shared" si="131"/>
        <v>0.30232558139534887</v>
      </c>
      <c r="AC54" s="63">
        <f t="shared" si="131"/>
        <v>0.3235981308411216</v>
      </c>
      <c r="AD54" s="63">
        <f t="shared" si="131"/>
        <v>0.5368421052631579</v>
      </c>
      <c r="AE54" s="63">
        <f t="shared" si="131"/>
        <v>0.29944029850746257</v>
      </c>
      <c r="AF54" s="63">
        <f t="shared" si="131"/>
        <v>0.2945508100147276</v>
      </c>
      <c r="AG54" s="63">
        <f t="shared" si="131"/>
        <v>0.31544597534445229</v>
      </c>
      <c r="AH54" s="63">
        <f t="shared" si="131"/>
        <v>0.34733053389322138</v>
      </c>
      <c r="AI54" s="63">
        <f t="shared" si="131"/>
        <v>0.26371951219512202</v>
      </c>
      <c r="AJ54" s="63">
        <f t="shared" si="131"/>
        <v>0.2638398115429918</v>
      </c>
      <c r="AK54" s="63">
        <f t="shared" si="131"/>
        <v>0.29150253235790652</v>
      </c>
      <c r="AL54" s="63">
        <f t="shared" si="131"/>
        <v>0.28810320114667942</v>
      </c>
      <c r="AM54" s="63">
        <f t="shared" si="131"/>
        <v>0.16081072880635941</v>
      </c>
      <c r="AN54" s="63">
        <f t="shared" si="131"/>
        <v>0.30241118191694621</v>
      </c>
      <c r="AO54" s="63">
        <f t="shared" si="131"/>
        <v>0.29751693444824578</v>
      </c>
      <c r="AP54" s="63">
        <f t="shared" si="131"/>
        <v>0.27830226864482976</v>
      </c>
      <c r="AQ54" s="63">
        <f t="shared" si="131"/>
        <v>0.25458222072434106</v>
      </c>
      <c r="AR54" s="63">
        <f t="shared" si="131"/>
        <v>0.28506251822376194</v>
      </c>
      <c r="AS54" s="63">
        <f t="shared" si="131"/>
        <v>0.27281418322853451</v>
      </c>
      <c r="AT54" s="63">
        <f t="shared" si="131"/>
        <v>0.26411055444617115</v>
      </c>
      <c r="AU54" s="63">
        <f t="shared" si="131"/>
        <v>0.26990916001812182</v>
      </c>
      <c r="AV54" s="63">
        <f t="shared" si="131"/>
        <v>0.27864456119712483</v>
      </c>
      <c r="AW54" s="63">
        <f t="shared" si="131"/>
        <v>0.27487040411316865</v>
      </c>
      <c r="AX54" s="63">
        <f t="shared" si="131"/>
        <v>0.62506501243510626</v>
      </c>
      <c r="AY54" s="63">
        <f t="shared" si="131"/>
        <v>0.29074597109154349</v>
      </c>
      <c r="AZ54" s="63">
        <f t="shared" si="131"/>
        <v>0.29807791139891043</v>
      </c>
      <c r="BA54" s="63">
        <f t="shared" si="131"/>
        <v>0.28537893259073421</v>
      </c>
      <c r="BB54" s="63">
        <f t="shared" si="131"/>
        <v>0.28152234576911528</v>
      </c>
      <c r="BC54" s="63">
        <f t="shared" si="131"/>
        <v>0.29496390255883925</v>
      </c>
      <c r="BD54" s="63">
        <f t="shared" si="131"/>
        <v>0.29614315198073732</v>
      </c>
      <c r="BE54" s="63">
        <f t="shared" si="131"/>
        <v>0.30230944593121206</v>
      </c>
      <c r="BF54" s="63">
        <f t="shared" si="131"/>
        <v>0.29237276913239724</v>
      </c>
      <c r="BG54" s="63">
        <f t="shared" si="131"/>
        <v>0.30173754610496389</v>
      </c>
      <c r="BH54" s="63">
        <f>BH46/BH45</f>
        <v>0.30177503701898745</v>
      </c>
      <c r="BI54" s="63">
        <f>BI46/BI45</f>
        <v>0.30539111931091473</v>
      </c>
      <c r="BJ54" s="63">
        <f t="shared" ref="BJ54" si="132">BJ46/BJ45</f>
        <v>0.27844293334218856</v>
      </c>
      <c r="BS54" s="63">
        <f t="shared" ref="BS54:CF54" si="133">BS46/BS45</f>
        <v>0.36127627212389379</v>
      </c>
      <c r="BT54" s="63">
        <f t="shared" si="133"/>
        <v>0.28867330886208709</v>
      </c>
      <c r="BU54" s="63">
        <f t="shared" si="133"/>
        <v>0.29614706623016873</v>
      </c>
      <c r="BV54" s="63">
        <f t="shared" si="133"/>
        <v>0.37801678908709346</v>
      </c>
      <c r="BW54" s="63">
        <f t="shared" si="133"/>
        <v>0.27823018458197618</v>
      </c>
      <c r="BX54" s="63">
        <f t="shared" si="133"/>
        <v>0.28253667770941787</v>
      </c>
      <c r="BY54" s="63">
        <f t="shared" si="133"/>
        <v>0.44086727989487523</v>
      </c>
      <c r="BZ54" s="63">
        <f t="shared" si="133"/>
        <v>0.32395352092958135</v>
      </c>
      <c r="CA54" s="63">
        <f t="shared" si="133"/>
        <v>0.28061963668784129</v>
      </c>
      <c r="CB54" s="63">
        <f t="shared" si="133"/>
        <v>0.28199892583489411</v>
      </c>
      <c r="CC54" s="63">
        <f t="shared" si="133"/>
        <v>0.26899364421877459</v>
      </c>
      <c r="CD54" s="63">
        <f t="shared" si="133"/>
        <v>0.35838663743756183</v>
      </c>
      <c r="CE54" s="63">
        <f t="shared" si="133"/>
        <v>0.28757695154638707</v>
      </c>
      <c r="CF54" s="63">
        <f t="shared" si="133"/>
        <v>0.29559450056020864</v>
      </c>
      <c r="CG54" s="63">
        <f t="shared" ref="CG54" si="134">CG46/CG45</f>
        <v>0.29400582914285517</v>
      </c>
      <c r="CH54" s="68">
        <v>0.3</v>
      </c>
      <c r="CI54" s="68">
        <v>0.3</v>
      </c>
      <c r="CJ54" s="68">
        <v>0.3</v>
      </c>
      <c r="CK54" s="68">
        <v>0.3</v>
      </c>
      <c r="CL54" s="68">
        <v>0.3</v>
      </c>
      <c r="CM54" s="68">
        <v>0.3</v>
      </c>
      <c r="CN54" s="68">
        <v>0.3</v>
      </c>
      <c r="CO54" s="68">
        <v>0.3</v>
      </c>
      <c r="CP54" s="68">
        <v>0.3</v>
      </c>
      <c r="CQ54" s="68">
        <v>0.3</v>
      </c>
    </row>
    <row r="55" spans="2:108">
      <c r="B55" s="37" t="s">
        <v>119</v>
      </c>
      <c r="C55" s="63">
        <f t="shared" ref="C55:BG55" si="135">C47/C38</f>
        <v>0.17933618843683091</v>
      </c>
      <c r="D55" s="63">
        <f t="shared" si="135"/>
        <v>0.18037735849056605</v>
      </c>
      <c r="E55" s="63">
        <f t="shared" si="135"/>
        <v>0.16898349261511733</v>
      </c>
      <c r="F55" s="63">
        <f t="shared" si="135"/>
        <v>0.19953165374676998</v>
      </c>
      <c r="G55" s="63">
        <f t="shared" si="135"/>
        <v>0.16450822541127053</v>
      </c>
      <c r="H55" s="63">
        <f t="shared" si="135"/>
        <v>0.20382165605095548</v>
      </c>
      <c r="I55" s="63">
        <f t="shared" si="135"/>
        <v>0.18104265402843606</v>
      </c>
      <c r="J55" s="63">
        <f t="shared" si="135"/>
        <v>0.22533470648815651</v>
      </c>
      <c r="K55" s="63">
        <f t="shared" si="135"/>
        <v>0.13678426836321578</v>
      </c>
      <c r="L55" s="63">
        <f t="shared" si="135"/>
        <v>0.16371552975326562</v>
      </c>
      <c r="M55" s="63">
        <f t="shared" si="135"/>
        <v>0.1739931560937088</v>
      </c>
      <c r="N55" s="63">
        <f t="shared" si="135"/>
        <v>0.21055662188099811</v>
      </c>
      <c r="O55" s="63">
        <f t="shared" si="135"/>
        <v>4.9141965678627157E-2</v>
      </c>
      <c r="P55" s="63">
        <f t="shared" si="135"/>
        <v>0.12234450985410797</v>
      </c>
      <c r="Q55" s="63">
        <f t="shared" si="135"/>
        <v>0.14186933714830702</v>
      </c>
      <c r="R55" s="63">
        <f t="shared" si="135"/>
        <v>0.18406639004149383</v>
      </c>
      <c r="S55" s="63">
        <f t="shared" si="135"/>
        <v>0.11263282172373082</v>
      </c>
      <c r="T55" s="63">
        <f t="shared" si="135"/>
        <v>0.10507726269315672</v>
      </c>
      <c r="U55" s="63">
        <f t="shared" si="135"/>
        <v>0.1109026474880133</v>
      </c>
      <c r="V55" s="63">
        <f t="shared" si="135"/>
        <v>0.16669033082493251</v>
      </c>
      <c r="W55" s="63">
        <f t="shared" si="135"/>
        <v>9.1422805247225084E-2</v>
      </c>
      <c r="X55" s="63">
        <f t="shared" si="135"/>
        <v>0.10417881438289607</v>
      </c>
      <c r="Y55" s="63">
        <f t="shared" si="135"/>
        <v>0.12527553269654662</v>
      </c>
      <c r="Z55" s="63">
        <f t="shared" si="135"/>
        <v>0.17230029117609821</v>
      </c>
      <c r="AA55" s="63">
        <f t="shared" si="135"/>
        <v>5.8812223717086262E-2</v>
      </c>
      <c r="AB55" s="63">
        <f t="shared" si="135"/>
        <v>8.2601961796592668E-2</v>
      </c>
      <c r="AC55" s="63">
        <f t="shared" si="135"/>
        <v>9.3537964458804468E-2</v>
      </c>
      <c r="AD55" s="63">
        <f t="shared" si="135"/>
        <v>0.12790697674418605</v>
      </c>
      <c r="AE55" s="63">
        <f t="shared" si="135"/>
        <v>0.11559181160535639</v>
      </c>
      <c r="AF55" s="63">
        <f t="shared" si="135"/>
        <v>0.13241188666205941</v>
      </c>
      <c r="AG55" s="63">
        <f t="shared" si="135"/>
        <v>0.12625384512505028</v>
      </c>
      <c r="AH55" s="63">
        <f t="shared" si="135"/>
        <v>0.18638115631691646</v>
      </c>
      <c r="AI55" s="63">
        <f t="shared" si="135"/>
        <v>0.12348204013805442</v>
      </c>
      <c r="AJ55" s="63">
        <f t="shared" si="135"/>
        <v>0.14149875481095761</v>
      </c>
      <c r="AK55" s="63">
        <f t="shared" si="135"/>
        <v>0.13743041152712587</v>
      </c>
      <c r="AL55" s="63">
        <f t="shared" si="135"/>
        <v>0.21323792486583185</v>
      </c>
      <c r="AM55" s="63">
        <f t="shared" si="135"/>
        <v>4.2422978167305316E-2</v>
      </c>
      <c r="AN55" s="63">
        <f t="shared" si="135"/>
        <v>9.5290727422137914E-2</v>
      </c>
      <c r="AO55" s="63">
        <f t="shared" si="135"/>
        <v>0.12826130145996767</v>
      </c>
      <c r="AP55" s="63">
        <f t="shared" si="135"/>
        <v>0.19071762306764109</v>
      </c>
      <c r="AQ55" s="63">
        <f t="shared" si="135"/>
        <v>0.11721899931918144</v>
      </c>
      <c r="AR55" s="63">
        <f t="shared" si="135"/>
        <v>0.14367354535834809</v>
      </c>
      <c r="AS55" s="63">
        <f t="shared" si="135"/>
        <v>0.12900970616746338</v>
      </c>
      <c r="AT55" s="63">
        <f t="shared" si="135"/>
        <v>0.20441271718490123</v>
      </c>
      <c r="AU55" s="63">
        <f t="shared" si="135"/>
        <v>0.11785742176121106</v>
      </c>
      <c r="AV55" s="63">
        <f t="shared" si="135"/>
        <v>0.15491284185646201</v>
      </c>
      <c r="AW55" s="63">
        <f t="shared" si="135"/>
        <v>0.13823419328606776</v>
      </c>
      <c r="AX55" s="63">
        <f t="shared" si="135"/>
        <v>4.2912541709553158E-2</v>
      </c>
      <c r="AY55" s="63">
        <f t="shared" si="135"/>
        <v>0.14508854493620524</v>
      </c>
      <c r="AZ55" s="63">
        <f t="shared" si="135"/>
        <v>0.15456170925469073</v>
      </c>
      <c r="BA55" s="63">
        <f t="shared" si="135"/>
        <v>0.11269716832531242</v>
      </c>
      <c r="BB55" s="63">
        <f t="shared" si="135"/>
        <v>0.20885957468051114</v>
      </c>
      <c r="BC55" s="63">
        <f t="shared" si="135"/>
        <v>0.14554291571143491</v>
      </c>
      <c r="BD55" s="63">
        <f t="shared" si="135"/>
        <v>0.16569523709910602</v>
      </c>
      <c r="BE55" s="63">
        <f t="shared" si="135"/>
        <v>0.14685081259257723</v>
      </c>
      <c r="BF55" s="63">
        <f t="shared" si="135"/>
        <v>0.20714648047687512</v>
      </c>
      <c r="BG55" s="63">
        <f t="shared" si="135"/>
        <v>0.13256224005129369</v>
      </c>
      <c r="BH55" s="63">
        <f>BH47/BH38</f>
        <v>0.14751644417691995</v>
      </c>
      <c r="BI55" s="63">
        <f>BI47/BI38</f>
        <v>0.11958297949621906</v>
      </c>
      <c r="BJ55" s="63">
        <f t="shared" ref="BJ55" si="136">BJ47/BJ38</f>
        <v>0.1611442891699692</v>
      </c>
      <c r="BS55" s="63">
        <f t="shared" ref="BS55:CF55" si="137">BS47/BS38</f>
        <v>0.18467396953584134</v>
      </c>
      <c r="BT55" s="63">
        <f t="shared" si="137"/>
        <v>0.19798584251623733</v>
      </c>
      <c r="BU55" s="63">
        <f t="shared" si="137"/>
        <v>0.17565359477124184</v>
      </c>
      <c r="BV55" s="63">
        <f t="shared" si="137"/>
        <v>0.13192744268862674</v>
      </c>
      <c r="BW55" s="63">
        <f t="shared" si="137"/>
        <v>0.12904634797379272</v>
      </c>
      <c r="BX55" s="63">
        <f t="shared" si="137"/>
        <v>0.12933498272405408</v>
      </c>
      <c r="BY55" s="63">
        <f t="shared" si="137"/>
        <v>9.6368715083798878E-2</v>
      </c>
      <c r="BZ55" s="63">
        <f t="shared" si="137"/>
        <v>0.14684953168714271</v>
      </c>
      <c r="CA55" s="63">
        <f t="shared" si="137"/>
        <v>0.1622144598296183</v>
      </c>
      <c r="CB55" s="63">
        <f t="shared" si="137"/>
        <v>0.13332465522109996</v>
      </c>
      <c r="CC55" s="63">
        <f t="shared" si="137"/>
        <v>0.15575781608495445</v>
      </c>
      <c r="CD55" s="63">
        <f t="shared" si="137"/>
        <v>0.10544554614144247</v>
      </c>
      <c r="CE55" s="63">
        <f t="shared" si="137"/>
        <v>0.16109018667736741</v>
      </c>
      <c r="CF55" s="63">
        <f t="shared" si="137"/>
        <v>0.17136422441516094</v>
      </c>
      <c r="CG55" s="63">
        <f t="shared" ref="CG55" si="138">CG47/CG38</f>
        <v>0.14233655600770267</v>
      </c>
      <c r="CH55" s="68">
        <f>CH47/CH38</f>
        <v>0.14327009662037399</v>
      </c>
      <c r="CI55" s="68">
        <f t="shared" ref="CI55:CQ55" si="139">CI47/CI38</f>
        <v>0.14831679466438463</v>
      </c>
      <c r="CJ55" s="68">
        <f t="shared" si="139"/>
        <v>0.15661418782648684</v>
      </c>
      <c r="CK55" s="68">
        <f t="shared" si="139"/>
        <v>0.17203362015769569</v>
      </c>
      <c r="CL55" s="68">
        <f t="shared" si="139"/>
        <v>0.17818367623224196</v>
      </c>
      <c r="CM55" s="68">
        <f t="shared" si="139"/>
        <v>0.18454137565908818</v>
      </c>
      <c r="CN55" s="68">
        <f t="shared" si="139"/>
        <v>0.1911719968899849</v>
      </c>
      <c r="CO55" s="68">
        <f t="shared" si="139"/>
        <v>0.19814831722876133</v>
      </c>
      <c r="CP55" s="68">
        <f t="shared" si="139"/>
        <v>0.20381387677914253</v>
      </c>
      <c r="CQ55" s="68">
        <f t="shared" si="139"/>
        <v>0.20829681092317412</v>
      </c>
    </row>
    <row r="57" spans="2:108">
      <c r="B57" s="1" t="s">
        <v>120</v>
      </c>
      <c r="AX57" s="59">
        <v>1154.8599999999999</v>
      </c>
      <c r="AY57" s="59">
        <v>950.60699999999997</v>
      </c>
      <c r="AZ57" s="59">
        <v>1107.53</v>
      </c>
      <c r="BA57" s="59">
        <v>1091.1300000000001</v>
      </c>
      <c r="BB57" s="59">
        <v>2243.9699999999998</v>
      </c>
      <c r="BC57" s="59">
        <v>1900.672</v>
      </c>
      <c r="BD57" s="59">
        <v>1610.11</v>
      </c>
      <c r="BE57" s="59">
        <v>1188.4100000000001</v>
      </c>
      <c r="BF57" s="59">
        <v>1984.33</v>
      </c>
      <c r="BG57" s="59">
        <v>1325.27</v>
      </c>
      <c r="BH57" s="59">
        <v>1155.79</v>
      </c>
      <c r="BI57" s="59">
        <v>1035.8599999999999</v>
      </c>
      <c r="BJ57" s="59">
        <v>1807.2</v>
      </c>
      <c r="CD57" s="59">
        <f>AX57</f>
        <v>1154.8599999999999</v>
      </c>
      <c r="CE57" s="59">
        <f>BB57</f>
        <v>2243.9699999999998</v>
      </c>
      <c r="CF57" s="59">
        <f>BF57</f>
        <v>1984.33</v>
      </c>
      <c r="CG57" s="59">
        <f>BJ57</f>
        <v>1807.2</v>
      </c>
      <c r="CH57" s="65">
        <f>CF57+CH47</f>
        <v>3647.6281416852489</v>
      </c>
      <c r="CI57" s="65">
        <f t="shared" ref="CI57:CQ57" si="140">CH57+CI47</f>
        <v>5455.7307281883277</v>
      </c>
      <c r="CJ57" s="65">
        <f t="shared" si="140"/>
        <v>7466.8909214421337</v>
      </c>
      <c r="CK57" s="65">
        <f t="shared" si="140"/>
        <v>9799.3505580207766</v>
      </c>
      <c r="CL57" s="65">
        <f t="shared" si="140"/>
        <v>12337.377359386015</v>
      </c>
      <c r="CM57" s="65">
        <f t="shared" si="140"/>
        <v>15095.794703317697</v>
      </c>
      <c r="CN57" s="65">
        <f t="shared" si="140"/>
        <v>18084.676216259173</v>
      </c>
      <c r="CO57" s="65">
        <f t="shared" si="140"/>
        <v>21314.341315999754</v>
      </c>
      <c r="CP57" s="65">
        <f t="shared" si="140"/>
        <v>24766.046946314753</v>
      </c>
      <c r="CQ57" s="65">
        <f t="shared" si="140"/>
        <v>28417.111043910925</v>
      </c>
    </row>
    <row r="58" spans="2:108">
      <c r="B58" s="1" t="s">
        <v>1498</v>
      </c>
      <c r="AX58" s="59">
        <v>132.90600000000001</v>
      </c>
      <c r="AY58" s="59">
        <v>107.468</v>
      </c>
      <c r="AZ58" s="59">
        <v>106.22</v>
      </c>
      <c r="BA58" s="59">
        <v>107</v>
      </c>
      <c r="BB58" s="59">
        <v>124.76900000000001</v>
      </c>
      <c r="BC58" s="59">
        <v>126.349</v>
      </c>
      <c r="BD58" s="59">
        <v>126.121</v>
      </c>
      <c r="BE58" s="59">
        <v>143.4</v>
      </c>
      <c r="BF58" s="59">
        <v>120.17</v>
      </c>
      <c r="BG58" s="59">
        <v>141.24</v>
      </c>
      <c r="BH58" s="59">
        <v>139</v>
      </c>
      <c r="BI58" s="59">
        <v>250.3</v>
      </c>
      <c r="BJ58" s="59">
        <v>190.65700000000001</v>
      </c>
      <c r="CD58" s="59">
        <f t="shared" ref="CD58:CD82" si="141">AX58</f>
        <v>132.90600000000001</v>
      </c>
      <c r="CE58" s="59">
        <f t="shared" ref="CE58:CE82" si="142">BB58</f>
        <v>124.76900000000001</v>
      </c>
      <c r="CF58" s="59">
        <f t="shared" ref="CF58:CF82" si="143">BF58</f>
        <v>120.17</v>
      </c>
      <c r="CG58" s="59">
        <f t="shared" ref="CG58:CG82" si="144">BJ58</f>
        <v>190.65700000000001</v>
      </c>
    </row>
    <row r="59" spans="2:108">
      <c r="B59" s="1" t="s">
        <v>1499</v>
      </c>
      <c r="AX59" s="59">
        <v>1447.367</v>
      </c>
      <c r="AY59" s="59">
        <v>1580.3130000000001</v>
      </c>
      <c r="AZ59" s="59">
        <v>1660.7</v>
      </c>
      <c r="BA59" s="59">
        <v>1663.6</v>
      </c>
      <c r="BB59" s="59">
        <v>1323.6</v>
      </c>
      <c r="BC59" s="59">
        <v>1345.26</v>
      </c>
      <c r="BD59" s="59">
        <v>1429</v>
      </c>
      <c r="BE59" s="59">
        <v>1800.89</v>
      </c>
      <c r="BF59" s="59">
        <v>1442.08</v>
      </c>
      <c r="BG59" s="59">
        <v>1652.09</v>
      </c>
      <c r="BH59" s="59">
        <v>1722.57</v>
      </c>
      <c r="BI59" s="59">
        <v>1997.84</v>
      </c>
      <c r="BJ59" s="59">
        <v>1700.75</v>
      </c>
      <c r="CD59" s="59">
        <f t="shared" si="141"/>
        <v>1447.367</v>
      </c>
      <c r="CE59" s="59">
        <f t="shared" si="142"/>
        <v>1323.6</v>
      </c>
      <c r="CF59" s="59">
        <f t="shared" si="143"/>
        <v>1442.08</v>
      </c>
      <c r="CG59" s="59">
        <f t="shared" si="144"/>
        <v>1700.75</v>
      </c>
      <c r="CU59" s="44"/>
      <c r="CV59" s="45"/>
      <c r="CW59" s="45"/>
      <c r="CX59" s="44"/>
      <c r="CY59" s="45"/>
      <c r="CZ59" s="46"/>
      <c r="DA59" s="45"/>
      <c r="DB59" s="47"/>
      <c r="DD59" s="45"/>
    </row>
    <row r="60" spans="2:108" ht="13.5" customHeight="1">
      <c r="B60" s="1" t="s">
        <v>1501</v>
      </c>
      <c r="AX60" s="59">
        <v>185.64</v>
      </c>
      <c r="AY60" s="59">
        <v>182.393</v>
      </c>
      <c r="AZ60" s="59">
        <v>224.916</v>
      </c>
      <c r="BA60" s="59">
        <v>300.25</v>
      </c>
      <c r="BB60" s="59">
        <v>183.7</v>
      </c>
      <c r="BC60" s="59">
        <v>192.95</v>
      </c>
      <c r="BD60" s="59">
        <v>210.96899999999999</v>
      </c>
      <c r="BE60" s="59">
        <v>257.38</v>
      </c>
      <c r="BF60" s="59">
        <v>182.25299999999999</v>
      </c>
      <c r="BG60" s="59">
        <v>230.28</v>
      </c>
      <c r="BH60" s="59">
        <v>323.22000000000003</v>
      </c>
      <c r="BI60" s="59">
        <v>430.3</v>
      </c>
      <c r="BJ60" s="59">
        <v>352.46899999999999</v>
      </c>
      <c r="CD60" s="59">
        <f t="shared" si="141"/>
        <v>185.64</v>
      </c>
      <c r="CE60" s="59">
        <f t="shared" si="142"/>
        <v>183.7</v>
      </c>
      <c r="CF60" s="59">
        <f t="shared" si="143"/>
        <v>182.25299999999999</v>
      </c>
      <c r="CG60" s="59">
        <f t="shared" si="144"/>
        <v>352.46899999999999</v>
      </c>
      <c r="CI60" s="77" t="s">
        <v>163</v>
      </c>
      <c r="CL60" s="44" t="s">
        <v>1531</v>
      </c>
      <c r="CM60" s="45"/>
      <c r="CN60" s="78" t="s">
        <v>162</v>
      </c>
      <c r="CO60" s="45"/>
      <c r="CP60" s="47" t="s">
        <v>164</v>
      </c>
      <c r="CQ60" s="48">
        <v>0.28499999999999998</v>
      </c>
      <c r="CR60" s="45"/>
      <c r="CU60" s="45"/>
      <c r="CV60" s="45"/>
      <c r="CW60" s="45"/>
      <c r="CX60" s="45"/>
      <c r="CY60" s="45"/>
      <c r="CZ60" s="46"/>
      <c r="DA60" s="45"/>
      <c r="DB60" s="47"/>
      <c r="DD60" s="45"/>
    </row>
    <row r="61" spans="2:108" ht="13.5" customHeight="1">
      <c r="B61" s="1" t="s">
        <v>1500</v>
      </c>
      <c r="AX61" s="59">
        <v>238.672</v>
      </c>
      <c r="AY61" s="59">
        <v>232.52099999999999</v>
      </c>
      <c r="AZ61" s="59">
        <v>224.5</v>
      </c>
      <c r="BA61" s="59">
        <v>202.88</v>
      </c>
      <c r="BB61" s="59">
        <v>184.5</v>
      </c>
      <c r="BC61" s="59">
        <v>202.84</v>
      </c>
      <c r="BD61" s="59">
        <v>195.499</v>
      </c>
      <c r="BE61" s="59">
        <v>215.17</v>
      </c>
      <c r="BF61" s="59">
        <v>251.45</v>
      </c>
      <c r="BG61" s="59">
        <v>233.63300000000001</v>
      </c>
      <c r="BH61" s="59">
        <v>187.87</v>
      </c>
      <c r="BI61" s="59">
        <v>209.34</v>
      </c>
      <c r="BJ61" s="59">
        <v>211.62</v>
      </c>
      <c r="CD61" s="59">
        <f t="shared" si="141"/>
        <v>238.672</v>
      </c>
      <c r="CE61" s="59">
        <f t="shared" si="142"/>
        <v>184.5</v>
      </c>
      <c r="CF61" s="59">
        <f t="shared" si="143"/>
        <v>251.45</v>
      </c>
      <c r="CG61" s="59">
        <f t="shared" si="144"/>
        <v>211.62</v>
      </c>
      <c r="CI61" s="45">
        <v>2023</v>
      </c>
      <c r="CJ61" s="45">
        <v>2024</v>
      </c>
      <c r="CL61" s="44" t="s">
        <v>165</v>
      </c>
      <c r="CM61" s="45"/>
      <c r="CN61" s="45">
        <v>2024</v>
      </c>
      <c r="CO61" s="45"/>
      <c r="CP61" s="47" t="s">
        <v>166</v>
      </c>
      <c r="CQ61" s="48">
        <v>-1.2500000000000001E-2</v>
      </c>
      <c r="CR61" s="45"/>
      <c r="CV61" s="45"/>
      <c r="CY61" s="45"/>
      <c r="DA61" s="45"/>
      <c r="DB61" s="47"/>
      <c r="DD61" s="45"/>
    </row>
    <row r="62" spans="2:108" ht="13.5" customHeight="1">
      <c r="B62" s="1" t="s">
        <v>1502</v>
      </c>
      <c r="AX62" s="59">
        <v>1269.6099999999999</v>
      </c>
      <c r="AY62" s="59">
        <v>1312.79</v>
      </c>
      <c r="AZ62" s="59">
        <v>1367.17</v>
      </c>
      <c r="BA62" s="59">
        <v>1413.91</v>
      </c>
      <c r="BB62" s="59">
        <v>1545.8109999999999</v>
      </c>
      <c r="BC62" s="59">
        <v>1561.18</v>
      </c>
      <c r="BD62" s="59">
        <v>1614.89</v>
      </c>
      <c r="BE62" s="59">
        <v>1697.75</v>
      </c>
      <c r="BF62" s="59">
        <v>1780.617</v>
      </c>
      <c r="BG62" s="59">
        <v>1846.6089999999999</v>
      </c>
      <c r="BH62" s="59">
        <v>1917.36</v>
      </c>
      <c r="BI62" s="59">
        <v>1952</v>
      </c>
      <c r="BJ62" s="59">
        <v>2033.72</v>
      </c>
      <c r="CD62" s="59">
        <f t="shared" si="141"/>
        <v>1269.6099999999999</v>
      </c>
      <c r="CE62" s="59">
        <f t="shared" si="142"/>
        <v>1545.8109999999999</v>
      </c>
      <c r="CF62" s="59">
        <f t="shared" si="143"/>
        <v>1780.617</v>
      </c>
      <c r="CG62" s="59">
        <f t="shared" si="144"/>
        <v>2033.72</v>
      </c>
      <c r="CI62" s="50">
        <f>SUM(CE57:CE61)-CE70+CE62+CE65+CE64</f>
        <v>5281.9899999999989</v>
      </c>
      <c r="CJ62" s="50">
        <f>SUM(CF57:CF61)-CF70+CF62+CF65+CF64</f>
        <v>5660.6909999999998</v>
      </c>
      <c r="CL62" s="50">
        <f>AVERAGE(CI62:CJ62)</f>
        <v>5471.3404999999993</v>
      </c>
      <c r="CM62" s="45"/>
      <c r="CN62" s="49">
        <f>AVERAGE(CH43)*(1-CH54)</f>
        <v>1637.523868685249</v>
      </c>
      <c r="CO62" s="45"/>
      <c r="CP62" s="47" t="s">
        <v>167</v>
      </c>
      <c r="CQ62" s="48">
        <v>4.0899999999999999E-2</v>
      </c>
      <c r="CR62" s="45"/>
      <c r="CV62" s="45"/>
      <c r="CW62" s="45"/>
      <c r="CX62" s="45"/>
      <c r="CY62" s="45"/>
      <c r="CZ62" s="45"/>
      <c r="DA62" s="45"/>
      <c r="DB62" s="47"/>
      <c r="DD62" s="45"/>
    </row>
    <row r="63" spans="2:108" ht="13.5" customHeight="1">
      <c r="B63" s="1" t="s">
        <v>1503</v>
      </c>
      <c r="AX63" s="59">
        <v>969.4</v>
      </c>
      <c r="AY63" s="59">
        <v>993.47</v>
      </c>
      <c r="AZ63" s="59">
        <v>1079.19</v>
      </c>
      <c r="BA63" s="59">
        <v>1048.5999999999999</v>
      </c>
      <c r="BB63" s="59">
        <v>1265.5999999999999</v>
      </c>
      <c r="BC63" s="59">
        <v>1263.74</v>
      </c>
      <c r="BD63" s="59">
        <v>1302.94</v>
      </c>
      <c r="BE63" s="59">
        <v>1360.58</v>
      </c>
      <c r="BF63" s="59">
        <v>1416.25</v>
      </c>
      <c r="BG63" s="59">
        <v>1549.4</v>
      </c>
      <c r="BH63" s="59">
        <v>1605</v>
      </c>
      <c r="BI63" s="59">
        <v>1600.38</v>
      </c>
      <c r="BJ63" s="59">
        <v>1630.181</v>
      </c>
      <c r="CD63" s="59">
        <f t="shared" si="141"/>
        <v>969.4</v>
      </c>
      <c r="CE63" s="59">
        <f t="shared" si="142"/>
        <v>1265.5999999999999</v>
      </c>
      <c r="CF63" s="59">
        <f t="shared" si="143"/>
        <v>1416.25</v>
      </c>
      <c r="CG63" s="59">
        <f t="shared" si="144"/>
        <v>1630.181</v>
      </c>
      <c r="CJ63" s="45"/>
      <c r="CK63" s="45"/>
      <c r="CL63" s="45"/>
      <c r="CM63" s="45"/>
      <c r="CN63" s="51">
        <f>CN62/CL62</f>
        <v>0.29929116432897007</v>
      </c>
      <c r="CO63" s="45"/>
      <c r="CP63" s="47" t="s">
        <v>168</v>
      </c>
      <c r="CQ63" s="48">
        <f>11.75%-CQ62</f>
        <v>7.6600000000000001E-2</v>
      </c>
      <c r="CR63" s="45"/>
      <c r="CU63" s="45"/>
      <c r="CV63" s="45"/>
      <c r="CW63" s="45"/>
      <c r="CX63" s="45"/>
      <c r="CY63" s="45"/>
      <c r="CZ63" s="45"/>
      <c r="DA63" s="45"/>
      <c r="DB63" s="47"/>
      <c r="DD63" s="45"/>
    </row>
    <row r="64" spans="2:108" ht="13.5" customHeight="1">
      <c r="B64" s="1" t="s">
        <v>1504</v>
      </c>
      <c r="AX64" s="59">
        <v>24.14</v>
      </c>
      <c r="AY64" s="59">
        <v>24.04</v>
      </c>
      <c r="AZ64" s="59">
        <v>24.17</v>
      </c>
      <c r="BA64" s="59">
        <v>23.91</v>
      </c>
      <c r="BB64" s="59">
        <v>24.08</v>
      </c>
      <c r="BC64" s="59">
        <v>23.992000000000001</v>
      </c>
      <c r="BD64" s="59">
        <v>23.92</v>
      </c>
      <c r="BE64" s="59">
        <v>164.46</v>
      </c>
      <c r="BF64" s="59">
        <v>159.518</v>
      </c>
      <c r="BG64" s="59">
        <v>167.35</v>
      </c>
      <c r="BH64" s="59">
        <v>172.90700000000001</v>
      </c>
      <c r="BI64" s="59">
        <v>175.3</v>
      </c>
      <c r="BJ64" s="59">
        <v>184.91</v>
      </c>
      <c r="CD64" s="59">
        <f t="shared" si="141"/>
        <v>24.14</v>
      </c>
      <c r="CE64" s="59">
        <f t="shared" si="142"/>
        <v>24.08</v>
      </c>
      <c r="CF64" s="59">
        <f t="shared" si="143"/>
        <v>159.518</v>
      </c>
      <c r="CG64" s="59">
        <f t="shared" si="144"/>
        <v>184.91</v>
      </c>
      <c r="CI64" s="52" t="s">
        <v>1532</v>
      </c>
      <c r="CJ64" s="45"/>
      <c r="CK64" s="45"/>
      <c r="CM64" s="45"/>
      <c r="CN64" s="45"/>
      <c r="CO64" s="45"/>
      <c r="CP64" s="47" t="s">
        <v>169</v>
      </c>
      <c r="CQ64" s="45">
        <f>'Notes | Quant Analysis'!L206</f>
        <v>1.1299999999999999</v>
      </c>
      <c r="CR64" s="45"/>
      <c r="CU64" s="45"/>
      <c r="CV64" s="45"/>
      <c r="CW64" s="45"/>
      <c r="CX64" s="45"/>
      <c r="CY64" s="45"/>
      <c r="CZ64" s="45"/>
      <c r="DA64" s="45"/>
      <c r="DB64" s="47"/>
      <c r="DD64" s="52"/>
    </row>
    <row r="65" spans="2:147" ht="13.5" customHeight="1">
      <c r="B65" s="1" t="s">
        <v>1505</v>
      </c>
      <c r="AX65" s="59">
        <v>21.96</v>
      </c>
      <c r="AY65" s="59">
        <v>20.082000000000001</v>
      </c>
      <c r="AZ65" s="59">
        <v>18.2</v>
      </c>
      <c r="BA65" s="59">
        <v>0</v>
      </c>
      <c r="BB65" s="59">
        <v>0</v>
      </c>
      <c r="BC65" s="1">
        <v>0</v>
      </c>
      <c r="BD65" s="1">
        <v>0</v>
      </c>
      <c r="BE65" s="59">
        <v>13.72</v>
      </c>
      <c r="BF65" s="59">
        <v>11.673</v>
      </c>
      <c r="BG65" s="59">
        <v>10.651999999999999</v>
      </c>
      <c r="BH65" s="59">
        <v>9.3000000000000007</v>
      </c>
      <c r="BI65" s="59">
        <v>7.68</v>
      </c>
      <c r="BJ65" s="59">
        <v>6.28</v>
      </c>
      <c r="CD65" s="59">
        <f t="shared" si="141"/>
        <v>21.96</v>
      </c>
      <c r="CE65" s="59">
        <f t="shared" si="142"/>
        <v>0</v>
      </c>
      <c r="CF65" s="59">
        <f t="shared" si="143"/>
        <v>11.673</v>
      </c>
      <c r="CG65" s="59">
        <f t="shared" si="144"/>
        <v>6.28</v>
      </c>
      <c r="CI65" s="80" t="s">
        <v>1533</v>
      </c>
      <c r="CL65" s="49">
        <f>Main!C5</f>
        <v>17493.776429999998</v>
      </c>
      <c r="CM65" s="45"/>
      <c r="CO65" s="45"/>
      <c r="CP65" s="47" t="s">
        <v>170</v>
      </c>
      <c r="CQ65" s="48">
        <f>+CQ62+(CQ63*CQ64)</f>
        <v>0.12745799999999999</v>
      </c>
      <c r="CR65" s="45"/>
      <c r="CU65" s="52"/>
      <c r="CV65" s="52"/>
      <c r="CW65" s="52"/>
      <c r="CX65" s="52"/>
      <c r="CY65" s="52"/>
      <c r="CZ65" s="52"/>
      <c r="DA65" s="52"/>
      <c r="DB65" s="47"/>
      <c r="DC65" s="45"/>
      <c r="DD65" s="45"/>
    </row>
    <row r="66" spans="2:147" ht="13.5" customHeight="1">
      <c r="B66" s="1" t="s">
        <v>1506</v>
      </c>
      <c r="AX66" s="59">
        <v>6.4</v>
      </c>
      <c r="AY66" s="59">
        <v>6.13</v>
      </c>
      <c r="AZ66" s="59">
        <v>6.1879999999999997</v>
      </c>
      <c r="BA66" s="59">
        <v>5.8</v>
      </c>
      <c r="BB66" s="59">
        <v>9.17</v>
      </c>
      <c r="BC66" s="59">
        <v>9.0990000000000002</v>
      </c>
      <c r="BD66" s="59">
        <v>9.09</v>
      </c>
      <c r="BE66" s="59">
        <v>9.25</v>
      </c>
      <c r="BF66" s="59">
        <v>17.085000000000001</v>
      </c>
      <c r="BG66" s="59">
        <v>17.597999999999999</v>
      </c>
      <c r="BH66" s="59">
        <v>21.41</v>
      </c>
      <c r="BI66" s="59">
        <v>21.58</v>
      </c>
      <c r="BJ66" s="59">
        <v>24.03</v>
      </c>
      <c r="CD66" s="59">
        <f t="shared" si="141"/>
        <v>6.4</v>
      </c>
      <c r="CE66" s="59">
        <f t="shared" si="142"/>
        <v>9.17</v>
      </c>
      <c r="CF66" s="59">
        <f t="shared" si="143"/>
        <v>17.085000000000001</v>
      </c>
      <c r="CG66" s="59">
        <f t="shared" si="144"/>
        <v>24.03</v>
      </c>
      <c r="CI66" s="80" t="s">
        <v>1534</v>
      </c>
      <c r="CL66" s="79">
        <f>Main!C7/(Main!C7+CL65)</f>
        <v>0</v>
      </c>
      <c r="CM66" s="52"/>
      <c r="CO66" s="45"/>
      <c r="CP66" s="47"/>
      <c r="CQ66" s="45"/>
      <c r="CR66" s="45"/>
      <c r="CU66" s="45"/>
      <c r="CV66" s="45"/>
      <c r="CW66" s="45"/>
      <c r="CX66" s="45"/>
      <c r="CY66" s="45"/>
      <c r="CZ66" s="45"/>
      <c r="DA66" s="45"/>
      <c r="DB66" s="47"/>
    </row>
    <row r="67" spans="2:147" ht="13.5" customHeight="1">
      <c r="B67" s="1" t="s">
        <v>1507</v>
      </c>
      <c r="AX67" s="59">
        <v>156</v>
      </c>
      <c r="AY67" s="59">
        <v>161.72499999999999</v>
      </c>
      <c r="AZ67" s="59">
        <v>173.58699999999999</v>
      </c>
      <c r="BA67" s="59">
        <v>165</v>
      </c>
      <c r="BB67" s="59">
        <v>186.6</v>
      </c>
      <c r="BC67" s="59">
        <v>202.38300000000001</v>
      </c>
      <c r="BD67" s="59">
        <v>221.52</v>
      </c>
      <c r="BE67" s="59">
        <v>232.59</v>
      </c>
      <c r="BF67" s="59">
        <v>237.84</v>
      </c>
      <c r="BG67" s="59">
        <v>256.41699999999997</v>
      </c>
      <c r="BH67" s="59">
        <v>268.709</v>
      </c>
      <c r="BI67" s="59">
        <v>274.56</v>
      </c>
      <c r="BJ67" s="59">
        <v>314.91000000000003</v>
      </c>
      <c r="CD67" s="59">
        <f t="shared" si="141"/>
        <v>156</v>
      </c>
      <c r="CE67" s="59">
        <f t="shared" si="142"/>
        <v>186.6</v>
      </c>
      <c r="CF67" s="59">
        <f t="shared" si="143"/>
        <v>237.84</v>
      </c>
      <c r="CG67" s="59">
        <f t="shared" si="144"/>
        <v>314.91000000000003</v>
      </c>
      <c r="CI67" s="80" t="s">
        <v>1535</v>
      </c>
      <c r="CL67" s="79">
        <f>CL65/(CL65+Main!C7)</f>
        <v>1</v>
      </c>
      <c r="CM67" s="45"/>
      <c r="CO67" s="45"/>
      <c r="CP67" s="47" t="s">
        <v>171</v>
      </c>
      <c r="CQ67" s="50">
        <f>NPV(CQ65,CH47:EO47)</f>
        <v>21032.117103170964</v>
      </c>
      <c r="CR67" s="45"/>
      <c r="CU67" s="45"/>
      <c r="CV67" s="45"/>
      <c r="CW67" s="45"/>
      <c r="CX67" s="45"/>
      <c r="CY67" s="45"/>
      <c r="CZ67" s="45"/>
      <c r="DA67" s="45"/>
      <c r="DB67" s="47"/>
    </row>
    <row r="68" spans="2:147" s="2" customFormat="1" ht="13.5" customHeight="1">
      <c r="B68" s="2" t="s">
        <v>1518</v>
      </c>
      <c r="AX68" s="60">
        <f t="shared" ref="AX68:BG68" si="145">SUM(AX57:AX67)</f>
        <v>5606.954999999999</v>
      </c>
      <c r="AY68" s="60">
        <f t="shared" si="145"/>
        <v>5571.5390000000016</v>
      </c>
      <c r="AZ68" s="60">
        <f t="shared" si="145"/>
        <v>5992.371000000001</v>
      </c>
      <c r="BA68" s="60">
        <f t="shared" si="145"/>
        <v>6022.0800000000008</v>
      </c>
      <c r="BB68" s="60">
        <f t="shared" si="145"/>
        <v>7091.7999999999993</v>
      </c>
      <c r="BC68" s="60">
        <f>SUM(BC57:BC67)</f>
        <v>6828.4650000000001</v>
      </c>
      <c r="BD68" s="60">
        <f>SUM(BD57:BD67)</f>
        <v>6744.0590000000011</v>
      </c>
      <c r="BE68" s="60">
        <f t="shared" si="145"/>
        <v>7083.6</v>
      </c>
      <c r="BF68" s="60">
        <f t="shared" si="145"/>
        <v>7603.2659999999996</v>
      </c>
      <c r="BG68" s="60">
        <f t="shared" si="145"/>
        <v>7430.5389999999998</v>
      </c>
      <c r="BH68" s="60">
        <f>SUM(BH57:BH67)</f>
        <v>7523.1359999999995</v>
      </c>
      <c r="BI68" s="60">
        <f>SUM(BI57:BI67)</f>
        <v>7955.1400000000012</v>
      </c>
      <c r="BJ68" s="60">
        <f t="shared" ref="BJ68" si="146">SUM(BJ57:BJ67)</f>
        <v>8456.726999999999</v>
      </c>
      <c r="BK68" s="34"/>
      <c r="BL68" s="34"/>
      <c r="BM68" s="34"/>
      <c r="BN68" s="34"/>
      <c r="CD68" s="60">
        <f t="shared" si="141"/>
        <v>5606.954999999999</v>
      </c>
      <c r="CE68" s="60">
        <f t="shared" si="142"/>
        <v>7091.7999999999993</v>
      </c>
      <c r="CF68" s="60">
        <f t="shared" si="143"/>
        <v>7603.2659999999996</v>
      </c>
      <c r="CG68" s="60">
        <f t="shared" si="144"/>
        <v>8456.726999999999</v>
      </c>
      <c r="CH68" s="34"/>
      <c r="CI68" s="81" t="s">
        <v>1536</v>
      </c>
      <c r="CJ68" s="34"/>
      <c r="CK68" s="34"/>
      <c r="CL68" s="82">
        <f>CF69/CF81</f>
        <v>0</v>
      </c>
      <c r="CM68" s="45"/>
      <c r="CN68" s="45"/>
      <c r="CO68" s="45"/>
      <c r="CP68" s="47" t="s">
        <v>131</v>
      </c>
      <c r="CQ68" s="50">
        <f>Main!C4</f>
        <v>118.98099999999999</v>
      </c>
      <c r="CR68" s="73"/>
      <c r="CS68" s="34"/>
      <c r="CT68" s="34"/>
      <c r="CU68" s="52"/>
      <c r="CV68" s="52"/>
      <c r="CW68" s="52"/>
      <c r="CX68" s="52"/>
      <c r="CY68" s="52"/>
      <c r="CZ68" s="52"/>
      <c r="DA68" s="52"/>
      <c r="DB68" s="47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  <c r="ED68" s="34"/>
      <c r="EE68" s="34"/>
      <c r="EF68" s="34"/>
      <c r="EG68" s="34"/>
      <c r="EH68" s="34"/>
      <c r="EI68" s="34"/>
      <c r="EJ68" s="34"/>
      <c r="EK68" s="34"/>
      <c r="EL68" s="34"/>
      <c r="EM68" s="34"/>
      <c r="EN68" s="34"/>
      <c r="EO68" s="34"/>
      <c r="EP68" s="34"/>
      <c r="EQ68" s="34"/>
    </row>
    <row r="69" spans="2:147" ht="13.5" customHeight="1">
      <c r="AX69" s="59"/>
      <c r="CD69" s="59"/>
      <c r="CE69" s="59"/>
      <c r="CF69" s="59"/>
      <c r="CG69" s="59"/>
      <c r="CM69" s="45"/>
      <c r="CN69" s="45"/>
      <c r="CO69" s="45"/>
      <c r="CP69" s="47" t="s">
        <v>172</v>
      </c>
      <c r="CQ69" s="53">
        <f>CQ67/CQ68</f>
        <v>176.76870343307726</v>
      </c>
      <c r="CR69" s="69"/>
      <c r="CU69" s="52"/>
      <c r="CV69" s="52"/>
      <c r="CW69" s="52"/>
      <c r="CX69" s="52"/>
      <c r="CY69" s="52"/>
      <c r="CZ69" s="52"/>
      <c r="DA69" s="52"/>
      <c r="DB69" s="47"/>
    </row>
    <row r="70" spans="2:147" ht="13.5" customHeight="1">
      <c r="B70" s="1" t="s">
        <v>1508</v>
      </c>
      <c r="AX70" s="59">
        <v>172.7</v>
      </c>
      <c r="AY70" s="59">
        <v>287.464</v>
      </c>
      <c r="AZ70" s="59">
        <v>298.91000000000003</v>
      </c>
      <c r="BA70" s="59">
        <v>309.32</v>
      </c>
      <c r="BB70" s="59">
        <v>348.44</v>
      </c>
      <c r="BC70" s="59">
        <v>261.60000000000002</v>
      </c>
      <c r="BD70" s="59">
        <v>317.33999999999997</v>
      </c>
      <c r="BE70" s="59">
        <v>385.96</v>
      </c>
      <c r="BF70" s="59">
        <v>271.39999999999998</v>
      </c>
      <c r="BG70" s="59">
        <v>303.97000000000003</v>
      </c>
      <c r="BH70" s="59">
        <v>373.33</v>
      </c>
      <c r="BI70" s="59">
        <v>352.16</v>
      </c>
      <c r="BJ70" s="59">
        <v>331.42099999999999</v>
      </c>
      <c r="CD70" s="59">
        <f t="shared" si="141"/>
        <v>172.7</v>
      </c>
      <c r="CE70" s="59">
        <f t="shared" si="142"/>
        <v>348.44</v>
      </c>
      <c r="CF70" s="59">
        <f t="shared" si="143"/>
        <v>271.39999999999998</v>
      </c>
      <c r="CG70" s="59">
        <f t="shared" si="144"/>
        <v>331.42099999999999</v>
      </c>
      <c r="CI70" s="34" t="s">
        <v>1537</v>
      </c>
      <c r="CL70" s="45"/>
      <c r="CM70" s="52"/>
      <c r="CN70" s="52"/>
      <c r="CO70" s="52"/>
      <c r="CP70" s="47" t="s">
        <v>173</v>
      </c>
      <c r="CQ70" s="67">
        <f>Main!C3</f>
        <v>147.03</v>
      </c>
      <c r="DB70" s="47"/>
    </row>
    <row r="71" spans="2:147" ht="13.5" customHeight="1">
      <c r="B71" s="1" t="s">
        <v>1509</v>
      </c>
      <c r="AX71" s="59">
        <v>399.2</v>
      </c>
      <c r="AY71" s="59">
        <v>342.75</v>
      </c>
      <c r="AZ71" s="59">
        <v>399.17</v>
      </c>
      <c r="BA71" s="59">
        <v>392.94900000000001</v>
      </c>
      <c r="BB71" s="59">
        <v>348.55</v>
      </c>
      <c r="BC71" s="59">
        <v>374.44</v>
      </c>
      <c r="BD71" s="59">
        <v>396.42</v>
      </c>
      <c r="BE71" s="59">
        <v>561.61500000000001</v>
      </c>
      <c r="BF71" s="59">
        <v>559.46</v>
      </c>
      <c r="BG71" s="59">
        <v>506.99</v>
      </c>
      <c r="BH71" s="59">
        <v>423.93299999999999</v>
      </c>
      <c r="BI71" s="59">
        <v>621.15499999999997</v>
      </c>
      <c r="BJ71" s="59">
        <v>662.98199999999997</v>
      </c>
      <c r="CD71" s="59">
        <f t="shared" si="141"/>
        <v>399.2</v>
      </c>
      <c r="CE71" s="59">
        <f t="shared" si="142"/>
        <v>348.55</v>
      </c>
      <c r="CF71" s="59">
        <f t="shared" si="143"/>
        <v>559.46</v>
      </c>
      <c r="CG71" s="59">
        <f t="shared" si="144"/>
        <v>662.98199999999997</v>
      </c>
      <c r="CI71" s="83" t="s">
        <v>167</v>
      </c>
      <c r="CL71" s="79">
        <v>4.0899999999999999E-2</v>
      </c>
      <c r="CM71" s="45"/>
      <c r="CN71" s="45"/>
      <c r="CO71" s="45"/>
      <c r="CP71" s="47" t="s">
        <v>1538</v>
      </c>
      <c r="CQ71" s="72">
        <f>CQ69/CQ70-1</f>
        <v>0.20226282685898966</v>
      </c>
      <c r="CR71" s="73" t="str">
        <f>IF(CQ71&gt;0,"Upside","Downside")</f>
        <v>Upside</v>
      </c>
    </row>
    <row r="72" spans="2:147" ht="13.5" customHeight="1">
      <c r="B72" s="1" t="s">
        <v>1510</v>
      </c>
      <c r="AX72" s="59">
        <v>248.167</v>
      </c>
      <c r="AY72" s="59">
        <v>125.05</v>
      </c>
      <c r="AZ72" s="59">
        <v>192.28</v>
      </c>
      <c r="BA72" s="59">
        <v>250.47900000000001</v>
      </c>
      <c r="BB72" s="59">
        <v>326.11</v>
      </c>
      <c r="BC72" s="59">
        <v>132.911</v>
      </c>
      <c r="BD72" s="59">
        <v>174.7</v>
      </c>
      <c r="BE72" s="59">
        <v>190.16</v>
      </c>
      <c r="BF72" s="59">
        <v>204.54</v>
      </c>
      <c r="BG72" s="59">
        <v>144.22</v>
      </c>
      <c r="BH72" s="59">
        <v>148.88999999999999</v>
      </c>
      <c r="BI72" s="59">
        <v>186.37</v>
      </c>
      <c r="BJ72" s="59">
        <v>187.887</v>
      </c>
      <c r="CD72" s="59">
        <f t="shared" si="141"/>
        <v>248.167</v>
      </c>
      <c r="CE72" s="59">
        <f t="shared" si="142"/>
        <v>326.11</v>
      </c>
      <c r="CF72" s="59">
        <f t="shared" si="143"/>
        <v>204.54</v>
      </c>
      <c r="CG72" s="59">
        <f t="shared" si="144"/>
        <v>187.887</v>
      </c>
      <c r="CI72" s="83" t="s">
        <v>169</v>
      </c>
      <c r="CL72" s="53">
        <f>'Notes | Quant Analysis'!L206</f>
        <v>1.1299999999999999</v>
      </c>
      <c r="CP72" s="89" t="str" cm="1">
        <f t="array" ref="CP72">_xlfn.IFS(CQ71&gt;=25%,"Strong Buy",CQ71&gt;=10.00001%,"Buy",AND(CQ71&lt;=10%,CQ71&gt;=-4.9999%),"Hold",AND(CQ71&lt;=-5%,CQ71&gt;=-14.999999%),"Sell",CQ71&lt;=-15%,"Strong Sell")</f>
        <v>Buy</v>
      </c>
      <c r="CQ72" s="89"/>
    </row>
    <row r="73" spans="2:147" ht="13.5" customHeight="1">
      <c r="B73" s="1" t="s">
        <v>1511</v>
      </c>
      <c r="AX73" s="59">
        <v>207.97</v>
      </c>
      <c r="AY73" s="59">
        <v>210.5</v>
      </c>
      <c r="AZ73" s="59">
        <v>216.83</v>
      </c>
      <c r="BA73" s="59">
        <v>217.13800000000001</v>
      </c>
      <c r="BB73" s="59">
        <v>249.27</v>
      </c>
      <c r="BC73" s="59">
        <v>254.4</v>
      </c>
      <c r="BD73" s="59">
        <v>278.06</v>
      </c>
      <c r="BE73" s="59">
        <v>290.36</v>
      </c>
      <c r="BF73" s="59">
        <v>275.14999999999998</v>
      </c>
      <c r="BG73" s="59">
        <v>281.83</v>
      </c>
      <c r="BH73" s="59">
        <v>297.91899999999998</v>
      </c>
      <c r="BI73" s="59">
        <v>317.48200000000003</v>
      </c>
      <c r="BJ73" s="59">
        <v>298.72399999999999</v>
      </c>
      <c r="CD73" s="59">
        <f t="shared" si="141"/>
        <v>207.97</v>
      </c>
      <c r="CE73" s="59">
        <f t="shared" si="142"/>
        <v>249.27</v>
      </c>
      <c r="CF73" s="59">
        <f t="shared" si="143"/>
        <v>275.14999999999998</v>
      </c>
      <c r="CG73" s="59">
        <f t="shared" si="144"/>
        <v>298.72399999999999</v>
      </c>
      <c r="CI73" s="80" t="s">
        <v>1539</v>
      </c>
      <c r="CL73" s="79">
        <v>0.1497</v>
      </c>
    </row>
    <row r="74" spans="2:147" ht="13.5" customHeight="1">
      <c r="B74" s="1" t="s">
        <v>1512</v>
      </c>
      <c r="AX74" s="59">
        <v>174.22</v>
      </c>
      <c r="AY74" s="59">
        <v>30.2</v>
      </c>
      <c r="AZ74" s="59">
        <v>20.576000000000001</v>
      </c>
      <c r="BA74" s="59">
        <v>27.231000000000002</v>
      </c>
      <c r="BB74" s="59">
        <v>12.098000000000001</v>
      </c>
      <c r="BC74" s="59">
        <v>53.08</v>
      </c>
      <c r="BD74" s="59">
        <v>19.23</v>
      </c>
      <c r="BE74" s="59">
        <v>96.8</v>
      </c>
      <c r="BF74" s="59">
        <v>183.12</v>
      </c>
      <c r="BG74" s="59">
        <v>31.276</v>
      </c>
      <c r="BH74" s="59">
        <v>26.745000000000001</v>
      </c>
      <c r="BI74" s="59">
        <v>62.71</v>
      </c>
      <c r="BJ74" s="59">
        <v>43.94</v>
      </c>
      <c r="CD74" s="59">
        <f t="shared" si="141"/>
        <v>174.22</v>
      </c>
      <c r="CE74" s="59">
        <f t="shared" si="142"/>
        <v>12.098000000000001</v>
      </c>
      <c r="CF74" s="59">
        <f t="shared" si="143"/>
        <v>183.12</v>
      </c>
      <c r="CG74" s="59">
        <f t="shared" si="144"/>
        <v>43.94</v>
      </c>
      <c r="CI74" s="81" t="s">
        <v>1540</v>
      </c>
      <c r="CJ74" s="45"/>
      <c r="CK74" s="2"/>
      <c r="CL74" s="82">
        <f>(CL71+CL72)*(CL73-CL71)</f>
        <v>0.12739391999999999</v>
      </c>
    </row>
    <row r="75" spans="2:147" ht="13.5" customHeight="1">
      <c r="B75" s="1" t="s">
        <v>1513</v>
      </c>
      <c r="AX75" s="59">
        <v>251.47</v>
      </c>
      <c r="AY75" s="59">
        <v>223.97</v>
      </c>
      <c r="AZ75" s="59">
        <v>216.11</v>
      </c>
      <c r="BA75" s="59">
        <v>213.256</v>
      </c>
      <c r="BB75" s="59">
        <v>306.47899999999998</v>
      </c>
      <c r="BC75" s="59">
        <v>268.29599999999999</v>
      </c>
      <c r="BD75" s="59">
        <v>250.75</v>
      </c>
      <c r="BE75" s="59">
        <v>238.327</v>
      </c>
      <c r="BF75" s="59">
        <v>308.35000000000002</v>
      </c>
      <c r="BG75" s="59">
        <v>271.07</v>
      </c>
      <c r="BH75" s="59">
        <v>252.334</v>
      </c>
      <c r="BI75" s="59">
        <v>253.798</v>
      </c>
      <c r="BJ75" s="59">
        <v>316.63200000000001</v>
      </c>
      <c r="CD75" s="59">
        <f t="shared" si="141"/>
        <v>251.47</v>
      </c>
      <c r="CE75" s="59">
        <f t="shared" si="142"/>
        <v>306.47899999999998</v>
      </c>
      <c r="CF75" s="59">
        <f t="shared" si="143"/>
        <v>308.35000000000002</v>
      </c>
      <c r="CG75" s="59">
        <f t="shared" si="144"/>
        <v>316.63200000000001</v>
      </c>
      <c r="CI75" s="65"/>
    </row>
    <row r="76" spans="2:147" ht="15">
      <c r="B76" s="1" t="s">
        <v>1514</v>
      </c>
      <c r="AX76" s="59">
        <v>38.405000000000001</v>
      </c>
      <c r="AY76" s="59">
        <v>36.81</v>
      </c>
      <c r="AZ76" s="59">
        <v>42.46</v>
      </c>
      <c r="BA76" s="59">
        <v>37.737000000000002</v>
      </c>
      <c r="BB76" s="59">
        <v>40.308</v>
      </c>
      <c r="BC76" s="59">
        <v>38.78</v>
      </c>
      <c r="BD76" s="59">
        <v>32.119999999999997</v>
      </c>
      <c r="BE76" s="59">
        <v>40.28</v>
      </c>
      <c r="BF76" s="59">
        <v>37.58</v>
      </c>
      <c r="BG76" s="59">
        <v>33</v>
      </c>
      <c r="BH76" s="59">
        <v>34.186</v>
      </c>
      <c r="BI76" s="59">
        <v>48.49</v>
      </c>
      <c r="BJ76" s="59">
        <v>45.95</v>
      </c>
      <c r="CD76" s="59">
        <f t="shared" si="141"/>
        <v>38.405000000000001</v>
      </c>
      <c r="CE76" s="59">
        <f t="shared" si="142"/>
        <v>40.308</v>
      </c>
      <c r="CF76" s="59">
        <f t="shared" si="143"/>
        <v>37.58</v>
      </c>
      <c r="CG76" s="59">
        <f t="shared" si="144"/>
        <v>45.95</v>
      </c>
      <c r="CI76" s="34" t="s">
        <v>1541</v>
      </c>
      <c r="CJ76" s="67"/>
      <c r="CL76" s="84"/>
    </row>
    <row r="77" spans="2:147">
      <c r="B77" s="1" t="s">
        <v>1515</v>
      </c>
      <c r="AX77" s="59">
        <v>862.36</v>
      </c>
      <c r="AY77" s="59">
        <v>888.5</v>
      </c>
      <c r="AZ77" s="59">
        <v>976.73</v>
      </c>
      <c r="BA77" s="59">
        <v>950.95399999999995</v>
      </c>
      <c r="BB77" s="59">
        <v>1154.0119999999999</v>
      </c>
      <c r="BC77" s="59">
        <v>1147.5999999999999</v>
      </c>
      <c r="BD77" s="59">
        <v>1180.8</v>
      </c>
      <c r="BE77" s="59">
        <v>1223.73</v>
      </c>
      <c r="BF77" s="59">
        <v>1300.6300000000001</v>
      </c>
      <c r="BG77" s="59">
        <v>1424.94</v>
      </c>
      <c r="BH77" s="59">
        <v>1464.799</v>
      </c>
      <c r="BI77" s="59">
        <v>1445.3119999999999</v>
      </c>
      <c r="BJ77" s="59">
        <v>1499.71</v>
      </c>
      <c r="CD77" s="59">
        <f t="shared" si="141"/>
        <v>862.36</v>
      </c>
      <c r="CE77" s="59">
        <f t="shared" si="142"/>
        <v>1154.0119999999999</v>
      </c>
      <c r="CF77" s="59">
        <f t="shared" si="143"/>
        <v>1300.6300000000001</v>
      </c>
      <c r="CG77" s="59">
        <f t="shared" si="144"/>
        <v>1499.71</v>
      </c>
      <c r="CI77" s="85" t="s">
        <v>1541</v>
      </c>
      <c r="CL77" s="86">
        <v>0</v>
      </c>
      <c r="CN77" s="87"/>
      <c r="CP77" s="47"/>
    </row>
    <row r="78" spans="2:147" ht="15">
      <c r="B78" s="1" t="s">
        <v>1516</v>
      </c>
      <c r="AX78" s="59">
        <f>28.55+55.08</f>
        <v>83.63</v>
      </c>
      <c r="AY78" s="59">
        <f>28.55+54.5</f>
        <v>83.05</v>
      </c>
      <c r="AZ78" s="59">
        <f>15.864+55.25</f>
        <v>71.114000000000004</v>
      </c>
      <c r="BA78" s="59">
        <f>15.86+53.833</f>
        <v>69.692999999999998</v>
      </c>
      <c r="BB78" s="59">
        <f>15.86+29.52</f>
        <v>45.379999999999995</v>
      </c>
      <c r="BC78" s="59">
        <f>15.86+29.15</f>
        <v>45.01</v>
      </c>
      <c r="BD78" s="59">
        <v>28.87</v>
      </c>
      <c r="BE78" s="59">
        <v>33.231000000000002</v>
      </c>
      <c r="BF78" s="59">
        <v>98.188000000000002</v>
      </c>
      <c r="BG78" s="59">
        <v>98.188999999999993</v>
      </c>
      <c r="BH78" s="59">
        <v>62.4</v>
      </c>
      <c r="BI78" s="59">
        <v>111.59</v>
      </c>
      <c r="BJ78" s="59">
        <v>52.27</v>
      </c>
      <c r="CD78" s="59">
        <f t="shared" si="141"/>
        <v>83.63</v>
      </c>
      <c r="CE78" s="59">
        <f t="shared" si="142"/>
        <v>45.379999999999995</v>
      </c>
      <c r="CF78" s="59">
        <f t="shared" si="143"/>
        <v>98.188000000000002</v>
      </c>
      <c r="CG78" s="59">
        <f t="shared" si="144"/>
        <v>52.27</v>
      </c>
      <c r="CI78" s="80" t="s">
        <v>1542</v>
      </c>
      <c r="CL78" s="79">
        <v>0.3</v>
      </c>
      <c r="CN78" s="87"/>
      <c r="CO78" s="79"/>
      <c r="CP78" s="47"/>
      <c r="CQ78" s="2"/>
      <c r="CR78" s="2"/>
    </row>
    <row r="79" spans="2:147" ht="15">
      <c r="B79" s="1" t="s">
        <v>1517</v>
      </c>
      <c r="AX79" s="59">
        <v>20.04</v>
      </c>
      <c r="AY79" s="59">
        <v>23.027000000000001</v>
      </c>
      <c r="AZ79" s="59">
        <v>24.748000000000001</v>
      </c>
      <c r="BA79" s="59">
        <v>27.65</v>
      </c>
      <c r="BB79" s="59">
        <v>29.52</v>
      </c>
      <c r="BC79" s="59">
        <v>32.47</v>
      </c>
      <c r="BD79" s="59">
        <v>34.14</v>
      </c>
      <c r="BE79" s="59">
        <v>37.44</v>
      </c>
      <c r="BF79" s="59">
        <v>40.79</v>
      </c>
      <c r="BG79" s="59">
        <v>45.45</v>
      </c>
      <c r="BH79" s="59">
        <v>51.615000000000002</v>
      </c>
      <c r="BI79" s="59">
        <v>54.088000000000001</v>
      </c>
      <c r="BJ79" s="59">
        <v>55.36</v>
      </c>
      <c r="CD79" s="59">
        <f t="shared" si="141"/>
        <v>20.04</v>
      </c>
      <c r="CE79" s="59">
        <f t="shared" si="142"/>
        <v>29.52</v>
      </c>
      <c r="CF79" s="59">
        <f t="shared" si="143"/>
        <v>40.79</v>
      </c>
      <c r="CG79" s="59">
        <f t="shared" si="144"/>
        <v>55.36</v>
      </c>
      <c r="CI79" s="88" t="s">
        <v>1543</v>
      </c>
      <c r="CL79" s="82">
        <f>CL77*(1-CL78)</f>
        <v>0</v>
      </c>
      <c r="CP79" s="47"/>
    </row>
    <row r="80" spans="2:147" s="2" customFormat="1" ht="15">
      <c r="B80" s="2" t="s">
        <v>1519</v>
      </c>
      <c r="AX80" s="60">
        <f t="shared" ref="AX80:BG80" si="147">SUM(AX70:AX79)</f>
        <v>2458.1620000000003</v>
      </c>
      <c r="AY80" s="60">
        <f t="shared" si="147"/>
        <v>2251.3209999999999</v>
      </c>
      <c r="AZ80" s="60">
        <f t="shared" si="147"/>
        <v>2458.9280000000003</v>
      </c>
      <c r="BA80" s="60">
        <f t="shared" si="147"/>
        <v>2496.4070000000006</v>
      </c>
      <c r="BB80" s="60">
        <f t="shared" si="147"/>
        <v>2860.1669999999999</v>
      </c>
      <c r="BC80" s="60">
        <f t="shared" si="147"/>
        <v>2608.587</v>
      </c>
      <c r="BD80" s="60">
        <f t="shared" si="147"/>
        <v>2712.43</v>
      </c>
      <c r="BE80" s="60">
        <f t="shared" si="147"/>
        <v>3097.9030000000002</v>
      </c>
      <c r="BF80" s="60">
        <f t="shared" si="147"/>
        <v>3279.2080000000001</v>
      </c>
      <c r="BG80" s="60">
        <f t="shared" si="147"/>
        <v>3140.9349999999999</v>
      </c>
      <c r="BH80" s="60">
        <f>SUM(BH70:BH79)</f>
        <v>3136.1509999999994</v>
      </c>
      <c r="BI80" s="60">
        <f>SUM(BI70:BI79)</f>
        <v>3453.1550000000002</v>
      </c>
      <c r="BJ80" s="60">
        <f t="shared" ref="BJ80" si="148">SUM(BJ70:BJ79)</f>
        <v>3494.8760000000002</v>
      </c>
      <c r="BK80" s="34"/>
      <c r="BL80" s="34"/>
      <c r="BM80" s="34"/>
      <c r="BN80" s="34"/>
      <c r="CD80" s="60">
        <f t="shared" si="141"/>
        <v>2458.1620000000003</v>
      </c>
      <c r="CE80" s="60">
        <f t="shared" si="142"/>
        <v>2860.1669999999999</v>
      </c>
      <c r="CF80" s="60">
        <f t="shared" si="143"/>
        <v>3279.2080000000001</v>
      </c>
      <c r="CG80" s="60">
        <f t="shared" si="144"/>
        <v>3494.8760000000002</v>
      </c>
      <c r="CH80" s="34"/>
      <c r="CI80" s="35"/>
      <c r="CJ80" s="35"/>
      <c r="CK80" s="35"/>
      <c r="CL80" s="35"/>
      <c r="CM80" s="35"/>
      <c r="CN80" s="35"/>
      <c r="CO80" s="35"/>
      <c r="CP80" s="47"/>
      <c r="CQ80" s="35"/>
      <c r="CR80" s="35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34"/>
      <c r="EO80" s="34"/>
      <c r="EP80" s="34"/>
      <c r="EQ80" s="34"/>
    </row>
    <row r="81" spans="2:147" ht="15">
      <c r="B81" s="1" t="s">
        <v>1520</v>
      </c>
      <c r="AX81" s="59">
        <v>3148.79</v>
      </c>
      <c r="AY81" s="59">
        <v>3321.07</v>
      </c>
      <c r="AZ81" s="59">
        <v>3533.48</v>
      </c>
      <c r="BA81" s="59">
        <v>3525.8490000000002</v>
      </c>
      <c r="BB81" s="59">
        <v>4232</v>
      </c>
      <c r="BC81" s="59">
        <v>4219.8</v>
      </c>
      <c r="BD81" s="59">
        <v>4031.64</v>
      </c>
      <c r="BE81" s="59">
        <v>3985.73</v>
      </c>
      <c r="BF81" s="59">
        <v>4324.04</v>
      </c>
      <c r="BG81" s="59">
        <v>4289.57</v>
      </c>
      <c r="BH81" s="59">
        <v>4387.2790000000005</v>
      </c>
      <c r="BI81" s="59">
        <v>4502</v>
      </c>
      <c r="BJ81" s="59">
        <v>4961.84</v>
      </c>
      <c r="CD81" s="59">
        <f t="shared" si="141"/>
        <v>3148.79</v>
      </c>
      <c r="CE81" s="59">
        <f t="shared" si="142"/>
        <v>4232</v>
      </c>
      <c r="CF81" s="59">
        <f t="shared" si="143"/>
        <v>4324.04</v>
      </c>
      <c r="CG81" s="59">
        <f t="shared" si="144"/>
        <v>4961.84</v>
      </c>
      <c r="CI81" s="34" t="s">
        <v>1544</v>
      </c>
      <c r="CL81" s="82">
        <f>(CL67*CL74)+(CL66*CL79*(1-CL78))</f>
        <v>0.12739391999999999</v>
      </c>
      <c r="CP81" s="47"/>
      <c r="CQ81" s="72"/>
    </row>
    <row r="82" spans="2:147" s="2" customFormat="1" ht="15">
      <c r="B82" s="2" t="s">
        <v>1521</v>
      </c>
      <c r="AX82" s="60">
        <f t="shared" ref="AX82:BG82" si="149">AX80+AX81</f>
        <v>5606.9520000000002</v>
      </c>
      <c r="AY82" s="60">
        <f t="shared" si="149"/>
        <v>5572.3909999999996</v>
      </c>
      <c r="AZ82" s="60">
        <f t="shared" si="149"/>
        <v>5992.4080000000004</v>
      </c>
      <c r="BA82" s="60">
        <f t="shared" si="149"/>
        <v>6022.2560000000012</v>
      </c>
      <c r="BB82" s="60">
        <f t="shared" si="149"/>
        <v>7092.1669999999995</v>
      </c>
      <c r="BC82" s="60">
        <f t="shared" si="149"/>
        <v>6828.3870000000006</v>
      </c>
      <c r="BD82" s="60">
        <f t="shared" si="149"/>
        <v>6744.07</v>
      </c>
      <c r="BE82" s="60">
        <f t="shared" si="149"/>
        <v>7083.6329999999998</v>
      </c>
      <c r="BF82" s="60">
        <f t="shared" si="149"/>
        <v>7603.2479999999996</v>
      </c>
      <c r="BG82" s="60">
        <f t="shared" si="149"/>
        <v>7430.5049999999992</v>
      </c>
      <c r="BH82" s="60">
        <f>BH80+BH81</f>
        <v>7523.43</v>
      </c>
      <c r="BI82" s="60">
        <f>BI80+BI81</f>
        <v>7955.1550000000007</v>
      </c>
      <c r="BJ82" s="60">
        <f t="shared" ref="BJ82" si="150">BJ80+BJ81</f>
        <v>8456.7160000000003</v>
      </c>
      <c r="BK82" s="34"/>
      <c r="BL82" s="34"/>
      <c r="BM82" s="34"/>
      <c r="BN82" s="34"/>
      <c r="CD82" s="60">
        <f t="shared" si="141"/>
        <v>5606.9520000000002</v>
      </c>
      <c r="CE82" s="60">
        <f t="shared" si="142"/>
        <v>7092.1669999999995</v>
      </c>
      <c r="CF82" s="60">
        <f t="shared" si="143"/>
        <v>7603.2479999999996</v>
      </c>
      <c r="CG82" s="60">
        <f t="shared" si="144"/>
        <v>8456.7160000000003</v>
      </c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  <c r="EF82" s="34"/>
      <c r="EG82" s="34"/>
      <c r="EH82" s="34"/>
      <c r="EI82" s="34"/>
      <c r="EJ82" s="34"/>
      <c r="EK82" s="34"/>
      <c r="EL82" s="34"/>
      <c r="EM82" s="34"/>
      <c r="EN82" s="34"/>
      <c r="EO82" s="34"/>
      <c r="EP82" s="34"/>
      <c r="EQ82" s="34"/>
    </row>
    <row r="83" spans="2:147">
      <c r="CD83" s="59"/>
      <c r="CE83" s="59"/>
      <c r="CF83" s="59"/>
      <c r="CG83" s="59"/>
    </row>
    <row r="84" spans="2:147">
      <c r="B84" s="1" t="s">
        <v>121</v>
      </c>
      <c r="AX84" s="39">
        <f t="shared" ref="AX84:BG84" si="151">SUM(AX57:AX61)/SUM(AX70:AX76)</f>
        <v>2.117403151999957</v>
      </c>
      <c r="AY84" s="39">
        <f t="shared" si="151"/>
        <v>2.4295337793536316</v>
      </c>
      <c r="AZ84" s="39">
        <f t="shared" si="151"/>
        <v>2.397590483115204</v>
      </c>
      <c r="BA84" s="39">
        <f t="shared" si="151"/>
        <v>2.3236218243089266</v>
      </c>
      <c r="BB84" s="39">
        <f t="shared" si="151"/>
        <v>2.4892116805772235</v>
      </c>
      <c r="BC84" s="39">
        <f t="shared" si="151"/>
        <v>2.7235648247533262</v>
      </c>
      <c r="BD84" s="39">
        <f t="shared" si="151"/>
        <v>2.4320103226157888</v>
      </c>
      <c r="BE84" s="39">
        <f t="shared" si="151"/>
        <v>1.9990274477100665</v>
      </c>
      <c r="BF84" s="39">
        <f t="shared" si="151"/>
        <v>2.1636676451402481</v>
      </c>
      <c r="BG84" s="39">
        <f t="shared" si="151"/>
        <v>2.2784363083169459</v>
      </c>
      <c r="BH84" s="39">
        <f>SUM(BH57:BH61)/SUM(BH70:BH76)</f>
        <v>2.2656945799143027</v>
      </c>
      <c r="BI84" s="39">
        <f>SUM(BI57:BI61)/SUM(BI70:BI76)</f>
        <v>2.1299069301609794</v>
      </c>
      <c r="BJ84" s="39">
        <f t="shared" ref="BJ84" si="152">SUM(BJ57:BJ61)/SUM(BJ70:BJ76)</f>
        <v>2.2583389138008494</v>
      </c>
      <c r="CD84" s="39">
        <f t="shared" ref="CD84:CF84" si="153">SUM(CD57:CD61)/SUM(CD70:CD76)</f>
        <v>2.117403151999957</v>
      </c>
      <c r="CE84" s="39">
        <f t="shared" si="153"/>
        <v>2.4892116805772235</v>
      </c>
      <c r="CF84" s="39">
        <f t="shared" si="153"/>
        <v>2.1636676451402481</v>
      </c>
      <c r="CG84" s="39">
        <f t="shared" ref="CG84" si="154">SUM(CG57:CG61)/SUM(CG70:CG76)</f>
        <v>2.2583389138008494</v>
      </c>
    </row>
    <row r="85" spans="2:147">
      <c r="B85" s="1" t="s">
        <v>122</v>
      </c>
      <c r="AX85" s="39">
        <f t="shared" ref="AX85:BG85" si="155">(SUM(AX57:AX61)-AX59)/SUM(AX70:AX75)</f>
        <v>1.1777163112468845</v>
      </c>
      <c r="AY85" s="39">
        <f t="shared" si="155"/>
        <v>1.207433352951881</v>
      </c>
      <c r="AZ85" s="39">
        <f t="shared" si="155"/>
        <v>1.2375888846887657</v>
      </c>
      <c r="BA85" s="39">
        <f t="shared" si="155"/>
        <v>1.2062482761652416</v>
      </c>
      <c r="BB85" s="39">
        <f t="shared" si="155"/>
        <v>1.7203206643590259</v>
      </c>
      <c r="BC85" s="39">
        <f t="shared" si="155"/>
        <v>1.8017121690871081</v>
      </c>
      <c r="BD85" s="39">
        <f t="shared" si="155"/>
        <v>1.4916108597285065</v>
      </c>
      <c r="BE85" s="39">
        <f t="shared" si="155"/>
        <v>1.0233311517211106</v>
      </c>
      <c r="BF85" s="39">
        <f t="shared" si="155"/>
        <v>1.4085320917636874</v>
      </c>
      <c r="BG85" s="39">
        <f t="shared" si="155"/>
        <v>1.2540458477441216</v>
      </c>
      <c r="BH85" s="39">
        <f>(SUM(BH57:BH61)-BH59)/SUM(BH70:BH75)</f>
        <v>1.1856211235786867</v>
      </c>
      <c r="BI85" s="39">
        <f>(SUM(BI57:BI61)-BI59)/SUM(BI70:BI75)</f>
        <v>1.0736616165135826</v>
      </c>
      <c r="BJ85" s="39">
        <f t="shared" ref="BJ85" si="156">(SUM(BJ57:BJ61)-BJ59)/SUM(BJ70:BJ75)</f>
        <v>1.3911628346436169</v>
      </c>
      <c r="CD85" s="39">
        <f t="shared" ref="CD85:CF85" si="157">(SUM(CD57:CD61)-CD59)/SUM(CD70:CD75)</f>
        <v>1.1777163112468845</v>
      </c>
      <c r="CE85" s="39">
        <f t="shared" si="157"/>
        <v>1.7203206643590259</v>
      </c>
      <c r="CF85" s="39">
        <f t="shared" si="157"/>
        <v>1.4085320917636874</v>
      </c>
      <c r="CG85" s="39">
        <f t="shared" ref="CG85" si="158">(SUM(CG57:CG61)-CG59)/SUM(CG70:CG75)</f>
        <v>1.3911628346436169</v>
      </c>
    </row>
    <row r="86" spans="2:147">
      <c r="B86" s="1" t="s">
        <v>123</v>
      </c>
      <c r="AX86" s="39">
        <f t="shared" ref="AX86:BG86" si="159">AX57/SUM(AX70:AX76)</f>
        <v>0.77396637830969373</v>
      </c>
      <c r="AY86" s="39">
        <f t="shared" si="159"/>
        <v>0.75640464565575805</v>
      </c>
      <c r="AZ86" s="39">
        <f t="shared" si="159"/>
        <v>0.79889002377490004</v>
      </c>
      <c r="BA86" s="39">
        <f t="shared" si="159"/>
        <v>0.75348557775307123</v>
      </c>
      <c r="BB86" s="39">
        <f t="shared" si="159"/>
        <v>1.3756095766756269</v>
      </c>
      <c r="BC86" s="39">
        <f t="shared" si="159"/>
        <v>1.3738072882898316</v>
      </c>
      <c r="BD86" s="39">
        <f t="shared" si="159"/>
        <v>1.096342144325966</v>
      </c>
      <c r="BE86" s="39">
        <f t="shared" si="159"/>
        <v>0.65894576218934053</v>
      </c>
      <c r="BF86" s="39">
        <f t="shared" si="159"/>
        <v>1.07867471189389</v>
      </c>
      <c r="BG86" s="39">
        <f t="shared" si="159"/>
        <v>0.84285619796025835</v>
      </c>
      <c r="BH86" s="39">
        <f>BH57/SUM(BH70:BH76)</f>
        <v>0.74215792728227747</v>
      </c>
      <c r="BI86" s="39">
        <f>BI57/SUM(BI70:BI76)</f>
        <v>0.56230576522732756</v>
      </c>
      <c r="BJ86" s="39">
        <f t="shared" ref="BJ86" si="160">BJ57/SUM(BJ70:BJ76)</f>
        <v>0.95743869256003589</v>
      </c>
      <c r="CD86" s="39">
        <f t="shared" ref="CD86:CF86" si="161">CD57/SUM(CD70:CD76)</f>
        <v>0.77396637830969373</v>
      </c>
      <c r="CE86" s="39">
        <f t="shared" si="161"/>
        <v>1.3756095766756269</v>
      </c>
      <c r="CF86" s="39">
        <f t="shared" si="161"/>
        <v>1.07867471189389</v>
      </c>
      <c r="CG86" s="39">
        <f t="shared" ref="CG86" si="162">CG57/SUM(CG70:CG76)</f>
        <v>0.95743869256003589</v>
      </c>
    </row>
    <row r="87" spans="2:147">
      <c r="B87" s="1" t="s">
        <v>124</v>
      </c>
      <c r="AX87" s="39">
        <f t="shared" ref="AX87:BG87" si="163">AX82/AX38</f>
        <v>2.0228216059544413</v>
      </c>
      <c r="AY87" s="39">
        <f t="shared" si="163"/>
        <v>2.7850926033290815</v>
      </c>
      <c r="AZ87" s="39">
        <f t="shared" si="163"/>
        <v>2.7125401172396622</v>
      </c>
      <c r="BA87" s="39">
        <f t="shared" si="163"/>
        <v>2.732163207827937</v>
      </c>
      <c r="BB87" s="39">
        <f t="shared" si="163"/>
        <v>2.2127617686701275</v>
      </c>
      <c r="BC87" s="39">
        <f t="shared" si="163"/>
        <v>3.0913233264882605</v>
      </c>
      <c r="BD87" s="39">
        <f t="shared" si="163"/>
        <v>2.8443078163669151</v>
      </c>
      <c r="BE87" s="39">
        <f t="shared" si="163"/>
        <v>2.9556393298979824</v>
      </c>
      <c r="BF87" s="39">
        <f t="shared" si="163"/>
        <v>2.1052811121768387</v>
      </c>
      <c r="BG87" s="39">
        <f t="shared" si="163"/>
        <v>3.1343613171015665</v>
      </c>
      <c r="BH87" s="39">
        <f>BH82/BH38</f>
        <v>2.97932845189113</v>
      </c>
      <c r="BI87" s="39">
        <f>BI82/BI38</f>
        <v>3.1003165729834601</v>
      </c>
      <c r="BJ87" s="39">
        <f t="shared" ref="BJ87" si="164">BJ82/BJ38</f>
        <v>2.3227675948618889</v>
      </c>
      <c r="CD87" s="39">
        <f t="shared" ref="CD87:CF87" si="165">CD82/CD38</f>
        <v>0.69131860628384034</v>
      </c>
      <c r="CE87" s="39">
        <f t="shared" si="165"/>
        <v>0.73728744488926901</v>
      </c>
      <c r="CF87" s="39">
        <f t="shared" si="165"/>
        <v>0.71809194563797218</v>
      </c>
      <c r="CG87" s="39">
        <f t="shared" ref="CG87" si="166">CG82/CG38</f>
        <v>0.76168926501768064</v>
      </c>
    </row>
    <row r="88" spans="2:147">
      <c r="B88" s="1" t="s">
        <v>125</v>
      </c>
      <c r="AX88" s="39">
        <f t="shared" ref="AX88:BG88" si="167">AX39/AVERAGE(AU59:AX59)</f>
        <v>0.85962993490939066</v>
      </c>
      <c r="AY88" s="39">
        <f t="shared" si="167"/>
        <v>0.56148602230090361</v>
      </c>
      <c r="AZ88" s="39">
        <f t="shared" si="167"/>
        <v>0.58273860054005866</v>
      </c>
      <c r="BA88" s="39">
        <f t="shared" si="167"/>
        <v>0.59672731967040205</v>
      </c>
      <c r="BB88" s="39">
        <f t="shared" si="167"/>
        <v>0.83600223691771625</v>
      </c>
      <c r="BC88" s="39">
        <f t="shared" si="167"/>
        <v>0.62324383130101646</v>
      </c>
      <c r="BD88" s="39">
        <f t="shared" si="167"/>
        <v>0.66573403269310205</v>
      </c>
      <c r="BE88" s="39">
        <f t="shared" si="167"/>
        <v>0.67478703115066752</v>
      </c>
      <c r="BF88" s="39">
        <f t="shared" si="167"/>
        <v>0.95027113804857044</v>
      </c>
      <c r="BG88" s="39">
        <f t="shared" si="167"/>
        <v>0.62459875459752112</v>
      </c>
      <c r="BH88" s="39">
        <f>BH39/AVERAGE(BE59:BH59)</f>
        <v>0.63345941069536982</v>
      </c>
      <c r="BI88" s="39">
        <f>BI39/AVERAGE(BF59:BI59)</f>
        <v>0.66915349148443481</v>
      </c>
      <c r="BJ88" s="39">
        <f t="shared" ref="BJ88" si="168">BJ39/AVERAGE(BG59:BJ59)</f>
        <v>0.92907786378256108</v>
      </c>
      <c r="CD88" s="39">
        <f t="shared" ref="CD88:CG88" si="169">CD39/AVERAGE(CA59:CD59)</f>
        <v>2.4998497271251865</v>
      </c>
      <c r="CE88" s="39">
        <f t="shared" si="169"/>
        <v>2.8942964676230361</v>
      </c>
      <c r="CF88" s="39">
        <f t="shared" si="169"/>
        <v>3.0742358202982305</v>
      </c>
      <c r="CG88" s="39">
        <f t="shared" si="169"/>
        <v>3.2590905639811445</v>
      </c>
    </row>
    <row r="89" spans="2:147">
      <c r="B89" s="1" t="s">
        <v>126</v>
      </c>
      <c r="AX89" s="63">
        <f t="shared" ref="AX89:BG89" si="170">AX47/AX82</f>
        <v>2.1214199800533295E-2</v>
      </c>
      <c r="AY89" s="63">
        <f t="shared" si="170"/>
        <v>5.2094693283367938E-2</v>
      </c>
      <c r="AZ89" s="63">
        <f t="shared" si="170"/>
        <v>5.6980432574016991E-2</v>
      </c>
      <c r="BA89" s="63">
        <f t="shared" si="170"/>
        <v>4.124832952966466E-2</v>
      </c>
      <c r="BB89" s="63">
        <f t="shared" si="170"/>
        <v>9.4388640312615291E-2</v>
      </c>
      <c r="BC89" s="63">
        <f t="shared" si="170"/>
        <v>4.7081104219781331E-2</v>
      </c>
      <c r="BD89" s="63">
        <f t="shared" si="170"/>
        <v>5.8255029974481273E-2</v>
      </c>
      <c r="BE89" s="63">
        <f t="shared" si="170"/>
        <v>4.9684956857589918E-2</v>
      </c>
      <c r="BF89" s="63">
        <f t="shared" si="170"/>
        <v>9.8393739096764993E-2</v>
      </c>
      <c r="BG89" s="63">
        <f t="shared" si="170"/>
        <v>4.2293222331456597E-2</v>
      </c>
      <c r="BH89" s="63">
        <f>BH47/BH82</f>
        <v>4.9513320387110663E-2</v>
      </c>
      <c r="BI89" s="63">
        <f>BI47/BI82</f>
        <v>3.8571215771408589E-2</v>
      </c>
      <c r="BJ89" s="63">
        <f t="shared" ref="BJ89" si="171">BJ47/BJ82</f>
        <v>6.9375984720309827E-2</v>
      </c>
      <c r="CD89" s="63">
        <f t="shared" ref="CD89:CF89" si="172">CD47/CD82</f>
        <v>0.15252814720011865</v>
      </c>
      <c r="CE89" s="63">
        <f t="shared" si="172"/>
        <v>0.21849034293749714</v>
      </c>
      <c r="CF89" s="63">
        <f t="shared" si="172"/>
        <v>0.2386382766943812</v>
      </c>
      <c r="CG89" s="63">
        <f t="shared" ref="CG89" si="173">CG47/CG82</f>
        <v>0.18686958389048414</v>
      </c>
    </row>
    <row r="90" spans="2:147">
      <c r="B90" s="1" t="s">
        <v>127</v>
      </c>
      <c r="AX90" s="63">
        <f t="shared" ref="AX90:BG90" si="174">AX47/AX81</f>
        <v>3.7775462955611447E-2</v>
      </c>
      <c r="AY90" s="63">
        <f t="shared" si="174"/>
        <v>8.7409178367212945E-2</v>
      </c>
      <c r="AZ90" s="63">
        <f t="shared" si="174"/>
        <v>9.6632781280777041E-2</v>
      </c>
      <c r="BA90" s="63">
        <f t="shared" si="174"/>
        <v>7.0453385836999893E-2</v>
      </c>
      <c r="BB90" s="63">
        <f t="shared" si="174"/>
        <v>0.15818052930056706</v>
      </c>
      <c r="BC90" s="63">
        <f t="shared" si="174"/>
        <v>7.6185601213327639E-2</v>
      </c>
      <c r="BD90" s="63">
        <f t="shared" si="174"/>
        <v>9.7448184857774983E-2</v>
      </c>
      <c r="BE90" s="63">
        <f t="shared" si="174"/>
        <v>8.8302519237379404E-2</v>
      </c>
      <c r="BF90" s="63">
        <f t="shared" si="174"/>
        <v>0.17301227555711793</v>
      </c>
      <c r="BG90" s="63">
        <f t="shared" si="174"/>
        <v>7.326142247358125E-2</v>
      </c>
      <c r="BH90" s="63">
        <f>BH47/BH81</f>
        <v>8.4906840891586774E-2</v>
      </c>
      <c r="BI90" s="63">
        <f>BI47/BI81</f>
        <v>6.8156374944469106E-2</v>
      </c>
      <c r="BJ90" s="63">
        <f t="shared" ref="BJ90" si="175">BJ47/BJ81</f>
        <v>0.11824101542975986</v>
      </c>
      <c r="CD90" s="63">
        <f t="shared" ref="CD90:CF90" si="176">CD47/CD81</f>
        <v>0.27160210747620506</v>
      </c>
      <c r="CE90" s="63">
        <f t="shared" si="176"/>
        <v>0.36615548204158793</v>
      </c>
      <c r="CF90" s="63">
        <f t="shared" si="176"/>
        <v>0.41961360209433779</v>
      </c>
      <c r="CG90" s="63">
        <f t="shared" ref="CG90" si="177">CG47/CG81</f>
        <v>0.31849132579849398</v>
      </c>
    </row>
    <row r="92" spans="2:147">
      <c r="B92" s="1" t="s">
        <v>1496</v>
      </c>
      <c r="C92" s="59">
        <f>C47</f>
        <v>33.500000000000014</v>
      </c>
      <c r="D92" s="59">
        <f t="shared" ref="D92:BH92" si="178">D47</f>
        <v>38.24</v>
      </c>
      <c r="E92" s="59">
        <f t="shared" si="178"/>
        <v>38.900000000000006</v>
      </c>
      <c r="F92" s="59">
        <f t="shared" si="178"/>
        <v>74.129999999999981</v>
      </c>
      <c r="G92" s="59">
        <f t="shared" si="178"/>
        <v>46.999999999999986</v>
      </c>
      <c r="H92" s="59">
        <f t="shared" si="178"/>
        <v>57.600000000000023</v>
      </c>
      <c r="I92" s="59">
        <f t="shared" si="178"/>
        <v>57.300000000000011</v>
      </c>
      <c r="J92" s="59">
        <f t="shared" si="178"/>
        <v>109.39999999999999</v>
      </c>
      <c r="K92" s="59">
        <f t="shared" si="178"/>
        <v>47.300000000000018</v>
      </c>
      <c r="L92" s="59">
        <f t="shared" si="178"/>
        <v>56.400000000000006</v>
      </c>
      <c r="M92" s="59">
        <f t="shared" si="178"/>
        <v>66.099999999999966</v>
      </c>
      <c r="N92" s="59">
        <f t="shared" si="178"/>
        <v>109.70000000000002</v>
      </c>
      <c r="O92" s="59">
        <f t="shared" si="178"/>
        <v>18.900000000000006</v>
      </c>
      <c r="P92" s="59">
        <f t="shared" si="178"/>
        <v>47.799999999999983</v>
      </c>
      <c r="Q92" s="59">
        <f t="shared" si="178"/>
        <v>59.499999999999957</v>
      </c>
      <c r="R92" s="59">
        <f t="shared" si="178"/>
        <v>110.90000000000003</v>
      </c>
      <c r="S92" s="59">
        <f t="shared" si="178"/>
        <v>47.7</v>
      </c>
      <c r="T92" s="59">
        <f t="shared" si="178"/>
        <v>47.599999999999994</v>
      </c>
      <c r="U92" s="59">
        <f t="shared" si="178"/>
        <v>53.199999999999982</v>
      </c>
      <c r="V92" s="59">
        <f t="shared" si="178"/>
        <v>117.39999999999996</v>
      </c>
      <c r="W92" s="59">
        <f t="shared" si="178"/>
        <v>45.300000000000026</v>
      </c>
      <c r="X92" s="59">
        <f t="shared" si="178"/>
        <v>53.60000000000003</v>
      </c>
      <c r="Y92" s="59">
        <f t="shared" si="178"/>
        <v>68.199999999999974</v>
      </c>
      <c r="Z92" s="59">
        <f t="shared" si="178"/>
        <v>136.09999999999997</v>
      </c>
      <c r="AA92" s="59">
        <f t="shared" si="178"/>
        <v>30.59999999999998</v>
      </c>
      <c r="AB92" s="59">
        <f t="shared" si="178"/>
        <v>48</v>
      </c>
      <c r="AC92" s="59">
        <f t="shared" si="178"/>
        <v>57.899999999999963</v>
      </c>
      <c r="AD92" s="59">
        <f t="shared" si="178"/>
        <v>118.80000000000001</v>
      </c>
      <c r="AE92" s="59">
        <f t="shared" si="178"/>
        <v>75.100000000000051</v>
      </c>
      <c r="AF92" s="59">
        <f t="shared" si="178"/>
        <v>95.799999999999983</v>
      </c>
      <c r="AG92" s="59">
        <f t="shared" si="178"/>
        <v>94.400000000000091</v>
      </c>
      <c r="AH92" s="59">
        <f t="shared" si="178"/>
        <v>217.59999999999997</v>
      </c>
      <c r="AI92" s="59">
        <f t="shared" si="178"/>
        <v>96.599999999999966</v>
      </c>
      <c r="AJ92" s="59">
        <f t="shared" si="178"/>
        <v>124.99999999999996</v>
      </c>
      <c r="AK92" s="59">
        <f t="shared" si="178"/>
        <v>125.90000000000002</v>
      </c>
      <c r="AL92" s="59">
        <f t="shared" si="178"/>
        <v>298</v>
      </c>
      <c r="AM92" s="59">
        <f t="shared" si="178"/>
        <v>27.65800000000004</v>
      </c>
      <c r="AN92" s="59">
        <f t="shared" si="178"/>
        <v>86.042000000000058</v>
      </c>
      <c r="AO92" s="59">
        <f t="shared" si="178"/>
        <v>143.322</v>
      </c>
      <c r="AP92" s="59">
        <f t="shared" si="178"/>
        <v>329.85700000000014</v>
      </c>
      <c r="AQ92" s="59">
        <f t="shared" si="178"/>
        <v>143.76499999999984</v>
      </c>
      <c r="AR92" s="59">
        <f t="shared" si="178"/>
        <v>208.41500000000011</v>
      </c>
      <c r="AS92" s="59">
        <f t="shared" si="178"/>
        <v>187.11799999999988</v>
      </c>
      <c r="AT92" s="59">
        <f t="shared" si="178"/>
        <v>435.21899999999965</v>
      </c>
      <c r="AU92" s="59">
        <f t="shared" si="178"/>
        <v>190.15800000000007</v>
      </c>
      <c r="AV92" s="59">
        <f t="shared" si="178"/>
        <v>289.42799999999994</v>
      </c>
      <c r="AW92" s="59">
        <f t="shared" si="178"/>
        <v>256.68499999999995</v>
      </c>
      <c r="AX92" s="59">
        <f t="shared" si="178"/>
        <v>118.94699999999978</v>
      </c>
      <c r="AY92" s="59">
        <f t="shared" si="178"/>
        <v>290.29199999999992</v>
      </c>
      <c r="AZ92" s="59">
        <f t="shared" si="178"/>
        <v>341.45000000000005</v>
      </c>
      <c r="BA92" s="59">
        <f t="shared" si="178"/>
        <v>248.40800000000024</v>
      </c>
      <c r="BB92" s="59">
        <f t="shared" si="178"/>
        <v>669.41999999999985</v>
      </c>
      <c r="BC92" s="59">
        <f t="shared" si="178"/>
        <v>321.488</v>
      </c>
      <c r="BD92" s="59">
        <f t="shared" si="178"/>
        <v>392.87599999999992</v>
      </c>
      <c r="BE92" s="59">
        <f t="shared" si="178"/>
        <v>351.95000000000022</v>
      </c>
      <c r="BF92" s="59">
        <f t="shared" si="178"/>
        <v>748.11200000000019</v>
      </c>
      <c r="BG92" s="59">
        <f t="shared" si="178"/>
        <v>314.25999999999988</v>
      </c>
      <c r="BH92" s="59">
        <f t="shared" si="178"/>
        <v>372.51</v>
      </c>
      <c r="BI92" s="59">
        <f t="shared" ref="BI92:BJ92" si="179">BI47</f>
        <v>306.83999999999992</v>
      </c>
      <c r="BJ92" s="59">
        <f t="shared" si="179"/>
        <v>586.69299999999964</v>
      </c>
      <c r="BS92" s="59">
        <f t="shared" ref="BS92:CE92" si="180">BS47</f>
        <v>184.76999999999998</v>
      </c>
      <c r="BT92" s="59">
        <f t="shared" si="180"/>
        <v>271.3</v>
      </c>
      <c r="BU92" s="59">
        <f t="shared" si="180"/>
        <v>279.5</v>
      </c>
      <c r="BV92" s="59">
        <f t="shared" si="180"/>
        <v>237.09999999999997</v>
      </c>
      <c r="BW92" s="59">
        <f t="shared" si="180"/>
        <v>265.89999999999992</v>
      </c>
      <c r="BX92" s="59">
        <f t="shared" si="180"/>
        <v>303.2</v>
      </c>
      <c r="BY92" s="59">
        <f t="shared" si="180"/>
        <v>255.29999999999995</v>
      </c>
      <c r="BZ92" s="59">
        <f t="shared" si="180"/>
        <v>482.90000000000009</v>
      </c>
      <c r="CA92" s="59">
        <f t="shared" si="180"/>
        <v>645.5</v>
      </c>
      <c r="CB92" s="59">
        <f t="shared" si="180"/>
        <v>586.87900000000025</v>
      </c>
      <c r="CC92" s="59">
        <f t="shared" si="180"/>
        <v>974.51699999999937</v>
      </c>
      <c r="CD92" s="59">
        <f t="shared" si="180"/>
        <v>855.21799999999973</v>
      </c>
      <c r="CE92" s="59">
        <f t="shared" si="180"/>
        <v>1549.5700000000002</v>
      </c>
      <c r="CF92" s="59">
        <f>CF47</f>
        <v>1814.4260000000004</v>
      </c>
      <c r="CG92" s="59">
        <f t="shared" ref="CG92:CG97" si="181">SUM(BG92:BJ92)</f>
        <v>1580.3029999999994</v>
      </c>
    </row>
    <row r="93" spans="2:147" s="2" customFormat="1" ht="15">
      <c r="B93" s="2" t="s">
        <v>128</v>
      </c>
      <c r="C93" s="60">
        <v>5.7</v>
      </c>
      <c r="D93" s="60">
        <v>13.9</v>
      </c>
      <c r="E93" s="60">
        <v>34</v>
      </c>
      <c r="F93" s="60">
        <v>150.1</v>
      </c>
      <c r="G93" s="60">
        <v>16</v>
      </c>
      <c r="H93" s="60">
        <v>47.6</v>
      </c>
      <c r="I93" s="60">
        <v>49.7</v>
      </c>
      <c r="J93" s="60">
        <v>166.9</v>
      </c>
      <c r="K93" s="60">
        <v>25.1</v>
      </c>
      <c r="L93" s="60">
        <v>45.8</v>
      </c>
      <c r="M93" s="60">
        <v>23.9</v>
      </c>
      <c r="N93" s="60">
        <v>183.5</v>
      </c>
      <c r="O93" s="60">
        <v>71</v>
      </c>
      <c r="P93" s="60">
        <v>53</v>
      </c>
      <c r="Q93" s="60">
        <v>42.9</v>
      </c>
      <c r="R93" s="60">
        <v>147.6</v>
      </c>
      <c r="S93" s="60">
        <v>20.9</v>
      </c>
      <c r="T93" s="60">
        <v>11.2</v>
      </c>
      <c r="U93" s="60">
        <v>-6.2</v>
      </c>
      <c r="V93" s="60">
        <v>271.60000000000002</v>
      </c>
      <c r="W93" s="60">
        <v>40</v>
      </c>
      <c r="X93" s="60">
        <v>61.2</v>
      </c>
      <c r="Y93" s="60">
        <v>-2.5</v>
      </c>
      <c r="Z93" s="60">
        <v>287.7</v>
      </c>
      <c r="AA93" s="60">
        <v>19.399999999999999</v>
      </c>
      <c r="AB93" s="60">
        <v>82.6</v>
      </c>
      <c r="AC93" s="60">
        <v>29.3</v>
      </c>
      <c r="AD93" s="60">
        <v>358</v>
      </c>
      <c r="AE93" s="60">
        <v>35.799999999999997</v>
      </c>
      <c r="AF93" s="60">
        <v>174.2</v>
      </c>
      <c r="AG93" s="60">
        <v>106.8</v>
      </c>
      <c r="AH93" s="60">
        <v>425.9</v>
      </c>
      <c r="AI93" s="60">
        <v>-62.8</v>
      </c>
      <c r="AJ93" s="60">
        <v>112.8</v>
      </c>
      <c r="AK93" s="60">
        <v>45.1</v>
      </c>
      <c r="AL93" s="60">
        <v>574.20000000000005</v>
      </c>
      <c r="AM93" s="60">
        <v>-121.2</v>
      </c>
      <c r="AN93" s="60">
        <v>181.3</v>
      </c>
      <c r="AO93" s="60">
        <v>25.3</v>
      </c>
      <c r="AP93" s="60">
        <v>717.9</v>
      </c>
      <c r="AQ93" s="60">
        <v>214.1</v>
      </c>
      <c r="AR93" s="60">
        <v>285.7</v>
      </c>
      <c r="AS93" s="60">
        <v>158.4</v>
      </c>
      <c r="AT93" s="60">
        <v>731</v>
      </c>
      <c r="AU93" s="60">
        <v>-243.3</v>
      </c>
      <c r="AV93" s="60">
        <v>97.6</v>
      </c>
      <c r="AW93" s="60">
        <v>65.8</v>
      </c>
      <c r="AX93" s="60">
        <v>1046.3</v>
      </c>
      <c r="AY93" s="60">
        <v>45.5</v>
      </c>
      <c r="AZ93" s="60">
        <v>476.7</v>
      </c>
      <c r="BA93" s="60">
        <v>389.9</v>
      </c>
      <c r="BB93" s="60">
        <v>1384.1</v>
      </c>
      <c r="BC93" s="60">
        <v>127.5</v>
      </c>
      <c r="BD93" s="60">
        <v>443.1</v>
      </c>
      <c r="BE93" s="60">
        <v>300.7</v>
      </c>
      <c r="BF93" s="60">
        <v>1401.4</v>
      </c>
      <c r="BG93" s="60">
        <v>-119</v>
      </c>
      <c r="BH93" s="60">
        <v>328.7</v>
      </c>
      <c r="BI93" s="60">
        <v>249.9</v>
      </c>
      <c r="BJ93" s="60">
        <v>1142.9000000000001</v>
      </c>
      <c r="BK93" s="34"/>
      <c r="BL93" s="34"/>
      <c r="BM93" s="34"/>
      <c r="BN93" s="34"/>
      <c r="BS93" s="60">
        <f t="shared" ref="BS93:BS95" si="182">SUM(C93:F93)</f>
        <v>203.7</v>
      </c>
      <c r="BT93" s="60">
        <f t="shared" ref="BT93:BT95" si="183">SUM(G93:J93)</f>
        <v>280.20000000000005</v>
      </c>
      <c r="BU93" s="60">
        <f t="shared" ref="BU93:BU95" si="184">SUM(K93:N93)</f>
        <v>278.3</v>
      </c>
      <c r="BV93" s="60">
        <f t="shared" ref="BV93:BV95" si="185">SUM(O93:R93)</f>
        <v>314.5</v>
      </c>
      <c r="BW93" s="60">
        <f t="shared" ref="BW93:BW95" si="186">SUM(S93:V93)</f>
        <v>297.5</v>
      </c>
      <c r="BX93" s="60">
        <f t="shared" ref="BX93:BX95" si="187">SUM(W93:Z93)</f>
        <v>386.4</v>
      </c>
      <c r="BY93" s="60">
        <f t="shared" ref="BY93:BY95" si="188">SUM(AA93:AD93)</f>
        <v>489.3</v>
      </c>
      <c r="BZ93" s="60">
        <f t="shared" ref="BZ93:BZ95" si="189">SUM(AE93:AH93)</f>
        <v>742.7</v>
      </c>
      <c r="CA93" s="60">
        <f t="shared" ref="CA93:CA95" si="190">SUM(AI93:AL93)</f>
        <v>669.30000000000007</v>
      </c>
      <c r="CB93" s="60">
        <f t="shared" ref="CB93:CB95" si="191">SUM(AM93:AP93)</f>
        <v>803.3</v>
      </c>
      <c r="CC93" s="60">
        <f t="shared" ref="CC93:CC95" si="192">SUM(AQ93:AT93)</f>
        <v>1389.1999999999998</v>
      </c>
      <c r="CD93" s="60">
        <f t="shared" ref="CD93:CD95" si="193">SUM(AU93:AX93)</f>
        <v>966.4</v>
      </c>
      <c r="CE93" s="60">
        <f t="shared" ref="CE93:CE95" si="194">SUM(AY93:BB93)</f>
        <v>2296.1999999999998</v>
      </c>
      <c r="CF93" s="60">
        <f t="shared" ref="CF93:CF95" si="195">SUM(BC93:BF93)</f>
        <v>2272.6999999999998</v>
      </c>
      <c r="CG93" s="60">
        <f t="shared" si="181"/>
        <v>1602.5</v>
      </c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  <c r="EM93" s="34"/>
      <c r="EN93" s="34"/>
      <c r="EO93" s="34"/>
      <c r="EP93" s="34"/>
      <c r="EQ93" s="34"/>
    </row>
    <row r="94" spans="2:147">
      <c r="B94" s="1" t="s">
        <v>129</v>
      </c>
      <c r="C94" s="59">
        <v>-74.8</v>
      </c>
      <c r="D94" s="59">
        <v>-12.49</v>
      </c>
      <c r="E94" s="59">
        <v>-13.36</v>
      </c>
      <c r="F94" s="59">
        <v>-15.967000000000001</v>
      </c>
      <c r="G94" s="59">
        <v>-12.696</v>
      </c>
      <c r="H94" s="59">
        <v>-26.35</v>
      </c>
      <c r="I94" s="59">
        <v>-32.99</v>
      </c>
      <c r="J94" s="59">
        <v>-21.18</v>
      </c>
      <c r="K94" s="59">
        <v>-20.97</v>
      </c>
      <c r="L94" s="59">
        <v>-23.03</v>
      </c>
      <c r="M94" s="59">
        <v>-27.93</v>
      </c>
      <c r="N94" s="59">
        <v>-34.46</v>
      </c>
      <c r="O94" s="59">
        <v>-25.4</v>
      </c>
      <c r="P94" s="59">
        <v>-26.7</v>
      </c>
      <c r="Q94" s="59">
        <v>-37.299999999999997</v>
      </c>
      <c r="R94" s="59">
        <v>-30.4</v>
      </c>
      <c r="S94" s="59">
        <v>-27.9</v>
      </c>
      <c r="T94" s="59">
        <v>-37.200000000000003</v>
      </c>
      <c r="U94" s="59">
        <v>-42.9</v>
      </c>
      <c r="V94" s="59">
        <v>-35.4</v>
      </c>
      <c r="W94" s="59">
        <v>-26.6</v>
      </c>
      <c r="X94" s="59">
        <v>-44.6</v>
      </c>
      <c r="Y94" s="59">
        <v>-34.9</v>
      </c>
      <c r="Z94" s="59">
        <v>-43.3</v>
      </c>
      <c r="AA94" s="59">
        <v>-19.899999999999999</v>
      </c>
      <c r="AB94" s="59">
        <v>-30</v>
      </c>
      <c r="AC94" s="59">
        <v>-57.2</v>
      </c>
      <c r="AD94" s="59">
        <v>-50.7</v>
      </c>
      <c r="AE94" s="59">
        <v>-34.299999999999997</v>
      </c>
      <c r="AF94" s="59">
        <v>-49.7</v>
      </c>
      <c r="AG94" s="59">
        <v>-72.7</v>
      </c>
      <c r="AH94" s="59">
        <v>-69.099999999999994</v>
      </c>
      <c r="AI94" s="59">
        <v>-68.400000000000006</v>
      </c>
      <c r="AJ94" s="59">
        <v>-67.3</v>
      </c>
      <c r="AK94" s="59">
        <v>-78.5</v>
      </c>
      <c r="AL94" s="59">
        <v>-68.8</v>
      </c>
      <c r="AM94" s="59">
        <v>-52.1</v>
      </c>
      <c r="AN94" s="59">
        <v>-52.6</v>
      </c>
      <c r="AO94" s="59">
        <v>-66.099999999999994</v>
      </c>
      <c r="AP94" s="59">
        <v>-58.4</v>
      </c>
      <c r="AQ94" s="59">
        <v>-64.2</v>
      </c>
      <c r="AR94" s="59">
        <v>-80.3</v>
      </c>
      <c r="AS94" s="59">
        <v>-122.5</v>
      </c>
      <c r="AT94" s="59">
        <v>-127.5</v>
      </c>
      <c r="AU94" s="59">
        <v>-111.4</v>
      </c>
      <c r="AV94" s="59">
        <v>-144.69999999999999</v>
      </c>
      <c r="AW94" s="59">
        <v>-175.6</v>
      </c>
      <c r="AX94" s="59">
        <v>-207</v>
      </c>
      <c r="AY94" s="59">
        <v>-136.9</v>
      </c>
      <c r="AZ94" s="59">
        <v>-145.5</v>
      </c>
      <c r="BA94" s="59">
        <v>-162.9</v>
      </c>
      <c r="BB94" s="59">
        <v>-206.5</v>
      </c>
      <c r="BC94" s="59">
        <v>-130.69999999999999</v>
      </c>
      <c r="BD94" s="59">
        <v>-145.1</v>
      </c>
      <c r="BE94" s="59">
        <v>-178.5</v>
      </c>
      <c r="BF94" s="59">
        <v>-235</v>
      </c>
      <c r="BG94" s="59">
        <v>-152.30000000000001</v>
      </c>
      <c r="BH94" s="59">
        <v>-177.9</v>
      </c>
      <c r="BI94" s="59">
        <v>-167.4</v>
      </c>
      <c r="BJ94" s="59">
        <v>-183.2</v>
      </c>
      <c r="BS94" s="59">
        <f t="shared" si="182"/>
        <v>-116.61699999999999</v>
      </c>
      <c r="BT94" s="59">
        <f t="shared" si="183"/>
        <v>-93.216000000000008</v>
      </c>
      <c r="BU94" s="59">
        <f t="shared" si="184"/>
        <v>-106.39000000000001</v>
      </c>
      <c r="BV94" s="59">
        <f t="shared" si="185"/>
        <v>-119.79999999999998</v>
      </c>
      <c r="BW94" s="59">
        <f t="shared" si="186"/>
        <v>-143.4</v>
      </c>
      <c r="BX94" s="59">
        <f t="shared" si="187"/>
        <v>-149.39999999999998</v>
      </c>
      <c r="BY94" s="59">
        <f t="shared" si="188"/>
        <v>-157.80000000000001</v>
      </c>
      <c r="BZ94" s="59">
        <f t="shared" si="189"/>
        <v>-225.79999999999998</v>
      </c>
      <c r="CA94" s="59">
        <f t="shared" si="190"/>
        <v>-283</v>
      </c>
      <c r="CB94" s="59">
        <f t="shared" si="191"/>
        <v>-229.20000000000002</v>
      </c>
      <c r="CC94" s="59">
        <f t="shared" si="192"/>
        <v>-394.5</v>
      </c>
      <c r="CD94" s="59">
        <f t="shared" si="193"/>
        <v>-638.70000000000005</v>
      </c>
      <c r="CE94" s="59">
        <f t="shared" si="194"/>
        <v>-651.79999999999995</v>
      </c>
      <c r="CF94" s="59">
        <f t="shared" si="195"/>
        <v>-689.3</v>
      </c>
      <c r="CG94" s="59">
        <f t="shared" si="181"/>
        <v>-680.8</v>
      </c>
    </row>
    <row r="95" spans="2:147" s="2" customFormat="1" ht="15">
      <c r="B95" s="2" t="s">
        <v>130</v>
      </c>
      <c r="C95" s="60">
        <f>C94+C93</f>
        <v>-69.099999999999994</v>
      </c>
      <c r="D95" s="60">
        <f t="shared" ref="D95:BH95" si="196">D94+D93</f>
        <v>1.4100000000000001</v>
      </c>
      <c r="E95" s="60">
        <f t="shared" si="196"/>
        <v>20.64</v>
      </c>
      <c r="F95" s="60">
        <f t="shared" si="196"/>
        <v>134.13299999999998</v>
      </c>
      <c r="G95" s="60">
        <f t="shared" si="196"/>
        <v>3.3040000000000003</v>
      </c>
      <c r="H95" s="60">
        <f t="shared" si="196"/>
        <v>21.25</v>
      </c>
      <c r="I95" s="60">
        <f t="shared" si="196"/>
        <v>16.71</v>
      </c>
      <c r="J95" s="60">
        <f t="shared" si="196"/>
        <v>145.72</v>
      </c>
      <c r="K95" s="60">
        <f t="shared" si="196"/>
        <v>4.1300000000000026</v>
      </c>
      <c r="L95" s="60">
        <f t="shared" si="196"/>
        <v>22.769999999999996</v>
      </c>
      <c r="M95" s="60">
        <f t="shared" si="196"/>
        <v>-4.0300000000000011</v>
      </c>
      <c r="N95" s="60">
        <f t="shared" si="196"/>
        <v>149.04</v>
      </c>
      <c r="O95" s="60">
        <f t="shared" si="196"/>
        <v>45.6</v>
      </c>
      <c r="P95" s="60">
        <f t="shared" si="196"/>
        <v>26.3</v>
      </c>
      <c r="Q95" s="60">
        <f t="shared" si="196"/>
        <v>5.6000000000000014</v>
      </c>
      <c r="R95" s="60">
        <f t="shared" si="196"/>
        <v>117.19999999999999</v>
      </c>
      <c r="S95" s="60">
        <f t="shared" si="196"/>
        <v>-7</v>
      </c>
      <c r="T95" s="60">
        <f t="shared" si="196"/>
        <v>-26.000000000000004</v>
      </c>
      <c r="U95" s="60">
        <f t="shared" si="196"/>
        <v>-49.1</v>
      </c>
      <c r="V95" s="60">
        <f t="shared" si="196"/>
        <v>236.20000000000002</v>
      </c>
      <c r="W95" s="60">
        <f t="shared" si="196"/>
        <v>13.399999999999999</v>
      </c>
      <c r="X95" s="60">
        <f t="shared" si="196"/>
        <v>16.600000000000001</v>
      </c>
      <c r="Y95" s="60">
        <f t="shared" si="196"/>
        <v>-37.4</v>
      </c>
      <c r="Z95" s="60">
        <f t="shared" si="196"/>
        <v>244.39999999999998</v>
      </c>
      <c r="AA95" s="60">
        <f t="shared" si="196"/>
        <v>-0.5</v>
      </c>
      <c r="AB95" s="60">
        <f t="shared" si="196"/>
        <v>52.599999999999994</v>
      </c>
      <c r="AC95" s="60">
        <f t="shared" si="196"/>
        <v>-27.900000000000002</v>
      </c>
      <c r="AD95" s="60">
        <f t="shared" si="196"/>
        <v>307.3</v>
      </c>
      <c r="AE95" s="60">
        <f t="shared" si="196"/>
        <v>1.5</v>
      </c>
      <c r="AF95" s="60">
        <f t="shared" si="196"/>
        <v>124.49999999999999</v>
      </c>
      <c r="AG95" s="60">
        <f t="shared" si="196"/>
        <v>34.099999999999994</v>
      </c>
      <c r="AH95" s="60">
        <f t="shared" si="196"/>
        <v>356.79999999999995</v>
      </c>
      <c r="AI95" s="60">
        <f t="shared" si="196"/>
        <v>-131.19999999999999</v>
      </c>
      <c r="AJ95" s="60">
        <f t="shared" si="196"/>
        <v>45.5</v>
      </c>
      <c r="AK95" s="60">
        <f t="shared" si="196"/>
        <v>-33.4</v>
      </c>
      <c r="AL95" s="60">
        <f t="shared" si="196"/>
        <v>505.40000000000003</v>
      </c>
      <c r="AM95" s="60">
        <f t="shared" si="196"/>
        <v>-173.3</v>
      </c>
      <c r="AN95" s="60">
        <f t="shared" si="196"/>
        <v>128.70000000000002</v>
      </c>
      <c r="AO95" s="60">
        <f t="shared" si="196"/>
        <v>-40.799999999999997</v>
      </c>
      <c r="AP95" s="60">
        <f t="shared" si="196"/>
        <v>659.5</v>
      </c>
      <c r="AQ95" s="60">
        <f t="shared" si="196"/>
        <v>149.89999999999998</v>
      </c>
      <c r="AR95" s="60">
        <f t="shared" si="196"/>
        <v>205.39999999999998</v>
      </c>
      <c r="AS95" s="60">
        <f t="shared" si="196"/>
        <v>35.900000000000006</v>
      </c>
      <c r="AT95" s="60">
        <f t="shared" si="196"/>
        <v>603.5</v>
      </c>
      <c r="AU95" s="60">
        <f t="shared" si="196"/>
        <v>-354.70000000000005</v>
      </c>
      <c r="AV95" s="60">
        <f t="shared" si="196"/>
        <v>-47.099999999999994</v>
      </c>
      <c r="AW95" s="60">
        <f t="shared" si="196"/>
        <v>-109.8</v>
      </c>
      <c r="AX95" s="60">
        <f t="shared" si="196"/>
        <v>839.3</v>
      </c>
      <c r="AY95" s="60">
        <f t="shared" si="196"/>
        <v>-91.4</v>
      </c>
      <c r="AZ95" s="60">
        <f t="shared" si="196"/>
        <v>331.2</v>
      </c>
      <c r="BA95" s="60">
        <f t="shared" si="196"/>
        <v>226.99999999999997</v>
      </c>
      <c r="BB95" s="60">
        <f t="shared" si="196"/>
        <v>1177.5999999999999</v>
      </c>
      <c r="BC95" s="60">
        <f t="shared" si="196"/>
        <v>-3.1999999999999886</v>
      </c>
      <c r="BD95" s="60">
        <f t="shared" si="196"/>
        <v>298</v>
      </c>
      <c r="BE95" s="60">
        <f t="shared" si="196"/>
        <v>122.19999999999999</v>
      </c>
      <c r="BF95" s="60">
        <f t="shared" si="196"/>
        <v>1166.4000000000001</v>
      </c>
      <c r="BG95" s="60">
        <f t="shared" si="196"/>
        <v>-271.3</v>
      </c>
      <c r="BH95" s="60">
        <f t="shared" si="196"/>
        <v>150.79999999999998</v>
      </c>
      <c r="BI95" s="60">
        <f t="shared" ref="BI95:BJ95" si="197">BI94+BI93</f>
        <v>82.5</v>
      </c>
      <c r="BJ95" s="60">
        <f t="shared" si="197"/>
        <v>959.7</v>
      </c>
      <c r="BK95" s="34"/>
      <c r="BL95" s="34"/>
      <c r="BM95" s="34"/>
      <c r="BN95" s="34"/>
      <c r="BS95" s="60">
        <f t="shared" si="182"/>
        <v>87.082999999999984</v>
      </c>
      <c r="BT95" s="60">
        <f t="shared" si="183"/>
        <v>186.98400000000001</v>
      </c>
      <c r="BU95" s="60">
        <f t="shared" si="184"/>
        <v>171.91</v>
      </c>
      <c r="BV95" s="60">
        <f t="shared" si="185"/>
        <v>194.7</v>
      </c>
      <c r="BW95" s="60">
        <f t="shared" si="186"/>
        <v>154.10000000000002</v>
      </c>
      <c r="BX95" s="60">
        <f t="shared" si="187"/>
        <v>236.99999999999997</v>
      </c>
      <c r="BY95" s="60">
        <f t="shared" si="188"/>
        <v>331.5</v>
      </c>
      <c r="BZ95" s="60">
        <f t="shared" si="189"/>
        <v>516.89999999999986</v>
      </c>
      <c r="CA95" s="60">
        <f t="shared" si="190"/>
        <v>386.30000000000007</v>
      </c>
      <c r="CB95" s="60">
        <f t="shared" si="191"/>
        <v>574.1</v>
      </c>
      <c r="CC95" s="60">
        <f t="shared" si="192"/>
        <v>994.69999999999993</v>
      </c>
      <c r="CD95" s="60">
        <f t="shared" si="193"/>
        <v>327.69999999999987</v>
      </c>
      <c r="CE95" s="60">
        <f t="shared" si="194"/>
        <v>1644.3999999999999</v>
      </c>
      <c r="CF95" s="60">
        <f t="shared" si="195"/>
        <v>1583.4</v>
      </c>
      <c r="CG95" s="60">
        <f t="shared" si="181"/>
        <v>921.7</v>
      </c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  <c r="EM95" s="34"/>
      <c r="EN95" s="34"/>
      <c r="EO95" s="34"/>
      <c r="EP95" s="34"/>
      <c r="EQ95" s="34"/>
    </row>
    <row r="96" spans="2:147">
      <c r="B96" s="1" t="s">
        <v>131</v>
      </c>
      <c r="C96" s="59">
        <f t="shared" ref="C96:BG96" si="198">C48</f>
        <v>143</v>
      </c>
      <c r="D96" s="59">
        <f t="shared" si="198"/>
        <v>143</v>
      </c>
      <c r="E96" s="59">
        <f t="shared" si="198"/>
        <v>143</v>
      </c>
      <c r="F96" s="59">
        <f t="shared" si="198"/>
        <v>143</v>
      </c>
      <c r="G96" s="59">
        <f t="shared" si="198"/>
        <v>144</v>
      </c>
      <c r="H96" s="59">
        <f t="shared" si="198"/>
        <v>144</v>
      </c>
      <c r="I96" s="59">
        <f t="shared" si="198"/>
        <v>144</v>
      </c>
      <c r="J96" s="59">
        <f t="shared" si="198"/>
        <v>144</v>
      </c>
      <c r="K96" s="59">
        <f t="shared" si="198"/>
        <v>144</v>
      </c>
      <c r="L96" s="59">
        <f t="shared" si="198"/>
        <v>145</v>
      </c>
      <c r="M96" s="59">
        <f t="shared" si="198"/>
        <v>145</v>
      </c>
      <c r="N96" s="59">
        <f t="shared" si="198"/>
        <v>145</v>
      </c>
      <c r="O96" s="59">
        <f t="shared" si="198"/>
        <v>145</v>
      </c>
      <c r="P96" s="59">
        <f t="shared" si="198"/>
        <v>145</v>
      </c>
      <c r="Q96" s="59">
        <f t="shared" si="198"/>
        <v>143</v>
      </c>
      <c r="R96" s="59">
        <f t="shared" si="198"/>
        <v>144</v>
      </c>
      <c r="S96" s="59">
        <f t="shared" si="198"/>
        <v>142</v>
      </c>
      <c r="T96" s="59">
        <f t="shared" si="198"/>
        <v>141</v>
      </c>
      <c r="U96" s="59">
        <f t="shared" si="198"/>
        <v>140</v>
      </c>
      <c r="V96" s="59">
        <f t="shared" si="198"/>
        <v>140</v>
      </c>
      <c r="W96" s="59">
        <f t="shared" si="198"/>
        <v>137</v>
      </c>
      <c r="X96" s="59">
        <f t="shared" si="198"/>
        <v>137</v>
      </c>
      <c r="Y96" s="59">
        <f t="shared" si="198"/>
        <v>137</v>
      </c>
      <c r="Z96" s="59">
        <f t="shared" si="198"/>
        <v>137</v>
      </c>
      <c r="AA96" s="59">
        <f t="shared" si="198"/>
        <v>137</v>
      </c>
      <c r="AB96" s="59">
        <f t="shared" si="198"/>
        <v>136</v>
      </c>
      <c r="AC96" s="59">
        <f t="shared" si="198"/>
        <v>135</v>
      </c>
      <c r="AD96" s="59">
        <f t="shared" si="198"/>
        <v>136</v>
      </c>
      <c r="AE96" s="59">
        <f t="shared" si="198"/>
        <v>136</v>
      </c>
      <c r="AF96" s="59">
        <f t="shared" si="198"/>
        <v>134</v>
      </c>
      <c r="AG96" s="59">
        <f t="shared" si="198"/>
        <v>132</v>
      </c>
      <c r="AH96" s="59">
        <f t="shared" si="198"/>
        <v>133</v>
      </c>
      <c r="AI96" s="59">
        <f t="shared" si="198"/>
        <v>131</v>
      </c>
      <c r="AJ96" s="59">
        <f t="shared" si="198"/>
        <v>130</v>
      </c>
      <c r="AK96" s="59">
        <f t="shared" si="198"/>
        <v>130</v>
      </c>
      <c r="AL96" s="59">
        <f t="shared" si="198"/>
        <v>130</v>
      </c>
      <c r="AM96" s="59">
        <f t="shared" si="198"/>
        <v>130</v>
      </c>
      <c r="AN96" s="59">
        <f t="shared" si="198"/>
        <v>130</v>
      </c>
      <c r="AO96" s="59">
        <f t="shared" si="198"/>
        <v>130</v>
      </c>
      <c r="AP96" s="59">
        <f t="shared" si="198"/>
        <v>130</v>
      </c>
      <c r="AQ96" s="59">
        <f t="shared" si="198"/>
        <v>130</v>
      </c>
      <c r="AR96" s="59">
        <f t="shared" si="198"/>
        <v>130</v>
      </c>
      <c r="AS96" s="59">
        <f t="shared" si="198"/>
        <v>130</v>
      </c>
      <c r="AT96" s="59">
        <f t="shared" si="198"/>
        <v>130</v>
      </c>
      <c r="AU96" s="59">
        <f t="shared" si="198"/>
        <v>128</v>
      </c>
      <c r="AV96" s="59">
        <f t="shared" si="198"/>
        <v>128</v>
      </c>
      <c r="AW96" s="59">
        <f t="shared" si="198"/>
        <v>128</v>
      </c>
      <c r="AX96" s="59">
        <f t="shared" si="198"/>
        <v>128</v>
      </c>
      <c r="AY96" s="59">
        <f t="shared" si="198"/>
        <v>127</v>
      </c>
      <c r="AZ96" s="59">
        <f t="shared" si="198"/>
        <v>127</v>
      </c>
      <c r="BA96" s="59">
        <f t="shared" si="198"/>
        <v>126</v>
      </c>
      <c r="BB96" s="59">
        <f t="shared" si="198"/>
        <v>127</v>
      </c>
      <c r="BC96" s="59">
        <f t="shared" si="198"/>
        <v>126</v>
      </c>
      <c r="BD96" s="59">
        <f t="shared" si="198"/>
        <v>125</v>
      </c>
      <c r="BE96" s="59">
        <f t="shared" si="198"/>
        <v>123</v>
      </c>
      <c r="BF96" s="59">
        <f t="shared" si="198"/>
        <v>124</v>
      </c>
      <c r="BG96" s="59">
        <f t="shared" si="198"/>
        <v>121</v>
      </c>
      <c r="BH96" s="59">
        <f>BH48</f>
        <v>120</v>
      </c>
      <c r="BI96" s="59">
        <f>BI48</f>
        <v>118.535</v>
      </c>
      <c r="BJ96" s="59">
        <f t="shared" ref="BJ96" si="199">BJ48</f>
        <v>118.98</v>
      </c>
      <c r="BS96" s="59">
        <f t="shared" ref="BS96:CE96" si="200">BS48</f>
        <v>143</v>
      </c>
      <c r="BT96" s="59">
        <f t="shared" si="200"/>
        <v>144</v>
      </c>
      <c r="BU96" s="59">
        <f t="shared" si="200"/>
        <v>144.75</v>
      </c>
      <c r="BV96" s="59">
        <f t="shared" si="200"/>
        <v>144.25</v>
      </c>
      <c r="BW96" s="59">
        <f t="shared" si="200"/>
        <v>140.75</v>
      </c>
      <c r="BX96" s="59">
        <f t="shared" si="200"/>
        <v>137</v>
      </c>
      <c r="BY96" s="59">
        <f t="shared" si="200"/>
        <v>136</v>
      </c>
      <c r="BZ96" s="59">
        <f t="shared" si="200"/>
        <v>133.75</v>
      </c>
      <c r="CA96" s="59">
        <f t="shared" si="200"/>
        <v>130.25</v>
      </c>
      <c r="CB96" s="59">
        <f t="shared" si="200"/>
        <v>130</v>
      </c>
      <c r="CC96" s="59">
        <f t="shared" si="200"/>
        <v>130</v>
      </c>
      <c r="CD96" s="59">
        <f t="shared" si="200"/>
        <v>128</v>
      </c>
      <c r="CE96" s="59">
        <f t="shared" si="200"/>
        <v>126.75</v>
      </c>
      <c r="CF96" s="59">
        <f>CF48</f>
        <v>124.5</v>
      </c>
      <c r="CG96" s="59">
        <f>AVERAGE(BG96:BJ96)</f>
        <v>119.62875</v>
      </c>
    </row>
    <row r="97" spans="2:147">
      <c r="B97" s="1" t="s">
        <v>132</v>
      </c>
      <c r="C97" s="39">
        <f>C95/C96</f>
        <v>-0.48321678321678319</v>
      </c>
      <c r="D97" s="39">
        <f t="shared" ref="D97:BH97" si="201">D95/D96</f>
        <v>9.8601398601398608E-3</v>
      </c>
      <c r="E97" s="39">
        <f t="shared" si="201"/>
        <v>0.14433566433566433</v>
      </c>
      <c r="F97" s="39">
        <f t="shared" si="201"/>
        <v>0.93799300699300692</v>
      </c>
      <c r="G97" s="39">
        <f t="shared" si="201"/>
        <v>2.2944444444444448E-2</v>
      </c>
      <c r="H97" s="39">
        <f t="shared" si="201"/>
        <v>0.14756944444444445</v>
      </c>
      <c r="I97" s="39">
        <f t="shared" si="201"/>
        <v>0.11604166666666667</v>
      </c>
      <c r="J97" s="39">
        <f t="shared" si="201"/>
        <v>1.0119444444444445</v>
      </c>
      <c r="K97" s="39">
        <f t="shared" si="201"/>
        <v>2.8680555555555574E-2</v>
      </c>
      <c r="L97" s="39">
        <f t="shared" si="201"/>
        <v>0.15703448275862067</v>
      </c>
      <c r="M97" s="39">
        <f t="shared" si="201"/>
        <v>-2.7793103448275871E-2</v>
      </c>
      <c r="N97" s="39">
        <f t="shared" si="201"/>
        <v>1.0278620689655171</v>
      </c>
      <c r="O97" s="39">
        <f t="shared" si="201"/>
        <v>0.31448275862068964</v>
      </c>
      <c r="P97" s="39">
        <f t="shared" si="201"/>
        <v>0.1813793103448276</v>
      </c>
      <c r="Q97" s="39">
        <f t="shared" si="201"/>
        <v>3.9160839160839171E-2</v>
      </c>
      <c r="R97" s="39">
        <f t="shared" si="201"/>
        <v>0.81388888888888877</v>
      </c>
      <c r="S97" s="39">
        <f t="shared" si="201"/>
        <v>-4.9295774647887321E-2</v>
      </c>
      <c r="T97" s="39">
        <f t="shared" si="201"/>
        <v>-0.18439716312056739</v>
      </c>
      <c r="U97" s="39">
        <f t="shared" si="201"/>
        <v>-0.3507142857142857</v>
      </c>
      <c r="V97" s="39">
        <f t="shared" si="201"/>
        <v>1.6871428571428573</v>
      </c>
      <c r="W97" s="39">
        <f t="shared" si="201"/>
        <v>9.7810218978102173E-2</v>
      </c>
      <c r="X97" s="39">
        <f t="shared" si="201"/>
        <v>0.12116788321167885</v>
      </c>
      <c r="Y97" s="39">
        <f t="shared" si="201"/>
        <v>-0.27299270072992698</v>
      </c>
      <c r="Z97" s="39">
        <f t="shared" si="201"/>
        <v>1.783941605839416</v>
      </c>
      <c r="AA97" s="39">
        <f t="shared" si="201"/>
        <v>-3.6496350364963502E-3</v>
      </c>
      <c r="AB97" s="39">
        <f t="shared" si="201"/>
        <v>0.3867647058823529</v>
      </c>
      <c r="AC97" s="39">
        <f t="shared" si="201"/>
        <v>-0.20666666666666669</v>
      </c>
      <c r="AD97" s="39">
        <f t="shared" si="201"/>
        <v>2.259558823529412</v>
      </c>
      <c r="AE97" s="39">
        <f t="shared" si="201"/>
        <v>1.1029411764705883E-2</v>
      </c>
      <c r="AF97" s="39">
        <f t="shared" si="201"/>
        <v>0.92910447761194015</v>
      </c>
      <c r="AG97" s="39">
        <f t="shared" si="201"/>
        <v>0.2583333333333333</v>
      </c>
      <c r="AH97" s="39">
        <f t="shared" si="201"/>
        <v>2.6827067669172928</v>
      </c>
      <c r="AI97" s="39">
        <f t="shared" si="201"/>
        <v>-1.0015267175572518</v>
      </c>
      <c r="AJ97" s="39">
        <f t="shared" si="201"/>
        <v>0.35</v>
      </c>
      <c r="AK97" s="39">
        <f t="shared" si="201"/>
        <v>-0.25692307692307692</v>
      </c>
      <c r="AL97" s="39">
        <f t="shared" si="201"/>
        <v>3.887692307692308</v>
      </c>
      <c r="AM97" s="39">
        <f t="shared" si="201"/>
        <v>-1.3330769230769233</v>
      </c>
      <c r="AN97" s="39">
        <f t="shared" si="201"/>
        <v>0.9900000000000001</v>
      </c>
      <c r="AO97" s="39">
        <f t="shared" si="201"/>
        <v>-0.31384615384615383</v>
      </c>
      <c r="AP97" s="39">
        <f t="shared" si="201"/>
        <v>5.0730769230769228</v>
      </c>
      <c r="AQ97" s="39">
        <f t="shared" si="201"/>
        <v>1.1530769230769229</v>
      </c>
      <c r="AR97" s="39">
        <f t="shared" si="201"/>
        <v>1.5799999999999998</v>
      </c>
      <c r="AS97" s="39">
        <f t="shared" si="201"/>
        <v>0.27615384615384619</v>
      </c>
      <c r="AT97" s="39">
        <f t="shared" si="201"/>
        <v>4.6423076923076927</v>
      </c>
      <c r="AU97" s="39">
        <f t="shared" si="201"/>
        <v>-2.7710937500000004</v>
      </c>
      <c r="AV97" s="39">
        <f t="shared" si="201"/>
        <v>-0.36796874999999996</v>
      </c>
      <c r="AW97" s="39">
        <f t="shared" si="201"/>
        <v>-0.85781249999999998</v>
      </c>
      <c r="AX97" s="39">
        <f t="shared" si="201"/>
        <v>6.5570312499999996</v>
      </c>
      <c r="AY97" s="39">
        <f t="shared" si="201"/>
        <v>-0.71968503937007877</v>
      </c>
      <c r="AZ97" s="39">
        <f t="shared" si="201"/>
        <v>2.6078740157480316</v>
      </c>
      <c r="BA97" s="39">
        <f t="shared" si="201"/>
        <v>1.8015873015873014</v>
      </c>
      <c r="BB97" s="39">
        <f t="shared" si="201"/>
        <v>9.2724409448818896</v>
      </c>
      <c r="BC97" s="39">
        <f t="shared" si="201"/>
        <v>-2.5396825396825307E-2</v>
      </c>
      <c r="BD97" s="39">
        <f t="shared" si="201"/>
        <v>2.3839999999999999</v>
      </c>
      <c r="BE97" s="39">
        <f t="shared" si="201"/>
        <v>0.99349593495934951</v>
      </c>
      <c r="BF97" s="39">
        <f t="shared" si="201"/>
        <v>9.4064516129032274</v>
      </c>
      <c r="BG97" s="39">
        <f t="shared" si="201"/>
        <v>-2.2421487603305787</v>
      </c>
      <c r="BH97" s="39">
        <f t="shared" si="201"/>
        <v>1.2566666666666666</v>
      </c>
      <c r="BI97" s="39">
        <f t="shared" ref="BI97:BJ97" si="202">BI95/BI96</f>
        <v>0.69599696292234359</v>
      </c>
      <c r="BJ97" s="39">
        <f t="shared" si="202"/>
        <v>8.0660615229450325</v>
      </c>
      <c r="BS97" s="39">
        <f t="shared" ref="BS97" si="203">SUM(C97:F97)</f>
        <v>0.60897202797202787</v>
      </c>
      <c r="BT97" s="39">
        <f t="shared" ref="BT97" si="204">SUM(G97:J97)</f>
        <v>1.2985000000000002</v>
      </c>
      <c r="BU97" s="39">
        <f t="shared" ref="BU97" si="205">SUM(K97:N97)</f>
        <v>1.1857840038314176</v>
      </c>
      <c r="BV97" s="39">
        <f t="shared" ref="BV97" si="206">SUM(O97:R97)</f>
        <v>1.3489117970152451</v>
      </c>
      <c r="BW97" s="39">
        <f t="shared" ref="BW97" si="207">SUM(S97:V97)</f>
        <v>1.1027356336601168</v>
      </c>
      <c r="BX97" s="39">
        <f t="shared" ref="BX97" si="208">SUM(W97:Z97)</f>
        <v>1.7299270072992701</v>
      </c>
      <c r="BY97" s="39">
        <f t="shared" ref="BY97" si="209">SUM(AA97:AD97)</f>
        <v>2.4360072277086018</v>
      </c>
      <c r="BZ97" s="39">
        <f t="shared" ref="BZ97" si="210">SUM(AE97:AH97)</f>
        <v>3.8811739896272721</v>
      </c>
      <c r="CA97" s="39">
        <f t="shared" ref="CA97" si="211">SUM(AI97:AL97)</f>
        <v>2.9792425132119793</v>
      </c>
      <c r="CB97" s="39">
        <f t="shared" ref="CB97" si="212">SUM(AM97:AP97)</f>
        <v>4.4161538461538461</v>
      </c>
      <c r="CC97" s="39">
        <f t="shared" ref="CC97" si="213">SUM(AQ97:AT97)</f>
        <v>7.6515384615384621</v>
      </c>
      <c r="CD97" s="39">
        <f t="shared" ref="CD97" si="214">SUM(AU97:AX97)</f>
        <v>2.560156249999999</v>
      </c>
      <c r="CE97" s="39">
        <f t="shared" ref="CE97" si="215">SUM(AY97:BB97)</f>
        <v>12.962217222847144</v>
      </c>
      <c r="CF97" s="39">
        <f t="shared" ref="CF97" si="216">SUM(BC97:BF97)</f>
        <v>12.758550722465753</v>
      </c>
      <c r="CG97" s="39">
        <f t="shared" si="181"/>
        <v>7.7765763922034639</v>
      </c>
    </row>
    <row r="100" spans="2:147" s="2" customFormat="1" ht="15"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  <c r="EA100" s="34"/>
      <c r="EB100" s="34"/>
      <c r="EC100" s="34"/>
      <c r="ED100" s="34"/>
      <c r="EE100" s="34"/>
      <c r="EF100" s="34"/>
      <c r="EG100" s="34"/>
      <c r="EH100" s="34"/>
      <c r="EI100" s="34"/>
      <c r="EJ100" s="34"/>
      <c r="EK100" s="34"/>
      <c r="EL100" s="34"/>
      <c r="EM100" s="34"/>
      <c r="EN100" s="34"/>
      <c r="EO100" s="34"/>
      <c r="EP100" s="34"/>
      <c r="EQ100" s="34"/>
    </row>
    <row r="102" spans="2:147" s="2" customFormat="1" ht="15">
      <c r="CX102" s="34"/>
      <c r="CY102" s="34"/>
      <c r="CZ102" s="34"/>
      <c r="DA102" s="34"/>
      <c r="DB102" s="34"/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  <c r="DM102" s="34"/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  <c r="DX102" s="34"/>
      <c r="DY102" s="34"/>
      <c r="DZ102" s="34"/>
      <c r="EA102" s="34"/>
      <c r="EB102" s="34"/>
      <c r="EC102" s="34"/>
      <c r="ED102" s="34"/>
      <c r="EE102" s="34"/>
      <c r="EF102" s="34"/>
      <c r="EG102" s="34"/>
      <c r="EH102" s="34"/>
      <c r="EI102" s="34"/>
      <c r="EJ102" s="34"/>
      <c r="EK102" s="34"/>
      <c r="EL102" s="34"/>
      <c r="EM102" s="34"/>
      <c r="EN102" s="34"/>
      <c r="EO102" s="34"/>
      <c r="EP102" s="34"/>
      <c r="EQ102" s="34"/>
    </row>
  </sheetData>
  <mergeCells count="1">
    <mergeCell ref="CP72:CQ72"/>
  </mergeCells>
  <conditionalFormatting sqref="CP7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8" operator="containsText" text="Strong Sell">
      <formula>NOT(ISERROR(SEARCH("Strong Sell",CP72)))</formula>
    </cfRule>
    <cfRule type="containsText" dxfId="3" priority="9" operator="containsText" text="Sell">
      <formula>NOT(ISERROR(SEARCH("Sell",CP72)))</formula>
    </cfRule>
    <cfRule type="containsText" dxfId="2" priority="10" operator="containsText" text="Hold">
      <formula>NOT(ISERROR(SEARCH("Hold",CP72)))</formula>
    </cfRule>
    <cfRule type="beginsWith" dxfId="1" priority="11" operator="beginsWith" text="Buy">
      <formula>LEFT(CP72,LEN("Buy"))="Buy"</formula>
    </cfRule>
    <cfRule type="beginsWith" dxfId="0" priority="12" operator="beginsWith" text="Strong">
      <formula>LEFT(CP72,LEN("Strong"))="Strong"</formula>
    </cfRule>
  </conditionalFormatting>
  <pageMargins left="0.7" right="0.7" top="0.75" bottom="0.75" header="0.3" footer="0.3"/>
  <ignoredErrors>
    <ignoredError sqref="CI12:CQ12 CC9:CF9 CC10:CF11 BS13:CF13 AQ13:AZ13 BH9:BH12 AQ9:AZ12 BF9:BG12 BF13:BH13 BH25:BH26 BH28:BH30 AM49:BH50 AP25:AP30 CC12:CF12 BS14:CA14 BK49:BO50" evalError="1"/>
    <ignoredError sqref="BS38:CF38 BS39:CF47 BS93:CF95 BS97 BH84:BH86 BH88 AX84:BG90 BI84:BI90 BJ84:BJ88 CG39:CG47 CG49 CG93:CG94" formulaRange="1"/>
    <ignoredError sqref="BS48:CG48 BT97:CF97" formula="1" formulaRange="1"/>
    <ignoredError sqref="BS49:CF49 BS96:CG96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D1557"/>
  <sheetViews>
    <sheetView topLeftCell="I134" zoomScale="85" zoomScaleNormal="85" workbookViewId="0">
      <selection activeCell="AB156" sqref="AB156"/>
    </sheetView>
  </sheetViews>
  <sheetFormatPr defaultColWidth="9.140625" defaultRowHeight="14.25"/>
  <cols>
    <col min="1" max="1" width="3.42578125" style="1" hidden="1" customWidth="1"/>
    <col min="2" max="8" width="9.140625" style="1" hidden="1" customWidth="1"/>
    <col min="9" max="9" width="3.140625" style="1" customWidth="1"/>
    <col min="10" max="31" width="9.140625" style="1"/>
    <col min="32" max="32" width="2.85546875" style="1" customWidth="1"/>
    <col min="33" max="16384" width="9.140625" style="1"/>
  </cols>
  <sheetData>
    <row r="1" spans="9:82">
      <c r="CD1" s="1">
        <v>0</v>
      </c>
    </row>
    <row r="2" spans="9:82" ht="15">
      <c r="I2" s="2" t="s">
        <v>152</v>
      </c>
      <c r="AG2" s="2" t="s">
        <v>1522</v>
      </c>
    </row>
    <row r="33" spans="9:33">
      <c r="J33" s="1" t="s">
        <v>14</v>
      </c>
      <c r="K33" s="1" t="s">
        <v>15</v>
      </c>
    </row>
    <row r="34" spans="9:33">
      <c r="K34" s="1" t="s">
        <v>16</v>
      </c>
    </row>
    <row r="35" spans="9:33" ht="15">
      <c r="K35" s="1" t="s">
        <v>17</v>
      </c>
      <c r="AG35" s="2" t="s">
        <v>1523</v>
      </c>
    </row>
    <row r="36" spans="9:33" ht="15">
      <c r="AG36" s="2" t="s">
        <v>133</v>
      </c>
    </row>
    <row r="37" spans="9:33" ht="15">
      <c r="I37" s="2" t="s">
        <v>156</v>
      </c>
    </row>
    <row r="65" spans="9:33">
      <c r="J65" s="1" t="s">
        <v>14</v>
      </c>
      <c r="K65" s="1" t="s">
        <v>15</v>
      </c>
    </row>
    <row r="66" spans="9:33">
      <c r="K66" s="1" t="s">
        <v>16</v>
      </c>
    </row>
    <row r="67" spans="9:33">
      <c r="K67" s="1" t="s">
        <v>17</v>
      </c>
    </row>
    <row r="69" spans="9:33" ht="15">
      <c r="I69" s="2" t="s">
        <v>1529</v>
      </c>
      <c r="AG69" s="2" t="s">
        <v>134</v>
      </c>
    </row>
    <row r="101" spans="9:33">
      <c r="J101" s="1" t="s">
        <v>14</v>
      </c>
      <c r="K101" s="1" t="s">
        <v>15</v>
      </c>
    </row>
    <row r="102" spans="9:33">
      <c r="K102" s="1" t="s">
        <v>16</v>
      </c>
    </row>
    <row r="103" spans="9:33">
      <c r="K103" s="1" t="s">
        <v>17</v>
      </c>
    </row>
    <row r="105" spans="9:33" ht="15">
      <c r="I105" s="2" t="s">
        <v>155</v>
      </c>
      <c r="AG105" s="2" t="s">
        <v>135</v>
      </c>
    </row>
    <row r="134" spans="9:33">
      <c r="J134" s="1" t="s">
        <v>14</v>
      </c>
      <c r="K134" s="1" t="s">
        <v>15</v>
      </c>
    </row>
    <row r="135" spans="9:33">
      <c r="K135" s="1" t="s">
        <v>16</v>
      </c>
    </row>
    <row r="136" spans="9:33">
      <c r="K136" s="1" t="s">
        <v>17</v>
      </c>
    </row>
    <row r="138" spans="9:33" ht="15">
      <c r="I138" s="2" t="s">
        <v>154</v>
      </c>
      <c r="AG138" s="2" t="s">
        <v>136</v>
      </c>
    </row>
    <row r="154" ht="15" customHeight="1"/>
    <row r="167" spans="10:34">
      <c r="J167" s="1" t="s">
        <v>14</v>
      </c>
      <c r="K167" s="1" t="s">
        <v>15</v>
      </c>
      <c r="AG167" s="1" t="s">
        <v>14</v>
      </c>
      <c r="AH167" s="1" t="s">
        <v>1528</v>
      </c>
    </row>
    <row r="168" spans="10:34">
      <c r="K168" s="1" t="s">
        <v>16</v>
      </c>
      <c r="AH168" s="1" t="s">
        <v>16</v>
      </c>
    </row>
    <row r="169" spans="10:34">
      <c r="K169" s="1" t="s">
        <v>17</v>
      </c>
      <c r="AH169" s="1" t="s">
        <v>17</v>
      </c>
    </row>
    <row r="185" spans="2:8">
      <c r="B185" s="1" t="s">
        <v>1466</v>
      </c>
    </row>
    <row r="186" spans="2:8">
      <c r="B186" s="24" t="s">
        <v>18</v>
      </c>
      <c r="C186" s="24" t="s">
        <v>19</v>
      </c>
      <c r="D186" s="24" t="s">
        <v>20</v>
      </c>
      <c r="E186" s="24" t="s">
        <v>21</v>
      </c>
      <c r="F186" s="24" t="s">
        <v>22</v>
      </c>
      <c r="G186" s="24" t="s">
        <v>23</v>
      </c>
      <c r="H186" s="24" t="s">
        <v>24</v>
      </c>
    </row>
    <row r="187" spans="2:8">
      <c r="B187" s="55">
        <v>169.62</v>
      </c>
      <c r="C187" s="55">
        <v>170.8998</v>
      </c>
      <c r="D187" s="55">
        <v>167.5342</v>
      </c>
      <c r="E187" s="55">
        <v>169.7</v>
      </c>
      <c r="F187" s="55">
        <v>7885914</v>
      </c>
      <c r="G187" s="55" t="s">
        <v>210</v>
      </c>
      <c r="H187" s="25">
        <f t="shared" ref="H187:H250" si="0">B187/E187-1</f>
        <v>-4.714201532114437E-4</v>
      </c>
    </row>
    <row r="188" spans="2:8">
      <c r="B188" s="55">
        <v>169.76</v>
      </c>
      <c r="C188" s="55">
        <v>170.72</v>
      </c>
      <c r="D188" s="55">
        <v>166.52</v>
      </c>
      <c r="E188" s="55">
        <v>169.02</v>
      </c>
      <c r="F188" s="55">
        <v>7061041</v>
      </c>
      <c r="G188" s="55" t="s">
        <v>211</v>
      </c>
      <c r="H188" s="25">
        <f t="shared" si="0"/>
        <v>4.3781800970297269E-3</v>
      </c>
    </row>
    <row r="189" spans="2:8">
      <c r="B189" s="55">
        <v>163.47999999999999</v>
      </c>
      <c r="C189" s="55">
        <v>165.69</v>
      </c>
      <c r="D189" s="55">
        <v>162.22</v>
      </c>
      <c r="E189" s="55">
        <v>162.34</v>
      </c>
      <c r="F189" s="55">
        <v>4339919</v>
      </c>
      <c r="G189" s="55" t="s">
        <v>212</v>
      </c>
      <c r="H189" s="25">
        <f t="shared" si="0"/>
        <v>7.0222988788961604E-3</v>
      </c>
    </row>
    <row r="190" spans="2:8">
      <c r="B190" s="55">
        <v>162.34</v>
      </c>
      <c r="C190" s="55">
        <v>163.63999999999999</v>
      </c>
      <c r="D190" s="55">
        <v>159.75</v>
      </c>
      <c r="E190" s="55">
        <v>160</v>
      </c>
      <c r="F190" s="55">
        <v>5069165</v>
      </c>
      <c r="G190" s="55" t="s">
        <v>213</v>
      </c>
      <c r="H190" s="25">
        <f t="shared" si="0"/>
        <v>1.462500000000011E-2</v>
      </c>
    </row>
    <row r="191" spans="2:8">
      <c r="B191" s="55">
        <v>159.97999999999999</v>
      </c>
      <c r="C191" s="55">
        <v>162.16499999999999</v>
      </c>
      <c r="D191" s="55">
        <v>159.25149999999999</v>
      </c>
      <c r="E191" s="55">
        <v>160.72999999999999</v>
      </c>
      <c r="F191" s="55">
        <v>5535418</v>
      </c>
      <c r="G191" s="55" t="s">
        <v>214</v>
      </c>
      <c r="H191" s="25">
        <f t="shared" si="0"/>
        <v>-4.6662104149816086E-3</v>
      </c>
    </row>
    <row r="192" spans="2:8">
      <c r="B192" s="55">
        <v>159.86500000000001</v>
      </c>
      <c r="C192" s="55">
        <v>165.93</v>
      </c>
      <c r="D192" s="55">
        <v>159.75</v>
      </c>
      <c r="E192" s="55">
        <v>165.26</v>
      </c>
      <c r="F192" s="55">
        <v>7922053</v>
      </c>
      <c r="G192" s="55" t="s">
        <v>215</v>
      </c>
      <c r="H192" s="25">
        <f t="shared" si="0"/>
        <v>-3.2645528258501644E-2</v>
      </c>
    </row>
    <row r="193" spans="2:14">
      <c r="B193" s="55">
        <v>165.78</v>
      </c>
      <c r="C193" s="55">
        <v>168.59</v>
      </c>
      <c r="D193" s="55">
        <v>163.34</v>
      </c>
      <c r="E193" s="55">
        <v>163.95500000000001</v>
      </c>
      <c r="F193" s="55">
        <v>6620102</v>
      </c>
      <c r="G193" s="55" t="s">
        <v>216</v>
      </c>
      <c r="H193" s="25">
        <f t="shared" si="0"/>
        <v>1.1131103046567503E-2</v>
      </c>
    </row>
    <row r="194" spans="2:14">
      <c r="B194" s="55">
        <v>163.9</v>
      </c>
      <c r="C194" s="55">
        <v>167.35220000000001</v>
      </c>
      <c r="D194" s="55">
        <v>163.19999999999999</v>
      </c>
      <c r="E194" s="55">
        <v>164.7</v>
      </c>
      <c r="F194" s="55">
        <v>5737178</v>
      </c>
      <c r="G194" s="55" t="s">
        <v>217</v>
      </c>
      <c r="H194" s="25">
        <f t="shared" si="0"/>
        <v>-4.8573163327260138E-3</v>
      </c>
    </row>
    <row r="195" spans="2:14">
      <c r="B195" s="55">
        <v>165.69</v>
      </c>
      <c r="C195" s="55">
        <v>169.15</v>
      </c>
      <c r="D195" s="55">
        <v>164.38</v>
      </c>
      <c r="E195" s="55">
        <v>167.83</v>
      </c>
      <c r="F195" s="55">
        <v>8578585</v>
      </c>
      <c r="G195" s="55" t="s">
        <v>218</v>
      </c>
      <c r="H195" s="25">
        <f t="shared" si="0"/>
        <v>-1.2750998033724703E-2</v>
      </c>
    </row>
    <row r="196" spans="2:14">
      <c r="B196" s="55">
        <v>168.1</v>
      </c>
      <c r="C196" s="55">
        <v>169.61</v>
      </c>
      <c r="D196" s="55">
        <v>162.80000000000001</v>
      </c>
      <c r="E196" s="55">
        <v>167.76</v>
      </c>
      <c r="F196" s="55">
        <v>13808121</v>
      </c>
      <c r="G196" s="55" t="s">
        <v>219</v>
      </c>
      <c r="H196" s="25">
        <f t="shared" si="0"/>
        <v>2.0267048164044343E-3</v>
      </c>
    </row>
    <row r="197" spans="2:14">
      <c r="B197" s="55">
        <v>167.8</v>
      </c>
      <c r="C197" s="55">
        <v>176.17850000000001</v>
      </c>
      <c r="D197" s="55">
        <v>163.98</v>
      </c>
      <c r="E197" s="55">
        <v>165.14</v>
      </c>
      <c r="F197" s="55">
        <v>36663712</v>
      </c>
      <c r="G197" s="55" t="s">
        <v>220</v>
      </c>
      <c r="H197" s="25">
        <f t="shared" si="0"/>
        <v>1.6107545113237309E-2</v>
      </c>
    </row>
    <row r="198" spans="2:14">
      <c r="B198" s="55">
        <v>206.09</v>
      </c>
      <c r="C198" s="55">
        <v>206.63990000000001</v>
      </c>
      <c r="D198" s="55">
        <v>197.67</v>
      </c>
      <c r="E198" s="55">
        <v>200.9</v>
      </c>
      <c r="F198" s="55">
        <v>11429740</v>
      </c>
      <c r="G198" s="55" t="s">
        <v>221</v>
      </c>
      <c r="H198" s="25">
        <f t="shared" si="0"/>
        <v>2.583374813339967E-2</v>
      </c>
    </row>
    <row r="199" spans="2:14">
      <c r="B199" s="55">
        <v>198.53</v>
      </c>
      <c r="C199" s="55">
        <v>203.00989999999999</v>
      </c>
      <c r="D199" s="55">
        <v>197.61009999999999</v>
      </c>
      <c r="E199" s="55">
        <v>201.3</v>
      </c>
      <c r="F199" s="55">
        <v>4023399</v>
      </c>
      <c r="G199" s="55" t="s">
        <v>222</v>
      </c>
      <c r="H199" s="25">
        <f t="shared" si="0"/>
        <v>-1.3760556383507261E-2</v>
      </c>
    </row>
    <row r="200" spans="2:14">
      <c r="B200" s="55">
        <v>200.21</v>
      </c>
      <c r="C200" s="55">
        <v>201.27</v>
      </c>
      <c r="D200" s="55">
        <v>195.58</v>
      </c>
      <c r="E200" s="55">
        <v>199.81</v>
      </c>
      <c r="F200" s="55">
        <v>4359898</v>
      </c>
      <c r="G200" s="55" t="s">
        <v>223</v>
      </c>
      <c r="H200" s="25">
        <f t="shared" si="0"/>
        <v>2.001901806716333E-3</v>
      </c>
      <c r="J200" s="26"/>
      <c r="K200" s="26" t="s">
        <v>25</v>
      </c>
      <c r="L200" s="27">
        <f>MIN(H187:H1442)</f>
        <v>-8.0917560595375138E-2</v>
      </c>
    </row>
    <row r="201" spans="2:14">
      <c r="B201" s="55">
        <v>202.2</v>
      </c>
      <c r="C201" s="55">
        <v>205.8</v>
      </c>
      <c r="D201" s="55">
        <v>200.71</v>
      </c>
      <c r="E201" s="55">
        <v>204.62</v>
      </c>
      <c r="F201" s="55">
        <v>3121633</v>
      </c>
      <c r="G201" s="55" t="s">
        <v>224</v>
      </c>
      <c r="H201" s="25">
        <f t="shared" si="0"/>
        <v>-1.1826800899227941E-2</v>
      </c>
      <c r="J201" s="26"/>
      <c r="K201" s="26" t="s">
        <v>26</v>
      </c>
      <c r="L201" s="27">
        <f>MAX(H187:H1442)</f>
        <v>0.12227208458843042</v>
      </c>
    </row>
    <row r="202" spans="2:14">
      <c r="B202" s="55">
        <v>205.08</v>
      </c>
      <c r="C202" s="55">
        <v>206.60499999999999</v>
      </c>
      <c r="D202" s="55">
        <v>202.38</v>
      </c>
      <c r="E202" s="55">
        <v>206.05</v>
      </c>
      <c r="F202" s="55">
        <v>2778977</v>
      </c>
      <c r="G202" s="55" t="s">
        <v>225</v>
      </c>
      <c r="H202" s="25">
        <f t="shared" si="0"/>
        <v>-4.7075952438728752E-3</v>
      </c>
      <c r="J202" s="26"/>
      <c r="K202" s="26" t="s">
        <v>27</v>
      </c>
      <c r="L202" s="27">
        <f>AVERAGE(H187:H1442)</f>
        <v>-4.6874586226488413E-4</v>
      </c>
    </row>
    <row r="203" spans="2:14">
      <c r="B203" s="55">
        <v>205.57</v>
      </c>
      <c r="C203" s="55">
        <v>207.67</v>
      </c>
      <c r="D203" s="55">
        <v>203.5</v>
      </c>
      <c r="E203" s="55">
        <v>203.8</v>
      </c>
      <c r="F203" s="55">
        <v>3351780</v>
      </c>
      <c r="G203" s="55" t="s">
        <v>226</v>
      </c>
      <c r="H203" s="25">
        <f t="shared" si="0"/>
        <v>8.684985279685975E-3</v>
      </c>
      <c r="J203" s="26"/>
      <c r="K203" s="26" t="s">
        <v>28</v>
      </c>
      <c r="L203" s="27">
        <f>MEDIAN(H187:H1442)</f>
        <v>-2.4107491207020493E-4</v>
      </c>
    </row>
    <row r="204" spans="2:14" ht="15">
      <c r="B204" s="55">
        <v>202.53</v>
      </c>
      <c r="C204" s="55">
        <v>204.3854</v>
      </c>
      <c r="D204" s="55">
        <v>200.5</v>
      </c>
      <c r="E204" s="55">
        <v>204.36</v>
      </c>
      <c r="F204" s="55">
        <v>2472253</v>
      </c>
      <c r="G204" s="55" t="s">
        <v>227</v>
      </c>
      <c r="H204" s="25">
        <f t="shared" si="0"/>
        <v>-8.9547856723429797E-3</v>
      </c>
      <c r="J204" s="26"/>
      <c r="K204" s="26" t="s">
        <v>29</v>
      </c>
      <c r="L204" s="27">
        <f>_xlfn.STDEV.P(H187:H1442)</f>
        <v>1.9743370451320099E-2</v>
      </c>
      <c r="N204" s="2"/>
    </row>
    <row r="205" spans="2:14" ht="15">
      <c r="B205" s="55">
        <v>202.44</v>
      </c>
      <c r="C205" s="55">
        <v>208</v>
      </c>
      <c r="D205" s="55">
        <v>202.37</v>
      </c>
      <c r="E205" s="55">
        <v>206.7</v>
      </c>
      <c r="F205" s="55">
        <v>2933069</v>
      </c>
      <c r="G205" s="55" t="s">
        <v>228</v>
      </c>
      <c r="H205" s="25">
        <f t="shared" si="0"/>
        <v>-2.0609579100145048E-2</v>
      </c>
      <c r="J205" s="26"/>
      <c r="K205" s="28" t="s">
        <v>30</v>
      </c>
      <c r="L205" s="27">
        <f>3*L204</f>
        <v>5.9230111353960294E-2</v>
      </c>
      <c r="M205" s="26"/>
      <c r="N205" s="2" t="s">
        <v>146</v>
      </c>
    </row>
    <row r="206" spans="2:14" ht="15">
      <c r="B206" s="55">
        <v>207.59</v>
      </c>
      <c r="C206" s="55">
        <v>208.13</v>
      </c>
      <c r="D206" s="55">
        <v>198.5</v>
      </c>
      <c r="E206" s="55">
        <v>198.5</v>
      </c>
      <c r="F206" s="55">
        <v>3726997</v>
      </c>
      <c r="G206" s="55" t="s">
        <v>229</v>
      </c>
      <c r="H206" s="25">
        <f t="shared" si="0"/>
        <v>4.5793450881612019E-2</v>
      </c>
      <c r="J206" s="26"/>
      <c r="K206" s="28" t="s">
        <v>31</v>
      </c>
      <c r="L206" s="26">
        <v>1.1299999999999999</v>
      </c>
      <c r="M206" s="26"/>
      <c r="N206" s="2" t="s">
        <v>32</v>
      </c>
    </row>
    <row r="207" spans="2:14">
      <c r="B207" s="55">
        <v>198.18</v>
      </c>
      <c r="C207" s="55">
        <v>198.48</v>
      </c>
      <c r="D207" s="55">
        <v>195.2</v>
      </c>
      <c r="E207" s="55">
        <v>196.905</v>
      </c>
      <c r="F207" s="55">
        <v>2222686</v>
      </c>
      <c r="G207" s="55" t="s">
        <v>230</v>
      </c>
      <c r="H207" s="25">
        <f t="shared" si="0"/>
        <v>6.475203778471883E-3</v>
      </c>
    </row>
    <row r="208" spans="2:14">
      <c r="B208" s="55">
        <v>198.12</v>
      </c>
      <c r="C208" s="55">
        <v>200.3</v>
      </c>
      <c r="D208" s="55">
        <v>195.31</v>
      </c>
      <c r="E208" s="55">
        <v>197.67500000000001</v>
      </c>
      <c r="F208" s="55">
        <v>2797638</v>
      </c>
      <c r="G208" s="55" t="s">
        <v>231</v>
      </c>
      <c r="H208" s="25">
        <f t="shared" si="0"/>
        <v>2.2511698495004673E-3</v>
      </c>
      <c r="J208" s="29" t="s">
        <v>33</v>
      </c>
      <c r="K208" s="30">
        <v>1256</v>
      </c>
    </row>
    <row r="209" spans="2:18" ht="15" thickBot="1">
      <c r="B209" s="55">
        <v>197.66</v>
      </c>
      <c r="C209" s="55">
        <v>205.89420000000001</v>
      </c>
      <c r="D209" s="55">
        <v>196.52</v>
      </c>
      <c r="E209" s="55">
        <v>204.7</v>
      </c>
      <c r="F209" s="55">
        <v>4286456</v>
      </c>
      <c r="G209" s="55" t="s">
        <v>232</v>
      </c>
      <c r="H209" s="25">
        <f t="shared" si="0"/>
        <v>-3.4391792867611071E-2</v>
      </c>
      <c r="J209" s="1" t="s">
        <v>34</v>
      </c>
      <c r="M209" s="1" t="s">
        <v>35</v>
      </c>
      <c r="Q209" s="1" t="s">
        <v>36</v>
      </c>
    </row>
    <row r="210" spans="2:18" ht="15" customHeight="1">
      <c r="B210" s="55">
        <v>203.62</v>
      </c>
      <c r="C210" s="55">
        <v>206.74</v>
      </c>
      <c r="D210" s="55">
        <v>200.31</v>
      </c>
      <c r="E210" s="55">
        <v>200.34</v>
      </c>
      <c r="F210" s="55">
        <v>4864443</v>
      </c>
      <c r="G210" s="55" t="s">
        <v>233</v>
      </c>
      <c r="H210" s="25">
        <f t="shared" si="0"/>
        <v>1.6372167315563457E-2</v>
      </c>
      <c r="J210" s="58" t="s">
        <v>37</v>
      </c>
      <c r="K210" s="58" t="s">
        <v>38</v>
      </c>
      <c r="M210" s="31" t="s">
        <v>39</v>
      </c>
      <c r="N210" s="32" t="s">
        <v>40</v>
      </c>
      <c r="Q210" s="31" t="s">
        <v>41</v>
      </c>
      <c r="R210" s="32" t="s">
        <v>42</v>
      </c>
    </row>
    <row r="211" spans="2:18" ht="15">
      <c r="B211" s="55">
        <v>198.46</v>
      </c>
      <c r="C211" s="55">
        <v>201.14</v>
      </c>
      <c r="D211" s="55">
        <v>196.4</v>
      </c>
      <c r="E211" s="55">
        <v>200.78</v>
      </c>
      <c r="F211" s="55">
        <v>4757473</v>
      </c>
      <c r="G211" s="55" t="s">
        <v>234</v>
      </c>
      <c r="H211" s="25">
        <f t="shared" si="0"/>
        <v>-1.1554935750572759E-2</v>
      </c>
      <c r="J211" s="56">
        <v>-6.2000000000000048E-2</v>
      </c>
      <c r="K211">
        <v>5</v>
      </c>
      <c r="M211" s="54">
        <f t="shared" ref="M211:M271" si="1">M212-0.001</f>
        <v>-6.3000000000000042E-2</v>
      </c>
      <c r="N211" s="1">
        <f>_xlfn.NORM.DIST(M211,$L$202,$L$204,FALSE)</f>
        <v>0.13404400245536949</v>
      </c>
      <c r="P211" s="1" t="s">
        <v>137</v>
      </c>
      <c r="Q211" s="54">
        <f>L202</f>
        <v>-4.6874586226488413E-4</v>
      </c>
      <c r="R211" s="1">
        <v>0</v>
      </c>
    </row>
    <row r="212" spans="2:18" ht="15">
      <c r="B212" s="55">
        <v>195.19</v>
      </c>
      <c r="C212" s="55">
        <v>197.023</v>
      </c>
      <c r="D212" s="55">
        <v>192.35</v>
      </c>
      <c r="E212" s="55">
        <v>196.9</v>
      </c>
      <c r="F212" s="55">
        <v>4102420</v>
      </c>
      <c r="G212" s="55" t="s">
        <v>235</v>
      </c>
      <c r="H212" s="25">
        <f t="shared" si="0"/>
        <v>-8.6846114779075556E-3</v>
      </c>
      <c r="J212" s="56">
        <v>-6.1000000000000047E-2</v>
      </c>
      <c r="K212">
        <v>0</v>
      </c>
      <c r="M212" s="54">
        <f t="shared" si="1"/>
        <v>-6.2000000000000048E-2</v>
      </c>
      <c r="N212" s="1">
        <f t="shared" ref="N212:N275" si="2">_xlfn.NORM.DIST(M212,$L$202,$L$204,FALSE)</f>
        <v>0.1571662170022094</v>
      </c>
      <c r="Q212" s="54">
        <f>L202</f>
        <v>-4.6874586226488413E-4</v>
      </c>
      <c r="R212" s="1">
        <v>20</v>
      </c>
    </row>
    <row r="213" spans="2:18" ht="15">
      <c r="B213" s="55">
        <v>200.49</v>
      </c>
      <c r="C213" s="55">
        <v>200.82900000000001</v>
      </c>
      <c r="D213" s="55">
        <v>192.85</v>
      </c>
      <c r="E213" s="55">
        <v>195.61</v>
      </c>
      <c r="F213" s="55">
        <v>4239265</v>
      </c>
      <c r="G213" s="55" t="s">
        <v>236</v>
      </c>
      <c r="H213" s="25">
        <f t="shared" si="0"/>
        <v>2.4947599815960286E-2</v>
      </c>
      <c r="J213" s="56">
        <v>-6.0000000000000046E-2</v>
      </c>
      <c r="K213">
        <v>2</v>
      </c>
      <c r="M213" s="54">
        <f t="shared" si="1"/>
        <v>-6.1000000000000047E-2</v>
      </c>
      <c r="N213" s="1">
        <f t="shared" si="2"/>
        <v>0.18380480798729121</v>
      </c>
      <c r="P213" s="38" t="s">
        <v>138</v>
      </c>
      <c r="Q213" s="54">
        <f>($L$204*-3)+$L$202</f>
        <v>-5.9698857216225178E-2</v>
      </c>
      <c r="R213" s="1">
        <v>0</v>
      </c>
    </row>
    <row r="214" spans="2:18" ht="15">
      <c r="B214" s="55">
        <v>192.93</v>
      </c>
      <c r="C214" s="55">
        <v>193.15</v>
      </c>
      <c r="D214" s="55">
        <v>186.76259999999999</v>
      </c>
      <c r="E214" s="55">
        <v>188.16</v>
      </c>
      <c r="F214" s="55">
        <v>3397154</v>
      </c>
      <c r="G214" s="55" t="s">
        <v>237</v>
      </c>
      <c r="H214" s="25">
        <f t="shared" si="0"/>
        <v>2.5350765306122458E-2</v>
      </c>
      <c r="J214" s="56">
        <v>-5.9000000000000045E-2</v>
      </c>
      <c r="K214">
        <v>0</v>
      </c>
      <c r="M214" s="54">
        <f t="shared" si="1"/>
        <v>-6.0000000000000046E-2</v>
      </c>
      <c r="N214" s="1">
        <f t="shared" si="2"/>
        <v>0.21440770599991543</v>
      </c>
      <c r="P214" s="39"/>
      <c r="Q214" s="54">
        <f>($L$204*-3)+$L$202</f>
        <v>-5.9698857216225178E-2</v>
      </c>
      <c r="R214" s="1">
        <v>2</v>
      </c>
    </row>
    <row r="215" spans="2:18" ht="15">
      <c r="B215" s="55">
        <v>186.44</v>
      </c>
      <c r="C215" s="55">
        <v>191.9999</v>
      </c>
      <c r="D215" s="55">
        <v>185.95</v>
      </c>
      <c r="E215" s="55">
        <v>189.13</v>
      </c>
      <c r="F215" s="55">
        <v>2581798</v>
      </c>
      <c r="G215" s="55" t="s">
        <v>238</v>
      </c>
      <c r="H215" s="25">
        <f t="shared" si="0"/>
        <v>-1.422302120234753E-2</v>
      </c>
      <c r="J215" s="56">
        <v>-5.8000000000000045E-2</v>
      </c>
      <c r="K215">
        <v>0</v>
      </c>
      <c r="M215" s="54">
        <f t="shared" si="1"/>
        <v>-5.9000000000000045E-2</v>
      </c>
      <c r="N215" s="1">
        <f t="shared" si="2"/>
        <v>0.24946508345881918</v>
      </c>
      <c r="P215" s="38" t="s">
        <v>139</v>
      </c>
      <c r="Q215" s="54">
        <f>($L$204*-2)+$L$202</f>
        <v>-3.9955486764905082E-2</v>
      </c>
      <c r="R215" s="1">
        <v>0</v>
      </c>
    </row>
    <row r="216" spans="2:18" ht="15">
      <c r="B216" s="55">
        <v>189.43</v>
      </c>
      <c r="C216" s="55">
        <v>191.25</v>
      </c>
      <c r="D216" s="55">
        <v>186.52</v>
      </c>
      <c r="E216" s="55">
        <v>191.08</v>
      </c>
      <c r="F216" s="55">
        <v>3191223</v>
      </c>
      <c r="G216" s="55" t="s">
        <v>239</v>
      </c>
      <c r="H216" s="25">
        <f t="shared" si="0"/>
        <v>-8.6351266485241718E-3</v>
      </c>
      <c r="J216" s="56">
        <v>-5.7000000000000044E-2</v>
      </c>
      <c r="K216">
        <v>1</v>
      </c>
      <c r="M216" s="54">
        <f t="shared" si="1"/>
        <v>-5.8000000000000045E-2</v>
      </c>
      <c r="N216" s="1">
        <f t="shared" si="2"/>
        <v>0.28951095408998889</v>
      </c>
      <c r="P216" s="39"/>
      <c r="Q216" s="54">
        <f>($L$204*-2)+$L$202</f>
        <v>-3.9955486764905082E-2</v>
      </c>
      <c r="R216" s="1">
        <v>5</v>
      </c>
    </row>
    <row r="217" spans="2:18" ht="15">
      <c r="B217" s="55">
        <v>191.14</v>
      </c>
      <c r="C217" s="55">
        <v>198.1</v>
      </c>
      <c r="D217" s="55">
        <v>189.77</v>
      </c>
      <c r="E217" s="55">
        <v>197.7</v>
      </c>
      <c r="F217" s="55">
        <v>3160135</v>
      </c>
      <c r="G217" s="55" t="s">
        <v>240</v>
      </c>
      <c r="H217" s="25">
        <f t="shared" si="0"/>
        <v>-3.3181588265048023E-2</v>
      </c>
      <c r="J217" s="56">
        <v>-5.6000000000000043E-2</v>
      </c>
      <c r="K217">
        <v>1</v>
      </c>
      <c r="M217" s="54">
        <f t="shared" si="1"/>
        <v>-5.7000000000000044E-2</v>
      </c>
      <c r="N217" s="1">
        <f t="shared" si="2"/>
        <v>0.33512442992330749</v>
      </c>
      <c r="P217" s="40" t="s">
        <v>140</v>
      </c>
      <c r="Q217" s="54">
        <f>($L$204*-1)+$L$202</f>
        <v>-2.0212116313584983E-2</v>
      </c>
      <c r="R217" s="1">
        <v>0</v>
      </c>
    </row>
    <row r="218" spans="2:18" ht="15">
      <c r="B218" s="55">
        <v>196.51</v>
      </c>
      <c r="C218" s="55">
        <v>198.15</v>
      </c>
      <c r="D218" s="55">
        <v>194.85</v>
      </c>
      <c r="E218" s="55">
        <v>195.65</v>
      </c>
      <c r="F218" s="55">
        <v>2143781</v>
      </c>
      <c r="G218" s="55" t="s">
        <v>241</v>
      </c>
      <c r="H218" s="25">
        <f t="shared" si="0"/>
        <v>4.39560439560438E-3</v>
      </c>
      <c r="J218" s="56">
        <v>-5.5000000000000042E-2</v>
      </c>
      <c r="K218">
        <v>0</v>
      </c>
      <c r="M218" s="54">
        <f t="shared" si="1"/>
        <v>-5.6000000000000043E-2</v>
      </c>
      <c r="N218" s="1">
        <f t="shared" si="2"/>
        <v>0.3869305590567364</v>
      </c>
      <c r="Q218" s="54">
        <f>($L$204*-1)+$L$202</f>
        <v>-2.0212116313584983E-2</v>
      </c>
      <c r="R218" s="1">
        <v>12</v>
      </c>
    </row>
    <row r="219" spans="2:18" ht="15">
      <c r="B219" s="55">
        <v>195.07</v>
      </c>
      <c r="C219" s="55">
        <v>197.82</v>
      </c>
      <c r="D219" s="55">
        <v>194.64</v>
      </c>
      <c r="E219" s="55">
        <v>195.47499999999999</v>
      </c>
      <c r="F219" s="55">
        <v>2871555</v>
      </c>
      <c r="G219" s="55" t="s">
        <v>242</v>
      </c>
      <c r="H219" s="25">
        <f t="shared" si="0"/>
        <v>-2.0718761990023982E-3</v>
      </c>
      <c r="J219" s="56">
        <v>-5.4000000000000041E-2</v>
      </c>
      <c r="K219">
        <v>0</v>
      </c>
      <c r="M219" s="54">
        <f t="shared" si="1"/>
        <v>-5.5000000000000042E-2</v>
      </c>
      <c r="N219" s="1">
        <f t="shared" si="2"/>
        <v>0.44560066311802454</v>
      </c>
      <c r="P219" s="1" t="s">
        <v>141</v>
      </c>
      <c r="Q219" s="54">
        <f>($L$204*1)+$L$202</f>
        <v>1.9274624589055215E-2</v>
      </c>
      <c r="R219" s="1">
        <v>0</v>
      </c>
    </row>
    <row r="220" spans="2:18" ht="15" customHeight="1">
      <c r="B220" s="55">
        <v>196.45</v>
      </c>
      <c r="C220" s="55">
        <v>197.49</v>
      </c>
      <c r="D220" s="55">
        <v>192.81</v>
      </c>
      <c r="E220" s="55">
        <v>195.08</v>
      </c>
      <c r="F220" s="55">
        <v>3524454</v>
      </c>
      <c r="G220" s="55" t="s">
        <v>243</v>
      </c>
      <c r="H220" s="25">
        <f t="shared" si="0"/>
        <v>7.022759893376973E-3</v>
      </c>
      <c r="J220" s="56">
        <v>-5.300000000000004E-2</v>
      </c>
      <c r="K220">
        <v>0</v>
      </c>
      <c r="M220" s="54">
        <f t="shared" si="1"/>
        <v>-5.4000000000000041E-2</v>
      </c>
      <c r="N220" s="1">
        <f t="shared" si="2"/>
        <v>0.51185209013053756</v>
      </c>
      <c r="Q220" s="54">
        <f>($L$204*1)+$L$202</f>
        <v>1.9274624589055215E-2</v>
      </c>
      <c r="R220" s="1">
        <v>12</v>
      </c>
    </row>
    <row r="221" spans="2:18" ht="15">
      <c r="B221" s="55">
        <v>193.33</v>
      </c>
      <c r="C221" s="55">
        <v>200</v>
      </c>
      <c r="D221" s="55">
        <v>191.44</v>
      </c>
      <c r="E221" s="55">
        <v>199.94</v>
      </c>
      <c r="F221" s="55">
        <v>4697884</v>
      </c>
      <c r="G221" s="55" t="s">
        <v>244</v>
      </c>
      <c r="H221" s="25">
        <f t="shared" si="0"/>
        <v>-3.3059917975392539E-2</v>
      </c>
      <c r="J221" s="56">
        <v>-5.2000000000000039E-2</v>
      </c>
      <c r="K221">
        <v>2</v>
      </c>
      <c r="M221" s="54">
        <f t="shared" si="1"/>
        <v>-5.300000000000004E-2</v>
      </c>
      <c r="N221" s="1">
        <f t="shared" si="2"/>
        <v>0.58644729661544859</v>
      </c>
      <c r="P221" s="41" t="s">
        <v>142</v>
      </c>
      <c r="Q221" s="54">
        <f>($L$204*2)+$L$202</f>
        <v>3.9017995040375314E-2</v>
      </c>
      <c r="R221" s="1">
        <v>0</v>
      </c>
    </row>
    <row r="222" spans="2:18" ht="15">
      <c r="B222" s="55">
        <v>200.53</v>
      </c>
      <c r="C222" s="55">
        <v>206.63499999999999</v>
      </c>
      <c r="D222" s="55">
        <v>200.24</v>
      </c>
      <c r="E222" s="55">
        <v>203.965</v>
      </c>
      <c r="F222" s="55">
        <v>4173883</v>
      </c>
      <c r="G222" s="55" t="s">
        <v>245</v>
      </c>
      <c r="H222" s="25">
        <f t="shared" si="0"/>
        <v>-1.6841124702767662E-2</v>
      </c>
      <c r="J222" s="56">
        <v>-5.1000000000000038E-2</v>
      </c>
      <c r="K222">
        <v>1</v>
      </c>
      <c r="M222" s="54">
        <f t="shared" si="1"/>
        <v>-5.2000000000000039E-2</v>
      </c>
      <c r="N222" s="1">
        <f t="shared" si="2"/>
        <v>0.67019217249368468</v>
      </c>
      <c r="Q222" s="54">
        <f>($L$204*2)+$L$202</f>
        <v>3.9017995040375314E-2</v>
      </c>
      <c r="R222" s="1">
        <v>5</v>
      </c>
    </row>
    <row r="223" spans="2:18" ht="15">
      <c r="B223" s="55">
        <v>206.47</v>
      </c>
      <c r="C223" s="55">
        <v>214.1499</v>
      </c>
      <c r="D223" s="55">
        <v>205.89</v>
      </c>
      <c r="E223" s="55">
        <v>214</v>
      </c>
      <c r="F223" s="55">
        <v>3850934</v>
      </c>
      <c r="G223" s="55" t="s">
        <v>246</v>
      </c>
      <c r="H223" s="25">
        <f t="shared" si="0"/>
        <v>-3.5186915887850501E-2</v>
      </c>
      <c r="J223" s="56">
        <v>-5.0000000000000037E-2</v>
      </c>
      <c r="K223">
        <v>1</v>
      </c>
      <c r="M223" s="54">
        <f t="shared" si="1"/>
        <v>-5.1000000000000038E-2</v>
      </c>
      <c r="N223" s="1">
        <f t="shared" si="2"/>
        <v>0.76393352393962166</v>
      </c>
      <c r="P223" s="41" t="s">
        <v>143</v>
      </c>
      <c r="Q223" s="54">
        <f>($L$204*3)+$L$202</f>
        <v>5.876136549169541E-2</v>
      </c>
      <c r="R223" s="1">
        <v>0</v>
      </c>
    </row>
    <row r="224" spans="2:18" ht="15">
      <c r="B224" s="55">
        <v>214.04</v>
      </c>
      <c r="C224" s="55">
        <v>219.12</v>
      </c>
      <c r="D224" s="55">
        <v>213.88</v>
      </c>
      <c r="E224" s="55">
        <v>216</v>
      </c>
      <c r="F224" s="55">
        <v>2570261</v>
      </c>
      <c r="G224" s="55" t="s">
        <v>247</v>
      </c>
      <c r="H224" s="25">
        <f t="shared" si="0"/>
        <v>-9.0740740740741233E-3</v>
      </c>
      <c r="J224" s="56">
        <v>-4.9000000000000037E-2</v>
      </c>
      <c r="K224">
        <v>4</v>
      </c>
      <c r="M224" s="54">
        <f t="shared" si="1"/>
        <v>-5.0000000000000037E-2</v>
      </c>
      <c r="N224" s="1">
        <f t="shared" si="2"/>
        <v>0.86855563302377703</v>
      </c>
      <c r="P224" s="41"/>
      <c r="Q224" s="54">
        <f>($L$204*3)+$L$202</f>
        <v>5.876136549169541E-2</v>
      </c>
      <c r="R224" s="1">
        <v>2</v>
      </c>
    </row>
    <row r="225" spans="2:14" ht="15">
      <c r="B225" s="55">
        <v>216.59</v>
      </c>
      <c r="C225" s="55">
        <v>220.7</v>
      </c>
      <c r="D225" s="55">
        <v>216.33</v>
      </c>
      <c r="E225" s="55">
        <v>220.32</v>
      </c>
      <c r="F225" s="55">
        <v>2333769</v>
      </c>
      <c r="G225" s="55" t="s">
        <v>248</v>
      </c>
      <c r="H225" s="25">
        <f t="shared" si="0"/>
        <v>-1.6929920116194541E-2</v>
      </c>
      <c r="J225" s="56">
        <v>-4.8000000000000036E-2</v>
      </c>
      <c r="K225">
        <v>0</v>
      </c>
      <c r="M225" s="54">
        <f t="shared" si="1"/>
        <v>-4.9000000000000037E-2</v>
      </c>
      <c r="N225" s="1">
        <f t="shared" si="2"/>
        <v>0.98497581898067743</v>
      </c>
    </row>
    <row r="226" spans="2:14" ht="15">
      <c r="B226" s="55">
        <v>219.43</v>
      </c>
      <c r="C226" s="55">
        <v>220.51</v>
      </c>
      <c r="D226" s="55">
        <v>216.49</v>
      </c>
      <c r="E226" s="55">
        <v>220.25</v>
      </c>
      <c r="F226" s="55">
        <v>2624560</v>
      </c>
      <c r="G226" s="55" t="s">
        <v>249</v>
      </c>
      <c r="H226" s="25">
        <f t="shared" si="0"/>
        <v>-3.7230419977297702E-3</v>
      </c>
      <c r="J226" s="56">
        <v>-4.7000000000000035E-2</v>
      </c>
      <c r="K226">
        <v>2</v>
      </c>
      <c r="M226" s="54">
        <f t="shared" si="1"/>
        <v>-4.8000000000000036E-2</v>
      </c>
      <c r="N226" s="1">
        <f t="shared" si="2"/>
        <v>1.1141389344363317</v>
      </c>
    </row>
    <row r="227" spans="2:14" ht="15">
      <c r="B227" s="55">
        <v>218.69</v>
      </c>
      <c r="C227" s="55">
        <v>225.31</v>
      </c>
      <c r="D227" s="55">
        <v>218.45</v>
      </c>
      <c r="E227" s="55">
        <v>223.41</v>
      </c>
      <c r="F227" s="55">
        <v>3480348</v>
      </c>
      <c r="G227" s="55" t="s">
        <v>250</v>
      </c>
      <c r="H227" s="25">
        <f t="shared" si="0"/>
        <v>-2.1127075779956095E-2</v>
      </c>
      <c r="J227" s="56">
        <v>-4.6000000000000034E-2</v>
      </c>
      <c r="K227">
        <v>0</v>
      </c>
      <c r="M227" s="54">
        <f t="shared" si="1"/>
        <v>-4.7000000000000035E-2</v>
      </c>
      <c r="N227" s="1">
        <f t="shared" si="2"/>
        <v>1.257010741070729</v>
      </c>
    </row>
    <row r="228" spans="2:14" ht="15">
      <c r="B228" s="55">
        <v>224.03</v>
      </c>
      <c r="C228" s="55">
        <v>226.23500000000001</v>
      </c>
      <c r="D228" s="55">
        <v>222.87</v>
      </c>
      <c r="E228" s="55">
        <v>225</v>
      </c>
      <c r="F228" s="55">
        <v>2212147</v>
      </c>
      <c r="G228" s="55" t="s">
        <v>251</v>
      </c>
      <c r="H228" s="25">
        <f t="shared" si="0"/>
        <v>-4.3111111111111544E-3</v>
      </c>
      <c r="J228" s="56">
        <v>-4.5000000000000033E-2</v>
      </c>
      <c r="K228">
        <v>2</v>
      </c>
      <c r="M228" s="54">
        <f t="shared" si="1"/>
        <v>-4.6000000000000034E-2</v>
      </c>
      <c r="N228" s="1">
        <f t="shared" si="2"/>
        <v>1.4145701230662531</v>
      </c>
    </row>
    <row r="229" spans="2:14" ht="15">
      <c r="B229" s="55">
        <v>223.93</v>
      </c>
      <c r="C229" s="55">
        <v>225.45</v>
      </c>
      <c r="D229" s="55">
        <v>221.09</v>
      </c>
      <c r="E229" s="55">
        <v>221.77</v>
      </c>
      <c r="F229" s="55">
        <v>3301417</v>
      </c>
      <c r="G229" s="55" t="s">
        <v>252</v>
      </c>
      <c r="H229" s="25">
        <f t="shared" si="0"/>
        <v>9.7398205347882794E-3</v>
      </c>
      <c r="J229" s="56">
        <v>-4.4000000000000032E-2</v>
      </c>
      <c r="K229">
        <v>0</v>
      </c>
      <c r="M229" s="54">
        <f t="shared" si="1"/>
        <v>-4.5000000000000033E-2</v>
      </c>
      <c r="N229" s="1">
        <f t="shared" si="2"/>
        <v>1.587800113332182</v>
      </c>
    </row>
    <row r="230" spans="2:14" ht="15">
      <c r="B230" s="55">
        <v>223.21</v>
      </c>
      <c r="C230" s="55">
        <v>230.5</v>
      </c>
      <c r="D230" s="55">
        <v>222.65</v>
      </c>
      <c r="E230" s="55">
        <v>229.97</v>
      </c>
      <c r="F230" s="55">
        <v>2966897</v>
      </c>
      <c r="G230" s="55" t="s">
        <v>253</v>
      </c>
      <c r="H230" s="25">
        <f t="shared" si="0"/>
        <v>-2.9395138496325579E-2</v>
      </c>
      <c r="J230" s="56">
        <v>-4.3000000000000031E-2</v>
      </c>
      <c r="K230">
        <v>0</v>
      </c>
      <c r="M230" s="54">
        <f t="shared" si="1"/>
        <v>-4.4000000000000032E-2</v>
      </c>
      <c r="N230" s="1">
        <f t="shared" si="2"/>
        <v>1.7776777268570714</v>
      </c>
    </row>
    <row r="231" spans="2:14" ht="15">
      <c r="B231" s="55">
        <v>229.77</v>
      </c>
      <c r="C231" s="55">
        <v>233</v>
      </c>
      <c r="D231" s="55">
        <v>228.065</v>
      </c>
      <c r="E231" s="55">
        <v>232.785</v>
      </c>
      <c r="F231" s="55">
        <v>2541421</v>
      </c>
      <c r="G231" s="55" t="s">
        <v>254</v>
      </c>
      <c r="H231" s="25">
        <f t="shared" si="0"/>
        <v>-1.2951865455248401E-2</v>
      </c>
      <c r="J231" s="56">
        <v>-4.200000000000003E-2</v>
      </c>
      <c r="K231">
        <v>1</v>
      </c>
      <c r="M231" s="54">
        <f t="shared" si="1"/>
        <v>-4.3000000000000031E-2</v>
      </c>
      <c r="N231" s="1">
        <f t="shared" si="2"/>
        <v>1.9851626175033936</v>
      </c>
    </row>
    <row r="232" spans="2:14" ht="15">
      <c r="B232" s="55">
        <v>233.31</v>
      </c>
      <c r="C232" s="55">
        <v>233.75</v>
      </c>
      <c r="D232" s="55">
        <v>226.93</v>
      </c>
      <c r="E232" s="55">
        <v>227</v>
      </c>
      <c r="F232" s="55">
        <v>2914069</v>
      </c>
      <c r="G232" s="55" t="s">
        <v>255</v>
      </c>
      <c r="H232" s="25">
        <f t="shared" si="0"/>
        <v>2.7797356828193953E-2</v>
      </c>
      <c r="J232" s="56">
        <v>-4.1000000000000029E-2</v>
      </c>
      <c r="K232">
        <v>3</v>
      </c>
      <c r="M232" s="54">
        <f t="shared" si="1"/>
        <v>-4.200000000000003E-2</v>
      </c>
      <c r="N232" s="1">
        <f t="shared" si="2"/>
        <v>2.2111845989153438</v>
      </c>
    </row>
    <row r="233" spans="2:14" ht="15">
      <c r="B233" s="55">
        <v>226.11</v>
      </c>
      <c r="C233" s="55">
        <v>227.66</v>
      </c>
      <c r="D233" s="55">
        <v>222.46</v>
      </c>
      <c r="E233" s="55">
        <v>224.15</v>
      </c>
      <c r="F233" s="55">
        <v>3219665</v>
      </c>
      <c r="G233" s="55" t="s">
        <v>256</v>
      </c>
      <c r="H233" s="25">
        <f t="shared" si="0"/>
        <v>8.7441445460629819E-3</v>
      </c>
      <c r="J233" s="56">
        <v>-4.0000000000000029E-2</v>
      </c>
      <c r="K233">
        <v>0</v>
      </c>
      <c r="M233" s="54">
        <f t="shared" si="1"/>
        <v>-4.1000000000000029E-2</v>
      </c>
      <c r="N233" s="1">
        <f t="shared" si="2"/>
        <v>2.4566300966629284</v>
      </c>
    </row>
    <row r="234" spans="2:14" ht="15">
      <c r="B234" s="55">
        <v>222.19</v>
      </c>
      <c r="C234" s="55">
        <v>230.53989999999999</v>
      </c>
      <c r="D234" s="55">
        <v>222.06</v>
      </c>
      <c r="E234" s="55">
        <v>229.19</v>
      </c>
      <c r="F234" s="55">
        <v>4698556</v>
      </c>
      <c r="G234" s="55" t="s">
        <v>257</v>
      </c>
      <c r="H234" s="25">
        <f t="shared" si="0"/>
        <v>-3.0542344779440622E-2</v>
      </c>
      <c r="J234" s="56">
        <v>-3.9000000000000028E-2</v>
      </c>
      <c r="K234">
        <v>3</v>
      </c>
      <c r="M234" s="54">
        <f t="shared" si="1"/>
        <v>-4.0000000000000029E-2</v>
      </c>
      <c r="N234" s="1">
        <f t="shared" si="2"/>
        <v>2.722327626902397</v>
      </c>
    </row>
    <row r="235" spans="2:14" ht="15">
      <c r="B235" s="55">
        <v>228.89</v>
      </c>
      <c r="C235" s="55">
        <v>236.19</v>
      </c>
      <c r="D235" s="55">
        <v>228.75</v>
      </c>
      <c r="E235" s="55">
        <v>235.61</v>
      </c>
      <c r="F235" s="55">
        <v>3370147</v>
      </c>
      <c r="G235" s="55" t="s">
        <v>258</v>
      </c>
      <c r="H235" s="25">
        <f t="shared" si="0"/>
        <v>-2.8521709604855561E-2</v>
      </c>
      <c r="J235" s="56">
        <v>-3.8000000000000027E-2</v>
      </c>
      <c r="K235">
        <v>7</v>
      </c>
      <c r="M235" s="54">
        <f t="shared" si="1"/>
        <v>-3.9000000000000028E-2</v>
      </c>
      <c r="N235" s="1">
        <f t="shared" si="2"/>
        <v>3.0090324262105583</v>
      </c>
    </row>
    <row r="236" spans="2:14" ht="15">
      <c r="B236" s="55">
        <v>236.51</v>
      </c>
      <c r="C236" s="55">
        <v>238.45</v>
      </c>
      <c r="D236" s="55">
        <v>235.53200000000001</v>
      </c>
      <c r="E236" s="55">
        <v>237.04</v>
      </c>
      <c r="F236" s="55">
        <v>1653261</v>
      </c>
      <c r="G236" s="55" t="s">
        <v>259</v>
      </c>
      <c r="H236" s="25">
        <f t="shared" si="0"/>
        <v>-2.2359095511306215E-3</v>
      </c>
      <c r="J236" s="56">
        <v>-3.7000000000000026E-2</v>
      </c>
      <c r="K236">
        <v>4</v>
      </c>
      <c r="M236" s="54">
        <f t="shared" si="1"/>
        <v>-3.8000000000000027E-2</v>
      </c>
      <c r="N236" s="1">
        <f t="shared" si="2"/>
        <v>3.3174103872755123</v>
      </c>
    </row>
    <row r="237" spans="2:14" ht="15">
      <c r="B237" s="55">
        <v>238.52</v>
      </c>
      <c r="C237" s="55">
        <v>241.84</v>
      </c>
      <c r="D237" s="55">
        <v>234.65</v>
      </c>
      <c r="E237" s="55">
        <v>237.77</v>
      </c>
      <c r="F237" s="55">
        <v>2592172</v>
      </c>
      <c r="G237" s="55" t="s">
        <v>260</v>
      </c>
      <c r="H237" s="25">
        <f t="shared" si="0"/>
        <v>3.154308785801474E-3</v>
      </c>
      <c r="J237" s="56">
        <v>-3.6000000000000025E-2</v>
      </c>
      <c r="K237">
        <v>5</v>
      </c>
      <c r="M237" s="54">
        <f t="shared" si="1"/>
        <v>-3.7000000000000026E-2</v>
      </c>
      <c r="N237" s="1">
        <f t="shared" si="2"/>
        <v>3.6480214851427784</v>
      </c>
    </row>
    <row r="238" spans="2:14" ht="15">
      <c r="B238" s="55">
        <v>235.89</v>
      </c>
      <c r="C238" s="55">
        <v>239.27</v>
      </c>
      <c r="D238" s="55">
        <v>232.09</v>
      </c>
      <c r="E238" s="55">
        <v>239.27</v>
      </c>
      <c r="F238" s="55">
        <v>3209996</v>
      </c>
      <c r="G238" s="55" t="s">
        <v>261</v>
      </c>
      <c r="H238" s="25">
        <f t="shared" si="0"/>
        <v>-1.4126300831696526E-2</v>
      </c>
      <c r="J238" s="56">
        <v>-3.5000000000000024E-2</v>
      </c>
      <c r="K238">
        <v>5</v>
      </c>
      <c r="M238" s="54">
        <f t="shared" si="1"/>
        <v>-3.6000000000000025E-2</v>
      </c>
      <c r="N238" s="1">
        <f t="shared" si="2"/>
        <v>4.0013029079956652</v>
      </c>
    </row>
    <row r="239" spans="2:14" ht="15">
      <c r="B239" s="55">
        <v>238.54</v>
      </c>
      <c r="C239" s="55">
        <v>239.79</v>
      </c>
      <c r="D239" s="55">
        <v>235</v>
      </c>
      <c r="E239" s="55">
        <v>237.58</v>
      </c>
      <c r="F239" s="55">
        <v>2302233</v>
      </c>
      <c r="G239" s="55" t="s">
        <v>262</v>
      </c>
      <c r="H239" s="25">
        <f t="shared" si="0"/>
        <v>4.0407441703846914E-3</v>
      </c>
      <c r="J239" s="56">
        <v>-3.4000000000000023E-2</v>
      </c>
      <c r="K239">
        <v>4</v>
      </c>
      <c r="M239" s="54">
        <f t="shared" si="1"/>
        <v>-3.5000000000000024E-2</v>
      </c>
      <c r="N239" s="1">
        <f t="shared" si="2"/>
        <v>4.377552134204783</v>
      </c>
    </row>
    <row r="240" spans="2:14" ht="15">
      <c r="B240" s="55">
        <v>237.57</v>
      </c>
      <c r="C240" s="55">
        <v>247</v>
      </c>
      <c r="D240" s="55">
        <v>235.3</v>
      </c>
      <c r="E240" s="55">
        <v>245.9</v>
      </c>
      <c r="F240" s="55">
        <v>3253708</v>
      </c>
      <c r="G240" s="55" t="s">
        <v>263</v>
      </c>
      <c r="H240" s="25">
        <f t="shared" si="0"/>
        <v>-3.3875559170394531E-2</v>
      </c>
      <c r="J240" s="56">
        <v>-3.3000000000000022E-2</v>
      </c>
      <c r="K240">
        <v>7</v>
      </c>
      <c r="M240" s="54">
        <f t="shared" si="1"/>
        <v>-3.4000000000000023E-2</v>
      </c>
      <c r="N240" s="1">
        <f t="shared" si="2"/>
        <v>4.7769102227852098</v>
      </c>
    </row>
    <row r="241" spans="2:14" ht="15">
      <c r="B241" s="55">
        <v>247.68</v>
      </c>
      <c r="C241" s="55">
        <v>249.97</v>
      </c>
      <c r="D241" s="55">
        <v>246</v>
      </c>
      <c r="E241" s="55">
        <v>247.4</v>
      </c>
      <c r="F241" s="55">
        <v>1644665</v>
      </c>
      <c r="G241" s="55" t="s">
        <v>264</v>
      </c>
      <c r="H241" s="25">
        <f t="shared" si="0"/>
        <v>1.1317704122877359E-3</v>
      </c>
      <c r="J241" s="56">
        <v>-3.2000000000000021E-2</v>
      </c>
      <c r="K241">
        <v>5</v>
      </c>
      <c r="M241" s="54">
        <f t="shared" si="1"/>
        <v>-3.3000000000000022E-2</v>
      </c>
      <c r="N241" s="1">
        <f t="shared" si="2"/>
        <v>5.1993456066004704</v>
      </c>
    </row>
    <row r="242" spans="2:14" ht="15">
      <c r="B242" s="55">
        <v>246.3</v>
      </c>
      <c r="C242" s="55">
        <v>252.24</v>
      </c>
      <c r="D242" s="55">
        <v>236.32</v>
      </c>
      <c r="E242" s="55">
        <v>245.655</v>
      </c>
      <c r="F242" s="55">
        <v>5334824</v>
      </c>
      <c r="G242" s="55" t="s">
        <v>265</v>
      </c>
      <c r="H242" s="25">
        <f t="shared" si="0"/>
        <v>2.6256335104108963E-3</v>
      </c>
      <c r="J242" s="56">
        <v>-3.1000000000000021E-2</v>
      </c>
      <c r="K242">
        <v>5</v>
      </c>
      <c r="M242" s="54">
        <f t="shared" si="1"/>
        <v>-3.2000000000000021E-2</v>
      </c>
      <c r="N242" s="1">
        <f t="shared" si="2"/>
        <v>5.6446386958009693</v>
      </c>
    </row>
    <row r="243" spans="2:14" ht="15">
      <c r="B243" s="55">
        <v>245.12</v>
      </c>
      <c r="C243" s="55">
        <v>247.78</v>
      </c>
      <c r="D243" s="55">
        <v>237</v>
      </c>
      <c r="E243" s="55">
        <v>237.23</v>
      </c>
      <c r="F243" s="55">
        <v>3868321</v>
      </c>
      <c r="G243" s="55" t="s">
        <v>266</v>
      </c>
      <c r="H243" s="25">
        <f t="shared" si="0"/>
        <v>3.3258862707077563E-2</v>
      </c>
      <c r="J243" s="56">
        <v>-3.000000000000002E-2</v>
      </c>
      <c r="K243">
        <v>6</v>
      </c>
      <c r="M243" s="54">
        <f t="shared" si="1"/>
        <v>-3.1000000000000021E-2</v>
      </c>
      <c r="N243" s="1">
        <f t="shared" si="2"/>
        <v>6.1123676122580131</v>
      </c>
    </row>
    <row r="244" spans="2:14" ht="15">
      <c r="B244" s="55">
        <v>237.58</v>
      </c>
      <c r="C244" s="55">
        <v>238.0925</v>
      </c>
      <c r="D244" s="55">
        <v>233.845</v>
      </c>
      <c r="E244" s="55">
        <v>236.32</v>
      </c>
      <c r="F244" s="55">
        <v>2938563</v>
      </c>
      <c r="G244" s="55" t="s">
        <v>267</v>
      </c>
      <c r="H244" s="25">
        <f t="shared" si="0"/>
        <v>5.3317535545025496E-3</v>
      </c>
      <c r="J244" s="56">
        <v>-2.9000000000000019E-2</v>
      </c>
      <c r="K244">
        <v>9</v>
      </c>
      <c r="M244" s="54">
        <f t="shared" si="1"/>
        <v>-3.000000000000002E-2</v>
      </c>
      <c r="N244" s="1">
        <f t="shared" si="2"/>
        <v>6.6018953833832708</v>
      </c>
    </row>
    <row r="245" spans="2:14" ht="15">
      <c r="B245" s="55">
        <v>235.02</v>
      </c>
      <c r="C245" s="55">
        <v>237.2</v>
      </c>
      <c r="D245" s="55">
        <v>231.5026</v>
      </c>
      <c r="E245" s="55">
        <v>235</v>
      </c>
      <c r="F245" s="55">
        <v>6204746</v>
      </c>
      <c r="G245" s="55" t="s">
        <v>268</v>
      </c>
      <c r="H245" s="25">
        <f t="shared" si="0"/>
        <v>8.5106382978761275E-5</v>
      </c>
      <c r="J245" s="56">
        <v>-2.8000000000000018E-2</v>
      </c>
      <c r="K245">
        <v>8</v>
      </c>
      <c r="M245" s="54">
        <f t="shared" si="1"/>
        <v>-2.9000000000000019E-2</v>
      </c>
      <c r="N245" s="1">
        <f t="shared" si="2"/>
        <v>7.1123589250181638</v>
      </c>
    </row>
    <row r="246" spans="2:14" ht="15">
      <c r="B246" s="55">
        <v>231.58</v>
      </c>
      <c r="C246" s="55">
        <v>232.91990000000001</v>
      </c>
      <c r="D246" s="55">
        <v>227.595</v>
      </c>
      <c r="E246" s="55">
        <v>232.46</v>
      </c>
      <c r="F246" s="55">
        <v>3115376</v>
      </c>
      <c r="G246" s="55" t="s">
        <v>269</v>
      </c>
      <c r="H246" s="25">
        <f t="shared" si="0"/>
        <v>-3.7855975221543492E-3</v>
      </c>
      <c r="J246" s="56">
        <v>-2.7000000000000017E-2</v>
      </c>
      <c r="K246">
        <v>8</v>
      </c>
      <c r="M246" s="54">
        <f t="shared" si="1"/>
        <v>-2.8000000000000018E-2</v>
      </c>
      <c r="N246" s="1">
        <f t="shared" si="2"/>
        <v>7.642660137457236</v>
      </c>
    </row>
    <row r="247" spans="2:14" ht="15">
      <c r="B247" s="55">
        <v>231.52</v>
      </c>
      <c r="C247" s="55">
        <v>234.9</v>
      </c>
      <c r="D247" s="55">
        <v>229.3544</v>
      </c>
      <c r="E247" s="55">
        <v>234.51499999999999</v>
      </c>
      <c r="F247" s="55">
        <v>2676882</v>
      </c>
      <c r="G247" s="55" t="s">
        <v>270</v>
      </c>
      <c r="H247" s="25">
        <f t="shared" si="0"/>
        <v>-1.2771038099908205E-2</v>
      </c>
      <c r="J247" s="56">
        <v>-2.6000000000000016E-2</v>
      </c>
      <c r="K247">
        <v>10</v>
      </c>
      <c r="M247" s="54">
        <f t="shared" si="1"/>
        <v>-2.7000000000000017E-2</v>
      </c>
      <c r="N247" s="1">
        <f t="shared" si="2"/>
        <v>8.191459425686709</v>
      </c>
    </row>
    <row r="248" spans="2:14" ht="15">
      <c r="B248" s="55">
        <v>232.93</v>
      </c>
      <c r="C248" s="55">
        <v>233.48849999999999</v>
      </c>
      <c r="D248" s="55">
        <v>227.55179999999999</v>
      </c>
      <c r="E248" s="55">
        <v>227.81</v>
      </c>
      <c r="F248" s="55">
        <v>3789234</v>
      </c>
      <c r="G248" s="55" t="s">
        <v>271</v>
      </c>
      <c r="H248" s="25">
        <f t="shared" si="0"/>
        <v>2.247486940871779E-2</v>
      </c>
      <c r="J248" s="56">
        <v>-2.5000000000000015E-2</v>
      </c>
      <c r="K248">
        <v>8</v>
      </c>
      <c r="M248" s="54">
        <f t="shared" si="1"/>
        <v>-2.6000000000000016E-2</v>
      </c>
      <c r="N248" s="1">
        <f t="shared" si="2"/>
        <v>8.7571719342867311</v>
      </c>
    </row>
    <row r="249" spans="2:14" ht="15">
      <c r="B249" s="55">
        <v>225.56</v>
      </c>
      <c r="C249" s="55">
        <v>227</v>
      </c>
      <c r="D249" s="55">
        <v>219.97</v>
      </c>
      <c r="E249" s="55">
        <v>226.72499999999999</v>
      </c>
      <c r="F249" s="55">
        <v>4652471</v>
      </c>
      <c r="G249" s="55" t="s">
        <v>272</v>
      </c>
      <c r="H249" s="25">
        <f t="shared" si="0"/>
        <v>-5.1383835042452253E-3</v>
      </c>
      <c r="J249" s="56">
        <v>-2.4000000000000014E-2</v>
      </c>
      <c r="K249">
        <v>6</v>
      </c>
      <c r="M249" s="54">
        <f t="shared" si="1"/>
        <v>-2.5000000000000015E-2</v>
      </c>
      <c r="N249" s="1">
        <f t="shared" si="2"/>
        <v>9.3379667590545523</v>
      </c>
    </row>
    <row r="250" spans="2:14" ht="15">
      <c r="B250" s="55">
        <v>227.47</v>
      </c>
      <c r="C250" s="55">
        <v>231.29990000000001</v>
      </c>
      <c r="D250" s="55">
        <v>227.12</v>
      </c>
      <c r="E250" s="55">
        <v>230.7</v>
      </c>
      <c r="F250" s="55">
        <v>4880662</v>
      </c>
      <c r="G250" s="55" t="s">
        <v>273</v>
      </c>
      <c r="H250" s="25">
        <f t="shared" si="0"/>
        <v>-1.4000866926744626E-2</v>
      </c>
      <c r="J250" s="56">
        <v>-2.3000000000000013E-2</v>
      </c>
      <c r="K250">
        <v>13</v>
      </c>
      <c r="M250" s="54">
        <f t="shared" si="1"/>
        <v>-2.4000000000000014E-2</v>
      </c>
      <c r="N250" s="1">
        <f t="shared" si="2"/>
        <v>9.9317693613458466</v>
      </c>
    </row>
    <row r="251" spans="2:14" ht="15">
      <c r="B251" s="55">
        <v>228.65</v>
      </c>
      <c r="C251" s="55">
        <v>235.69</v>
      </c>
      <c r="D251" s="55">
        <v>228.45</v>
      </c>
      <c r="E251" s="55">
        <v>235.41</v>
      </c>
      <c r="F251" s="55">
        <v>4682240</v>
      </c>
      <c r="G251" s="55" t="s">
        <v>274</v>
      </c>
      <c r="H251" s="25">
        <f t="shared" ref="H251:H314" si="3">B251/E251-1</f>
        <v>-2.8715857440210657E-2</v>
      </c>
      <c r="J251" s="56">
        <v>-2.2000000000000013E-2</v>
      </c>
      <c r="K251">
        <v>10</v>
      </c>
      <c r="M251" s="54">
        <f t="shared" si="1"/>
        <v>-2.3000000000000013E-2</v>
      </c>
      <c r="N251" s="1">
        <f t="shared" si="2"/>
        <v>10.536267367701406</v>
      </c>
    </row>
    <row r="252" spans="2:14" ht="15">
      <c r="B252" s="55">
        <v>235.2</v>
      </c>
      <c r="C252" s="55">
        <v>241.29990000000001</v>
      </c>
      <c r="D252" s="55">
        <v>234.59</v>
      </c>
      <c r="E252" s="55">
        <v>240.82</v>
      </c>
      <c r="F252" s="55">
        <v>3391462</v>
      </c>
      <c r="G252" s="55" t="s">
        <v>275</v>
      </c>
      <c r="H252" s="25">
        <f t="shared" si="3"/>
        <v>-2.333693214849264E-2</v>
      </c>
      <c r="J252" s="56">
        <v>-2.1000000000000012E-2</v>
      </c>
      <c r="K252">
        <v>19</v>
      </c>
      <c r="M252" s="54">
        <f t="shared" si="1"/>
        <v>-2.2000000000000013E-2</v>
      </c>
      <c r="N252" s="1">
        <f t="shared" si="2"/>
        <v>11.148919887041824</v>
      </c>
    </row>
    <row r="253" spans="2:14" ht="15">
      <c r="B253" s="55">
        <v>241.285</v>
      </c>
      <c r="C253" s="55">
        <v>242.06</v>
      </c>
      <c r="D253" s="55">
        <v>238.26</v>
      </c>
      <c r="E253" s="55">
        <v>241.62</v>
      </c>
      <c r="F253" s="55">
        <v>3643058</v>
      </c>
      <c r="G253" s="55" t="s">
        <v>276</v>
      </c>
      <c r="H253" s="25">
        <f t="shared" si="3"/>
        <v>-1.3864746295836339E-3</v>
      </c>
      <c r="J253" s="56">
        <v>-2.0000000000000011E-2</v>
      </c>
      <c r="K253">
        <v>15</v>
      </c>
      <c r="M253" s="54">
        <f t="shared" si="1"/>
        <v>-2.1000000000000012E-2</v>
      </c>
      <c r="N253" s="1">
        <f t="shared" si="2"/>
        <v>11.766970421305478</v>
      </c>
    </row>
    <row r="254" spans="2:14" ht="15">
      <c r="B254" s="55">
        <v>239.11</v>
      </c>
      <c r="C254" s="55">
        <v>248.25479999999999</v>
      </c>
      <c r="D254" s="55">
        <v>238.25</v>
      </c>
      <c r="E254" s="55">
        <v>244.58</v>
      </c>
      <c r="F254" s="55">
        <v>4470751</v>
      </c>
      <c r="G254" s="55" t="s">
        <v>277</v>
      </c>
      <c r="H254" s="25">
        <f t="shared" si="3"/>
        <v>-2.2364870390056413E-2</v>
      </c>
      <c r="J254" s="56">
        <v>-1.900000000000001E-2</v>
      </c>
      <c r="K254">
        <v>8</v>
      </c>
      <c r="M254" s="54">
        <f t="shared" si="1"/>
        <v>-2.0000000000000011E-2</v>
      </c>
      <c r="N254" s="1">
        <f t="shared" si="2"/>
        <v>12.387463383816836</v>
      </c>
    </row>
    <row r="255" spans="2:14" ht="15">
      <c r="B255" s="55">
        <v>247.03</v>
      </c>
      <c r="C255" s="55">
        <v>251.8</v>
      </c>
      <c r="D255" s="55">
        <v>246.56</v>
      </c>
      <c r="E255" s="55">
        <v>251.8</v>
      </c>
      <c r="F255" s="55">
        <v>4165243</v>
      </c>
      <c r="G255" s="55" t="s">
        <v>278</v>
      </c>
      <c r="H255" s="25">
        <f t="shared" si="3"/>
        <v>-1.8943606036536997E-2</v>
      </c>
      <c r="J255" s="56">
        <v>-1.8000000000000009E-2</v>
      </c>
      <c r="K255">
        <v>19</v>
      </c>
      <c r="M255" s="54">
        <f t="shared" si="1"/>
        <v>-1.900000000000001E-2</v>
      </c>
      <c r="N255" s="1">
        <f t="shared" si="2"/>
        <v>13.007264174040973</v>
      </c>
    </row>
    <row r="256" spans="2:14" ht="15">
      <c r="B256" s="55">
        <v>252.28</v>
      </c>
      <c r="C256" s="55">
        <v>261.3</v>
      </c>
      <c r="D256" s="55">
        <v>251.52</v>
      </c>
      <c r="E256" s="55">
        <v>260.86</v>
      </c>
      <c r="F256" s="55">
        <v>4461759</v>
      </c>
      <c r="G256" s="55" t="s">
        <v>279</v>
      </c>
      <c r="H256" s="25">
        <f t="shared" si="3"/>
        <v>-3.2891206010887131E-2</v>
      </c>
      <c r="J256" s="56">
        <v>-1.7000000000000008E-2</v>
      </c>
      <c r="K256">
        <v>18</v>
      </c>
      <c r="M256" s="54">
        <f t="shared" si="1"/>
        <v>-1.8000000000000009E-2</v>
      </c>
      <c r="N256" s="1">
        <f t="shared" si="2"/>
        <v>13.623082689019579</v>
      </c>
    </row>
    <row r="257" spans="2:14" ht="15">
      <c r="B257" s="55">
        <v>258.5</v>
      </c>
      <c r="C257" s="55">
        <v>262.16000000000003</v>
      </c>
      <c r="D257" s="55">
        <v>257.39999999999998</v>
      </c>
      <c r="E257" s="55">
        <v>260</v>
      </c>
      <c r="F257" s="55">
        <v>3863492</v>
      </c>
      <c r="G257" s="55" t="s">
        <v>280</v>
      </c>
      <c r="H257" s="25">
        <f t="shared" si="3"/>
        <v>-5.7692307692307487E-3</v>
      </c>
      <c r="J257" s="56">
        <v>-1.6000000000000007E-2</v>
      </c>
      <c r="K257">
        <v>12</v>
      </c>
      <c r="M257" s="54">
        <f t="shared" si="1"/>
        <v>-1.7000000000000008E-2</v>
      </c>
      <c r="N257" s="1">
        <f t="shared" si="2"/>
        <v>14.23150008215503</v>
      </c>
    </row>
    <row r="258" spans="2:14" ht="15">
      <c r="B258" s="55">
        <v>259.04000000000002</v>
      </c>
      <c r="C258" s="55">
        <v>266.95</v>
      </c>
      <c r="D258" s="55">
        <v>259</v>
      </c>
      <c r="E258" s="55">
        <v>266.53500000000003</v>
      </c>
      <c r="F258" s="55">
        <v>5352191</v>
      </c>
      <c r="G258" s="55" t="s">
        <v>281</v>
      </c>
      <c r="H258" s="25">
        <f t="shared" si="3"/>
        <v>-2.8120134316318657E-2</v>
      </c>
      <c r="J258" s="56">
        <v>-1.5000000000000006E-2</v>
      </c>
      <c r="K258">
        <v>18</v>
      </c>
      <c r="M258" s="54">
        <f t="shared" si="1"/>
        <v>-1.6000000000000007E-2</v>
      </c>
      <c r="N258" s="1">
        <f t="shared" si="2"/>
        <v>14.828998510688047</v>
      </c>
    </row>
    <row r="259" spans="2:14" ht="15">
      <c r="B259" s="55">
        <v>265.27</v>
      </c>
      <c r="C259" s="55">
        <v>275.60000000000002</v>
      </c>
      <c r="D259" s="55">
        <v>262.08999999999997</v>
      </c>
      <c r="E259" s="55">
        <v>271.18</v>
      </c>
      <c r="F259" s="55">
        <v>16050029</v>
      </c>
      <c r="G259" s="55" t="s">
        <v>282</v>
      </c>
      <c r="H259" s="25">
        <f t="shared" si="3"/>
        <v>-2.1793642599011842E-2</v>
      </c>
      <c r="J259" s="56">
        <v>-1.4000000000000005E-2</v>
      </c>
      <c r="K259">
        <v>13</v>
      </c>
      <c r="M259" s="54">
        <f t="shared" si="1"/>
        <v>-1.5000000000000006E-2</v>
      </c>
      <c r="N259" s="1">
        <f t="shared" si="2"/>
        <v>15.4119935458511</v>
      </c>
    </row>
    <row r="260" spans="2:14" ht="15">
      <c r="B260" s="55">
        <v>330.78</v>
      </c>
      <c r="C260" s="55">
        <v>338.49</v>
      </c>
      <c r="D260" s="55">
        <v>329.59500000000003</v>
      </c>
      <c r="E260" s="55">
        <v>335.11</v>
      </c>
      <c r="F260" s="55">
        <v>3743962</v>
      </c>
      <c r="G260" s="55" t="s">
        <v>283</v>
      </c>
      <c r="H260" s="25">
        <f t="shared" si="3"/>
        <v>-1.2921130375100787E-2</v>
      </c>
      <c r="J260" s="56">
        <v>-1.3000000000000005E-2</v>
      </c>
      <c r="K260">
        <v>21</v>
      </c>
      <c r="M260" s="54">
        <f t="shared" si="1"/>
        <v>-1.4000000000000005E-2</v>
      </c>
      <c r="N260" s="1">
        <f t="shared" si="2"/>
        <v>15.976868855955829</v>
      </c>
    </row>
    <row r="261" spans="2:14" ht="15">
      <c r="B261" s="55">
        <v>335.19</v>
      </c>
      <c r="C261" s="55">
        <v>339.15</v>
      </c>
      <c r="D261" s="55">
        <v>333.38499999999999</v>
      </c>
      <c r="E261" s="55">
        <v>333.53</v>
      </c>
      <c r="F261" s="55">
        <v>2278330</v>
      </c>
      <c r="G261" s="55" t="s">
        <v>284</v>
      </c>
      <c r="H261" s="25">
        <f t="shared" si="3"/>
        <v>4.977063532515924E-3</v>
      </c>
      <c r="J261" s="56">
        <v>-1.2000000000000004E-2</v>
      </c>
      <c r="K261">
        <v>32</v>
      </c>
      <c r="M261" s="54">
        <f t="shared" si="1"/>
        <v>-1.3000000000000005E-2</v>
      </c>
      <c r="N261" s="1">
        <f t="shared" si="2"/>
        <v>16.520012714253923</v>
      </c>
    </row>
    <row r="262" spans="2:14" ht="15">
      <c r="B262" s="55">
        <v>334.91</v>
      </c>
      <c r="C262" s="55">
        <v>340.25</v>
      </c>
      <c r="D262" s="55">
        <v>324.70999999999998</v>
      </c>
      <c r="E262" s="55">
        <v>328.55</v>
      </c>
      <c r="F262" s="55">
        <v>3241124</v>
      </c>
      <c r="G262" s="55" t="s">
        <v>285</v>
      </c>
      <c r="H262" s="25">
        <f t="shared" si="3"/>
        <v>1.9357784203317685E-2</v>
      </c>
      <c r="J262" s="56">
        <v>-1.1000000000000003E-2</v>
      </c>
      <c r="K262">
        <v>19</v>
      </c>
      <c r="M262" s="54">
        <f t="shared" si="1"/>
        <v>-1.2000000000000004E-2</v>
      </c>
      <c r="N262" s="1">
        <f t="shared" si="2"/>
        <v>17.03785583189903</v>
      </c>
    </row>
    <row r="263" spans="2:14" ht="15">
      <c r="B263" s="55">
        <v>322.95</v>
      </c>
      <c r="C263" s="55">
        <v>323.5</v>
      </c>
      <c r="D263" s="55">
        <v>313.14</v>
      </c>
      <c r="E263" s="55">
        <v>315.13</v>
      </c>
      <c r="F263" s="55">
        <v>1800665</v>
      </c>
      <c r="G263" s="55" t="s">
        <v>286</v>
      </c>
      <c r="H263" s="25">
        <f t="shared" si="3"/>
        <v>2.4815155650049103E-2</v>
      </c>
      <c r="J263" s="56">
        <v>-1.0000000000000002E-2</v>
      </c>
      <c r="K263">
        <v>26</v>
      </c>
      <c r="M263" s="54">
        <f t="shared" si="1"/>
        <v>-1.1000000000000003E-2</v>
      </c>
      <c r="N263" s="1">
        <f t="shared" si="2"/>
        <v>17.526909973220349</v>
      </c>
    </row>
    <row r="264" spans="2:14" ht="15">
      <c r="B264" s="55">
        <v>316.67</v>
      </c>
      <c r="C264" s="55">
        <v>317.74</v>
      </c>
      <c r="D264" s="55">
        <v>311.32</v>
      </c>
      <c r="E264" s="55">
        <v>314.37</v>
      </c>
      <c r="F264" s="55">
        <v>3648082</v>
      </c>
      <c r="G264" s="55" t="s">
        <v>287</v>
      </c>
      <c r="H264" s="25">
        <f t="shared" si="3"/>
        <v>7.3162197410694407E-3</v>
      </c>
      <c r="J264" s="56">
        <v>-9.0000000000000011E-3</v>
      </c>
      <c r="K264">
        <v>17</v>
      </c>
      <c r="M264" s="54">
        <f t="shared" si="1"/>
        <v>-1.0000000000000002E-2</v>
      </c>
      <c r="N264" s="1">
        <f t="shared" si="2"/>
        <v>17.983806777125967</v>
      </c>
    </row>
    <row r="265" spans="2:14" ht="15">
      <c r="B265" s="55">
        <v>317.08999999999997</v>
      </c>
      <c r="C265" s="55">
        <v>322.93939999999998</v>
      </c>
      <c r="D265" s="55">
        <v>316.05</v>
      </c>
      <c r="E265" s="55">
        <v>321.32</v>
      </c>
      <c r="F265" s="55">
        <v>2601988</v>
      </c>
      <c r="G265" s="55" t="s">
        <v>288</v>
      </c>
      <c r="H265" s="25">
        <f t="shared" si="3"/>
        <v>-1.3164446657537687E-2</v>
      </c>
      <c r="J265" s="56">
        <v>-8.0000000000000002E-3</v>
      </c>
      <c r="K265">
        <v>26</v>
      </c>
      <c r="M265" s="54">
        <f t="shared" si="1"/>
        <v>-9.0000000000000011E-3</v>
      </c>
      <c r="N265" s="1">
        <f t="shared" si="2"/>
        <v>18.40533618590867</v>
      </c>
    </row>
    <row r="266" spans="2:14" ht="15">
      <c r="B266" s="55">
        <v>315.745</v>
      </c>
      <c r="C266" s="55">
        <v>321.33499999999998</v>
      </c>
      <c r="D266" s="55">
        <v>315.68</v>
      </c>
      <c r="E266" s="55">
        <v>321.2</v>
      </c>
      <c r="F266" s="55">
        <v>1926205</v>
      </c>
      <c r="G266" s="55" t="s">
        <v>289</v>
      </c>
      <c r="H266" s="25">
        <f t="shared" si="3"/>
        <v>-1.6983188044831787E-2</v>
      </c>
      <c r="J266" s="56">
        <v>-7.0000000000000001E-3</v>
      </c>
      <c r="K266">
        <v>26</v>
      </c>
      <c r="M266" s="54">
        <f t="shared" si="1"/>
        <v>-8.0000000000000002E-3</v>
      </c>
      <c r="N266" s="1">
        <f t="shared" si="2"/>
        <v>18.788483871910493</v>
      </c>
    </row>
    <row r="267" spans="2:14" ht="15">
      <c r="B267" s="55">
        <v>321.2</v>
      </c>
      <c r="C267" s="55">
        <v>322</v>
      </c>
      <c r="D267" s="55">
        <v>312.77</v>
      </c>
      <c r="E267" s="55">
        <v>315</v>
      </c>
      <c r="F267" s="55">
        <v>2189900</v>
      </c>
      <c r="G267" s="55" t="s">
        <v>290</v>
      </c>
      <c r="H267" s="25">
        <f t="shared" si="3"/>
        <v>1.9682539682539746E-2</v>
      </c>
      <c r="J267" s="56">
        <v>-6.0000000000000001E-3</v>
      </c>
      <c r="K267">
        <v>17</v>
      </c>
      <c r="M267" s="54">
        <f t="shared" si="1"/>
        <v>-7.0000000000000001E-3</v>
      </c>
      <c r="N267" s="1">
        <f t="shared" si="2"/>
        <v>19.130467054017963</v>
      </c>
    </row>
    <row r="268" spans="2:14" ht="15">
      <c r="B268" s="55">
        <v>310.76</v>
      </c>
      <c r="C268" s="55">
        <v>315.39999999999998</v>
      </c>
      <c r="D268" s="55">
        <v>309.79000000000002</v>
      </c>
      <c r="E268" s="55">
        <v>312.52999999999997</v>
      </c>
      <c r="F268" s="55">
        <v>1990074</v>
      </c>
      <c r="G268" s="55" t="s">
        <v>291</v>
      </c>
      <c r="H268" s="25">
        <f t="shared" si="3"/>
        <v>-5.6634563081943146E-3</v>
      </c>
      <c r="J268" s="56">
        <v>-5.0000000000000001E-3</v>
      </c>
      <c r="K268">
        <v>22</v>
      </c>
      <c r="M268" s="54">
        <f t="shared" si="1"/>
        <v>-6.0000000000000001E-3</v>
      </c>
      <c r="N268" s="1">
        <f t="shared" si="2"/>
        <v>19.428768110109683</v>
      </c>
    </row>
    <row r="269" spans="2:14" ht="15">
      <c r="B269" s="55">
        <v>320.45999999999998</v>
      </c>
      <c r="C269" s="55">
        <v>321.83</v>
      </c>
      <c r="D269" s="55">
        <v>317.23</v>
      </c>
      <c r="E269" s="55">
        <v>320.5</v>
      </c>
      <c r="F269" s="55">
        <v>1344798</v>
      </c>
      <c r="G269" s="55" t="s">
        <v>292</v>
      </c>
      <c r="H269" s="25">
        <f t="shared" si="3"/>
        <v>-1.2480499219980068E-4</v>
      </c>
      <c r="J269" s="56">
        <v>-4.0000000000000001E-3</v>
      </c>
      <c r="K269">
        <v>35</v>
      </c>
      <c r="M269" s="54">
        <f t="shared" si="1"/>
        <v>-5.0000000000000001E-3</v>
      </c>
      <c r="N269" s="1">
        <f t="shared" si="2"/>
        <v>19.681165418344563</v>
      </c>
    </row>
    <row r="270" spans="2:14" ht="15">
      <c r="B270" s="55">
        <v>317.56</v>
      </c>
      <c r="C270" s="55">
        <v>326.43</v>
      </c>
      <c r="D270" s="55">
        <v>317.36</v>
      </c>
      <c r="E270" s="55">
        <v>322.11</v>
      </c>
      <c r="F270" s="55">
        <v>1323310</v>
      </c>
      <c r="G270" s="55" t="s">
        <v>293</v>
      </c>
      <c r="H270" s="25">
        <f t="shared" si="3"/>
        <v>-1.4125609263916039E-2</v>
      </c>
      <c r="J270" s="56">
        <v>-3.0000000000000001E-3</v>
      </c>
      <c r="K270">
        <v>32</v>
      </c>
      <c r="M270" s="54">
        <f t="shared" si="1"/>
        <v>-4.0000000000000001E-3</v>
      </c>
      <c r="N270" s="1">
        <f t="shared" si="2"/>
        <v>19.885760899218582</v>
      </c>
    </row>
    <row r="271" spans="2:14" ht="15">
      <c r="B271" s="55">
        <v>327.17</v>
      </c>
      <c r="C271" s="55">
        <v>330.49</v>
      </c>
      <c r="D271" s="55">
        <v>322.51</v>
      </c>
      <c r="E271" s="55">
        <v>323.2</v>
      </c>
      <c r="F271" s="55">
        <v>1378840</v>
      </c>
      <c r="G271" s="55" t="s">
        <v>294</v>
      </c>
      <c r="H271" s="25">
        <f t="shared" si="3"/>
        <v>1.2283415841584322E-2</v>
      </c>
      <c r="J271" s="56">
        <v>-2E-3</v>
      </c>
      <c r="K271">
        <v>38</v>
      </c>
      <c r="M271" s="54">
        <f t="shared" si="1"/>
        <v>-3.0000000000000001E-3</v>
      </c>
      <c r="N271" s="1">
        <f t="shared" si="2"/>
        <v>20.041003780963493</v>
      </c>
    </row>
    <row r="272" spans="2:14" ht="15">
      <c r="B272" s="55">
        <v>323.7</v>
      </c>
      <c r="C272" s="55">
        <v>326.73</v>
      </c>
      <c r="D272" s="55">
        <v>316</v>
      </c>
      <c r="E272" s="55">
        <v>316.26</v>
      </c>
      <c r="F272" s="55">
        <v>1701501</v>
      </c>
      <c r="G272" s="55" t="s">
        <v>295</v>
      </c>
      <c r="H272" s="25">
        <f t="shared" si="3"/>
        <v>2.352494782773662E-2</v>
      </c>
      <c r="J272" s="56">
        <v>-1E-3</v>
      </c>
      <c r="K272">
        <v>23</v>
      </c>
      <c r="M272" s="54">
        <f>M273-0.001</f>
        <v>-2E-3</v>
      </c>
      <c r="N272" s="1">
        <f t="shared" si="2"/>
        <v>20.145710172133175</v>
      </c>
    </row>
    <row r="273" spans="2:14" ht="15">
      <c r="B273" s="55">
        <v>321.44</v>
      </c>
      <c r="C273" s="55">
        <v>325.44</v>
      </c>
      <c r="D273" s="55">
        <v>317.33</v>
      </c>
      <c r="E273" s="55">
        <v>320</v>
      </c>
      <c r="F273" s="55">
        <v>1277499</v>
      </c>
      <c r="G273" s="55" t="s">
        <v>296</v>
      </c>
      <c r="H273" s="25">
        <f t="shared" si="3"/>
        <v>4.4999999999999485E-3</v>
      </c>
      <c r="J273" s="56">
        <v>0</v>
      </c>
      <c r="K273">
        <v>31</v>
      </c>
      <c r="M273" s="54">
        <f>M274-0.001</f>
        <v>-1E-3</v>
      </c>
      <c r="N273" s="1">
        <f t="shared" si="2"/>
        <v>20.199078095855381</v>
      </c>
    </row>
    <row r="274" spans="2:14" ht="15">
      <c r="B274" s="55">
        <v>318.95999999999998</v>
      </c>
      <c r="C274" s="55">
        <v>319.41000000000003</v>
      </c>
      <c r="D274" s="55">
        <v>312.35000000000002</v>
      </c>
      <c r="E274" s="55">
        <v>313.86</v>
      </c>
      <c r="F274" s="55">
        <v>1176278</v>
      </c>
      <c r="G274" s="55" t="s">
        <v>297</v>
      </c>
      <c r="H274" s="25">
        <f t="shared" si="3"/>
        <v>1.6249283119862179E-2</v>
      </c>
      <c r="J274" s="56">
        <v>1E-3</v>
      </c>
      <c r="K274">
        <v>25</v>
      </c>
      <c r="M274" s="54">
        <v>0</v>
      </c>
      <c r="N274" s="1">
        <f t="shared" si="2"/>
        <v>20.200697718693821</v>
      </c>
    </row>
    <row r="275" spans="2:14" ht="15">
      <c r="B275" s="55">
        <v>315.83999999999997</v>
      </c>
      <c r="C275" s="55">
        <v>319.07380000000001</v>
      </c>
      <c r="D275" s="55">
        <v>309.81</v>
      </c>
      <c r="E275" s="55">
        <v>310.77999999999997</v>
      </c>
      <c r="F275" s="55">
        <v>1574299</v>
      </c>
      <c r="G275" s="55" t="s">
        <v>298</v>
      </c>
      <c r="H275" s="25">
        <f t="shared" si="3"/>
        <v>1.6281614003475164E-2</v>
      </c>
      <c r="J275" s="56">
        <v>2E-3</v>
      </c>
      <c r="K275">
        <v>28</v>
      </c>
      <c r="M275" s="25">
        <f>M274+0.001</f>
        <v>1E-3</v>
      </c>
      <c r="N275" s="1">
        <f t="shared" si="2"/>
        <v>20.15055659162627</v>
      </c>
    </row>
    <row r="276" spans="2:14" ht="15">
      <c r="B276" s="55">
        <v>310.61</v>
      </c>
      <c r="C276" s="55">
        <v>311.83999999999997</v>
      </c>
      <c r="D276" s="55">
        <v>304.87</v>
      </c>
      <c r="E276" s="55">
        <v>308.72000000000003</v>
      </c>
      <c r="F276" s="55">
        <v>1643690</v>
      </c>
      <c r="G276" s="55" t="s">
        <v>299</v>
      </c>
      <c r="H276" s="25">
        <f t="shared" si="3"/>
        <v>6.1220523451670505E-3</v>
      </c>
      <c r="J276" s="56">
        <v>3.0000000000000001E-3</v>
      </c>
      <c r="K276">
        <v>35</v>
      </c>
      <c r="M276" s="25">
        <f>M275+0.001</f>
        <v>2E-3</v>
      </c>
      <c r="N276" s="1">
        <f t="shared" ref="N276:N337" si="4">_xlfn.NORM.DIST(M276,$L$202,$L$204,FALSE)</f>
        <v>20.049039809388038</v>
      </c>
    </row>
    <row r="277" spans="2:14" ht="15">
      <c r="B277" s="55">
        <v>304.2</v>
      </c>
      <c r="C277" s="55">
        <v>309.82</v>
      </c>
      <c r="D277" s="55">
        <v>297.97500000000002</v>
      </c>
      <c r="E277" s="55">
        <v>297.97500000000002</v>
      </c>
      <c r="F277" s="55">
        <v>2531655</v>
      </c>
      <c r="G277" s="55" t="s">
        <v>300</v>
      </c>
      <c r="H277" s="25">
        <f t="shared" si="3"/>
        <v>2.0891014346841041E-2</v>
      </c>
      <c r="J277" s="56">
        <v>4.0000000000000001E-3</v>
      </c>
      <c r="K277">
        <v>29</v>
      </c>
      <c r="M277" s="25">
        <f>M276+0.001</f>
        <v>3.0000000000000001E-3</v>
      </c>
      <c r="N277" s="1">
        <f t="shared" si="4"/>
        <v>19.896925085327876</v>
      </c>
    </row>
    <row r="278" spans="2:14" ht="15">
      <c r="B278" s="55">
        <v>279.77</v>
      </c>
      <c r="C278" s="55">
        <v>284</v>
      </c>
      <c r="D278" s="55">
        <v>279.58</v>
      </c>
      <c r="E278" s="55">
        <v>283.26</v>
      </c>
      <c r="F278" s="55">
        <v>1680324</v>
      </c>
      <c r="G278" s="55" t="s">
        <v>301</v>
      </c>
      <c r="H278" s="25">
        <f t="shared" si="3"/>
        <v>-1.2320835981077471E-2</v>
      </c>
      <c r="J278" s="56">
        <v>5.0000000000000001E-3</v>
      </c>
      <c r="K278">
        <v>31</v>
      </c>
      <c r="M278" s="25">
        <f t="shared" ref="M278:M337" si="5">M277+0.001</f>
        <v>4.0000000000000001E-3</v>
      </c>
      <c r="N278" s="1">
        <f t="shared" si="4"/>
        <v>19.695372829886775</v>
      </c>
    </row>
    <row r="279" spans="2:14" ht="15">
      <c r="B279" s="55">
        <v>282.43</v>
      </c>
      <c r="C279" s="55">
        <v>286.26</v>
      </c>
      <c r="D279" s="55">
        <v>277.38</v>
      </c>
      <c r="E279" s="55">
        <v>279.8</v>
      </c>
      <c r="F279" s="55">
        <v>1483869</v>
      </c>
      <c r="G279" s="55" t="s">
        <v>302</v>
      </c>
      <c r="H279" s="25">
        <f t="shared" si="3"/>
        <v>9.3995711222301104E-3</v>
      </c>
      <c r="J279" s="56">
        <v>6.0000000000000001E-3</v>
      </c>
      <c r="K279">
        <v>26</v>
      </c>
      <c r="M279" s="25">
        <f t="shared" si="5"/>
        <v>5.0000000000000001E-3</v>
      </c>
      <c r="N279" s="1">
        <f t="shared" si="4"/>
        <v>19.445911409748678</v>
      </c>
    </row>
    <row r="280" spans="2:14" ht="15">
      <c r="B280" s="55">
        <v>275.69</v>
      </c>
      <c r="C280" s="55">
        <v>277.13</v>
      </c>
      <c r="D280" s="55">
        <v>271.92</v>
      </c>
      <c r="E280" s="55">
        <v>273.52</v>
      </c>
      <c r="F280" s="55">
        <v>1120818</v>
      </c>
      <c r="G280" s="55" t="s">
        <v>303</v>
      </c>
      <c r="H280" s="25">
        <f t="shared" si="3"/>
        <v>7.9336063176367322E-3</v>
      </c>
      <c r="J280" s="56">
        <v>7.0000000000000001E-3</v>
      </c>
      <c r="K280">
        <v>31</v>
      </c>
      <c r="M280" s="25">
        <f t="shared" si="5"/>
        <v>6.0000000000000001E-3</v>
      </c>
      <c r="N280" s="1">
        <f t="shared" si="4"/>
        <v>19.150417849591925</v>
      </c>
    </row>
    <row r="281" spans="2:14" ht="15">
      <c r="B281" s="55">
        <v>270.8</v>
      </c>
      <c r="C281" s="55">
        <v>275.05</v>
      </c>
      <c r="D281" s="55">
        <v>269.57</v>
      </c>
      <c r="E281" s="55">
        <v>274.2</v>
      </c>
      <c r="F281" s="55">
        <v>1141672</v>
      </c>
      <c r="G281" s="55" t="s">
        <v>304</v>
      </c>
      <c r="H281" s="25">
        <f t="shared" si="3"/>
        <v>-1.2399708242158969E-2</v>
      </c>
      <c r="J281" s="56">
        <v>8.0000000000000002E-3</v>
      </c>
      <c r="K281">
        <v>26</v>
      </c>
      <c r="M281" s="25">
        <f t="shared" si="5"/>
        <v>7.0000000000000001E-3</v>
      </c>
      <c r="N281" s="1">
        <f t="shared" si="4"/>
        <v>18.811094317271351</v>
      </c>
    </row>
    <row r="282" spans="2:14" ht="15">
      <c r="B282" s="55">
        <v>278.55</v>
      </c>
      <c r="C282" s="55">
        <v>281.44</v>
      </c>
      <c r="D282" s="55">
        <v>276.14999999999998</v>
      </c>
      <c r="E282" s="55">
        <v>276.42</v>
      </c>
      <c r="F282" s="55">
        <v>1330101</v>
      </c>
      <c r="G282" s="55" t="s">
        <v>305</v>
      </c>
      <c r="H282" s="25">
        <f t="shared" si="3"/>
        <v>7.7056652919469393E-3</v>
      </c>
      <c r="J282" s="56">
        <v>9.0000000000000011E-3</v>
      </c>
      <c r="K282">
        <v>33</v>
      </c>
      <c r="M282" s="25">
        <f t="shared" si="5"/>
        <v>8.0000000000000002E-3</v>
      </c>
      <c r="N282" s="1">
        <f t="shared" si="4"/>
        <v>18.430440804429828</v>
      </c>
    </row>
    <row r="283" spans="2:14" ht="15">
      <c r="B283" s="55">
        <v>277.36</v>
      </c>
      <c r="C283" s="55">
        <v>279.435</v>
      </c>
      <c r="D283" s="55">
        <v>272.81</v>
      </c>
      <c r="E283" s="55">
        <v>273.93</v>
      </c>
      <c r="F283" s="55">
        <v>1811383</v>
      </c>
      <c r="G283" s="55" t="s">
        <v>306</v>
      </c>
      <c r="H283" s="25">
        <f t="shared" si="3"/>
        <v>1.2521447085021675E-2</v>
      </c>
      <c r="J283" s="56">
        <v>1.0000000000000002E-2</v>
      </c>
      <c r="K283">
        <v>24</v>
      </c>
      <c r="M283" s="25">
        <f t="shared" si="5"/>
        <v>9.0000000000000011E-3</v>
      </c>
      <c r="N283" s="1">
        <f t="shared" si="4"/>
        <v>18.011224476435494</v>
      </c>
    </row>
    <row r="284" spans="2:14" ht="15">
      <c r="B284" s="55">
        <v>268.60000000000002</v>
      </c>
      <c r="C284" s="55">
        <v>274.33499999999998</v>
      </c>
      <c r="D284" s="55">
        <v>268.36</v>
      </c>
      <c r="E284" s="55">
        <v>271.33999999999997</v>
      </c>
      <c r="F284" s="55">
        <v>1227779</v>
      </c>
      <c r="G284" s="55" t="s">
        <v>307</v>
      </c>
      <c r="H284" s="25">
        <f t="shared" si="3"/>
        <v>-1.0098031989385858E-2</v>
      </c>
      <c r="J284" s="56">
        <v>1.1000000000000003E-2</v>
      </c>
      <c r="K284">
        <v>18</v>
      </c>
      <c r="M284" s="25">
        <f t="shared" si="5"/>
        <v>1.0000000000000002E-2</v>
      </c>
      <c r="N284" s="1">
        <f t="shared" si="4"/>
        <v>17.556446216882382</v>
      </c>
    </row>
    <row r="285" spans="2:14" ht="15">
      <c r="B285" s="55">
        <v>270.77</v>
      </c>
      <c r="C285" s="55">
        <v>271.26499999999999</v>
      </c>
      <c r="D285" s="55">
        <v>259.33</v>
      </c>
      <c r="E285" s="55">
        <v>265.70499999999998</v>
      </c>
      <c r="F285" s="55">
        <v>2015598</v>
      </c>
      <c r="G285" s="55" t="s">
        <v>308</v>
      </c>
      <c r="H285" s="25">
        <f t="shared" si="3"/>
        <v>1.9062494119418183E-2</v>
      </c>
      <c r="J285" s="56">
        <v>1.2000000000000004E-2</v>
      </c>
      <c r="K285">
        <v>30</v>
      </c>
      <c r="M285" s="25">
        <f t="shared" si="5"/>
        <v>1.1000000000000003E-2</v>
      </c>
      <c r="N285" s="1">
        <f t="shared" si="4"/>
        <v>17.069304931680232</v>
      </c>
    </row>
    <row r="286" spans="2:14" ht="15">
      <c r="B286" s="55">
        <v>271.27</v>
      </c>
      <c r="C286" s="55">
        <v>272</v>
      </c>
      <c r="D286" s="55">
        <v>266.06</v>
      </c>
      <c r="E286" s="55">
        <v>267.95999999999998</v>
      </c>
      <c r="F286" s="55">
        <v>1533760</v>
      </c>
      <c r="G286" s="55" t="s">
        <v>309</v>
      </c>
      <c r="H286" s="25">
        <f t="shared" si="3"/>
        <v>1.2352589938796843E-2</v>
      </c>
      <c r="J286" s="56">
        <v>1.3000000000000005E-2</v>
      </c>
      <c r="K286">
        <v>21</v>
      </c>
      <c r="M286" s="25">
        <f t="shared" si="5"/>
        <v>1.2000000000000004E-2</v>
      </c>
      <c r="N286" s="1">
        <f t="shared" si="4"/>
        <v>16.553160205306309</v>
      </c>
    </row>
    <row r="287" spans="2:14" ht="15">
      <c r="B287" s="55">
        <v>268.52</v>
      </c>
      <c r="C287" s="55">
        <v>270.70999999999998</v>
      </c>
      <c r="D287" s="55">
        <v>265.85000000000002</v>
      </c>
      <c r="E287" s="55">
        <v>268.33999999999997</v>
      </c>
      <c r="F287" s="55">
        <v>1412560</v>
      </c>
      <c r="G287" s="55" t="s">
        <v>310</v>
      </c>
      <c r="H287" s="25">
        <f t="shared" si="3"/>
        <v>6.7079078780651891E-4</v>
      </c>
      <c r="J287" s="56">
        <v>1.4000000000000005E-2</v>
      </c>
      <c r="K287">
        <v>14</v>
      </c>
      <c r="M287" s="25">
        <f t="shared" si="5"/>
        <v>1.3000000000000005E-2</v>
      </c>
      <c r="N287" s="1">
        <f t="shared" si="4"/>
        <v>16.011493916734615</v>
      </c>
    </row>
    <row r="288" spans="2:14" ht="15">
      <c r="B288" s="55">
        <v>267.89999999999998</v>
      </c>
      <c r="C288" s="55">
        <v>269.63</v>
      </c>
      <c r="D288" s="55">
        <v>265.48</v>
      </c>
      <c r="E288" s="55">
        <v>267.95</v>
      </c>
      <c r="F288" s="55">
        <v>1422951</v>
      </c>
      <c r="G288" s="55" t="s">
        <v>311</v>
      </c>
      <c r="H288" s="25">
        <f t="shared" si="3"/>
        <v>-1.8660197798103795E-4</v>
      </c>
      <c r="J288" s="56">
        <v>1.5000000000000006E-2</v>
      </c>
      <c r="K288">
        <v>19</v>
      </c>
      <c r="M288" s="25">
        <f t="shared" si="5"/>
        <v>1.4000000000000005E-2</v>
      </c>
      <c r="N288" s="1">
        <f t="shared" si="4"/>
        <v>15.447871424857404</v>
      </c>
    </row>
    <row r="289" spans="2:14" ht="15">
      <c r="B289" s="55">
        <v>270.64</v>
      </c>
      <c r="C289" s="55">
        <v>272</v>
      </c>
      <c r="D289" s="55">
        <v>261.26</v>
      </c>
      <c r="E289" s="55">
        <v>267.82</v>
      </c>
      <c r="F289" s="55">
        <v>1283264</v>
      </c>
      <c r="G289" s="55" t="s">
        <v>312</v>
      </c>
      <c r="H289" s="25">
        <f t="shared" si="3"/>
        <v>1.0529460085131781E-2</v>
      </c>
      <c r="J289" s="56">
        <v>1.6000000000000007E-2</v>
      </c>
      <c r="K289">
        <v>17</v>
      </c>
      <c r="M289" s="25">
        <f t="shared" si="5"/>
        <v>1.5000000000000006E-2</v>
      </c>
      <c r="N289" s="1">
        <f t="shared" si="4"/>
        <v>14.865902923153744</v>
      </c>
    </row>
    <row r="290" spans="2:14" ht="15">
      <c r="B290" s="55">
        <v>265.85000000000002</v>
      </c>
      <c r="C290" s="55">
        <v>277.3</v>
      </c>
      <c r="D290" s="55">
        <v>263.67770000000002</v>
      </c>
      <c r="E290" s="55">
        <v>271.8</v>
      </c>
      <c r="F290" s="55">
        <v>1808474</v>
      </c>
      <c r="G290" s="55" t="s">
        <v>313</v>
      </c>
      <c r="H290" s="25">
        <f t="shared" si="3"/>
        <v>-2.1891096394407561E-2</v>
      </c>
      <c r="J290" s="56">
        <v>1.7000000000000008E-2</v>
      </c>
      <c r="K290">
        <v>13</v>
      </c>
      <c r="M290" s="25">
        <f t="shared" si="5"/>
        <v>1.6000000000000007E-2</v>
      </c>
      <c r="N290" s="1">
        <f t="shared" si="4"/>
        <v>14.269205541524732</v>
      </c>
    </row>
    <row r="291" spans="2:14" ht="15">
      <c r="B291" s="55">
        <v>261.70999999999998</v>
      </c>
      <c r="C291" s="55">
        <v>267.10000000000002</v>
      </c>
      <c r="D291" s="55">
        <v>257.12</v>
      </c>
      <c r="E291" s="55">
        <v>257.12</v>
      </c>
      <c r="F291" s="55">
        <v>2133712</v>
      </c>
      <c r="G291" s="55" t="s">
        <v>314</v>
      </c>
      <c r="H291" s="25">
        <f t="shared" si="3"/>
        <v>1.7851586807716036E-2</v>
      </c>
      <c r="J291" s="56">
        <v>1.8000000000000009E-2</v>
      </c>
      <c r="K291">
        <v>8</v>
      </c>
      <c r="M291" s="25">
        <f t="shared" si="5"/>
        <v>1.7000000000000008E-2</v>
      </c>
      <c r="N291" s="1">
        <f t="shared" si="4"/>
        <v>13.661366740469589</v>
      </c>
    </row>
    <row r="292" spans="2:14" ht="15">
      <c r="B292" s="55">
        <v>253.91</v>
      </c>
      <c r="C292" s="55">
        <v>254.03</v>
      </c>
      <c r="D292" s="55">
        <v>245.595</v>
      </c>
      <c r="E292" s="55">
        <v>249.34</v>
      </c>
      <c r="F292" s="55">
        <v>1559541</v>
      </c>
      <c r="G292" s="55" t="s">
        <v>315</v>
      </c>
      <c r="H292" s="25">
        <f t="shared" si="3"/>
        <v>1.832838694152561E-2</v>
      </c>
      <c r="J292" s="56">
        <v>1.900000000000001E-2</v>
      </c>
      <c r="K292">
        <v>14</v>
      </c>
      <c r="M292" s="25">
        <f t="shared" si="5"/>
        <v>1.8000000000000009E-2</v>
      </c>
      <c r="N292" s="1">
        <f t="shared" si="4"/>
        <v>13.045909500230978</v>
      </c>
    </row>
    <row r="293" spans="2:14" ht="15">
      <c r="B293" s="55">
        <v>251.08</v>
      </c>
      <c r="C293" s="55">
        <v>252.23</v>
      </c>
      <c r="D293" s="55">
        <v>248</v>
      </c>
      <c r="E293" s="55">
        <v>249.35</v>
      </c>
      <c r="F293" s="55">
        <v>1600822</v>
      </c>
      <c r="G293" s="55" t="s">
        <v>316</v>
      </c>
      <c r="H293" s="25">
        <f t="shared" si="3"/>
        <v>6.9380389011430843E-3</v>
      </c>
      <c r="J293" s="56">
        <v>2.0000000000000011E-2</v>
      </c>
      <c r="K293">
        <v>17</v>
      </c>
      <c r="M293" s="25">
        <f t="shared" si="5"/>
        <v>1.900000000000001E-2</v>
      </c>
      <c r="N293" s="1">
        <f t="shared" si="4"/>
        <v>12.426259756508495</v>
      </c>
    </row>
    <row r="294" spans="2:14" ht="15">
      <c r="B294" s="55">
        <v>249.37</v>
      </c>
      <c r="C294" s="55">
        <v>256.94</v>
      </c>
      <c r="D294" s="55">
        <v>246.89</v>
      </c>
      <c r="E294" s="55">
        <v>253.38</v>
      </c>
      <c r="F294" s="55">
        <v>1772788</v>
      </c>
      <c r="G294" s="55" t="s">
        <v>317</v>
      </c>
      <c r="H294" s="25">
        <f t="shared" si="3"/>
        <v>-1.5826032046728167E-2</v>
      </c>
      <c r="J294" s="56">
        <v>2.1000000000000012E-2</v>
      </c>
      <c r="K294">
        <v>14</v>
      </c>
      <c r="M294" s="25">
        <f t="shared" si="5"/>
        <v>2.0000000000000011E-2</v>
      </c>
      <c r="N294" s="1">
        <f t="shared" si="4"/>
        <v>11.805716476306177</v>
      </c>
    </row>
    <row r="295" spans="2:14" ht="15">
      <c r="B295" s="55">
        <v>255.64</v>
      </c>
      <c r="C295" s="55">
        <v>263.60000000000002</v>
      </c>
      <c r="D295" s="55">
        <v>252.98</v>
      </c>
      <c r="E295" s="55">
        <v>260.08999999999997</v>
      </c>
      <c r="F295" s="55">
        <v>1573651</v>
      </c>
      <c r="G295" s="55" t="s">
        <v>318</v>
      </c>
      <c r="H295" s="25">
        <f t="shared" si="3"/>
        <v>-1.710946210926978E-2</v>
      </c>
      <c r="J295" s="56">
        <v>2.2000000000000013E-2</v>
      </c>
      <c r="K295">
        <v>17</v>
      </c>
      <c r="M295" s="25">
        <f t="shared" si="5"/>
        <v>2.1000000000000012E-2</v>
      </c>
      <c r="N295" s="1">
        <f t="shared" si="4"/>
        <v>11.187424704039271</v>
      </c>
    </row>
    <row r="296" spans="2:14" ht="15">
      <c r="B296" s="55">
        <v>259.76</v>
      </c>
      <c r="C296" s="55">
        <v>265.875</v>
      </c>
      <c r="D296" s="55">
        <v>254.57499999999999</v>
      </c>
      <c r="E296" s="55">
        <v>264.77999999999997</v>
      </c>
      <c r="F296" s="55">
        <v>1796160</v>
      </c>
      <c r="G296" s="55" t="s">
        <v>319</v>
      </c>
      <c r="H296" s="25">
        <f t="shared" si="3"/>
        <v>-1.8959135886396195E-2</v>
      </c>
      <c r="J296" s="56">
        <v>2.3000000000000013E-2</v>
      </c>
      <c r="K296">
        <v>14</v>
      </c>
      <c r="M296" s="25">
        <f t="shared" si="5"/>
        <v>2.2000000000000013E-2</v>
      </c>
      <c r="N296" s="1">
        <f t="shared" si="4"/>
        <v>10.57435184084027</v>
      </c>
    </row>
    <row r="297" spans="2:14" ht="15">
      <c r="B297" s="55">
        <v>261.02999999999997</v>
      </c>
      <c r="C297" s="55">
        <v>263.85000000000002</v>
      </c>
      <c r="D297" s="55">
        <v>249.06710000000001</v>
      </c>
      <c r="E297" s="55">
        <v>256.43</v>
      </c>
      <c r="F297" s="55">
        <v>1961418</v>
      </c>
      <c r="G297" s="55" t="s">
        <v>320</v>
      </c>
      <c r="H297" s="25">
        <f t="shared" si="3"/>
        <v>1.7938618726357936E-2</v>
      </c>
      <c r="J297" s="56">
        <v>2.4000000000000014E-2</v>
      </c>
      <c r="K297">
        <v>10</v>
      </c>
      <c r="M297" s="25">
        <f t="shared" si="5"/>
        <v>2.3000000000000013E-2</v>
      </c>
      <c r="N297" s="1">
        <f t="shared" si="4"/>
        <v>9.9692673507565974</v>
      </c>
    </row>
    <row r="298" spans="2:14" ht="15">
      <c r="B298" s="55">
        <v>256.62</v>
      </c>
      <c r="C298" s="55">
        <v>262.89</v>
      </c>
      <c r="D298" s="55">
        <v>247.92</v>
      </c>
      <c r="E298" s="55">
        <v>262.89</v>
      </c>
      <c r="F298" s="55">
        <v>3712544</v>
      </c>
      <c r="G298" s="55" t="s">
        <v>321</v>
      </c>
      <c r="H298" s="25">
        <f t="shared" si="3"/>
        <v>-2.3850279584617051E-2</v>
      </c>
      <c r="J298" s="56">
        <v>2.5000000000000015E-2</v>
      </c>
      <c r="K298">
        <v>16</v>
      </c>
      <c r="M298" s="25">
        <f t="shared" si="5"/>
        <v>2.4000000000000014E-2</v>
      </c>
      <c r="N298" s="1">
        <f t="shared" si="4"/>
        <v>9.374726017875739</v>
      </c>
    </row>
    <row r="299" spans="2:14" ht="15">
      <c r="B299" s="55">
        <v>273.83999999999997</v>
      </c>
      <c r="C299" s="55">
        <v>287.20999999999998</v>
      </c>
      <c r="D299" s="55">
        <v>242.45</v>
      </c>
      <c r="E299" s="55">
        <v>244.005</v>
      </c>
      <c r="F299" s="55">
        <v>6278009</v>
      </c>
      <c r="G299" s="55" t="s">
        <v>322</v>
      </c>
      <c r="H299" s="25">
        <f t="shared" si="3"/>
        <v>0.12227208458843042</v>
      </c>
      <c r="J299" s="56">
        <v>2.6000000000000016E-2</v>
      </c>
      <c r="K299">
        <v>7</v>
      </c>
      <c r="M299" s="25">
        <f t="shared" si="5"/>
        <v>2.5000000000000015E-2</v>
      </c>
      <c r="N299" s="1">
        <f t="shared" si="4"/>
        <v>8.7930548099295756</v>
      </c>
    </row>
    <row r="300" spans="2:14" ht="15">
      <c r="B300" s="55">
        <v>247.61</v>
      </c>
      <c r="C300" s="55">
        <v>270.41000000000003</v>
      </c>
      <c r="D300" s="55">
        <v>243.74</v>
      </c>
      <c r="E300" s="55">
        <v>269.41000000000003</v>
      </c>
      <c r="F300" s="55">
        <v>3367903</v>
      </c>
      <c r="G300" s="55" t="s">
        <v>323</v>
      </c>
      <c r="H300" s="25">
        <f t="shared" si="3"/>
        <v>-8.0917560595375138E-2</v>
      </c>
      <c r="J300" s="56">
        <v>2.7000000000000017E-2</v>
      </c>
      <c r="K300">
        <v>4</v>
      </c>
      <c r="M300" s="25">
        <f t="shared" si="5"/>
        <v>2.6000000000000016E-2</v>
      </c>
      <c r="N300" s="1">
        <f t="shared" si="4"/>
        <v>8.2263433380876823</v>
      </c>
    </row>
    <row r="301" spans="2:14" ht="15">
      <c r="B301" s="55">
        <v>265</v>
      </c>
      <c r="C301" s="55">
        <v>273.64999999999998</v>
      </c>
      <c r="D301" s="55">
        <v>246.44</v>
      </c>
      <c r="E301" s="55">
        <v>255.72</v>
      </c>
      <c r="F301" s="55">
        <v>4203840</v>
      </c>
      <c r="G301" s="55" t="s">
        <v>324</v>
      </c>
      <c r="H301" s="25">
        <f t="shared" si="3"/>
        <v>3.6289691850461381E-2</v>
      </c>
      <c r="J301" s="56">
        <v>2.8000000000000018E-2</v>
      </c>
      <c r="K301">
        <v>6</v>
      </c>
      <c r="M301" s="25">
        <f t="shared" si="5"/>
        <v>2.7000000000000017E-2</v>
      </c>
      <c r="N301" s="1">
        <f t="shared" si="4"/>
        <v>7.6764378407731666</v>
      </c>
    </row>
    <row r="302" spans="2:14" ht="15">
      <c r="B302" s="55">
        <v>263.7</v>
      </c>
      <c r="C302" s="55">
        <v>271.75</v>
      </c>
      <c r="D302" s="55">
        <v>234.84</v>
      </c>
      <c r="E302" s="55">
        <v>242</v>
      </c>
      <c r="F302" s="55">
        <v>8370796</v>
      </c>
      <c r="G302" s="55" t="s">
        <v>325</v>
      </c>
      <c r="H302" s="25">
        <f t="shared" si="3"/>
        <v>8.9669421487603262E-2</v>
      </c>
      <c r="J302" s="56">
        <v>2.9000000000000019E-2</v>
      </c>
      <c r="K302">
        <v>9</v>
      </c>
      <c r="M302" s="25">
        <f t="shared" si="5"/>
        <v>2.8000000000000018E-2</v>
      </c>
      <c r="N302" s="1">
        <f t="shared" si="4"/>
        <v>7.1449385625736159</v>
      </c>
    </row>
    <row r="303" spans="2:14" ht="15">
      <c r="B303" s="55">
        <v>255.65</v>
      </c>
      <c r="C303" s="55">
        <v>256.88</v>
      </c>
      <c r="D303" s="55">
        <v>243.05</v>
      </c>
      <c r="E303" s="55">
        <v>243.98</v>
      </c>
      <c r="F303" s="55">
        <v>7596772</v>
      </c>
      <c r="G303" s="55" t="s">
        <v>326</v>
      </c>
      <c r="H303" s="25">
        <f t="shared" si="3"/>
        <v>4.7831789490941912E-2</v>
      </c>
      <c r="J303" s="56">
        <v>3.000000000000002E-2</v>
      </c>
      <c r="K303">
        <v>5</v>
      </c>
      <c r="M303" s="25">
        <f t="shared" si="5"/>
        <v>2.9000000000000019E-2</v>
      </c>
      <c r="N303" s="1">
        <f t="shared" si="4"/>
        <v>6.6332003486288791</v>
      </c>
    </row>
    <row r="304" spans="2:14" ht="15">
      <c r="B304" s="55">
        <v>282.75</v>
      </c>
      <c r="C304" s="55">
        <v>287.94499999999999</v>
      </c>
      <c r="D304" s="55">
        <v>276.51</v>
      </c>
      <c r="E304" s="55">
        <v>277.75</v>
      </c>
      <c r="F304" s="55">
        <v>2315224</v>
      </c>
      <c r="G304" s="55" t="s">
        <v>327</v>
      </c>
      <c r="H304" s="25">
        <f t="shared" si="3"/>
        <v>1.8001800180017957E-2</v>
      </c>
      <c r="J304" s="56">
        <v>3.1000000000000021E-2</v>
      </c>
      <c r="K304">
        <v>3</v>
      </c>
      <c r="M304" s="25">
        <f t="shared" si="5"/>
        <v>3.000000000000002E-2</v>
      </c>
      <c r="N304" s="1">
        <f t="shared" si="4"/>
        <v>6.1423362310014884</v>
      </c>
    </row>
    <row r="305" spans="2:14" ht="15">
      <c r="B305" s="55">
        <v>279.63</v>
      </c>
      <c r="C305" s="55">
        <v>283.64</v>
      </c>
      <c r="D305" s="55">
        <v>277.45440000000002</v>
      </c>
      <c r="E305" s="55">
        <v>282.23</v>
      </c>
      <c r="F305" s="55">
        <v>3315119</v>
      </c>
      <c r="G305" s="55" t="s">
        <v>328</v>
      </c>
      <c r="H305" s="25">
        <f t="shared" si="3"/>
        <v>-9.2123445416859573E-3</v>
      </c>
      <c r="J305" s="56">
        <v>3.2000000000000021E-2</v>
      </c>
      <c r="K305">
        <v>8</v>
      </c>
      <c r="M305" s="25">
        <f t="shared" si="5"/>
        <v>3.1000000000000021E-2</v>
      </c>
      <c r="N305" s="1">
        <f t="shared" si="4"/>
        <v>5.6732237470038154</v>
      </c>
    </row>
    <row r="306" spans="2:14" ht="15">
      <c r="B306" s="55">
        <v>283.06</v>
      </c>
      <c r="C306" s="55">
        <v>291.75990000000002</v>
      </c>
      <c r="D306" s="55">
        <v>280.83100000000002</v>
      </c>
      <c r="E306" s="55">
        <v>286.14</v>
      </c>
      <c r="F306" s="55">
        <v>4414707</v>
      </c>
      <c r="G306" s="55" t="s">
        <v>329</v>
      </c>
      <c r="H306" s="25">
        <f t="shared" si="3"/>
        <v>-1.0763961697071278E-2</v>
      </c>
      <c r="J306" s="56">
        <v>3.3000000000000022E-2</v>
      </c>
      <c r="K306">
        <v>2</v>
      </c>
      <c r="M306" s="25">
        <f t="shared" si="5"/>
        <v>3.2000000000000021E-2</v>
      </c>
      <c r="N306" s="1">
        <f t="shared" si="4"/>
        <v>5.2265137005807976</v>
      </c>
    </row>
    <row r="307" spans="2:14" ht="15">
      <c r="B307" s="55">
        <v>293.06</v>
      </c>
      <c r="C307" s="55">
        <v>303.99990000000003</v>
      </c>
      <c r="D307" s="55">
        <v>287.5</v>
      </c>
      <c r="E307" s="55">
        <v>301.04500000000002</v>
      </c>
      <c r="F307" s="55">
        <v>12915240</v>
      </c>
      <c r="G307" s="55" t="s">
        <v>330</v>
      </c>
      <c r="H307" s="25">
        <f t="shared" si="3"/>
        <v>-2.6524273779667484E-2</v>
      </c>
      <c r="J307" s="56">
        <v>3.4000000000000023E-2</v>
      </c>
      <c r="K307">
        <v>3</v>
      </c>
      <c r="M307" s="25">
        <f t="shared" si="5"/>
        <v>3.3000000000000022E-2</v>
      </c>
      <c r="N307" s="1">
        <f t="shared" si="4"/>
        <v>4.8026410567304563</v>
      </c>
    </row>
    <row r="308" spans="2:14" ht="15">
      <c r="B308" s="55">
        <v>341.53</v>
      </c>
      <c r="C308" s="55">
        <v>348.5</v>
      </c>
      <c r="D308" s="55">
        <v>334.07229999999998</v>
      </c>
      <c r="E308" s="55">
        <v>334.25</v>
      </c>
      <c r="F308" s="55">
        <v>4470391</v>
      </c>
      <c r="G308" s="55" t="s">
        <v>331</v>
      </c>
      <c r="H308" s="25">
        <f t="shared" si="3"/>
        <v>2.1780104712041837E-2</v>
      </c>
      <c r="J308" s="56">
        <v>3.5000000000000024E-2</v>
      </c>
      <c r="K308">
        <v>1</v>
      </c>
      <c r="M308" s="25">
        <f t="shared" si="5"/>
        <v>3.4000000000000023E-2</v>
      </c>
      <c r="N308" s="1">
        <f t="shared" si="4"/>
        <v>4.401837645490196</v>
      </c>
    </row>
    <row r="309" spans="2:14" ht="15">
      <c r="B309" s="55">
        <v>337.79</v>
      </c>
      <c r="C309" s="55">
        <v>340.77</v>
      </c>
      <c r="D309" s="55">
        <v>332.41500000000002</v>
      </c>
      <c r="E309" s="55">
        <v>336.76</v>
      </c>
      <c r="F309" s="55">
        <v>2301337</v>
      </c>
      <c r="G309" s="55" t="s">
        <v>332</v>
      </c>
      <c r="H309" s="25">
        <f t="shared" si="3"/>
        <v>3.0585580235182874E-3</v>
      </c>
      <c r="J309" s="56">
        <v>3.6000000000000025E-2</v>
      </c>
      <c r="K309">
        <v>3</v>
      </c>
      <c r="M309" s="25">
        <f t="shared" si="5"/>
        <v>3.5000000000000024E-2</v>
      </c>
      <c r="N309" s="1">
        <f t="shared" si="4"/>
        <v>4.0241463459476989</v>
      </c>
    </row>
    <row r="310" spans="2:14" ht="15">
      <c r="B310" s="55">
        <v>337.35</v>
      </c>
      <c r="C310" s="55">
        <v>346.71570000000003</v>
      </c>
      <c r="D310" s="55">
        <v>334.7355</v>
      </c>
      <c r="E310" s="55">
        <v>342.5</v>
      </c>
      <c r="F310" s="55">
        <v>2040444</v>
      </c>
      <c r="G310" s="55" t="s">
        <v>333</v>
      </c>
      <c r="H310" s="25">
        <f t="shared" si="3"/>
        <v>-1.5036496350364859E-2</v>
      </c>
      <c r="J310" s="56">
        <v>3.7000000000000026E-2</v>
      </c>
      <c r="K310">
        <v>3</v>
      </c>
      <c r="M310" s="25">
        <f t="shared" si="5"/>
        <v>3.6000000000000025E-2</v>
      </c>
      <c r="N310" s="1">
        <f t="shared" si="4"/>
        <v>3.669436421613435</v>
      </c>
    </row>
    <row r="311" spans="2:14" ht="15">
      <c r="B311" s="55">
        <v>334.96</v>
      </c>
      <c r="C311" s="55">
        <v>336.35500000000002</v>
      </c>
      <c r="D311" s="55">
        <v>324.81</v>
      </c>
      <c r="E311" s="55">
        <v>324.81</v>
      </c>
      <c r="F311" s="55">
        <v>1703790</v>
      </c>
      <c r="G311" s="55" t="s">
        <v>334</v>
      </c>
      <c r="H311" s="25">
        <f t="shared" si="3"/>
        <v>3.1249037899079291E-2</v>
      </c>
      <c r="J311" s="56">
        <v>3.8000000000000027E-2</v>
      </c>
      <c r="K311">
        <v>5</v>
      </c>
      <c r="M311" s="25">
        <f t="shared" si="5"/>
        <v>3.7000000000000026E-2</v>
      </c>
      <c r="N311" s="1">
        <f t="shared" si="4"/>
        <v>3.3374196857437668</v>
      </c>
    </row>
    <row r="312" spans="2:14" ht="15">
      <c r="B312" s="55">
        <v>322.62</v>
      </c>
      <c r="C312" s="55">
        <v>324.38</v>
      </c>
      <c r="D312" s="55">
        <v>311.00009999999997</v>
      </c>
      <c r="E312" s="55">
        <v>317.64</v>
      </c>
      <c r="F312" s="55">
        <v>1986131</v>
      </c>
      <c r="G312" s="55" t="s">
        <v>335</v>
      </c>
      <c r="H312" s="25">
        <f t="shared" si="3"/>
        <v>1.5678126180581842E-2</v>
      </c>
      <c r="J312" s="56">
        <v>3.9000000000000028E-2</v>
      </c>
      <c r="K312">
        <v>1</v>
      </c>
      <c r="M312" s="25">
        <f t="shared" si="5"/>
        <v>3.8000000000000027E-2</v>
      </c>
      <c r="N312" s="1">
        <f t="shared" si="4"/>
        <v>3.0276671881461779</v>
      </c>
    </row>
    <row r="313" spans="2:14" ht="15">
      <c r="B313" s="55">
        <v>324.45</v>
      </c>
      <c r="C313" s="55">
        <v>333.01</v>
      </c>
      <c r="D313" s="55">
        <v>323.29500000000002</v>
      </c>
      <c r="E313" s="55">
        <v>327.05</v>
      </c>
      <c r="F313" s="55">
        <v>1106531</v>
      </c>
      <c r="G313" s="55" t="s">
        <v>336</v>
      </c>
      <c r="H313" s="25">
        <f t="shared" si="3"/>
        <v>-7.9498547622688376E-3</v>
      </c>
      <c r="J313" s="56">
        <v>4.0000000000000029E-2</v>
      </c>
      <c r="K313">
        <v>3</v>
      </c>
      <c r="M313" s="25">
        <f t="shared" si="5"/>
        <v>3.9000000000000028E-2</v>
      </c>
      <c r="N313" s="1">
        <f t="shared" si="4"/>
        <v>2.7396261328655593</v>
      </c>
    </row>
    <row r="314" spans="2:14" ht="15">
      <c r="B314" s="55">
        <v>329.57</v>
      </c>
      <c r="C314" s="55">
        <v>330.81</v>
      </c>
      <c r="D314" s="55">
        <v>318.56</v>
      </c>
      <c r="E314" s="55">
        <v>319.45</v>
      </c>
      <c r="F314" s="55">
        <v>1098296</v>
      </c>
      <c r="G314" s="55" t="s">
        <v>337</v>
      </c>
      <c r="H314" s="25">
        <f t="shared" si="3"/>
        <v>3.167944905305986E-2</v>
      </c>
      <c r="J314" s="56">
        <v>4.1000000000000029E-2</v>
      </c>
      <c r="K314">
        <v>2</v>
      </c>
      <c r="M314" s="25">
        <f t="shared" si="5"/>
        <v>4.0000000000000029E-2</v>
      </c>
      <c r="N314" s="1">
        <f t="shared" si="4"/>
        <v>2.4726367581226225</v>
      </c>
    </row>
    <row r="315" spans="2:14" ht="15">
      <c r="B315" s="55">
        <v>323.07</v>
      </c>
      <c r="C315" s="55">
        <v>326</v>
      </c>
      <c r="D315" s="55">
        <v>319.22000000000003</v>
      </c>
      <c r="E315" s="55">
        <v>325.89</v>
      </c>
      <c r="F315" s="55">
        <v>1122778</v>
      </c>
      <c r="G315" s="55" t="s">
        <v>338</v>
      </c>
      <c r="H315" s="25">
        <f t="shared" ref="H315:H378" si="6">B315/E315-1</f>
        <v>-8.6532265488354909E-3</v>
      </c>
      <c r="J315" s="56">
        <v>4.200000000000003E-2</v>
      </c>
      <c r="K315">
        <v>2</v>
      </c>
      <c r="M315" s="25">
        <f t="shared" si="5"/>
        <v>4.1000000000000029E-2</v>
      </c>
      <c r="N315" s="1">
        <f t="shared" si="4"/>
        <v>2.2259489351038746</v>
      </c>
    </row>
    <row r="316" spans="2:14" ht="15">
      <c r="B316" s="55">
        <v>327.08999999999997</v>
      </c>
      <c r="C316" s="55">
        <v>330.41699999999997</v>
      </c>
      <c r="D316" s="55">
        <v>313.5</v>
      </c>
      <c r="E316" s="55">
        <v>314.27</v>
      </c>
      <c r="F316" s="55">
        <v>1768250</v>
      </c>
      <c r="G316" s="55" t="s">
        <v>339</v>
      </c>
      <c r="H316" s="25">
        <f t="shared" si="6"/>
        <v>4.0792948738346047E-2</v>
      </c>
      <c r="J316" s="56">
        <v>4.3000000000000031E-2</v>
      </c>
      <c r="K316">
        <v>3</v>
      </c>
      <c r="M316" s="25">
        <f t="shared" si="5"/>
        <v>4.200000000000003E-2</v>
      </c>
      <c r="N316" s="1">
        <f t="shared" si="4"/>
        <v>1.9987382698363081</v>
      </c>
    </row>
    <row r="317" spans="2:14" ht="15">
      <c r="B317" s="55">
        <v>311.02999999999997</v>
      </c>
      <c r="C317" s="55">
        <v>316.98</v>
      </c>
      <c r="D317" s="55">
        <v>308.66000000000003</v>
      </c>
      <c r="E317" s="55">
        <v>313.39999999999998</v>
      </c>
      <c r="F317" s="55">
        <v>1514069</v>
      </c>
      <c r="G317" s="55" t="s">
        <v>340</v>
      </c>
      <c r="H317" s="25">
        <f t="shared" si="6"/>
        <v>-7.5622208040843075E-3</v>
      </c>
      <c r="J317" s="56">
        <v>4.4000000000000032E-2</v>
      </c>
      <c r="K317">
        <v>3</v>
      </c>
      <c r="M317" s="25">
        <f t="shared" si="5"/>
        <v>4.3000000000000031E-2</v>
      </c>
      <c r="N317" s="1">
        <f t="shared" si="4"/>
        <v>1.7901215215880346</v>
      </c>
    </row>
    <row r="318" spans="2:14" ht="15">
      <c r="B318" s="55">
        <v>309.68</v>
      </c>
      <c r="C318" s="55">
        <v>317.25</v>
      </c>
      <c r="D318" s="55">
        <v>304.77</v>
      </c>
      <c r="E318" s="55">
        <v>316.08999999999997</v>
      </c>
      <c r="F318" s="55">
        <v>1811975</v>
      </c>
      <c r="G318" s="55" t="s">
        <v>341</v>
      </c>
      <c r="H318" s="25">
        <f t="shared" si="6"/>
        <v>-2.0279034452212907E-2</v>
      </c>
      <c r="J318" s="56">
        <v>4.5000000000000033E-2</v>
      </c>
      <c r="K318">
        <v>2</v>
      </c>
      <c r="M318" s="25">
        <f t="shared" si="5"/>
        <v>4.4000000000000032E-2</v>
      </c>
      <c r="N318" s="1">
        <f t="shared" si="4"/>
        <v>1.599171181228662</v>
      </c>
    </row>
    <row r="319" spans="2:14" ht="15">
      <c r="B319" s="55">
        <v>316.49</v>
      </c>
      <c r="C319" s="55">
        <v>324.8</v>
      </c>
      <c r="D319" s="55">
        <v>315.67</v>
      </c>
      <c r="E319" s="55">
        <v>322.99</v>
      </c>
      <c r="F319" s="55">
        <v>1685867</v>
      </c>
      <c r="G319" s="55" t="s">
        <v>342</v>
      </c>
      <c r="H319" s="25">
        <f t="shared" si="6"/>
        <v>-2.012446205764884E-2</v>
      </c>
      <c r="J319" s="56">
        <v>4.6000000000000034E-2</v>
      </c>
      <c r="K319">
        <v>2</v>
      </c>
      <c r="M319" s="25">
        <f t="shared" si="5"/>
        <v>4.5000000000000033E-2</v>
      </c>
      <c r="N319" s="1">
        <f t="shared" si="4"/>
        <v>1.4249290830275467</v>
      </c>
    </row>
    <row r="320" spans="2:14" ht="15">
      <c r="B320" s="55">
        <v>319.42</v>
      </c>
      <c r="C320" s="55">
        <v>333.94</v>
      </c>
      <c r="D320" s="55">
        <v>317.70999999999998</v>
      </c>
      <c r="E320" s="55">
        <v>333.7</v>
      </c>
      <c r="F320" s="55">
        <v>2033138</v>
      </c>
      <c r="G320" s="55" t="s">
        <v>343</v>
      </c>
      <c r="H320" s="25">
        <f t="shared" si="6"/>
        <v>-4.2792927779442547E-2</v>
      </c>
      <c r="J320" s="56">
        <v>4.7000000000000035E-2</v>
      </c>
      <c r="K320">
        <v>0</v>
      </c>
      <c r="M320" s="25">
        <f t="shared" si="5"/>
        <v>4.6000000000000034E-2</v>
      </c>
      <c r="N320" s="1">
        <f t="shared" si="4"/>
        <v>1.2664189528038625</v>
      </c>
    </row>
    <row r="321" spans="2:14" ht="15">
      <c r="B321" s="55">
        <v>333.77</v>
      </c>
      <c r="C321" s="55">
        <v>342.60500000000002</v>
      </c>
      <c r="D321" s="55">
        <v>330.72280000000001</v>
      </c>
      <c r="E321" s="55">
        <v>337.57</v>
      </c>
      <c r="F321" s="55">
        <v>1956892</v>
      </c>
      <c r="G321" s="55" t="s">
        <v>344</v>
      </c>
      <c r="H321" s="25">
        <f t="shared" si="6"/>
        <v>-1.1256924489735476E-2</v>
      </c>
      <c r="J321" s="56">
        <v>4.8000000000000036E-2</v>
      </c>
      <c r="K321">
        <v>1</v>
      </c>
      <c r="M321" s="25">
        <f t="shared" si="5"/>
        <v>4.7000000000000035E-2</v>
      </c>
      <c r="N321" s="1">
        <f t="shared" si="4"/>
        <v>1.1226578235906375</v>
      </c>
    </row>
    <row r="322" spans="2:14" ht="15">
      <c r="B322" s="55">
        <v>344.36</v>
      </c>
      <c r="C322" s="55">
        <v>347.74</v>
      </c>
      <c r="D322" s="55">
        <v>332.76</v>
      </c>
      <c r="E322" s="55">
        <v>347.13</v>
      </c>
      <c r="F322" s="55">
        <v>1717700</v>
      </c>
      <c r="G322" s="55" t="s">
        <v>345</v>
      </c>
      <c r="H322" s="25">
        <f t="shared" si="6"/>
        <v>-7.979719413476194E-3</v>
      </c>
      <c r="J322" s="56">
        <v>4.9000000000000037E-2</v>
      </c>
      <c r="K322">
        <v>0</v>
      </c>
      <c r="M322" s="25">
        <f t="shared" si="5"/>
        <v>4.8000000000000036E-2</v>
      </c>
      <c r="N322" s="1">
        <f t="shared" si="4"/>
        <v>0.99266627654623585</v>
      </c>
    </row>
    <row r="323" spans="2:14" ht="15">
      <c r="B323" s="55">
        <v>347.94</v>
      </c>
      <c r="C323" s="55">
        <v>363.88</v>
      </c>
      <c r="D323" s="55">
        <v>345</v>
      </c>
      <c r="E323" s="55">
        <v>348.68</v>
      </c>
      <c r="F323" s="55">
        <v>1783239</v>
      </c>
      <c r="G323" s="55" t="s">
        <v>346</v>
      </c>
      <c r="H323" s="25">
        <f t="shared" si="6"/>
        <v>-2.1222897785936334E-3</v>
      </c>
      <c r="J323" s="56">
        <v>5.0000000000000037E-2</v>
      </c>
      <c r="K323">
        <v>0</v>
      </c>
      <c r="M323" s="25">
        <f t="shared" si="5"/>
        <v>4.9000000000000037E-2</v>
      </c>
      <c r="N323" s="1">
        <f t="shared" si="4"/>
        <v>0.87547748934392333</v>
      </c>
    </row>
    <row r="324" spans="2:14" ht="15">
      <c r="B324" s="55">
        <v>349.53</v>
      </c>
      <c r="C324" s="55">
        <v>350.79500000000002</v>
      </c>
      <c r="D324" s="55">
        <v>340.84</v>
      </c>
      <c r="E324" s="55">
        <v>344.13</v>
      </c>
      <c r="F324" s="55">
        <v>1355469</v>
      </c>
      <c r="G324" s="55" t="s">
        <v>347</v>
      </c>
      <c r="H324" s="25">
        <f t="shared" si="6"/>
        <v>1.569174439891885E-2</v>
      </c>
      <c r="J324" s="56">
        <v>5.1000000000000038E-2</v>
      </c>
      <c r="K324">
        <v>1</v>
      </c>
      <c r="M324" s="25">
        <f t="shared" si="5"/>
        <v>5.0000000000000037E-2</v>
      </c>
      <c r="N324" s="1">
        <f t="shared" si="4"/>
        <v>0.77014509638937567</v>
      </c>
    </row>
    <row r="325" spans="2:14" ht="15">
      <c r="B325" s="55">
        <v>345.29</v>
      </c>
      <c r="C325" s="55">
        <v>349.55990000000003</v>
      </c>
      <c r="D325" s="55">
        <v>330.3</v>
      </c>
      <c r="E325" s="55">
        <v>342.62</v>
      </c>
      <c r="F325" s="55">
        <v>2120866</v>
      </c>
      <c r="G325" s="55" t="s">
        <v>348</v>
      </c>
      <c r="H325" s="25">
        <f t="shared" si="6"/>
        <v>7.7928900823069913E-3</v>
      </c>
      <c r="J325" s="56">
        <v>5.2000000000000039E-2</v>
      </c>
      <c r="K325">
        <v>2</v>
      </c>
      <c r="M325" s="25">
        <f t="shared" si="5"/>
        <v>5.1000000000000038E-2</v>
      </c>
      <c r="N325" s="1">
        <f t="shared" si="4"/>
        <v>0.6757498847446306</v>
      </c>
    </row>
    <row r="326" spans="2:14" ht="15">
      <c r="B326" s="55">
        <v>347.81</v>
      </c>
      <c r="C326" s="55">
        <v>367.01</v>
      </c>
      <c r="D326" s="55">
        <v>345.52</v>
      </c>
      <c r="E326" s="55">
        <v>365.8</v>
      </c>
      <c r="F326" s="55">
        <v>1696832</v>
      </c>
      <c r="G326" s="55" t="s">
        <v>349</v>
      </c>
      <c r="H326" s="25">
        <f t="shared" si="6"/>
        <v>-4.917987971569171E-2</v>
      </c>
      <c r="J326" s="56">
        <v>5.300000000000004E-2</v>
      </c>
      <c r="K326">
        <v>0</v>
      </c>
      <c r="M326" s="25">
        <f t="shared" si="5"/>
        <v>5.2000000000000039E-2</v>
      </c>
      <c r="N326" s="1">
        <f t="shared" si="4"/>
        <v>0.59140536644841468</v>
      </c>
    </row>
    <row r="327" spans="2:14" ht="15">
      <c r="B327" s="55">
        <v>365.61</v>
      </c>
      <c r="C327" s="55">
        <v>366.54</v>
      </c>
      <c r="D327" s="55">
        <v>358</v>
      </c>
      <c r="E327" s="55">
        <v>358.68</v>
      </c>
      <c r="F327" s="55">
        <v>1194152</v>
      </c>
      <c r="G327" s="55" t="s">
        <v>350</v>
      </c>
      <c r="H327" s="25">
        <f t="shared" si="6"/>
        <v>1.9320843091334972E-2</v>
      </c>
      <c r="J327" s="56">
        <v>5.4000000000000041E-2</v>
      </c>
      <c r="K327">
        <v>1</v>
      </c>
      <c r="M327" s="25">
        <f t="shared" si="5"/>
        <v>5.300000000000004E-2</v>
      </c>
      <c r="N327" s="1">
        <f t="shared" si="4"/>
        <v>0.51626228197086532</v>
      </c>
    </row>
    <row r="328" spans="2:14" ht="15">
      <c r="B328" s="55">
        <v>362.16</v>
      </c>
      <c r="C328" s="55">
        <v>371.75220000000002</v>
      </c>
      <c r="D328" s="55">
        <v>359.30500000000001</v>
      </c>
      <c r="E328" s="55">
        <v>364.64</v>
      </c>
      <c r="F328" s="55">
        <v>1438707</v>
      </c>
      <c r="G328" s="55" t="s">
        <v>351</v>
      </c>
      <c r="H328" s="25">
        <f t="shared" si="6"/>
        <v>-6.8012286090389784E-3</v>
      </c>
      <c r="J328" s="56">
        <v>5.5000000000000042E-2</v>
      </c>
      <c r="K328">
        <v>0</v>
      </c>
      <c r="M328" s="25">
        <f t="shared" si="5"/>
        <v>5.4000000000000041E-2</v>
      </c>
      <c r="N328" s="1">
        <f t="shared" si="4"/>
        <v>0.44951210085047144</v>
      </c>
    </row>
    <row r="329" spans="2:14" ht="15">
      <c r="B329" s="55">
        <v>366.03</v>
      </c>
      <c r="C329" s="55">
        <v>372.66</v>
      </c>
      <c r="D329" s="55">
        <v>363.07810000000001</v>
      </c>
      <c r="E329" s="55">
        <v>366.33</v>
      </c>
      <c r="F329" s="55">
        <v>1242150</v>
      </c>
      <c r="G329" s="55" t="s">
        <v>352</v>
      </c>
      <c r="H329" s="25">
        <f t="shared" si="6"/>
        <v>-8.1893374825980914E-4</v>
      </c>
      <c r="J329" s="56">
        <v>5.6000000000000043E-2</v>
      </c>
      <c r="K329">
        <v>0</v>
      </c>
      <c r="M329" s="25">
        <f t="shared" si="5"/>
        <v>5.5000000000000042E-2</v>
      </c>
      <c r="N329" s="1">
        <f t="shared" si="4"/>
        <v>0.39038959422079833</v>
      </c>
    </row>
    <row r="330" spans="2:14" ht="15">
      <c r="B330" s="55">
        <v>366.72</v>
      </c>
      <c r="C330" s="55">
        <v>370.25</v>
      </c>
      <c r="D330" s="55">
        <v>359.19</v>
      </c>
      <c r="E330" s="55">
        <v>366.41</v>
      </c>
      <c r="F330" s="55">
        <v>1365479</v>
      </c>
      <c r="G330" s="55" t="s">
        <v>353</v>
      </c>
      <c r="H330" s="25">
        <f t="shared" si="6"/>
        <v>8.4604677819921648E-4</v>
      </c>
      <c r="J330" s="56">
        <v>5.7000000000000044E-2</v>
      </c>
      <c r="K330">
        <v>1</v>
      </c>
      <c r="M330" s="25">
        <f t="shared" si="5"/>
        <v>5.6000000000000043E-2</v>
      </c>
      <c r="N330" s="1">
        <f t="shared" si="4"/>
        <v>0.3381745600846624</v>
      </c>
    </row>
    <row r="331" spans="2:14" ht="15">
      <c r="B331" s="55">
        <v>368.22</v>
      </c>
      <c r="C331" s="55">
        <v>372.41</v>
      </c>
      <c r="D331" s="55">
        <v>360</v>
      </c>
      <c r="E331" s="55">
        <v>364</v>
      </c>
      <c r="F331" s="55">
        <v>2001716</v>
      </c>
      <c r="G331" s="55" t="s">
        <v>354</v>
      </c>
      <c r="H331" s="25">
        <f t="shared" si="6"/>
        <v>1.1593406593406685E-2</v>
      </c>
      <c r="J331" s="56">
        <v>5.8000000000000045E-2</v>
      </c>
      <c r="K331">
        <v>0</v>
      </c>
      <c r="M331" s="25">
        <f t="shared" si="5"/>
        <v>5.7000000000000044E-2</v>
      </c>
      <c r="N331" s="1">
        <f t="shared" si="4"/>
        <v>0.29219278601722803</v>
      </c>
    </row>
    <row r="332" spans="2:14" ht="15">
      <c r="B332" s="55">
        <v>358.97</v>
      </c>
      <c r="C332" s="55">
        <v>366.99</v>
      </c>
      <c r="D332" s="55">
        <v>354.29</v>
      </c>
      <c r="E332" s="55">
        <v>366</v>
      </c>
      <c r="F332" s="55">
        <v>1400582</v>
      </c>
      <c r="G332" s="55" t="s">
        <v>355</v>
      </c>
      <c r="H332" s="25">
        <f t="shared" si="6"/>
        <v>-1.920765027322402E-2</v>
      </c>
      <c r="J332" s="56">
        <v>5.9000000000000045E-2</v>
      </c>
      <c r="K332">
        <v>0</v>
      </c>
      <c r="M332" s="25">
        <f t="shared" si="5"/>
        <v>5.8000000000000045E-2</v>
      </c>
      <c r="N332" s="1">
        <f t="shared" si="4"/>
        <v>0.25181633569230172</v>
      </c>
    </row>
    <row r="333" spans="2:14" ht="15">
      <c r="B333" s="55">
        <v>365.82</v>
      </c>
      <c r="C333" s="55">
        <v>369.52929999999998</v>
      </c>
      <c r="D333" s="55">
        <v>359.1</v>
      </c>
      <c r="E333" s="55">
        <v>367.21</v>
      </c>
      <c r="F333" s="55">
        <v>1463217</v>
      </c>
      <c r="G333" s="55" t="s">
        <v>356</v>
      </c>
      <c r="H333" s="25">
        <f t="shared" si="6"/>
        <v>-3.7852999645978658E-3</v>
      </c>
      <c r="J333" s="56">
        <v>6.0000000000000046E-2</v>
      </c>
      <c r="K333">
        <v>1</v>
      </c>
      <c r="M333" s="25">
        <f t="shared" si="5"/>
        <v>5.9000000000000045E-2</v>
      </c>
      <c r="N333" s="1">
        <f t="shared" si="4"/>
        <v>0.21646324546610618</v>
      </c>
    </row>
    <row r="334" spans="2:14" ht="15">
      <c r="B334" s="55">
        <v>367.22</v>
      </c>
      <c r="C334" s="55">
        <v>374.41</v>
      </c>
      <c r="D334" s="55">
        <v>362.87</v>
      </c>
      <c r="E334" s="55">
        <v>370.11</v>
      </c>
      <c r="F334" s="55">
        <v>1423416</v>
      </c>
      <c r="G334" s="55" t="s">
        <v>357</v>
      </c>
      <c r="H334" s="25">
        <f t="shared" si="6"/>
        <v>-7.808489368025695E-3</v>
      </c>
      <c r="J334" s="56">
        <v>6.1000000000000047E-2</v>
      </c>
      <c r="K334">
        <v>0</v>
      </c>
      <c r="M334" s="25">
        <f t="shared" si="5"/>
        <v>6.0000000000000046E-2</v>
      </c>
      <c r="N334" s="1">
        <f t="shared" si="4"/>
        <v>0.1855967154712721</v>
      </c>
    </row>
    <row r="335" spans="2:14" ht="15">
      <c r="B335" s="55">
        <v>372.44</v>
      </c>
      <c r="C335" s="55">
        <v>372.94</v>
      </c>
      <c r="D335" s="55">
        <v>354.05</v>
      </c>
      <c r="E335" s="55">
        <v>365.68</v>
      </c>
      <c r="F335" s="55">
        <v>2250957</v>
      </c>
      <c r="G335" s="55" t="s">
        <v>358</v>
      </c>
      <c r="H335" s="25">
        <f t="shared" si="6"/>
        <v>1.8486108072631735E-2</v>
      </c>
      <c r="J335" s="56">
        <v>6.2000000000000048E-2</v>
      </c>
      <c r="K335">
        <v>0</v>
      </c>
      <c r="M335" s="25">
        <f t="shared" si="5"/>
        <v>6.1000000000000047E-2</v>
      </c>
      <c r="N335" s="1">
        <f t="shared" si="4"/>
        <v>0.15872387652725573</v>
      </c>
    </row>
    <row r="336" spans="2:14" ht="15.75" thickBot="1">
      <c r="B336" s="55">
        <v>366.68</v>
      </c>
      <c r="C336" s="55">
        <v>393.54</v>
      </c>
      <c r="D336" s="55">
        <v>365.62</v>
      </c>
      <c r="E336" s="55">
        <v>393.52</v>
      </c>
      <c r="F336" s="55">
        <v>3310326</v>
      </c>
      <c r="G336" s="55" t="s">
        <v>359</v>
      </c>
      <c r="H336" s="25">
        <f t="shared" si="6"/>
        <v>-6.8204919699125788E-2</v>
      </c>
      <c r="J336" s="57" t="s">
        <v>1467</v>
      </c>
      <c r="K336" s="57">
        <v>7</v>
      </c>
      <c r="M336" s="25">
        <f t="shared" si="5"/>
        <v>6.2000000000000048E-2</v>
      </c>
      <c r="N336" s="1">
        <f t="shared" si="4"/>
        <v>0.1353942099158193</v>
      </c>
    </row>
    <row r="337" spans="2:14">
      <c r="B337" s="55">
        <v>390.85</v>
      </c>
      <c r="C337" s="55">
        <v>400.01</v>
      </c>
      <c r="D337" s="55">
        <v>390.02499999999998</v>
      </c>
      <c r="E337" s="55">
        <v>400.01</v>
      </c>
      <c r="F337" s="55">
        <v>1529602</v>
      </c>
      <c r="G337" s="55" t="s">
        <v>360</v>
      </c>
      <c r="H337" s="25">
        <f t="shared" si="6"/>
        <v>-2.2899427514312065E-2</v>
      </c>
      <c r="M337" s="25">
        <f t="shared" si="5"/>
        <v>6.3000000000000042E-2</v>
      </c>
      <c r="N337" s="1">
        <f t="shared" si="4"/>
        <v>0.11519769194711568</v>
      </c>
    </row>
    <row r="338" spans="2:14">
      <c r="B338" s="55">
        <v>395.16</v>
      </c>
      <c r="C338" s="55">
        <v>399.78</v>
      </c>
      <c r="D338" s="55">
        <v>390.3</v>
      </c>
      <c r="E338" s="55">
        <v>392.94499999999999</v>
      </c>
      <c r="F338" s="55">
        <v>1169522</v>
      </c>
      <c r="G338" s="55" t="s">
        <v>361</v>
      </c>
      <c r="H338" s="25">
        <f t="shared" si="6"/>
        <v>5.636921197623268E-3</v>
      </c>
    </row>
    <row r="339" spans="2:14">
      <c r="B339" s="55">
        <v>397.63</v>
      </c>
      <c r="C339" s="55">
        <v>403.21</v>
      </c>
      <c r="D339" s="55">
        <v>397.13389999999998</v>
      </c>
      <c r="E339" s="55">
        <v>398.17</v>
      </c>
      <c r="F339" s="55">
        <v>866275</v>
      </c>
      <c r="G339" s="55" t="s">
        <v>362</v>
      </c>
      <c r="H339" s="25">
        <f t="shared" si="6"/>
        <v>-1.3562046362106672E-3</v>
      </c>
    </row>
    <row r="340" spans="2:14">
      <c r="B340" s="55">
        <v>399.71</v>
      </c>
      <c r="C340" s="55">
        <v>401.07</v>
      </c>
      <c r="D340" s="55">
        <v>387.28</v>
      </c>
      <c r="E340" s="55">
        <v>398.1</v>
      </c>
      <c r="F340" s="55">
        <v>1341692</v>
      </c>
      <c r="G340" s="55" t="s">
        <v>363</v>
      </c>
      <c r="H340" s="25">
        <f t="shared" si="6"/>
        <v>4.0442099974880019E-3</v>
      </c>
    </row>
    <row r="341" spans="2:14">
      <c r="B341" s="55">
        <v>398.1</v>
      </c>
      <c r="C341" s="55">
        <v>414.14</v>
      </c>
      <c r="D341" s="55">
        <v>396.73500000000001</v>
      </c>
      <c r="E341" s="55">
        <v>414.14</v>
      </c>
      <c r="F341" s="55">
        <v>1487987</v>
      </c>
      <c r="G341" s="55" t="s">
        <v>364</v>
      </c>
      <c r="H341" s="25">
        <f t="shared" si="6"/>
        <v>-3.8730863959047568E-2</v>
      </c>
    </row>
    <row r="342" spans="2:14">
      <c r="B342" s="55">
        <v>411.83</v>
      </c>
      <c r="C342" s="55">
        <v>417.11500000000001</v>
      </c>
      <c r="D342" s="55">
        <v>407.74</v>
      </c>
      <c r="E342" s="55">
        <v>416.25</v>
      </c>
      <c r="F342" s="55">
        <v>1236545</v>
      </c>
      <c r="G342" s="55" t="s">
        <v>365</v>
      </c>
      <c r="H342" s="25">
        <f t="shared" si="6"/>
        <v>-1.061861861861868E-2</v>
      </c>
    </row>
    <row r="343" spans="2:14">
      <c r="B343" s="55">
        <v>412.8</v>
      </c>
      <c r="C343" s="55">
        <v>417</v>
      </c>
      <c r="D343" s="55">
        <v>411.06740000000002</v>
      </c>
      <c r="E343" s="55">
        <v>415.98</v>
      </c>
      <c r="F343" s="55">
        <v>1186709</v>
      </c>
      <c r="G343" s="55" t="s">
        <v>366</v>
      </c>
      <c r="H343" s="25">
        <f t="shared" si="6"/>
        <v>-7.644598297995131E-3</v>
      </c>
    </row>
    <row r="344" spans="2:14">
      <c r="B344" s="55">
        <v>415.9</v>
      </c>
      <c r="C344" s="55">
        <v>417.91</v>
      </c>
      <c r="D344" s="55">
        <v>408.43</v>
      </c>
      <c r="E344" s="55">
        <v>409.24</v>
      </c>
      <c r="F344" s="55">
        <v>1088367</v>
      </c>
      <c r="G344" s="55" t="s">
        <v>367</v>
      </c>
      <c r="H344" s="25">
        <f t="shared" si="6"/>
        <v>1.6274069005962177E-2</v>
      </c>
    </row>
    <row r="345" spans="2:14">
      <c r="B345" s="55">
        <v>410.29</v>
      </c>
      <c r="C345" s="55">
        <v>413.13990000000001</v>
      </c>
      <c r="D345" s="55">
        <v>399.48039999999997</v>
      </c>
      <c r="E345" s="55">
        <v>404.5</v>
      </c>
      <c r="F345" s="55">
        <v>1752573</v>
      </c>
      <c r="G345" s="55" t="s">
        <v>368</v>
      </c>
      <c r="H345" s="25">
        <f t="shared" si="6"/>
        <v>1.4313967861557586E-2</v>
      </c>
    </row>
    <row r="346" spans="2:14">
      <c r="B346" s="55">
        <v>414.2</v>
      </c>
      <c r="C346" s="55">
        <v>422.87</v>
      </c>
      <c r="D346" s="55">
        <v>412</v>
      </c>
      <c r="E346" s="55">
        <v>419.11</v>
      </c>
      <c r="F346" s="55">
        <v>1297961</v>
      </c>
      <c r="G346" s="55" t="s">
        <v>369</v>
      </c>
      <c r="H346" s="25">
        <f t="shared" si="6"/>
        <v>-1.1715301472167261E-2</v>
      </c>
    </row>
    <row r="347" spans="2:14">
      <c r="B347" s="55">
        <v>421.16</v>
      </c>
      <c r="C347" s="55">
        <v>423.32</v>
      </c>
      <c r="D347" s="55">
        <v>413.51</v>
      </c>
      <c r="E347" s="55">
        <v>415</v>
      </c>
      <c r="F347" s="55">
        <v>1519732</v>
      </c>
      <c r="G347" s="55" t="s">
        <v>370</v>
      </c>
      <c r="H347" s="25">
        <f t="shared" si="6"/>
        <v>1.4843373493975909E-2</v>
      </c>
    </row>
    <row r="348" spans="2:14">
      <c r="B348" s="55">
        <v>411.16</v>
      </c>
      <c r="C348" s="55">
        <v>413.55</v>
      </c>
      <c r="D348" s="55">
        <v>407.6</v>
      </c>
      <c r="E348" s="55">
        <v>410.38</v>
      </c>
      <c r="F348" s="55">
        <v>976799</v>
      </c>
      <c r="G348" s="55" t="s">
        <v>371</v>
      </c>
      <c r="H348" s="25">
        <f t="shared" si="6"/>
        <v>1.9006774209269217E-3</v>
      </c>
    </row>
    <row r="349" spans="2:14">
      <c r="B349" s="55">
        <v>409.42</v>
      </c>
      <c r="C349" s="55">
        <v>416</v>
      </c>
      <c r="D349" s="55">
        <v>403.23500000000001</v>
      </c>
      <c r="E349" s="55">
        <v>404.39</v>
      </c>
      <c r="F349" s="55">
        <v>1660797</v>
      </c>
      <c r="G349" s="55" t="s">
        <v>372</v>
      </c>
      <c r="H349" s="25">
        <f t="shared" si="6"/>
        <v>1.2438487598605441E-2</v>
      </c>
    </row>
    <row r="350" spans="2:14">
      <c r="B350" s="55">
        <v>402.9</v>
      </c>
      <c r="C350" s="55">
        <v>408.12150000000003</v>
      </c>
      <c r="D350" s="55">
        <v>394.5</v>
      </c>
      <c r="E350" s="55">
        <v>395.48</v>
      </c>
      <c r="F350" s="55">
        <v>2337863</v>
      </c>
      <c r="G350" s="55" t="s">
        <v>373</v>
      </c>
      <c r="H350" s="25">
        <f t="shared" si="6"/>
        <v>1.8762010721148803E-2</v>
      </c>
    </row>
    <row r="351" spans="2:14">
      <c r="B351" s="55">
        <v>400.03</v>
      </c>
      <c r="C351" s="55">
        <v>400.79</v>
      </c>
      <c r="D351" s="55">
        <v>385.73</v>
      </c>
      <c r="E351" s="55">
        <v>390.12</v>
      </c>
      <c r="F351" s="55">
        <v>1969629</v>
      </c>
      <c r="G351" s="55" t="s">
        <v>374</v>
      </c>
      <c r="H351" s="25">
        <f t="shared" si="6"/>
        <v>2.5402440274787219E-2</v>
      </c>
    </row>
    <row r="352" spans="2:14">
      <c r="B352" s="55">
        <v>387.85</v>
      </c>
      <c r="C352" s="55">
        <v>389.5</v>
      </c>
      <c r="D352" s="55">
        <v>379.31</v>
      </c>
      <c r="E352" s="55">
        <v>383.45</v>
      </c>
      <c r="F352" s="55">
        <v>1445175</v>
      </c>
      <c r="G352" s="55" t="s">
        <v>375</v>
      </c>
      <c r="H352" s="25">
        <f t="shared" si="6"/>
        <v>1.1474768548702663E-2</v>
      </c>
    </row>
    <row r="353" spans="2:8">
      <c r="B353" s="55">
        <v>382.82</v>
      </c>
      <c r="C353" s="55">
        <v>383.38</v>
      </c>
      <c r="D353" s="55">
        <v>370</v>
      </c>
      <c r="E353" s="55">
        <v>371.99</v>
      </c>
      <c r="F353" s="55">
        <v>1838456</v>
      </c>
      <c r="G353" s="55" t="s">
        <v>376</v>
      </c>
      <c r="H353" s="25">
        <f t="shared" si="6"/>
        <v>2.911368585177021E-2</v>
      </c>
    </row>
    <row r="354" spans="2:8">
      <c r="B354" s="55">
        <v>372.81</v>
      </c>
      <c r="C354" s="55">
        <v>377.73</v>
      </c>
      <c r="D354" s="55">
        <v>367.20010000000002</v>
      </c>
      <c r="E354" s="55">
        <v>375.94</v>
      </c>
      <c r="F354" s="55">
        <v>2115492</v>
      </c>
      <c r="G354" s="55" t="s">
        <v>377</v>
      </c>
      <c r="H354" s="25">
        <f t="shared" si="6"/>
        <v>-8.3257966696813623E-3</v>
      </c>
    </row>
    <row r="355" spans="2:8">
      <c r="B355" s="55">
        <v>373.7</v>
      </c>
      <c r="C355" s="55">
        <v>378.53</v>
      </c>
      <c r="D355" s="55">
        <v>373.04</v>
      </c>
      <c r="E355" s="55">
        <v>378.26499999999999</v>
      </c>
      <c r="F355" s="55">
        <v>1344060</v>
      </c>
      <c r="G355" s="55" t="s">
        <v>378</v>
      </c>
      <c r="H355" s="25">
        <f t="shared" si="6"/>
        <v>-1.2068259024757721E-2</v>
      </c>
    </row>
    <row r="356" spans="2:8">
      <c r="B356" s="55">
        <v>370.99</v>
      </c>
      <c r="C356" s="55">
        <v>377.85500000000002</v>
      </c>
      <c r="D356" s="55">
        <v>367.15</v>
      </c>
      <c r="E356" s="55">
        <v>377.67</v>
      </c>
      <c r="F356" s="55">
        <v>1805301</v>
      </c>
      <c r="G356" s="55" t="s">
        <v>379</v>
      </c>
      <c r="H356" s="25">
        <f t="shared" si="6"/>
        <v>-1.7687399052082498E-2</v>
      </c>
    </row>
    <row r="357" spans="2:8">
      <c r="B357" s="55">
        <v>376.66</v>
      </c>
      <c r="C357" s="55">
        <v>393.35</v>
      </c>
      <c r="D357" s="55">
        <v>374.4</v>
      </c>
      <c r="E357" s="55">
        <v>391.54</v>
      </c>
      <c r="F357" s="55">
        <v>2195750</v>
      </c>
      <c r="G357" s="55" t="s">
        <v>380</v>
      </c>
      <c r="H357" s="25">
        <f t="shared" si="6"/>
        <v>-3.8003779945854799E-2</v>
      </c>
    </row>
    <row r="358" spans="2:8">
      <c r="B358" s="55">
        <v>388.74</v>
      </c>
      <c r="C358" s="55">
        <v>401.94990000000001</v>
      </c>
      <c r="D358" s="55">
        <v>384.06</v>
      </c>
      <c r="E358" s="55">
        <v>400</v>
      </c>
      <c r="F358" s="55">
        <v>2531450</v>
      </c>
      <c r="G358" s="55" t="s">
        <v>381</v>
      </c>
      <c r="H358" s="25">
        <f t="shared" si="6"/>
        <v>-2.8150000000000008E-2</v>
      </c>
    </row>
    <row r="359" spans="2:8">
      <c r="B359" s="55">
        <v>398.86</v>
      </c>
      <c r="C359" s="55">
        <v>404.75</v>
      </c>
      <c r="D359" s="55">
        <v>389.48399999999998</v>
      </c>
      <c r="E359" s="55">
        <v>401.92</v>
      </c>
      <c r="F359" s="55">
        <v>2086783</v>
      </c>
      <c r="G359" s="55" t="s">
        <v>382</v>
      </c>
      <c r="H359" s="25">
        <f t="shared" si="6"/>
        <v>-7.6134554140127042E-3</v>
      </c>
    </row>
    <row r="360" spans="2:8">
      <c r="B360" s="55">
        <v>395.47</v>
      </c>
      <c r="C360" s="55">
        <v>397.35</v>
      </c>
      <c r="D360" s="55">
        <v>388.67099999999999</v>
      </c>
      <c r="E360" s="55">
        <v>391.76</v>
      </c>
      <c r="F360" s="55">
        <v>1322082</v>
      </c>
      <c r="G360" s="55" t="s">
        <v>383</v>
      </c>
      <c r="H360" s="25">
        <f t="shared" si="6"/>
        <v>9.4700837247294611E-3</v>
      </c>
    </row>
    <row r="361" spans="2:8">
      <c r="B361" s="55">
        <v>392.92</v>
      </c>
      <c r="C361" s="55">
        <v>393.22</v>
      </c>
      <c r="D361" s="55">
        <v>386.18</v>
      </c>
      <c r="E361" s="55">
        <v>390</v>
      </c>
      <c r="F361" s="55">
        <v>973724</v>
      </c>
      <c r="G361" s="55" t="s">
        <v>384</v>
      </c>
      <c r="H361" s="25">
        <f t="shared" si="6"/>
        <v>7.4871794871795849E-3</v>
      </c>
    </row>
    <row r="362" spans="2:8">
      <c r="B362" s="55">
        <v>393.46</v>
      </c>
      <c r="C362" s="55">
        <v>414.82</v>
      </c>
      <c r="D362" s="55">
        <v>393.15</v>
      </c>
      <c r="E362" s="55">
        <v>403.87</v>
      </c>
      <c r="F362" s="55">
        <v>1845211</v>
      </c>
      <c r="G362" s="55" t="s">
        <v>385</v>
      </c>
      <c r="H362" s="25">
        <f t="shared" si="6"/>
        <v>-2.5775620868101146E-2</v>
      </c>
    </row>
    <row r="363" spans="2:8">
      <c r="B363" s="55">
        <v>395.31</v>
      </c>
      <c r="C363" s="55">
        <v>396.59</v>
      </c>
      <c r="D363" s="55">
        <v>381.42</v>
      </c>
      <c r="E363" s="55">
        <v>381.42</v>
      </c>
      <c r="F363" s="55">
        <v>1729661</v>
      </c>
      <c r="G363" s="55" t="s">
        <v>386</v>
      </c>
      <c r="H363" s="25">
        <f t="shared" si="6"/>
        <v>3.641654868648736E-2</v>
      </c>
    </row>
    <row r="364" spans="2:8">
      <c r="B364" s="55">
        <v>378.18</v>
      </c>
      <c r="C364" s="55">
        <v>382.03</v>
      </c>
      <c r="D364" s="55">
        <v>373.76499999999999</v>
      </c>
      <c r="E364" s="55">
        <v>375.52</v>
      </c>
      <c r="F364" s="55">
        <v>1032678</v>
      </c>
      <c r="G364" s="55" t="s">
        <v>387</v>
      </c>
      <c r="H364" s="25">
        <f t="shared" si="6"/>
        <v>7.0835108649340839E-3</v>
      </c>
    </row>
    <row r="365" spans="2:8">
      <c r="B365" s="55">
        <v>372.31</v>
      </c>
      <c r="C365" s="55">
        <v>385.28</v>
      </c>
      <c r="D365" s="55">
        <v>371.48</v>
      </c>
      <c r="E365" s="55">
        <v>381.5</v>
      </c>
      <c r="F365" s="55">
        <v>1350690</v>
      </c>
      <c r="G365" s="55" t="s">
        <v>388</v>
      </c>
      <c r="H365" s="25">
        <f t="shared" si="6"/>
        <v>-2.4089121887287068E-2</v>
      </c>
    </row>
    <row r="366" spans="2:8">
      <c r="B366" s="55">
        <v>382.41</v>
      </c>
      <c r="C366" s="55">
        <v>386.36</v>
      </c>
      <c r="D366" s="55">
        <v>380.26</v>
      </c>
      <c r="E366" s="55">
        <v>384.06</v>
      </c>
      <c r="F366" s="55">
        <v>1027697</v>
      </c>
      <c r="G366" s="55" t="s">
        <v>389</v>
      </c>
      <c r="H366" s="25">
        <f t="shared" si="6"/>
        <v>-4.2962037181689672E-3</v>
      </c>
    </row>
    <row r="367" spans="2:8">
      <c r="B367" s="55">
        <v>384.05</v>
      </c>
      <c r="C367" s="55">
        <v>389.19</v>
      </c>
      <c r="D367" s="55">
        <v>377.54</v>
      </c>
      <c r="E367" s="55">
        <v>380.03</v>
      </c>
      <c r="F367" s="55">
        <v>1254672</v>
      </c>
      <c r="G367" s="55" t="s">
        <v>390</v>
      </c>
      <c r="H367" s="25">
        <f t="shared" si="6"/>
        <v>1.0578112254295835E-2</v>
      </c>
    </row>
    <row r="368" spans="2:8">
      <c r="B368" s="55">
        <v>386.67</v>
      </c>
      <c r="C368" s="55">
        <v>387.48</v>
      </c>
      <c r="D368" s="55">
        <v>380.32</v>
      </c>
      <c r="E368" s="55">
        <v>382</v>
      </c>
      <c r="F368" s="55">
        <v>1075795</v>
      </c>
      <c r="G368" s="55" t="s">
        <v>391</v>
      </c>
      <c r="H368" s="25">
        <f t="shared" si="6"/>
        <v>1.2225130890052505E-2</v>
      </c>
    </row>
    <row r="369" spans="2:8">
      <c r="B369" s="55">
        <v>385.82</v>
      </c>
      <c r="C369" s="55">
        <v>389.86</v>
      </c>
      <c r="D369" s="55">
        <v>384.01010000000002</v>
      </c>
      <c r="E369" s="55">
        <v>384.86</v>
      </c>
      <c r="F369" s="55">
        <v>1013024</v>
      </c>
      <c r="G369" s="55" t="s">
        <v>392</v>
      </c>
      <c r="H369" s="25">
        <f t="shared" si="6"/>
        <v>2.4944135529803013E-3</v>
      </c>
    </row>
    <row r="370" spans="2:8">
      <c r="B370" s="55">
        <v>385.69</v>
      </c>
      <c r="C370" s="55">
        <v>386.88</v>
      </c>
      <c r="D370" s="55">
        <v>383.21</v>
      </c>
      <c r="E370" s="55">
        <v>385.20499999999998</v>
      </c>
      <c r="F370" s="55">
        <v>496441</v>
      </c>
      <c r="G370" s="55" t="s">
        <v>393</v>
      </c>
      <c r="H370" s="25">
        <f t="shared" si="6"/>
        <v>1.259069845926275E-3</v>
      </c>
    </row>
    <row r="371" spans="2:8">
      <c r="B371" s="55">
        <v>383.49</v>
      </c>
      <c r="C371" s="55">
        <v>388.40480000000002</v>
      </c>
      <c r="D371" s="55">
        <v>376.79</v>
      </c>
      <c r="E371" s="55">
        <v>379.9</v>
      </c>
      <c r="F371" s="55">
        <v>1900052</v>
      </c>
      <c r="G371" s="55" t="s">
        <v>394</v>
      </c>
      <c r="H371" s="25">
        <f t="shared" si="6"/>
        <v>9.449855225059256E-3</v>
      </c>
    </row>
    <row r="372" spans="2:8">
      <c r="B372" s="55">
        <v>379.42</v>
      </c>
      <c r="C372" s="55">
        <v>384.15989999999999</v>
      </c>
      <c r="D372" s="55">
        <v>366.95</v>
      </c>
      <c r="E372" s="55">
        <v>367.99</v>
      </c>
      <c r="F372" s="55">
        <v>3167304</v>
      </c>
      <c r="G372" s="55" t="s">
        <v>395</v>
      </c>
      <c r="H372" s="25">
        <f t="shared" si="6"/>
        <v>3.1060626647463341E-2</v>
      </c>
    </row>
    <row r="373" spans="2:8">
      <c r="B373" s="55">
        <v>373.54</v>
      </c>
      <c r="C373" s="55">
        <v>377.5</v>
      </c>
      <c r="D373" s="55">
        <v>368.66</v>
      </c>
      <c r="E373" s="55">
        <v>375</v>
      </c>
      <c r="F373" s="55">
        <v>2022030</v>
      </c>
      <c r="G373" s="55" t="s">
        <v>396</v>
      </c>
      <c r="H373" s="25">
        <f t="shared" si="6"/>
        <v>-3.8933333333333042E-3</v>
      </c>
    </row>
    <row r="374" spans="2:8">
      <c r="B374" s="55">
        <v>372.07</v>
      </c>
      <c r="C374" s="55">
        <v>389.67</v>
      </c>
      <c r="D374" s="55">
        <v>371.88</v>
      </c>
      <c r="E374" s="55">
        <v>387</v>
      </c>
      <c r="F374" s="55">
        <v>2096893</v>
      </c>
      <c r="G374" s="55" t="s">
        <v>397</v>
      </c>
      <c r="H374" s="25">
        <f t="shared" si="6"/>
        <v>-3.8578811369509025E-2</v>
      </c>
    </row>
    <row r="375" spans="2:8">
      <c r="B375" s="55">
        <v>390.59</v>
      </c>
      <c r="C375" s="55">
        <v>391.49</v>
      </c>
      <c r="D375" s="55">
        <v>382</v>
      </c>
      <c r="E375" s="55">
        <v>386.11</v>
      </c>
      <c r="F375" s="55">
        <v>1394566</v>
      </c>
      <c r="G375" s="55" t="s">
        <v>398</v>
      </c>
      <c r="H375" s="25">
        <f t="shared" si="6"/>
        <v>1.1602911087513768E-2</v>
      </c>
    </row>
    <row r="376" spans="2:8">
      <c r="B376" s="55">
        <v>389.74</v>
      </c>
      <c r="C376" s="55">
        <v>397.66</v>
      </c>
      <c r="D376" s="55">
        <v>389.01</v>
      </c>
      <c r="E376" s="55">
        <v>390.91</v>
      </c>
      <c r="F376" s="55">
        <v>1494366</v>
      </c>
      <c r="G376" s="55" t="s">
        <v>399</v>
      </c>
      <c r="H376" s="25">
        <f t="shared" si="6"/>
        <v>-2.9930162953110129E-3</v>
      </c>
    </row>
    <row r="377" spans="2:8">
      <c r="B377" s="55">
        <v>391.63</v>
      </c>
      <c r="C377" s="55">
        <v>392.6</v>
      </c>
      <c r="D377" s="55">
        <v>385</v>
      </c>
      <c r="E377" s="55">
        <v>387.01</v>
      </c>
      <c r="F377" s="55">
        <v>1442506</v>
      </c>
      <c r="G377" s="55" t="s">
        <v>400</v>
      </c>
      <c r="H377" s="25">
        <f t="shared" si="6"/>
        <v>1.1937676029043276E-2</v>
      </c>
    </row>
    <row r="378" spans="2:8">
      <c r="B378" s="55">
        <v>389.33</v>
      </c>
      <c r="C378" s="55">
        <v>398.24</v>
      </c>
      <c r="D378" s="55">
        <v>389.17</v>
      </c>
      <c r="E378" s="55">
        <v>396.73</v>
      </c>
      <c r="F378" s="55">
        <v>1572398</v>
      </c>
      <c r="G378" s="55" t="s">
        <v>401</v>
      </c>
      <c r="H378" s="25">
        <f t="shared" si="6"/>
        <v>-1.8652484057167462E-2</v>
      </c>
    </row>
    <row r="379" spans="2:8">
      <c r="B379" s="55">
        <v>399.75</v>
      </c>
      <c r="C379" s="55">
        <v>405.16</v>
      </c>
      <c r="D379" s="55">
        <v>398.08</v>
      </c>
      <c r="E379" s="55">
        <v>399.47</v>
      </c>
      <c r="F379" s="55">
        <v>1359486</v>
      </c>
      <c r="G379" s="55" t="s">
        <v>402</v>
      </c>
      <c r="H379" s="25">
        <f t="shared" ref="H379:H442" si="7">B379/E379-1</f>
        <v>7.0092873056792904E-4</v>
      </c>
    </row>
    <row r="380" spans="2:8">
      <c r="B380" s="55">
        <v>397.1</v>
      </c>
      <c r="C380" s="55">
        <v>407.55</v>
      </c>
      <c r="D380" s="55">
        <v>393</v>
      </c>
      <c r="E380" s="55">
        <v>404</v>
      </c>
      <c r="F380" s="55">
        <v>2263272</v>
      </c>
      <c r="G380" s="55" t="s">
        <v>403</v>
      </c>
      <c r="H380" s="25">
        <f t="shared" si="7"/>
        <v>-1.7079207920791983E-2</v>
      </c>
    </row>
    <row r="381" spans="2:8">
      <c r="B381" s="55">
        <v>404.79</v>
      </c>
      <c r="C381" s="55">
        <v>420.21</v>
      </c>
      <c r="D381" s="55">
        <v>396.45</v>
      </c>
      <c r="E381" s="55">
        <v>398.68</v>
      </c>
      <c r="F381" s="55">
        <v>3708250</v>
      </c>
      <c r="G381" s="55" t="s">
        <v>404</v>
      </c>
      <c r="H381" s="25">
        <f t="shared" si="7"/>
        <v>1.5325574395505193E-2</v>
      </c>
    </row>
    <row r="382" spans="2:8">
      <c r="B382" s="55">
        <v>399.6</v>
      </c>
      <c r="C382" s="55">
        <v>409.7</v>
      </c>
      <c r="D382" s="55">
        <v>377</v>
      </c>
      <c r="E382" s="55">
        <v>377</v>
      </c>
      <c r="F382" s="55">
        <v>10951951</v>
      </c>
      <c r="G382" s="55" t="s">
        <v>405</v>
      </c>
      <c r="H382" s="25">
        <f t="shared" si="7"/>
        <v>5.9946949602122102E-2</v>
      </c>
    </row>
    <row r="383" spans="2:8">
      <c r="B383" s="55">
        <v>344.81</v>
      </c>
      <c r="C383" s="55">
        <v>351.38</v>
      </c>
      <c r="D383" s="55">
        <v>340.69</v>
      </c>
      <c r="E383" s="55">
        <v>345.48</v>
      </c>
      <c r="F383" s="55">
        <v>4435434</v>
      </c>
      <c r="G383" s="55" t="s">
        <v>406</v>
      </c>
      <c r="H383" s="25">
        <f t="shared" si="7"/>
        <v>-1.9393307861526043E-3</v>
      </c>
    </row>
    <row r="384" spans="2:8">
      <c r="B384" s="55">
        <v>342.27</v>
      </c>
      <c r="C384" s="55">
        <v>342.94</v>
      </c>
      <c r="D384" s="55">
        <v>337.14499999999998</v>
      </c>
      <c r="E384" s="55">
        <v>338.84</v>
      </c>
      <c r="F384" s="55">
        <v>2036420</v>
      </c>
      <c r="G384" s="55" t="s">
        <v>407</v>
      </c>
      <c r="H384" s="25">
        <f t="shared" si="7"/>
        <v>1.0122771809703668E-2</v>
      </c>
    </row>
    <row r="385" spans="2:8">
      <c r="B385" s="55">
        <v>340.66</v>
      </c>
      <c r="C385" s="55">
        <v>341.42</v>
      </c>
      <c r="D385" s="55">
        <v>329.74</v>
      </c>
      <c r="E385" s="55">
        <v>333.56</v>
      </c>
      <c r="F385" s="55">
        <v>1924772</v>
      </c>
      <c r="G385" s="55" t="s">
        <v>408</v>
      </c>
      <c r="H385" s="25">
        <f t="shared" si="7"/>
        <v>2.1285525842427155E-2</v>
      </c>
    </row>
    <row r="386" spans="2:8">
      <c r="B386" s="55">
        <v>334.4</v>
      </c>
      <c r="C386" s="55">
        <v>337.3</v>
      </c>
      <c r="D386" s="55">
        <v>321.83</v>
      </c>
      <c r="E386" s="55">
        <v>322.91000000000003</v>
      </c>
      <c r="F386" s="55">
        <v>2330076</v>
      </c>
      <c r="G386" s="55" t="s">
        <v>409</v>
      </c>
      <c r="H386" s="25">
        <f t="shared" si="7"/>
        <v>3.5582670093833979E-2</v>
      </c>
    </row>
    <row r="387" spans="2:8">
      <c r="B387" s="55">
        <v>320.66000000000003</v>
      </c>
      <c r="C387" s="55">
        <v>324.16000000000003</v>
      </c>
      <c r="D387" s="55">
        <v>318.47000000000003</v>
      </c>
      <c r="E387" s="55">
        <v>321.93</v>
      </c>
      <c r="F387" s="55">
        <v>839228</v>
      </c>
      <c r="G387" s="55" t="s">
        <v>410</v>
      </c>
      <c r="H387" s="25">
        <f t="shared" si="7"/>
        <v>-3.944956978225056E-3</v>
      </c>
    </row>
    <row r="388" spans="2:8">
      <c r="B388" s="55">
        <v>319.52</v>
      </c>
      <c r="C388" s="55">
        <v>322.85210000000001</v>
      </c>
      <c r="D388" s="55">
        <v>316.41230000000002</v>
      </c>
      <c r="E388" s="55">
        <v>319.82</v>
      </c>
      <c r="F388" s="55">
        <v>1126435</v>
      </c>
      <c r="G388" s="55" t="s">
        <v>411</v>
      </c>
      <c r="H388" s="25">
        <f t="shared" si="7"/>
        <v>-9.3802764054784493E-4</v>
      </c>
    </row>
    <row r="389" spans="2:8">
      <c r="B389" s="55">
        <v>318.83999999999997</v>
      </c>
      <c r="C389" s="55">
        <v>326.22000000000003</v>
      </c>
      <c r="D389" s="55">
        <v>318.24</v>
      </c>
      <c r="E389" s="55">
        <v>325.39499999999998</v>
      </c>
      <c r="F389" s="55">
        <v>1209476</v>
      </c>
      <c r="G389" s="55" t="s">
        <v>412</v>
      </c>
      <c r="H389" s="25">
        <f t="shared" si="7"/>
        <v>-2.0144747153459708E-2</v>
      </c>
    </row>
    <row r="390" spans="2:8">
      <c r="B390" s="55">
        <v>326.72000000000003</v>
      </c>
      <c r="C390" s="55">
        <v>328.71</v>
      </c>
      <c r="D390" s="55">
        <v>318.8603</v>
      </c>
      <c r="E390" s="55">
        <v>319.45999999999998</v>
      </c>
      <c r="F390" s="55">
        <v>2150293</v>
      </c>
      <c r="G390" s="55" t="s">
        <v>413</v>
      </c>
      <c r="H390" s="25">
        <f t="shared" si="7"/>
        <v>2.2725849871658488E-2</v>
      </c>
    </row>
    <row r="391" spans="2:8">
      <c r="B391" s="55">
        <v>317.11</v>
      </c>
      <c r="C391" s="55">
        <v>327.67</v>
      </c>
      <c r="D391" s="55">
        <v>315.14</v>
      </c>
      <c r="E391" s="55">
        <v>315.14</v>
      </c>
      <c r="F391" s="55">
        <v>1873197</v>
      </c>
      <c r="G391" s="55" t="s">
        <v>414</v>
      </c>
      <c r="H391" s="25">
        <f t="shared" si="7"/>
        <v>6.2511899473249866E-3</v>
      </c>
    </row>
    <row r="392" spans="2:8">
      <c r="B392" s="55">
        <v>315.14</v>
      </c>
      <c r="C392" s="55">
        <v>316.49</v>
      </c>
      <c r="D392" s="55">
        <v>304.44</v>
      </c>
      <c r="E392" s="55">
        <v>306.19</v>
      </c>
      <c r="F392" s="55">
        <v>1521574</v>
      </c>
      <c r="G392" s="55" t="s">
        <v>415</v>
      </c>
      <c r="H392" s="25">
        <f t="shared" si="7"/>
        <v>2.9230216532218467E-2</v>
      </c>
    </row>
    <row r="393" spans="2:8">
      <c r="B393" s="55">
        <v>308.31</v>
      </c>
      <c r="C393" s="55">
        <v>309.17</v>
      </c>
      <c r="D393" s="55">
        <v>298.67</v>
      </c>
      <c r="E393" s="55">
        <v>298.74</v>
      </c>
      <c r="F393" s="55">
        <v>1403984</v>
      </c>
      <c r="G393" s="55" t="s">
        <v>416</v>
      </c>
      <c r="H393" s="25">
        <f t="shared" si="7"/>
        <v>3.203454508937531E-2</v>
      </c>
    </row>
    <row r="394" spans="2:8">
      <c r="B394" s="55">
        <v>301.85000000000002</v>
      </c>
      <c r="C394" s="55">
        <v>307.791</v>
      </c>
      <c r="D394" s="55">
        <v>298.2</v>
      </c>
      <c r="E394" s="55">
        <v>305.17</v>
      </c>
      <c r="F394" s="55">
        <v>2090269</v>
      </c>
      <c r="G394" s="55" t="s">
        <v>417</v>
      </c>
      <c r="H394" s="25">
        <f t="shared" si="7"/>
        <v>-1.0879182095225537E-2</v>
      </c>
    </row>
    <row r="395" spans="2:8">
      <c r="B395" s="55">
        <v>309.52999999999997</v>
      </c>
      <c r="C395" s="55">
        <v>322.43</v>
      </c>
      <c r="D395" s="55">
        <v>307.89</v>
      </c>
      <c r="E395" s="55">
        <v>322</v>
      </c>
      <c r="F395" s="55">
        <v>1896867</v>
      </c>
      <c r="G395" s="55" t="s">
        <v>418</v>
      </c>
      <c r="H395" s="25">
        <f t="shared" si="7"/>
        <v>-3.8726708074534266E-2</v>
      </c>
    </row>
    <row r="396" spans="2:8">
      <c r="B396" s="55">
        <v>320.01</v>
      </c>
      <c r="C396" s="55">
        <v>331.32</v>
      </c>
      <c r="D396" s="55">
        <v>319.7595</v>
      </c>
      <c r="E396" s="55">
        <v>330.62</v>
      </c>
      <c r="F396" s="55">
        <v>1264651</v>
      </c>
      <c r="G396" s="55" t="s">
        <v>419</v>
      </c>
      <c r="H396" s="25">
        <f t="shared" si="7"/>
        <v>-3.209122255156982E-2</v>
      </c>
    </row>
    <row r="397" spans="2:8">
      <c r="B397" s="55">
        <v>330.26</v>
      </c>
      <c r="C397" s="55">
        <v>334.57499999999999</v>
      </c>
      <c r="D397" s="55">
        <v>324.52999999999997</v>
      </c>
      <c r="E397" s="55">
        <v>328.67500000000001</v>
      </c>
      <c r="F397" s="55">
        <v>1579592</v>
      </c>
      <c r="G397" s="55" t="s">
        <v>420</v>
      </c>
      <c r="H397" s="25">
        <f t="shared" si="7"/>
        <v>4.8223929413553357E-3</v>
      </c>
    </row>
    <row r="398" spans="2:8">
      <c r="B398" s="55">
        <v>328.3</v>
      </c>
      <c r="C398" s="55">
        <v>334.35</v>
      </c>
      <c r="D398" s="55">
        <v>321.74</v>
      </c>
      <c r="E398" s="55">
        <v>323.70999999999998</v>
      </c>
      <c r="F398" s="55">
        <v>2000971</v>
      </c>
      <c r="G398" s="55" t="s">
        <v>421</v>
      </c>
      <c r="H398" s="25">
        <f t="shared" si="7"/>
        <v>1.4179358067406111E-2</v>
      </c>
    </row>
    <row r="399" spans="2:8">
      <c r="B399" s="55">
        <v>320.89999999999998</v>
      </c>
      <c r="C399" s="55">
        <v>322.25</v>
      </c>
      <c r="D399" s="55">
        <v>314.12</v>
      </c>
      <c r="E399" s="55">
        <v>317</v>
      </c>
      <c r="F399" s="55">
        <v>1159533</v>
      </c>
      <c r="G399" s="55" t="s">
        <v>422</v>
      </c>
      <c r="H399" s="25">
        <f t="shared" si="7"/>
        <v>1.2302839116719255E-2</v>
      </c>
    </row>
    <row r="400" spans="2:8">
      <c r="B400" s="55">
        <v>318.45999999999998</v>
      </c>
      <c r="C400" s="55">
        <v>320.7</v>
      </c>
      <c r="D400" s="55">
        <v>308.62</v>
      </c>
      <c r="E400" s="55">
        <v>310.625</v>
      </c>
      <c r="F400" s="55">
        <v>2063977</v>
      </c>
      <c r="G400" s="55" t="s">
        <v>423</v>
      </c>
      <c r="H400" s="25">
        <f t="shared" si="7"/>
        <v>2.5223340040241293E-2</v>
      </c>
    </row>
    <row r="401" spans="2:8">
      <c r="B401" s="55">
        <v>308.52999999999997</v>
      </c>
      <c r="C401" s="55">
        <v>316</v>
      </c>
      <c r="D401" s="55">
        <v>308.44</v>
      </c>
      <c r="E401" s="55">
        <v>315.02</v>
      </c>
      <c r="F401" s="55">
        <v>1957866</v>
      </c>
      <c r="G401" s="55" t="s">
        <v>424</v>
      </c>
      <c r="H401" s="25">
        <f t="shared" si="7"/>
        <v>-2.0601866548155656E-2</v>
      </c>
    </row>
    <row r="402" spans="2:8">
      <c r="B402" s="55">
        <v>315.3</v>
      </c>
      <c r="C402" s="55">
        <v>323.01</v>
      </c>
      <c r="D402" s="55">
        <v>312.31</v>
      </c>
      <c r="E402" s="55">
        <v>316.54000000000002</v>
      </c>
      <c r="F402" s="55">
        <v>1567210</v>
      </c>
      <c r="G402" s="55" t="s">
        <v>425</v>
      </c>
      <c r="H402" s="25">
        <f t="shared" si="7"/>
        <v>-3.9173564162507946E-3</v>
      </c>
    </row>
    <row r="403" spans="2:8">
      <c r="B403" s="55">
        <v>313.14</v>
      </c>
      <c r="C403" s="55">
        <v>321.69</v>
      </c>
      <c r="D403" s="55">
        <v>310.3</v>
      </c>
      <c r="E403" s="55">
        <v>320</v>
      </c>
      <c r="F403" s="55">
        <v>2206096</v>
      </c>
      <c r="G403" s="55" t="s">
        <v>426</v>
      </c>
      <c r="H403" s="25">
        <f t="shared" si="7"/>
        <v>-2.1437499999999998E-2</v>
      </c>
    </row>
    <row r="404" spans="2:8">
      <c r="B404" s="55">
        <v>319.23</v>
      </c>
      <c r="C404" s="55">
        <v>320.24</v>
      </c>
      <c r="D404" s="55">
        <v>316.19</v>
      </c>
      <c r="E404" s="55">
        <v>317</v>
      </c>
      <c r="F404" s="55">
        <v>1401568</v>
      </c>
      <c r="G404" s="55" t="s">
        <v>427</v>
      </c>
      <c r="H404" s="25">
        <f t="shared" si="7"/>
        <v>7.0347003154573873E-3</v>
      </c>
    </row>
    <row r="405" spans="2:8">
      <c r="B405" s="55">
        <v>318.13</v>
      </c>
      <c r="C405" s="55">
        <v>322.42520000000002</v>
      </c>
      <c r="D405" s="55">
        <v>316.70569999999998</v>
      </c>
      <c r="E405" s="55">
        <v>320.25</v>
      </c>
      <c r="F405" s="55">
        <v>2251044</v>
      </c>
      <c r="G405" s="55" t="s">
        <v>428</v>
      </c>
      <c r="H405" s="25">
        <f t="shared" si="7"/>
        <v>-6.6198282591725111E-3</v>
      </c>
    </row>
    <row r="406" spans="2:8">
      <c r="B406" s="55">
        <v>321.17</v>
      </c>
      <c r="C406" s="55">
        <v>322.36</v>
      </c>
      <c r="D406" s="55">
        <v>297.76</v>
      </c>
      <c r="E406" s="55">
        <v>299.85000000000002</v>
      </c>
      <c r="F406" s="55">
        <v>3874657</v>
      </c>
      <c r="G406" s="55" t="s">
        <v>429</v>
      </c>
      <c r="H406" s="25">
        <f t="shared" si="7"/>
        <v>7.1102217775554477E-2</v>
      </c>
    </row>
    <row r="407" spans="2:8">
      <c r="B407" s="55">
        <v>297.89999999999998</v>
      </c>
      <c r="C407" s="55">
        <v>303.70890000000003</v>
      </c>
      <c r="D407" s="55">
        <v>294.2</v>
      </c>
      <c r="E407" s="55">
        <v>302.7</v>
      </c>
      <c r="F407" s="55">
        <v>1761121</v>
      </c>
      <c r="G407" s="55" t="s">
        <v>430</v>
      </c>
      <c r="H407" s="25">
        <f t="shared" si="7"/>
        <v>-1.5857284440039643E-2</v>
      </c>
    </row>
    <row r="408" spans="2:8">
      <c r="B408" s="55">
        <v>303.85000000000002</v>
      </c>
      <c r="C408" s="55">
        <v>308.8</v>
      </c>
      <c r="D408" s="55">
        <v>301.5</v>
      </c>
      <c r="E408" s="55">
        <v>303.45999999999998</v>
      </c>
      <c r="F408" s="55">
        <v>1528885</v>
      </c>
      <c r="G408" s="55" t="s">
        <v>431</v>
      </c>
      <c r="H408" s="25">
        <f t="shared" si="7"/>
        <v>1.2851776181377339E-3</v>
      </c>
    </row>
    <row r="409" spans="2:8">
      <c r="B409" s="55">
        <v>304.82</v>
      </c>
      <c r="C409" s="55">
        <v>307.49</v>
      </c>
      <c r="D409" s="55">
        <v>303.85000000000002</v>
      </c>
      <c r="E409" s="55">
        <v>307.49</v>
      </c>
      <c r="F409" s="55">
        <v>1605106</v>
      </c>
      <c r="G409" s="55" t="s">
        <v>432</v>
      </c>
      <c r="H409" s="25">
        <f t="shared" si="7"/>
        <v>-8.6832092100556091E-3</v>
      </c>
    </row>
    <row r="410" spans="2:8">
      <c r="B410" s="55">
        <v>307.54000000000002</v>
      </c>
      <c r="C410" s="55">
        <v>310.1574</v>
      </c>
      <c r="D410" s="55">
        <v>304.58999999999997</v>
      </c>
      <c r="E410" s="55">
        <v>306</v>
      </c>
      <c r="F410" s="55">
        <v>1619492</v>
      </c>
      <c r="G410" s="55" t="s">
        <v>433</v>
      </c>
      <c r="H410" s="25">
        <f t="shared" si="7"/>
        <v>5.0326797385622513E-3</v>
      </c>
    </row>
    <row r="411" spans="2:8">
      <c r="B411" s="55">
        <v>304.14999999999998</v>
      </c>
      <c r="C411" s="55">
        <v>313.08550000000002</v>
      </c>
      <c r="D411" s="55">
        <v>302.51010000000002</v>
      </c>
      <c r="E411" s="55">
        <v>302.81</v>
      </c>
      <c r="F411" s="55">
        <v>2594186</v>
      </c>
      <c r="G411" s="55" t="s">
        <v>434</v>
      </c>
      <c r="H411" s="25">
        <f t="shared" si="7"/>
        <v>4.4252171328555967E-3</v>
      </c>
    </row>
    <row r="412" spans="2:8">
      <c r="B412" s="55">
        <v>298.99</v>
      </c>
      <c r="C412" s="55">
        <v>299.22000000000003</v>
      </c>
      <c r="D412" s="55">
        <v>294.62</v>
      </c>
      <c r="E412" s="55">
        <v>295.39999999999998</v>
      </c>
      <c r="F412" s="55">
        <v>1165743</v>
      </c>
      <c r="G412" s="55" t="s">
        <v>435</v>
      </c>
      <c r="H412" s="25">
        <f t="shared" si="7"/>
        <v>1.2153012863913348E-2</v>
      </c>
    </row>
    <row r="413" spans="2:8">
      <c r="B413" s="55">
        <v>293.14</v>
      </c>
      <c r="C413" s="55">
        <v>297.52999999999997</v>
      </c>
      <c r="D413" s="55">
        <v>290.70999999999998</v>
      </c>
      <c r="E413" s="55">
        <v>297.13499999999999</v>
      </c>
      <c r="F413" s="55">
        <v>1179438</v>
      </c>
      <c r="G413" s="55" t="s">
        <v>436</v>
      </c>
      <c r="H413" s="25">
        <f t="shared" si="7"/>
        <v>-1.344506705706161E-2</v>
      </c>
    </row>
    <row r="414" spans="2:8">
      <c r="B414" s="55">
        <v>298.88</v>
      </c>
      <c r="C414" s="55">
        <v>304.49</v>
      </c>
      <c r="D414" s="55">
        <v>296</v>
      </c>
      <c r="E414" s="55">
        <v>298.24</v>
      </c>
      <c r="F414" s="55">
        <v>2030963</v>
      </c>
      <c r="G414" s="55" t="s">
        <v>437</v>
      </c>
      <c r="H414" s="25">
        <f t="shared" si="7"/>
        <v>2.1459227467810482E-3</v>
      </c>
    </row>
    <row r="415" spans="2:8">
      <c r="B415" s="55">
        <v>297.74</v>
      </c>
      <c r="C415" s="55">
        <v>299.15989999999999</v>
      </c>
      <c r="D415" s="55">
        <v>291.3073</v>
      </c>
      <c r="E415" s="55">
        <v>291.43</v>
      </c>
      <c r="F415" s="55">
        <v>2482003</v>
      </c>
      <c r="G415" s="55" t="s">
        <v>438</v>
      </c>
      <c r="H415" s="25">
        <f t="shared" si="7"/>
        <v>2.1651854647771307E-2</v>
      </c>
    </row>
    <row r="416" spans="2:8">
      <c r="B416" s="55">
        <v>291.63</v>
      </c>
      <c r="C416" s="55">
        <v>291.79000000000002</v>
      </c>
      <c r="D416" s="55">
        <v>282.14999999999998</v>
      </c>
      <c r="E416" s="55">
        <v>283.55</v>
      </c>
      <c r="F416" s="55">
        <v>1693173</v>
      </c>
      <c r="G416" s="55" t="s">
        <v>439</v>
      </c>
      <c r="H416" s="25">
        <f t="shared" si="7"/>
        <v>2.8495856110033468E-2</v>
      </c>
    </row>
    <row r="417" spans="2:8">
      <c r="B417" s="55">
        <v>283.70999999999998</v>
      </c>
      <c r="C417" s="55">
        <v>295.64</v>
      </c>
      <c r="D417" s="55">
        <v>283.62</v>
      </c>
      <c r="E417" s="55">
        <v>294.41000000000003</v>
      </c>
      <c r="F417" s="55">
        <v>2670513</v>
      </c>
      <c r="G417" s="55" t="s">
        <v>440</v>
      </c>
      <c r="H417" s="25">
        <f t="shared" si="7"/>
        <v>-3.6343874189056269E-2</v>
      </c>
    </row>
    <row r="418" spans="2:8">
      <c r="B418" s="55">
        <v>294.20999999999998</v>
      </c>
      <c r="C418" s="55">
        <v>295.36</v>
      </c>
      <c r="D418" s="55">
        <v>286.71499999999997</v>
      </c>
      <c r="E418" s="55">
        <v>287.33999999999997</v>
      </c>
      <c r="F418" s="55">
        <v>2343971</v>
      </c>
      <c r="G418" s="55" t="s">
        <v>441</v>
      </c>
      <c r="H418" s="25">
        <f t="shared" si="7"/>
        <v>2.3908958028816096E-2</v>
      </c>
    </row>
    <row r="419" spans="2:8">
      <c r="B419" s="55">
        <v>287.48</v>
      </c>
      <c r="C419" s="55">
        <v>292.45</v>
      </c>
      <c r="D419" s="55">
        <v>285.27</v>
      </c>
      <c r="E419" s="55">
        <v>286.41500000000002</v>
      </c>
      <c r="F419" s="55">
        <v>1948604</v>
      </c>
      <c r="G419" s="55" t="s">
        <v>442</v>
      </c>
      <c r="H419" s="25">
        <f t="shared" si="7"/>
        <v>3.7183806714033985E-3</v>
      </c>
    </row>
    <row r="420" spans="2:8">
      <c r="B420" s="55">
        <v>286.76</v>
      </c>
      <c r="C420" s="55">
        <v>287.19</v>
      </c>
      <c r="D420" s="55">
        <v>272.89999999999998</v>
      </c>
      <c r="E420" s="55">
        <v>278.5</v>
      </c>
      <c r="F420" s="55">
        <v>2125749</v>
      </c>
      <c r="G420" s="55" t="s">
        <v>443</v>
      </c>
      <c r="H420" s="25">
        <f t="shared" si="7"/>
        <v>2.9658886894075476E-2</v>
      </c>
    </row>
    <row r="421" spans="2:8">
      <c r="B421" s="55">
        <v>278.245</v>
      </c>
      <c r="C421" s="55">
        <v>279.05</v>
      </c>
      <c r="D421" s="55">
        <v>272</v>
      </c>
      <c r="E421" s="55">
        <v>272.89999999999998</v>
      </c>
      <c r="F421" s="55">
        <v>1486340</v>
      </c>
      <c r="G421" s="55" t="s">
        <v>444</v>
      </c>
      <c r="H421" s="25">
        <f t="shared" si="7"/>
        <v>1.958592891168931E-2</v>
      </c>
    </row>
    <row r="422" spans="2:8">
      <c r="B422" s="55">
        <v>273.58</v>
      </c>
      <c r="C422" s="55">
        <v>274.49</v>
      </c>
      <c r="D422" s="55">
        <v>268.16000000000003</v>
      </c>
      <c r="E422" s="55">
        <v>273.67</v>
      </c>
      <c r="F422" s="55">
        <v>1564911</v>
      </c>
      <c r="G422" s="55" t="s">
        <v>445</v>
      </c>
      <c r="H422" s="25">
        <f t="shared" si="7"/>
        <v>-3.288632294370375E-4</v>
      </c>
    </row>
    <row r="423" spans="2:8">
      <c r="B423" s="55">
        <v>274.12</v>
      </c>
      <c r="C423" s="55">
        <v>278.5736</v>
      </c>
      <c r="D423" s="55">
        <v>272.10000000000002</v>
      </c>
      <c r="E423" s="55">
        <v>277.83999999999997</v>
      </c>
      <c r="F423" s="55">
        <v>1404646</v>
      </c>
      <c r="G423" s="55" t="s">
        <v>446</v>
      </c>
      <c r="H423" s="25">
        <f t="shared" si="7"/>
        <v>-1.3389000863806455E-2</v>
      </c>
    </row>
    <row r="424" spans="2:8">
      <c r="B424" s="55">
        <v>276.58999999999997</v>
      </c>
      <c r="C424" s="55">
        <v>279</v>
      </c>
      <c r="D424" s="55">
        <v>268</v>
      </c>
      <c r="E424" s="55">
        <v>271.08999999999997</v>
      </c>
      <c r="F424" s="55">
        <v>1952411</v>
      </c>
      <c r="G424" s="55" t="s">
        <v>447</v>
      </c>
      <c r="H424" s="25">
        <f t="shared" si="7"/>
        <v>2.0288465085396057E-2</v>
      </c>
    </row>
    <row r="425" spans="2:8">
      <c r="B425" s="55">
        <v>272.48</v>
      </c>
      <c r="C425" s="55">
        <v>273.57</v>
      </c>
      <c r="D425" s="55">
        <v>264.2</v>
      </c>
      <c r="E425" s="55">
        <v>270.64999999999998</v>
      </c>
      <c r="F425" s="55">
        <v>2328712</v>
      </c>
      <c r="G425" s="55" t="s">
        <v>448</v>
      </c>
      <c r="H425" s="25">
        <f t="shared" si="7"/>
        <v>6.7615000923704205E-3</v>
      </c>
    </row>
    <row r="426" spans="2:8">
      <c r="B426" s="55">
        <v>270.38</v>
      </c>
      <c r="C426" s="55">
        <v>274.66000000000003</v>
      </c>
      <c r="D426" s="55">
        <v>267.12</v>
      </c>
      <c r="E426" s="55">
        <v>267.77</v>
      </c>
      <c r="F426" s="55">
        <v>2176344</v>
      </c>
      <c r="G426" s="55" t="s">
        <v>449</v>
      </c>
      <c r="H426" s="25">
        <f t="shared" si="7"/>
        <v>9.7471710796579458E-3</v>
      </c>
    </row>
    <row r="427" spans="2:8">
      <c r="B427" s="55">
        <v>262.56</v>
      </c>
      <c r="C427" s="55">
        <v>262.815</v>
      </c>
      <c r="D427" s="55">
        <v>256.5</v>
      </c>
      <c r="E427" s="55">
        <v>258.48</v>
      </c>
      <c r="F427" s="55">
        <v>1715282</v>
      </c>
      <c r="G427" s="55" t="s">
        <v>450</v>
      </c>
      <c r="H427" s="25">
        <f t="shared" si="7"/>
        <v>1.5784586815227319E-2</v>
      </c>
    </row>
    <row r="428" spans="2:8">
      <c r="B428" s="55">
        <v>260.52999999999997</v>
      </c>
      <c r="C428" s="55">
        <v>265.68</v>
      </c>
      <c r="D428" s="55">
        <v>259.75</v>
      </c>
      <c r="E428" s="55">
        <v>264.8</v>
      </c>
      <c r="F428" s="55">
        <v>1712019</v>
      </c>
      <c r="G428" s="55" t="s">
        <v>451</v>
      </c>
      <c r="H428" s="25">
        <f t="shared" si="7"/>
        <v>-1.6125377643504635E-2</v>
      </c>
    </row>
    <row r="429" spans="2:8">
      <c r="B429" s="55">
        <v>266.45</v>
      </c>
      <c r="C429" s="55">
        <v>269.61200000000002</v>
      </c>
      <c r="D429" s="55">
        <v>261.75</v>
      </c>
      <c r="E429" s="55">
        <v>267.67</v>
      </c>
      <c r="F429" s="55">
        <v>1983482</v>
      </c>
      <c r="G429" s="55" t="s">
        <v>452</v>
      </c>
      <c r="H429" s="25">
        <f t="shared" si="7"/>
        <v>-4.5578510852917198E-3</v>
      </c>
    </row>
    <row r="430" spans="2:8">
      <c r="B430" s="55">
        <v>271.35000000000002</v>
      </c>
      <c r="C430" s="55">
        <v>281.33</v>
      </c>
      <c r="D430" s="55">
        <v>271.10000000000002</v>
      </c>
      <c r="E430" s="55">
        <v>278</v>
      </c>
      <c r="F430" s="55">
        <v>1979254</v>
      </c>
      <c r="G430" s="55" t="s">
        <v>453</v>
      </c>
      <c r="H430" s="25">
        <f t="shared" si="7"/>
        <v>-2.3920863309352391E-2</v>
      </c>
    </row>
    <row r="431" spans="2:8">
      <c r="B431" s="55">
        <v>280.01</v>
      </c>
      <c r="C431" s="55">
        <v>283.66000000000003</v>
      </c>
      <c r="D431" s="55">
        <v>272.01</v>
      </c>
      <c r="E431" s="55">
        <v>273.22000000000003</v>
      </c>
      <c r="F431" s="55">
        <v>2936177</v>
      </c>
      <c r="G431" s="55" t="s">
        <v>454</v>
      </c>
      <c r="H431" s="25">
        <f t="shared" si="7"/>
        <v>2.4851767806163494E-2</v>
      </c>
    </row>
    <row r="432" spans="2:8">
      <c r="B432" s="55">
        <v>268.82</v>
      </c>
      <c r="C432" s="55">
        <v>270.73</v>
      </c>
      <c r="D432" s="55">
        <v>265.7303</v>
      </c>
      <c r="E432" s="55">
        <v>269</v>
      </c>
      <c r="F432" s="55">
        <v>2187880</v>
      </c>
      <c r="G432" s="55" t="s">
        <v>455</v>
      </c>
      <c r="H432" s="25">
        <f t="shared" si="7"/>
        <v>-6.6914498141268375E-4</v>
      </c>
    </row>
    <row r="433" spans="2:8">
      <c r="B433" s="55">
        <v>259.74</v>
      </c>
      <c r="C433" s="55">
        <v>264.02730000000003</v>
      </c>
      <c r="D433" s="55">
        <v>257.61</v>
      </c>
      <c r="E433" s="55">
        <v>263</v>
      </c>
      <c r="F433" s="55">
        <v>1741395</v>
      </c>
      <c r="G433" s="55" t="s">
        <v>456</v>
      </c>
      <c r="H433" s="25">
        <f t="shared" si="7"/>
        <v>-1.2395437262357367E-2</v>
      </c>
    </row>
    <row r="434" spans="2:8">
      <c r="B434" s="55">
        <v>263.55</v>
      </c>
      <c r="C434" s="55">
        <v>271.76</v>
      </c>
      <c r="D434" s="55">
        <v>262.77999999999997</v>
      </c>
      <c r="E434" s="55">
        <v>266.69</v>
      </c>
      <c r="F434" s="55">
        <v>2224028</v>
      </c>
      <c r="G434" s="55" t="s">
        <v>457</v>
      </c>
      <c r="H434" s="25">
        <f t="shared" si="7"/>
        <v>-1.1773969777644444E-2</v>
      </c>
    </row>
    <row r="435" spans="2:8">
      <c r="B435" s="55">
        <v>259.8</v>
      </c>
      <c r="C435" s="55">
        <v>264.11</v>
      </c>
      <c r="D435" s="55">
        <v>259.52999999999997</v>
      </c>
      <c r="E435" s="55">
        <v>263</v>
      </c>
      <c r="F435" s="55">
        <v>1716982</v>
      </c>
      <c r="G435" s="55" t="s">
        <v>458</v>
      </c>
      <c r="H435" s="25">
        <f t="shared" si="7"/>
        <v>-1.2167300380228063E-2</v>
      </c>
    </row>
    <row r="436" spans="2:8">
      <c r="B436" s="55">
        <v>262.61</v>
      </c>
      <c r="C436" s="55">
        <v>270.76</v>
      </c>
      <c r="D436" s="55">
        <v>261.05</v>
      </c>
      <c r="E436" s="55">
        <v>270.75</v>
      </c>
      <c r="F436" s="55">
        <v>2866920</v>
      </c>
      <c r="G436" s="55" t="s">
        <v>459</v>
      </c>
      <c r="H436" s="25">
        <f t="shared" si="7"/>
        <v>-3.0064635272391449E-2</v>
      </c>
    </row>
    <row r="437" spans="2:8">
      <c r="B437" s="55">
        <v>270.76</v>
      </c>
      <c r="C437" s="55">
        <v>281.18</v>
      </c>
      <c r="D437" s="55">
        <v>269.44</v>
      </c>
      <c r="E437" s="55">
        <v>275.98</v>
      </c>
      <c r="F437" s="55">
        <v>2463590</v>
      </c>
      <c r="G437" s="55" t="s">
        <v>460</v>
      </c>
      <c r="H437" s="25">
        <f t="shared" si="7"/>
        <v>-1.8914414087977449E-2</v>
      </c>
    </row>
    <row r="438" spans="2:8">
      <c r="B438" s="55">
        <v>270.2</v>
      </c>
      <c r="C438" s="55">
        <v>274.64</v>
      </c>
      <c r="D438" s="55">
        <v>266.55</v>
      </c>
      <c r="E438" s="55">
        <v>269.58</v>
      </c>
      <c r="F438" s="55">
        <v>2109426</v>
      </c>
      <c r="G438" s="55" t="s">
        <v>461</v>
      </c>
      <c r="H438" s="25">
        <f t="shared" si="7"/>
        <v>2.2998738778841066E-3</v>
      </c>
    </row>
    <row r="439" spans="2:8">
      <c r="B439" s="55">
        <v>268.41000000000003</v>
      </c>
      <c r="C439" s="55">
        <v>270.44</v>
      </c>
      <c r="D439" s="55">
        <v>264.64</v>
      </c>
      <c r="E439" s="55">
        <v>266.89999999999998</v>
      </c>
      <c r="F439" s="55">
        <v>1553892</v>
      </c>
      <c r="G439" s="55" t="s">
        <v>462</v>
      </c>
      <c r="H439" s="25">
        <f t="shared" si="7"/>
        <v>5.6575496440616213E-3</v>
      </c>
    </row>
    <row r="440" spans="2:8">
      <c r="B440" s="55">
        <v>265.3</v>
      </c>
      <c r="C440" s="55">
        <v>267.45</v>
      </c>
      <c r="D440" s="55">
        <v>260.26</v>
      </c>
      <c r="E440" s="55">
        <v>266.99</v>
      </c>
      <c r="F440" s="55">
        <v>1368872</v>
      </c>
      <c r="G440" s="55" t="s">
        <v>463</v>
      </c>
      <c r="H440" s="25">
        <f t="shared" si="7"/>
        <v>-6.3298250870819084E-3</v>
      </c>
    </row>
    <row r="441" spans="2:8">
      <c r="B441" s="55">
        <v>266.76</v>
      </c>
      <c r="C441" s="55">
        <v>268.77999999999997</v>
      </c>
      <c r="D441" s="55">
        <v>260.91000000000003</v>
      </c>
      <c r="E441" s="55">
        <v>261.01</v>
      </c>
      <c r="F441" s="55">
        <v>1783227</v>
      </c>
      <c r="G441" s="55" t="s">
        <v>464</v>
      </c>
      <c r="H441" s="25">
        <f t="shared" si="7"/>
        <v>2.2029807287077041E-2</v>
      </c>
    </row>
    <row r="442" spans="2:8">
      <c r="B442" s="55">
        <v>260.14</v>
      </c>
      <c r="C442" s="55">
        <v>260.39</v>
      </c>
      <c r="D442" s="55">
        <v>253.97</v>
      </c>
      <c r="E442" s="55">
        <v>254.02</v>
      </c>
      <c r="F442" s="55">
        <v>1819860</v>
      </c>
      <c r="G442" s="55" t="s">
        <v>465</v>
      </c>
      <c r="H442" s="25">
        <f t="shared" si="7"/>
        <v>2.4092591134556196E-2</v>
      </c>
    </row>
    <row r="443" spans="2:8">
      <c r="B443" s="55">
        <v>255.2</v>
      </c>
      <c r="C443" s="55">
        <v>255.69</v>
      </c>
      <c r="D443" s="55">
        <v>243.36600000000001</v>
      </c>
      <c r="E443" s="55">
        <v>248.05</v>
      </c>
      <c r="F443" s="55">
        <v>1862959</v>
      </c>
      <c r="G443" s="55" t="s">
        <v>466</v>
      </c>
      <c r="H443" s="25">
        <f t="shared" ref="H443:H506" si="8">B443/E443-1</f>
        <v>2.8824833702882469E-2</v>
      </c>
    </row>
    <row r="444" spans="2:8">
      <c r="B444" s="55">
        <v>247.18</v>
      </c>
      <c r="C444" s="55">
        <v>249.375</v>
      </c>
      <c r="D444" s="55">
        <v>244.88</v>
      </c>
      <c r="E444" s="55">
        <v>249</v>
      </c>
      <c r="F444" s="55">
        <v>1440652</v>
      </c>
      <c r="G444" s="55" t="s">
        <v>467</v>
      </c>
      <c r="H444" s="25">
        <f t="shared" si="8"/>
        <v>-7.3092369477911756E-3</v>
      </c>
    </row>
    <row r="445" spans="2:8">
      <c r="B445" s="55">
        <v>248.58500000000001</v>
      </c>
      <c r="C445" s="55">
        <v>258.18</v>
      </c>
      <c r="D445" s="55">
        <v>247.1</v>
      </c>
      <c r="E445" s="55">
        <v>253.89</v>
      </c>
      <c r="F445" s="55">
        <v>2031718</v>
      </c>
      <c r="G445" s="55" t="s">
        <v>468</v>
      </c>
      <c r="H445" s="25">
        <f t="shared" si="8"/>
        <v>-2.0894875733585283E-2</v>
      </c>
    </row>
    <row r="446" spans="2:8">
      <c r="B446" s="55">
        <v>253.84</v>
      </c>
      <c r="C446" s="55">
        <v>265.89999999999998</v>
      </c>
      <c r="D446" s="55">
        <v>250.6507</v>
      </c>
      <c r="E446" s="55">
        <v>262.125</v>
      </c>
      <c r="F446" s="55">
        <v>2589521</v>
      </c>
      <c r="G446" s="55" t="s">
        <v>469</v>
      </c>
      <c r="H446" s="25">
        <f t="shared" si="8"/>
        <v>-3.1607057701478314E-2</v>
      </c>
    </row>
    <row r="447" spans="2:8">
      <c r="B447" s="55">
        <v>253.7</v>
      </c>
      <c r="C447" s="55">
        <v>257.77</v>
      </c>
      <c r="D447" s="55">
        <v>252.5</v>
      </c>
      <c r="E447" s="55">
        <v>255.84</v>
      </c>
      <c r="F447" s="55">
        <v>1938966</v>
      </c>
      <c r="G447" s="55" t="s">
        <v>470</v>
      </c>
      <c r="H447" s="25">
        <f t="shared" si="8"/>
        <v>-8.3646028767980773E-3</v>
      </c>
    </row>
    <row r="448" spans="2:8">
      <c r="B448" s="55">
        <v>255.51</v>
      </c>
      <c r="C448" s="55">
        <v>257.48989999999998</v>
      </c>
      <c r="D448" s="55">
        <v>251.76</v>
      </c>
      <c r="E448" s="55">
        <v>254.24</v>
      </c>
      <c r="F448" s="55">
        <v>2415272</v>
      </c>
      <c r="G448" s="55" t="s">
        <v>471</v>
      </c>
      <c r="H448" s="25">
        <f t="shared" si="8"/>
        <v>4.995280050346107E-3</v>
      </c>
    </row>
    <row r="449" spans="2:8">
      <c r="B449" s="55">
        <v>258.08</v>
      </c>
      <c r="C449" s="55">
        <v>261.77</v>
      </c>
      <c r="D449" s="55">
        <v>251.75</v>
      </c>
      <c r="E449" s="55">
        <v>258.26</v>
      </c>
      <c r="F449" s="55">
        <v>3071986</v>
      </c>
      <c r="G449" s="55" t="s">
        <v>472</v>
      </c>
      <c r="H449" s="25">
        <f t="shared" si="8"/>
        <v>-6.9697204367691334E-4</v>
      </c>
    </row>
    <row r="450" spans="2:8">
      <c r="B450" s="55">
        <v>259.47000000000003</v>
      </c>
      <c r="C450" s="55">
        <v>270</v>
      </c>
      <c r="D450" s="55">
        <v>249.1</v>
      </c>
      <c r="E450" s="55">
        <v>269.06</v>
      </c>
      <c r="F450" s="55">
        <v>7373333</v>
      </c>
      <c r="G450" s="55" t="s">
        <v>473</v>
      </c>
      <c r="H450" s="25">
        <f t="shared" si="8"/>
        <v>-3.5642607596818476E-2</v>
      </c>
    </row>
    <row r="451" spans="2:8">
      <c r="B451" s="55">
        <v>259.01</v>
      </c>
      <c r="C451" s="55">
        <v>263.35000000000002</v>
      </c>
      <c r="D451" s="55">
        <v>258.27999999999997</v>
      </c>
      <c r="E451" s="55">
        <v>261.86</v>
      </c>
      <c r="F451" s="55">
        <v>4753215</v>
      </c>
      <c r="G451" s="55" t="s">
        <v>474</v>
      </c>
      <c r="H451" s="25">
        <f t="shared" si="8"/>
        <v>-1.0883678301382482E-2</v>
      </c>
    </row>
    <row r="452" spans="2:8">
      <c r="B452" s="55">
        <v>258.83</v>
      </c>
      <c r="C452" s="55">
        <v>267.83</v>
      </c>
      <c r="D452" s="55">
        <v>255.29</v>
      </c>
      <c r="E452" s="55">
        <v>266.68</v>
      </c>
      <c r="F452" s="55">
        <v>2882023</v>
      </c>
      <c r="G452" s="55" t="s">
        <v>475</v>
      </c>
      <c r="H452" s="25">
        <f t="shared" si="8"/>
        <v>-2.9436028198590147E-2</v>
      </c>
    </row>
    <row r="453" spans="2:8">
      <c r="B453" s="55">
        <v>271.18</v>
      </c>
      <c r="C453" s="55">
        <v>272.32990000000001</v>
      </c>
      <c r="D453" s="55">
        <v>268.25</v>
      </c>
      <c r="E453" s="55">
        <v>270.79000000000002</v>
      </c>
      <c r="F453" s="55">
        <v>1955864</v>
      </c>
      <c r="G453" s="55" t="s">
        <v>476</v>
      </c>
      <c r="H453" s="25">
        <f t="shared" si="8"/>
        <v>1.4402304368699159E-3</v>
      </c>
    </row>
    <row r="454" spans="2:8">
      <c r="B454" s="55">
        <v>271.66000000000003</v>
      </c>
      <c r="C454" s="55">
        <v>275.04000000000002</v>
      </c>
      <c r="D454" s="55">
        <v>269.26</v>
      </c>
      <c r="E454" s="55">
        <v>272.14999999999998</v>
      </c>
      <c r="F454" s="55">
        <v>2507213</v>
      </c>
      <c r="G454" s="55" t="s">
        <v>477</v>
      </c>
      <c r="H454" s="25">
        <f t="shared" si="8"/>
        <v>-1.8004776777510445E-3</v>
      </c>
    </row>
    <row r="455" spans="2:8">
      <c r="B455" s="55">
        <v>268.55</v>
      </c>
      <c r="C455" s="55">
        <v>268.9547</v>
      </c>
      <c r="D455" s="55">
        <v>264.64</v>
      </c>
      <c r="E455" s="55">
        <v>265.11</v>
      </c>
      <c r="F455" s="55">
        <v>1605403</v>
      </c>
      <c r="G455" s="55" t="s">
        <v>478</v>
      </c>
      <c r="H455" s="25">
        <f t="shared" si="8"/>
        <v>1.2975745916789183E-2</v>
      </c>
    </row>
    <row r="456" spans="2:8">
      <c r="B456" s="55">
        <v>263.45</v>
      </c>
      <c r="C456" s="55">
        <v>267.3</v>
      </c>
      <c r="D456" s="55">
        <v>262.5</v>
      </c>
      <c r="E456" s="55">
        <v>265.64</v>
      </c>
      <c r="F456" s="55">
        <v>1613394</v>
      </c>
      <c r="G456" s="55" t="s">
        <v>479</v>
      </c>
      <c r="H456" s="25">
        <f t="shared" si="8"/>
        <v>-8.2442403252521723E-3</v>
      </c>
    </row>
    <row r="457" spans="2:8">
      <c r="B457" s="55">
        <v>265.63</v>
      </c>
      <c r="C457" s="55">
        <v>270.55</v>
      </c>
      <c r="D457" s="55">
        <v>263.58999999999997</v>
      </c>
      <c r="E457" s="55">
        <v>265.88</v>
      </c>
      <c r="F457" s="55">
        <v>1898141</v>
      </c>
      <c r="G457" s="55" t="s">
        <v>480</v>
      </c>
      <c r="H457" s="25">
        <f t="shared" si="8"/>
        <v>-9.4027380773276104E-4</v>
      </c>
    </row>
    <row r="458" spans="2:8">
      <c r="B458" s="55">
        <v>260.60000000000002</v>
      </c>
      <c r="C458" s="55">
        <v>261.32</v>
      </c>
      <c r="D458" s="55">
        <v>257.31</v>
      </c>
      <c r="E458" s="55">
        <v>259</v>
      </c>
      <c r="F458" s="55">
        <v>1411013</v>
      </c>
      <c r="G458" s="55" t="s">
        <v>481</v>
      </c>
      <c r="H458" s="25">
        <f t="shared" si="8"/>
        <v>6.1776061776062097E-3</v>
      </c>
    </row>
    <row r="459" spans="2:8">
      <c r="B459" s="55">
        <v>259.12</v>
      </c>
      <c r="C459" s="55">
        <v>263</v>
      </c>
      <c r="D459" s="55">
        <v>258.42</v>
      </c>
      <c r="E459" s="55">
        <v>259.60000000000002</v>
      </c>
      <c r="F459" s="55">
        <v>2061041</v>
      </c>
      <c r="G459" s="55" t="s">
        <v>482</v>
      </c>
      <c r="H459" s="25">
        <f t="shared" si="8"/>
        <v>-1.848998459167972E-3</v>
      </c>
    </row>
    <row r="460" spans="2:8">
      <c r="B460" s="55">
        <v>258.10000000000002</v>
      </c>
      <c r="C460" s="55">
        <v>259.89999999999998</v>
      </c>
      <c r="D460" s="55">
        <v>254.01</v>
      </c>
      <c r="E460" s="55">
        <v>258.2</v>
      </c>
      <c r="F460" s="55">
        <v>2090234</v>
      </c>
      <c r="G460" s="55" t="s">
        <v>483</v>
      </c>
      <c r="H460" s="25">
        <f t="shared" si="8"/>
        <v>-3.872966692485269E-4</v>
      </c>
    </row>
    <row r="461" spans="2:8">
      <c r="B461" s="55">
        <v>256.55</v>
      </c>
      <c r="C461" s="55">
        <v>258.33999999999997</v>
      </c>
      <c r="D461" s="55">
        <v>250.13</v>
      </c>
      <c r="E461" s="55">
        <v>250.82</v>
      </c>
      <c r="F461" s="55">
        <v>3213494</v>
      </c>
      <c r="G461" s="55" t="s">
        <v>484</v>
      </c>
      <c r="H461" s="25">
        <f t="shared" si="8"/>
        <v>2.2845068176381433E-2</v>
      </c>
    </row>
    <row r="462" spans="2:8">
      <c r="B462" s="55">
        <v>240.49</v>
      </c>
      <c r="C462" s="55">
        <v>244.5</v>
      </c>
      <c r="D462" s="55">
        <v>240.36</v>
      </c>
      <c r="E462" s="55">
        <v>243</v>
      </c>
      <c r="F462" s="55">
        <v>1157698</v>
      </c>
      <c r="G462" s="55" t="s">
        <v>485</v>
      </c>
      <c r="H462" s="25">
        <f t="shared" si="8"/>
        <v>-1.032921810699583E-2</v>
      </c>
    </row>
    <row r="463" spans="2:8">
      <c r="B463" s="55">
        <v>241.95</v>
      </c>
      <c r="C463" s="55">
        <v>245.73</v>
      </c>
      <c r="D463" s="55">
        <v>238.905</v>
      </c>
      <c r="E463" s="55">
        <v>241.34</v>
      </c>
      <c r="F463" s="55">
        <v>1860924</v>
      </c>
      <c r="G463" s="55" t="s">
        <v>486</v>
      </c>
      <c r="H463" s="25">
        <f t="shared" si="8"/>
        <v>2.5275544874450162E-3</v>
      </c>
    </row>
    <row r="464" spans="2:8">
      <c r="B464" s="55">
        <v>239.7</v>
      </c>
      <c r="C464" s="55">
        <v>240.82</v>
      </c>
      <c r="D464" s="55">
        <v>236.55</v>
      </c>
      <c r="E464" s="55">
        <v>239.92500000000001</v>
      </c>
      <c r="F464" s="55">
        <v>1411997</v>
      </c>
      <c r="G464" s="55" t="s">
        <v>487</v>
      </c>
      <c r="H464" s="25">
        <f t="shared" si="8"/>
        <v>-9.3779306033148213E-4</v>
      </c>
    </row>
    <row r="465" spans="2:8">
      <c r="B465" s="55">
        <v>238.72</v>
      </c>
      <c r="C465" s="55">
        <v>240.87</v>
      </c>
      <c r="D465" s="55">
        <v>237.28</v>
      </c>
      <c r="E465" s="55">
        <v>240.75</v>
      </c>
      <c r="F465" s="55">
        <v>1289980</v>
      </c>
      <c r="G465" s="55" t="s">
        <v>488</v>
      </c>
      <c r="H465" s="25">
        <f t="shared" si="8"/>
        <v>-8.4319833852544157E-3</v>
      </c>
    </row>
    <row r="466" spans="2:8">
      <c r="B466" s="55">
        <v>241.75</v>
      </c>
      <c r="C466" s="55">
        <v>243.1499</v>
      </c>
      <c r="D466" s="55">
        <v>235.93</v>
      </c>
      <c r="E466" s="55">
        <v>238.14</v>
      </c>
      <c r="F466" s="55">
        <v>1762405</v>
      </c>
      <c r="G466" s="55" t="s">
        <v>489</v>
      </c>
      <c r="H466" s="25">
        <f t="shared" si="8"/>
        <v>1.5159150079784967E-2</v>
      </c>
    </row>
    <row r="467" spans="2:8">
      <c r="B467" s="55">
        <v>233.44</v>
      </c>
      <c r="C467" s="55">
        <v>244.65</v>
      </c>
      <c r="D467" s="55">
        <v>232.95500000000001</v>
      </c>
      <c r="E467" s="55">
        <v>239.96</v>
      </c>
      <c r="F467" s="55">
        <v>1545129</v>
      </c>
      <c r="G467" s="55" t="s">
        <v>490</v>
      </c>
      <c r="H467" s="25">
        <f t="shared" si="8"/>
        <v>-2.717119519919986E-2</v>
      </c>
    </row>
    <row r="468" spans="2:8">
      <c r="B468" s="55">
        <v>236.9</v>
      </c>
      <c r="C468" s="55">
        <v>240.36</v>
      </c>
      <c r="D468" s="55">
        <v>234.0001</v>
      </c>
      <c r="E468" s="55">
        <v>235</v>
      </c>
      <c r="F468" s="55">
        <v>1848439</v>
      </c>
      <c r="G468" s="55" t="s">
        <v>491</v>
      </c>
      <c r="H468" s="25">
        <f t="shared" si="8"/>
        <v>8.0851063829787684E-3</v>
      </c>
    </row>
    <row r="469" spans="2:8">
      <c r="B469" s="55">
        <v>233.4</v>
      </c>
      <c r="C469" s="55">
        <v>236.35</v>
      </c>
      <c r="D469" s="55">
        <v>226.01</v>
      </c>
      <c r="E469" s="55">
        <v>228.08</v>
      </c>
      <c r="F469" s="55">
        <v>2857377</v>
      </c>
      <c r="G469" s="55" t="s">
        <v>492</v>
      </c>
      <c r="H469" s="25">
        <f t="shared" si="8"/>
        <v>2.3325149070501539E-2</v>
      </c>
    </row>
    <row r="470" spans="2:8">
      <c r="B470" s="55">
        <v>236</v>
      </c>
      <c r="C470" s="55">
        <v>243.25</v>
      </c>
      <c r="D470" s="55">
        <v>234.6901</v>
      </c>
      <c r="E470" s="55">
        <v>240</v>
      </c>
      <c r="F470" s="55">
        <v>3097868</v>
      </c>
      <c r="G470" s="55" t="s">
        <v>493</v>
      </c>
      <c r="H470" s="25">
        <f t="shared" si="8"/>
        <v>-1.6666666666666718E-2</v>
      </c>
    </row>
    <row r="471" spans="2:8">
      <c r="B471" s="55">
        <v>249.05</v>
      </c>
      <c r="C471" s="55">
        <v>260.12</v>
      </c>
      <c r="D471" s="55">
        <v>246.12010000000001</v>
      </c>
      <c r="E471" s="55">
        <v>258.67</v>
      </c>
      <c r="F471" s="55">
        <v>2119366</v>
      </c>
      <c r="G471" s="55" t="s">
        <v>494</v>
      </c>
      <c r="H471" s="25">
        <f t="shared" si="8"/>
        <v>-3.7190242393783546E-2</v>
      </c>
    </row>
    <row r="472" spans="2:8">
      <c r="B472" s="55">
        <v>258.66000000000003</v>
      </c>
      <c r="C472" s="55">
        <v>262.495</v>
      </c>
      <c r="D472" s="55">
        <v>256</v>
      </c>
      <c r="E472" s="55">
        <v>256</v>
      </c>
      <c r="F472" s="55">
        <v>2048769</v>
      </c>
      <c r="G472" s="55" t="s">
        <v>495</v>
      </c>
      <c r="H472" s="25">
        <f t="shared" si="8"/>
        <v>1.0390625000000098E-2</v>
      </c>
    </row>
    <row r="473" spans="2:8">
      <c r="B473" s="55">
        <v>256</v>
      </c>
      <c r="C473" s="55">
        <v>259.39</v>
      </c>
      <c r="D473" s="55">
        <v>253.7</v>
      </c>
      <c r="E473" s="55">
        <v>258.3</v>
      </c>
      <c r="F473" s="55">
        <v>1563921</v>
      </c>
      <c r="G473" s="55" t="s">
        <v>496</v>
      </c>
      <c r="H473" s="25">
        <f t="shared" si="8"/>
        <v>-8.9043747580332955E-3</v>
      </c>
    </row>
    <row r="474" spans="2:8">
      <c r="B474" s="55">
        <v>259.02999999999997</v>
      </c>
      <c r="C474" s="55">
        <v>260.45999999999998</v>
      </c>
      <c r="D474" s="55">
        <v>251.95</v>
      </c>
      <c r="E474" s="55">
        <v>256.39</v>
      </c>
      <c r="F474" s="55">
        <v>2308488</v>
      </c>
      <c r="G474" s="55" t="s">
        <v>497</v>
      </c>
      <c r="H474" s="25">
        <f t="shared" si="8"/>
        <v>1.0296813448262387E-2</v>
      </c>
    </row>
    <row r="475" spans="2:8">
      <c r="B475" s="55">
        <v>253.5</v>
      </c>
      <c r="C475" s="55">
        <v>257.26</v>
      </c>
      <c r="D475" s="55">
        <v>246.99</v>
      </c>
      <c r="E475" s="55">
        <v>250</v>
      </c>
      <c r="F475" s="55">
        <v>4121392</v>
      </c>
      <c r="G475" s="55" t="s">
        <v>498</v>
      </c>
      <c r="H475" s="25">
        <f t="shared" si="8"/>
        <v>1.4000000000000012E-2</v>
      </c>
    </row>
    <row r="476" spans="2:8">
      <c r="B476" s="55">
        <v>247.32</v>
      </c>
      <c r="C476" s="55">
        <v>262</v>
      </c>
      <c r="D476" s="55">
        <v>245.59</v>
      </c>
      <c r="E476" s="55">
        <v>260.98</v>
      </c>
      <c r="F476" s="55">
        <v>9370496</v>
      </c>
      <c r="G476" s="55" t="s">
        <v>499</v>
      </c>
      <c r="H476" s="25">
        <f t="shared" si="8"/>
        <v>-5.2341175569009191E-2</v>
      </c>
    </row>
    <row r="477" spans="2:8">
      <c r="B477" s="55">
        <v>272.06</v>
      </c>
      <c r="C477" s="55">
        <v>281</v>
      </c>
      <c r="D477" s="55">
        <v>268.77999999999997</v>
      </c>
      <c r="E477" s="55">
        <v>280.57</v>
      </c>
      <c r="F477" s="55">
        <v>2647113</v>
      </c>
      <c r="G477" s="55" t="s">
        <v>500</v>
      </c>
      <c r="H477" s="25">
        <f t="shared" si="8"/>
        <v>-3.0331111665538035E-2</v>
      </c>
    </row>
    <row r="478" spans="2:8">
      <c r="B478" s="55">
        <v>281.37</v>
      </c>
      <c r="C478" s="55">
        <v>287.25</v>
      </c>
      <c r="D478" s="55">
        <v>281.2</v>
      </c>
      <c r="E478" s="55">
        <v>285.2</v>
      </c>
      <c r="F478" s="55">
        <v>1494082</v>
      </c>
      <c r="G478" s="55" t="s">
        <v>501</v>
      </c>
      <c r="H478" s="25">
        <f t="shared" si="8"/>
        <v>-1.3429172510518894E-2</v>
      </c>
    </row>
    <row r="479" spans="2:8">
      <c r="B479" s="55">
        <v>285</v>
      </c>
      <c r="C479" s="55">
        <v>286.43</v>
      </c>
      <c r="D479" s="55">
        <v>280.85000000000002</v>
      </c>
      <c r="E479" s="55">
        <v>281.8</v>
      </c>
      <c r="F479" s="55">
        <v>1457603</v>
      </c>
      <c r="G479" s="55" t="s">
        <v>502</v>
      </c>
      <c r="H479" s="25">
        <f t="shared" si="8"/>
        <v>1.1355571327182457E-2</v>
      </c>
    </row>
    <row r="480" spans="2:8">
      <c r="B480" s="55">
        <v>280.23500000000001</v>
      </c>
      <c r="C480" s="55">
        <v>287</v>
      </c>
      <c r="D480" s="55">
        <v>279.16000000000003</v>
      </c>
      <c r="E480" s="55">
        <v>286.94</v>
      </c>
      <c r="F480" s="55">
        <v>1623740</v>
      </c>
      <c r="G480" s="55" t="s">
        <v>503</v>
      </c>
      <c r="H480" s="25">
        <f t="shared" si="8"/>
        <v>-2.3367254478288135E-2</v>
      </c>
    </row>
    <row r="481" spans="2:8">
      <c r="B481" s="55">
        <v>285.13</v>
      </c>
      <c r="C481" s="55">
        <v>295.35000000000002</v>
      </c>
      <c r="D481" s="55">
        <v>284.69</v>
      </c>
      <c r="E481" s="55">
        <v>293.69</v>
      </c>
      <c r="F481" s="55">
        <v>1885720</v>
      </c>
      <c r="G481" s="55" t="s">
        <v>504</v>
      </c>
      <c r="H481" s="25">
        <f t="shared" si="8"/>
        <v>-2.9146378834825848E-2</v>
      </c>
    </row>
    <row r="482" spans="2:8">
      <c r="B482" s="55">
        <v>292.68</v>
      </c>
      <c r="C482" s="55">
        <v>293.93990000000002</v>
      </c>
      <c r="D482" s="55">
        <v>288.51</v>
      </c>
      <c r="E482" s="55">
        <v>289.95499999999998</v>
      </c>
      <c r="F482" s="55">
        <v>1576403</v>
      </c>
      <c r="G482" s="55" t="s">
        <v>505</v>
      </c>
      <c r="H482" s="25">
        <f t="shared" si="8"/>
        <v>9.3980100360402385E-3</v>
      </c>
    </row>
    <row r="483" spans="2:8">
      <c r="B483" s="55">
        <v>291.76</v>
      </c>
      <c r="C483" s="55">
        <v>291.87200000000001</v>
      </c>
      <c r="D483" s="55">
        <v>282.03949999999998</v>
      </c>
      <c r="E483" s="55">
        <v>284.66000000000003</v>
      </c>
      <c r="F483" s="55">
        <v>1879096</v>
      </c>
      <c r="G483" s="55" t="s">
        <v>506</v>
      </c>
      <c r="H483" s="25">
        <f t="shared" si="8"/>
        <v>2.4942036113257737E-2</v>
      </c>
    </row>
    <row r="484" spans="2:8">
      <c r="B484" s="55">
        <v>283.72000000000003</v>
      </c>
      <c r="C484" s="55">
        <v>290</v>
      </c>
      <c r="D484" s="55">
        <v>282.58</v>
      </c>
      <c r="E484" s="55">
        <v>289.5</v>
      </c>
      <c r="F484" s="55">
        <v>2195129</v>
      </c>
      <c r="G484" s="55" t="s">
        <v>507</v>
      </c>
      <c r="H484" s="25">
        <f t="shared" si="8"/>
        <v>-1.9965457685664822E-2</v>
      </c>
    </row>
    <row r="485" spans="2:8">
      <c r="B485" s="55">
        <v>291.06</v>
      </c>
      <c r="C485" s="55">
        <v>296.38</v>
      </c>
      <c r="D485" s="55">
        <v>287.77999999999997</v>
      </c>
      <c r="E485" s="55">
        <v>292.81</v>
      </c>
      <c r="F485" s="55">
        <v>1797691</v>
      </c>
      <c r="G485" s="55" t="s">
        <v>508</v>
      </c>
      <c r="H485" s="25">
        <f t="shared" si="8"/>
        <v>-5.9765718383935074E-3</v>
      </c>
    </row>
    <row r="486" spans="2:8">
      <c r="B486" s="55">
        <v>289.2</v>
      </c>
      <c r="C486" s="55">
        <v>295.5</v>
      </c>
      <c r="D486" s="55">
        <v>288.39</v>
      </c>
      <c r="E486" s="55">
        <v>289.39999999999998</v>
      </c>
      <c r="F486" s="55">
        <v>1801010</v>
      </c>
      <c r="G486" s="55" t="s">
        <v>509</v>
      </c>
      <c r="H486" s="25">
        <f t="shared" si="8"/>
        <v>-6.9108500345538282E-4</v>
      </c>
    </row>
    <row r="487" spans="2:8">
      <c r="B487" s="55">
        <v>288.08</v>
      </c>
      <c r="C487" s="55">
        <v>290.20999999999998</v>
      </c>
      <c r="D487" s="55">
        <v>283.49</v>
      </c>
      <c r="E487" s="55">
        <v>288.79000000000002</v>
      </c>
      <c r="F487" s="55">
        <v>2192385</v>
      </c>
      <c r="G487" s="55" t="s">
        <v>510</v>
      </c>
      <c r="H487" s="25">
        <f t="shared" si="8"/>
        <v>-2.4585338827523007E-3</v>
      </c>
    </row>
    <row r="488" spans="2:8">
      <c r="B488" s="55">
        <v>289.87</v>
      </c>
      <c r="C488" s="55">
        <v>293.7</v>
      </c>
      <c r="D488" s="55">
        <v>288.11</v>
      </c>
      <c r="E488" s="55">
        <v>293.7</v>
      </c>
      <c r="F488" s="55">
        <v>2014009</v>
      </c>
      <c r="G488" s="55" t="s">
        <v>511</v>
      </c>
      <c r="H488" s="25">
        <f t="shared" si="8"/>
        <v>-1.3040517534899543E-2</v>
      </c>
    </row>
    <row r="489" spans="2:8">
      <c r="B489" s="55">
        <v>294.02999999999997</v>
      </c>
      <c r="C489" s="55">
        <v>301.91000000000003</v>
      </c>
      <c r="D489" s="55">
        <v>293.51</v>
      </c>
      <c r="E489" s="55">
        <v>300.42</v>
      </c>
      <c r="F489" s="55">
        <v>1705293</v>
      </c>
      <c r="G489" s="55" t="s">
        <v>512</v>
      </c>
      <c r="H489" s="25">
        <f t="shared" si="8"/>
        <v>-2.1270221689634661E-2</v>
      </c>
    </row>
    <row r="490" spans="2:8">
      <c r="B490" s="55">
        <v>298.14</v>
      </c>
      <c r="C490" s="55">
        <v>303.14</v>
      </c>
      <c r="D490" s="55">
        <v>296.8</v>
      </c>
      <c r="E490" s="55">
        <v>303.14</v>
      </c>
      <c r="F490" s="55">
        <v>1254975</v>
      </c>
      <c r="G490" s="55" t="s">
        <v>513</v>
      </c>
      <c r="H490" s="25">
        <f t="shared" si="8"/>
        <v>-1.6494029161443602E-2</v>
      </c>
    </row>
    <row r="491" spans="2:8">
      <c r="B491" s="55">
        <v>300.32</v>
      </c>
      <c r="C491" s="55">
        <v>302.58999999999997</v>
      </c>
      <c r="D491" s="55">
        <v>299.02</v>
      </c>
      <c r="E491" s="55">
        <v>301.67</v>
      </c>
      <c r="F491" s="55">
        <v>952001</v>
      </c>
      <c r="G491" s="55" t="s">
        <v>514</v>
      </c>
      <c r="H491" s="25">
        <f t="shared" si="8"/>
        <v>-4.4750886730534623E-3</v>
      </c>
    </row>
    <row r="492" spans="2:8">
      <c r="B492" s="55">
        <v>301.67</v>
      </c>
      <c r="C492" s="55">
        <v>304.39</v>
      </c>
      <c r="D492" s="55">
        <v>299.68</v>
      </c>
      <c r="E492" s="55">
        <v>300.45</v>
      </c>
      <c r="F492" s="55">
        <v>1434810</v>
      </c>
      <c r="G492" s="55" t="s">
        <v>515</v>
      </c>
      <c r="H492" s="25">
        <f t="shared" si="8"/>
        <v>4.060575802962374E-3</v>
      </c>
    </row>
    <row r="493" spans="2:8">
      <c r="B493" s="55">
        <v>302.36</v>
      </c>
      <c r="C493" s="55">
        <v>302.58</v>
      </c>
      <c r="D493" s="55">
        <v>295.49</v>
      </c>
      <c r="E493" s="55">
        <v>300.73</v>
      </c>
      <c r="F493" s="55">
        <v>1526544</v>
      </c>
      <c r="G493" s="55" t="s">
        <v>516</v>
      </c>
      <c r="H493" s="25">
        <f t="shared" si="8"/>
        <v>5.4201443154988649E-3</v>
      </c>
    </row>
    <row r="494" spans="2:8">
      <c r="B494" s="55">
        <v>298.7</v>
      </c>
      <c r="C494" s="55">
        <v>303.25</v>
      </c>
      <c r="D494" s="55">
        <v>296.20999999999998</v>
      </c>
      <c r="E494" s="55">
        <v>302</v>
      </c>
      <c r="F494" s="55">
        <v>3496845</v>
      </c>
      <c r="G494" s="55" t="s">
        <v>517</v>
      </c>
      <c r="H494" s="25">
        <f t="shared" si="8"/>
        <v>-1.0927152317880884E-2</v>
      </c>
    </row>
    <row r="495" spans="2:8">
      <c r="B495" s="55">
        <v>308.3</v>
      </c>
      <c r="C495" s="55">
        <v>308.44</v>
      </c>
      <c r="D495" s="55">
        <v>303.185</v>
      </c>
      <c r="E495" s="55">
        <v>304.16000000000003</v>
      </c>
      <c r="F495" s="55">
        <v>1410348</v>
      </c>
      <c r="G495" s="55" t="s">
        <v>518</v>
      </c>
      <c r="H495" s="25">
        <f t="shared" si="8"/>
        <v>1.3611257233035134E-2</v>
      </c>
    </row>
    <row r="496" spans="2:8">
      <c r="B496" s="55">
        <v>304.81</v>
      </c>
      <c r="C496" s="55">
        <v>309.88</v>
      </c>
      <c r="D496" s="55">
        <v>304.37</v>
      </c>
      <c r="E496" s="55">
        <v>308.77999999999997</v>
      </c>
      <c r="F496" s="55">
        <v>1265522</v>
      </c>
      <c r="G496" s="55" t="s">
        <v>519</v>
      </c>
      <c r="H496" s="25">
        <f t="shared" si="8"/>
        <v>-1.2857050327093611E-2</v>
      </c>
    </row>
    <row r="497" spans="2:8">
      <c r="B497" s="55">
        <v>309.07</v>
      </c>
      <c r="C497" s="55">
        <v>317.20999999999998</v>
      </c>
      <c r="D497" s="55">
        <v>307.69</v>
      </c>
      <c r="E497" s="55">
        <v>312.33999999999997</v>
      </c>
      <c r="F497" s="55">
        <v>1988991</v>
      </c>
      <c r="G497" s="55" t="s">
        <v>520</v>
      </c>
      <c r="H497" s="25">
        <f t="shared" si="8"/>
        <v>-1.0469360312479914E-2</v>
      </c>
    </row>
    <row r="498" spans="2:8">
      <c r="B498" s="55">
        <v>312.27999999999997</v>
      </c>
      <c r="C498" s="55">
        <v>316.52999999999997</v>
      </c>
      <c r="D498" s="55">
        <v>311.74</v>
      </c>
      <c r="E498" s="55">
        <v>312.29000000000002</v>
      </c>
      <c r="F498" s="55">
        <v>2155640</v>
      </c>
      <c r="G498" s="55" t="s">
        <v>521</v>
      </c>
      <c r="H498" s="25">
        <f t="shared" si="8"/>
        <v>-3.2021518460600973E-5</v>
      </c>
    </row>
    <row r="499" spans="2:8">
      <c r="B499" s="55">
        <v>311.82</v>
      </c>
      <c r="C499" s="55">
        <v>313.45</v>
      </c>
      <c r="D499" s="55">
        <v>309.10000000000002</v>
      </c>
      <c r="E499" s="55">
        <v>311.27</v>
      </c>
      <c r="F499" s="55">
        <v>3246862</v>
      </c>
      <c r="G499" s="55" t="s">
        <v>522</v>
      </c>
      <c r="H499" s="25">
        <f t="shared" si="8"/>
        <v>1.766954733832371E-3</v>
      </c>
    </row>
    <row r="500" spans="2:8">
      <c r="B500" s="55">
        <v>310.77</v>
      </c>
      <c r="C500" s="55">
        <v>314.66000000000003</v>
      </c>
      <c r="D500" s="55">
        <v>310.22000000000003</v>
      </c>
      <c r="E500" s="55">
        <v>314.38</v>
      </c>
      <c r="F500" s="55">
        <v>1626081</v>
      </c>
      <c r="G500" s="55" t="s">
        <v>523</v>
      </c>
      <c r="H500" s="25">
        <f t="shared" si="8"/>
        <v>-1.1482918760735483E-2</v>
      </c>
    </row>
    <row r="501" spans="2:8">
      <c r="B501" s="55">
        <v>313.23</v>
      </c>
      <c r="C501" s="55">
        <v>315.5</v>
      </c>
      <c r="D501" s="55">
        <v>311.52</v>
      </c>
      <c r="E501" s="55">
        <v>312.12</v>
      </c>
      <c r="F501" s="55">
        <v>1836769</v>
      </c>
      <c r="G501" s="55" t="s">
        <v>524</v>
      </c>
      <c r="H501" s="25">
        <f t="shared" si="8"/>
        <v>3.5563244905805202E-3</v>
      </c>
    </row>
    <row r="502" spans="2:8">
      <c r="B502" s="55">
        <v>312.91000000000003</v>
      </c>
      <c r="C502" s="55">
        <v>313.22000000000003</v>
      </c>
      <c r="D502" s="55">
        <v>303.75</v>
      </c>
      <c r="E502" s="55">
        <v>304.27999999999997</v>
      </c>
      <c r="F502" s="55">
        <v>1948862</v>
      </c>
      <c r="G502" s="55" t="s">
        <v>525</v>
      </c>
      <c r="H502" s="25">
        <f t="shared" si="8"/>
        <v>2.8362034967793104E-2</v>
      </c>
    </row>
    <row r="503" spans="2:8">
      <c r="B503" s="55">
        <v>306.01</v>
      </c>
      <c r="C503" s="55">
        <v>308</v>
      </c>
      <c r="D503" s="55">
        <v>303.16000000000003</v>
      </c>
      <c r="E503" s="55">
        <v>305.12</v>
      </c>
      <c r="F503" s="55">
        <v>1472697</v>
      </c>
      <c r="G503" s="55" t="s">
        <v>526</v>
      </c>
      <c r="H503" s="25">
        <f t="shared" si="8"/>
        <v>2.9168851599370438E-3</v>
      </c>
    </row>
    <row r="504" spans="2:8">
      <c r="B504" s="55">
        <v>307.49</v>
      </c>
      <c r="C504" s="55">
        <v>309.14</v>
      </c>
      <c r="D504" s="55">
        <v>303.87</v>
      </c>
      <c r="E504" s="55">
        <v>306.88</v>
      </c>
      <c r="F504" s="55">
        <v>2078436</v>
      </c>
      <c r="G504" s="55" t="s">
        <v>527</v>
      </c>
      <c r="H504" s="25">
        <f t="shared" si="8"/>
        <v>1.98774765380616E-3</v>
      </c>
    </row>
    <row r="505" spans="2:8">
      <c r="B505" s="55">
        <v>309.81</v>
      </c>
      <c r="C505" s="55">
        <v>321.95</v>
      </c>
      <c r="D505" s="55">
        <v>307.88</v>
      </c>
      <c r="E505" s="55">
        <v>321.89</v>
      </c>
      <c r="F505" s="55">
        <v>2681143</v>
      </c>
      <c r="G505" s="55" t="s">
        <v>528</v>
      </c>
      <c r="H505" s="25">
        <f t="shared" si="8"/>
        <v>-3.7528348193482164E-2</v>
      </c>
    </row>
    <row r="506" spans="2:8">
      <c r="B506" s="55">
        <v>318.04000000000002</v>
      </c>
      <c r="C506" s="55">
        <v>319.7</v>
      </c>
      <c r="D506" s="55">
        <v>314.76499999999999</v>
      </c>
      <c r="E506" s="55">
        <v>315.39</v>
      </c>
      <c r="F506" s="55">
        <v>1760714</v>
      </c>
      <c r="G506" s="55" t="s">
        <v>529</v>
      </c>
      <c r="H506" s="25">
        <f t="shared" si="8"/>
        <v>8.4022955705636004E-3</v>
      </c>
    </row>
    <row r="507" spans="2:8">
      <c r="B507" s="55">
        <v>318.26</v>
      </c>
      <c r="C507" s="55">
        <v>322.03100000000001</v>
      </c>
      <c r="D507" s="55">
        <v>314.01</v>
      </c>
      <c r="E507" s="55">
        <v>314.66000000000003</v>
      </c>
      <c r="F507" s="55">
        <v>2133390</v>
      </c>
      <c r="G507" s="55" t="s">
        <v>530</v>
      </c>
      <c r="H507" s="25">
        <f t="shared" ref="H507:H570" si="9">B507/E507-1</f>
        <v>1.1440920358481987E-2</v>
      </c>
    </row>
    <row r="508" spans="2:8">
      <c r="B508" s="55">
        <v>317.86</v>
      </c>
      <c r="C508" s="55">
        <v>329.73</v>
      </c>
      <c r="D508" s="55">
        <v>316.26</v>
      </c>
      <c r="E508" s="55">
        <v>321.19</v>
      </c>
      <c r="F508" s="55">
        <v>4031427</v>
      </c>
      <c r="G508" s="55" t="s">
        <v>531</v>
      </c>
      <c r="H508" s="25">
        <f t="shared" si="9"/>
        <v>-1.0367695133721377E-2</v>
      </c>
    </row>
    <row r="509" spans="2:8">
      <c r="B509" s="55">
        <v>323.02999999999997</v>
      </c>
      <c r="C509" s="55">
        <v>337.76</v>
      </c>
      <c r="D509" s="55">
        <v>314.64999999999998</v>
      </c>
      <c r="E509" s="55">
        <v>337.01</v>
      </c>
      <c r="F509" s="55">
        <v>12294686</v>
      </c>
      <c r="G509" s="55" t="s">
        <v>532</v>
      </c>
      <c r="H509" s="25">
        <f t="shared" si="9"/>
        <v>-4.1482448592029986E-2</v>
      </c>
    </row>
    <row r="510" spans="2:8">
      <c r="B510" s="55">
        <v>308.27</v>
      </c>
      <c r="C510" s="55">
        <v>308.76</v>
      </c>
      <c r="D510" s="55">
        <v>301.05</v>
      </c>
      <c r="E510" s="55">
        <v>308.76</v>
      </c>
      <c r="F510" s="55">
        <v>6609360</v>
      </c>
      <c r="G510" s="55" t="s">
        <v>533</v>
      </c>
      <c r="H510" s="25">
        <f t="shared" si="9"/>
        <v>-1.5869931338257093E-3</v>
      </c>
    </row>
    <row r="511" spans="2:8">
      <c r="B511" s="55">
        <v>306.77999999999997</v>
      </c>
      <c r="C511" s="55">
        <v>309.2799</v>
      </c>
      <c r="D511" s="55">
        <v>301.33999999999997</v>
      </c>
      <c r="E511" s="55">
        <v>303.89999999999998</v>
      </c>
      <c r="F511" s="55">
        <v>2151182</v>
      </c>
      <c r="G511" s="55" t="s">
        <v>534</v>
      </c>
      <c r="H511" s="25">
        <f t="shared" si="9"/>
        <v>9.4768015794668425E-3</v>
      </c>
    </row>
    <row r="512" spans="2:8">
      <c r="B512" s="55">
        <v>306.62</v>
      </c>
      <c r="C512" s="55">
        <v>314.13</v>
      </c>
      <c r="D512" s="55">
        <v>305.79000000000002</v>
      </c>
      <c r="E512" s="55">
        <v>311.26</v>
      </c>
      <c r="F512" s="55">
        <v>2098493</v>
      </c>
      <c r="G512" s="55" t="s">
        <v>535</v>
      </c>
      <c r="H512" s="25">
        <f t="shared" si="9"/>
        <v>-1.4907151577459365E-2</v>
      </c>
    </row>
    <row r="513" spans="2:8">
      <c r="B513" s="55">
        <v>311.99</v>
      </c>
      <c r="C513" s="55">
        <v>313.33</v>
      </c>
      <c r="D513" s="55">
        <v>306.7</v>
      </c>
      <c r="E513" s="55">
        <v>307.91000000000003</v>
      </c>
      <c r="F513" s="55">
        <v>4260685</v>
      </c>
      <c r="G513" s="55" t="s">
        <v>536</v>
      </c>
      <c r="H513" s="25">
        <f t="shared" si="9"/>
        <v>1.3250625182683162E-2</v>
      </c>
    </row>
    <row r="514" spans="2:8">
      <c r="B514" s="55">
        <v>302.89999999999998</v>
      </c>
      <c r="C514" s="55">
        <v>307.38</v>
      </c>
      <c r="D514" s="55">
        <v>299</v>
      </c>
      <c r="E514" s="55">
        <v>299.83999999999997</v>
      </c>
      <c r="F514" s="55">
        <v>2639394</v>
      </c>
      <c r="G514" s="55" t="s">
        <v>537</v>
      </c>
      <c r="H514" s="25">
        <f t="shared" si="9"/>
        <v>1.0205442902881501E-2</v>
      </c>
    </row>
    <row r="515" spans="2:8">
      <c r="B515" s="55">
        <v>298.54000000000002</v>
      </c>
      <c r="C515" s="55">
        <v>301.45</v>
      </c>
      <c r="D515" s="55">
        <v>293.36009999999999</v>
      </c>
      <c r="E515" s="55">
        <v>294</v>
      </c>
      <c r="F515" s="55">
        <v>2604463</v>
      </c>
      <c r="G515" s="55" t="s">
        <v>538</v>
      </c>
      <c r="H515" s="25">
        <f t="shared" si="9"/>
        <v>1.5442176870748447E-2</v>
      </c>
    </row>
    <row r="516" spans="2:8">
      <c r="B516" s="55">
        <v>295.25</v>
      </c>
      <c r="C516" s="55">
        <v>304.42</v>
      </c>
      <c r="D516" s="55">
        <v>293.03370000000001</v>
      </c>
      <c r="E516" s="55">
        <v>304</v>
      </c>
      <c r="F516" s="55">
        <v>2845612</v>
      </c>
      <c r="G516" s="55" t="s">
        <v>539</v>
      </c>
      <c r="H516" s="25">
        <f t="shared" si="9"/>
        <v>-2.8782894736842146E-2</v>
      </c>
    </row>
    <row r="517" spans="2:8">
      <c r="B517" s="55">
        <v>303.005</v>
      </c>
      <c r="C517" s="55">
        <v>306.92</v>
      </c>
      <c r="D517" s="55">
        <v>299.74009999999998</v>
      </c>
      <c r="E517" s="55">
        <v>301.52999999999997</v>
      </c>
      <c r="F517" s="55">
        <v>2284014</v>
      </c>
      <c r="G517" s="55" t="s">
        <v>540</v>
      </c>
      <c r="H517" s="25">
        <f t="shared" si="9"/>
        <v>4.8917189002752881E-3</v>
      </c>
    </row>
    <row r="518" spans="2:8">
      <c r="B518" s="55">
        <v>299.73500000000001</v>
      </c>
      <c r="C518" s="55">
        <v>303.66000000000003</v>
      </c>
      <c r="D518" s="55">
        <v>295.27999999999997</v>
      </c>
      <c r="E518" s="55">
        <v>299.64999999999998</v>
      </c>
      <c r="F518" s="55">
        <v>3824448</v>
      </c>
      <c r="G518" s="55" t="s">
        <v>541</v>
      </c>
      <c r="H518" s="25">
        <f t="shared" si="9"/>
        <v>2.8366427498771607E-4</v>
      </c>
    </row>
    <row r="519" spans="2:8">
      <c r="B519" s="55">
        <v>299.63</v>
      </c>
      <c r="C519" s="55">
        <v>307.91500000000002</v>
      </c>
      <c r="D519" s="55">
        <v>295.74</v>
      </c>
      <c r="E519" s="55">
        <v>306.91000000000003</v>
      </c>
      <c r="F519" s="55">
        <v>8918141</v>
      </c>
      <c r="G519" s="55" t="s">
        <v>542</v>
      </c>
      <c r="H519" s="25">
        <f t="shared" si="9"/>
        <v>-2.3720308885341046E-2</v>
      </c>
    </row>
    <row r="520" spans="2:8">
      <c r="B520" s="55">
        <v>322.98</v>
      </c>
      <c r="C520" s="55">
        <v>328.29</v>
      </c>
      <c r="D520" s="55">
        <v>322.15499999999997</v>
      </c>
      <c r="E520" s="55">
        <v>327.35000000000002</v>
      </c>
      <c r="F520" s="55">
        <v>2225135</v>
      </c>
      <c r="G520" s="55" t="s">
        <v>543</v>
      </c>
      <c r="H520" s="25">
        <f t="shared" si="9"/>
        <v>-1.33496257828013E-2</v>
      </c>
    </row>
    <row r="521" spans="2:8">
      <c r="B521" s="55">
        <v>327.07</v>
      </c>
      <c r="C521" s="55">
        <v>334.21</v>
      </c>
      <c r="D521" s="55">
        <v>323.66000000000003</v>
      </c>
      <c r="E521" s="55">
        <v>334.21</v>
      </c>
      <c r="F521" s="55">
        <v>3629163</v>
      </c>
      <c r="G521" s="55" t="s">
        <v>544</v>
      </c>
      <c r="H521" s="25">
        <f t="shared" si="9"/>
        <v>-2.1363813171359269E-2</v>
      </c>
    </row>
    <row r="522" spans="2:8">
      <c r="B522" s="55">
        <v>334.95</v>
      </c>
      <c r="C522" s="55">
        <v>338.75</v>
      </c>
      <c r="D522" s="55">
        <v>334.02</v>
      </c>
      <c r="E522" s="55">
        <v>338.75</v>
      </c>
      <c r="F522" s="55">
        <v>2588595</v>
      </c>
      <c r="G522" s="55" t="s">
        <v>545</v>
      </c>
      <c r="H522" s="25">
        <f t="shared" si="9"/>
        <v>-1.1217712177121753E-2</v>
      </c>
    </row>
    <row r="523" spans="2:8">
      <c r="B523" s="55">
        <v>338.28</v>
      </c>
      <c r="C523" s="55">
        <v>347.68</v>
      </c>
      <c r="D523" s="55">
        <v>337.54</v>
      </c>
      <c r="E523" s="55">
        <v>347.68</v>
      </c>
      <c r="F523" s="55">
        <v>3261381</v>
      </c>
      <c r="G523" s="55" t="s">
        <v>546</v>
      </c>
      <c r="H523" s="25">
        <f t="shared" si="9"/>
        <v>-2.7036355269213219E-2</v>
      </c>
    </row>
    <row r="524" spans="2:8">
      <c r="B524" s="55">
        <v>346.85</v>
      </c>
      <c r="C524" s="55">
        <v>354.53300000000002</v>
      </c>
      <c r="D524" s="55">
        <v>346.23500000000001</v>
      </c>
      <c r="E524" s="55">
        <v>354.5</v>
      </c>
      <c r="F524" s="55">
        <v>1527719</v>
      </c>
      <c r="G524" s="55" t="s">
        <v>547</v>
      </c>
      <c r="H524" s="25">
        <f t="shared" si="9"/>
        <v>-2.157968970380808E-2</v>
      </c>
    </row>
    <row r="525" spans="2:8">
      <c r="B525" s="55">
        <v>352.35</v>
      </c>
      <c r="C525" s="55">
        <v>353.39</v>
      </c>
      <c r="D525" s="55">
        <v>349.04</v>
      </c>
      <c r="E525" s="55">
        <v>349.04</v>
      </c>
      <c r="F525" s="55">
        <v>1228036</v>
      </c>
      <c r="G525" s="55" t="s">
        <v>548</v>
      </c>
      <c r="H525" s="25">
        <f t="shared" si="9"/>
        <v>9.4831537932615895E-3</v>
      </c>
    </row>
    <row r="526" spans="2:8">
      <c r="B526" s="55">
        <v>347.16</v>
      </c>
      <c r="C526" s="55">
        <v>355.44</v>
      </c>
      <c r="D526" s="55">
        <v>347</v>
      </c>
      <c r="E526" s="55">
        <v>354.37</v>
      </c>
      <c r="F526" s="55">
        <v>1482286</v>
      </c>
      <c r="G526" s="55" t="s">
        <v>549</v>
      </c>
      <c r="H526" s="25">
        <f t="shared" si="9"/>
        <v>-2.0345966080650091E-2</v>
      </c>
    </row>
    <row r="527" spans="2:8">
      <c r="B527" s="55">
        <v>352.96</v>
      </c>
      <c r="C527" s="55">
        <v>353.38</v>
      </c>
      <c r="D527" s="55">
        <v>347.39</v>
      </c>
      <c r="E527" s="55">
        <v>352.9</v>
      </c>
      <c r="F527" s="55">
        <v>1390923</v>
      </c>
      <c r="G527" s="55" t="s">
        <v>550</v>
      </c>
      <c r="H527" s="25">
        <f t="shared" si="9"/>
        <v>1.7001983564757239E-4</v>
      </c>
    </row>
    <row r="528" spans="2:8">
      <c r="B528" s="55">
        <v>352.95</v>
      </c>
      <c r="C528" s="55">
        <v>355.2</v>
      </c>
      <c r="D528" s="55">
        <v>346.11</v>
      </c>
      <c r="E528" s="55">
        <v>346.97</v>
      </c>
      <c r="F528" s="55">
        <v>1774813</v>
      </c>
      <c r="G528" s="55" t="s">
        <v>551</v>
      </c>
      <c r="H528" s="25">
        <f t="shared" si="9"/>
        <v>1.7234919445485053E-2</v>
      </c>
    </row>
    <row r="529" spans="2:8">
      <c r="B529" s="55">
        <v>345.61</v>
      </c>
      <c r="C529" s="55">
        <v>349.02</v>
      </c>
      <c r="D529" s="55">
        <v>345.07</v>
      </c>
      <c r="E529" s="55">
        <v>347.21</v>
      </c>
      <c r="F529" s="55">
        <v>1366350</v>
      </c>
      <c r="G529" s="55" t="s">
        <v>552</v>
      </c>
      <c r="H529" s="25">
        <f t="shared" si="9"/>
        <v>-4.6081622073096407E-3</v>
      </c>
    </row>
    <row r="530" spans="2:8">
      <c r="B530" s="55">
        <v>349.85</v>
      </c>
      <c r="C530" s="55">
        <v>354.16</v>
      </c>
      <c r="D530" s="55">
        <v>348.8</v>
      </c>
      <c r="E530" s="55">
        <v>350.98</v>
      </c>
      <c r="F530" s="55">
        <v>1207791</v>
      </c>
      <c r="G530" s="55" t="s">
        <v>553</v>
      </c>
      <c r="H530" s="25">
        <f t="shared" si="9"/>
        <v>-3.2195566698957068E-3</v>
      </c>
    </row>
    <row r="531" spans="2:8">
      <c r="B531" s="55">
        <v>350.24</v>
      </c>
      <c r="C531" s="55">
        <v>357.89769999999999</v>
      </c>
      <c r="D531" s="55">
        <v>349.17</v>
      </c>
      <c r="E531" s="55">
        <v>357</v>
      </c>
      <c r="F531" s="55">
        <v>1324141</v>
      </c>
      <c r="G531" s="55" t="s">
        <v>554</v>
      </c>
      <c r="H531" s="25">
        <f t="shared" si="9"/>
        <v>-1.8935574229691832E-2</v>
      </c>
    </row>
    <row r="532" spans="2:8">
      <c r="B532" s="55">
        <v>355.15</v>
      </c>
      <c r="C532" s="55">
        <v>357.05</v>
      </c>
      <c r="D532" s="55">
        <v>351.77</v>
      </c>
      <c r="E532" s="55">
        <v>355.2</v>
      </c>
      <c r="F532" s="55">
        <v>1257860</v>
      </c>
      <c r="G532" s="55" t="s">
        <v>555</v>
      </c>
      <c r="H532" s="25">
        <f t="shared" si="9"/>
        <v>-1.4076576576582678E-4</v>
      </c>
    </row>
    <row r="533" spans="2:8">
      <c r="B533" s="55">
        <v>350.8</v>
      </c>
      <c r="C533" s="55">
        <v>357.2903</v>
      </c>
      <c r="D533" s="55">
        <v>348.51</v>
      </c>
      <c r="E533" s="55">
        <v>356.34</v>
      </c>
      <c r="F533" s="55">
        <v>1818630</v>
      </c>
      <c r="G533" s="55" t="s">
        <v>556</v>
      </c>
      <c r="H533" s="25">
        <f t="shared" si="9"/>
        <v>-1.5546949542571631E-2</v>
      </c>
    </row>
    <row r="534" spans="2:8">
      <c r="B534" s="55">
        <v>354.4</v>
      </c>
      <c r="C534" s="55">
        <v>360.44499999999999</v>
      </c>
      <c r="D534" s="55">
        <v>351.67</v>
      </c>
      <c r="E534" s="55">
        <v>358.05</v>
      </c>
      <c r="F534" s="55">
        <v>1336148</v>
      </c>
      <c r="G534" s="55" t="s">
        <v>557</v>
      </c>
      <c r="H534" s="25">
        <f t="shared" si="9"/>
        <v>-1.0194106968300587E-2</v>
      </c>
    </row>
    <row r="535" spans="2:8">
      <c r="B535" s="55">
        <v>360.6</v>
      </c>
      <c r="C535" s="55">
        <v>362.59</v>
      </c>
      <c r="D535" s="55">
        <v>358.61770000000001</v>
      </c>
      <c r="E535" s="55">
        <v>362.59</v>
      </c>
      <c r="F535" s="55">
        <v>1592738</v>
      </c>
      <c r="G535" s="55" t="s">
        <v>558</v>
      </c>
      <c r="H535" s="25">
        <f t="shared" si="9"/>
        <v>-5.488292561846575E-3</v>
      </c>
    </row>
    <row r="536" spans="2:8">
      <c r="B536" s="55">
        <v>363.96</v>
      </c>
      <c r="C536" s="55">
        <v>366.98</v>
      </c>
      <c r="D536" s="55">
        <v>357.01499999999999</v>
      </c>
      <c r="E536" s="55">
        <v>357.89</v>
      </c>
      <c r="F536" s="55">
        <v>1361197</v>
      </c>
      <c r="G536" s="55" t="s">
        <v>559</v>
      </c>
      <c r="H536" s="25">
        <f t="shared" si="9"/>
        <v>1.696051859509895E-2</v>
      </c>
    </row>
    <row r="537" spans="2:8">
      <c r="B537" s="55">
        <v>364.7</v>
      </c>
      <c r="C537" s="55">
        <v>367.59</v>
      </c>
      <c r="D537" s="55">
        <v>359.39</v>
      </c>
      <c r="E537" s="55">
        <v>359.43</v>
      </c>
      <c r="F537" s="55">
        <v>1234535</v>
      </c>
      <c r="G537" s="55" t="s">
        <v>560</v>
      </c>
      <c r="H537" s="25">
        <f t="shared" si="9"/>
        <v>1.466210388670941E-2</v>
      </c>
    </row>
    <row r="538" spans="2:8">
      <c r="B538" s="55">
        <v>360</v>
      </c>
      <c r="C538" s="55">
        <v>364</v>
      </c>
      <c r="D538" s="55">
        <v>356.67</v>
      </c>
      <c r="E538" s="55">
        <v>363.19</v>
      </c>
      <c r="F538" s="55">
        <v>1538379</v>
      </c>
      <c r="G538" s="55" t="s">
        <v>561</v>
      </c>
      <c r="H538" s="25">
        <f t="shared" si="9"/>
        <v>-8.7832814780142154E-3</v>
      </c>
    </row>
    <row r="539" spans="2:8">
      <c r="B539" s="55">
        <v>364.59</v>
      </c>
      <c r="C539" s="55">
        <v>368.36</v>
      </c>
      <c r="D539" s="55">
        <v>361.21969999999999</v>
      </c>
      <c r="E539" s="55">
        <v>368.36</v>
      </c>
      <c r="F539" s="55">
        <v>1260327</v>
      </c>
      <c r="G539" s="55" t="s">
        <v>562</v>
      </c>
      <c r="H539" s="25">
        <f t="shared" si="9"/>
        <v>-1.0234553154522819E-2</v>
      </c>
    </row>
    <row r="540" spans="2:8">
      <c r="B540" s="55">
        <v>364.68</v>
      </c>
      <c r="C540" s="55">
        <v>366.19</v>
      </c>
      <c r="D540" s="55">
        <v>359.33</v>
      </c>
      <c r="E540" s="55">
        <v>362.17</v>
      </c>
      <c r="F540" s="55">
        <v>1589885</v>
      </c>
      <c r="G540" s="55" t="s">
        <v>563</v>
      </c>
      <c r="H540" s="25">
        <f t="shared" si="9"/>
        <v>6.9304470276390084E-3</v>
      </c>
    </row>
    <row r="541" spans="2:8">
      <c r="B541" s="55">
        <v>361.79</v>
      </c>
      <c r="C541" s="55">
        <v>364.63</v>
      </c>
      <c r="D541" s="55">
        <v>354.68</v>
      </c>
      <c r="E541" s="55">
        <v>354.68</v>
      </c>
      <c r="F541" s="55">
        <v>2537775</v>
      </c>
      <c r="G541" s="55" t="s">
        <v>564</v>
      </c>
      <c r="H541" s="25">
        <f t="shared" si="9"/>
        <v>2.0046238863200561E-2</v>
      </c>
    </row>
    <row r="542" spans="2:8">
      <c r="B542" s="55">
        <v>352.47</v>
      </c>
      <c r="C542" s="55">
        <v>353.1</v>
      </c>
      <c r="D542" s="55">
        <v>346.39</v>
      </c>
      <c r="E542" s="55">
        <v>346.96</v>
      </c>
      <c r="F542" s="55">
        <v>2470408</v>
      </c>
      <c r="G542" s="55" t="s">
        <v>565</v>
      </c>
      <c r="H542" s="25">
        <f t="shared" si="9"/>
        <v>1.5880793175006014E-2</v>
      </c>
    </row>
    <row r="543" spans="2:8">
      <c r="B543" s="55">
        <v>347.51</v>
      </c>
      <c r="C543" s="55">
        <v>352.1</v>
      </c>
      <c r="D543" s="55">
        <v>344.31</v>
      </c>
      <c r="E543" s="55">
        <v>346.5</v>
      </c>
      <c r="F543" s="55">
        <v>2180179</v>
      </c>
      <c r="G543" s="55" t="s">
        <v>566</v>
      </c>
      <c r="H543" s="25">
        <f t="shared" si="9"/>
        <v>2.9148629148629812E-3</v>
      </c>
    </row>
    <row r="544" spans="2:8">
      <c r="B544" s="55">
        <v>344.86</v>
      </c>
      <c r="C544" s="55">
        <v>346.44499999999999</v>
      </c>
      <c r="D544" s="55">
        <v>341.24</v>
      </c>
      <c r="E544" s="55">
        <v>342</v>
      </c>
      <c r="F544" s="55">
        <v>2147755</v>
      </c>
      <c r="G544" s="55" t="s">
        <v>567</v>
      </c>
      <c r="H544" s="25">
        <f t="shared" si="9"/>
        <v>8.3625730994152381E-3</v>
      </c>
    </row>
    <row r="545" spans="2:8">
      <c r="B545" s="55">
        <v>338.98</v>
      </c>
      <c r="C545" s="55">
        <v>341.11</v>
      </c>
      <c r="D545" s="55">
        <v>330.61</v>
      </c>
      <c r="E545" s="55">
        <v>334.03</v>
      </c>
      <c r="F545" s="55">
        <v>2147139</v>
      </c>
      <c r="G545" s="55" t="s">
        <v>568</v>
      </c>
      <c r="H545" s="25">
        <f t="shared" si="9"/>
        <v>1.4819028230997455E-2</v>
      </c>
    </row>
    <row r="546" spans="2:8">
      <c r="B546" s="55">
        <v>334.76</v>
      </c>
      <c r="C546" s="55">
        <v>343.82</v>
      </c>
      <c r="D546" s="55">
        <v>334.53</v>
      </c>
      <c r="E546" s="55">
        <v>340.99</v>
      </c>
      <c r="F546" s="55">
        <v>2326944</v>
      </c>
      <c r="G546" s="55" t="s">
        <v>569</v>
      </c>
      <c r="H546" s="25">
        <f t="shared" si="9"/>
        <v>-1.8270330508226129E-2</v>
      </c>
    </row>
    <row r="547" spans="2:8">
      <c r="B547" s="55">
        <v>336.13</v>
      </c>
      <c r="C547" s="55">
        <v>346.9</v>
      </c>
      <c r="D547" s="55">
        <v>336.04</v>
      </c>
      <c r="E547" s="55">
        <v>345.47</v>
      </c>
      <c r="F547" s="55">
        <v>2664781</v>
      </c>
      <c r="G547" s="55" t="s">
        <v>570</v>
      </c>
      <c r="H547" s="25">
        <f t="shared" si="9"/>
        <v>-2.7035632616435712E-2</v>
      </c>
    </row>
    <row r="548" spans="2:8">
      <c r="B548" s="55">
        <v>349.92</v>
      </c>
      <c r="C548" s="55">
        <v>352.05</v>
      </c>
      <c r="D548" s="55">
        <v>347.51</v>
      </c>
      <c r="E548" s="55">
        <v>350.59</v>
      </c>
      <c r="F548" s="55">
        <v>1948314</v>
      </c>
      <c r="G548" s="55" t="s">
        <v>571</v>
      </c>
      <c r="H548" s="25">
        <f t="shared" si="9"/>
        <v>-1.9110642060525818E-3</v>
      </c>
    </row>
    <row r="549" spans="2:8">
      <c r="B549" s="55">
        <v>350.25</v>
      </c>
      <c r="C549" s="55">
        <v>355.1798</v>
      </c>
      <c r="D549" s="55">
        <v>349.53</v>
      </c>
      <c r="E549" s="55">
        <v>352.8</v>
      </c>
      <c r="F549" s="55">
        <v>1962799</v>
      </c>
      <c r="G549" s="55" t="s">
        <v>572</v>
      </c>
      <c r="H549" s="25">
        <f t="shared" si="9"/>
        <v>-7.2278911564626069E-3</v>
      </c>
    </row>
    <row r="550" spans="2:8">
      <c r="B550" s="55">
        <v>358.8</v>
      </c>
      <c r="C550" s="55">
        <v>360.99</v>
      </c>
      <c r="D550" s="55">
        <v>355.41</v>
      </c>
      <c r="E550" s="55">
        <v>360.1</v>
      </c>
      <c r="F550" s="55">
        <v>1965638</v>
      </c>
      <c r="G550" s="55" t="s">
        <v>573</v>
      </c>
      <c r="H550" s="25">
        <f t="shared" si="9"/>
        <v>-3.6101083032491488E-3</v>
      </c>
    </row>
    <row r="551" spans="2:8">
      <c r="B551" s="55">
        <v>360.46</v>
      </c>
      <c r="C551" s="55">
        <v>361.72</v>
      </c>
      <c r="D551" s="55">
        <v>355.86750000000001</v>
      </c>
      <c r="E551" s="55">
        <v>358.61</v>
      </c>
      <c r="F551" s="55">
        <v>1684533</v>
      </c>
      <c r="G551" s="55" t="s">
        <v>574</v>
      </c>
      <c r="H551" s="25">
        <f t="shared" si="9"/>
        <v>5.1588076183040066E-3</v>
      </c>
    </row>
    <row r="552" spans="2:8">
      <c r="B552" s="55">
        <v>356.87</v>
      </c>
      <c r="C552" s="55">
        <v>360.82</v>
      </c>
      <c r="D552" s="55">
        <v>355.23</v>
      </c>
      <c r="E552" s="55">
        <v>357.9</v>
      </c>
      <c r="F552" s="55">
        <v>1809765</v>
      </c>
      <c r="G552" s="55" t="s">
        <v>575</v>
      </c>
      <c r="H552" s="25">
        <f t="shared" si="9"/>
        <v>-2.8778988544285733E-3</v>
      </c>
    </row>
    <row r="553" spans="2:8">
      <c r="B553" s="55">
        <v>357.56</v>
      </c>
      <c r="C553" s="55">
        <v>373.34</v>
      </c>
      <c r="D553" s="55">
        <v>356.75</v>
      </c>
      <c r="E553" s="55">
        <v>373</v>
      </c>
      <c r="F553" s="55">
        <v>4717602</v>
      </c>
      <c r="G553" s="55" t="s">
        <v>576</v>
      </c>
      <c r="H553" s="25">
        <f t="shared" si="9"/>
        <v>-4.1394101876675582E-2</v>
      </c>
    </row>
    <row r="554" spans="2:8">
      <c r="B554" s="55">
        <v>374.01</v>
      </c>
      <c r="C554" s="55">
        <v>379.8999</v>
      </c>
      <c r="D554" s="55">
        <v>373.81</v>
      </c>
      <c r="E554" s="55">
        <v>378.68</v>
      </c>
      <c r="F554" s="55">
        <v>1550842</v>
      </c>
      <c r="G554" s="55" t="s">
        <v>577</v>
      </c>
      <c r="H554" s="25">
        <f t="shared" si="9"/>
        <v>-1.2332312242526733E-2</v>
      </c>
    </row>
    <row r="555" spans="2:8">
      <c r="B555" s="55">
        <v>378.06</v>
      </c>
      <c r="C555" s="55">
        <v>381.64420000000001</v>
      </c>
      <c r="D555" s="55">
        <v>376.14</v>
      </c>
      <c r="E555" s="55">
        <v>380</v>
      </c>
      <c r="F555" s="55">
        <v>2137728</v>
      </c>
      <c r="G555" s="55" t="s">
        <v>578</v>
      </c>
      <c r="H555" s="25">
        <f t="shared" si="9"/>
        <v>-5.1052631578947238E-3</v>
      </c>
    </row>
    <row r="556" spans="2:8">
      <c r="B556" s="55">
        <v>385.2</v>
      </c>
      <c r="C556" s="55">
        <v>394</v>
      </c>
      <c r="D556" s="55">
        <v>384.02</v>
      </c>
      <c r="E556" s="55">
        <v>393.55</v>
      </c>
      <c r="F556" s="55">
        <v>1827485</v>
      </c>
      <c r="G556" s="55" t="s">
        <v>579</v>
      </c>
      <c r="H556" s="25">
        <f t="shared" si="9"/>
        <v>-2.1217126159319033E-2</v>
      </c>
    </row>
    <row r="557" spans="2:8">
      <c r="B557" s="55">
        <v>390.65</v>
      </c>
      <c r="C557" s="55">
        <v>394.31529999999998</v>
      </c>
      <c r="D557" s="55">
        <v>390.07</v>
      </c>
      <c r="E557" s="55">
        <v>390.5</v>
      </c>
      <c r="F557" s="55">
        <v>1699144</v>
      </c>
      <c r="G557" s="55" t="s">
        <v>580</v>
      </c>
      <c r="H557" s="25">
        <f t="shared" si="9"/>
        <v>3.8412291933420661E-4</v>
      </c>
    </row>
    <row r="558" spans="2:8">
      <c r="B558" s="55">
        <v>389.46</v>
      </c>
      <c r="C558" s="55">
        <v>394.46</v>
      </c>
      <c r="D558" s="55">
        <v>386.47</v>
      </c>
      <c r="E558" s="55">
        <v>387.08</v>
      </c>
      <c r="F558" s="55">
        <v>2340531</v>
      </c>
      <c r="G558" s="55" t="s">
        <v>581</v>
      </c>
      <c r="H558" s="25">
        <f t="shared" si="9"/>
        <v>6.1485997726566932E-3</v>
      </c>
    </row>
    <row r="559" spans="2:8">
      <c r="B559" s="55">
        <v>386.14</v>
      </c>
      <c r="C559" s="55">
        <v>395.27480000000003</v>
      </c>
      <c r="D559" s="55">
        <v>385.88</v>
      </c>
      <c r="E559" s="55">
        <v>393.59</v>
      </c>
      <c r="F559" s="55">
        <v>2881703</v>
      </c>
      <c r="G559" s="55" t="s">
        <v>582</v>
      </c>
      <c r="H559" s="25">
        <f t="shared" si="9"/>
        <v>-1.8928326431057685E-2</v>
      </c>
    </row>
    <row r="560" spans="2:8">
      <c r="B560" s="55">
        <v>388.9</v>
      </c>
      <c r="C560" s="55">
        <v>405.08499999999998</v>
      </c>
      <c r="D560" s="55">
        <v>387.05</v>
      </c>
      <c r="E560" s="55">
        <v>405.08499999999998</v>
      </c>
      <c r="F560" s="55">
        <v>5122872</v>
      </c>
      <c r="G560" s="55" t="s">
        <v>583</v>
      </c>
      <c r="H560" s="25">
        <f t="shared" si="9"/>
        <v>-3.995457743436559E-2</v>
      </c>
    </row>
    <row r="561" spans="2:8">
      <c r="B561" s="55">
        <v>403.19</v>
      </c>
      <c r="C561" s="55">
        <v>418.7</v>
      </c>
      <c r="D561" s="55">
        <v>387.11</v>
      </c>
      <c r="E561" s="55">
        <v>416.25</v>
      </c>
      <c r="F561" s="55">
        <v>19680078</v>
      </c>
      <c r="G561" s="55" t="s">
        <v>584</v>
      </c>
      <c r="H561" s="25">
        <f t="shared" si="9"/>
        <v>-3.1375375375375381E-2</v>
      </c>
    </row>
    <row r="562" spans="2:8">
      <c r="B562" s="55">
        <v>478.84</v>
      </c>
      <c r="C562" s="55">
        <v>480.94</v>
      </c>
      <c r="D562" s="55">
        <v>469</v>
      </c>
      <c r="E562" s="55">
        <v>472</v>
      </c>
      <c r="F562" s="55">
        <v>4022027</v>
      </c>
      <c r="G562" s="55" t="s">
        <v>585</v>
      </c>
      <c r="H562" s="25">
        <f t="shared" si="9"/>
        <v>1.4491525423728779E-2</v>
      </c>
    </row>
    <row r="563" spans="2:8">
      <c r="B563" s="55">
        <v>469.05</v>
      </c>
      <c r="C563" s="55">
        <v>469.78629999999998</v>
      </c>
      <c r="D563" s="55">
        <v>461.92</v>
      </c>
      <c r="E563" s="55">
        <v>467.34</v>
      </c>
      <c r="F563" s="55">
        <v>1627824</v>
      </c>
      <c r="G563" s="55" t="s">
        <v>586</v>
      </c>
      <c r="H563" s="25">
        <f t="shared" si="9"/>
        <v>3.6590062909231946E-3</v>
      </c>
    </row>
    <row r="564" spans="2:8">
      <c r="B564" s="55">
        <v>467.27</v>
      </c>
      <c r="C564" s="55">
        <v>467.86</v>
      </c>
      <c r="D564" s="55">
        <v>454.23</v>
      </c>
      <c r="E564" s="55">
        <v>457.69</v>
      </c>
      <c r="F564" s="55">
        <v>1428923</v>
      </c>
      <c r="G564" s="55" t="s">
        <v>587</v>
      </c>
      <c r="H564" s="25">
        <f t="shared" si="9"/>
        <v>2.0931197972426707E-2</v>
      </c>
    </row>
    <row r="565" spans="2:8">
      <c r="B565" s="55">
        <v>459.57</v>
      </c>
      <c r="C565" s="55">
        <v>469.69</v>
      </c>
      <c r="D565" s="55">
        <v>459.48</v>
      </c>
      <c r="E565" s="55">
        <v>465.92</v>
      </c>
      <c r="F565" s="55">
        <v>1261256</v>
      </c>
      <c r="G565" s="55" t="s">
        <v>588</v>
      </c>
      <c r="H565" s="25">
        <f t="shared" si="9"/>
        <v>-1.3628949175824245E-2</v>
      </c>
    </row>
    <row r="566" spans="2:8">
      <c r="B566" s="55">
        <v>464.94</v>
      </c>
      <c r="C566" s="55">
        <v>470.67</v>
      </c>
      <c r="D566" s="55">
        <v>463.16419999999999</v>
      </c>
      <c r="E566" s="55">
        <v>467.12</v>
      </c>
      <c r="F566" s="55">
        <v>1678133</v>
      </c>
      <c r="G566" s="55" t="s">
        <v>589</v>
      </c>
      <c r="H566" s="25">
        <f t="shared" si="9"/>
        <v>-4.6668950162699341E-3</v>
      </c>
    </row>
    <row r="567" spans="2:8">
      <c r="B567" s="55">
        <v>470.01</v>
      </c>
      <c r="C567" s="55">
        <v>472.06</v>
      </c>
      <c r="D567" s="55">
        <v>462.75</v>
      </c>
      <c r="E567" s="55">
        <v>472.06</v>
      </c>
      <c r="F567" s="55">
        <v>1316881</v>
      </c>
      <c r="G567" s="55" t="s">
        <v>590</v>
      </c>
      <c r="H567" s="25">
        <f t="shared" si="9"/>
        <v>-4.3426683048765069E-3</v>
      </c>
    </row>
    <row r="568" spans="2:8">
      <c r="B568" s="55">
        <v>465.55</v>
      </c>
      <c r="C568" s="55">
        <v>471.7199</v>
      </c>
      <c r="D568" s="55">
        <v>465.37</v>
      </c>
      <c r="E568" s="55">
        <v>467.93</v>
      </c>
      <c r="F568" s="55">
        <v>799871</v>
      </c>
      <c r="G568" s="55" t="s">
        <v>591</v>
      </c>
      <c r="H568" s="25">
        <f t="shared" si="9"/>
        <v>-5.0862308464941774E-3</v>
      </c>
    </row>
    <row r="569" spans="2:8">
      <c r="B569" s="55">
        <v>465.28</v>
      </c>
      <c r="C569" s="55">
        <v>467.86</v>
      </c>
      <c r="D569" s="55">
        <v>458.56</v>
      </c>
      <c r="E569" s="55">
        <v>459.48</v>
      </c>
      <c r="F569" s="55">
        <v>841235</v>
      </c>
      <c r="G569" s="55" t="s">
        <v>592</v>
      </c>
      <c r="H569" s="25">
        <f t="shared" si="9"/>
        <v>1.2622965090972382E-2</v>
      </c>
    </row>
    <row r="570" spans="2:8">
      <c r="B570" s="55">
        <v>457.76</v>
      </c>
      <c r="C570" s="55">
        <v>461.53</v>
      </c>
      <c r="D570" s="55">
        <v>453.67</v>
      </c>
      <c r="E570" s="55">
        <v>461.53</v>
      </c>
      <c r="F570" s="55">
        <v>729732</v>
      </c>
      <c r="G570" s="55" t="s">
        <v>593</v>
      </c>
      <c r="H570" s="25">
        <f t="shared" si="9"/>
        <v>-8.1684830888565374E-3</v>
      </c>
    </row>
    <row r="571" spans="2:8">
      <c r="B571" s="55">
        <v>460.39</v>
      </c>
      <c r="C571" s="55">
        <v>465.42</v>
      </c>
      <c r="D571" s="55">
        <v>457.29</v>
      </c>
      <c r="E571" s="55">
        <v>461.27</v>
      </c>
      <c r="F571" s="55">
        <v>755175</v>
      </c>
      <c r="G571" s="55" t="s">
        <v>594</v>
      </c>
      <c r="H571" s="25">
        <f t="shared" ref="H571:H634" si="10">B571/E571-1</f>
        <v>-1.9077763565806816E-3</v>
      </c>
    </row>
    <row r="572" spans="2:8">
      <c r="B572" s="55">
        <v>457.28</v>
      </c>
      <c r="C572" s="55">
        <v>461</v>
      </c>
      <c r="D572" s="55">
        <v>449.03</v>
      </c>
      <c r="E572" s="55">
        <v>449.03</v>
      </c>
      <c r="F572" s="55">
        <v>1078429</v>
      </c>
      <c r="G572" s="55" t="s">
        <v>595</v>
      </c>
      <c r="H572" s="25">
        <f t="shared" si="10"/>
        <v>1.8372937220230368E-2</v>
      </c>
    </row>
    <row r="573" spans="2:8">
      <c r="B573" s="55">
        <v>448.54</v>
      </c>
      <c r="C573" s="55">
        <v>452.66</v>
      </c>
      <c r="D573" s="55">
        <v>443.52</v>
      </c>
      <c r="E573" s="55">
        <v>451.99</v>
      </c>
      <c r="F573" s="55">
        <v>941273</v>
      </c>
      <c r="G573" s="55" t="s">
        <v>596</v>
      </c>
      <c r="H573" s="25">
        <f t="shared" si="10"/>
        <v>-7.6329122325714538E-3</v>
      </c>
    </row>
    <row r="574" spans="2:8">
      <c r="B574" s="55">
        <v>446.06</v>
      </c>
      <c r="C574" s="55">
        <v>448.81</v>
      </c>
      <c r="D574" s="55">
        <v>443.61</v>
      </c>
      <c r="E574" s="55">
        <v>448.81</v>
      </c>
      <c r="F574" s="55">
        <v>975657</v>
      </c>
      <c r="G574" s="55" t="s">
        <v>597</v>
      </c>
      <c r="H574" s="25">
        <f t="shared" si="10"/>
        <v>-6.1273144537777879E-3</v>
      </c>
    </row>
    <row r="575" spans="2:8">
      <c r="B575" s="55">
        <v>450.79</v>
      </c>
      <c r="C575" s="55">
        <v>459.03</v>
      </c>
      <c r="D575" s="55">
        <v>449.77</v>
      </c>
      <c r="E575" s="55">
        <v>458.63</v>
      </c>
      <c r="F575" s="55">
        <v>1254151</v>
      </c>
      <c r="G575" s="55" t="s">
        <v>598</v>
      </c>
      <c r="H575" s="25">
        <f t="shared" si="10"/>
        <v>-1.7094389813139044E-2</v>
      </c>
    </row>
    <row r="576" spans="2:8">
      <c r="B576" s="55">
        <v>458.5</v>
      </c>
      <c r="C576" s="55">
        <v>464.57</v>
      </c>
      <c r="D576" s="55">
        <v>457.63</v>
      </c>
      <c r="E576" s="55">
        <v>461.44</v>
      </c>
      <c r="F576" s="55">
        <v>1295260</v>
      </c>
      <c r="G576" s="55" t="s">
        <v>599</v>
      </c>
      <c r="H576" s="25">
        <f t="shared" si="10"/>
        <v>-6.3713592233010097E-3</v>
      </c>
    </row>
    <row r="577" spans="2:8">
      <c r="B577" s="55">
        <v>467.09</v>
      </c>
      <c r="C577" s="55">
        <v>469.9</v>
      </c>
      <c r="D577" s="55">
        <v>461.1</v>
      </c>
      <c r="E577" s="55">
        <v>466.03</v>
      </c>
      <c r="F577" s="55">
        <v>1431890</v>
      </c>
      <c r="G577" s="55" t="s">
        <v>600</v>
      </c>
      <c r="H577" s="25">
        <f t="shared" si="10"/>
        <v>2.274531682509684E-3</v>
      </c>
    </row>
    <row r="578" spans="2:8">
      <c r="B578" s="55">
        <v>464.14</v>
      </c>
      <c r="C578" s="55">
        <v>474.17</v>
      </c>
      <c r="D578" s="55">
        <v>463.34</v>
      </c>
      <c r="E578" s="55">
        <v>466.5</v>
      </c>
      <c r="F578" s="55">
        <v>913757</v>
      </c>
      <c r="G578" s="55" t="s">
        <v>601</v>
      </c>
      <c r="H578" s="25">
        <f t="shared" si="10"/>
        <v>-5.0589496248660826E-3</v>
      </c>
    </row>
    <row r="579" spans="2:8">
      <c r="B579" s="55">
        <v>467.84</v>
      </c>
      <c r="C579" s="55">
        <v>471.5</v>
      </c>
      <c r="D579" s="55">
        <v>463.94499999999999</v>
      </c>
      <c r="E579" s="55">
        <v>471.09</v>
      </c>
      <c r="F579" s="55">
        <v>919605</v>
      </c>
      <c r="G579" s="55" t="s">
        <v>602</v>
      </c>
      <c r="H579" s="25">
        <f t="shared" si="10"/>
        <v>-6.8988940542147326E-3</v>
      </c>
    </row>
    <row r="580" spans="2:8">
      <c r="B580" s="55">
        <v>468.25</v>
      </c>
      <c r="C580" s="55">
        <v>472.96</v>
      </c>
      <c r="D580" s="55">
        <v>459.26</v>
      </c>
      <c r="E580" s="55">
        <v>461.06</v>
      </c>
      <c r="F580" s="55">
        <v>1446990</v>
      </c>
      <c r="G580" s="55" t="s">
        <v>603</v>
      </c>
      <c r="H580" s="25">
        <f t="shared" si="10"/>
        <v>1.5594499631284453E-2</v>
      </c>
    </row>
    <row r="581" spans="2:8">
      <c r="B581" s="55">
        <v>457.89</v>
      </c>
      <c r="C581" s="55">
        <v>462.82</v>
      </c>
      <c r="D581" s="55">
        <v>454.22</v>
      </c>
      <c r="E581" s="55">
        <v>458.5</v>
      </c>
      <c r="F581" s="55">
        <v>862276</v>
      </c>
      <c r="G581" s="55" t="s">
        <v>604</v>
      </c>
      <c r="H581" s="25">
        <f t="shared" si="10"/>
        <v>-1.3304252998910249E-3</v>
      </c>
    </row>
    <row r="582" spans="2:8">
      <c r="B582" s="55">
        <v>455.26</v>
      </c>
      <c r="C582" s="55">
        <v>457.36</v>
      </c>
      <c r="D582" s="55">
        <v>447.35</v>
      </c>
      <c r="E582" s="55">
        <v>448.1</v>
      </c>
      <c r="F582" s="55">
        <v>1104969</v>
      </c>
      <c r="G582" s="55" t="s">
        <v>605</v>
      </c>
      <c r="H582" s="25">
        <f t="shared" si="10"/>
        <v>1.5978576210667228E-2</v>
      </c>
    </row>
    <row r="583" spans="2:8">
      <c r="B583" s="55">
        <v>443.46</v>
      </c>
      <c r="C583" s="55">
        <v>448.41</v>
      </c>
      <c r="D583" s="55">
        <v>440.26</v>
      </c>
      <c r="E583" s="55">
        <v>447.28</v>
      </c>
      <c r="F583" s="55">
        <v>808288</v>
      </c>
      <c r="G583" s="55" t="s">
        <v>606</v>
      </c>
      <c r="H583" s="25">
        <f t="shared" si="10"/>
        <v>-8.5405115363977879E-3</v>
      </c>
    </row>
    <row r="584" spans="2:8">
      <c r="B584" s="55">
        <v>444.6</v>
      </c>
      <c r="C584" s="55">
        <v>449.6</v>
      </c>
      <c r="D584" s="55">
        <v>441.01</v>
      </c>
      <c r="E584" s="55">
        <v>445.77</v>
      </c>
      <c r="F584" s="55">
        <v>1185268</v>
      </c>
      <c r="G584" s="55" t="s">
        <v>607</v>
      </c>
      <c r="H584" s="25">
        <f t="shared" si="10"/>
        <v>-2.624671916010457E-3</v>
      </c>
    </row>
    <row r="585" spans="2:8">
      <c r="B585" s="55">
        <v>449.6</v>
      </c>
      <c r="C585" s="55">
        <v>457.39</v>
      </c>
      <c r="D585" s="55">
        <v>445.53</v>
      </c>
      <c r="E585" s="55">
        <v>457.12</v>
      </c>
      <c r="F585" s="55">
        <v>1340971</v>
      </c>
      <c r="G585" s="55" t="s">
        <v>608</v>
      </c>
      <c r="H585" s="25">
        <f t="shared" si="10"/>
        <v>-1.6450822541127064E-2</v>
      </c>
    </row>
    <row r="586" spans="2:8">
      <c r="B586" s="55">
        <v>458.98</v>
      </c>
      <c r="C586" s="55">
        <v>463.24</v>
      </c>
      <c r="D586" s="55">
        <v>454.50009999999997</v>
      </c>
      <c r="E586" s="55">
        <v>461.32</v>
      </c>
      <c r="F586" s="55">
        <v>915605</v>
      </c>
      <c r="G586" s="55" t="s">
        <v>609</v>
      </c>
      <c r="H586" s="25">
        <f t="shared" si="10"/>
        <v>-5.0724009364432332E-3</v>
      </c>
    </row>
    <row r="587" spans="2:8">
      <c r="B587" s="55">
        <v>460.71</v>
      </c>
      <c r="C587" s="55">
        <v>461.99</v>
      </c>
      <c r="D587" s="55">
        <v>456.7</v>
      </c>
      <c r="E587" s="55">
        <v>460.44</v>
      </c>
      <c r="F587" s="55">
        <v>697273</v>
      </c>
      <c r="G587" s="55" t="s">
        <v>610</v>
      </c>
      <c r="H587" s="25">
        <f t="shared" si="10"/>
        <v>5.8639562157924985E-4</v>
      </c>
    </row>
    <row r="588" spans="2:8">
      <c r="B588" s="55">
        <v>456.23</v>
      </c>
      <c r="C588" s="55">
        <v>461.95</v>
      </c>
      <c r="D588" s="55">
        <v>454</v>
      </c>
      <c r="E588" s="55">
        <v>457.56</v>
      </c>
      <c r="F588" s="55">
        <v>1264280</v>
      </c>
      <c r="G588" s="55" t="s">
        <v>611</v>
      </c>
      <c r="H588" s="25">
        <f t="shared" si="10"/>
        <v>-2.9067226156131998E-3</v>
      </c>
    </row>
    <row r="589" spans="2:8">
      <c r="B589" s="55">
        <v>466.08</v>
      </c>
      <c r="C589" s="55">
        <v>478</v>
      </c>
      <c r="D589" s="55">
        <v>465.12</v>
      </c>
      <c r="E589" s="55">
        <v>473.28</v>
      </c>
      <c r="F589" s="55">
        <v>1174690</v>
      </c>
      <c r="G589" s="55" t="s">
        <v>612</v>
      </c>
      <c r="H589" s="25">
        <f t="shared" si="10"/>
        <v>-1.5212981744421872E-2</v>
      </c>
    </row>
    <row r="590" spans="2:8">
      <c r="B590" s="55">
        <v>470.24</v>
      </c>
      <c r="C590" s="55">
        <v>471.26</v>
      </c>
      <c r="D590" s="55">
        <v>458.78</v>
      </c>
      <c r="E590" s="55">
        <v>466.61</v>
      </c>
      <c r="F590" s="55">
        <v>1350033</v>
      </c>
      <c r="G590" s="55" t="s">
        <v>613</v>
      </c>
      <c r="H590" s="25">
        <f t="shared" si="10"/>
        <v>7.7795160840958832E-3</v>
      </c>
    </row>
    <row r="591" spans="2:8">
      <c r="B591" s="55">
        <v>472.98</v>
      </c>
      <c r="C591" s="55">
        <v>476.62</v>
      </c>
      <c r="D591" s="55">
        <v>460.97500000000002</v>
      </c>
      <c r="E591" s="55">
        <v>463.27</v>
      </c>
      <c r="F591" s="55">
        <v>1510301</v>
      </c>
      <c r="G591" s="55" t="s">
        <v>614</v>
      </c>
      <c r="H591" s="25">
        <f t="shared" si="10"/>
        <v>2.0959699527273612E-2</v>
      </c>
    </row>
    <row r="592" spans="2:8">
      <c r="B592" s="55">
        <v>457.75</v>
      </c>
      <c r="C592" s="55">
        <v>463.25</v>
      </c>
      <c r="D592" s="55">
        <v>456.2</v>
      </c>
      <c r="E592" s="55">
        <v>459.04</v>
      </c>
      <c r="F592" s="55">
        <v>1013491</v>
      </c>
      <c r="G592" s="55" t="s">
        <v>615</v>
      </c>
      <c r="H592" s="25">
        <f t="shared" si="10"/>
        <v>-2.8102126176368092E-3</v>
      </c>
    </row>
    <row r="593" spans="2:8">
      <c r="B593" s="55">
        <v>456.54</v>
      </c>
      <c r="C593" s="55">
        <v>459.66</v>
      </c>
      <c r="D593" s="55">
        <v>450.06</v>
      </c>
      <c r="E593" s="55">
        <v>457.31</v>
      </c>
      <c r="F593" s="55">
        <v>1531041</v>
      </c>
      <c r="G593" s="55" t="s">
        <v>616</v>
      </c>
      <c r="H593" s="25">
        <f t="shared" si="10"/>
        <v>-1.6837593754782665E-3</v>
      </c>
    </row>
    <row r="594" spans="2:8">
      <c r="B594" s="55">
        <v>456.73</v>
      </c>
      <c r="C594" s="55">
        <v>459.05</v>
      </c>
      <c r="D594" s="55">
        <v>450.55</v>
      </c>
      <c r="E594" s="55">
        <v>458.41</v>
      </c>
      <c r="F594" s="55">
        <v>1166123</v>
      </c>
      <c r="G594" s="55" t="s">
        <v>617</v>
      </c>
      <c r="H594" s="25">
        <f t="shared" si="10"/>
        <v>-3.6648415174189708E-3</v>
      </c>
    </row>
    <row r="595" spans="2:8">
      <c r="B595" s="55">
        <v>462.4</v>
      </c>
      <c r="C595" s="55">
        <v>464.62</v>
      </c>
      <c r="D595" s="55">
        <v>454.62</v>
      </c>
      <c r="E595" s="55">
        <v>458.5</v>
      </c>
      <c r="F595" s="55">
        <v>1144317</v>
      </c>
      <c r="G595" s="55" t="s">
        <v>618</v>
      </c>
      <c r="H595" s="25">
        <f t="shared" si="10"/>
        <v>8.5059978189747643E-3</v>
      </c>
    </row>
    <row r="596" spans="2:8">
      <c r="B596" s="55">
        <v>461.94</v>
      </c>
      <c r="C596" s="55">
        <v>463.03</v>
      </c>
      <c r="D596" s="55">
        <v>454.02</v>
      </c>
      <c r="E596" s="55">
        <v>454.9</v>
      </c>
      <c r="F596" s="55">
        <v>1526234</v>
      </c>
      <c r="G596" s="55" t="s">
        <v>619</v>
      </c>
      <c r="H596" s="25">
        <f t="shared" si="10"/>
        <v>1.5475928775555037E-2</v>
      </c>
    </row>
    <row r="597" spans="2:8">
      <c r="B597" s="55">
        <v>453.82</v>
      </c>
      <c r="C597" s="55">
        <v>473.1</v>
      </c>
      <c r="D597" s="55">
        <v>451.35</v>
      </c>
      <c r="E597" s="55">
        <v>472.02</v>
      </c>
      <c r="F597" s="55">
        <v>2879176</v>
      </c>
      <c r="G597" s="55" t="s">
        <v>620</v>
      </c>
      <c r="H597" s="25">
        <f t="shared" si="10"/>
        <v>-3.8557688233549436E-2</v>
      </c>
    </row>
    <row r="598" spans="2:8">
      <c r="B598" s="55">
        <v>481.4</v>
      </c>
      <c r="C598" s="55">
        <v>491.29719999999998</v>
      </c>
      <c r="D598" s="55">
        <v>479.76</v>
      </c>
      <c r="E598" s="55">
        <v>481.99</v>
      </c>
      <c r="F598" s="55">
        <v>1295082</v>
      </c>
      <c r="G598" s="55" t="s">
        <v>621</v>
      </c>
      <c r="H598" s="25">
        <f t="shared" si="10"/>
        <v>-1.224091786136694E-3</v>
      </c>
    </row>
    <row r="599" spans="2:8">
      <c r="B599" s="55">
        <v>481.99</v>
      </c>
      <c r="C599" s="55">
        <v>482.44</v>
      </c>
      <c r="D599" s="55">
        <v>475.74</v>
      </c>
      <c r="E599" s="55">
        <v>478.03</v>
      </c>
      <c r="F599" s="55">
        <v>1072354</v>
      </c>
      <c r="G599" s="55" t="s">
        <v>622</v>
      </c>
      <c r="H599" s="25">
        <f t="shared" si="10"/>
        <v>8.2839989122023283E-3</v>
      </c>
    </row>
    <row r="600" spans="2:8">
      <c r="B600" s="55">
        <v>478.03</v>
      </c>
      <c r="C600" s="55">
        <v>484.31</v>
      </c>
      <c r="D600" s="55">
        <v>470.65</v>
      </c>
      <c r="E600" s="55">
        <v>475</v>
      </c>
      <c r="F600" s="55">
        <v>1128703</v>
      </c>
      <c r="G600" s="55" t="s">
        <v>623</v>
      </c>
      <c r="H600" s="25">
        <f t="shared" si="10"/>
        <v>6.3789473684210396E-3</v>
      </c>
    </row>
    <row r="601" spans="2:8">
      <c r="B601" s="55">
        <v>474.3</v>
      </c>
      <c r="C601" s="55">
        <v>476.94</v>
      </c>
      <c r="D601" s="55">
        <v>468.16</v>
      </c>
      <c r="E601" s="55">
        <v>475.22</v>
      </c>
      <c r="F601" s="55">
        <v>964272</v>
      </c>
      <c r="G601" s="55" t="s">
        <v>624</v>
      </c>
      <c r="H601" s="25">
        <f t="shared" si="10"/>
        <v>-1.9359454568410595E-3</v>
      </c>
    </row>
    <row r="602" spans="2:8">
      <c r="B602" s="55">
        <v>474.84</v>
      </c>
      <c r="C602" s="55">
        <v>480.96</v>
      </c>
      <c r="D602" s="55">
        <v>472.66500000000002</v>
      </c>
      <c r="E602" s="55">
        <v>477</v>
      </c>
      <c r="F602" s="55">
        <v>1399552</v>
      </c>
      <c r="G602" s="55" t="s">
        <v>625</v>
      </c>
      <c r="H602" s="25">
        <f t="shared" si="10"/>
        <v>-4.5283018867925406E-3</v>
      </c>
    </row>
    <row r="603" spans="2:8">
      <c r="B603" s="55">
        <v>477</v>
      </c>
      <c r="C603" s="55">
        <v>481.89</v>
      </c>
      <c r="D603" s="55">
        <v>474.5</v>
      </c>
      <c r="E603" s="55">
        <v>480.22</v>
      </c>
      <c r="F603" s="55">
        <v>1038633</v>
      </c>
      <c r="G603" s="55" t="s">
        <v>626</v>
      </c>
      <c r="H603" s="25">
        <f t="shared" si="10"/>
        <v>-6.705260089125864E-3</v>
      </c>
    </row>
    <row r="604" spans="2:8">
      <c r="B604" s="55">
        <v>481.89</v>
      </c>
      <c r="C604" s="55">
        <v>483.3</v>
      </c>
      <c r="D604" s="55">
        <v>477.62</v>
      </c>
      <c r="E604" s="55">
        <v>483</v>
      </c>
      <c r="F604" s="55">
        <v>909543</v>
      </c>
      <c r="G604" s="55" t="s">
        <v>627</v>
      </c>
      <c r="H604" s="25">
        <f t="shared" si="10"/>
        <v>-2.2981366459627894E-3</v>
      </c>
    </row>
    <row r="605" spans="2:8">
      <c r="B605" s="55">
        <v>484.02</v>
      </c>
      <c r="C605" s="55">
        <v>484.745</v>
      </c>
      <c r="D605" s="55">
        <v>475.05</v>
      </c>
      <c r="E605" s="55">
        <v>477.76</v>
      </c>
      <c r="F605" s="55">
        <v>1257685</v>
      </c>
      <c r="G605" s="55" t="s">
        <v>628</v>
      </c>
      <c r="H605" s="25">
        <f t="shared" si="10"/>
        <v>1.3102813127930268E-2</v>
      </c>
    </row>
    <row r="606" spans="2:8">
      <c r="B606" s="55">
        <v>477.45</v>
      </c>
      <c r="C606" s="55">
        <v>478.46</v>
      </c>
      <c r="D606" s="55">
        <v>468.84</v>
      </c>
      <c r="E606" s="55">
        <v>472.19</v>
      </c>
      <c r="F606" s="55">
        <v>1482452</v>
      </c>
      <c r="G606" s="55" t="s">
        <v>629</v>
      </c>
      <c r="H606" s="25">
        <f t="shared" si="10"/>
        <v>1.113958364217793E-2</v>
      </c>
    </row>
    <row r="607" spans="2:8">
      <c r="B607" s="55">
        <v>468.4</v>
      </c>
      <c r="C607" s="55">
        <v>469.57499999999999</v>
      </c>
      <c r="D607" s="55">
        <v>462.84</v>
      </c>
      <c r="E607" s="55">
        <v>469.18</v>
      </c>
      <c r="F607" s="55">
        <v>1347080</v>
      </c>
      <c r="G607" s="55" t="s">
        <v>630</v>
      </c>
      <c r="H607" s="25">
        <f t="shared" si="10"/>
        <v>-1.6624749563067809E-3</v>
      </c>
    </row>
    <row r="608" spans="2:8">
      <c r="B608" s="55">
        <v>470.73</v>
      </c>
      <c r="C608" s="55">
        <v>478.05</v>
      </c>
      <c r="D608" s="55">
        <v>467.57499999999999</v>
      </c>
      <c r="E608" s="55">
        <v>478.05</v>
      </c>
      <c r="F608" s="55">
        <v>1370236</v>
      </c>
      <c r="G608" s="55" t="s">
        <v>631</v>
      </c>
      <c r="H608" s="25">
        <f t="shared" si="10"/>
        <v>-1.5312205836209625E-2</v>
      </c>
    </row>
    <row r="609" spans="2:8">
      <c r="B609" s="55">
        <v>479.94</v>
      </c>
      <c r="C609" s="55">
        <v>490.84</v>
      </c>
      <c r="D609" s="55">
        <v>479.09</v>
      </c>
      <c r="E609" s="55">
        <v>488.08</v>
      </c>
      <c r="F609" s="55">
        <v>1050700</v>
      </c>
      <c r="G609" s="55" t="s">
        <v>632</v>
      </c>
      <c r="H609" s="25">
        <f t="shared" si="10"/>
        <v>-1.6677593837075899E-2</v>
      </c>
    </row>
    <row r="610" spans="2:8">
      <c r="B610" s="55">
        <v>485.48</v>
      </c>
      <c r="C610" s="55">
        <v>486.21</v>
      </c>
      <c r="D610" s="55">
        <v>478.16</v>
      </c>
      <c r="E610" s="55">
        <v>483.39</v>
      </c>
      <c r="F610" s="55">
        <v>823650</v>
      </c>
      <c r="G610" s="55" t="s">
        <v>633</v>
      </c>
      <c r="H610" s="25">
        <f t="shared" si="10"/>
        <v>4.3236310225698293E-3</v>
      </c>
    </row>
    <row r="611" spans="2:8">
      <c r="B611" s="55">
        <v>484.1</v>
      </c>
      <c r="C611" s="55">
        <v>488.51</v>
      </c>
      <c r="D611" s="55">
        <v>482.59</v>
      </c>
      <c r="E611" s="55">
        <v>488</v>
      </c>
      <c r="F611" s="55">
        <v>1275950</v>
      </c>
      <c r="G611" s="55" t="s">
        <v>634</v>
      </c>
      <c r="H611" s="25">
        <f t="shared" si="10"/>
        <v>-7.9918032786884252E-3</v>
      </c>
    </row>
    <row r="612" spans="2:8">
      <c r="B612" s="55">
        <v>485.71</v>
      </c>
      <c r="C612" s="55">
        <v>489.92500000000001</v>
      </c>
      <c r="D612" s="55">
        <v>483.09</v>
      </c>
      <c r="E612" s="55">
        <v>488.93</v>
      </c>
      <c r="F612" s="55">
        <v>1242919</v>
      </c>
      <c r="G612" s="55" t="s">
        <v>635</v>
      </c>
      <c r="H612" s="25">
        <f t="shared" si="10"/>
        <v>-6.5858098296279755E-3</v>
      </c>
    </row>
    <row r="613" spans="2:8">
      <c r="B613" s="55">
        <v>491.48</v>
      </c>
      <c r="C613" s="55">
        <v>493.49</v>
      </c>
      <c r="D613" s="55">
        <v>478.13</v>
      </c>
      <c r="E613" s="55">
        <v>488.47</v>
      </c>
      <c r="F613" s="55">
        <v>1827336</v>
      </c>
      <c r="G613" s="55" t="s">
        <v>636</v>
      </c>
      <c r="H613" s="25">
        <f t="shared" si="10"/>
        <v>6.1620979794050346E-3</v>
      </c>
    </row>
    <row r="614" spans="2:8">
      <c r="B614" s="55">
        <v>491.1</v>
      </c>
      <c r="C614" s="55">
        <v>499.21</v>
      </c>
      <c r="D614" s="55">
        <v>490.69</v>
      </c>
      <c r="E614" s="55">
        <v>495.92</v>
      </c>
      <c r="F614" s="55">
        <v>1121647</v>
      </c>
      <c r="G614" s="55" t="s">
        <v>637</v>
      </c>
      <c r="H614" s="25">
        <f t="shared" si="10"/>
        <v>-9.7193095660590423E-3</v>
      </c>
    </row>
    <row r="615" spans="2:8">
      <c r="B615" s="55">
        <v>496</v>
      </c>
      <c r="C615" s="55">
        <v>502</v>
      </c>
      <c r="D615" s="55">
        <v>495.01</v>
      </c>
      <c r="E615" s="55">
        <v>496.9</v>
      </c>
      <c r="F615" s="55">
        <v>1174377</v>
      </c>
      <c r="G615" s="55" t="s">
        <v>638</v>
      </c>
      <c r="H615" s="25">
        <f t="shared" si="10"/>
        <v>-1.8112296236666436E-3</v>
      </c>
    </row>
    <row r="616" spans="2:8">
      <c r="B616" s="55">
        <v>498.02</v>
      </c>
      <c r="C616" s="55">
        <v>503.95</v>
      </c>
      <c r="D616" s="55">
        <v>496.69</v>
      </c>
      <c r="E616" s="55">
        <v>501.88499999999999</v>
      </c>
      <c r="F616" s="55">
        <v>1029222</v>
      </c>
      <c r="G616" s="55" t="s">
        <v>639</v>
      </c>
      <c r="H616" s="25">
        <f t="shared" si="10"/>
        <v>-7.7009673530789025E-3</v>
      </c>
    </row>
    <row r="617" spans="2:8">
      <c r="B617" s="55">
        <v>505.38</v>
      </c>
      <c r="C617" s="55">
        <v>508.92</v>
      </c>
      <c r="D617" s="55">
        <v>502.15</v>
      </c>
      <c r="E617" s="55">
        <v>508.57</v>
      </c>
      <c r="F617" s="55">
        <v>1187757</v>
      </c>
      <c r="G617" s="55" t="s">
        <v>640</v>
      </c>
      <c r="H617" s="25">
        <f t="shared" si="10"/>
        <v>-6.2724895294650196E-3</v>
      </c>
    </row>
    <row r="618" spans="2:8">
      <c r="B618" s="55">
        <v>511.29</v>
      </c>
      <c r="C618" s="55">
        <v>516.39</v>
      </c>
      <c r="D618" s="55">
        <v>508.46</v>
      </c>
      <c r="E618" s="55">
        <v>509.87</v>
      </c>
      <c r="F618" s="55">
        <v>918270</v>
      </c>
      <c r="G618" s="55" t="s">
        <v>641</v>
      </c>
      <c r="H618" s="25">
        <f t="shared" si="10"/>
        <v>2.7850236334752143E-3</v>
      </c>
    </row>
    <row r="619" spans="2:8">
      <c r="B619" s="55">
        <v>509.22</v>
      </c>
      <c r="C619" s="55">
        <v>512.48</v>
      </c>
      <c r="D619" s="55">
        <v>508.27</v>
      </c>
      <c r="E619" s="55">
        <v>510.46</v>
      </c>
      <c r="F619" s="55">
        <v>688860</v>
      </c>
      <c r="G619" s="55" t="s">
        <v>642</v>
      </c>
      <c r="H619" s="25">
        <f t="shared" si="10"/>
        <v>-2.4291815225482294E-3</v>
      </c>
    </row>
    <row r="620" spans="2:8">
      <c r="B620" s="55">
        <v>508.81</v>
      </c>
      <c r="C620" s="55">
        <v>509.88</v>
      </c>
      <c r="D620" s="55">
        <v>505.52499999999998</v>
      </c>
      <c r="E620" s="55">
        <v>506</v>
      </c>
      <c r="F620" s="55">
        <v>816575</v>
      </c>
      <c r="G620" s="55" t="s">
        <v>643</v>
      </c>
      <c r="H620" s="25">
        <f t="shared" si="10"/>
        <v>5.5533596837944454E-3</v>
      </c>
    </row>
    <row r="621" spans="2:8">
      <c r="B621" s="55">
        <v>506.32</v>
      </c>
      <c r="C621" s="55">
        <v>513.5</v>
      </c>
      <c r="D621" s="55">
        <v>505.52</v>
      </c>
      <c r="E621" s="55">
        <v>513.24</v>
      </c>
      <c r="F621" s="55">
        <v>887427</v>
      </c>
      <c r="G621" s="55" t="s">
        <v>644</v>
      </c>
      <c r="H621" s="25">
        <f t="shared" si="10"/>
        <v>-1.3482970929779459E-2</v>
      </c>
    </row>
    <row r="622" spans="2:8">
      <c r="B622" s="55">
        <v>510</v>
      </c>
      <c r="C622" s="55">
        <v>510.48</v>
      </c>
      <c r="D622" s="55">
        <v>502.22</v>
      </c>
      <c r="E622" s="55">
        <v>502.6</v>
      </c>
      <c r="F622" s="55">
        <v>1179503</v>
      </c>
      <c r="G622" s="55" t="s">
        <v>645</v>
      </c>
      <c r="H622" s="25">
        <f t="shared" si="10"/>
        <v>1.4723438121766685E-2</v>
      </c>
    </row>
    <row r="623" spans="2:8">
      <c r="B623" s="55">
        <v>511.03</v>
      </c>
      <c r="C623" s="55">
        <v>511.27</v>
      </c>
      <c r="D623" s="55">
        <v>505.51</v>
      </c>
      <c r="E623" s="55">
        <v>507.86</v>
      </c>
      <c r="F623" s="55">
        <v>896575</v>
      </c>
      <c r="G623" s="55" t="s">
        <v>646</v>
      </c>
      <c r="H623" s="25">
        <f t="shared" si="10"/>
        <v>6.2418776828259137E-3</v>
      </c>
    </row>
    <row r="624" spans="2:8">
      <c r="B624" s="55">
        <v>505.15</v>
      </c>
      <c r="C624" s="55">
        <v>511.6</v>
      </c>
      <c r="D624" s="55">
        <v>503.95</v>
      </c>
      <c r="E624" s="55">
        <v>504.51</v>
      </c>
      <c r="F624" s="55">
        <v>1062989</v>
      </c>
      <c r="G624" s="55" t="s">
        <v>647</v>
      </c>
      <c r="H624" s="25">
        <f t="shared" si="10"/>
        <v>1.2685576103546037E-3</v>
      </c>
    </row>
    <row r="625" spans="2:8">
      <c r="B625" s="55">
        <v>506.86</v>
      </c>
      <c r="C625" s="55">
        <v>509.33</v>
      </c>
      <c r="D625" s="55">
        <v>502.82499999999999</v>
      </c>
      <c r="E625" s="55">
        <v>503.58</v>
      </c>
      <c r="F625" s="55">
        <v>1174818</v>
      </c>
      <c r="G625" s="55" t="s">
        <v>648</v>
      </c>
      <c r="H625" s="25">
        <f t="shared" si="10"/>
        <v>6.5133643115296014E-3</v>
      </c>
    </row>
    <row r="626" spans="2:8">
      <c r="B626" s="55">
        <v>501.63</v>
      </c>
      <c r="C626" s="55">
        <v>501.72</v>
      </c>
      <c r="D626" s="55">
        <v>488.42</v>
      </c>
      <c r="E626" s="55">
        <v>490.01</v>
      </c>
      <c r="F626" s="55">
        <v>1230823</v>
      </c>
      <c r="G626" s="55" t="s">
        <v>649</v>
      </c>
      <c r="H626" s="25">
        <f t="shared" si="10"/>
        <v>2.3713801759147835E-2</v>
      </c>
    </row>
    <row r="627" spans="2:8">
      <c r="B627" s="55">
        <v>491.46</v>
      </c>
      <c r="C627" s="55">
        <v>492.19</v>
      </c>
      <c r="D627" s="55">
        <v>483.81</v>
      </c>
      <c r="E627" s="55">
        <v>486.46</v>
      </c>
      <c r="F627" s="55">
        <v>2677402</v>
      </c>
      <c r="G627" s="55" t="s">
        <v>650</v>
      </c>
      <c r="H627" s="25">
        <f t="shared" si="10"/>
        <v>1.0278337376146141E-2</v>
      </c>
    </row>
    <row r="628" spans="2:8">
      <c r="B628" s="55">
        <v>489.3</v>
      </c>
      <c r="C628" s="55">
        <v>505.63</v>
      </c>
      <c r="D628" s="55">
        <v>487.19</v>
      </c>
      <c r="E628" s="55">
        <v>505.06</v>
      </c>
      <c r="F628" s="55">
        <v>2649550</v>
      </c>
      <c r="G628" s="55" t="s">
        <v>651</v>
      </c>
      <c r="H628" s="25">
        <f t="shared" si="10"/>
        <v>-3.1204213360788824E-2</v>
      </c>
    </row>
    <row r="629" spans="2:8">
      <c r="B629" s="55">
        <v>504.5</v>
      </c>
      <c r="C629" s="55">
        <v>508.43</v>
      </c>
      <c r="D629" s="55">
        <v>494.09</v>
      </c>
      <c r="E629" s="55">
        <v>502.83</v>
      </c>
      <c r="F629" s="55">
        <v>1698873</v>
      </c>
      <c r="G629" s="55" t="s">
        <v>652</v>
      </c>
      <c r="H629" s="25">
        <f t="shared" si="10"/>
        <v>3.3212019966986084E-3</v>
      </c>
    </row>
    <row r="630" spans="2:8">
      <c r="B630" s="55">
        <v>503.65</v>
      </c>
      <c r="C630" s="55">
        <v>504.4</v>
      </c>
      <c r="D630" s="55">
        <v>495.68</v>
      </c>
      <c r="E630" s="55">
        <v>503</v>
      </c>
      <c r="F630" s="55">
        <v>1717113</v>
      </c>
      <c r="G630" s="55" t="s">
        <v>653</v>
      </c>
      <c r="H630" s="25">
        <f t="shared" si="10"/>
        <v>1.2922465208746736E-3</v>
      </c>
    </row>
    <row r="631" spans="2:8">
      <c r="B631" s="55">
        <v>502.74</v>
      </c>
      <c r="C631" s="55">
        <v>507.44</v>
      </c>
      <c r="D631" s="55">
        <v>490</v>
      </c>
      <c r="E631" s="55">
        <v>493.95</v>
      </c>
      <c r="F631" s="55">
        <v>2798989</v>
      </c>
      <c r="G631" s="55" t="s">
        <v>654</v>
      </c>
      <c r="H631" s="25">
        <f t="shared" si="10"/>
        <v>1.7795323413301034E-2</v>
      </c>
    </row>
    <row r="632" spans="2:8">
      <c r="B632" s="55">
        <v>489.64</v>
      </c>
      <c r="C632" s="55">
        <v>493.8</v>
      </c>
      <c r="D632" s="55">
        <v>448.81</v>
      </c>
      <c r="E632" s="55">
        <v>455.88</v>
      </c>
      <c r="F632" s="55">
        <v>7144393</v>
      </c>
      <c r="G632" s="55" t="s">
        <v>655</v>
      </c>
      <c r="H632" s="25">
        <f t="shared" si="10"/>
        <v>7.4054575765552411E-2</v>
      </c>
    </row>
    <row r="633" spans="2:8">
      <c r="B633" s="55">
        <v>464.67</v>
      </c>
      <c r="C633" s="55">
        <v>466.62970000000001</v>
      </c>
      <c r="D633" s="55">
        <v>460.6</v>
      </c>
      <c r="E633" s="55">
        <v>460.67</v>
      </c>
      <c r="F633" s="55">
        <v>3243457</v>
      </c>
      <c r="G633" s="55" t="s">
        <v>656</v>
      </c>
      <c r="H633" s="25">
        <f t="shared" si="10"/>
        <v>8.683005188095505E-3</v>
      </c>
    </row>
    <row r="634" spans="2:8">
      <c r="B634" s="55">
        <v>460.67</v>
      </c>
      <c r="C634" s="55">
        <v>464.06</v>
      </c>
      <c r="D634" s="55">
        <v>458.267</v>
      </c>
      <c r="E634" s="55">
        <v>459.28</v>
      </c>
      <c r="F634" s="55">
        <v>1387195</v>
      </c>
      <c r="G634" s="55" t="s">
        <v>657</v>
      </c>
      <c r="H634" s="25">
        <f t="shared" si="10"/>
        <v>3.026476223654484E-3</v>
      </c>
    </row>
    <row r="635" spans="2:8">
      <c r="B635" s="55">
        <v>456.93</v>
      </c>
      <c r="C635" s="55">
        <v>462.27</v>
      </c>
      <c r="D635" s="55">
        <v>452.52499999999998</v>
      </c>
      <c r="E635" s="55">
        <v>454.76</v>
      </c>
      <c r="F635" s="55">
        <v>1793505</v>
      </c>
      <c r="G635" s="55" t="s">
        <v>658</v>
      </c>
      <c r="H635" s="25">
        <f t="shared" ref="H635:H698" si="11">B635/E635-1</f>
        <v>4.771747735069054E-3</v>
      </c>
    </row>
    <row r="636" spans="2:8">
      <c r="B636" s="55">
        <v>460.76</v>
      </c>
      <c r="C636" s="55">
        <v>463.37</v>
      </c>
      <c r="D636" s="55">
        <v>452.23</v>
      </c>
      <c r="E636" s="55">
        <v>459.2</v>
      </c>
      <c r="F636" s="55">
        <v>2637054</v>
      </c>
      <c r="G636" s="55" t="s">
        <v>659</v>
      </c>
      <c r="H636" s="25">
        <f t="shared" si="11"/>
        <v>3.3972125435539624E-3</v>
      </c>
    </row>
    <row r="637" spans="2:8">
      <c r="B637" s="55">
        <v>466.61</v>
      </c>
      <c r="C637" s="55">
        <v>467.63</v>
      </c>
      <c r="D637" s="55">
        <v>447.6</v>
      </c>
      <c r="E637" s="55">
        <v>447.6</v>
      </c>
      <c r="F637" s="55">
        <v>2456799</v>
      </c>
      <c r="G637" s="55" t="s">
        <v>660</v>
      </c>
      <c r="H637" s="25">
        <f t="shared" si="11"/>
        <v>4.2470956210902466E-2</v>
      </c>
    </row>
    <row r="638" spans="2:8">
      <c r="B638" s="55">
        <v>446.8</v>
      </c>
      <c r="C638" s="55">
        <v>448.73</v>
      </c>
      <c r="D638" s="55">
        <v>438.6</v>
      </c>
      <c r="E638" s="55">
        <v>439.77</v>
      </c>
      <c r="F638" s="55">
        <v>2372030</v>
      </c>
      <c r="G638" s="55" t="s">
        <v>661</v>
      </c>
      <c r="H638" s="25">
        <f t="shared" si="11"/>
        <v>1.5985628851445055E-2</v>
      </c>
    </row>
    <row r="639" spans="2:8">
      <c r="B639" s="55">
        <v>438.35</v>
      </c>
      <c r="C639" s="55">
        <v>439.76</v>
      </c>
      <c r="D639" s="55">
        <v>428.59500000000003</v>
      </c>
      <c r="E639" s="55">
        <v>429.2</v>
      </c>
      <c r="F639" s="55">
        <v>1658939</v>
      </c>
      <c r="G639" s="55" t="s">
        <v>662</v>
      </c>
      <c r="H639" s="25">
        <f t="shared" si="11"/>
        <v>2.1318732525629214E-2</v>
      </c>
    </row>
    <row r="640" spans="2:8">
      <c r="B640" s="55">
        <v>427.73</v>
      </c>
      <c r="C640" s="55">
        <v>436.66</v>
      </c>
      <c r="D640" s="55">
        <v>427.09</v>
      </c>
      <c r="E640" s="55">
        <v>435.57</v>
      </c>
      <c r="F640" s="55">
        <v>1353950</v>
      </c>
      <c r="G640" s="55" t="s">
        <v>663</v>
      </c>
      <c r="H640" s="25">
        <f t="shared" si="11"/>
        <v>-1.7999403081020215E-2</v>
      </c>
    </row>
    <row r="641" spans="2:8">
      <c r="B641" s="55">
        <v>435.67</v>
      </c>
      <c r="C641" s="55">
        <v>437.81</v>
      </c>
      <c r="D641" s="55">
        <v>430.05</v>
      </c>
      <c r="E641" s="55">
        <v>430.05</v>
      </c>
      <c r="F641" s="55">
        <v>1074804</v>
      </c>
      <c r="G641" s="55" t="s">
        <v>664</v>
      </c>
      <c r="H641" s="25">
        <f t="shared" si="11"/>
        <v>1.3068247878153638E-2</v>
      </c>
    </row>
    <row r="642" spans="2:8">
      <c r="B642" s="55">
        <v>431.76</v>
      </c>
      <c r="C642" s="55">
        <v>432.27</v>
      </c>
      <c r="D642" s="55">
        <v>426.3501</v>
      </c>
      <c r="E642" s="55">
        <v>428.3</v>
      </c>
      <c r="F642" s="55">
        <v>401723</v>
      </c>
      <c r="G642" s="55" t="s">
        <v>665</v>
      </c>
      <c r="H642" s="25">
        <f t="shared" si="11"/>
        <v>8.0784496848003151E-3</v>
      </c>
    </row>
    <row r="643" spans="2:8">
      <c r="B643" s="55">
        <v>428.63</v>
      </c>
      <c r="C643" s="55">
        <v>435.065</v>
      </c>
      <c r="D643" s="55">
        <v>428.19</v>
      </c>
      <c r="E643" s="55">
        <v>430.82</v>
      </c>
      <c r="F643" s="55">
        <v>800639</v>
      </c>
      <c r="G643" s="55" t="s">
        <v>666</v>
      </c>
      <c r="H643" s="25">
        <f t="shared" si="11"/>
        <v>-5.0833294647416594E-3</v>
      </c>
    </row>
    <row r="644" spans="2:8">
      <c r="B644" s="55">
        <v>430.37</v>
      </c>
      <c r="C644" s="55">
        <v>431.92</v>
      </c>
      <c r="D644" s="55">
        <v>425.75</v>
      </c>
      <c r="E644" s="55">
        <v>426.65</v>
      </c>
      <c r="F644" s="55">
        <v>867465</v>
      </c>
      <c r="G644" s="55" t="s">
        <v>667</v>
      </c>
      <c r="H644" s="25">
        <f t="shared" si="11"/>
        <v>8.719090589476286E-3</v>
      </c>
    </row>
    <row r="645" spans="2:8">
      <c r="B645" s="55">
        <v>428.58</v>
      </c>
      <c r="C645" s="55">
        <v>429.59</v>
      </c>
      <c r="D645" s="55">
        <v>422.77499999999998</v>
      </c>
      <c r="E645" s="55">
        <v>423.89</v>
      </c>
      <c r="F645" s="55">
        <v>866092</v>
      </c>
      <c r="G645" s="55" t="s">
        <v>668</v>
      </c>
      <c r="H645" s="25">
        <f t="shared" si="11"/>
        <v>1.1064191181674454E-2</v>
      </c>
    </row>
    <row r="646" spans="2:8">
      <c r="B646" s="55">
        <v>422.44</v>
      </c>
      <c r="C646" s="55">
        <v>425.66500000000002</v>
      </c>
      <c r="D646" s="55">
        <v>421.04</v>
      </c>
      <c r="E646" s="55">
        <v>425.22</v>
      </c>
      <c r="F646" s="55">
        <v>1219910</v>
      </c>
      <c r="G646" s="55" t="s">
        <v>669</v>
      </c>
      <c r="H646" s="25">
        <f t="shared" si="11"/>
        <v>-6.537792201683934E-3</v>
      </c>
    </row>
    <row r="647" spans="2:8">
      <c r="B647" s="55">
        <v>420.28</v>
      </c>
      <c r="C647" s="55">
        <v>431.5</v>
      </c>
      <c r="D647" s="55">
        <v>416.55099999999999</v>
      </c>
      <c r="E647" s="55">
        <v>430.67</v>
      </c>
      <c r="F647" s="55">
        <v>1706800</v>
      </c>
      <c r="G647" s="55" t="s">
        <v>670</v>
      </c>
      <c r="H647" s="25">
        <f t="shared" si="11"/>
        <v>-2.4125200269347835E-2</v>
      </c>
    </row>
    <row r="648" spans="2:8">
      <c r="B648" s="55">
        <v>432.19</v>
      </c>
      <c r="C648" s="55">
        <v>437.05500000000001</v>
      </c>
      <c r="D648" s="55">
        <v>431.4452</v>
      </c>
      <c r="E648" s="55">
        <v>433.09</v>
      </c>
      <c r="F648" s="55">
        <v>1257545</v>
      </c>
      <c r="G648" s="55" t="s">
        <v>671</v>
      </c>
      <c r="H648" s="25">
        <f t="shared" si="11"/>
        <v>-2.0780900043870787E-3</v>
      </c>
    </row>
    <row r="649" spans="2:8">
      <c r="B649" s="55">
        <v>430.33</v>
      </c>
      <c r="C649" s="55">
        <v>431.1</v>
      </c>
      <c r="D649" s="55">
        <v>421.69</v>
      </c>
      <c r="E649" s="55">
        <v>422.66</v>
      </c>
      <c r="F649" s="55">
        <v>1566488</v>
      </c>
      <c r="G649" s="55" t="s">
        <v>672</v>
      </c>
      <c r="H649" s="25">
        <f t="shared" si="11"/>
        <v>1.8146973927033461E-2</v>
      </c>
    </row>
    <row r="650" spans="2:8">
      <c r="B650" s="55">
        <v>416.98</v>
      </c>
      <c r="C650" s="55">
        <v>418.61</v>
      </c>
      <c r="D650" s="55">
        <v>409.8</v>
      </c>
      <c r="E650" s="55">
        <v>410.48</v>
      </c>
      <c r="F650" s="55">
        <v>1277313</v>
      </c>
      <c r="G650" s="55" t="s">
        <v>673</v>
      </c>
      <c r="H650" s="25">
        <f t="shared" si="11"/>
        <v>1.583511985967645E-2</v>
      </c>
    </row>
    <row r="651" spans="2:8">
      <c r="B651" s="55">
        <v>413.67</v>
      </c>
      <c r="C651" s="55">
        <v>413.9</v>
      </c>
      <c r="D651" s="55">
        <v>404.89</v>
      </c>
      <c r="E651" s="55">
        <v>407.51</v>
      </c>
      <c r="F651" s="55">
        <v>1039210</v>
      </c>
      <c r="G651" s="55" t="s">
        <v>674</v>
      </c>
      <c r="H651" s="25">
        <f t="shared" si="11"/>
        <v>1.5116193467644923E-2</v>
      </c>
    </row>
    <row r="652" spans="2:8">
      <c r="B652" s="55">
        <v>406.58</v>
      </c>
      <c r="C652" s="55">
        <v>410.75</v>
      </c>
      <c r="D652" s="55">
        <v>404.69</v>
      </c>
      <c r="E652" s="55">
        <v>410.75</v>
      </c>
      <c r="F652" s="55">
        <v>922786</v>
      </c>
      <c r="G652" s="55" t="s">
        <v>675</v>
      </c>
      <c r="H652" s="25">
        <f t="shared" si="11"/>
        <v>-1.01521606816799E-2</v>
      </c>
    </row>
    <row r="653" spans="2:8">
      <c r="B653" s="55">
        <v>409.64</v>
      </c>
      <c r="C653" s="55">
        <v>415.15</v>
      </c>
      <c r="D653" s="55">
        <v>409.32</v>
      </c>
      <c r="E653" s="55">
        <v>415</v>
      </c>
      <c r="F653" s="55">
        <v>714688</v>
      </c>
      <c r="G653" s="55" t="s">
        <v>676</v>
      </c>
      <c r="H653" s="25">
        <f t="shared" si="11"/>
        <v>-1.29156626506024E-2</v>
      </c>
    </row>
    <row r="654" spans="2:8">
      <c r="B654" s="55">
        <v>413.69</v>
      </c>
      <c r="C654" s="55">
        <v>414.48</v>
      </c>
      <c r="D654" s="55">
        <v>406</v>
      </c>
      <c r="E654" s="55">
        <v>409.9</v>
      </c>
      <c r="F654" s="55">
        <v>1175811</v>
      </c>
      <c r="G654" s="55" t="s">
        <v>677</v>
      </c>
      <c r="H654" s="25">
        <f t="shared" si="11"/>
        <v>9.2461575994144951E-3</v>
      </c>
    </row>
    <row r="655" spans="2:8">
      <c r="B655" s="55">
        <v>407.95</v>
      </c>
      <c r="C655" s="55">
        <v>412.27350000000001</v>
      </c>
      <c r="D655" s="55">
        <v>404.505</v>
      </c>
      <c r="E655" s="55">
        <v>411.5</v>
      </c>
      <c r="F655" s="55">
        <v>827056</v>
      </c>
      <c r="G655" s="55" t="s">
        <v>678</v>
      </c>
      <c r="H655" s="25">
        <f t="shared" si="11"/>
        <v>-8.6269744835966167E-3</v>
      </c>
    </row>
    <row r="656" spans="2:8">
      <c r="B656" s="55">
        <v>407.93</v>
      </c>
      <c r="C656" s="55">
        <v>412.03</v>
      </c>
      <c r="D656" s="55">
        <v>406.27</v>
      </c>
      <c r="E656" s="55">
        <v>408.78</v>
      </c>
      <c r="F656" s="55">
        <v>1231142</v>
      </c>
      <c r="G656" s="55" t="s">
        <v>679</v>
      </c>
      <c r="H656" s="25">
        <f t="shared" si="11"/>
        <v>-2.0793580899259867E-3</v>
      </c>
    </row>
    <row r="657" spans="2:8">
      <c r="B657" s="55">
        <v>403.5</v>
      </c>
      <c r="C657" s="55">
        <v>404.87</v>
      </c>
      <c r="D657" s="55">
        <v>398.7</v>
      </c>
      <c r="E657" s="55">
        <v>398.91</v>
      </c>
      <c r="F657" s="55">
        <v>1389996</v>
      </c>
      <c r="G657" s="55" t="s">
        <v>680</v>
      </c>
      <c r="H657" s="25">
        <f t="shared" si="11"/>
        <v>1.1506354816875897E-2</v>
      </c>
    </row>
    <row r="658" spans="2:8">
      <c r="B658" s="55">
        <v>395.29</v>
      </c>
      <c r="C658" s="55">
        <v>395.81</v>
      </c>
      <c r="D658" s="55">
        <v>385.26</v>
      </c>
      <c r="E658" s="55">
        <v>393.31</v>
      </c>
      <c r="F658" s="55">
        <v>1312643</v>
      </c>
      <c r="G658" s="55" t="s">
        <v>681</v>
      </c>
      <c r="H658" s="25">
        <f t="shared" si="11"/>
        <v>5.0341969438865153E-3</v>
      </c>
    </row>
    <row r="659" spans="2:8">
      <c r="B659" s="55">
        <v>393.48</v>
      </c>
      <c r="C659" s="55">
        <v>395.7</v>
      </c>
      <c r="D659" s="55">
        <v>389.01</v>
      </c>
      <c r="E659" s="55">
        <v>391.75</v>
      </c>
      <c r="F659" s="55">
        <v>1084282</v>
      </c>
      <c r="G659" s="55" t="s">
        <v>682</v>
      </c>
      <c r="H659" s="25">
        <f t="shared" si="11"/>
        <v>4.4160816847480522E-3</v>
      </c>
    </row>
    <row r="660" spans="2:8">
      <c r="B660" s="55">
        <v>391.75</v>
      </c>
      <c r="C660" s="55">
        <v>393.26499999999999</v>
      </c>
      <c r="D660" s="55">
        <v>387.75</v>
      </c>
      <c r="E660" s="55">
        <v>388.44</v>
      </c>
      <c r="F660" s="55">
        <v>1005341</v>
      </c>
      <c r="G660" s="55" t="s">
        <v>683</v>
      </c>
      <c r="H660" s="25">
        <f t="shared" si="11"/>
        <v>8.5212645453609515E-3</v>
      </c>
    </row>
    <row r="661" spans="2:8">
      <c r="B661" s="55">
        <v>386.82</v>
      </c>
      <c r="C661" s="55">
        <v>392.20499999999998</v>
      </c>
      <c r="D661" s="55">
        <v>384.37</v>
      </c>
      <c r="E661" s="55">
        <v>390</v>
      </c>
      <c r="F661" s="55">
        <v>1448601</v>
      </c>
      <c r="G661" s="55" t="s">
        <v>684</v>
      </c>
      <c r="H661" s="25">
        <f t="shared" si="11"/>
        <v>-8.1538461538461782E-3</v>
      </c>
    </row>
    <row r="662" spans="2:8">
      <c r="B662" s="55">
        <v>388.62</v>
      </c>
      <c r="C662" s="55">
        <v>394.04</v>
      </c>
      <c r="D662" s="55">
        <v>386</v>
      </c>
      <c r="E662" s="55">
        <v>393.18</v>
      </c>
      <c r="F662" s="55">
        <v>1837152</v>
      </c>
      <c r="G662" s="55" t="s">
        <v>685</v>
      </c>
      <c r="H662" s="25">
        <f t="shared" si="11"/>
        <v>-1.159774149244619E-2</v>
      </c>
    </row>
    <row r="663" spans="2:8">
      <c r="B663" s="55">
        <v>396.7</v>
      </c>
      <c r="C663" s="55">
        <v>403.81619999999998</v>
      </c>
      <c r="D663" s="55">
        <v>396.12</v>
      </c>
      <c r="E663" s="55">
        <v>401</v>
      </c>
      <c r="F663" s="55">
        <v>1309694</v>
      </c>
      <c r="G663" s="55" t="s">
        <v>686</v>
      </c>
      <c r="H663" s="25">
        <f t="shared" si="11"/>
        <v>-1.0723192019950201E-2</v>
      </c>
    </row>
    <row r="664" spans="2:8">
      <c r="B664" s="55">
        <v>403.37</v>
      </c>
      <c r="C664" s="55">
        <v>405.61</v>
      </c>
      <c r="D664" s="55">
        <v>398.33499999999998</v>
      </c>
      <c r="E664" s="55">
        <v>405.61</v>
      </c>
      <c r="F664" s="55">
        <v>1575826</v>
      </c>
      <c r="G664" s="55" t="s">
        <v>687</v>
      </c>
      <c r="H664" s="25">
        <f t="shared" si="11"/>
        <v>-5.5225462883065068E-3</v>
      </c>
    </row>
    <row r="665" spans="2:8">
      <c r="B665" s="55">
        <v>402.46</v>
      </c>
      <c r="C665" s="55">
        <v>406.81</v>
      </c>
      <c r="D665" s="55">
        <v>392.08</v>
      </c>
      <c r="E665" s="55">
        <v>394.92</v>
      </c>
      <c r="F665" s="55">
        <v>1827884</v>
      </c>
      <c r="G665" s="55" t="s">
        <v>688</v>
      </c>
      <c r="H665" s="25">
        <f t="shared" si="11"/>
        <v>1.9092474425199901E-2</v>
      </c>
    </row>
    <row r="666" spans="2:8">
      <c r="B666" s="55">
        <v>395.82</v>
      </c>
      <c r="C666" s="55">
        <v>398.13</v>
      </c>
      <c r="D666" s="55">
        <v>389</v>
      </c>
      <c r="E666" s="55">
        <v>397.43</v>
      </c>
      <c r="F666" s="55">
        <v>1937679</v>
      </c>
      <c r="G666" s="55" t="s">
        <v>689</v>
      </c>
      <c r="H666" s="25">
        <f t="shared" si="11"/>
        <v>-4.0510278539617195E-3</v>
      </c>
    </row>
    <row r="667" spans="2:8">
      <c r="B667" s="55">
        <v>396.19</v>
      </c>
      <c r="C667" s="55">
        <v>408.21</v>
      </c>
      <c r="D667" s="55">
        <v>394.58</v>
      </c>
      <c r="E667" s="55">
        <v>407.01</v>
      </c>
      <c r="F667" s="55">
        <v>2628202</v>
      </c>
      <c r="G667" s="55" t="s">
        <v>690</v>
      </c>
      <c r="H667" s="25">
        <f t="shared" si="11"/>
        <v>-2.6584113412446819E-2</v>
      </c>
    </row>
    <row r="668" spans="2:8">
      <c r="B668" s="55">
        <v>405.61</v>
      </c>
      <c r="C668" s="55">
        <v>417.2</v>
      </c>
      <c r="D668" s="55">
        <v>404.77</v>
      </c>
      <c r="E668" s="55">
        <v>412.02</v>
      </c>
      <c r="F668" s="55">
        <v>3750070</v>
      </c>
      <c r="G668" s="55" t="s">
        <v>691</v>
      </c>
      <c r="H668" s="25">
        <f t="shared" si="11"/>
        <v>-1.5557497208873228E-2</v>
      </c>
    </row>
    <row r="669" spans="2:8">
      <c r="B669" s="55">
        <v>412.94</v>
      </c>
      <c r="C669" s="55">
        <v>419.86</v>
      </c>
      <c r="D669" s="55">
        <v>412.19</v>
      </c>
      <c r="E669" s="55">
        <v>415</v>
      </c>
      <c r="F669" s="55">
        <v>28064730</v>
      </c>
      <c r="G669" s="55" t="s">
        <v>692</v>
      </c>
      <c r="H669" s="25">
        <f t="shared" si="11"/>
        <v>-4.9638554216867581E-3</v>
      </c>
    </row>
    <row r="670" spans="2:8">
      <c r="B670" s="55">
        <v>416.64</v>
      </c>
      <c r="C670" s="55">
        <v>419.01</v>
      </c>
      <c r="D670" s="55">
        <v>401.83499999999998</v>
      </c>
      <c r="E670" s="55">
        <v>402.24</v>
      </c>
      <c r="F670" s="55">
        <v>11454193</v>
      </c>
      <c r="G670" s="55" t="s">
        <v>693</v>
      </c>
      <c r="H670" s="25">
        <f t="shared" si="11"/>
        <v>3.5799522673030992E-2</v>
      </c>
    </row>
    <row r="671" spans="2:8">
      <c r="B671" s="55">
        <v>377.69</v>
      </c>
      <c r="C671" s="55">
        <v>384.59500000000003</v>
      </c>
      <c r="D671" s="55">
        <v>374.4</v>
      </c>
      <c r="E671" s="55">
        <v>375</v>
      </c>
      <c r="F671" s="55">
        <v>1969913</v>
      </c>
      <c r="G671" s="55" t="s">
        <v>694</v>
      </c>
      <c r="H671" s="25">
        <f t="shared" si="11"/>
        <v>7.1733333333332538E-3</v>
      </c>
    </row>
    <row r="672" spans="2:8">
      <c r="B672" s="55">
        <v>373.94</v>
      </c>
      <c r="C672" s="55">
        <v>374.9</v>
      </c>
      <c r="D672" s="55">
        <v>366.99</v>
      </c>
      <c r="E672" s="55">
        <v>374.9</v>
      </c>
      <c r="F672" s="55">
        <v>1251110</v>
      </c>
      <c r="G672" s="55" t="s">
        <v>695</v>
      </c>
      <c r="H672" s="25">
        <f t="shared" si="11"/>
        <v>-2.5606828487596545E-3</v>
      </c>
    </row>
    <row r="673" spans="2:8">
      <c r="B673" s="55">
        <v>373.36</v>
      </c>
      <c r="C673" s="55">
        <v>375.96</v>
      </c>
      <c r="D673" s="55">
        <v>368.24</v>
      </c>
      <c r="E673" s="55">
        <v>374</v>
      </c>
      <c r="F673" s="55">
        <v>1046497</v>
      </c>
      <c r="G673" s="55" t="s">
        <v>696</v>
      </c>
      <c r="H673" s="25">
        <f t="shared" si="11"/>
        <v>-1.7112299465240621E-3</v>
      </c>
    </row>
    <row r="674" spans="2:8">
      <c r="B674" s="55">
        <v>373.03</v>
      </c>
      <c r="C674" s="55">
        <v>378.84</v>
      </c>
      <c r="D674" s="55">
        <v>371.44</v>
      </c>
      <c r="E674" s="55">
        <v>372.64</v>
      </c>
      <c r="F674" s="55">
        <v>1178519</v>
      </c>
      <c r="G674" s="55" t="s">
        <v>697</v>
      </c>
      <c r="H674" s="25">
        <f t="shared" si="11"/>
        <v>1.0465865178188594E-3</v>
      </c>
    </row>
    <row r="675" spans="2:8">
      <c r="B675" s="55">
        <v>372.64</v>
      </c>
      <c r="C675" s="55">
        <v>372.87</v>
      </c>
      <c r="D675" s="55">
        <v>363.57</v>
      </c>
      <c r="E675" s="55">
        <v>366.9</v>
      </c>
      <c r="F675" s="55">
        <v>1079256</v>
      </c>
      <c r="G675" s="55" t="s">
        <v>698</v>
      </c>
      <c r="H675" s="25">
        <f t="shared" si="11"/>
        <v>1.5644589806486753E-2</v>
      </c>
    </row>
    <row r="676" spans="2:8">
      <c r="B676" s="55">
        <v>367.22</v>
      </c>
      <c r="C676" s="55">
        <v>368.78</v>
      </c>
      <c r="D676" s="55">
        <v>354.66</v>
      </c>
      <c r="E676" s="55">
        <v>360</v>
      </c>
      <c r="F676" s="55">
        <v>1677975</v>
      </c>
      <c r="G676" s="55" t="s">
        <v>699</v>
      </c>
      <c r="H676" s="25">
        <f t="shared" si="11"/>
        <v>2.0055555555555715E-2</v>
      </c>
    </row>
    <row r="677" spans="2:8">
      <c r="B677" s="55">
        <v>360.36</v>
      </c>
      <c r="C677" s="55">
        <v>367.495</v>
      </c>
      <c r="D677" s="55">
        <v>360.2</v>
      </c>
      <c r="E677" s="55">
        <v>367.495</v>
      </c>
      <c r="F677" s="55">
        <v>1625383</v>
      </c>
      <c r="G677" s="55" t="s">
        <v>700</v>
      </c>
      <c r="H677" s="25">
        <f t="shared" si="11"/>
        <v>-1.9415230139185558E-2</v>
      </c>
    </row>
    <row r="678" spans="2:8">
      <c r="B678" s="55">
        <v>370.1</v>
      </c>
      <c r="C678" s="55">
        <v>372</v>
      </c>
      <c r="D678" s="55">
        <v>366.98500000000001</v>
      </c>
      <c r="E678" s="55">
        <v>367.76</v>
      </c>
      <c r="F678" s="55">
        <v>976262</v>
      </c>
      <c r="G678" s="55" t="s">
        <v>701</v>
      </c>
      <c r="H678" s="25">
        <f t="shared" si="11"/>
        <v>6.3628453339135138E-3</v>
      </c>
    </row>
    <row r="679" spans="2:8">
      <c r="B679" s="55">
        <v>368.34</v>
      </c>
      <c r="C679" s="55">
        <v>381.53</v>
      </c>
      <c r="D679" s="55">
        <v>365.17500000000001</v>
      </c>
      <c r="E679" s="55">
        <v>378.84</v>
      </c>
      <c r="F679" s="55">
        <v>1652812</v>
      </c>
      <c r="G679" s="55" t="s">
        <v>702</v>
      </c>
      <c r="H679" s="25">
        <f t="shared" si="11"/>
        <v>-2.7716186252771613E-2</v>
      </c>
    </row>
    <row r="680" spans="2:8">
      <c r="B680" s="55">
        <v>382.86</v>
      </c>
      <c r="C680" s="55">
        <v>388.87</v>
      </c>
      <c r="D680" s="55">
        <v>380.88</v>
      </c>
      <c r="E680" s="55">
        <v>384.6</v>
      </c>
      <c r="F680" s="55">
        <v>1197532</v>
      </c>
      <c r="G680" s="55" t="s">
        <v>703</v>
      </c>
      <c r="H680" s="25">
        <f t="shared" si="11"/>
        <v>-4.5241809672387223E-3</v>
      </c>
    </row>
    <row r="681" spans="2:8">
      <c r="B681" s="55">
        <v>385.61</v>
      </c>
      <c r="C681" s="55">
        <v>389.96</v>
      </c>
      <c r="D681" s="55">
        <v>382.202</v>
      </c>
      <c r="E681" s="55">
        <v>387.35</v>
      </c>
      <c r="F681" s="55">
        <v>1509241</v>
      </c>
      <c r="G681" s="55" t="s">
        <v>704</v>
      </c>
      <c r="H681" s="25">
        <f t="shared" si="11"/>
        <v>-4.4920614431392947E-3</v>
      </c>
    </row>
    <row r="682" spans="2:8">
      <c r="B682" s="55">
        <v>379</v>
      </c>
      <c r="C682" s="55">
        <v>382.15</v>
      </c>
      <c r="D682" s="55">
        <v>375.62</v>
      </c>
      <c r="E682" s="55">
        <v>381.55</v>
      </c>
      <c r="F682" s="55">
        <v>1146548</v>
      </c>
      <c r="G682" s="55" t="s">
        <v>705</v>
      </c>
      <c r="H682" s="25">
        <f t="shared" si="11"/>
        <v>-6.6832656270475743E-3</v>
      </c>
    </row>
    <row r="683" spans="2:8">
      <c r="B683" s="55">
        <v>379.14</v>
      </c>
      <c r="C683" s="55">
        <v>384.29</v>
      </c>
      <c r="D683" s="55">
        <v>377.04</v>
      </c>
      <c r="E683" s="55">
        <v>382.21</v>
      </c>
      <c r="F683" s="55">
        <v>700644</v>
      </c>
      <c r="G683" s="55" t="s">
        <v>706</v>
      </c>
      <c r="H683" s="25">
        <f t="shared" si="11"/>
        <v>-8.0322335888647345E-3</v>
      </c>
    </row>
    <row r="684" spans="2:8">
      <c r="B684" s="55">
        <v>380.66</v>
      </c>
      <c r="C684" s="55">
        <v>384.72</v>
      </c>
      <c r="D684" s="55">
        <v>378.29</v>
      </c>
      <c r="E684" s="55">
        <v>380.63</v>
      </c>
      <c r="F684" s="55">
        <v>1521344</v>
      </c>
      <c r="G684" s="55" t="s">
        <v>707</v>
      </c>
      <c r="H684" s="25">
        <f t="shared" si="11"/>
        <v>7.8816698631190008E-5</v>
      </c>
    </row>
    <row r="685" spans="2:8">
      <c r="B685" s="55">
        <v>384.33</v>
      </c>
      <c r="C685" s="55">
        <v>387.5</v>
      </c>
      <c r="D685" s="55">
        <v>378.11</v>
      </c>
      <c r="E685" s="55">
        <v>386.02</v>
      </c>
      <c r="F685" s="55">
        <v>1576924</v>
      </c>
      <c r="G685" s="55" t="s">
        <v>708</v>
      </c>
      <c r="H685" s="25">
        <f t="shared" si="11"/>
        <v>-4.378011501994683E-3</v>
      </c>
    </row>
    <row r="686" spans="2:8">
      <c r="B686" s="55">
        <v>388.05</v>
      </c>
      <c r="C686" s="55">
        <v>391.71</v>
      </c>
      <c r="D686" s="55">
        <v>386.38</v>
      </c>
      <c r="E686" s="55">
        <v>387.5</v>
      </c>
      <c r="F686" s="55">
        <v>1102763</v>
      </c>
      <c r="G686" s="55" t="s">
        <v>709</v>
      </c>
      <c r="H686" s="25">
        <f t="shared" si="11"/>
        <v>1.4193548387098076E-3</v>
      </c>
    </row>
    <row r="687" spans="2:8">
      <c r="B687" s="55">
        <v>383.9</v>
      </c>
      <c r="C687" s="55">
        <v>390.48</v>
      </c>
      <c r="D687" s="55">
        <v>383.75</v>
      </c>
      <c r="E687" s="55">
        <v>387.44</v>
      </c>
      <c r="F687" s="55">
        <v>1544152</v>
      </c>
      <c r="G687" s="55" t="s">
        <v>710</v>
      </c>
      <c r="H687" s="25">
        <f t="shared" si="11"/>
        <v>-9.1368986165600852E-3</v>
      </c>
    </row>
    <row r="688" spans="2:8">
      <c r="B688" s="55">
        <v>391.88</v>
      </c>
      <c r="C688" s="55">
        <v>397.99</v>
      </c>
      <c r="D688" s="55">
        <v>387.88</v>
      </c>
      <c r="E688" s="55">
        <v>389.15</v>
      </c>
      <c r="F688" s="55">
        <v>1488481</v>
      </c>
      <c r="G688" s="55" t="s">
        <v>711</v>
      </c>
      <c r="H688" s="25">
        <f t="shared" si="11"/>
        <v>7.0152897340358678E-3</v>
      </c>
    </row>
    <row r="689" spans="2:8">
      <c r="B689" s="55">
        <v>384.45</v>
      </c>
      <c r="C689" s="55">
        <v>386.435</v>
      </c>
      <c r="D689" s="55">
        <v>379.42</v>
      </c>
      <c r="E689" s="55">
        <v>382.65</v>
      </c>
      <c r="F689" s="55">
        <v>740798</v>
      </c>
      <c r="G689" s="55" t="s">
        <v>712</v>
      </c>
      <c r="H689" s="25">
        <f t="shared" si="11"/>
        <v>4.7040376323010946E-3</v>
      </c>
    </row>
    <row r="690" spans="2:8">
      <c r="B690" s="55">
        <v>382.81</v>
      </c>
      <c r="C690" s="55">
        <v>391.99</v>
      </c>
      <c r="D690" s="55">
        <v>381.68</v>
      </c>
      <c r="E690" s="55">
        <v>391.7</v>
      </c>
      <c r="F690" s="55">
        <v>1178155</v>
      </c>
      <c r="G690" s="55" t="s">
        <v>713</v>
      </c>
      <c r="H690" s="25">
        <f t="shared" si="11"/>
        <v>-2.2695940770998124E-2</v>
      </c>
    </row>
    <row r="691" spans="2:8">
      <c r="B691" s="55">
        <v>389.93</v>
      </c>
      <c r="C691" s="55">
        <v>390</v>
      </c>
      <c r="D691" s="55">
        <v>383.6712</v>
      </c>
      <c r="E691" s="55">
        <v>388.9</v>
      </c>
      <c r="F691" s="55">
        <v>1411191</v>
      </c>
      <c r="G691" s="55" t="s">
        <v>714</v>
      </c>
      <c r="H691" s="25">
        <f t="shared" si="11"/>
        <v>2.6484957572641132E-3</v>
      </c>
    </row>
    <row r="692" spans="2:8">
      <c r="B692" s="55">
        <v>388.74</v>
      </c>
      <c r="C692" s="55">
        <v>394.18</v>
      </c>
      <c r="D692" s="55">
        <v>384.31</v>
      </c>
      <c r="E692" s="55">
        <v>394.18</v>
      </c>
      <c r="F692" s="55">
        <v>914432</v>
      </c>
      <c r="G692" s="55" t="s">
        <v>715</v>
      </c>
      <c r="H692" s="25">
        <f t="shared" si="11"/>
        <v>-1.3800801664214268E-2</v>
      </c>
    </row>
    <row r="693" spans="2:8">
      <c r="B693" s="55">
        <v>388.97</v>
      </c>
      <c r="C693" s="55">
        <v>392.98489999999998</v>
      </c>
      <c r="D693" s="55">
        <v>385.56</v>
      </c>
      <c r="E693" s="55">
        <v>386.67</v>
      </c>
      <c r="F693" s="55">
        <v>898799</v>
      </c>
      <c r="G693" s="55" t="s">
        <v>716</v>
      </c>
      <c r="H693" s="25">
        <f t="shared" si="11"/>
        <v>5.9482245842708004E-3</v>
      </c>
    </row>
    <row r="694" spans="2:8">
      <c r="B694" s="55">
        <v>388.12</v>
      </c>
      <c r="C694" s="55">
        <v>400.42989999999998</v>
      </c>
      <c r="D694" s="55">
        <v>387.18</v>
      </c>
      <c r="E694" s="55">
        <v>396.27</v>
      </c>
      <c r="F694" s="55">
        <v>1102117</v>
      </c>
      <c r="G694" s="55" t="s">
        <v>717</v>
      </c>
      <c r="H694" s="25">
        <f t="shared" si="11"/>
        <v>-2.0566785272667532E-2</v>
      </c>
    </row>
    <row r="695" spans="2:8">
      <c r="B695" s="55">
        <v>397.44</v>
      </c>
      <c r="C695" s="55">
        <v>399.30500000000001</v>
      </c>
      <c r="D695" s="55">
        <v>392.77</v>
      </c>
      <c r="E695" s="55">
        <v>396.36</v>
      </c>
      <c r="F695" s="55">
        <v>764344</v>
      </c>
      <c r="G695" s="55" t="s">
        <v>718</v>
      </c>
      <c r="H695" s="25">
        <f t="shared" si="11"/>
        <v>2.7247956403269047E-3</v>
      </c>
    </row>
    <row r="696" spans="2:8">
      <c r="B696" s="55">
        <v>396.36</v>
      </c>
      <c r="C696" s="55">
        <v>401.375</v>
      </c>
      <c r="D696" s="55">
        <v>395.51</v>
      </c>
      <c r="E696" s="55">
        <v>401.05</v>
      </c>
      <c r="F696" s="55">
        <v>665653</v>
      </c>
      <c r="G696" s="55" t="s">
        <v>719</v>
      </c>
      <c r="H696" s="25">
        <f t="shared" si="11"/>
        <v>-1.1694302456052852E-2</v>
      </c>
    </row>
    <row r="697" spans="2:8">
      <c r="B697" s="55">
        <v>398.99</v>
      </c>
      <c r="C697" s="55">
        <v>400.83499999999998</v>
      </c>
      <c r="D697" s="55">
        <v>396.01</v>
      </c>
      <c r="E697" s="55">
        <v>397.52</v>
      </c>
      <c r="F697" s="55">
        <v>830329</v>
      </c>
      <c r="G697" s="55" t="s">
        <v>720</v>
      </c>
      <c r="H697" s="25">
        <f t="shared" si="11"/>
        <v>3.6979271483197351E-3</v>
      </c>
    </row>
    <row r="698" spans="2:8">
      <c r="B698" s="55">
        <v>399</v>
      </c>
      <c r="C698" s="55">
        <v>404.47</v>
      </c>
      <c r="D698" s="55">
        <v>396.76499999999999</v>
      </c>
      <c r="E698" s="55">
        <v>400.71</v>
      </c>
      <c r="F698" s="55">
        <v>990117</v>
      </c>
      <c r="G698" s="55" t="s">
        <v>721</v>
      </c>
      <c r="H698" s="25">
        <f t="shared" si="11"/>
        <v>-4.2674253200568613E-3</v>
      </c>
    </row>
    <row r="699" spans="2:8">
      <c r="B699" s="55">
        <v>401.81</v>
      </c>
      <c r="C699" s="55">
        <v>406.94</v>
      </c>
      <c r="D699" s="55">
        <v>397.28</v>
      </c>
      <c r="E699" s="55">
        <v>400</v>
      </c>
      <c r="F699" s="55">
        <v>1856143</v>
      </c>
      <c r="G699" s="55" t="s">
        <v>722</v>
      </c>
      <c r="H699" s="25">
        <f t="shared" ref="H699:H762" si="12">B699/E699-1</f>
        <v>4.5250000000001123E-3</v>
      </c>
    </row>
    <row r="700" spans="2:8">
      <c r="B700" s="55">
        <v>404.19</v>
      </c>
      <c r="C700" s="55">
        <v>406.75</v>
      </c>
      <c r="D700" s="55">
        <v>385.11</v>
      </c>
      <c r="E700" s="55">
        <v>393</v>
      </c>
      <c r="F700" s="55">
        <v>5176124</v>
      </c>
      <c r="G700" s="55" t="s">
        <v>723</v>
      </c>
      <c r="H700" s="25">
        <f t="shared" si="12"/>
        <v>2.8473282442748049E-2</v>
      </c>
    </row>
    <row r="701" spans="2:8">
      <c r="B701" s="55">
        <v>381.26</v>
      </c>
      <c r="C701" s="55">
        <v>382.89</v>
      </c>
      <c r="D701" s="55">
        <v>378.5</v>
      </c>
      <c r="E701" s="55">
        <v>379.27</v>
      </c>
      <c r="F701" s="55">
        <v>3328517</v>
      </c>
      <c r="G701" s="55" t="s">
        <v>724</v>
      </c>
      <c r="H701" s="25">
        <f t="shared" si="12"/>
        <v>5.2469217180373118E-3</v>
      </c>
    </row>
    <row r="702" spans="2:8">
      <c r="B702" s="55">
        <v>376.73</v>
      </c>
      <c r="C702" s="55">
        <v>379</v>
      </c>
      <c r="D702" s="55">
        <v>373.5</v>
      </c>
      <c r="E702" s="55">
        <v>378.87</v>
      </c>
      <c r="F702" s="55">
        <v>1175787</v>
      </c>
      <c r="G702" s="55" t="s">
        <v>725</v>
      </c>
      <c r="H702" s="25">
        <f t="shared" si="12"/>
        <v>-5.6483754322063096E-3</v>
      </c>
    </row>
    <row r="703" spans="2:8">
      <c r="B703" s="55">
        <v>374.73</v>
      </c>
      <c r="C703" s="55">
        <v>375.87</v>
      </c>
      <c r="D703" s="55">
        <v>363.34500000000003</v>
      </c>
      <c r="E703" s="55">
        <v>365.01</v>
      </c>
      <c r="F703" s="55">
        <v>1260278</v>
      </c>
      <c r="G703" s="55" t="s">
        <v>726</v>
      </c>
      <c r="H703" s="25">
        <f t="shared" si="12"/>
        <v>2.662940741349562E-2</v>
      </c>
    </row>
    <row r="704" spans="2:8">
      <c r="B704" s="55">
        <v>365.84</v>
      </c>
      <c r="C704" s="55">
        <v>367.99</v>
      </c>
      <c r="D704" s="55">
        <v>362.97</v>
      </c>
      <c r="E704" s="55">
        <v>367.09</v>
      </c>
      <c r="F704" s="55">
        <v>1191335</v>
      </c>
      <c r="G704" s="55" t="s">
        <v>727</v>
      </c>
      <c r="H704" s="25">
        <f t="shared" si="12"/>
        <v>-3.4051594976708399E-3</v>
      </c>
    </row>
    <row r="705" spans="2:8">
      <c r="B705" s="55">
        <v>365.59</v>
      </c>
      <c r="C705" s="55">
        <v>367.39</v>
      </c>
      <c r="D705" s="55">
        <v>360.42</v>
      </c>
      <c r="E705" s="55">
        <v>362.06</v>
      </c>
      <c r="F705" s="55">
        <v>1138385</v>
      </c>
      <c r="G705" s="55" t="s">
        <v>728</v>
      </c>
      <c r="H705" s="25">
        <f t="shared" si="12"/>
        <v>9.7497652322817707E-3</v>
      </c>
    </row>
    <row r="706" spans="2:8">
      <c r="B706" s="55">
        <v>360.22</v>
      </c>
      <c r="C706" s="55">
        <v>379.41</v>
      </c>
      <c r="D706" s="55">
        <v>359.81</v>
      </c>
      <c r="E706" s="55">
        <v>379.41</v>
      </c>
      <c r="F706" s="55">
        <v>2347316</v>
      </c>
      <c r="G706" s="55" t="s">
        <v>729</v>
      </c>
      <c r="H706" s="25">
        <f t="shared" si="12"/>
        <v>-5.0578529822619345E-2</v>
      </c>
    </row>
    <row r="707" spans="2:8">
      <c r="B707" s="55">
        <v>377.71</v>
      </c>
      <c r="C707" s="55">
        <v>379.33</v>
      </c>
      <c r="D707" s="55">
        <v>368.83010000000002</v>
      </c>
      <c r="E707" s="55">
        <v>374.96</v>
      </c>
      <c r="F707" s="55">
        <v>1411386</v>
      </c>
      <c r="G707" s="55" t="s">
        <v>730</v>
      </c>
      <c r="H707" s="25">
        <f t="shared" si="12"/>
        <v>7.3341156390014373E-3</v>
      </c>
    </row>
    <row r="708" spans="2:8">
      <c r="B708" s="55">
        <v>379.42</v>
      </c>
      <c r="C708" s="55">
        <v>381.53</v>
      </c>
      <c r="D708" s="55">
        <v>373.54</v>
      </c>
      <c r="E708" s="55">
        <v>380.6</v>
      </c>
      <c r="F708" s="55">
        <v>1123100</v>
      </c>
      <c r="G708" s="55" t="s">
        <v>731</v>
      </c>
      <c r="H708" s="25">
        <f t="shared" si="12"/>
        <v>-3.1003678402522494E-3</v>
      </c>
    </row>
    <row r="709" spans="2:8">
      <c r="B709" s="55">
        <v>384.9</v>
      </c>
      <c r="C709" s="55">
        <v>385.74</v>
      </c>
      <c r="D709" s="55">
        <v>381.34379999999999</v>
      </c>
      <c r="E709" s="55">
        <v>382.95</v>
      </c>
      <c r="F709" s="55">
        <v>1009310</v>
      </c>
      <c r="G709" s="55" t="s">
        <v>732</v>
      </c>
      <c r="H709" s="25">
        <f t="shared" si="12"/>
        <v>5.0920485703094265E-3</v>
      </c>
    </row>
    <row r="710" spans="2:8">
      <c r="B710" s="55">
        <v>381.29</v>
      </c>
      <c r="C710" s="55">
        <v>382.65</v>
      </c>
      <c r="D710" s="55">
        <v>371.45350000000002</v>
      </c>
      <c r="E710" s="55">
        <v>372.59</v>
      </c>
      <c r="F710" s="55">
        <v>945945</v>
      </c>
      <c r="G710" s="55" t="s">
        <v>733</v>
      </c>
      <c r="H710" s="25">
        <f t="shared" si="12"/>
        <v>2.3350063072009597E-2</v>
      </c>
    </row>
    <row r="711" spans="2:8">
      <c r="B711" s="55">
        <v>376.3</v>
      </c>
      <c r="C711" s="55">
        <v>384.01990000000001</v>
      </c>
      <c r="D711" s="55">
        <v>376.04</v>
      </c>
      <c r="E711" s="55">
        <v>383.85</v>
      </c>
      <c r="F711" s="55">
        <v>831362</v>
      </c>
      <c r="G711" s="55" t="s">
        <v>734</v>
      </c>
      <c r="H711" s="25">
        <f t="shared" si="12"/>
        <v>-1.9669141591767692E-2</v>
      </c>
    </row>
    <row r="712" spans="2:8">
      <c r="B712" s="55">
        <v>381.16</v>
      </c>
      <c r="C712" s="55">
        <v>389.78</v>
      </c>
      <c r="D712" s="55">
        <v>381.08</v>
      </c>
      <c r="E712" s="55">
        <v>384.78</v>
      </c>
      <c r="F712" s="55">
        <v>743555</v>
      </c>
      <c r="G712" s="55" t="s">
        <v>735</v>
      </c>
      <c r="H712" s="25">
        <f t="shared" si="12"/>
        <v>-9.4079733873900784E-3</v>
      </c>
    </row>
    <row r="713" spans="2:8">
      <c r="B713" s="55">
        <v>383.18</v>
      </c>
      <c r="C713" s="55">
        <v>385.45</v>
      </c>
      <c r="D713" s="55">
        <v>378.01</v>
      </c>
      <c r="E713" s="55">
        <v>383</v>
      </c>
      <c r="F713" s="55">
        <v>941742</v>
      </c>
      <c r="G713" s="55" t="s">
        <v>736</v>
      </c>
      <c r="H713" s="25">
        <f t="shared" si="12"/>
        <v>4.6997389033953674E-4</v>
      </c>
    </row>
    <row r="714" spans="2:8">
      <c r="B714" s="55">
        <v>385.02</v>
      </c>
      <c r="C714" s="55">
        <v>387.43049999999999</v>
      </c>
      <c r="D714" s="55">
        <v>379.53</v>
      </c>
      <c r="E714" s="55">
        <v>380</v>
      </c>
      <c r="F714" s="55">
        <v>861323</v>
      </c>
      <c r="G714" s="55" t="s">
        <v>737</v>
      </c>
      <c r="H714" s="25">
        <f t="shared" si="12"/>
        <v>1.3210526315789339E-2</v>
      </c>
    </row>
    <row r="715" spans="2:8">
      <c r="B715" s="55">
        <v>381.13</v>
      </c>
      <c r="C715" s="55">
        <v>383.59500000000003</v>
      </c>
      <c r="D715" s="55">
        <v>377.74</v>
      </c>
      <c r="E715" s="55">
        <v>382.98</v>
      </c>
      <c r="F715" s="55">
        <v>650171</v>
      </c>
      <c r="G715" s="55" t="s">
        <v>738</v>
      </c>
      <c r="H715" s="25">
        <f t="shared" si="12"/>
        <v>-4.8305394537574431E-3</v>
      </c>
    </row>
    <row r="716" spans="2:8">
      <c r="B716" s="55">
        <v>384.55</v>
      </c>
      <c r="C716" s="55">
        <v>394.64</v>
      </c>
      <c r="D716" s="55">
        <v>383.37</v>
      </c>
      <c r="E716" s="55">
        <v>385.88</v>
      </c>
      <c r="F716" s="55">
        <v>937645</v>
      </c>
      <c r="G716" s="55" t="s">
        <v>739</v>
      </c>
      <c r="H716" s="25">
        <f t="shared" si="12"/>
        <v>-3.4466673577276952E-3</v>
      </c>
    </row>
    <row r="717" spans="2:8">
      <c r="B717" s="55">
        <v>382.33</v>
      </c>
      <c r="C717" s="55">
        <v>385.995</v>
      </c>
      <c r="D717" s="55">
        <v>376.63</v>
      </c>
      <c r="E717" s="55">
        <v>382</v>
      </c>
      <c r="F717" s="55">
        <v>748138</v>
      </c>
      <c r="G717" s="55" t="s">
        <v>740</v>
      </c>
      <c r="H717" s="25">
        <f t="shared" si="12"/>
        <v>8.638743455497977E-4</v>
      </c>
    </row>
    <row r="718" spans="2:8">
      <c r="B718" s="55">
        <v>380.7</v>
      </c>
      <c r="C718" s="55">
        <v>381.11</v>
      </c>
      <c r="D718" s="55">
        <v>373.71</v>
      </c>
      <c r="E718" s="55">
        <v>378.64</v>
      </c>
      <c r="F718" s="55">
        <v>860639</v>
      </c>
      <c r="G718" s="55" t="s">
        <v>741</v>
      </c>
      <c r="H718" s="25">
        <f t="shared" si="12"/>
        <v>5.4405239805619399E-3</v>
      </c>
    </row>
    <row r="719" spans="2:8">
      <c r="B719" s="55">
        <v>382.5</v>
      </c>
      <c r="C719" s="55">
        <v>383.09</v>
      </c>
      <c r="D719" s="55">
        <v>377.19009999999997</v>
      </c>
      <c r="E719" s="55">
        <v>380.95</v>
      </c>
      <c r="F719" s="55">
        <v>761546</v>
      </c>
      <c r="G719" s="55" t="s">
        <v>742</v>
      </c>
      <c r="H719" s="25">
        <f t="shared" si="12"/>
        <v>4.0687754298465162E-3</v>
      </c>
    </row>
    <row r="720" spans="2:8">
      <c r="B720" s="55">
        <v>378.2</v>
      </c>
      <c r="C720" s="55">
        <v>386.47</v>
      </c>
      <c r="D720" s="55">
        <v>377.43</v>
      </c>
      <c r="E720" s="55">
        <v>385.41</v>
      </c>
      <c r="F720" s="55">
        <v>908116</v>
      </c>
      <c r="G720" s="55" t="s">
        <v>743</v>
      </c>
      <c r="H720" s="25">
        <f t="shared" si="12"/>
        <v>-1.8707350613632379E-2</v>
      </c>
    </row>
    <row r="721" spans="2:8">
      <c r="B721" s="55">
        <v>384</v>
      </c>
      <c r="C721" s="55">
        <v>385.45</v>
      </c>
      <c r="D721" s="55">
        <v>375</v>
      </c>
      <c r="E721" s="55">
        <v>375.76</v>
      </c>
      <c r="F721" s="55">
        <v>1055614</v>
      </c>
      <c r="G721" s="55" t="s">
        <v>744</v>
      </c>
      <c r="H721" s="25">
        <f t="shared" si="12"/>
        <v>2.1928890781349741E-2</v>
      </c>
    </row>
    <row r="722" spans="2:8">
      <c r="B722" s="55">
        <v>376.65</v>
      </c>
      <c r="C722" s="55">
        <v>378.58</v>
      </c>
      <c r="D722" s="55">
        <v>375</v>
      </c>
      <c r="E722" s="55">
        <v>377.46</v>
      </c>
      <c r="F722" s="55">
        <v>916474</v>
      </c>
      <c r="G722" s="55" t="s">
        <v>745</v>
      </c>
      <c r="H722" s="25">
        <f t="shared" si="12"/>
        <v>-2.1459227467811592E-3</v>
      </c>
    </row>
    <row r="723" spans="2:8">
      <c r="B723" s="55">
        <v>381.21</v>
      </c>
      <c r="C723" s="55">
        <v>382.31</v>
      </c>
      <c r="D723" s="55">
        <v>375.995</v>
      </c>
      <c r="E723" s="55">
        <v>376.99</v>
      </c>
      <c r="F723" s="55">
        <v>1096362</v>
      </c>
      <c r="G723" s="55" t="s">
        <v>746</v>
      </c>
      <c r="H723" s="25">
        <f t="shared" si="12"/>
        <v>1.1193930873497848E-2</v>
      </c>
    </row>
    <row r="724" spans="2:8">
      <c r="B724" s="55">
        <v>378.53</v>
      </c>
      <c r="C724" s="55">
        <v>382.06549999999999</v>
      </c>
      <c r="D724" s="55">
        <v>377.39</v>
      </c>
      <c r="E724" s="55">
        <v>377.96</v>
      </c>
      <c r="F724" s="55">
        <v>867201</v>
      </c>
      <c r="G724" s="55" t="s">
        <v>747</v>
      </c>
      <c r="H724" s="25">
        <f t="shared" si="12"/>
        <v>1.508096094824829E-3</v>
      </c>
    </row>
    <row r="725" spans="2:8">
      <c r="B725" s="55">
        <v>377.96</v>
      </c>
      <c r="C725" s="55">
        <v>378.64</v>
      </c>
      <c r="D725" s="55">
        <v>374.52499999999998</v>
      </c>
      <c r="E725" s="55">
        <v>375.87</v>
      </c>
      <c r="F725" s="55">
        <v>1041789</v>
      </c>
      <c r="G725" s="55" t="s">
        <v>748</v>
      </c>
      <c r="H725" s="25">
        <f t="shared" si="12"/>
        <v>5.5604331284750952E-3</v>
      </c>
    </row>
    <row r="726" spans="2:8">
      <c r="B726" s="55">
        <v>370.75</v>
      </c>
      <c r="C726" s="55">
        <v>382.88</v>
      </c>
      <c r="D726" s="55">
        <v>368.76</v>
      </c>
      <c r="E726" s="55">
        <v>381.42</v>
      </c>
      <c r="F726" s="55">
        <v>1261757</v>
      </c>
      <c r="G726" s="55" t="s">
        <v>749</v>
      </c>
      <c r="H726" s="25">
        <f t="shared" si="12"/>
        <v>-2.7974411409994238E-2</v>
      </c>
    </row>
    <row r="727" spans="2:8">
      <c r="B727" s="55">
        <v>378.98</v>
      </c>
      <c r="C727" s="55">
        <v>381.54</v>
      </c>
      <c r="D727" s="55">
        <v>375.79599999999999</v>
      </c>
      <c r="E727" s="55">
        <v>380.93</v>
      </c>
      <c r="F727" s="55">
        <v>782463</v>
      </c>
      <c r="G727" s="55" t="s">
        <v>750</v>
      </c>
      <c r="H727" s="25">
        <f t="shared" si="12"/>
        <v>-5.1190507442312461E-3</v>
      </c>
    </row>
    <row r="728" spans="2:8">
      <c r="B728" s="55">
        <v>382.12</v>
      </c>
      <c r="C728" s="55">
        <v>383.11</v>
      </c>
      <c r="D728" s="55">
        <v>378.73</v>
      </c>
      <c r="E728" s="55">
        <v>380</v>
      </c>
      <c r="F728" s="55">
        <v>725797</v>
      </c>
      <c r="G728" s="55" t="s">
        <v>751</v>
      </c>
      <c r="H728" s="25">
        <f t="shared" si="12"/>
        <v>5.5789473684211277E-3</v>
      </c>
    </row>
    <row r="729" spans="2:8">
      <c r="B729" s="55">
        <v>380.39</v>
      </c>
      <c r="C729" s="55">
        <v>384.35430000000002</v>
      </c>
      <c r="D729" s="55">
        <v>376.81</v>
      </c>
      <c r="E729" s="55">
        <v>382.43</v>
      </c>
      <c r="F729" s="55">
        <v>1211870</v>
      </c>
      <c r="G729" s="55" t="s">
        <v>752</v>
      </c>
      <c r="H729" s="25">
        <f t="shared" si="12"/>
        <v>-5.3343095468452173E-3</v>
      </c>
    </row>
    <row r="730" spans="2:8">
      <c r="B730" s="55">
        <v>382.96</v>
      </c>
      <c r="C730" s="55">
        <v>388.38</v>
      </c>
      <c r="D730" s="55">
        <v>381</v>
      </c>
      <c r="E730" s="55">
        <v>384.62</v>
      </c>
      <c r="F730" s="55">
        <v>2642301</v>
      </c>
      <c r="G730" s="55" t="s">
        <v>753</v>
      </c>
      <c r="H730" s="25">
        <f t="shared" si="12"/>
        <v>-4.3159482086215784E-3</v>
      </c>
    </row>
    <row r="731" spans="2:8">
      <c r="B731" s="55">
        <v>381.86</v>
      </c>
      <c r="C731" s="55">
        <v>390.83</v>
      </c>
      <c r="D731" s="55">
        <v>381.42970000000003</v>
      </c>
      <c r="E731" s="55">
        <v>386.58</v>
      </c>
      <c r="F731" s="55">
        <v>1341718</v>
      </c>
      <c r="G731" s="55" t="s">
        <v>754</v>
      </c>
      <c r="H731" s="25">
        <f t="shared" si="12"/>
        <v>-1.2209633193646763E-2</v>
      </c>
    </row>
    <row r="732" spans="2:8">
      <c r="B732" s="55">
        <v>390.51</v>
      </c>
      <c r="C732" s="55">
        <v>394.54</v>
      </c>
      <c r="D732" s="55">
        <v>384.87</v>
      </c>
      <c r="E732" s="55">
        <v>385</v>
      </c>
      <c r="F732" s="55">
        <v>1478237</v>
      </c>
      <c r="G732" s="55" t="s">
        <v>755</v>
      </c>
      <c r="H732" s="25">
        <f t="shared" si="12"/>
        <v>1.4311688311688275E-2</v>
      </c>
    </row>
    <row r="733" spans="2:8">
      <c r="B733" s="55">
        <v>385.42</v>
      </c>
      <c r="C733" s="55">
        <v>385.57</v>
      </c>
      <c r="D733" s="55">
        <v>379.23</v>
      </c>
      <c r="E733" s="55">
        <v>384.38</v>
      </c>
      <c r="F733" s="55">
        <v>935238</v>
      </c>
      <c r="G733" s="55" t="s">
        <v>756</v>
      </c>
      <c r="H733" s="25">
        <f t="shared" si="12"/>
        <v>2.7056558613871573E-3</v>
      </c>
    </row>
    <row r="734" spans="2:8">
      <c r="B734" s="55">
        <v>383.69</v>
      </c>
      <c r="C734" s="55">
        <v>385.35</v>
      </c>
      <c r="D734" s="55">
        <v>378.4</v>
      </c>
      <c r="E734" s="55">
        <v>379.07</v>
      </c>
      <c r="F734" s="55">
        <v>809554</v>
      </c>
      <c r="G734" s="55" t="s">
        <v>757</v>
      </c>
      <c r="H734" s="25">
        <f t="shared" si="12"/>
        <v>1.2187722584219296E-2</v>
      </c>
    </row>
    <row r="735" spans="2:8">
      <c r="B735" s="55">
        <v>380.41</v>
      </c>
      <c r="C735" s="55">
        <v>381.78</v>
      </c>
      <c r="D735" s="55">
        <v>377.51499999999999</v>
      </c>
      <c r="E735" s="55">
        <v>379.73</v>
      </c>
      <c r="F735" s="55">
        <v>660481</v>
      </c>
      <c r="G735" s="55" t="s">
        <v>758</v>
      </c>
      <c r="H735" s="25">
        <f t="shared" si="12"/>
        <v>1.7907460564086097E-3</v>
      </c>
    </row>
    <row r="736" spans="2:8">
      <c r="B736" s="55">
        <v>379.54</v>
      </c>
      <c r="C736" s="55">
        <v>387.73</v>
      </c>
      <c r="D736" s="55">
        <v>379.34</v>
      </c>
      <c r="E736" s="55">
        <v>386.99</v>
      </c>
      <c r="F736" s="55">
        <v>702084</v>
      </c>
      <c r="G736" s="55" t="s">
        <v>759</v>
      </c>
      <c r="H736" s="25">
        <f t="shared" si="12"/>
        <v>-1.925114344039891E-2</v>
      </c>
    </row>
    <row r="737" spans="2:8">
      <c r="B737" s="55">
        <v>383.32</v>
      </c>
      <c r="C737" s="55">
        <v>384.74</v>
      </c>
      <c r="D737" s="55">
        <v>378.55</v>
      </c>
      <c r="E737" s="55">
        <v>383.6</v>
      </c>
      <c r="F737" s="55">
        <v>979863</v>
      </c>
      <c r="G737" s="55" t="s">
        <v>760</v>
      </c>
      <c r="H737" s="25">
        <f t="shared" si="12"/>
        <v>-7.299270072993469E-4</v>
      </c>
    </row>
    <row r="738" spans="2:8">
      <c r="B738" s="55">
        <v>379.48</v>
      </c>
      <c r="C738" s="55">
        <v>380.09</v>
      </c>
      <c r="D738" s="55">
        <v>371.38010000000003</v>
      </c>
      <c r="E738" s="55">
        <v>371.44</v>
      </c>
      <c r="F738" s="55">
        <v>887315</v>
      </c>
      <c r="G738" s="55" t="s">
        <v>761</v>
      </c>
      <c r="H738" s="25">
        <f t="shared" si="12"/>
        <v>2.1645487831143617E-2</v>
      </c>
    </row>
    <row r="739" spans="2:8">
      <c r="B739" s="55">
        <v>369.52</v>
      </c>
      <c r="C739" s="55">
        <v>372.875</v>
      </c>
      <c r="D739" s="55">
        <v>364.29</v>
      </c>
      <c r="E739" s="55">
        <v>364.72</v>
      </c>
      <c r="F739" s="55">
        <v>1043338</v>
      </c>
      <c r="G739" s="55" t="s">
        <v>762</v>
      </c>
      <c r="H739" s="25">
        <f t="shared" si="12"/>
        <v>1.3160780872998323E-2</v>
      </c>
    </row>
    <row r="740" spans="2:8">
      <c r="B740" s="55">
        <v>363.74</v>
      </c>
      <c r="C740" s="55">
        <v>367.9</v>
      </c>
      <c r="D740" s="55">
        <v>363.255</v>
      </c>
      <c r="E740" s="55">
        <v>366</v>
      </c>
      <c r="F740" s="55">
        <v>935343</v>
      </c>
      <c r="G740" s="55" t="s">
        <v>763</v>
      </c>
      <c r="H740" s="25">
        <f t="shared" si="12"/>
        <v>-6.1748633879781245E-3</v>
      </c>
    </row>
    <row r="741" spans="2:8">
      <c r="B741" s="55">
        <v>367.03</v>
      </c>
      <c r="C741" s="55">
        <v>373.48500000000001</v>
      </c>
      <c r="D741" s="55">
        <v>366.01</v>
      </c>
      <c r="E741" s="55">
        <v>370</v>
      </c>
      <c r="F741" s="55">
        <v>1136413</v>
      </c>
      <c r="G741" s="55" t="s">
        <v>764</v>
      </c>
      <c r="H741" s="25">
        <f t="shared" si="12"/>
        <v>-8.0270270270270672E-3</v>
      </c>
    </row>
    <row r="742" spans="2:8">
      <c r="B742" s="55">
        <v>375.99</v>
      </c>
      <c r="C742" s="55">
        <v>381.15</v>
      </c>
      <c r="D742" s="55">
        <v>374.1001</v>
      </c>
      <c r="E742" s="55">
        <v>376.33</v>
      </c>
      <c r="F742" s="55">
        <v>1000167</v>
      </c>
      <c r="G742" s="55" t="s">
        <v>765</v>
      </c>
      <c r="H742" s="25">
        <f t="shared" si="12"/>
        <v>-9.034623867349989E-4</v>
      </c>
    </row>
    <row r="743" spans="2:8">
      <c r="B743" s="55">
        <v>379.41</v>
      </c>
      <c r="C743" s="55">
        <v>381.5</v>
      </c>
      <c r="D743" s="55">
        <v>377.60500000000002</v>
      </c>
      <c r="E743" s="55">
        <v>379.9</v>
      </c>
      <c r="F743" s="55">
        <v>498268</v>
      </c>
      <c r="G743" s="55" t="s">
        <v>766</v>
      </c>
      <c r="H743" s="25">
        <f t="shared" si="12"/>
        <v>-1.2898131087126785E-3</v>
      </c>
    </row>
    <row r="744" spans="2:8">
      <c r="B744" s="55">
        <v>378.5</v>
      </c>
      <c r="C744" s="55">
        <v>380.36520000000002</v>
      </c>
      <c r="D744" s="55">
        <v>374.76</v>
      </c>
      <c r="E744" s="55">
        <v>375.37</v>
      </c>
      <c r="F744" s="55">
        <v>1477729</v>
      </c>
      <c r="G744" s="55" t="s">
        <v>767</v>
      </c>
      <c r="H744" s="25">
        <f t="shared" si="12"/>
        <v>8.3384394064522915E-3</v>
      </c>
    </row>
    <row r="745" spans="2:8">
      <c r="B745" s="55">
        <v>370.26</v>
      </c>
      <c r="C745" s="55">
        <v>379.96</v>
      </c>
      <c r="D745" s="55">
        <v>369.84</v>
      </c>
      <c r="E745" s="55">
        <v>378.02</v>
      </c>
      <c r="F745" s="55">
        <v>1103546</v>
      </c>
      <c r="G745" s="55" t="s">
        <v>768</v>
      </c>
      <c r="H745" s="25">
        <f t="shared" si="12"/>
        <v>-2.0528014390772897E-2</v>
      </c>
    </row>
    <row r="746" spans="2:8">
      <c r="B746" s="55">
        <v>376.25</v>
      </c>
      <c r="C746" s="55">
        <v>378.83</v>
      </c>
      <c r="D746" s="55">
        <v>374.34</v>
      </c>
      <c r="E746" s="55">
        <v>377.06</v>
      </c>
      <c r="F746" s="55">
        <v>880410</v>
      </c>
      <c r="G746" s="55" t="s">
        <v>769</v>
      </c>
      <c r="H746" s="25">
        <f t="shared" si="12"/>
        <v>-2.1481992255873994E-3</v>
      </c>
    </row>
    <row r="747" spans="2:8">
      <c r="B747" s="55">
        <v>374.52</v>
      </c>
      <c r="C747" s="55">
        <v>377.5</v>
      </c>
      <c r="D747" s="55">
        <v>374.16</v>
      </c>
      <c r="E747" s="55">
        <v>375.29</v>
      </c>
      <c r="F747" s="55">
        <v>823296</v>
      </c>
      <c r="G747" s="55" t="s">
        <v>770</v>
      </c>
      <c r="H747" s="25">
        <f t="shared" si="12"/>
        <v>-2.0517466492580017E-3</v>
      </c>
    </row>
    <row r="748" spans="2:8">
      <c r="B748" s="55">
        <v>373.77</v>
      </c>
      <c r="C748" s="55">
        <v>378.28500000000003</v>
      </c>
      <c r="D748" s="55">
        <v>373.47</v>
      </c>
      <c r="E748" s="55">
        <v>377.31</v>
      </c>
      <c r="F748" s="55">
        <v>1028055</v>
      </c>
      <c r="G748" s="55" t="s">
        <v>771</v>
      </c>
      <c r="H748" s="25">
        <f t="shared" si="12"/>
        <v>-9.3822056134214016E-3</v>
      </c>
    </row>
    <row r="749" spans="2:8">
      <c r="B749" s="55">
        <v>374.25</v>
      </c>
      <c r="C749" s="55">
        <v>377.3</v>
      </c>
      <c r="D749" s="55">
        <v>372.46</v>
      </c>
      <c r="E749" s="55">
        <v>374.1</v>
      </c>
      <c r="F749" s="55">
        <v>3265151</v>
      </c>
      <c r="G749" s="55" t="s">
        <v>772</v>
      </c>
      <c r="H749" s="25">
        <f t="shared" si="12"/>
        <v>4.0096230954289602E-4</v>
      </c>
    </row>
    <row r="750" spans="2:8">
      <c r="B750" s="55">
        <v>377.96</v>
      </c>
      <c r="C750" s="55">
        <v>379.42</v>
      </c>
      <c r="D750" s="55">
        <v>375.99650000000003</v>
      </c>
      <c r="E750" s="55">
        <v>376.43</v>
      </c>
      <c r="F750" s="55">
        <v>887211</v>
      </c>
      <c r="G750" s="55" t="s">
        <v>773</v>
      </c>
      <c r="H750" s="25">
        <f t="shared" si="12"/>
        <v>4.0645007039821213E-3</v>
      </c>
    </row>
    <row r="751" spans="2:8">
      <c r="B751" s="55">
        <v>378.81</v>
      </c>
      <c r="C751" s="55">
        <v>385.5</v>
      </c>
      <c r="D751" s="55">
        <v>378.02</v>
      </c>
      <c r="E751" s="55">
        <v>384.03</v>
      </c>
      <c r="F751" s="55">
        <v>1212914</v>
      </c>
      <c r="G751" s="55" t="s">
        <v>774</v>
      </c>
      <c r="H751" s="25">
        <f t="shared" si="12"/>
        <v>-1.3592688071244363E-2</v>
      </c>
    </row>
    <row r="752" spans="2:8">
      <c r="B752" s="55">
        <v>383.49</v>
      </c>
      <c r="C752" s="55">
        <v>383.83</v>
      </c>
      <c r="D752" s="55">
        <v>378.76</v>
      </c>
      <c r="E752" s="55">
        <v>383</v>
      </c>
      <c r="F752" s="55">
        <v>1469739</v>
      </c>
      <c r="G752" s="55" t="s">
        <v>775</v>
      </c>
      <c r="H752" s="25">
        <f t="shared" si="12"/>
        <v>1.2793733681462083E-3</v>
      </c>
    </row>
    <row r="753" spans="2:8">
      <c r="B753" s="55">
        <v>383.02</v>
      </c>
      <c r="C753" s="55">
        <v>386.87</v>
      </c>
      <c r="D753" s="55">
        <v>381.05</v>
      </c>
      <c r="E753" s="55">
        <v>386.87</v>
      </c>
      <c r="F753" s="55">
        <v>1849781</v>
      </c>
      <c r="G753" s="55" t="s">
        <v>776</v>
      </c>
      <c r="H753" s="25">
        <f t="shared" si="12"/>
        <v>-9.9516633494456386E-3</v>
      </c>
    </row>
    <row r="754" spans="2:8">
      <c r="B754" s="55">
        <v>382.63</v>
      </c>
      <c r="C754" s="55">
        <v>383.19499999999999</v>
      </c>
      <c r="D754" s="55">
        <v>376.1</v>
      </c>
      <c r="E754" s="55">
        <v>377.21</v>
      </c>
      <c r="F754" s="55">
        <v>1405907</v>
      </c>
      <c r="G754" s="55" t="s">
        <v>777</v>
      </c>
      <c r="H754" s="25">
        <f t="shared" si="12"/>
        <v>1.4368654065374686E-2</v>
      </c>
    </row>
    <row r="755" spans="2:8">
      <c r="B755" s="55">
        <v>377.21</v>
      </c>
      <c r="C755" s="55">
        <v>378.76</v>
      </c>
      <c r="D755" s="55">
        <v>369.09</v>
      </c>
      <c r="E755" s="55">
        <v>370</v>
      </c>
      <c r="F755" s="55">
        <v>1827939</v>
      </c>
      <c r="G755" s="55" t="s">
        <v>778</v>
      </c>
      <c r="H755" s="25">
        <f t="shared" si="12"/>
        <v>1.9486486486486321E-2</v>
      </c>
    </row>
    <row r="756" spans="2:8">
      <c r="B756" s="55">
        <v>368.36</v>
      </c>
      <c r="C756" s="55">
        <v>370.53</v>
      </c>
      <c r="D756" s="55">
        <v>364.43</v>
      </c>
      <c r="E756" s="55">
        <v>370.25</v>
      </c>
      <c r="F756" s="55">
        <v>1629456</v>
      </c>
      <c r="G756" s="55" t="s">
        <v>779</v>
      </c>
      <c r="H756" s="25">
        <f t="shared" si="12"/>
        <v>-5.1046590141795578E-3</v>
      </c>
    </row>
    <row r="757" spans="2:8">
      <c r="B757" s="55">
        <v>368.18</v>
      </c>
      <c r="C757" s="55">
        <v>368.8</v>
      </c>
      <c r="D757" s="55">
        <v>357.16</v>
      </c>
      <c r="E757" s="55">
        <v>362.18</v>
      </c>
      <c r="F757" s="55">
        <v>1941651</v>
      </c>
      <c r="G757" s="55" t="s">
        <v>780</v>
      </c>
      <c r="H757" s="25">
        <f t="shared" si="12"/>
        <v>1.6566348224639649E-2</v>
      </c>
    </row>
    <row r="758" spans="2:8">
      <c r="B758" s="55">
        <v>360.4</v>
      </c>
      <c r="C758" s="55">
        <v>360.5</v>
      </c>
      <c r="D758" s="55">
        <v>354.01</v>
      </c>
      <c r="E758" s="55">
        <v>355.49</v>
      </c>
      <c r="F758" s="55">
        <v>1707482</v>
      </c>
      <c r="G758" s="55" t="s">
        <v>781</v>
      </c>
      <c r="H758" s="25">
        <f t="shared" si="12"/>
        <v>1.3811921573039898E-2</v>
      </c>
    </row>
    <row r="759" spans="2:8">
      <c r="B759" s="55">
        <v>354.95</v>
      </c>
      <c r="C759" s="55">
        <v>355.27</v>
      </c>
      <c r="D759" s="55">
        <v>350.9</v>
      </c>
      <c r="E759" s="55">
        <v>354.02</v>
      </c>
      <c r="F759" s="55">
        <v>1367463</v>
      </c>
      <c r="G759" s="55" t="s">
        <v>782</v>
      </c>
      <c r="H759" s="25">
        <f t="shared" si="12"/>
        <v>2.6269702276706663E-3</v>
      </c>
    </row>
    <row r="760" spans="2:8">
      <c r="B760" s="55">
        <v>353.93</v>
      </c>
      <c r="C760" s="55">
        <v>358.4</v>
      </c>
      <c r="D760" s="55">
        <v>352.54</v>
      </c>
      <c r="E760" s="55">
        <v>355.09</v>
      </c>
      <c r="F760" s="55">
        <v>1376370</v>
      </c>
      <c r="G760" s="55" t="s">
        <v>783</v>
      </c>
      <c r="H760" s="25">
        <f t="shared" si="12"/>
        <v>-3.2667774367061142E-3</v>
      </c>
    </row>
    <row r="761" spans="2:8">
      <c r="B761" s="55">
        <v>356.02</v>
      </c>
      <c r="C761" s="55">
        <v>361.61</v>
      </c>
      <c r="D761" s="55">
        <v>354.78</v>
      </c>
      <c r="E761" s="55">
        <v>357.9</v>
      </c>
      <c r="F761" s="55">
        <v>1707916</v>
      </c>
      <c r="G761" s="55" t="s">
        <v>784</v>
      </c>
      <c r="H761" s="25">
        <f t="shared" si="12"/>
        <v>-5.2528639284715739E-3</v>
      </c>
    </row>
    <row r="762" spans="2:8">
      <c r="B762" s="55">
        <v>356.44</v>
      </c>
      <c r="C762" s="55">
        <v>363.64</v>
      </c>
      <c r="D762" s="55">
        <v>355.61</v>
      </c>
      <c r="E762" s="55">
        <v>363</v>
      </c>
      <c r="F762" s="55">
        <v>3092957</v>
      </c>
      <c r="G762" s="55" t="s">
        <v>785</v>
      </c>
      <c r="H762" s="25">
        <f t="shared" si="12"/>
        <v>-1.8071625344352582E-2</v>
      </c>
    </row>
    <row r="763" spans="2:8">
      <c r="B763" s="55">
        <v>365.44</v>
      </c>
      <c r="C763" s="55">
        <v>386.33</v>
      </c>
      <c r="D763" s="55">
        <v>364.82</v>
      </c>
      <c r="E763" s="55">
        <v>378.23</v>
      </c>
      <c r="F763" s="55">
        <v>9317231</v>
      </c>
      <c r="G763" s="55" t="s">
        <v>786</v>
      </c>
      <c r="H763" s="25">
        <f t="shared" ref="H763:H826" si="13">B763/E763-1</f>
        <v>-3.3815403326018623E-2</v>
      </c>
    </row>
    <row r="764" spans="2:8">
      <c r="B764" s="55">
        <v>328.35</v>
      </c>
      <c r="C764" s="55">
        <v>334.68</v>
      </c>
      <c r="D764" s="55">
        <v>326.93</v>
      </c>
      <c r="E764" s="55">
        <v>330.91</v>
      </c>
      <c r="F764" s="55">
        <v>4166074</v>
      </c>
      <c r="G764" s="55" t="s">
        <v>787</v>
      </c>
      <c r="H764" s="25">
        <f t="shared" si="13"/>
        <v>-7.7362424828503196E-3</v>
      </c>
    </row>
    <row r="765" spans="2:8">
      <c r="B765" s="55">
        <v>331.93</v>
      </c>
      <c r="C765" s="55">
        <v>335.99</v>
      </c>
      <c r="D765" s="55">
        <v>329.12</v>
      </c>
      <c r="E765" s="55">
        <v>335.39</v>
      </c>
      <c r="F765" s="55">
        <v>3735237</v>
      </c>
      <c r="G765" s="55" t="s">
        <v>788</v>
      </c>
      <c r="H765" s="25">
        <f t="shared" si="13"/>
        <v>-1.031634813202531E-2</v>
      </c>
    </row>
    <row r="766" spans="2:8">
      <c r="B766" s="55">
        <v>336.64</v>
      </c>
      <c r="C766" s="55">
        <v>343.37990000000002</v>
      </c>
      <c r="D766" s="55">
        <v>335.34550000000002</v>
      </c>
      <c r="E766" s="55">
        <v>341.02</v>
      </c>
      <c r="F766" s="55">
        <v>2531661</v>
      </c>
      <c r="G766" s="55" t="s">
        <v>789</v>
      </c>
      <c r="H766" s="25">
        <f t="shared" si="13"/>
        <v>-1.2843821476746231E-2</v>
      </c>
    </row>
    <row r="767" spans="2:8">
      <c r="B767" s="55">
        <v>340.26</v>
      </c>
      <c r="C767" s="55">
        <v>344.39</v>
      </c>
      <c r="D767" s="55">
        <v>339.49</v>
      </c>
      <c r="E767" s="55">
        <v>342.34</v>
      </c>
      <c r="F767" s="55">
        <v>1789771</v>
      </c>
      <c r="G767" s="55" t="s">
        <v>790</v>
      </c>
      <c r="H767" s="25">
        <f t="shared" si="13"/>
        <v>-6.0758310451597408E-3</v>
      </c>
    </row>
    <row r="768" spans="2:8">
      <c r="B768" s="55">
        <v>342.34</v>
      </c>
      <c r="C768" s="55">
        <v>346.53</v>
      </c>
      <c r="D768" s="55">
        <v>340.95</v>
      </c>
      <c r="E768" s="55">
        <v>343.09</v>
      </c>
      <c r="F768" s="55">
        <v>1415193</v>
      </c>
      <c r="G768" s="55" t="s">
        <v>791</v>
      </c>
      <c r="H768" s="25">
        <f t="shared" si="13"/>
        <v>-2.1860153312541764E-3</v>
      </c>
    </row>
    <row r="769" spans="2:8">
      <c r="B769" s="55">
        <v>344.58</v>
      </c>
      <c r="C769" s="55">
        <v>353.97</v>
      </c>
      <c r="D769" s="55">
        <v>343.42</v>
      </c>
      <c r="E769" s="55">
        <v>353.86</v>
      </c>
      <c r="F769" s="55">
        <v>2117607</v>
      </c>
      <c r="G769" s="55" t="s">
        <v>792</v>
      </c>
      <c r="H769" s="25">
        <f t="shared" si="13"/>
        <v>-2.622506075849218E-2</v>
      </c>
    </row>
    <row r="770" spans="2:8">
      <c r="B770" s="55">
        <v>353.86</v>
      </c>
      <c r="C770" s="55">
        <v>362.99</v>
      </c>
      <c r="D770" s="55">
        <v>352.45</v>
      </c>
      <c r="E770" s="55">
        <v>362.4</v>
      </c>
      <c r="F770" s="55">
        <v>1589003</v>
      </c>
      <c r="G770" s="55" t="s">
        <v>793</v>
      </c>
      <c r="H770" s="25">
        <f t="shared" si="13"/>
        <v>-2.3565121412803425E-2</v>
      </c>
    </row>
    <row r="771" spans="2:8">
      <c r="B771" s="55">
        <v>363.12</v>
      </c>
      <c r="C771" s="55">
        <v>367.84</v>
      </c>
      <c r="D771" s="55">
        <v>356.65</v>
      </c>
      <c r="E771" s="55">
        <v>366.93</v>
      </c>
      <c r="F771" s="55">
        <v>1830750</v>
      </c>
      <c r="G771" s="55" t="s">
        <v>794</v>
      </c>
      <c r="H771" s="25">
        <f t="shared" si="13"/>
        <v>-1.0383451884555694E-2</v>
      </c>
    </row>
    <row r="772" spans="2:8">
      <c r="B772" s="55">
        <v>368.53</v>
      </c>
      <c r="C772" s="55">
        <v>375.21</v>
      </c>
      <c r="D772" s="55">
        <v>365.10500000000002</v>
      </c>
      <c r="E772" s="55">
        <v>375.21</v>
      </c>
      <c r="F772" s="55">
        <v>1566710</v>
      </c>
      <c r="G772" s="55" t="s">
        <v>795</v>
      </c>
      <c r="H772" s="25">
        <f t="shared" si="13"/>
        <v>-1.780336344980149E-2</v>
      </c>
    </row>
    <row r="773" spans="2:8">
      <c r="B773" s="55">
        <v>378.7</v>
      </c>
      <c r="C773" s="55">
        <v>379.35</v>
      </c>
      <c r="D773" s="55">
        <v>371.15</v>
      </c>
      <c r="E773" s="55">
        <v>371.9</v>
      </c>
      <c r="F773" s="55">
        <v>1223070</v>
      </c>
      <c r="G773" s="55" t="s">
        <v>796</v>
      </c>
      <c r="H773" s="25">
        <f t="shared" si="13"/>
        <v>1.8284485076633494E-2</v>
      </c>
    </row>
    <row r="774" spans="2:8">
      <c r="B774" s="55">
        <v>372.22</v>
      </c>
      <c r="C774" s="55">
        <v>373.24</v>
      </c>
      <c r="D774" s="55">
        <v>367.35</v>
      </c>
      <c r="E774" s="55">
        <v>371.3</v>
      </c>
      <c r="F774" s="55">
        <v>1377413</v>
      </c>
      <c r="G774" s="55" t="s">
        <v>797</v>
      </c>
      <c r="H774" s="25">
        <f t="shared" si="13"/>
        <v>2.4777807702667243E-3</v>
      </c>
    </row>
    <row r="775" spans="2:8">
      <c r="B775" s="55">
        <v>371.52</v>
      </c>
      <c r="C775" s="55">
        <v>372.87990000000002</v>
      </c>
      <c r="D775" s="55">
        <v>367.55</v>
      </c>
      <c r="E775" s="55">
        <v>372.16</v>
      </c>
      <c r="F775" s="55">
        <v>1509239</v>
      </c>
      <c r="G775" s="55" t="s">
        <v>798</v>
      </c>
      <c r="H775" s="25">
        <f t="shared" si="13"/>
        <v>-1.7196904557180703E-3</v>
      </c>
    </row>
    <row r="776" spans="2:8">
      <c r="B776" s="55">
        <v>375.71</v>
      </c>
      <c r="C776" s="55">
        <v>377.99990000000003</v>
      </c>
      <c r="D776" s="55">
        <v>373.71</v>
      </c>
      <c r="E776" s="55">
        <v>376.6</v>
      </c>
      <c r="F776" s="55">
        <v>1298222</v>
      </c>
      <c r="G776" s="55" t="s">
        <v>799</v>
      </c>
      <c r="H776" s="25">
        <f t="shared" si="13"/>
        <v>-2.3632501327669475E-3</v>
      </c>
    </row>
    <row r="777" spans="2:8">
      <c r="B777" s="55">
        <v>376.2</v>
      </c>
      <c r="C777" s="55">
        <v>378.43</v>
      </c>
      <c r="D777" s="55">
        <v>372.5</v>
      </c>
      <c r="E777" s="55">
        <v>377.01</v>
      </c>
      <c r="F777" s="55">
        <v>1044546</v>
      </c>
      <c r="G777" s="55" t="s">
        <v>800</v>
      </c>
      <c r="H777" s="25">
        <f t="shared" si="13"/>
        <v>-2.1484841250895004E-3</v>
      </c>
    </row>
    <row r="778" spans="2:8">
      <c r="B778" s="55">
        <v>377.32</v>
      </c>
      <c r="C778" s="55">
        <v>379.66</v>
      </c>
      <c r="D778" s="55">
        <v>376.05</v>
      </c>
      <c r="E778" s="55">
        <v>378.75</v>
      </c>
      <c r="F778" s="55">
        <v>775898</v>
      </c>
      <c r="G778" s="55" t="s">
        <v>801</v>
      </c>
      <c r="H778" s="25">
        <f t="shared" si="13"/>
        <v>-3.7755775577558159E-3</v>
      </c>
    </row>
    <row r="779" spans="2:8">
      <c r="B779" s="55">
        <v>379.32</v>
      </c>
      <c r="C779" s="55">
        <v>385.36</v>
      </c>
      <c r="D779" s="55">
        <v>377.72</v>
      </c>
      <c r="E779" s="55">
        <v>385.36</v>
      </c>
      <c r="F779" s="55">
        <v>1027058</v>
      </c>
      <c r="G779" s="55" t="s">
        <v>802</v>
      </c>
      <c r="H779" s="25">
        <f t="shared" si="13"/>
        <v>-1.5673655802366682E-2</v>
      </c>
    </row>
    <row r="780" spans="2:8">
      <c r="B780" s="55">
        <v>381.44</v>
      </c>
      <c r="C780" s="55">
        <v>383.37</v>
      </c>
      <c r="D780" s="55">
        <v>375.93</v>
      </c>
      <c r="E780" s="55">
        <v>377.11</v>
      </c>
      <c r="F780" s="55">
        <v>1004957</v>
      </c>
      <c r="G780" s="55" t="s">
        <v>803</v>
      </c>
      <c r="H780" s="25">
        <f t="shared" si="13"/>
        <v>1.1482060937127114E-2</v>
      </c>
    </row>
    <row r="781" spans="2:8">
      <c r="B781" s="55">
        <v>381.86</v>
      </c>
      <c r="C781" s="55">
        <v>388.98989999999998</v>
      </c>
      <c r="D781" s="55">
        <v>380.92</v>
      </c>
      <c r="E781" s="55">
        <v>387.99</v>
      </c>
      <c r="F781" s="55">
        <v>1130902</v>
      </c>
      <c r="G781" s="55" t="s">
        <v>804</v>
      </c>
      <c r="H781" s="25">
        <f t="shared" si="13"/>
        <v>-1.579937627258432E-2</v>
      </c>
    </row>
    <row r="782" spans="2:8">
      <c r="B782" s="55">
        <v>386.71</v>
      </c>
      <c r="C782" s="55">
        <v>389.06</v>
      </c>
      <c r="D782" s="55">
        <v>382.63</v>
      </c>
      <c r="E782" s="55">
        <v>385.33</v>
      </c>
      <c r="F782" s="55">
        <v>1318142</v>
      </c>
      <c r="G782" s="55" t="s">
        <v>805</v>
      </c>
      <c r="H782" s="25">
        <f t="shared" si="13"/>
        <v>3.5813458593931813E-3</v>
      </c>
    </row>
    <row r="783" spans="2:8">
      <c r="B783" s="55">
        <v>382.06</v>
      </c>
      <c r="C783" s="55">
        <v>384.73</v>
      </c>
      <c r="D783" s="55">
        <v>381.01499999999999</v>
      </c>
      <c r="E783" s="55">
        <v>383.12</v>
      </c>
      <c r="F783" s="55">
        <v>1481840</v>
      </c>
      <c r="G783" s="55" t="s">
        <v>806</v>
      </c>
      <c r="H783" s="25">
        <f t="shared" si="13"/>
        <v>-2.7667571518061873E-3</v>
      </c>
    </row>
    <row r="784" spans="2:8">
      <c r="B784" s="55">
        <v>383.12</v>
      </c>
      <c r="C784" s="55">
        <v>387.68</v>
      </c>
      <c r="D784" s="55">
        <v>378.38</v>
      </c>
      <c r="E784" s="55">
        <v>381.53</v>
      </c>
      <c r="F784" s="55">
        <v>1279595</v>
      </c>
      <c r="G784" s="55" t="s">
        <v>807</v>
      </c>
      <c r="H784" s="25">
        <f t="shared" si="13"/>
        <v>4.1674311325452518E-3</v>
      </c>
    </row>
    <row r="785" spans="2:8">
      <c r="B785" s="55">
        <v>380.75</v>
      </c>
      <c r="C785" s="55">
        <v>383.8</v>
      </c>
      <c r="D785" s="55">
        <v>378.25</v>
      </c>
      <c r="E785" s="55">
        <v>383.18</v>
      </c>
      <c r="F785" s="55">
        <v>1229386</v>
      </c>
      <c r="G785" s="55" t="s">
        <v>808</v>
      </c>
      <c r="H785" s="25">
        <f t="shared" si="13"/>
        <v>-6.3416671016233161E-3</v>
      </c>
    </row>
    <row r="786" spans="2:8">
      <c r="B786" s="55">
        <v>384.99</v>
      </c>
      <c r="C786" s="55">
        <v>385.435</v>
      </c>
      <c r="D786" s="55">
        <v>380.21</v>
      </c>
      <c r="E786" s="55">
        <v>380.58</v>
      </c>
      <c r="F786" s="55">
        <v>1302280</v>
      </c>
      <c r="G786" s="55" t="s">
        <v>809</v>
      </c>
      <c r="H786" s="25">
        <f t="shared" si="13"/>
        <v>1.1587576856377124E-2</v>
      </c>
    </row>
    <row r="787" spans="2:8">
      <c r="B787" s="55">
        <v>379.93</v>
      </c>
      <c r="C787" s="55">
        <v>380.33</v>
      </c>
      <c r="D787" s="55">
        <v>375.91</v>
      </c>
      <c r="E787" s="55">
        <v>377.16</v>
      </c>
      <c r="F787" s="55">
        <v>1013613</v>
      </c>
      <c r="G787" s="55" t="s">
        <v>810</v>
      </c>
      <c r="H787" s="25">
        <f t="shared" si="13"/>
        <v>7.3443631350089689E-3</v>
      </c>
    </row>
    <row r="788" spans="2:8">
      <c r="B788" s="55">
        <v>378.08</v>
      </c>
      <c r="C788" s="55">
        <v>379.15</v>
      </c>
      <c r="D788" s="55">
        <v>373.32</v>
      </c>
      <c r="E788" s="55">
        <v>376.34</v>
      </c>
      <c r="F788" s="55">
        <v>1045077</v>
      </c>
      <c r="G788" s="55" t="s">
        <v>811</v>
      </c>
      <c r="H788" s="25">
        <f t="shared" si="13"/>
        <v>4.6234787691981083E-3</v>
      </c>
    </row>
    <row r="789" spans="2:8">
      <c r="B789" s="55">
        <v>372.94</v>
      </c>
      <c r="C789" s="55">
        <v>375.21</v>
      </c>
      <c r="D789" s="55">
        <v>371.86</v>
      </c>
      <c r="E789" s="55">
        <v>373.78</v>
      </c>
      <c r="F789" s="55">
        <v>1019650</v>
      </c>
      <c r="G789" s="55" t="s">
        <v>812</v>
      </c>
      <c r="H789" s="25">
        <f t="shared" si="13"/>
        <v>-2.2473112526084638E-3</v>
      </c>
    </row>
    <row r="790" spans="2:8">
      <c r="B790" s="55">
        <v>372.81</v>
      </c>
      <c r="C790" s="55">
        <v>380.39</v>
      </c>
      <c r="D790" s="55">
        <v>372.26</v>
      </c>
      <c r="E790" s="55">
        <v>378.22</v>
      </c>
      <c r="F790" s="55">
        <v>1784260</v>
      </c>
      <c r="G790" s="55" t="s">
        <v>813</v>
      </c>
      <c r="H790" s="25">
        <f t="shared" si="13"/>
        <v>-1.4303844323409698E-2</v>
      </c>
    </row>
    <row r="791" spans="2:8">
      <c r="B791" s="55">
        <v>381.37</v>
      </c>
      <c r="C791" s="55">
        <v>384.25</v>
      </c>
      <c r="D791" s="55">
        <v>377.83</v>
      </c>
      <c r="E791" s="55">
        <v>378.75799999999998</v>
      </c>
      <c r="F791" s="55">
        <v>1503966</v>
      </c>
      <c r="G791" s="55" t="s">
        <v>814</v>
      </c>
      <c r="H791" s="25">
        <f t="shared" si="13"/>
        <v>6.896223974147242E-3</v>
      </c>
    </row>
    <row r="792" spans="2:8">
      <c r="B792" s="55">
        <v>377.8</v>
      </c>
      <c r="C792" s="55">
        <v>378.09</v>
      </c>
      <c r="D792" s="55">
        <v>374.28</v>
      </c>
      <c r="E792" s="55">
        <v>376.71</v>
      </c>
      <c r="F792" s="55">
        <v>1007712</v>
      </c>
      <c r="G792" s="55" t="s">
        <v>815</v>
      </c>
      <c r="H792" s="25">
        <f t="shared" si="13"/>
        <v>2.8934724323750327E-3</v>
      </c>
    </row>
    <row r="793" spans="2:8">
      <c r="B793" s="55">
        <v>376.71</v>
      </c>
      <c r="C793" s="55">
        <v>377.84</v>
      </c>
      <c r="D793" s="55">
        <v>369.07</v>
      </c>
      <c r="E793" s="55">
        <v>369.53</v>
      </c>
      <c r="F793" s="55">
        <v>1403987</v>
      </c>
      <c r="G793" s="55" t="s">
        <v>816</v>
      </c>
      <c r="H793" s="25">
        <f t="shared" si="13"/>
        <v>1.943008686710157E-2</v>
      </c>
    </row>
    <row r="794" spans="2:8">
      <c r="B794" s="55">
        <v>370.12</v>
      </c>
      <c r="C794" s="55">
        <v>374.05500000000001</v>
      </c>
      <c r="D794" s="55">
        <v>369.85</v>
      </c>
      <c r="E794" s="55">
        <v>371.75</v>
      </c>
      <c r="F794" s="55">
        <v>878796</v>
      </c>
      <c r="G794" s="55" t="s">
        <v>817</v>
      </c>
      <c r="H794" s="25">
        <f t="shared" si="13"/>
        <v>-4.3846671149966321E-3</v>
      </c>
    </row>
    <row r="795" spans="2:8">
      <c r="B795" s="55">
        <v>372.5</v>
      </c>
      <c r="C795" s="55">
        <v>373.5</v>
      </c>
      <c r="D795" s="55">
        <v>369.53</v>
      </c>
      <c r="E795" s="55">
        <v>372.1</v>
      </c>
      <c r="F795" s="55">
        <v>1406994</v>
      </c>
      <c r="G795" s="55" t="s">
        <v>818</v>
      </c>
      <c r="H795" s="25">
        <f t="shared" si="13"/>
        <v>1.0749798441278546E-3</v>
      </c>
    </row>
    <row r="796" spans="2:8">
      <c r="B796" s="55">
        <v>368.38</v>
      </c>
      <c r="C796" s="55">
        <v>373.41</v>
      </c>
      <c r="D796" s="55">
        <v>366.99</v>
      </c>
      <c r="E796" s="55">
        <v>369.99</v>
      </c>
      <c r="F796" s="55">
        <v>1820127</v>
      </c>
      <c r="G796" s="55" t="s">
        <v>819</v>
      </c>
      <c r="H796" s="25">
        <f t="shared" si="13"/>
        <v>-4.3514689586204858E-3</v>
      </c>
    </row>
    <row r="797" spans="2:8">
      <c r="B797" s="55">
        <v>368.25</v>
      </c>
      <c r="C797" s="55">
        <v>369.14</v>
      </c>
      <c r="D797" s="55">
        <v>363.86</v>
      </c>
      <c r="E797" s="55">
        <v>364</v>
      </c>
      <c r="F797" s="55">
        <v>1030800</v>
      </c>
      <c r="G797" s="55" t="s">
        <v>820</v>
      </c>
      <c r="H797" s="25">
        <f t="shared" si="13"/>
        <v>1.1675824175824134E-2</v>
      </c>
    </row>
    <row r="798" spans="2:8">
      <c r="B798" s="55">
        <v>364.38</v>
      </c>
      <c r="C798" s="55">
        <v>366.86</v>
      </c>
      <c r="D798" s="55">
        <v>363.5</v>
      </c>
      <c r="E798" s="55">
        <v>365.87</v>
      </c>
      <c r="F798" s="55">
        <v>1202373</v>
      </c>
      <c r="G798" s="55" t="s">
        <v>821</v>
      </c>
      <c r="H798" s="25">
        <f t="shared" si="13"/>
        <v>-4.0724847623473392E-3</v>
      </c>
    </row>
    <row r="799" spans="2:8">
      <c r="B799" s="55">
        <v>363.54</v>
      </c>
      <c r="C799" s="55">
        <v>370</v>
      </c>
      <c r="D799" s="55">
        <v>363.11</v>
      </c>
      <c r="E799" s="55">
        <v>370</v>
      </c>
      <c r="F799" s="55">
        <v>1093041</v>
      </c>
      <c r="G799" s="55" t="s">
        <v>822</v>
      </c>
      <c r="H799" s="25">
        <f t="shared" si="13"/>
        <v>-1.745945945945937E-2</v>
      </c>
    </row>
    <row r="800" spans="2:8">
      <c r="B800" s="55">
        <v>365.81</v>
      </c>
      <c r="C800" s="55">
        <v>368.94</v>
      </c>
      <c r="D800" s="55">
        <v>361.80009999999999</v>
      </c>
      <c r="E800" s="55">
        <v>362.75</v>
      </c>
      <c r="F800" s="55">
        <v>1329471</v>
      </c>
      <c r="G800" s="55" t="s">
        <v>823</v>
      </c>
      <c r="H800" s="25">
        <f t="shared" si="13"/>
        <v>8.4355616815989798E-3</v>
      </c>
    </row>
    <row r="801" spans="2:8">
      <c r="B801" s="55">
        <v>363.37</v>
      </c>
      <c r="C801" s="55">
        <v>364.67</v>
      </c>
      <c r="D801" s="55">
        <v>361.17340000000002</v>
      </c>
      <c r="E801" s="55">
        <v>361.47</v>
      </c>
      <c r="F801" s="55">
        <v>972177</v>
      </c>
      <c r="G801" s="55" t="s">
        <v>824</v>
      </c>
      <c r="H801" s="25">
        <f t="shared" si="13"/>
        <v>5.2563144935955375E-3</v>
      </c>
    </row>
    <row r="802" spans="2:8">
      <c r="B802" s="55">
        <v>364.33</v>
      </c>
      <c r="C802" s="55">
        <v>365.59</v>
      </c>
      <c r="D802" s="55">
        <v>359.64</v>
      </c>
      <c r="E802" s="55">
        <v>362.22</v>
      </c>
      <c r="F802" s="55">
        <v>1321956</v>
      </c>
      <c r="G802" s="55" t="s">
        <v>825</v>
      </c>
      <c r="H802" s="25">
        <f t="shared" si="13"/>
        <v>5.8251891115894683E-3</v>
      </c>
    </row>
    <row r="803" spans="2:8">
      <c r="B803" s="55">
        <v>364.81</v>
      </c>
      <c r="C803" s="55">
        <v>371.26</v>
      </c>
      <c r="D803" s="55">
        <v>362.76</v>
      </c>
      <c r="E803" s="55">
        <v>367.64</v>
      </c>
      <c r="F803" s="55">
        <v>1437925</v>
      </c>
      <c r="G803" s="55" t="s">
        <v>826</v>
      </c>
      <c r="H803" s="25">
        <f t="shared" si="13"/>
        <v>-7.6977477967576924E-3</v>
      </c>
    </row>
    <row r="804" spans="2:8">
      <c r="B804" s="55">
        <v>366.8</v>
      </c>
      <c r="C804" s="55">
        <v>370.26</v>
      </c>
      <c r="D804" s="55">
        <v>364.8</v>
      </c>
      <c r="E804" s="55">
        <v>366.59</v>
      </c>
      <c r="F804" s="55">
        <v>1682165</v>
      </c>
      <c r="G804" s="55" t="s">
        <v>827</v>
      </c>
      <c r="H804" s="25">
        <f t="shared" si="13"/>
        <v>5.7284704983784351E-4</v>
      </c>
    </row>
    <row r="805" spans="2:8">
      <c r="B805" s="55">
        <v>367.4</v>
      </c>
      <c r="C805" s="55">
        <v>367.52</v>
      </c>
      <c r="D805" s="55">
        <v>361.73500000000001</v>
      </c>
      <c r="E805" s="55">
        <v>364.19</v>
      </c>
      <c r="F805" s="55">
        <v>1655588</v>
      </c>
      <c r="G805" s="55" t="s">
        <v>828</v>
      </c>
      <c r="H805" s="25">
        <f t="shared" si="13"/>
        <v>8.8140805623437846E-3</v>
      </c>
    </row>
    <row r="806" spans="2:8">
      <c r="B806" s="55">
        <v>364.19</v>
      </c>
      <c r="C806" s="55">
        <v>364.49</v>
      </c>
      <c r="D806" s="55">
        <v>357.73</v>
      </c>
      <c r="E806" s="55">
        <v>360.05</v>
      </c>
      <c r="F806" s="55">
        <v>2218001</v>
      </c>
      <c r="G806" s="55" t="s">
        <v>829</v>
      </c>
      <c r="H806" s="25">
        <f t="shared" si="13"/>
        <v>1.1498402999583268E-2</v>
      </c>
    </row>
    <row r="807" spans="2:8">
      <c r="B807" s="55">
        <v>358.09</v>
      </c>
      <c r="C807" s="55">
        <v>368.13740000000001</v>
      </c>
      <c r="D807" s="55">
        <v>356.5</v>
      </c>
      <c r="E807" s="55">
        <v>365</v>
      </c>
      <c r="F807" s="55">
        <v>2864916</v>
      </c>
      <c r="G807" s="55" t="s">
        <v>830</v>
      </c>
      <c r="H807" s="25">
        <f t="shared" si="13"/>
        <v>-1.8931506849315105E-2</v>
      </c>
    </row>
    <row r="808" spans="2:8">
      <c r="B808" s="55">
        <v>361.04</v>
      </c>
      <c r="C808" s="55">
        <v>370.25</v>
      </c>
      <c r="D808" s="55">
        <v>359.64010000000002</v>
      </c>
      <c r="E808" s="55">
        <v>366.25</v>
      </c>
      <c r="F808" s="55">
        <v>11502027</v>
      </c>
      <c r="G808" s="55" t="s">
        <v>831</v>
      </c>
      <c r="H808" s="25">
        <f t="shared" si="13"/>
        <v>-1.4225255972696194E-2</v>
      </c>
    </row>
    <row r="809" spans="2:8">
      <c r="B809" s="55">
        <v>320.31</v>
      </c>
      <c r="C809" s="55">
        <v>321.25</v>
      </c>
      <c r="D809" s="55">
        <v>314.22000000000003</v>
      </c>
      <c r="E809" s="55">
        <v>319.61</v>
      </c>
      <c r="F809" s="55">
        <v>5869040</v>
      </c>
      <c r="G809" s="55" t="s">
        <v>832</v>
      </c>
      <c r="H809" s="25">
        <f t="shared" si="13"/>
        <v>2.1901692687962271E-3</v>
      </c>
    </row>
    <row r="810" spans="2:8">
      <c r="B810" s="55">
        <v>317.22000000000003</v>
      </c>
      <c r="C810" s="55">
        <v>317.87</v>
      </c>
      <c r="D810" s="55">
        <v>310.41149999999999</v>
      </c>
      <c r="E810" s="55">
        <v>316.3</v>
      </c>
      <c r="F810" s="55">
        <v>1817561</v>
      </c>
      <c r="G810" s="55" t="s">
        <v>833</v>
      </c>
      <c r="H810" s="25">
        <f t="shared" si="13"/>
        <v>2.9086310464749854E-3</v>
      </c>
    </row>
    <row r="811" spans="2:8">
      <c r="B811" s="55">
        <v>313.45</v>
      </c>
      <c r="C811" s="55">
        <v>315.51</v>
      </c>
      <c r="D811" s="55">
        <v>306.58999999999997</v>
      </c>
      <c r="E811" s="55">
        <v>308.06</v>
      </c>
      <c r="F811" s="55">
        <v>1508107</v>
      </c>
      <c r="G811" s="55" t="s">
        <v>834</v>
      </c>
      <c r="H811" s="25">
        <f t="shared" si="13"/>
        <v>1.7496591573070042E-2</v>
      </c>
    </row>
    <row r="812" spans="2:8">
      <c r="B812" s="55">
        <v>308.22000000000003</v>
      </c>
      <c r="C812" s="55">
        <v>312.58</v>
      </c>
      <c r="D812" s="55">
        <v>304.19</v>
      </c>
      <c r="E812" s="55">
        <v>308.27999999999997</v>
      </c>
      <c r="F812" s="55">
        <v>1517798</v>
      </c>
      <c r="G812" s="55" t="s">
        <v>835</v>
      </c>
      <c r="H812" s="25">
        <f t="shared" si="13"/>
        <v>-1.9462826002314415E-4</v>
      </c>
    </row>
    <row r="813" spans="2:8">
      <c r="B813" s="55">
        <v>303.73</v>
      </c>
      <c r="C813" s="55">
        <v>312.2</v>
      </c>
      <c r="D813" s="55">
        <v>300.77999999999997</v>
      </c>
      <c r="E813" s="55">
        <v>301.62</v>
      </c>
      <c r="F813" s="55">
        <v>2457241</v>
      </c>
      <c r="G813" s="55" t="s">
        <v>836</v>
      </c>
      <c r="H813" s="25">
        <f t="shared" si="13"/>
        <v>6.9955573237849844E-3</v>
      </c>
    </row>
    <row r="814" spans="2:8">
      <c r="B814" s="55">
        <v>298.81</v>
      </c>
      <c r="C814" s="55">
        <v>304.75</v>
      </c>
      <c r="D814" s="55">
        <v>296.45499999999998</v>
      </c>
      <c r="E814" s="55">
        <v>296.52999999999997</v>
      </c>
      <c r="F814" s="55">
        <v>2369354</v>
      </c>
      <c r="G814" s="55" t="s">
        <v>837</v>
      </c>
      <c r="H814" s="25">
        <f t="shared" si="13"/>
        <v>7.688935352240911E-3</v>
      </c>
    </row>
    <row r="815" spans="2:8">
      <c r="B815" s="55">
        <v>293.45</v>
      </c>
      <c r="C815" s="55">
        <v>297.43</v>
      </c>
      <c r="D815" s="55">
        <v>289.81</v>
      </c>
      <c r="E815" s="55">
        <v>295.95999999999998</v>
      </c>
      <c r="F815" s="55">
        <v>1621973</v>
      </c>
      <c r="G815" s="55" t="s">
        <v>838</v>
      </c>
      <c r="H815" s="25">
        <f t="shared" si="13"/>
        <v>-8.4808757940262325E-3</v>
      </c>
    </row>
    <row r="816" spans="2:8">
      <c r="B816" s="55">
        <v>294.74</v>
      </c>
      <c r="C816" s="55">
        <v>297.32</v>
      </c>
      <c r="D816" s="55">
        <v>289.94</v>
      </c>
      <c r="E816" s="55">
        <v>294.87</v>
      </c>
      <c r="F816" s="55">
        <v>2517614</v>
      </c>
      <c r="G816" s="55" t="s">
        <v>839</v>
      </c>
      <c r="H816" s="25">
        <f t="shared" si="13"/>
        <v>-4.408722487876382E-4</v>
      </c>
    </row>
    <row r="817" spans="2:8">
      <c r="B817" s="55">
        <v>297.39999999999998</v>
      </c>
      <c r="C817" s="55">
        <v>297.54000000000002</v>
      </c>
      <c r="D817" s="55">
        <v>289.14</v>
      </c>
      <c r="E817" s="55">
        <v>290.42500000000001</v>
      </c>
      <c r="F817" s="55">
        <v>1668296</v>
      </c>
      <c r="G817" s="55" t="s">
        <v>840</v>
      </c>
      <c r="H817" s="25">
        <f t="shared" si="13"/>
        <v>2.401652750279748E-2</v>
      </c>
    </row>
    <row r="818" spans="2:8">
      <c r="B818" s="55">
        <v>293.23</v>
      </c>
      <c r="C818" s="55">
        <v>294.29000000000002</v>
      </c>
      <c r="D818" s="55">
        <v>286.57499999999999</v>
      </c>
      <c r="E818" s="55">
        <v>291.02</v>
      </c>
      <c r="F818" s="55">
        <v>2055352</v>
      </c>
      <c r="G818" s="55" t="s">
        <v>841</v>
      </c>
      <c r="H818" s="25">
        <f t="shared" si="13"/>
        <v>7.593979795203154E-3</v>
      </c>
    </row>
    <row r="819" spans="2:8">
      <c r="B819" s="55">
        <v>295.10000000000002</v>
      </c>
      <c r="C819" s="55">
        <v>296.52</v>
      </c>
      <c r="D819" s="55">
        <v>291.5</v>
      </c>
      <c r="E819" s="55">
        <v>296.14999999999998</v>
      </c>
      <c r="F819" s="55">
        <v>2805917</v>
      </c>
      <c r="G819" s="55" t="s">
        <v>842</v>
      </c>
      <c r="H819" s="25">
        <f t="shared" si="13"/>
        <v>-3.5455005909166282E-3</v>
      </c>
    </row>
    <row r="820" spans="2:8">
      <c r="B820" s="55">
        <v>292.89999999999998</v>
      </c>
      <c r="C820" s="55">
        <v>296.83249999999998</v>
      </c>
      <c r="D820" s="55">
        <v>288.52999999999997</v>
      </c>
      <c r="E820" s="55">
        <v>294.41000000000003</v>
      </c>
      <c r="F820" s="55">
        <v>3388933</v>
      </c>
      <c r="G820" s="55" t="s">
        <v>843</v>
      </c>
      <c r="H820" s="25">
        <f t="shared" si="13"/>
        <v>-5.1289018715398038E-3</v>
      </c>
    </row>
    <row r="821" spans="2:8">
      <c r="B821" s="55">
        <v>296.26</v>
      </c>
      <c r="C821" s="55">
        <v>302.92</v>
      </c>
      <c r="D821" s="55">
        <v>294.23</v>
      </c>
      <c r="E821" s="55">
        <v>302.88</v>
      </c>
      <c r="F821" s="55">
        <v>2863476</v>
      </c>
      <c r="G821" s="55" t="s">
        <v>844</v>
      </c>
      <c r="H821" s="25">
        <f t="shared" si="13"/>
        <v>-2.1856840993132565E-2</v>
      </c>
    </row>
    <row r="822" spans="2:8">
      <c r="B822" s="55">
        <v>301.8</v>
      </c>
      <c r="C822" s="55">
        <v>309.19</v>
      </c>
      <c r="D822" s="55">
        <v>300.19</v>
      </c>
      <c r="E822" s="55">
        <v>305.73</v>
      </c>
      <c r="F822" s="55">
        <v>1491980</v>
      </c>
      <c r="G822" s="55" t="s">
        <v>845</v>
      </c>
      <c r="H822" s="25">
        <f t="shared" si="13"/>
        <v>-1.2854479442645506E-2</v>
      </c>
    </row>
    <row r="823" spans="2:8">
      <c r="B823" s="55">
        <v>305.87</v>
      </c>
      <c r="C823" s="55">
        <v>307.27</v>
      </c>
      <c r="D823" s="55">
        <v>300.65010000000001</v>
      </c>
      <c r="E823" s="55">
        <v>302.11</v>
      </c>
      <c r="F823" s="55">
        <v>1395153</v>
      </c>
      <c r="G823" s="55" t="s">
        <v>846</v>
      </c>
      <c r="H823" s="25">
        <f t="shared" si="13"/>
        <v>1.2445797888186449E-2</v>
      </c>
    </row>
    <row r="824" spans="2:8">
      <c r="B824" s="55">
        <v>301.81</v>
      </c>
      <c r="C824" s="55">
        <v>311.39999999999998</v>
      </c>
      <c r="D824" s="55">
        <v>301.52999999999997</v>
      </c>
      <c r="E824" s="55">
        <v>305.73</v>
      </c>
      <c r="F824" s="55">
        <v>1974871</v>
      </c>
      <c r="G824" s="55" t="s">
        <v>847</v>
      </c>
      <c r="H824" s="25">
        <f t="shared" si="13"/>
        <v>-1.2821770843554847E-2</v>
      </c>
    </row>
    <row r="825" spans="2:8">
      <c r="B825" s="55">
        <v>304.60000000000002</v>
      </c>
      <c r="C825" s="55">
        <v>316.84500000000003</v>
      </c>
      <c r="D825" s="55">
        <v>304.52999999999997</v>
      </c>
      <c r="E825" s="55">
        <v>314.27</v>
      </c>
      <c r="F825" s="55">
        <v>2401770</v>
      </c>
      <c r="G825" s="55" t="s">
        <v>848</v>
      </c>
      <c r="H825" s="25">
        <f t="shared" si="13"/>
        <v>-3.076972030419689E-2</v>
      </c>
    </row>
    <row r="826" spans="2:8">
      <c r="B826" s="55">
        <v>316.83</v>
      </c>
      <c r="C826" s="55">
        <v>317.58999999999997</v>
      </c>
      <c r="D826" s="55">
        <v>311.3</v>
      </c>
      <c r="E826" s="55">
        <v>314</v>
      </c>
      <c r="F826" s="55">
        <v>977528</v>
      </c>
      <c r="G826" s="55" t="s">
        <v>849</v>
      </c>
      <c r="H826" s="25">
        <f t="shared" si="13"/>
        <v>9.0127388535030661E-3</v>
      </c>
    </row>
    <row r="827" spans="2:8">
      <c r="B827" s="55">
        <v>311.64999999999998</v>
      </c>
      <c r="C827" s="55">
        <v>313.59500000000003</v>
      </c>
      <c r="D827" s="55">
        <v>306.57</v>
      </c>
      <c r="E827" s="55">
        <v>307.94</v>
      </c>
      <c r="F827" s="55">
        <v>898329</v>
      </c>
      <c r="G827" s="55" t="s">
        <v>850</v>
      </c>
      <c r="H827" s="25">
        <f t="shared" ref="H827:H890" si="14">B827/E827-1</f>
        <v>1.2047801519776469E-2</v>
      </c>
    </row>
    <row r="828" spans="2:8">
      <c r="B828" s="55">
        <v>309.49</v>
      </c>
      <c r="C828" s="55">
        <v>311.76</v>
      </c>
      <c r="D828" s="55">
        <v>303.81</v>
      </c>
      <c r="E828" s="55">
        <v>309.39</v>
      </c>
      <c r="F828" s="55">
        <v>1255297</v>
      </c>
      <c r="G828" s="55" t="s">
        <v>851</v>
      </c>
      <c r="H828" s="25">
        <f t="shared" si="14"/>
        <v>3.2321665212209361E-4</v>
      </c>
    </row>
    <row r="829" spans="2:8">
      <c r="B829" s="55">
        <v>309.2</v>
      </c>
      <c r="C829" s="55">
        <v>312.98</v>
      </c>
      <c r="D829" s="55">
        <v>308.38</v>
      </c>
      <c r="E829" s="55">
        <v>308.68</v>
      </c>
      <c r="F829" s="55">
        <v>1032399</v>
      </c>
      <c r="G829" s="55" t="s">
        <v>852</v>
      </c>
      <c r="H829" s="25">
        <f t="shared" si="14"/>
        <v>1.6845924582091776E-3</v>
      </c>
    </row>
    <row r="830" spans="2:8">
      <c r="B830" s="55">
        <v>310.3</v>
      </c>
      <c r="C830" s="55">
        <v>313.14499999999998</v>
      </c>
      <c r="D830" s="55">
        <v>307.35750000000002</v>
      </c>
      <c r="E830" s="55">
        <v>311.5</v>
      </c>
      <c r="F830" s="55">
        <v>1006162</v>
      </c>
      <c r="G830" s="55" t="s">
        <v>853</v>
      </c>
      <c r="H830" s="25">
        <f t="shared" si="14"/>
        <v>-3.8523274478330372E-3</v>
      </c>
    </row>
    <row r="831" spans="2:8">
      <c r="B831" s="55">
        <v>308.10000000000002</v>
      </c>
      <c r="C831" s="55">
        <v>313.33</v>
      </c>
      <c r="D831" s="55">
        <v>305.82</v>
      </c>
      <c r="E831" s="55">
        <v>313.33</v>
      </c>
      <c r="F831" s="55">
        <v>1287605</v>
      </c>
      <c r="G831" s="55" t="s">
        <v>854</v>
      </c>
      <c r="H831" s="25">
        <f t="shared" si="14"/>
        <v>-1.6691666932626803E-2</v>
      </c>
    </row>
    <row r="832" spans="2:8">
      <c r="B832" s="55">
        <v>317.8</v>
      </c>
      <c r="C832" s="55">
        <v>318</v>
      </c>
      <c r="D832" s="55">
        <v>310.21499999999997</v>
      </c>
      <c r="E832" s="55">
        <v>316.54000000000002</v>
      </c>
      <c r="F832" s="55">
        <v>984022</v>
      </c>
      <c r="G832" s="55" t="s">
        <v>855</v>
      </c>
      <c r="H832" s="25">
        <f t="shared" si="14"/>
        <v>3.9805395842547053E-3</v>
      </c>
    </row>
    <row r="833" spans="2:8">
      <c r="B833" s="55">
        <v>316.52</v>
      </c>
      <c r="C833" s="55">
        <v>317.53500000000003</v>
      </c>
      <c r="D833" s="55">
        <v>312.35000000000002</v>
      </c>
      <c r="E833" s="55">
        <v>313.77</v>
      </c>
      <c r="F833" s="55">
        <v>768773</v>
      </c>
      <c r="G833" s="55" t="s">
        <v>856</v>
      </c>
      <c r="H833" s="25">
        <f t="shared" si="14"/>
        <v>8.7643815533671177E-3</v>
      </c>
    </row>
    <row r="834" spans="2:8">
      <c r="B834" s="55">
        <v>314.11</v>
      </c>
      <c r="C834" s="55">
        <v>318.33999999999997</v>
      </c>
      <c r="D834" s="55">
        <v>313.8</v>
      </c>
      <c r="E834" s="55">
        <v>314.83</v>
      </c>
      <c r="F834" s="55">
        <v>1065474</v>
      </c>
      <c r="G834" s="55" t="s">
        <v>857</v>
      </c>
      <c r="H834" s="25">
        <f t="shared" si="14"/>
        <v>-2.2869485118952593E-3</v>
      </c>
    </row>
    <row r="835" spans="2:8">
      <c r="B835" s="55">
        <v>320.36</v>
      </c>
      <c r="C835" s="55">
        <v>322.11</v>
      </c>
      <c r="D835" s="55">
        <v>315.2</v>
      </c>
      <c r="E835" s="55">
        <v>318.77</v>
      </c>
      <c r="F835" s="55">
        <v>840100</v>
      </c>
      <c r="G835" s="55" t="s">
        <v>858</v>
      </c>
      <c r="H835" s="25">
        <f t="shared" si="14"/>
        <v>4.9879223264424066E-3</v>
      </c>
    </row>
    <row r="836" spans="2:8">
      <c r="B836" s="55">
        <v>321.83</v>
      </c>
      <c r="C836" s="55">
        <v>328.16</v>
      </c>
      <c r="D836" s="55">
        <v>319.58</v>
      </c>
      <c r="E836" s="55">
        <v>322.61</v>
      </c>
      <c r="F836" s="55">
        <v>1096922</v>
      </c>
      <c r="G836" s="55" t="s">
        <v>859</v>
      </c>
      <c r="H836" s="25">
        <f t="shared" si="14"/>
        <v>-2.4177799820217505E-3</v>
      </c>
    </row>
    <row r="837" spans="2:8">
      <c r="B837" s="55">
        <v>325.23</v>
      </c>
      <c r="C837" s="55">
        <v>325.26900000000001</v>
      </c>
      <c r="D837" s="55">
        <v>317.666</v>
      </c>
      <c r="E837" s="55">
        <v>318.06</v>
      </c>
      <c r="F837" s="55">
        <v>1027354</v>
      </c>
      <c r="G837" s="55" t="s">
        <v>860</v>
      </c>
      <c r="H837" s="25">
        <f t="shared" si="14"/>
        <v>2.2542916430862148E-2</v>
      </c>
    </row>
    <row r="838" spans="2:8">
      <c r="B838" s="55">
        <v>319.88</v>
      </c>
      <c r="C838" s="55">
        <v>321.79000000000002</v>
      </c>
      <c r="D838" s="55">
        <v>311.66000000000003</v>
      </c>
      <c r="E838" s="55">
        <v>313.64</v>
      </c>
      <c r="F838" s="55">
        <v>1005919</v>
      </c>
      <c r="G838" s="55" t="s">
        <v>861</v>
      </c>
      <c r="H838" s="25">
        <f t="shared" si="14"/>
        <v>1.9895421502359456E-2</v>
      </c>
    </row>
    <row r="839" spans="2:8">
      <c r="B839" s="55">
        <v>317.08</v>
      </c>
      <c r="C839" s="55">
        <v>317.48500000000001</v>
      </c>
      <c r="D839" s="55">
        <v>309.97000000000003</v>
      </c>
      <c r="E839" s="55">
        <v>311.31</v>
      </c>
      <c r="F839" s="55">
        <v>1202546</v>
      </c>
      <c r="G839" s="55" t="s">
        <v>862</v>
      </c>
      <c r="H839" s="25">
        <f t="shared" si="14"/>
        <v>1.8534579679419183E-2</v>
      </c>
    </row>
    <row r="840" spans="2:8">
      <c r="B840" s="55">
        <v>309.39999999999998</v>
      </c>
      <c r="C840" s="55">
        <v>311.5</v>
      </c>
      <c r="D840" s="55">
        <v>305.77999999999997</v>
      </c>
      <c r="E840" s="55">
        <v>306.91000000000003</v>
      </c>
      <c r="F840" s="55">
        <v>1364982</v>
      </c>
      <c r="G840" s="55" t="s">
        <v>863</v>
      </c>
      <c r="H840" s="25">
        <f t="shared" si="14"/>
        <v>8.1131276269914565E-3</v>
      </c>
    </row>
    <row r="841" spans="2:8">
      <c r="B841" s="55">
        <v>310.45</v>
      </c>
      <c r="C841" s="55">
        <v>316.52999999999997</v>
      </c>
      <c r="D841" s="55">
        <v>309.23</v>
      </c>
      <c r="E841" s="55">
        <v>313.43</v>
      </c>
      <c r="F841" s="55">
        <v>1150773</v>
      </c>
      <c r="G841" s="55" t="s">
        <v>864</v>
      </c>
      <c r="H841" s="25">
        <f t="shared" si="14"/>
        <v>-9.5077050697125465E-3</v>
      </c>
    </row>
    <row r="842" spans="2:8">
      <c r="B842" s="55">
        <v>309.27999999999997</v>
      </c>
      <c r="C842" s="55">
        <v>315.52499999999998</v>
      </c>
      <c r="D842" s="55">
        <v>307.02999999999997</v>
      </c>
      <c r="E842" s="55">
        <v>314.06</v>
      </c>
      <c r="F842" s="55">
        <v>1479674</v>
      </c>
      <c r="G842" s="55" t="s">
        <v>865</v>
      </c>
      <c r="H842" s="25">
        <f t="shared" si="14"/>
        <v>-1.5220021651913718E-2</v>
      </c>
    </row>
    <row r="843" spans="2:8">
      <c r="B843" s="55">
        <v>319.10000000000002</v>
      </c>
      <c r="C843" s="55">
        <v>319.77999999999997</v>
      </c>
      <c r="D843" s="55">
        <v>305.77999999999997</v>
      </c>
      <c r="E843" s="55">
        <v>311.66000000000003</v>
      </c>
      <c r="F843" s="55">
        <v>1263049</v>
      </c>
      <c r="G843" s="55" t="s">
        <v>866</v>
      </c>
      <c r="H843" s="25">
        <f t="shared" si="14"/>
        <v>2.3872168388628712E-2</v>
      </c>
    </row>
    <row r="844" spans="2:8">
      <c r="B844" s="55">
        <v>311.32</v>
      </c>
      <c r="C844" s="55">
        <v>319.39</v>
      </c>
      <c r="D844" s="55">
        <v>310.19</v>
      </c>
      <c r="E844" s="55">
        <v>314.42</v>
      </c>
      <c r="F844" s="55">
        <v>1249466</v>
      </c>
      <c r="G844" s="55" t="s">
        <v>867</v>
      </c>
      <c r="H844" s="25">
        <f t="shared" si="14"/>
        <v>-9.8594237007824104E-3</v>
      </c>
    </row>
    <row r="845" spans="2:8">
      <c r="B845" s="55">
        <v>319.42</v>
      </c>
      <c r="C845" s="55">
        <v>325.10000000000002</v>
      </c>
      <c r="D845" s="55">
        <v>317.5</v>
      </c>
      <c r="E845" s="55">
        <v>317.5</v>
      </c>
      <c r="F845" s="55">
        <v>1191425</v>
      </c>
      <c r="G845" s="55" t="s">
        <v>868</v>
      </c>
      <c r="H845" s="25">
        <f t="shared" si="14"/>
        <v>6.0472440944883132E-3</v>
      </c>
    </row>
    <row r="846" spans="2:8">
      <c r="B846" s="55">
        <v>322.76</v>
      </c>
      <c r="C846" s="55">
        <v>328.42</v>
      </c>
      <c r="D846" s="55">
        <v>316.56</v>
      </c>
      <c r="E846" s="55">
        <v>318.95999999999998</v>
      </c>
      <c r="F846" s="55">
        <v>2224916</v>
      </c>
      <c r="G846" s="55" t="s">
        <v>869</v>
      </c>
      <c r="H846" s="25">
        <f t="shared" si="14"/>
        <v>1.1913719588663163E-2</v>
      </c>
    </row>
    <row r="847" spans="2:8">
      <c r="B847" s="55">
        <v>315.70999999999998</v>
      </c>
      <c r="C847" s="55">
        <v>318.69</v>
      </c>
      <c r="D847" s="55">
        <v>305.25409999999999</v>
      </c>
      <c r="E847" s="55">
        <v>306.89999999999998</v>
      </c>
      <c r="F847" s="55">
        <v>2010184</v>
      </c>
      <c r="G847" s="55" t="s">
        <v>870</v>
      </c>
      <c r="H847" s="25">
        <f t="shared" si="14"/>
        <v>2.8706419028999619E-2</v>
      </c>
    </row>
    <row r="848" spans="2:8">
      <c r="B848" s="55">
        <v>306.88</v>
      </c>
      <c r="C848" s="55">
        <v>307.26</v>
      </c>
      <c r="D848" s="55">
        <v>301.8</v>
      </c>
      <c r="E848" s="55">
        <v>303.20999999999998</v>
      </c>
      <c r="F848" s="55">
        <v>1667296</v>
      </c>
      <c r="G848" s="55" t="s">
        <v>871</v>
      </c>
      <c r="H848" s="25">
        <f t="shared" si="14"/>
        <v>1.2103822433297218E-2</v>
      </c>
    </row>
    <row r="849" spans="2:8">
      <c r="B849" s="55">
        <v>302.58999999999997</v>
      </c>
      <c r="C849" s="55">
        <v>310.95999999999998</v>
      </c>
      <c r="D849" s="55">
        <v>302.41000000000003</v>
      </c>
      <c r="E849" s="55">
        <v>308.98</v>
      </c>
      <c r="F849" s="55">
        <v>1585335</v>
      </c>
      <c r="G849" s="55" t="s">
        <v>872</v>
      </c>
      <c r="H849" s="25">
        <f t="shared" si="14"/>
        <v>-2.0680950223315508E-2</v>
      </c>
    </row>
    <row r="850" spans="2:8">
      <c r="B850" s="55">
        <v>310.85000000000002</v>
      </c>
      <c r="C850" s="55">
        <v>311.69</v>
      </c>
      <c r="D850" s="55">
        <v>305.18</v>
      </c>
      <c r="E850" s="55">
        <v>307.81</v>
      </c>
      <c r="F850" s="55">
        <v>2077487</v>
      </c>
      <c r="G850" s="55" t="s">
        <v>873</v>
      </c>
      <c r="H850" s="25">
        <f t="shared" si="14"/>
        <v>9.8762223449531117E-3</v>
      </c>
    </row>
    <row r="851" spans="2:8">
      <c r="B851" s="55">
        <v>309.58999999999997</v>
      </c>
      <c r="C851" s="55">
        <v>313.49979999999999</v>
      </c>
      <c r="D851" s="55">
        <v>305.77</v>
      </c>
      <c r="E851" s="55">
        <v>313.27</v>
      </c>
      <c r="F851" s="55">
        <v>1708348</v>
      </c>
      <c r="G851" s="55" t="s">
        <v>874</v>
      </c>
      <c r="H851" s="25">
        <f t="shared" si="14"/>
        <v>-1.1747055255849626E-2</v>
      </c>
    </row>
    <row r="852" spans="2:8">
      <c r="B852" s="55">
        <v>309.52</v>
      </c>
      <c r="C852" s="55">
        <v>310.85000000000002</v>
      </c>
      <c r="D852" s="55">
        <v>304.22000000000003</v>
      </c>
      <c r="E852" s="55">
        <v>305.41000000000003</v>
      </c>
      <c r="F852" s="55">
        <v>1425136</v>
      </c>
      <c r="G852" s="55" t="s">
        <v>875</v>
      </c>
      <c r="H852" s="25">
        <f t="shared" si="14"/>
        <v>1.3457319668642054E-2</v>
      </c>
    </row>
    <row r="853" spans="2:8">
      <c r="B853" s="55">
        <v>311.20999999999998</v>
      </c>
      <c r="C853" s="55">
        <v>311.42</v>
      </c>
      <c r="D853" s="55">
        <v>302.11</v>
      </c>
      <c r="E853" s="55">
        <v>304.45</v>
      </c>
      <c r="F853" s="55">
        <v>2693691</v>
      </c>
      <c r="G853" s="55" t="s">
        <v>876</v>
      </c>
      <c r="H853" s="25">
        <f t="shared" si="14"/>
        <v>2.2203974380029523E-2</v>
      </c>
    </row>
    <row r="854" spans="2:8">
      <c r="B854" s="55">
        <v>316.08</v>
      </c>
      <c r="C854" s="55">
        <v>319.125</v>
      </c>
      <c r="D854" s="55">
        <v>310</v>
      </c>
      <c r="E854" s="55">
        <v>312.5</v>
      </c>
      <c r="F854" s="55">
        <v>1643381</v>
      </c>
      <c r="G854" s="55" t="s">
        <v>877</v>
      </c>
      <c r="H854" s="25">
        <f t="shared" si="14"/>
        <v>1.1455999999999911E-2</v>
      </c>
    </row>
    <row r="855" spans="2:8">
      <c r="B855" s="55">
        <v>312.8</v>
      </c>
      <c r="C855" s="55">
        <v>314.42</v>
      </c>
      <c r="D855" s="55">
        <v>304.33999999999997</v>
      </c>
      <c r="E855" s="55">
        <v>307.25</v>
      </c>
      <c r="F855" s="55">
        <v>1537992</v>
      </c>
      <c r="G855" s="55" t="s">
        <v>878</v>
      </c>
      <c r="H855" s="25">
        <f t="shared" si="14"/>
        <v>1.8063466232709491E-2</v>
      </c>
    </row>
    <row r="856" spans="2:8">
      <c r="B856" s="55">
        <v>307.94</v>
      </c>
      <c r="C856" s="55">
        <v>316.83999999999997</v>
      </c>
      <c r="D856" s="55">
        <v>306.70249999999999</v>
      </c>
      <c r="E856" s="55">
        <v>316.01</v>
      </c>
      <c r="F856" s="55">
        <v>1519737</v>
      </c>
      <c r="G856" s="55" t="s">
        <v>879</v>
      </c>
      <c r="H856" s="25">
        <f t="shared" si="14"/>
        <v>-2.5537166545362422E-2</v>
      </c>
    </row>
    <row r="857" spans="2:8">
      <c r="B857" s="55">
        <v>318.07</v>
      </c>
      <c r="C857" s="55">
        <v>327.76</v>
      </c>
      <c r="D857" s="55">
        <v>317.17</v>
      </c>
      <c r="E857" s="55">
        <v>324.85000000000002</v>
      </c>
      <c r="F857" s="55">
        <v>1284240</v>
      </c>
      <c r="G857" s="55" t="s">
        <v>880</v>
      </c>
      <c r="H857" s="25">
        <f t="shared" si="14"/>
        <v>-2.0871171309835401E-2</v>
      </c>
    </row>
    <row r="858" spans="2:8">
      <c r="B858" s="55">
        <v>323.82</v>
      </c>
      <c r="C858" s="55">
        <v>324.19</v>
      </c>
      <c r="D858" s="55">
        <v>313.14999999999998</v>
      </c>
      <c r="E858" s="55">
        <v>314</v>
      </c>
      <c r="F858" s="55">
        <v>1491423</v>
      </c>
      <c r="G858" s="55" t="s">
        <v>881</v>
      </c>
      <c r="H858" s="25">
        <f t="shared" si="14"/>
        <v>3.1273885350318498E-2</v>
      </c>
    </row>
    <row r="859" spans="2:8">
      <c r="B859" s="55">
        <v>315.47000000000003</v>
      </c>
      <c r="C859" s="55">
        <v>315.74</v>
      </c>
      <c r="D859" s="55">
        <v>310.25</v>
      </c>
      <c r="E859" s="55">
        <v>311.17</v>
      </c>
      <c r="F859" s="55">
        <v>1543152</v>
      </c>
      <c r="G859" s="55" t="s">
        <v>882</v>
      </c>
      <c r="H859" s="25">
        <f t="shared" si="14"/>
        <v>1.3818812867564478E-2</v>
      </c>
    </row>
    <row r="860" spans="2:8">
      <c r="B860" s="55">
        <v>314.99</v>
      </c>
      <c r="C860" s="55">
        <v>316.85000000000002</v>
      </c>
      <c r="D860" s="55">
        <v>306.86009999999999</v>
      </c>
      <c r="E860" s="55">
        <v>311.95999999999998</v>
      </c>
      <c r="F860" s="55">
        <v>1587715</v>
      </c>
      <c r="G860" s="55" t="s">
        <v>883</v>
      </c>
      <c r="H860" s="25">
        <f t="shared" si="14"/>
        <v>9.7127836902168863E-3</v>
      </c>
    </row>
    <row r="861" spans="2:8">
      <c r="B861" s="55">
        <v>311.95999999999998</v>
      </c>
      <c r="C861" s="55">
        <v>312.41000000000003</v>
      </c>
      <c r="D861" s="55">
        <v>306.89999999999998</v>
      </c>
      <c r="E861" s="55">
        <v>310.76</v>
      </c>
      <c r="F861" s="55">
        <v>2224366</v>
      </c>
      <c r="G861" s="55" t="s">
        <v>884</v>
      </c>
      <c r="H861" s="25">
        <f t="shared" si="14"/>
        <v>3.8615008366584824E-3</v>
      </c>
    </row>
    <row r="862" spans="2:8">
      <c r="B862" s="55">
        <v>309.48</v>
      </c>
      <c r="C862" s="55">
        <v>309.875</v>
      </c>
      <c r="D862" s="55">
        <v>298.58999999999997</v>
      </c>
      <c r="E862" s="55">
        <v>299.83999999999997</v>
      </c>
      <c r="F862" s="55">
        <v>3140368</v>
      </c>
      <c r="G862" s="55" t="s">
        <v>885</v>
      </c>
      <c r="H862" s="25">
        <f t="shared" si="14"/>
        <v>3.215048025613676E-2</v>
      </c>
    </row>
    <row r="863" spans="2:8">
      <c r="B863" s="55">
        <v>298.66000000000003</v>
      </c>
      <c r="C863" s="55">
        <v>304.40989999999999</v>
      </c>
      <c r="D863" s="55">
        <v>289.48</v>
      </c>
      <c r="E863" s="55">
        <v>293.2</v>
      </c>
      <c r="F863" s="55">
        <v>8292854</v>
      </c>
      <c r="G863" s="55" t="s">
        <v>886</v>
      </c>
      <c r="H863" s="25">
        <f t="shared" si="14"/>
        <v>1.8622100954979626E-2</v>
      </c>
    </row>
    <row r="864" spans="2:8">
      <c r="B864" s="55">
        <v>329.26</v>
      </c>
      <c r="C864" s="55">
        <v>334.22989999999999</v>
      </c>
      <c r="D864" s="55">
        <v>326.82</v>
      </c>
      <c r="E864" s="55">
        <v>329.5</v>
      </c>
      <c r="F864" s="55">
        <v>2298357</v>
      </c>
      <c r="G864" s="55" t="s">
        <v>887</v>
      </c>
      <c r="H864" s="25">
        <f t="shared" si="14"/>
        <v>-7.2837632776934225E-4</v>
      </c>
    </row>
    <row r="865" spans="2:8">
      <c r="B865" s="55">
        <v>325.93</v>
      </c>
      <c r="C865" s="55">
        <v>328.54</v>
      </c>
      <c r="D865" s="55">
        <v>316.5</v>
      </c>
      <c r="E865" s="55">
        <v>320.87</v>
      </c>
      <c r="F865" s="55">
        <v>1786957</v>
      </c>
      <c r="G865" s="55" t="s">
        <v>888</v>
      </c>
      <c r="H865" s="25">
        <f t="shared" si="14"/>
        <v>1.5769626328419717E-2</v>
      </c>
    </row>
    <row r="866" spans="2:8">
      <c r="B866" s="55">
        <v>320.98</v>
      </c>
      <c r="C866" s="55">
        <v>326.75</v>
      </c>
      <c r="D866" s="55">
        <v>317.02999999999997</v>
      </c>
      <c r="E866" s="55">
        <v>326.56</v>
      </c>
      <c r="F866" s="55">
        <v>1678060</v>
      </c>
      <c r="G866" s="55" t="s">
        <v>889</v>
      </c>
      <c r="H866" s="25">
        <f t="shared" si="14"/>
        <v>-1.7087212150906361E-2</v>
      </c>
    </row>
    <row r="867" spans="2:8">
      <c r="B867" s="55">
        <v>323.38</v>
      </c>
      <c r="C867" s="55">
        <v>327.33999999999997</v>
      </c>
      <c r="D867" s="55">
        <v>319.45999999999998</v>
      </c>
      <c r="E867" s="55">
        <v>326.88</v>
      </c>
      <c r="F867" s="55">
        <v>1304955</v>
      </c>
      <c r="G867" s="55" t="s">
        <v>890</v>
      </c>
      <c r="H867" s="25">
        <f t="shared" si="14"/>
        <v>-1.0707293196279943E-2</v>
      </c>
    </row>
    <row r="868" spans="2:8">
      <c r="B868" s="55">
        <v>320.38</v>
      </c>
      <c r="C868" s="55">
        <v>320.47000000000003</v>
      </c>
      <c r="D868" s="55">
        <v>311.3</v>
      </c>
      <c r="E868" s="55">
        <v>311.86</v>
      </c>
      <c r="F868" s="55">
        <v>1345653</v>
      </c>
      <c r="G868" s="55" t="s">
        <v>891</v>
      </c>
      <c r="H868" s="25">
        <f t="shared" si="14"/>
        <v>2.7319951260180719E-2</v>
      </c>
    </row>
    <row r="869" spans="2:8">
      <c r="B869" s="55">
        <v>316.82</v>
      </c>
      <c r="C869" s="55">
        <v>318.31369999999998</v>
      </c>
      <c r="D869" s="55">
        <v>310.04000000000002</v>
      </c>
      <c r="E869" s="55">
        <v>310.20999999999998</v>
      </c>
      <c r="F869" s="55">
        <v>936002</v>
      </c>
      <c r="G869" s="55" t="s">
        <v>892</v>
      </c>
      <c r="H869" s="25">
        <f t="shared" si="14"/>
        <v>2.1308146094581204E-2</v>
      </c>
    </row>
    <row r="870" spans="2:8">
      <c r="B870" s="55">
        <v>308.95999999999998</v>
      </c>
      <c r="C870" s="55">
        <v>315.815</v>
      </c>
      <c r="D870" s="55">
        <v>307.63</v>
      </c>
      <c r="E870" s="55">
        <v>313.99</v>
      </c>
      <c r="F870" s="55">
        <v>1458228</v>
      </c>
      <c r="G870" s="55" t="s">
        <v>893</v>
      </c>
      <c r="H870" s="25">
        <f t="shared" si="14"/>
        <v>-1.6019618459186646E-2</v>
      </c>
    </row>
    <row r="871" spans="2:8">
      <c r="B871" s="55">
        <v>315.04000000000002</v>
      </c>
      <c r="C871" s="55">
        <v>318.99</v>
      </c>
      <c r="D871" s="55">
        <v>309.66000000000003</v>
      </c>
      <c r="E871" s="55">
        <v>312.77</v>
      </c>
      <c r="F871" s="55">
        <v>1288011</v>
      </c>
      <c r="G871" s="55" t="s">
        <v>894</v>
      </c>
      <c r="H871" s="25">
        <f t="shared" si="14"/>
        <v>7.2577293218660799E-3</v>
      </c>
    </row>
    <row r="872" spans="2:8">
      <c r="B872" s="55">
        <v>311.54000000000002</v>
      </c>
      <c r="C872" s="55">
        <v>312.68</v>
      </c>
      <c r="D872" s="55">
        <v>309</v>
      </c>
      <c r="E872" s="55">
        <v>310.25</v>
      </c>
      <c r="F872" s="55">
        <v>933601</v>
      </c>
      <c r="G872" s="55" t="s">
        <v>895</v>
      </c>
      <c r="H872" s="25">
        <f t="shared" si="14"/>
        <v>4.157937147461821E-3</v>
      </c>
    </row>
    <row r="873" spans="2:8">
      <c r="B873" s="55">
        <v>312.93</v>
      </c>
      <c r="C873" s="55">
        <v>314.49</v>
      </c>
      <c r="D873" s="55">
        <v>308.69</v>
      </c>
      <c r="E873" s="55">
        <v>313.02</v>
      </c>
      <c r="F873" s="55">
        <v>1499499</v>
      </c>
      <c r="G873" s="55" t="s">
        <v>896</v>
      </c>
      <c r="H873" s="25">
        <f t="shared" si="14"/>
        <v>-2.875215641172657E-4</v>
      </c>
    </row>
    <row r="874" spans="2:8">
      <c r="B874" s="55">
        <v>316.74</v>
      </c>
      <c r="C874" s="55">
        <v>320.42500000000001</v>
      </c>
      <c r="D874" s="55">
        <v>311.56</v>
      </c>
      <c r="E874" s="55">
        <v>317.91000000000003</v>
      </c>
      <c r="F874" s="55">
        <v>2324882</v>
      </c>
      <c r="G874" s="55" t="s">
        <v>897</v>
      </c>
      <c r="H874" s="25">
        <f t="shared" si="14"/>
        <v>-3.6802868736435235E-3</v>
      </c>
    </row>
    <row r="875" spans="2:8">
      <c r="B875" s="55">
        <v>307.12</v>
      </c>
      <c r="C875" s="55">
        <v>315.55250000000001</v>
      </c>
      <c r="D875" s="55">
        <v>306.38</v>
      </c>
      <c r="E875" s="55">
        <v>315</v>
      </c>
      <c r="F875" s="55">
        <v>2354234</v>
      </c>
      <c r="G875" s="55" t="s">
        <v>898</v>
      </c>
      <c r="H875" s="25">
        <f t="shared" si="14"/>
        <v>-2.5015873015873047E-2</v>
      </c>
    </row>
    <row r="876" spans="2:8">
      <c r="B876" s="55">
        <v>316.92</v>
      </c>
      <c r="C876" s="55">
        <v>321.31</v>
      </c>
      <c r="D876" s="55">
        <v>316.51</v>
      </c>
      <c r="E876" s="55">
        <v>321.31</v>
      </c>
      <c r="F876" s="55">
        <v>1247551</v>
      </c>
      <c r="G876" s="55" t="s">
        <v>899</v>
      </c>
      <c r="H876" s="25">
        <f t="shared" si="14"/>
        <v>-1.3662817839469654E-2</v>
      </c>
    </row>
    <row r="877" spans="2:8">
      <c r="B877" s="55">
        <v>321.24</v>
      </c>
      <c r="C877" s="55">
        <v>326.5</v>
      </c>
      <c r="D877" s="55">
        <v>318.19</v>
      </c>
      <c r="E877" s="55">
        <v>322.07</v>
      </c>
      <c r="F877" s="55">
        <v>2170536</v>
      </c>
      <c r="G877" s="55" t="s">
        <v>900</v>
      </c>
      <c r="H877" s="25">
        <f t="shared" si="14"/>
        <v>-2.5770795168751359E-3</v>
      </c>
    </row>
    <row r="878" spans="2:8">
      <c r="B878" s="55">
        <v>325.20999999999998</v>
      </c>
      <c r="C878" s="55">
        <v>331.49</v>
      </c>
      <c r="D878" s="55">
        <v>325</v>
      </c>
      <c r="E878" s="55">
        <v>327.10000000000002</v>
      </c>
      <c r="F878" s="55">
        <v>2074783</v>
      </c>
      <c r="G878" s="55" t="s">
        <v>901</v>
      </c>
      <c r="H878" s="25">
        <f t="shared" si="14"/>
        <v>-5.7780495261389175E-3</v>
      </c>
    </row>
    <row r="879" spans="2:8">
      <c r="B879" s="55">
        <v>333.33</v>
      </c>
      <c r="C879" s="55">
        <v>337.27</v>
      </c>
      <c r="D879" s="55">
        <v>326</v>
      </c>
      <c r="E879" s="55">
        <v>326.27</v>
      </c>
      <c r="F879" s="55">
        <v>2816641</v>
      </c>
      <c r="G879" s="55" t="s">
        <v>902</v>
      </c>
      <c r="H879" s="25">
        <f t="shared" si="14"/>
        <v>2.1638520243969728E-2</v>
      </c>
    </row>
    <row r="880" spans="2:8">
      <c r="B880" s="55">
        <v>326.27</v>
      </c>
      <c r="C880" s="55">
        <v>339.81</v>
      </c>
      <c r="D880" s="55">
        <v>321.5</v>
      </c>
      <c r="E880" s="55">
        <v>338</v>
      </c>
      <c r="F880" s="55">
        <v>2618506</v>
      </c>
      <c r="G880" s="55" t="s">
        <v>903</v>
      </c>
      <c r="H880" s="25">
        <f t="shared" si="14"/>
        <v>-3.470414201183436E-2</v>
      </c>
    </row>
    <row r="881" spans="2:8">
      <c r="B881" s="55">
        <v>328.23</v>
      </c>
      <c r="C881" s="55">
        <v>328.5</v>
      </c>
      <c r="D881" s="55">
        <v>319</v>
      </c>
      <c r="E881" s="55">
        <v>325.24</v>
      </c>
      <c r="F881" s="55">
        <v>4119829</v>
      </c>
      <c r="G881" s="55" t="s">
        <v>904</v>
      </c>
      <c r="H881" s="25">
        <f t="shared" si="14"/>
        <v>9.1932111671382266E-3</v>
      </c>
    </row>
    <row r="882" spans="2:8">
      <c r="B882" s="55">
        <v>326.39</v>
      </c>
      <c r="C882" s="55">
        <v>349</v>
      </c>
      <c r="D882" s="55">
        <v>323.14999999999998</v>
      </c>
      <c r="E882" s="55">
        <v>344.13</v>
      </c>
      <c r="F882" s="55">
        <v>9305979</v>
      </c>
      <c r="G882" s="55" t="s">
        <v>905</v>
      </c>
      <c r="H882" s="25">
        <f t="shared" si="14"/>
        <v>-5.1550286229041342E-2</v>
      </c>
    </row>
    <row r="883" spans="2:8">
      <c r="B883" s="55">
        <v>374.51</v>
      </c>
      <c r="C883" s="55">
        <v>377.2</v>
      </c>
      <c r="D883" s="55">
        <v>368.44</v>
      </c>
      <c r="E883" s="55">
        <v>374.99</v>
      </c>
      <c r="F883" s="55">
        <v>3344079</v>
      </c>
      <c r="G883" s="55" t="s">
        <v>906</v>
      </c>
      <c r="H883" s="25">
        <f t="shared" si="14"/>
        <v>-1.2800341342436017E-3</v>
      </c>
    </row>
    <row r="884" spans="2:8">
      <c r="B884" s="55">
        <v>372.33</v>
      </c>
      <c r="C884" s="55">
        <v>377.01</v>
      </c>
      <c r="D884" s="55">
        <v>369.98</v>
      </c>
      <c r="E884" s="55">
        <v>371.23</v>
      </c>
      <c r="F884" s="55">
        <v>1387020</v>
      </c>
      <c r="G884" s="55" t="s">
        <v>907</v>
      </c>
      <c r="H884" s="25">
        <f t="shared" si="14"/>
        <v>2.9631225924628968E-3</v>
      </c>
    </row>
    <row r="885" spans="2:8">
      <c r="B885" s="55">
        <v>370</v>
      </c>
      <c r="C885" s="55">
        <v>382.08</v>
      </c>
      <c r="D885" s="55">
        <v>366.39</v>
      </c>
      <c r="E885" s="55">
        <v>380.6</v>
      </c>
      <c r="F885" s="55">
        <v>1199381</v>
      </c>
      <c r="G885" s="55" t="s">
        <v>908</v>
      </c>
      <c r="H885" s="25">
        <f t="shared" si="14"/>
        <v>-2.785076195480829E-2</v>
      </c>
    </row>
    <row r="886" spans="2:8">
      <c r="B886" s="55">
        <v>381.13</v>
      </c>
      <c r="C886" s="55">
        <v>384.14</v>
      </c>
      <c r="D886" s="55">
        <v>374.76</v>
      </c>
      <c r="E886" s="55">
        <v>384.14</v>
      </c>
      <c r="F886" s="55">
        <v>1699573</v>
      </c>
      <c r="G886" s="55" t="s">
        <v>909</v>
      </c>
      <c r="H886" s="25">
        <f t="shared" si="14"/>
        <v>-7.8356849065445155E-3</v>
      </c>
    </row>
    <row r="887" spans="2:8">
      <c r="B887" s="55">
        <v>385.99</v>
      </c>
      <c r="C887" s="55">
        <v>386.7</v>
      </c>
      <c r="D887" s="55">
        <v>375.2</v>
      </c>
      <c r="E887" s="55">
        <v>375.51</v>
      </c>
      <c r="F887" s="55">
        <v>1180775</v>
      </c>
      <c r="G887" s="55" t="s">
        <v>910</v>
      </c>
      <c r="H887" s="25">
        <f t="shared" si="14"/>
        <v>2.790871081995161E-2</v>
      </c>
    </row>
    <row r="888" spans="2:8">
      <c r="B888" s="55">
        <v>381.82</v>
      </c>
      <c r="C888" s="55">
        <v>386.45</v>
      </c>
      <c r="D888" s="55">
        <v>377.89</v>
      </c>
      <c r="E888" s="55">
        <v>380.31</v>
      </c>
      <c r="F888" s="55">
        <v>1236346</v>
      </c>
      <c r="G888" s="55" t="s">
        <v>911</v>
      </c>
      <c r="H888" s="25">
        <f t="shared" si="14"/>
        <v>3.9704451631563664E-3</v>
      </c>
    </row>
    <row r="889" spans="2:8">
      <c r="B889" s="55">
        <v>380.31</v>
      </c>
      <c r="C889" s="55">
        <v>380.87</v>
      </c>
      <c r="D889" s="55">
        <v>362.65</v>
      </c>
      <c r="E889" s="55">
        <v>364.57</v>
      </c>
      <c r="F889" s="55">
        <v>2269833</v>
      </c>
      <c r="G889" s="55" t="s">
        <v>912</v>
      </c>
      <c r="H889" s="25">
        <f t="shared" si="14"/>
        <v>4.3174150368927799E-2</v>
      </c>
    </row>
    <row r="890" spans="2:8">
      <c r="B890" s="55">
        <v>363.32</v>
      </c>
      <c r="C890" s="55">
        <v>368.09</v>
      </c>
      <c r="D890" s="55">
        <v>361.43</v>
      </c>
      <c r="E890" s="55">
        <v>363.39</v>
      </c>
      <c r="F890" s="55">
        <v>932816</v>
      </c>
      <c r="G890" s="55" t="s">
        <v>913</v>
      </c>
      <c r="H890" s="25">
        <f t="shared" si="14"/>
        <v>-1.9263050716855634E-4</v>
      </c>
    </row>
    <row r="891" spans="2:8">
      <c r="B891" s="55">
        <v>363.28</v>
      </c>
      <c r="C891" s="55">
        <v>368.14</v>
      </c>
      <c r="D891" s="55">
        <v>361.334</v>
      </c>
      <c r="E891" s="55">
        <v>361.76</v>
      </c>
      <c r="F891" s="55">
        <v>1100025</v>
      </c>
      <c r="G891" s="55" t="s">
        <v>914</v>
      </c>
      <c r="H891" s="25">
        <f t="shared" ref="H891:H954" si="15">B891/E891-1</f>
        <v>4.2016806722688926E-3</v>
      </c>
    </row>
    <row r="892" spans="2:8">
      <c r="B892" s="55">
        <v>361.16</v>
      </c>
      <c r="C892" s="55">
        <v>362.28</v>
      </c>
      <c r="D892" s="55">
        <v>358.76</v>
      </c>
      <c r="E892" s="55">
        <v>359.45</v>
      </c>
      <c r="F892" s="55">
        <v>523430</v>
      </c>
      <c r="G892" s="55" t="s">
        <v>915</v>
      </c>
      <c r="H892" s="25">
        <f t="shared" si="15"/>
        <v>4.7572680484073704E-3</v>
      </c>
    </row>
    <row r="893" spans="2:8">
      <c r="B893" s="55">
        <v>360.53</v>
      </c>
      <c r="C893" s="55">
        <v>362.10500000000002</v>
      </c>
      <c r="D893" s="55">
        <v>353.08</v>
      </c>
      <c r="E893" s="55">
        <v>355.38</v>
      </c>
      <c r="F893" s="55">
        <v>824287</v>
      </c>
      <c r="G893" s="55" t="s">
        <v>916</v>
      </c>
      <c r="H893" s="25">
        <f t="shared" si="15"/>
        <v>1.4491530193032842E-2</v>
      </c>
    </row>
    <row r="894" spans="2:8">
      <c r="B894" s="55">
        <v>355.64</v>
      </c>
      <c r="C894" s="55">
        <v>355.87</v>
      </c>
      <c r="D894" s="55">
        <v>346.66</v>
      </c>
      <c r="E894" s="55">
        <v>351.79</v>
      </c>
      <c r="F894" s="55">
        <v>901805</v>
      </c>
      <c r="G894" s="55" t="s">
        <v>917</v>
      </c>
      <c r="H894" s="25">
        <f t="shared" si="15"/>
        <v>1.0944029108274744E-2</v>
      </c>
    </row>
    <row r="895" spans="2:8">
      <c r="B895" s="55">
        <v>349.38</v>
      </c>
      <c r="C895" s="55">
        <v>351.31</v>
      </c>
      <c r="D895" s="55">
        <v>340.5</v>
      </c>
      <c r="E895" s="55">
        <v>344.29</v>
      </c>
      <c r="F895" s="55">
        <v>1042229</v>
      </c>
      <c r="G895" s="55" t="s">
        <v>918</v>
      </c>
      <c r="H895" s="25">
        <f t="shared" si="15"/>
        <v>1.4784048331348609E-2</v>
      </c>
    </row>
    <row r="896" spans="2:8">
      <c r="B896" s="55">
        <v>347.85</v>
      </c>
      <c r="C896" s="55">
        <v>359.99990000000003</v>
      </c>
      <c r="D896" s="55">
        <v>344.3</v>
      </c>
      <c r="E896" s="55">
        <v>358.12</v>
      </c>
      <c r="F896" s="55">
        <v>1202128</v>
      </c>
      <c r="G896" s="55" t="s">
        <v>919</v>
      </c>
      <c r="H896" s="25">
        <f t="shared" si="15"/>
        <v>-2.8677538255333368E-2</v>
      </c>
    </row>
    <row r="897" spans="2:8">
      <c r="B897" s="55">
        <v>354.27</v>
      </c>
      <c r="C897" s="55">
        <v>355.13</v>
      </c>
      <c r="D897" s="55">
        <v>347.59</v>
      </c>
      <c r="E897" s="55">
        <v>349.74</v>
      </c>
      <c r="F897" s="55">
        <v>806901</v>
      </c>
      <c r="G897" s="55" t="s">
        <v>920</v>
      </c>
      <c r="H897" s="25">
        <f t="shared" si="15"/>
        <v>1.2952478984388227E-2</v>
      </c>
    </row>
    <row r="898" spans="2:8">
      <c r="B898" s="55">
        <v>355.76</v>
      </c>
      <c r="C898" s="55">
        <v>357.42</v>
      </c>
      <c r="D898" s="55">
        <v>345.77</v>
      </c>
      <c r="E898" s="55">
        <v>351.65</v>
      </c>
      <c r="F898" s="55">
        <v>1346160</v>
      </c>
      <c r="G898" s="55" t="s">
        <v>921</v>
      </c>
      <c r="H898" s="25">
        <f t="shared" si="15"/>
        <v>1.1687757713635838E-2</v>
      </c>
    </row>
    <row r="899" spans="2:8">
      <c r="B899" s="55">
        <v>359.56</v>
      </c>
      <c r="C899" s="55">
        <v>368.54</v>
      </c>
      <c r="D899" s="55">
        <v>357.35</v>
      </c>
      <c r="E899" s="55">
        <v>364.91</v>
      </c>
      <c r="F899" s="55">
        <v>1323410</v>
      </c>
      <c r="G899" s="55" t="s">
        <v>922</v>
      </c>
      <c r="H899" s="25">
        <f t="shared" si="15"/>
        <v>-1.466114932449103E-2</v>
      </c>
    </row>
    <row r="900" spans="2:8">
      <c r="B900" s="55">
        <v>352.74</v>
      </c>
      <c r="C900" s="55">
        <v>360.66</v>
      </c>
      <c r="D900" s="55">
        <v>351.06</v>
      </c>
      <c r="E900" s="55">
        <v>354.46</v>
      </c>
      <c r="F900" s="55">
        <v>1259002</v>
      </c>
      <c r="G900" s="55" t="s">
        <v>923</v>
      </c>
      <c r="H900" s="25">
        <f t="shared" si="15"/>
        <v>-4.8524516165433518E-3</v>
      </c>
    </row>
    <row r="901" spans="2:8">
      <c r="B901" s="55">
        <v>359.7</v>
      </c>
      <c r="C901" s="55">
        <v>370.46</v>
      </c>
      <c r="D901" s="55">
        <v>353</v>
      </c>
      <c r="E901" s="55">
        <v>353.43</v>
      </c>
      <c r="F901" s="55">
        <v>2338051</v>
      </c>
      <c r="G901" s="55" t="s">
        <v>924</v>
      </c>
      <c r="H901" s="25">
        <f t="shared" si="15"/>
        <v>1.7740429505135324E-2</v>
      </c>
    </row>
    <row r="902" spans="2:8">
      <c r="B902" s="55">
        <v>353.85</v>
      </c>
      <c r="C902" s="55">
        <v>354.64499999999998</v>
      </c>
      <c r="D902" s="55">
        <v>338.75</v>
      </c>
      <c r="E902" s="55">
        <v>338.83499999999998</v>
      </c>
      <c r="F902" s="55">
        <v>2212203</v>
      </c>
      <c r="G902" s="55" t="s">
        <v>925</v>
      </c>
      <c r="H902" s="25">
        <f t="shared" si="15"/>
        <v>4.4313603966532611E-2</v>
      </c>
    </row>
    <row r="903" spans="2:8">
      <c r="B903" s="55">
        <v>321.20999999999998</v>
      </c>
      <c r="C903" s="55">
        <v>334.82</v>
      </c>
      <c r="D903" s="55">
        <v>320.14999999999998</v>
      </c>
      <c r="E903" s="55">
        <v>328.26</v>
      </c>
      <c r="F903" s="55">
        <v>1370175</v>
      </c>
      <c r="G903" s="55" t="s">
        <v>926</v>
      </c>
      <c r="H903" s="25">
        <f t="shared" si="15"/>
        <v>-2.1476878084445317E-2</v>
      </c>
    </row>
    <row r="904" spans="2:8">
      <c r="B904" s="55">
        <v>328.5</v>
      </c>
      <c r="C904" s="55">
        <v>334.53989999999999</v>
      </c>
      <c r="D904" s="55">
        <v>323.57</v>
      </c>
      <c r="E904" s="55">
        <v>326.08</v>
      </c>
      <c r="F904" s="55">
        <v>1044496</v>
      </c>
      <c r="G904" s="55" t="s">
        <v>927</v>
      </c>
      <c r="H904" s="25">
        <f t="shared" si="15"/>
        <v>7.4214916584887103E-3</v>
      </c>
    </row>
    <row r="905" spans="2:8">
      <c r="B905" s="55">
        <v>324.25</v>
      </c>
      <c r="C905" s="55">
        <v>330.42</v>
      </c>
      <c r="D905" s="55">
        <v>317.59500000000003</v>
      </c>
      <c r="E905" s="55">
        <v>330.42</v>
      </c>
      <c r="F905" s="55">
        <v>929608</v>
      </c>
      <c r="G905" s="55" t="s">
        <v>928</v>
      </c>
      <c r="H905" s="25">
        <f t="shared" si="15"/>
        <v>-1.8673203801222726E-2</v>
      </c>
    </row>
    <row r="906" spans="2:8">
      <c r="B906" s="55">
        <v>325.57</v>
      </c>
      <c r="C906" s="55">
        <v>330.88</v>
      </c>
      <c r="D906" s="55">
        <v>317.39</v>
      </c>
      <c r="E906" s="55">
        <v>327.52999999999997</v>
      </c>
      <c r="F906" s="55">
        <v>992419</v>
      </c>
      <c r="G906" s="55" t="s">
        <v>929</v>
      </c>
      <c r="H906" s="25">
        <f t="shared" si="15"/>
        <v>-5.9841846548407407E-3</v>
      </c>
    </row>
    <row r="907" spans="2:8">
      <c r="B907" s="55">
        <v>318.10000000000002</v>
      </c>
      <c r="C907" s="55">
        <v>322.83</v>
      </c>
      <c r="D907" s="55">
        <v>310.52</v>
      </c>
      <c r="E907" s="55">
        <v>315.18</v>
      </c>
      <c r="F907" s="55">
        <v>873632</v>
      </c>
      <c r="G907" s="55" t="s">
        <v>930</v>
      </c>
      <c r="H907" s="25">
        <f t="shared" si="15"/>
        <v>9.2645472428454223E-3</v>
      </c>
    </row>
    <row r="908" spans="2:8">
      <c r="B908" s="55">
        <v>316.06</v>
      </c>
      <c r="C908" s="55">
        <v>331.11</v>
      </c>
      <c r="D908" s="55">
        <v>315.81</v>
      </c>
      <c r="E908" s="55">
        <v>328.91</v>
      </c>
      <c r="F908" s="55">
        <v>1327416</v>
      </c>
      <c r="G908" s="55" t="s">
        <v>931</v>
      </c>
      <c r="H908" s="25">
        <f t="shared" si="15"/>
        <v>-3.9068438174576725E-2</v>
      </c>
    </row>
    <row r="909" spans="2:8">
      <c r="B909" s="55">
        <v>330.36</v>
      </c>
      <c r="C909" s="55">
        <v>337.14</v>
      </c>
      <c r="D909" s="55">
        <v>327.08</v>
      </c>
      <c r="E909" s="55">
        <v>335</v>
      </c>
      <c r="F909" s="55">
        <v>1154130</v>
      </c>
      <c r="G909" s="55" t="s">
        <v>932</v>
      </c>
      <c r="H909" s="25">
        <f t="shared" si="15"/>
        <v>-1.3850746268656677E-2</v>
      </c>
    </row>
    <row r="910" spans="2:8">
      <c r="B910" s="55">
        <v>329.04</v>
      </c>
      <c r="C910" s="55">
        <v>332.59</v>
      </c>
      <c r="D910" s="55">
        <v>323.57</v>
      </c>
      <c r="E910" s="55">
        <v>325</v>
      </c>
      <c r="F910" s="55">
        <v>1219128</v>
      </c>
      <c r="G910" s="55" t="s">
        <v>933</v>
      </c>
      <c r="H910" s="25">
        <f t="shared" si="15"/>
        <v>1.2430769230769245E-2</v>
      </c>
    </row>
    <row r="911" spans="2:8">
      <c r="B911" s="55">
        <v>328.48</v>
      </c>
      <c r="C911" s="55">
        <v>329.48</v>
      </c>
      <c r="D911" s="55">
        <v>312.49</v>
      </c>
      <c r="E911" s="55">
        <v>314.14</v>
      </c>
      <c r="F911" s="55">
        <v>1697672</v>
      </c>
      <c r="G911" s="55" t="s">
        <v>934</v>
      </c>
      <c r="H911" s="25">
        <f t="shared" si="15"/>
        <v>4.5648437002610454E-2</v>
      </c>
    </row>
    <row r="912" spans="2:8">
      <c r="B912" s="55">
        <v>320.61</v>
      </c>
      <c r="C912" s="55">
        <v>327.3</v>
      </c>
      <c r="D912" s="55">
        <v>316.31</v>
      </c>
      <c r="E912" s="55">
        <v>323.5</v>
      </c>
      <c r="F912" s="55">
        <v>1339759</v>
      </c>
      <c r="G912" s="55" t="s">
        <v>935</v>
      </c>
      <c r="H912" s="25">
        <f t="shared" si="15"/>
        <v>-8.9335394126738299E-3</v>
      </c>
    </row>
    <row r="913" spans="2:8">
      <c r="B913" s="55">
        <v>321.33</v>
      </c>
      <c r="C913" s="55">
        <v>328.81</v>
      </c>
      <c r="D913" s="55">
        <v>314.10000000000002</v>
      </c>
      <c r="E913" s="55">
        <v>316.77999999999997</v>
      </c>
      <c r="F913" s="55">
        <v>1726252</v>
      </c>
      <c r="G913" s="55" t="s">
        <v>936</v>
      </c>
      <c r="H913" s="25">
        <f t="shared" si="15"/>
        <v>1.4363280510133247E-2</v>
      </c>
    </row>
    <row r="914" spans="2:8">
      <c r="B914" s="55">
        <v>320.63</v>
      </c>
      <c r="C914" s="55">
        <v>321.62</v>
      </c>
      <c r="D914" s="55">
        <v>300.52999999999997</v>
      </c>
      <c r="E914" s="55">
        <v>301.85000000000002</v>
      </c>
      <c r="F914" s="55">
        <v>2266024</v>
      </c>
      <c r="G914" s="55" t="s">
        <v>937</v>
      </c>
      <c r="H914" s="25">
        <f t="shared" si="15"/>
        <v>6.2216332615537384E-2</v>
      </c>
    </row>
    <row r="915" spans="2:8">
      <c r="B915" s="55">
        <v>297.68</v>
      </c>
      <c r="C915" s="55">
        <v>299.83999999999997</v>
      </c>
      <c r="D915" s="55">
        <v>287.64</v>
      </c>
      <c r="E915" s="55">
        <v>299.83999999999997</v>
      </c>
      <c r="F915" s="55">
        <v>1242178</v>
      </c>
      <c r="G915" s="55" t="s">
        <v>938</v>
      </c>
      <c r="H915" s="25">
        <f t="shared" si="15"/>
        <v>-7.2038420490927457E-3</v>
      </c>
    </row>
    <row r="916" spans="2:8">
      <c r="B916" s="55">
        <v>298.63</v>
      </c>
      <c r="C916" s="55">
        <v>299.13</v>
      </c>
      <c r="D916" s="55">
        <v>289.01</v>
      </c>
      <c r="E916" s="55">
        <v>291.45999999999998</v>
      </c>
      <c r="F916" s="55">
        <v>1258092</v>
      </c>
      <c r="G916" s="55" t="s">
        <v>939</v>
      </c>
      <c r="H916" s="25">
        <f t="shared" si="15"/>
        <v>2.4600288204213339E-2</v>
      </c>
    </row>
    <row r="917" spans="2:8">
      <c r="B917" s="55">
        <v>293.13</v>
      </c>
      <c r="C917" s="55">
        <v>303.93</v>
      </c>
      <c r="D917" s="55">
        <v>290.2</v>
      </c>
      <c r="E917" s="55">
        <v>296.72000000000003</v>
      </c>
      <c r="F917" s="55">
        <v>1338450</v>
      </c>
      <c r="G917" s="55" t="s">
        <v>940</v>
      </c>
      <c r="H917" s="25">
        <f t="shared" si="15"/>
        <v>-1.2098948503639906E-2</v>
      </c>
    </row>
    <row r="918" spans="2:8">
      <c r="B918" s="55">
        <v>296.87</v>
      </c>
      <c r="C918" s="55">
        <v>304.5</v>
      </c>
      <c r="D918" s="55">
        <v>293.76</v>
      </c>
      <c r="E918" s="55">
        <v>295</v>
      </c>
      <c r="F918" s="55">
        <v>1563884</v>
      </c>
      <c r="G918" s="55" t="s">
        <v>941</v>
      </c>
      <c r="H918" s="25">
        <f t="shared" si="15"/>
        <v>6.3389830508475686E-3</v>
      </c>
    </row>
    <row r="919" spans="2:8">
      <c r="B919" s="55">
        <v>297.76</v>
      </c>
      <c r="C919" s="55">
        <v>308.88</v>
      </c>
      <c r="D919" s="55">
        <v>294.26</v>
      </c>
      <c r="E919" s="55">
        <v>307.74</v>
      </c>
      <c r="F919" s="55">
        <v>1142349</v>
      </c>
      <c r="G919" s="55" t="s">
        <v>942</v>
      </c>
      <c r="H919" s="25">
        <f t="shared" si="15"/>
        <v>-3.2429973354130115E-2</v>
      </c>
    </row>
    <row r="920" spans="2:8">
      <c r="B920" s="55">
        <v>297.64999999999998</v>
      </c>
      <c r="C920" s="55">
        <v>300.52999999999997</v>
      </c>
      <c r="D920" s="55">
        <v>293.315</v>
      </c>
      <c r="E920" s="55">
        <v>295.56</v>
      </c>
      <c r="F920" s="55">
        <v>1492250</v>
      </c>
      <c r="G920" s="55" t="s">
        <v>943</v>
      </c>
      <c r="H920" s="25">
        <f t="shared" si="15"/>
        <v>7.0713222357556837E-3</v>
      </c>
    </row>
    <row r="921" spans="2:8">
      <c r="B921" s="55">
        <v>288.77999999999997</v>
      </c>
      <c r="C921" s="55">
        <v>304</v>
      </c>
      <c r="D921" s="55">
        <v>286.27999999999997</v>
      </c>
      <c r="E921" s="55">
        <v>300.27</v>
      </c>
      <c r="F921" s="55">
        <v>1551500</v>
      </c>
      <c r="G921" s="55" t="s">
        <v>944</v>
      </c>
      <c r="H921" s="25">
        <f t="shared" si="15"/>
        <v>-3.8265560995104475E-2</v>
      </c>
    </row>
    <row r="922" spans="2:8">
      <c r="B922" s="55">
        <v>294.51</v>
      </c>
      <c r="C922" s="55">
        <v>299.58</v>
      </c>
      <c r="D922" s="55">
        <v>279.10000000000002</v>
      </c>
      <c r="E922" s="55">
        <v>285.5</v>
      </c>
      <c r="F922" s="55">
        <v>1492656</v>
      </c>
      <c r="G922" s="55" t="s">
        <v>945</v>
      </c>
      <c r="H922" s="25">
        <f t="shared" si="15"/>
        <v>3.1558669001751305E-2</v>
      </c>
    </row>
    <row r="923" spans="2:8">
      <c r="B923" s="55">
        <v>295.5</v>
      </c>
      <c r="C923" s="55">
        <v>302.87</v>
      </c>
      <c r="D923" s="55">
        <v>292.12</v>
      </c>
      <c r="E923" s="55">
        <v>298.85000000000002</v>
      </c>
      <c r="F923" s="55">
        <v>1671694</v>
      </c>
      <c r="G923" s="55" t="s">
        <v>946</v>
      </c>
      <c r="H923" s="25">
        <f t="shared" si="15"/>
        <v>-1.1209636941609591E-2</v>
      </c>
    </row>
    <row r="924" spans="2:8">
      <c r="B924" s="55">
        <v>295.68</v>
      </c>
      <c r="C924" s="55">
        <v>304.27999999999997</v>
      </c>
      <c r="D924" s="55">
        <v>287.83</v>
      </c>
      <c r="E924" s="55">
        <v>296.92500000000001</v>
      </c>
      <c r="F924" s="55">
        <v>2579350</v>
      </c>
      <c r="G924" s="55" t="s">
        <v>947</v>
      </c>
      <c r="H924" s="25">
        <f t="shared" si="15"/>
        <v>-4.192978024753713E-3</v>
      </c>
    </row>
    <row r="925" spans="2:8">
      <c r="B925" s="55">
        <v>289.85000000000002</v>
      </c>
      <c r="C925" s="55">
        <v>297.64</v>
      </c>
      <c r="D925" s="55">
        <v>286.55</v>
      </c>
      <c r="E925" s="55">
        <v>297.64</v>
      </c>
      <c r="F925" s="55">
        <v>1134018</v>
      </c>
      <c r="G925" s="55" t="s">
        <v>948</v>
      </c>
      <c r="H925" s="25">
        <f t="shared" si="15"/>
        <v>-2.6172557451955236E-2</v>
      </c>
    </row>
    <row r="926" spans="2:8">
      <c r="B926" s="55">
        <v>298.22000000000003</v>
      </c>
      <c r="C926" s="55">
        <v>306.44</v>
      </c>
      <c r="D926" s="55">
        <v>296.47000000000003</v>
      </c>
      <c r="E926" s="55">
        <v>303.55</v>
      </c>
      <c r="F926" s="55">
        <v>1283966</v>
      </c>
      <c r="G926" s="55" t="s">
        <v>949</v>
      </c>
      <c r="H926" s="25">
        <f t="shared" si="15"/>
        <v>-1.7558886509635885E-2</v>
      </c>
    </row>
    <row r="927" spans="2:8">
      <c r="B927" s="55">
        <v>310.48</v>
      </c>
      <c r="C927" s="55">
        <v>316.27</v>
      </c>
      <c r="D927" s="55">
        <v>308.02</v>
      </c>
      <c r="E927" s="55">
        <v>308.02</v>
      </c>
      <c r="F927" s="55">
        <v>1060153</v>
      </c>
      <c r="G927" s="55" t="s">
        <v>950</v>
      </c>
      <c r="H927" s="25">
        <f t="shared" si="15"/>
        <v>7.986494383481757E-3</v>
      </c>
    </row>
    <row r="928" spans="2:8">
      <c r="B928" s="55">
        <v>310.05</v>
      </c>
      <c r="C928" s="55">
        <v>311.55</v>
      </c>
      <c r="D928" s="55">
        <v>301.67</v>
      </c>
      <c r="E928" s="55">
        <v>303.85000000000002</v>
      </c>
      <c r="F928" s="55">
        <v>1259351</v>
      </c>
      <c r="G928" s="55" t="s">
        <v>951</v>
      </c>
      <c r="H928" s="25">
        <f t="shared" si="15"/>
        <v>2.0404805002468329E-2</v>
      </c>
    </row>
    <row r="929" spans="2:8">
      <c r="B929" s="55">
        <v>307.8</v>
      </c>
      <c r="C929" s="55">
        <v>308.97000000000003</v>
      </c>
      <c r="D929" s="55">
        <v>301.67</v>
      </c>
      <c r="E929" s="55">
        <v>302.13</v>
      </c>
      <c r="F929" s="55">
        <v>1551151</v>
      </c>
      <c r="G929" s="55" t="s">
        <v>952</v>
      </c>
      <c r="H929" s="25">
        <f t="shared" si="15"/>
        <v>1.8766756032171594E-2</v>
      </c>
    </row>
    <row r="930" spans="2:8">
      <c r="B930" s="55">
        <v>292.10000000000002</v>
      </c>
      <c r="C930" s="55">
        <v>295.64</v>
      </c>
      <c r="D930" s="55">
        <v>281.12</v>
      </c>
      <c r="E930" s="55">
        <v>281.5</v>
      </c>
      <c r="F930" s="55">
        <v>1776767</v>
      </c>
      <c r="G930" s="55" t="s">
        <v>953</v>
      </c>
      <c r="H930" s="25">
        <f t="shared" si="15"/>
        <v>3.7655417406749603E-2</v>
      </c>
    </row>
    <row r="931" spans="2:8">
      <c r="B931" s="55">
        <v>279.56</v>
      </c>
      <c r="C931" s="55">
        <v>287.48</v>
      </c>
      <c r="D931" s="55">
        <v>277.5</v>
      </c>
      <c r="E931" s="55">
        <v>285.64999999999998</v>
      </c>
      <c r="F931" s="55">
        <v>3842022</v>
      </c>
      <c r="G931" s="55" t="s">
        <v>954</v>
      </c>
      <c r="H931" s="25">
        <f t="shared" si="15"/>
        <v>-2.1319796954314629E-2</v>
      </c>
    </row>
    <row r="932" spans="2:8">
      <c r="B932" s="55">
        <v>300.22000000000003</v>
      </c>
      <c r="C932" s="55">
        <v>304.81</v>
      </c>
      <c r="D932" s="55">
        <v>296.14</v>
      </c>
      <c r="E932" s="55">
        <v>303.97000000000003</v>
      </c>
      <c r="F932" s="55">
        <v>1262572</v>
      </c>
      <c r="G932" s="55" t="s">
        <v>955</v>
      </c>
      <c r="H932" s="25">
        <f t="shared" si="15"/>
        <v>-1.2336743757607627E-2</v>
      </c>
    </row>
    <row r="933" spans="2:8">
      <c r="B933" s="55">
        <v>309.33999999999997</v>
      </c>
      <c r="C933" s="55">
        <v>310.89</v>
      </c>
      <c r="D933" s="55">
        <v>298.54000000000002</v>
      </c>
      <c r="E933" s="55">
        <v>300.10000000000002</v>
      </c>
      <c r="F933" s="55">
        <v>1239504</v>
      </c>
      <c r="G933" s="55" t="s">
        <v>956</v>
      </c>
      <c r="H933" s="25">
        <f t="shared" si="15"/>
        <v>3.0789736754414987E-2</v>
      </c>
    </row>
    <row r="934" spans="2:8">
      <c r="B934" s="55">
        <v>299.19</v>
      </c>
      <c r="C934" s="55">
        <v>303.45999999999998</v>
      </c>
      <c r="D934" s="55">
        <v>294.56</v>
      </c>
      <c r="E934" s="55">
        <v>300.2</v>
      </c>
      <c r="F934" s="55">
        <v>1247839</v>
      </c>
      <c r="G934" s="55" t="s">
        <v>957</v>
      </c>
      <c r="H934" s="25">
        <f t="shared" si="15"/>
        <v>-3.3644237175216585E-3</v>
      </c>
    </row>
    <row r="935" spans="2:8">
      <c r="B935" s="55">
        <v>294.66000000000003</v>
      </c>
      <c r="C935" s="55">
        <v>300.79000000000002</v>
      </c>
      <c r="D935" s="55">
        <v>291.87</v>
      </c>
      <c r="E935" s="55">
        <v>292.26</v>
      </c>
      <c r="F935" s="55">
        <v>1325150</v>
      </c>
      <c r="G935" s="55" t="s">
        <v>958</v>
      </c>
      <c r="H935" s="25">
        <f t="shared" si="15"/>
        <v>8.2118661465819809E-3</v>
      </c>
    </row>
    <row r="936" spans="2:8">
      <c r="B936" s="55">
        <v>293.2</v>
      </c>
      <c r="C936" s="55">
        <v>303.495</v>
      </c>
      <c r="D936" s="55">
        <v>289.26</v>
      </c>
      <c r="E936" s="55">
        <v>302.5</v>
      </c>
      <c r="F936" s="55">
        <v>1926646</v>
      </c>
      <c r="G936" s="55" t="s">
        <v>959</v>
      </c>
      <c r="H936" s="25">
        <f t="shared" si="15"/>
        <v>-3.0743801652892588E-2</v>
      </c>
    </row>
    <row r="937" spans="2:8">
      <c r="B937" s="55">
        <v>306.3</v>
      </c>
      <c r="C937" s="55">
        <v>318.2799</v>
      </c>
      <c r="D937" s="55">
        <v>306.02</v>
      </c>
      <c r="E937" s="55">
        <v>318.05500000000001</v>
      </c>
      <c r="F937" s="55">
        <v>1621875</v>
      </c>
      <c r="G937" s="55" t="s">
        <v>960</v>
      </c>
      <c r="H937" s="25">
        <f t="shared" si="15"/>
        <v>-3.6959016522299604E-2</v>
      </c>
    </row>
    <row r="938" spans="2:8">
      <c r="B938" s="55">
        <v>318.12</v>
      </c>
      <c r="C938" s="55">
        <v>334.13</v>
      </c>
      <c r="D938" s="55">
        <v>317.90010000000001</v>
      </c>
      <c r="E938" s="55">
        <v>334.13</v>
      </c>
      <c r="F938" s="55">
        <v>1405210</v>
      </c>
      <c r="G938" s="55" t="s">
        <v>961</v>
      </c>
      <c r="H938" s="25">
        <f t="shared" si="15"/>
        <v>-4.7915481998024645E-2</v>
      </c>
    </row>
    <row r="939" spans="2:8">
      <c r="B939" s="55">
        <v>331.57</v>
      </c>
      <c r="C939" s="55">
        <v>335.67</v>
      </c>
      <c r="D939" s="55">
        <v>327.8</v>
      </c>
      <c r="E939" s="55">
        <v>334.08</v>
      </c>
      <c r="F939" s="55">
        <v>819311</v>
      </c>
      <c r="G939" s="55" t="s">
        <v>962</v>
      </c>
      <c r="H939" s="25">
        <f t="shared" si="15"/>
        <v>-7.5131704980843095E-3</v>
      </c>
    </row>
    <row r="940" spans="2:8">
      <c r="B940" s="55">
        <v>337.08</v>
      </c>
      <c r="C940" s="55">
        <v>337.45</v>
      </c>
      <c r="D940" s="55">
        <v>329.43</v>
      </c>
      <c r="E940" s="55">
        <v>330.07</v>
      </c>
      <c r="F940" s="55">
        <v>1037386</v>
      </c>
      <c r="G940" s="55" t="s">
        <v>963</v>
      </c>
      <c r="H940" s="25">
        <f t="shared" si="15"/>
        <v>2.1237919229254443E-2</v>
      </c>
    </row>
    <row r="941" spans="2:8">
      <c r="B941" s="55">
        <v>333.24</v>
      </c>
      <c r="C941" s="55">
        <v>336.56</v>
      </c>
      <c r="D941" s="55">
        <v>330.16300000000001</v>
      </c>
      <c r="E941" s="55">
        <v>331.85</v>
      </c>
      <c r="F941" s="55">
        <v>1520390</v>
      </c>
      <c r="G941" s="55" t="s">
        <v>964</v>
      </c>
      <c r="H941" s="25">
        <f t="shared" si="15"/>
        <v>4.1886394455326048E-3</v>
      </c>
    </row>
    <row r="942" spans="2:8">
      <c r="B942" s="55">
        <v>338.6</v>
      </c>
      <c r="C942" s="55">
        <v>345.1</v>
      </c>
      <c r="D942" s="55">
        <v>336.57</v>
      </c>
      <c r="E942" s="55">
        <v>341.17</v>
      </c>
      <c r="F942" s="55">
        <v>1065930</v>
      </c>
      <c r="G942" s="55" t="s">
        <v>965</v>
      </c>
      <c r="H942" s="25">
        <f t="shared" si="15"/>
        <v>-7.5329014860626708E-3</v>
      </c>
    </row>
    <row r="943" spans="2:8">
      <c r="B943" s="55">
        <v>342.92</v>
      </c>
      <c r="C943" s="55">
        <v>343.37</v>
      </c>
      <c r="D943" s="55">
        <v>335.39</v>
      </c>
      <c r="E943" s="55">
        <v>339.04</v>
      </c>
      <c r="F943" s="55">
        <v>1414315</v>
      </c>
      <c r="G943" s="55" t="s">
        <v>966</v>
      </c>
      <c r="H943" s="25">
        <f t="shared" si="15"/>
        <v>1.1444077394997532E-2</v>
      </c>
    </row>
    <row r="944" spans="2:8">
      <c r="B944" s="55">
        <v>337.32</v>
      </c>
      <c r="C944" s="55">
        <v>346.21</v>
      </c>
      <c r="D944" s="55">
        <v>335.37</v>
      </c>
      <c r="E944" s="55">
        <v>342.95</v>
      </c>
      <c r="F944" s="55">
        <v>1436353</v>
      </c>
      <c r="G944" s="55" t="s">
        <v>967</v>
      </c>
      <c r="H944" s="25">
        <f t="shared" si="15"/>
        <v>-1.6416387228458951E-2</v>
      </c>
    </row>
    <row r="945" spans="2:8">
      <c r="B945" s="55">
        <v>352.74</v>
      </c>
      <c r="C945" s="55">
        <v>353.26</v>
      </c>
      <c r="D945" s="55">
        <v>348.06240000000003</v>
      </c>
      <c r="E945" s="55">
        <v>349</v>
      </c>
      <c r="F945" s="55">
        <v>1217390</v>
      </c>
      <c r="G945" s="55" t="s">
        <v>968</v>
      </c>
      <c r="H945" s="25">
        <f t="shared" si="15"/>
        <v>1.0716332378223559E-2</v>
      </c>
    </row>
    <row r="946" spans="2:8">
      <c r="B946" s="55">
        <v>348.65</v>
      </c>
      <c r="C946" s="55">
        <v>355.58600000000001</v>
      </c>
      <c r="D946" s="55">
        <v>347.5</v>
      </c>
      <c r="E946" s="55">
        <v>348.45</v>
      </c>
      <c r="F946" s="55">
        <v>2189106</v>
      </c>
      <c r="G946" s="55" t="s">
        <v>969</v>
      </c>
      <c r="H946" s="25">
        <f t="shared" si="15"/>
        <v>5.7397044052232005E-4</v>
      </c>
    </row>
    <row r="947" spans="2:8">
      <c r="B947" s="55">
        <v>345.79</v>
      </c>
      <c r="C947" s="55">
        <v>346.02</v>
      </c>
      <c r="D947" s="55">
        <v>332.91199999999998</v>
      </c>
      <c r="E947" s="55">
        <v>334.64</v>
      </c>
      <c r="F947" s="55">
        <v>2206700</v>
      </c>
      <c r="G947" s="55" t="s">
        <v>970</v>
      </c>
      <c r="H947" s="25">
        <f t="shared" si="15"/>
        <v>3.3319387999043881E-2</v>
      </c>
    </row>
    <row r="948" spans="2:8">
      <c r="B948" s="55">
        <v>336.87</v>
      </c>
      <c r="C948" s="55">
        <v>339.75</v>
      </c>
      <c r="D948" s="55">
        <v>324.45999999999998</v>
      </c>
      <c r="E948" s="55">
        <v>329.2</v>
      </c>
      <c r="F948" s="55">
        <v>2616306</v>
      </c>
      <c r="G948" s="55" t="s">
        <v>971</v>
      </c>
      <c r="H948" s="25">
        <f t="shared" si="15"/>
        <v>2.3298906439854328E-2</v>
      </c>
    </row>
    <row r="949" spans="2:8">
      <c r="B949" s="55">
        <v>327.81</v>
      </c>
      <c r="C949" s="55">
        <v>328.58</v>
      </c>
      <c r="D949" s="55">
        <v>312.38940000000002</v>
      </c>
      <c r="E949" s="55">
        <v>313.89999999999998</v>
      </c>
      <c r="F949" s="55">
        <v>3921470</v>
      </c>
      <c r="G949" s="55" t="s">
        <v>972</v>
      </c>
      <c r="H949" s="25">
        <f t="shared" si="15"/>
        <v>4.431347562918142E-2</v>
      </c>
    </row>
    <row r="950" spans="2:8">
      <c r="B950" s="55">
        <v>314.17</v>
      </c>
      <c r="C950" s="55">
        <v>329.63990000000001</v>
      </c>
      <c r="D950" s="55">
        <v>311.12</v>
      </c>
      <c r="E950" s="55">
        <v>326.39999999999998</v>
      </c>
      <c r="F950" s="55">
        <v>8780277</v>
      </c>
      <c r="G950" s="55" t="s">
        <v>973</v>
      </c>
      <c r="H950" s="25">
        <f t="shared" si="15"/>
        <v>-3.7469362745097934E-2</v>
      </c>
    </row>
    <row r="951" spans="2:8">
      <c r="B951" s="55">
        <v>294.45</v>
      </c>
      <c r="C951" s="55">
        <v>294.875</v>
      </c>
      <c r="D951" s="55">
        <v>283.31</v>
      </c>
      <c r="E951" s="55">
        <v>293.97000000000003</v>
      </c>
      <c r="F951" s="55">
        <v>3495329</v>
      </c>
      <c r="G951" s="55" t="s">
        <v>974</v>
      </c>
      <c r="H951" s="25">
        <f t="shared" si="15"/>
        <v>1.6328196754769042E-3</v>
      </c>
    </row>
    <row r="952" spans="2:8">
      <c r="B952" s="55">
        <v>299.95999999999998</v>
      </c>
      <c r="C952" s="55">
        <v>310.49</v>
      </c>
      <c r="D952" s="55">
        <v>295.54000000000002</v>
      </c>
      <c r="E952" s="55">
        <v>307.95999999999998</v>
      </c>
      <c r="F952" s="55">
        <v>1915257</v>
      </c>
      <c r="G952" s="55" t="s">
        <v>975</v>
      </c>
      <c r="H952" s="25">
        <f t="shared" si="15"/>
        <v>-2.5977399662293843E-2</v>
      </c>
    </row>
    <row r="953" spans="2:8">
      <c r="B953" s="55">
        <v>307.07</v>
      </c>
      <c r="C953" s="55">
        <v>312</v>
      </c>
      <c r="D953" s="55">
        <v>302.5</v>
      </c>
      <c r="E953" s="55">
        <v>311.36</v>
      </c>
      <c r="F953" s="55">
        <v>1179191</v>
      </c>
      <c r="G953" s="55" t="s">
        <v>976</v>
      </c>
      <c r="H953" s="25">
        <f t="shared" si="15"/>
        <v>-1.3778263103802701E-2</v>
      </c>
    </row>
    <row r="954" spans="2:8">
      <c r="B954" s="55">
        <v>307.5</v>
      </c>
      <c r="C954" s="55">
        <v>311.97000000000003</v>
      </c>
      <c r="D954" s="55">
        <v>303.66000000000003</v>
      </c>
      <c r="E954" s="55">
        <v>304.98</v>
      </c>
      <c r="F954" s="55">
        <v>1165064</v>
      </c>
      <c r="G954" s="55" t="s">
        <v>977</v>
      </c>
      <c r="H954" s="25">
        <f t="shared" si="15"/>
        <v>8.2628369073380892E-3</v>
      </c>
    </row>
    <row r="955" spans="2:8">
      <c r="B955" s="55">
        <v>311.31</v>
      </c>
      <c r="C955" s="55">
        <v>324.89999999999998</v>
      </c>
      <c r="D955" s="55">
        <v>310.14</v>
      </c>
      <c r="E955" s="55">
        <v>323.2</v>
      </c>
      <c r="F955" s="55">
        <v>1111648</v>
      </c>
      <c r="G955" s="55" t="s">
        <v>978</v>
      </c>
      <c r="H955" s="25">
        <f t="shared" ref="H955:H1018" si="16">B955/E955-1</f>
        <v>-3.6788366336633627E-2</v>
      </c>
    </row>
    <row r="956" spans="2:8">
      <c r="B956" s="55">
        <v>323.36</v>
      </c>
      <c r="C956" s="55">
        <v>323.58999999999997</v>
      </c>
      <c r="D956" s="55">
        <v>317.04000000000002</v>
      </c>
      <c r="E956" s="55">
        <v>319.22000000000003</v>
      </c>
      <c r="F956" s="55">
        <v>603242</v>
      </c>
      <c r="G956" s="55" t="s">
        <v>979</v>
      </c>
      <c r="H956" s="25">
        <f t="shared" si="16"/>
        <v>1.2969112211014266E-2</v>
      </c>
    </row>
    <row r="957" spans="2:8">
      <c r="B957" s="55">
        <v>317.83999999999997</v>
      </c>
      <c r="C957" s="55">
        <v>321.02</v>
      </c>
      <c r="D957" s="55">
        <v>313.26</v>
      </c>
      <c r="E957" s="55">
        <v>315.10000000000002</v>
      </c>
      <c r="F957" s="55">
        <v>551861</v>
      </c>
      <c r="G957" s="55" t="s">
        <v>980</v>
      </c>
      <c r="H957" s="25">
        <f t="shared" si="16"/>
        <v>8.6956521739129933E-3</v>
      </c>
    </row>
    <row r="958" spans="2:8">
      <c r="B958" s="55">
        <v>315.93</v>
      </c>
      <c r="C958" s="55">
        <v>322.55</v>
      </c>
      <c r="D958" s="55">
        <v>314.69</v>
      </c>
      <c r="E958" s="55">
        <v>315.35000000000002</v>
      </c>
      <c r="F958" s="55">
        <v>689317</v>
      </c>
      <c r="G958" s="55" t="s">
        <v>981</v>
      </c>
      <c r="H958" s="25">
        <f t="shared" si="16"/>
        <v>1.8392262565403161E-3</v>
      </c>
    </row>
    <row r="959" spans="2:8">
      <c r="B959" s="55">
        <v>315.22000000000003</v>
      </c>
      <c r="C959" s="55">
        <v>321.49</v>
      </c>
      <c r="D959" s="55">
        <v>313.52</v>
      </c>
      <c r="E959" s="55">
        <v>317.12</v>
      </c>
      <c r="F959" s="55">
        <v>892322</v>
      </c>
      <c r="G959" s="55" t="s">
        <v>982</v>
      </c>
      <c r="H959" s="25">
        <f t="shared" si="16"/>
        <v>-5.9914228052471152E-3</v>
      </c>
    </row>
    <row r="960" spans="2:8">
      <c r="B960" s="55">
        <v>322.47000000000003</v>
      </c>
      <c r="C960" s="55">
        <v>329.01900000000001</v>
      </c>
      <c r="D960" s="55">
        <v>321.32</v>
      </c>
      <c r="E960" s="55">
        <v>328.48</v>
      </c>
      <c r="F960" s="55">
        <v>935174</v>
      </c>
      <c r="G960" s="55" t="s">
        <v>983</v>
      </c>
      <c r="H960" s="25">
        <f t="shared" si="16"/>
        <v>-1.8296395518753061E-2</v>
      </c>
    </row>
    <row r="961" spans="2:8">
      <c r="B961" s="55">
        <v>333.42</v>
      </c>
      <c r="C961" s="55">
        <v>334.96</v>
      </c>
      <c r="D961" s="55">
        <v>328.51</v>
      </c>
      <c r="E961" s="55">
        <v>330.57</v>
      </c>
      <c r="F961" s="55">
        <v>834102</v>
      </c>
      <c r="G961" s="55" t="s">
        <v>984</v>
      </c>
      <c r="H961" s="25">
        <f t="shared" si="16"/>
        <v>8.6214720029040848E-3</v>
      </c>
    </row>
    <row r="962" spans="2:8">
      <c r="B962" s="55">
        <v>329.8</v>
      </c>
      <c r="C962" s="55">
        <v>332.5</v>
      </c>
      <c r="D962" s="55">
        <v>324.51</v>
      </c>
      <c r="E962" s="55">
        <v>327.52999999999997</v>
      </c>
      <c r="F962" s="55">
        <v>772644</v>
      </c>
      <c r="G962" s="55" t="s">
        <v>985</v>
      </c>
      <c r="H962" s="25">
        <f t="shared" si="16"/>
        <v>6.9306628400453985E-3</v>
      </c>
    </row>
    <row r="963" spans="2:8">
      <c r="B963" s="55">
        <v>331.7</v>
      </c>
      <c r="C963" s="55">
        <v>335.71</v>
      </c>
      <c r="D963" s="55">
        <v>326.26</v>
      </c>
      <c r="E963" s="55">
        <v>331</v>
      </c>
      <c r="F963" s="55">
        <v>1078028</v>
      </c>
      <c r="G963" s="55" t="s">
        <v>986</v>
      </c>
      <c r="H963" s="25">
        <f t="shared" si="16"/>
        <v>2.114803625377526E-3</v>
      </c>
    </row>
    <row r="964" spans="2:8">
      <c r="B964" s="55">
        <v>330.34</v>
      </c>
      <c r="C964" s="55">
        <v>330.47</v>
      </c>
      <c r="D964" s="55">
        <v>320.13499999999999</v>
      </c>
      <c r="E964" s="55">
        <v>320.18</v>
      </c>
      <c r="F964" s="55">
        <v>953900</v>
      </c>
      <c r="G964" s="55" t="s">
        <v>987</v>
      </c>
      <c r="H964" s="25">
        <f t="shared" si="16"/>
        <v>3.1732150665250591E-2</v>
      </c>
    </row>
    <row r="965" spans="2:8">
      <c r="B965" s="55">
        <v>321.69</v>
      </c>
      <c r="C965" s="55">
        <v>322.90499999999997</v>
      </c>
      <c r="D965" s="55">
        <v>317</v>
      </c>
      <c r="E965" s="55">
        <v>320.7</v>
      </c>
      <c r="F965" s="55">
        <v>754952</v>
      </c>
      <c r="G965" s="55" t="s">
        <v>988</v>
      </c>
      <c r="H965" s="25">
        <f t="shared" si="16"/>
        <v>3.0869971936389184E-3</v>
      </c>
    </row>
    <row r="966" spans="2:8">
      <c r="B966" s="55">
        <v>316.98</v>
      </c>
      <c r="C966" s="55">
        <v>329.1</v>
      </c>
      <c r="D966" s="55">
        <v>314.56</v>
      </c>
      <c r="E966" s="55">
        <v>325.83999999999997</v>
      </c>
      <c r="F966" s="55">
        <v>915867</v>
      </c>
      <c r="G966" s="55" t="s">
        <v>989</v>
      </c>
      <c r="H966" s="25">
        <f t="shared" si="16"/>
        <v>-2.7191259513871691E-2</v>
      </c>
    </row>
    <row r="967" spans="2:8">
      <c r="B967" s="55">
        <v>319.26</v>
      </c>
      <c r="C967" s="55">
        <v>322</v>
      </c>
      <c r="D967" s="55">
        <v>313.45</v>
      </c>
      <c r="E967" s="55">
        <v>314</v>
      </c>
      <c r="F967" s="55">
        <v>1146069</v>
      </c>
      <c r="G967" s="55" t="s">
        <v>990</v>
      </c>
      <c r="H967" s="25">
        <f t="shared" si="16"/>
        <v>1.6751592356687883E-2</v>
      </c>
    </row>
    <row r="968" spans="2:8">
      <c r="B968" s="55">
        <v>306.55</v>
      </c>
      <c r="C968" s="55">
        <v>314.5</v>
      </c>
      <c r="D968" s="55">
        <v>303.16000000000003</v>
      </c>
      <c r="E968" s="55">
        <v>314.02</v>
      </c>
      <c r="F968" s="55">
        <v>669778</v>
      </c>
      <c r="G968" s="55" t="s">
        <v>991</v>
      </c>
      <c r="H968" s="25">
        <f t="shared" si="16"/>
        <v>-2.3788293739252175E-2</v>
      </c>
    </row>
    <row r="969" spans="2:8">
      <c r="B969" s="55">
        <v>316.24</v>
      </c>
      <c r="C969" s="55">
        <v>326.5</v>
      </c>
      <c r="D969" s="55">
        <v>315.13</v>
      </c>
      <c r="E969" s="55">
        <v>317.04000000000002</v>
      </c>
      <c r="F969" s="55">
        <v>844676</v>
      </c>
      <c r="G969" s="55" t="s">
        <v>992</v>
      </c>
      <c r="H969" s="25">
        <f t="shared" si="16"/>
        <v>-2.5233409033560417E-3</v>
      </c>
    </row>
    <row r="970" spans="2:8">
      <c r="B970" s="55">
        <v>317.8</v>
      </c>
      <c r="C970" s="55">
        <v>321.42</v>
      </c>
      <c r="D970" s="55">
        <v>308.77</v>
      </c>
      <c r="E970" s="55">
        <v>309.3</v>
      </c>
      <c r="F970" s="55">
        <v>1012727</v>
      </c>
      <c r="G970" s="55" t="s">
        <v>993</v>
      </c>
      <c r="H970" s="25">
        <f t="shared" si="16"/>
        <v>2.7481409634658949E-2</v>
      </c>
    </row>
    <row r="971" spans="2:8">
      <c r="B971" s="55">
        <v>316.39999999999998</v>
      </c>
      <c r="C971" s="55">
        <v>317.57</v>
      </c>
      <c r="D971" s="55">
        <v>313.67</v>
      </c>
      <c r="E971" s="55">
        <v>316.35000000000002</v>
      </c>
      <c r="F971" s="55">
        <v>882230</v>
      </c>
      <c r="G971" s="55" t="s">
        <v>994</v>
      </c>
      <c r="H971" s="25">
        <f t="shared" si="16"/>
        <v>1.5805278963165748E-4</v>
      </c>
    </row>
    <row r="972" spans="2:8">
      <c r="B972" s="55">
        <v>315.38</v>
      </c>
      <c r="C972" s="55">
        <v>316.97000000000003</v>
      </c>
      <c r="D972" s="55">
        <v>308.44</v>
      </c>
      <c r="E972" s="55">
        <v>311</v>
      </c>
      <c r="F972" s="55">
        <v>849741</v>
      </c>
      <c r="G972" s="55" t="s">
        <v>995</v>
      </c>
      <c r="H972" s="25">
        <f t="shared" si="16"/>
        <v>1.4083601286173586E-2</v>
      </c>
    </row>
    <row r="973" spans="2:8">
      <c r="B973" s="55">
        <v>305.7</v>
      </c>
      <c r="C973" s="55">
        <v>310.42</v>
      </c>
      <c r="D973" s="55">
        <v>303.58499999999998</v>
      </c>
      <c r="E973" s="55">
        <v>307.42</v>
      </c>
      <c r="F973" s="55">
        <v>803464</v>
      </c>
      <c r="G973" s="55" t="s">
        <v>996</v>
      </c>
      <c r="H973" s="25">
        <f t="shared" si="16"/>
        <v>-5.5949515321059851E-3</v>
      </c>
    </row>
    <row r="974" spans="2:8">
      <c r="B974" s="55">
        <v>310.01</v>
      </c>
      <c r="C974" s="55">
        <v>314.14999999999998</v>
      </c>
      <c r="D974" s="55">
        <v>305.68</v>
      </c>
      <c r="E974" s="55">
        <v>308.08999999999997</v>
      </c>
      <c r="F974" s="55">
        <v>743700</v>
      </c>
      <c r="G974" s="55" t="s">
        <v>997</v>
      </c>
      <c r="H974" s="25">
        <f t="shared" si="16"/>
        <v>6.2319452108150486E-3</v>
      </c>
    </row>
    <row r="975" spans="2:8">
      <c r="B975" s="55">
        <v>310.51</v>
      </c>
      <c r="C975" s="55">
        <v>310.86</v>
      </c>
      <c r="D975" s="55">
        <v>299.5</v>
      </c>
      <c r="E975" s="55">
        <v>304.38</v>
      </c>
      <c r="F975" s="55">
        <v>1384235</v>
      </c>
      <c r="G975" s="55" t="s">
        <v>998</v>
      </c>
      <c r="H975" s="25">
        <f t="shared" si="16"/>
        <v>2.0139299559760904E-2</v>
      </c>
    </row>
    <row r="976" spans="2:8">
      <c r="B976" s="55">
        <v>303.85000000000002</v>
      </c>
      <c r="C976" s="55">
        <v>305.15699999999998</v>
      </c>
      <c r="D976" s="55">
        <v>293.36</v>
      </c>
      <c r="E976" s="55">
        <v>295.57</v>
      </c>
      <c r="F976" s="55">
        <v>807159</v>
      </c>
      <c r="G976" s="55" t="s">
        <v>999</v>
      </c>
      <c r="H976" s="25">
        <f t="shared" si="16"/>
        <v>2.8013668504922817E-2</v>
      </c>
    </row>
    <row r="977" spans="2:8">
      <c r="B977" s="55">
        <v>295.57</v>
      </c>
      <c r="C977" s="55">
        <v>296.35000000000002</v>
      </c>
      <c r="D977" s="55">
        <v>283.935</v>
      </c>
      <c r="E977" s="55">
        <v>285.55</v>
      </c>
      <c r="F977" s="55">
        <v>1302730</v>
      </c>
      <c r="G977" s="55" t="s">
        <v>1000</v>
      </c>
      <c r="H977" s="25">
        <f t="shared" si="16"/>
        <v>3.5090176851689581E-2</v>
      </c>
    </row>
    <row r="978" spans="2:8">
      <c r="B978" s="55">
        <v>283.41000000000003</v>
      </c>
      <c r="C978" s="55">
        <v>294.52999999999997</v>
      </c>
      <c r="D978" s="55">
        <v>281.57010000000002</v>
      </c>
      <c r="E978" s="55">
        <v>293.75</v>
      </c>
      <c r="F978" s="55">
        <v>1618447</v>
      </c>
      <c r="G978" s="55" t="s">
        <v>1001</v>
      </c>
      <c r="H978" s="25">
        <f t="shared" si="16"/>
        <v>-3.5199999999999898E-2</v>
      </c>
    </row>
    <row r="979" spans="2:8">
      <c r="B979" s="55">
        <v>301.32</v>
      </c>
      <c r="C979" s="55">
        <v>306</v>
      </c>
      <c r="D979" s="55">
        <v>298.82</v>
      </c>
      <c r="E979" s="55">
        <v>306</v>
      </c>
      <c r="F979" s="55">
        <v>512763</v>
      </c>
      <c r="G979" s="55" t="s">
        <v>1002</v>
      </c>
      <c r="H979" s="25">
        <f t="shared" si="16"/>
        <v>-1.5294117647058791E-2</v>
      </c>
    </row>
    <row r="980" spans="2:8">
      <c r="B980" s="55">
        <v>304.5</v>
      </c>
      <c r="C980" s="55">
        <v>312.25</v>
      </c>
      <c r="D980" s="55">
        <v>301.95</v>
      </c>
      <c r="E980" s="55">
        <v>307.5</v>
      </c>
      <c r="F980" s="55">
        <v>808754</v>
      </c>
      <c r="G980" s="55" t="s">
        <v>1003</v>
      </c>
      <c r="H980" s="25">
        <f t="shared" si="16"/>
        <v>-9.7560975609756184E-3</v>
      </c>
    </row>
    <row r="981" spans="2:8">
      <c r="B981" s="55">
        <v>307.36</v>
      </c>
      <c r="C981" s="55">
        <v>308.25</v>
      </c>
      <c r="D981" s="55">
        <v>300.16000000000003</v>
      </c>
      <c r="E981" s="55">
        <v>305.3</v>
      </c>
      <c r="F981" s="55">
        <v>909112</v>
      </c>
      <c r="G981" s="55" t="s">
        <v>1004</v>
      </c>
      <c r="H981" s="25">
        <f t="shared" si="16"/>
        <v>6.7474615132656623E-3</v>
      </c>
    </row>
    <row r="982" spans="2:8">
      <c r="B982" s="55">
        <v>302.79000000000002</v>
      </c>
      <c r="C982" s="55">
        <v>303.77</v>
      </c>
      <c r="D982" s="55">
        <v>294.33999999999997</v>
      </c>
      <c r="E982" s="55">
        <v>295.49</v>
      </c>
      <c r="F982" s="55">
        <v>1001841</v>
      </c>
      <c r="G982" s="55" t="s">
        <v>1005</v>
      </c>
      <c r="H982" s="25">
        <f t="shared" si="16"/>
        <v>2.4704727740363586E-2</v>
      </c>
    </row>
    <row r="983" spans="2:8">
      <c r="B983" s="55">
        <v>296.33999999999997</v>
      </c>
      <c r="C983" s="55">
        <v>296.63</v>
      </c>
      <c r="D983" s="55">
        <v>286.83999999999997</v>
      </c>
      <c r="E983" s="55">
        <v>290.31</v>
      </c>
      <c r="F983" s="55">
        <v>864098</v>
      </c>
      <c r="G983" s="55" t="s">
        <v>1006</v>
      </c>
      <c r="H983" s="25">
        <f t="shared" si="16"/>
        <v>2.0770900072336396E-2</v>
      </c>
    </row>
    <row r="984" spans="2:8">
      <c r="B984" s="55">
        <v>284.64</v>
      </c>
      <c r="C984" s="55">
        <v>293.54000000000002</v>
      </c>
      <c r="D984" s="55">
        <v>283.04199999999997</v>
      </c>
      <c r="E984" s="55">
        <v>291.60000000000002</v>
      </c>
      <c r="F984" s="55">
        <v>700894</v>
      </c>
      <c r="G984" s="55" t="s">
        <v>1007</v>
      </c>
      <c r="H984" s="25">
        <f t="shared" si="16"/>
        <v>-2.3868312757201804E-2</v>
      </c>
    </row>
    <row r="985" spans="2:8">
      <c r="B985" s="55">
        <v>286.41000000000003</v>
      </c>
      <c r="C985" s="55">
        <v>287.63</v>
      </c>
      <c r="D985" s="55">
        <v>280.60000000000002</v>
      </c>
      <c r="E985" s="55">
        <v>280.89</v>
      </c>
      <c r="F985" s="55">
        <v>946049</v>
      </c>
      <c r="G985" s="55" t="s">
        <v>1008</v>
      </c>
      <c r="H985" s="25">
        <f t="shared" si="16"/>
        <v>1.965182099754359E-2</v>
      </c>
    </row>
    <row r="986" spans="2:8">
      <c r="B986" s="55">
        <v>278.99</v>
      </c>
      <c r="C986" s="55">
        <v>280.7</v>
      </c>
      <c r="D986" s="55">
        <v>272.26</v>
      </c>
      <c r="E986" s="55">
        <v>277.35000000000002</v>
      </c>
      <c r="F986" s="55">
        <v>797668</v>
      </c>
      <c r="G986" s="55" t="s">
        <v>1009</v>
      </c>
      <c r="H986" s="25">
        <f t="shared" si="16"/>
        <v>5.9131061835224763E-3</v>
      </c>
    </row>
    <row r="987" spans="2:8">
      <c r="B987" s="55">
        <v>280.97000000000003</v>
      </c>
      <c r="C987" s="55">
        <v>283</v>
      </c>
      <c r="D987" s="55">
        <v>271.05</v>
      </c>
      <c r="E987" s="55">
        <v>272.89</v>
      </c>
      <c r="F987" s="55">
        <v>797327</v>
      </c>
      <c r="G987" s="55" t="s">
        <v>1010</v>
      </c>
      <c r="H987" s="25">
        <f t="shared" si="16"/>
        <v>2.9608999963355309E-2</v>
      </c>
    </row>
    <row r="988" spans="2:8">
      <c r="B988" s="55">
        <v>279.39</v>
      </c>
      <c r="C988" s="55">
        <v>289</v>
      </c>
      <c r="D988" s="55">
        <v>277.05</v>
      </c>
      <c r="E988" s="55">
        <v>282.81</v>
      </c>
      <c r="F988" s="55">
        <v>776802</v>
      </c>
      <c r="G988" s="55" t="s">
        <v>1011</v>
      </c>
      <c r="H988" s="25">
        <f t="shared" si="16"/>
        <v>-1.2092924578338882E-2</v>
      </c>
    </row>
    <row r="989" spans="2:8">
      <c r="B989" s="55">
        <v>281.76</v>
      </c>
      <c r="C989" s="55">
        <v>287.2</v>
      </c>
      <c r="D989" s="55">
        <v>277.10000000000002</v>
      </c>
      <c r="E989" s="55">
        <v>281</v>
      </c>
      <c r="F989" s="55">
        <v>1230527</v>
      </c>
      <c r="G989" s="55" t="s">
        <v>1012</v>
      </c>
      <c r="H989" s="25">
        <f t="shared" si="16"/>
        <v>2.704626334519622E-3</v>
      </c>
    </row>
    <row r="990" spans="2:8">
      <c r="B990" s="55">
        <v>293.39</v>
      </c>
      <c r="C990" s="55">
        <v>295.48500000000001</v>
      </c>
      <c r="D990" s="55">
        <v>285.14999999999998</v>
      </c>
      <c r="E990" s="55">
        <v>288.91000000000003</v>
      </c>
      <c r="F990" s="55">
        <v>892715</v>
      </c>
      <c r="G990" s="55" t="s">
        <v>1013</v>
      </c>
      <c r="H990" s="25">
        <f t="shared" si="16"/>
        <v>1.5506559136063025E-2</v>
      </c>
    </row>
    <row r="991" spans="2:8">
      <c r="B991" s="55">
        <v>290.72000000000003</v>
      </c>
      <c r="C991" s="55">
        <v>291.87</v>
      </c>
      <c r="D991" s="55">
        <v>278.23</v>
      </c>
      <c r="E991" s="55">
        <v>280.33</v>
      </c>
      <c r="F991" s="55">
        <v>931654</v>
      </c>
      <c r="G991" s="55" t="s">
        <v>1014</v>
      </c>
      <c r="H991" s="25">
        <f t="shared" si="16"/>
        <v>3.706346092105739E-2</v>
      </c>
    </row>
    <row r="992" spans="2:8">
      <c r="B992" s="55">
        <v>280.38</v>
      </c>
      <c r="C992" s="55">
        <v>288.89999999999998</v>
      </c>
      <c r="D992" s="55">
        <v>275.76</v>
      </c>
      <c r="E992" s="55">
        <v>284.32</v>
      </c>
      <c r="F992" s="55">
        <v>956741</v>
      </c>
      <c r="G992" s="55" t="s">
        <v>1015</v>
      </c>
      <c r="H992" s="25">
        <f t="shared" si="16"/>
        <v>-1.3857625211029845E-2</v>
      </c>
    </row>
    <row r="993" spans="2:8">
      <c r="B993" s="55">
        <v>283.62</v>
      </c>
      <c r="C993" s="55">
        <v>283.83999999999997</v>
      </c>
      <c r="D993" s="55">
        <v>258.79000000000002</v>
      </c>
      <c r="E993" s="55">
        <v>263.17</v>
      </c>
      <c r="F993" s="55">
        <v>2415716</v>
      </c>
      <c r="G993" s="55" t="s">
        <v>1016</v>
      </c>
      <c r="H993" s="25">
        <f t="shared" si="16"/>
        <v>7.7706425504426857E-2</v>
      </c>
    </row>
    <row r="994" spans="2:8">
      <c r="B994" s="55">
        <v>263.38</v>
      </c>
      <c r="C994" s="55">
        <v>271.08</v>
      </c>
      <c r="D994" s="55">
        <v>261.02999999999997</v>
      </c>
      <c r="E994" s="55">
        <v>269.13499999999999</v>
      </c>
      <c r="F994" s="55">
        <v>1867969</v>
      </c>
      <c r="G994" s="55" t="s">
        <v>1017</v>
      </c>
      <c r="H994" s="25">
        <f t="shared" si="16"/>
        <v>-2.1383320638341363E-2</v>
      </c>
    </row>
    <row r="995" spans="2:8">
      <c r="B995" s="55">
        <v>272.61</v>
      </c>
      <c r="C995" s="55">
        <v>279.83</v>
      </c>
      <c r="D995" s="55">
        <v>271</v>
      </c>
      <c r="E995" s="55">
        <v>277.49</v>
      </c>
      <c r="F995" s="55">
        <v>1248185</v>
      </c>
      <c r="G995" s="55" t="s">
        <v>1018</v>
      </c>
      <c r="H995" s="25">
        <f t="shared" si="16"/>
        <v>-1.7586219323218799E-2</v>
      </c>
    </row>
    <row r="996" spans="2:8">
      <c r="B996" s="55">
        <v>282.98</v>
      </c>
      <c r="C996" s="55">
        <v>286.45999999999998</v>
      </c>
      <c r="D996" s="55">
        <v>276.52999999999997</v>
      </c>
      <c r="E996" s="55">
        <v>280.45999999999998</v>
      </c>
      <c r="F996" s="55">
        <v>819637</v>
      </c>
      <c r="G996" s="55" t="s">
        <v>1019</v>
      </c>
      <c r="H996" s="25">
        <f t="shared" si="16"/>
        <v>8.9852385366897547E-3</v>
      </c>
    </row>
    <row r="997" spans="2:8">
      <c r="B997" s="55">
        <v>278.56</v>
      </c>
      <c r="C997" s="55">
        <v>294.06</v>
      </c>
      <c r="D997" s="55">
        <v>278.16000000000003</v>
      </c>
      <c r="E997" s="55">
        <v>288.37</v>
      </c>
      <c r="F997" s="55">
        <v>940251</v>
      </c>
      <c r="G997" s="55" t="s">
        <v>1020</v>
      </c>
      <c r="H997" s="25">
        <f t="shared" si="16"/>
        <v>-3.4018795297707793E-2</v>
      </c>
    </row>
    <row r="998" spans="2:8">
      <c r="B998" s="55">
        <v>287.48</v>
      </c>
      <c r="C998" s="55">
        <v>297.06</v>
      </c>
      <c r="D998" s="55">
        <v>284.23</v>
      </c>
      <c r="E998" s="55">
        <v>295.12</v>
      </c>
      <c r="F998" s="55">
        <v>1010814</v>
      </c>
      <c r="G998" s="55" t="s">
        <v>1021</v>
      </c>
      <c r="H998" s="25">
        <f t="shared" si="16"/>
        <v>-2.5887774464624536E-2</v>
      </c>
    </row>
    <row r="999" spans="2:8">
      <c r="B999" s="55">
        <v>293.36</v>
      </c>
      <c r="C999" s="55">
        <v>295.70999999999998</v>
      </c>
      <c r="D999" s="55">
        <v>288.47000000000003</v>
      </c>
      <c r="E999" s="55">
        <v>289.92</v>
      </c>
      <c r="F999" s="55">
        <v>1443307</v>
      </c>
      <c r="G999" s="55" t="s">
        <v>1022</v>
      </c>
      <c r="H999" s="25">
        <f t="shared" si="16"/>
        <v>1.1865342163355441E-2</v>
      </c>
    </row>
    <row r="1000" spans="2:8">
      <c r="B1000" s="55">
        <v>286.33</v>
      </c>
      <c r="C1000" s="55">
        <v>288.41000000000003</v>
      </c>
      <c r="D1000" s="55">
        <v>278</v>
      </c>
      <c r="E1000" s="55">
        <v>282.14</v>
      </c>
      <c r="F1000" s="55">
        <v>972203</v>
      </c>
      <c r="G1000" s="55" t="s">
        <v>1023</v>
      </c>
      <c r="H1000" s="25">
        <f t="shared" si="16"/>
        <v>1.4850783299071413E-2</v>
      </c>
    </row>
    <row r="1001" spans="2:8">
      <c r="B1001" s="55">
        <v>277.88</v>
      </c>
      <c r="C1001" s="55">
        <v>280.58999999999997</v>
      </c>
      <c r="D1001" s="55">
        <v>271.35000000000002</v>
      </c>
      <c r="E1001" s="55">
        <v>274.12</v>
      </c>
      <c r="F1001" s="55">
        <v>979716</v>
      </c>
      <c r="G1001" s="55" t="s">
        <v>1024</v>
      </c>
      <c r="H1001" s="25">
        <f t="shared" si="16"/>
        <v>1.3716620458193551E-2</v>
      </c>
    </row>
    <row r="1002" spans="2:8">
      <c r="B1002" s="55">
        <v>276.45</v>
      </c>
      <c r="C1002" s="55">
        <v>284.5</v>
      </c>
      <c r="D1002" s="55">
        <v>275.88499999999999</v>
      </c>
      <c r="E1002" s="55">
        <v>282.89</v>
      </c>
      <c r="F1002" s="55">
        <v>1128691</v>
      </c>
      <c r="G1002" s="55" t="s">
        <v>1025</v>
      </c>
      <c r="H1002" s="25">
        <f t="shared" si="16"/>
        <v>-2.2765032344727598E-2</v>
      </c>
    </row>
    <row r="1003" spans="2:8">
      <c r="B1003" s="55">
        <v>278.13</v>
      </c>
      <c r="C1003" s="55">
        <v>281.23</v>
      </c>
      <c r="D1003" s="55">
        <v>271.14999999999998</v>
      </c>
      <c r="E1003" s="55">
        <v>271.27</v>
      </c>
      <c r="F1003" s="55">
        <v>1384057</v>
      </c>
      <c r="G1003" s="55" t="s">
        <v>1026</v>
      </c>
      <c r="H1003" s="25">
        <f t="shared" si="16"/>
        <v>2.5288457993880797E-2</v>
      </c>
    </row>
    <row r="1004" spans="2:8">
      <c r="B1004" s="55">
        <v>271.33999999999997</v>
      </c>
      <c r="C1004" s="55">
        <v>278.37</v>
      </c>
      <c r="D1004" s="55">
        <v>267.77999999999997</v>
      </c>
      <c r="E1004" s="55">
        <v>278.37</v>
      </c>
      <c r="F1004" s="55">
        <v>1269867</v>
      </c>
      <c r="G1004" s="55" t="s">
        <v>1027</v>
      </c>
      <c r="H1004" s="25">
        <f t="shared" si="16"/>
        <v>-2.5254158134856541E-2</v>
      </c>
    </row>
    <row r="1005" spans="2:8">
      <c r="B1005" s="55">
        <v>285.72000000000003</v>
      </c>
      <c r="C1005" s="55">
        <v>290.12</v>
      </c>
      <c r="D1005" s="55">
        <v>279.75459999999998</v>
      </c>
      <c r="E1005" s="55">
        <v>283.20999999999998</v>
      </c>
      <c r="F1005" s="55">
        <v>955433</v>
      </c>
      <c r="G1005" s="55" t="s">
        <v>1028</v>
      </c>
      <c r="H1005" s="25">
        <f t="shared" si="16"/>
        <v>8.8626814024930223E-3</v>
      </c>
    </row>
    <row r="1006" spans="2:8">
      <c r="B1006" s="55">
        <v>280.5</v>
      </c>
      <c r="C1006" s="55">
        <v>284.62</v>
      </c>
      <c r="D1006" s="55">
        <v>276.57499999999999</v>
      </c>
      <c r="E1006" s="55">
        <v>280.44</v>
      </c>
      <c r="F1006" s="55">
        <v>931040</v>
      </c>
      <c r="G1006" s="55" t="s">
        <v>1029</v>
      </c>
      <c r="H1006" s="25">
        <f t="shared" si="16"/>
        <v>2.1394950791608913E-4</v>
      </c>
    </row>
    <row r="1007" spans="2:8">
      <c r="B1007" s="55">
        <v>278.58</v>
      </c>
      <c r="C1007" s="55">
        <v>282.36500000000001</v>
      </c>
      <c r="D1007" s="55">
        <v>273.34010000000001</v>
      </c>
      <c r="E1007" s="55">
        <v>280.42</v>
      </c>
      <c r="F1007" s="55">
        <v>1750159</v>
      </c>
      <c r="G1007" s="55" t="s">
        <v>1030</v>
      </c>
      <c r="H1007" s="25">
        <f t="shared" si="16"/>
        <v>-6.5615861921404228E-3</v>
      </c>
    </row>
    <row r="1008" spans="2:8">
      <c r="B1008" s="55">
        <v>291.60000000000002</v>
      </c>
      <c r="C1008" s="55">
        <v>297.5</v>
      </c>
      <c r="D1008" s="55">
        <v>290.065</v>
      </c>
      <c r="E1008" s="55">
        <v>294.58</v>
      </c>
      <c r="F1008" s="55">
        <v>1184968</v>
      </c>
      <c r="G1008" s="55" t="s">
        <v>1031</v>
      </c>
      <c r="H1008" s="25">
        <f t="shared" si="16"/>
        <v>-1.0116097494738185E-2</v>
      </c>
    </row>
    <row r="1009" spans="2:8">
      <c r="B1009" s="55">
        <v>302.3</v>
      </c>
      <c r="C1009" s="55">
        <v>309.44</v>
      </c>
      <c r="D1009" s="55">
        <v>302.13</v>
      </c>
      <c r="E1009" s="55">
        <v>303.81</v>
      </c>
      <c r="F1009" s="55">
        <v>866954</v>
      </c>
      <c r="G1009" s="55" t="s">
        <v>1032</v>
      </c>
      <c r="H1009" s="25">
        <f t="shared" si="16"/>
        <v>-4.9702116454363177E-3</v>
      </c>
    </row>
    <row r="1010" spans="2:8">
      <c r="B1010" s="55">
        <v>307.77</v>
      </c>
      <c r="C1010" s="55">
        <v>312.899</v>
      </c>
      <c r="D1010" s="55">
        <v>304.3175</v>
      </c>
      <c r="E1010" s="55">
        <v>306.55</v>
      </c>
      <c r="F1010" s="55">
        <v>954236</v>
      </c>
      <c r="G1010" s="55" t="s">
        <v>1033</v>
      </c>
      <c r="H1010" s="25">
        <f t="shared" si="16"/>
        <v>3.979774914369516E-3</v>
      </c>
    </row>
    <row r="1011" spans="2:8">
      <c r="B1011" s="55">
        <v>306.19</v>
      </c>
      <c r="C1011" s="55">
        <v>307.86</v>
      </c>
      <c r="D1011" s="55">
        <v>294.68</v>
      </c>
      <c r="E1011" s="55">
        <v>295</v>
      </c>
      <c r="F1011" s="55">
        <v>1285482</v>
      </c>
      <c r="G1011" s="55" t="s">
        <v>1034</v>
      </c>
      <c r="H1011" s="25">
        <f t="shared" si="16"/>
        <v>3.793220338983061E-2</v>
      </c>
    </row>
    <row r="1012" spans="2:8">
      <c r="B1012" s="55">
        <v>301.62</v>
      </c>
      <c r="C1012" s="55">
        <v>308.41500000000002</v>
      </c>
      <c r="D1012" s="55">
        <v>296.60000000000002</v>
      </c>
      <c r="E1012" s="55">
        <v>305</v>
      </c>
      <c r="F1012" s="55">
        <v>1851087</v>
      </c>
      <c r="G1012" s="55" t="s">
        <v>1035</v>
      </c>
      <c r="H1012" s="25">
        <f t="shared" si="16"/>
        <v>-1.1081967213114718E-2</v>
      </c>
    </row>
    <row r="1013" spans="2:8">
      <c r="B1013" s="55">
        <v>300.8</v>
      </c>
      <c r="C1013" s="55">
        <v>305.81</v>
      </c>
      <c r="D1013" s="55">
        <v>293.57</v>
      </c>
      <c r="E1013" s="55">
        <v>303.45</v>
      </c>
      <c r="F1013" s="55">
        <v>3997285</v>
      </c>
      <c r="G1013" s="55" t="s">
        <v>1036</v>
      </c>
      <c r="H1013" s="25">
        <f t="shared" si="16"/>
        <v>-8.7329049266764436E-3</v>
      </c>
    </row>
    <row r="1014" spans="2:8">
      <c r="B1014" s="55">
        <v>302.58</v>
      </c>
      <c r="C1014" s="55">
        <v>303.24</v>
      </c>
      <c r="D1014" s="55">
        <v>286.7</v>
      </c>
      <c r="E1014" s="55">
        <v>290.55</v>
      </c>
      <c r="F1014" s="55">
        <v>4300711</v>
      </c>
      <c r="G1014" s="55" t="s">
        <v>1037</v>
      </c>
      <c r="H1014" s="25">
        <f t="shared" si="16"/>
        <v>4.1404233350541997E-2</v>
      </c>
    </row>
    <row r="1015" spans="2:8">
      <c r="B1015" s="55">
        <v>289.95999999999998</v>
      </c>
      <c r="C1015" s="55">
        <v>299.7</v>
      </c>
      <c r="D1015" s="55">
        <v>286.86500000000001</v>
      </c>
      <c r="E1015" s="55">
        <v>297.85000000000002</v>
      </c>
      <c r="F1015" s="55">
        <v>2197035</v>
      </c>
      <c r="G1015" s="55" t="s">
        <v>1038</v>
      </c>
      <c r="H1015" s="25">
        <f t="shared" si="16"/>
        <v>-2.6489843881148389E-2</v>
      </c>
    </row>
    <row r="1016" spans="2:8">
      <c r="B1016" s="55">
        <v>292.69</v>
      </c>
      <c r="C1016" s="55">
        <v>298.19</v>
      </c>
      <c r="D1016" s="55">
        <v>289.02999999999997</v>
      </c>
      <c r="E1016" s="55">
        <v>296.36</v>
      </c>
      <c r="F1016" s="55">
        <v>2957985</v>
      </c>
      <c r="G1016" s="55" t="s">
        <v>1039</v>
      </c>
      <c r="H1016" s="25">
        <f t="shared" si="16"/>
        <v>-1.2383587528681406E-2</v>
      </c>
    </row>
    <row r="1017" spans="2:8">
      <c r="B1017" s="55">
        <v>293.64999999999998</v>
      </c>
      <c r="C1017" s="55">
        <v>297.56</v>
      </c>
      <c r="D1017" s="55">
        <v>288.82</v>
      </c>
      <c r="E1017" s="55">
        <v>288.82</v>
      </c>
      <c r="F1017" s="55">
        <v>1852627</v>
      </c>
      <c r="G1017" s="55" t="s">
        <v>1040</v>
      </c>
      <c r="H1017" s="25">
        <f t="shared" si="16"/>
        <v>1.6723218613669433E-2</v>
      </c>
    </row>
    <row r="1018" spans="2:8">
      <c r="B1018" s="55">
        <v>287.48</v>
      </c>
      <c r="C1018" s="55">
        <v>289.47000000000003</v>
      </c>
      <c r="D1018" s="55">
        <v>275.49</v>
      </c>
      <c r="E1018" s="55">
        <v>276.43</v>
      </c>
      <c r="F1018" s="55">
        <v>2340016</v>
      </c>
      <c r="G1018" s="55" t="s">
        <v>1041</v>
      </c>
      <c r="H1018" s="25">
        <f t="shared" si="16"/>
        <v>3.9973953622978842E-2</v>
      </c>
    </row>
    <row r="1019" spans="2:8">
      <c r="B1019" s="55">
        <v>260.66000000000003</v>
      </c>
      <c r="C1019" s="55">
        <v>264.60000000000002</v>
      </c>
      <c r="D1019" s="55">
        <v>251.51</v>
      </c>
      <c r="E1019" s="55">
        <v>254.88</v>
      </c>
      <c r="F1019" s="55">
        <v>2576361</v>
      </c>
      <c r="G1019" s="55" t="s">
        <v>1042</v>
      </c>
      <c r="H1019" s="25">
        <f t="shared" ref="H1019:H1082" si="17">B1019/E1019-1</f>
        <v>2.2677338355304499E-2</v>
      </c>
    </row>
    <row r="1020" spans="2:8">
      <c r="B1020" s="55">
        <v>257.51</v>
      </c>
      <c r="C1020" s="55">
        <v>267.17</v>
      </c>
      <c r="D1020" s="55">
        <v>253.071</v>
      </c>
      <c r="E1020" s="55">
        <v>266.39999999999998</v>
      </c>
      <c r="F1020" s="55">
        <v>1861465</v>
      </c>
      <c r="G1020" s="55" t="s">
        <v>1043</v>
      </c>
      <c r="H1020" s="25">
        <f t="shared" si="17"/>
        <v>-3.3370870870870872E-2</v>
      </c>
    </row>
    <row r="1021" spans="2:8">
      <c r="B1021" s="55">
        <v>272.83999999999997</v>
      </c>
      <c r="C1021" s="55">
        <v>273.36</v>
      </c>
      <c r="D1021" s="55">
        <v>265.52999999999997</v>
      </c>
      <c r="E1021" s="55">
        <v>269.92</v>
      </c>
      <c r="F1021" s="55">
        <v>1312057</v>
      </c>
      <c r="G1021" s="55" t="s">
        <v>1044</v>
      </c>
      <c r="H1021" s="25">
        <f t="shared" si="17"/>
        <v>1.0818020154119479E-2</v>
      </c>
    </row>
    <row r="1022" spans="2:8">
      <c r="B1022" s="55">
        <v>274.04000000000002</v>
      </c>
      <c r="C1022" s="55">
        <v>280.86</v>
      </c>
      <c r="D1022" s="55">
        <v>263.2</v>
      </c>
      <c r="E1022" s="55">
        <v>279.89</v>
      </c>
      <c r="F1022" s="55">
        <v>1846694</v>
      </c>
      <c r="G1022" s="55" t="s">
        <v>1045</v>
      </c>
      <c r="H1022" s="25">
        <f t="shared" si="17"/>
        <v>-2.0901068276822921E-2</v>
      </c>
    </row>
    <row r="1023" spans="2:8">
      <c r="B1023" s="55">
        <v>271.22000000000003</v>
      </c>
      <c r="C1023" s="55">
        <v>278.71499999999997</v>
      </c>
      <c r="D1023" s="55">
        <v>264.24</v>
      </c>
      <c r="E1023" s="55">
        <v>267.7</v>
      </c>
      <c r="F1023" s="55">
        <v>1971069</v>
      </c>
      <c r="G1023" s="55" t="s">
        <v>1046</v>
      </c>
      <c r="H1023" s="25">
        <f t="shared" si="17"/>
        <v>1.3149047441165518E-2</v>
      </c>
    </row>
    <row r="1024" spans="2:8">
      <c r="B1024" s="55">
        <v>272.52</v>
      </c>
      <c r="C1024" s="55">
        <v>296.01</v>
      </c>
      <c r="D1024" s="55">
        <v>268.36</v>
      </c>
      <c r="E1024" s="55">
        <v>296</v>
      </c>
      <c r="F1024" s="55">
        <v>2832103</v>
      </c>
      <c r="G1024" s="55" t="s">
        <v>1047</v>
      </c>
      <c r="H1024" s="25">
        <f t="shared" si="17"/>
        <v>-7.9324324324324347E-2</v>
      </c>
    </row>
    <row r="1025" spans="2:8">
      <c r="B1025" s="55">
        <v>305.48</v>
      </c>
      <c r="C1025" s="55">
        <v>316.49</v>
      </c>
      <c r="D1025" s="55">
        <v>300.77</v>
      </c>
      <c r="E1025" s="55">
        <v>314.88</v>
      </c>
      <c r="F1025" s="55">
        <v>1223550</v>
      </c>
      <c r="G1025" s="55" t="s">
        <v>1048</v>
      </c>
      <c r="H1025" s="25">
        <f t="shared" si="17"/>
        <v>-2.9852642276422703E-2</v>
      </c>
    </row>
    <row r="1026" spans="2:8">
      <c r="B1026" s="55">
        <v>304.14999999999998</v>
      </c>
      <c r="C1026" s="55">
        <v>308.66000000000003</v>
      </c>
      <c r="D1026" s="55">
        <v>300.52999999999997</v>
      </c>
      <c r="E1026" s="55">
        <v>302.11</v>
      </c>
      <c r="F1026" s="55">
        <v>758613</v>
      </c>
      <c r="G1026" s="55" t="s">
        <v>1049</v>
      </c>
      <c r="H1026" s="25">
        <f t="shared" si="17"/>
        <v>6.7525073648668776E-3</v>
      </c>
    </row>
    <row r="1027" spans="2:8">
      <c r="B1027" s="55">
        <v>309.29000000000002</v>
      </c>
      <c r="C1027" s="55">
        <v>312.58</v>
      </c>
      <c r="D1027" s="55">
        <v>301.35500000000002</v>
      </c>
      <c r="E1027" s="55">
        <v>303.13</v>
      </c>
      <c r="F1027" s="55">
        <v>1076685</v>
      </c>
      <c r="G1027" s="55" t="s">
        <v>1050</v>
      </c>
      <c r="H1027" s="25">
        <f t="shared" si="17"/>
        <v>2.0321314287599535E-2</v>
      </c>
    </row>
    <row r="1028" spans="2:8">
      <c r="B1028" s="55">
        <v>294</v>
      </c>
      <c r="C1028" s="55">
        <v>302.79000000000002</v>
      </c>
      <c r="D1028" s="55">
        <v>281.55</v>
      </c>
      <c r="E1028" s="55">
        <v>285</v>
      </c>
      <c r="F1028" s="55">
        <v>1480302</v>
      </c>
      <c r="G1028" s="55" t="s">
        <v>1051</v>
      </c>
      <c r="H1028" s="25">
        <f t="shared" si="17"/>
        <v>3.1578947368421151E-2</v>
      </c>
    </row>
    <row r="1029" spans="2:8">
      <c r="B1029" s="55">
        <v>291.3</v>
      </c>
      <c r="C1029" s="55">
        <v>306.54000000000002</v>
      </c>
      <c r="D1029" s="55">
        <v>290.77999999999997</v>
      </c>
      <c r="E1029" s="55">
        <v>302.11</v>
      </c>
      <c r="F1029" s="55">
        <v>1456461</v>
      </c>
      <c r="G1029" s="55" t="s">
        <v>1052</v>
      </c>
      <c r="H1029" s="25">
        <f t="shared" si="17"/>
        <v>-3.5781668928535959E-2</v>
      </c>
    </row>
    <row r="1030" spans="2:8">
      <c r="B1030" s="55">
        <v>302.11</v>
      </c>
      <c r="C1030" s="55">
        <v>307.83999999999997</v>
      </c>
      <c r="D1030" s="55">
        <v>288.72000000000003</v>
      </c>
      <c r="E1030" s="55">
        <v>301.42</v>
      </c>
      <c r="F1030" s="55">
        <v>1402109</v>
      </c>
      <c r="G1030" s="55" t="s">
        <v>1053</v>
      </c>
      <c r="H1030" s="25">
        <f t="shared" si="17"/>
        <v>2.2891646207949812E-3</v>
      </c>
    </row>
    <row r="1031" spans="2:8">
      <c r="B1031" s="55">
        <v>292.68</v>
      </c>
      <c r="C1031" s="55">
        <v>313</v>
      </c>
      <c r="D1031" s="55">
        <v>291</v>
      </c>
      <c r="E1031" s="55">
        <v>308.79000000000002</v>
      </c>
      <c r="F1031" s="55">
        <v>2201308</v>
      </c>
      <c r="G1031" s="55" t="s">
        <v>1054</v>
      </c>
      <c r="H1031" s="25">
        <f t="shared" si="17"/>
        <v>-5.2171378606820196E-2</v>
      </c>
    </row>
    <row r="1032" spans="2:8">
      <c r="B1032" s="55">
        <v>317.05</v>
      </c>
      <c r="C1032" s="55">
        <v>336.75</v>
      </c>
      <c r="D1032" s="55">
        <v>309.52999999999997</v>
      </c>
      <c r="E1032" s="55">
        <v>336.26</v>
      </c>
      <c r="F1032" s="55">
        <v>2650823</v>
      </c>
      <c r="G1032" s="55" t="s">
        <v>1055</v>
      </c>
      <c r="H1032" s="25">
        <f t="shared" si="17"/>
        <v>-5.7128412537917006E-2</v>
      </c>
    </row>
    <row r="1033" spans="2:8">
      <c r="B1033" s="55">
        <v>343.6</v>
      </c>
      <c r="C1033" s="55">
        <v>360.94</v>
      </c>
      <c r="D1033" s="55">
        <v>338.33</v>
      </c>
      <c r="E1033" s="55">
        <v>359.97</v>
      </c>
      <c r="F1033" s="55">
        <v>1180986</v>
      </c>
      <c r="G1033" s="55" t="s">
        <v>1056</v>
      </c>
      <c r="H1033" s="25">
        <f t="shared" si="17"/>
        <v>-4.5476011889879708E-2</v>
      </c>
    </row>
    <row r="1034" spans="2:8">
      <c r="B1034" s="55">
        <v>364.67</v>
      </c>
      <c r="C1034" s="55">
        <v>365.32</v>
      </c>
      <c r="D1034" s="55">
        <v>345.17</v>
      </c>
      <c r="E1034" s="55">
        <v>352.78</v>
      </c>
      <c r="F1034" s="55">
        <v>962041</v>
      </c>
      <c r="G1034" s="55" t="s">
        <v>1057</v>
      </c>
      <c r="H1034" s="25">
        <f t="shared" si="17"/>
        <v>3.3703724700946847E-2</v>
      </c>
    </row>
    <row r="1035" spans="2:8">
      <c r="B1035" s="55">
        <v>355.7</v>
      </c>
      <c r="C1035" s="55">
        <v>361.45</v>
      </c>
      <c r="D1035" s="55">
        <v>353.12</v>
      </c>
      <c r="E1035" s="55">
        <v>360.02</v>
      </c>
      <c r="F1035" s="55">
        <v>738881</v>
      </c>
      <c r="G1035" s="55" t="s">
        <v>1058</v>
      </c>
      <c r="H1035" s="25">
        <f t="shared" si="17"/>
        <v>-1.1999333370368293E-2</v>
      </c>
    </row>
    <row r="1036" spans="2:8">
      <c r="B1036" s="55">
        <v>360.84</v>
      </c>
      <c r="C1036" s="55">
        <v>361.44</v>
      </c>
      <c r="D1036" s="55">
        <v>349.63</v>
      </c>
      <c r="E1036" s="55">
        <v>354</v>
      </c>
      <c r="F1036" s="55">
        <v>794280</v>
      </c>
      <c r="G1036" s="55" t="s">
        <v>1059</v>
      </c>
      <c r="H1036" s="25">
        <f t="shared" si="17"/>
        <v>1.9322033898305113E-2</v>
      </c>
    </row>
    <row r="1037" spans="2:8">
      <c r="B1037" s="55">
        <v>354.63</v>
      </c>
      <c r="C1037" s="55">
        <v>371.36</v>
      </c>
      <c r="D1037" s="55">
        <v>353.93</v>
      </c>
      <c r="E1037" s="55">
        <v>364.02</v>
      </c>
      <c r="F1037" s="55">
        <v>996937</v>
      </c>
      <c r="G1037" s="55" t="s">
        <v>1060</v>
      </c>
      <c r="H1037" s="25">
        <f t="shared" si="17"/>
        <v>-2.5795285973298165E-2</v>
      </c>
    </row>
    <row r="1038" spans="2:8">
      <c r="B1038" s="55">
        <v>362.43</v>
      </c>
      <c r="C1038" s="55">
        <v>367.32</v>
      </c>
      <c r="D1038" s="55">
        <v>352.08499999999998</v>
      </c>
      <c r="E1038" s="55">
        <v>359.35</v>
      </c>
      <c r="F1038" s="55">
        <v>1012887</v>
      </c>
      <c r="G1038" s="55" t="s">
        <v>1061</v>
      </c>
      <c r="H1038" s="25">
        <f t="shared" si="17"/>
        <v>8.5710310282454127E-3</v>
      </c>
    </row>
    <row r="1039" spans="2:8">
      <c r="B1039" s="55">
        <v>354.02</v>
      </c>
      <c r="C1039" s="55">
        <v>361.98</v>
      </c>
      <c r="D1039" s="55">
        <v>350.05</v>
      </c>
      <c r="E1039" s="55">
        <v>352.54</v>
      </c>
      <c r="F1039" s="55">
        <v>1124321</v>
      </c>
      <c r="G1039" s="55" t="s">
        <v>1062</v>
      </c>
      <c r="H1039" s="25">
        <f t="shared" si="17"/>
        <v>4.1981051795538793E-3</v>
      </c>
    </row>
    <row r="1040" spans="2:8">
      <c r="B1040" s="55">
        <v>352.53</v>
      </c>
      <c r="C1040" s="55">
        <v>366.79</v>
      </c>
      <c r="D1040" s="55">
        <v>352.44</v>
      </c>
      <c r="E1040" s="55">
        <v>364.24</v>
      </c>
      <c r="F1040" s="55">
        <v>1336559</v>
      </c>
      <c r="G1040" s="55" t="s">
        <v>1063</v>
      </c>
      <c r="H1040" s="25">
        <f t="shared" si="17"/>
        <v>-3.2149132440149497E-2</v>
      </c>
    </row>
    <row r="1041" spans="2:8">
      <c r="B1041" s="55">
        <v>368.09</v>
      </c>
      <c r="C1041" s="55">
        <v>368.47</v>
      </c>
      <c r="D1041" s="55">
        <v>356.51</v>
      </c>
      <c r="E1041" s="55">
        <v>361.6</v>
      </c>
      <c r="F1041" s="55">
        <v>1350750</v>
      </c>
      <c r="G1041" s="55" t="s">
        <v>1064</v>
      </c>
      <c r="H1041" s="25">
        <f t="shared" si="17"/>
        <v>1.7948008849557384E-2</v>
      </c>
    </row>
    <row r="1042" spans="2:8">
      <c r="B1042" s="55">
        <v>363.66</v>
      </c>
      <c r="C1042" s="55">
        <v>376.51</v>
      </c>
      <c r="D1042" s="55">
        <v>362.66</v>
      </c>
      <c r="E1042" s="55">
        <v>373.73</v>
      </c>
      <c r="F1042" s="55">
        <v>1640034</v>
      </c>
      <c r="G1042" s="55" t="s">
        <v>1065</v>
      </c>
      <c r="H1042" s="25">
        <f t="shared" si="17"/>
        <v>-2.6944585663446818E-2</v>
      </c>
    </row>
    <row r="1043" spans="2:8">
      <c r="B1043" s="55">
        <v>377.25</v>
      </c>
      <c r="C1043" s="55">
        <v>392</v>
      </c>
      <c r="D1043" s="55">
        <v>375.01</v>
      </c>
      <c r="E1043" s="55">
        <v>388.49</v>
      </c>
      <c r="F1043" s="55">
        <v>1747668</v>
      </c>
      <c r="G1043" s="55" t="s">
        <v>1066</v>
      </c>
      <c r="H1043" s="25">
        <f t="shared" si="17"/>
        <v>-2.8932533655949944E-2</v>
      </c>
    </row>
    <row r="1044" spans="2:8">
      <c r="B1044" s="55">
        <v>385.4</v>
      </c>
      <c r="C1044" s="55">
        <v>410.7</v>
      </c>
      <c r="D1044" s="55">
        <v>384.87</v>
      </c>
      <c r="E1044" s="55">
        <v>410.32</v>
      </c>
      <c r="F1044" s="55">
        <v>2287252</v>
      </c>
      <c r="G1044" s="55" t="s">
        <v>1067</v>
      </c>
      <c r="H1044" s="25">
        <f t="shared" si="17"/>
        <v>-6.0733086371612455E-2</v>
      </c>
    </row>
    <row r="1045" spans="2:8">
      <c r="B1045" s="55">
        <v>404.66</v>
      </c>
      <c r="C1045" s="55">
        <v>408.49029999999999</v>
      </c>
      <c r="D1045" s="55">
        <v>394.47</v>
      </c>
      <c r="E1045" s="55">
        <v>395.88</v>
      </c>
      <c r="F1045" s="55">
        <v>1951352</v>
      </c>
      <c r="G1045" s="55" t="s">
        <v>1068</v>
      </c>
      <c r="H1045" s="25">
        <f t="shared" si="17"/>
        <v>2.2178437910477911E-2</v>
      </c>
    </row>
    <row r="1046" spans="2:8">
      <c r="B1046" s="55">
        <v>387.56</v>
      </c>
      <c r="C1046" s="55">
        <v>393.63499999999999</v>
      </c>
      <c r="D1046" s="55">
        <v>382.42059999999998</v>
      </c>
      <c r="E1046" s="55">
        <v>389.35</v>
      </c>
      <c r="F1046" s="55">
        <v>847312</v>
      </c>
      <c r="G1046" s="55" t="s">
        <v>1069</v>
      </c>
      <c r="H1046" s="25">
        <f t="shared" si="17"/>
        <v>-4.5974059329652039E-3</v>
      </c>
    </row>
    <row r="1047" spans="2:8">
      <c r="B1047" s="55">
        <v>390.78</v>
      </c>
      <c r="C1047" s="55">
        <v>398</v>
      </c>
      <c r="D1047" s="55">
        <v>390.17</v>
      </c>
      <c r="E1047" s="55">
        <v>394.86</v>
      </c>
      <c r="F1047" s="55">
        <v>1505234</v>
      </c>
      <c r="G1047" s="55" t="s">
        <v>1070</v>
      </c>
      <c r="H1047" s="25">
        <f t="shared" si="17"/>
        <v>-1.033277617383388E-2</v>
      </c>
    </row>
    <row r="1048" spans="2:8">
      <c r="B1048" s="55">
        <v>395.03</v>
      </c>
      <c r="C1048" s="55">
        <v>398.536</v>
      </c>
      <c r="D1048" s="55">
        <v>375.79360000000003</v>
      </c>
      <c r="E1048" s="55">
        <v>376.11</v>
      </c>
      <c r="F1048" s="55">
        <v>2184916</v>
      </c>
      <c r="G1048" s="55" t="s">
        <v>1071</v>
      </c>
      <c r="H1048" s="25">
        <f t="shared" si="17"/>
        <v>5.0304432213979844E-2</v>
      </c>
    </row>
    <row r="1049" spans="2:8">
      <c r="B1049" s="55">
        <v>376.16</v>
      </c>
      <c r="C1049" s="55">
        <v>390.75990000000002</v>
      </c>
      <c r="D1049" s="55">
        <v>372.46</v>
      </c>
      <c r="E1049" s="55">
        <v>373.26</v>
      </c>
      <c r="F1049" s="55">
        <v>1787262</v>
      </c>
      <c r="G1049" s="55" t="s">
        <v>1072</v>
      </c>
      <c r="H1049" s="25">
        <f t="shared" si="17"/>
        <v>7.7693832717142808E-3</v>
      </c>
    </row>
    <row r="1050" spans="2:8">
      <c r="B1050" s="55">
        <v>368.74</v>
      </c>
      <c r="C1050" s="55">
        <v>372.41</v>
      </c>
      <c r="D1050" s="55">
        <v>361.11</v>
      </c>
      <c r="E1050" s="55">
        <v>365.56</v>
      </c>
      <c r="F1050" s="55">
        <v>1268953</v>
      </c>
      <c r="G1050" s="55" t="s">
        <v>1073</v>
      </c>
      <c r="H1050" s="25">
        <f t="shared" si="17"/>
        <v>8.6989823831928881E-3</v>
      </c>
    </row>
    <row r="1051" spans="2:8">
      <c r="B1051" s="55">
        <v>369.46</v>
      </c>
      <c r="C1051" s="55">
        <v>378.22</v>
      </c>
      <c r="D1051" s="55">
        <v>369.07499999999999</v>
      </c>
      <c r="E1051" s="55">
        <v>376.54</v>
      </c>
      <c r="F1051" s="55">
        <v>1268144</v>
      </c>
      <c r="G1051" s="55" t="s">
        <v>1074</v>
      </c>
      <c r="H1051" s="25">
        <f t="shared" si="17"/>
        <v>-1.8802783236840814E-2</v>
      </c>
    </row>
    <row r="1052" spans="2:8">
      <c r="B1052" s="55">
        <v>379.23</v>
      </c>
      <c r="C1052" s="55">
        <v>380.4</v>
      </c>
      <c r="D1052" s="55">
        <v>368.755</v>
      </c>
      <c r="E1052" s="55">
        <v>369.78</v>
      </c>
      <c r="F1052" s="55">
        <v>1265381</v>
      </c>
      <c r="G1052" s="55" t="s">
        <v>1075</v>
      </c>
      <c r="H1052" s="25">
        <f t="shared" si="17"/>
        <v>2.5555735842933691E-2</v>
      </c>
    </row>
    <row r="1053" spans="2:8">
      <c r="B1053" s="55">
        <v>371.83</v>
      </c>
      <c r="C1053" s="55">
        <v>374.72</v>
      </c>
      <c r="D1053" s="55">
        <v>365</v>
      </c>
      <c r="E1053" s="55">
        <v>372</v>
      </c>
      <c r="F1053" s="55">
        <v>1472175</v>
      </c>
      <c r="G1053" s="55" t="s">
        <v>1076</v>
      </c>
      <c r="H1053" s="25">
        <f t="shared" si="17"/>
        <v>-4.5698924731185642E-4</v>
      </c>
    </row>
    <row r="1054" spans="2:8">
      <c r="B1054" s="55">
        <v>378.99</v>
      </c>
      <c r="C1054" s="55">
        <v>383.77</v>
      </c>
      <c r="D1054" s="55">
        <v>372.28</v>
      </c>
      <c r="E1054" s="55">
        <v>382.68</v>
      </c>
      <c r="F1054" s="55">
        <v>1497868</v>
      </c>
      <c r="G1054" s="55" t="s">
        <v>1077</v>
      </c>
      <c r="H1054" s="25">
        <f t="shared" si="17"/>
        <v>-9.6425211665098765E-3</v>
      </c>
    </row>
    <row r="1055" spans="2:8">
      <c r="B1055" s="55">
        <v>384.18</v>
      </c>
      <c r="C1055" s="55">
        <v>384.4</v>
      </c>
      <c r="D1055" s="55">
        <v>368.25</v>
      </c>
      <c r="E1055" s="55">
        <v>368.36</v>
      </c>
      <c r="F1055" s="55">
        <v>1813344</v>
      </c>
      <c r="G1055" s="55" t="s">
        <v>1078</v>
      </c>
      <c r="H1055" s="25">
        <f t="shared" si="17"/>
        <v>4.2947116950808883E-2</v>
      </c>
    </row>
    <row r="1056" spans="2:8">
      <c r="B1056" s="55">
        <v>367.44</v>
      </c>
      <c r="C1056" s="55">
        <v>369.23</v>
      </c>
      <c r="D1056" s="55">
        <v>362.7</v>
      </c>
      <c r="E1056" s="55">
        <v>364.9</v>
      </c>
      <c r="F1056" s="55">
        <v>1360532</v>
      </c>
      <c r="G1056" s="55" t="s">
        <v>1079</v>
      </c>
      <c r="H1056" s="25">
        <f t="shared" si="17"/>
        <v>6.9608111811456652E-3</v>
      </c>
    </row>
    <row r="1057" spans="2:8">
      <c r="B1057" s="55">
        <v>365.23</v>
      </c>
      <c r="C1057" s="55">
        <v>377</v>
      </c>
      <c r="D1057" s="55">
        <v>364.91</v>
      </c>
      <c r="E1057" s="55">
        <v>374.95</v>
      </c>
      <c r="F1057" s="55">
        <v>2232704</v>
      </c>
      <c r="G1057" s="55" t="s">
        <v>1080</v>
      </c>
      <c r="H1057" s="25">
        <f t="shared" si="17"/>
        <v>-2.592345646086136E-2</v>
      </c>
    </row>
    <row r="1058" spans="2:8">
      <c r="B1058" s="55">
        <v>376.92</v>
      </c>
      <c r="C1058" s="55">
        <v>389.14499999999998</v>
      </c>
      <c r="D1058" s="55">
        <v>358.57</v>
      </c>
      <c r="E1058" s="55">
        <v>370</v>
      </c>
      <c r="F1058" s="55">
        <v>8081989</v>
      </c>
      <c r="G1058" s="55" t="s">
        <v>1081</v>
      </c>
      <c r="H1058" s="25">
        <f t="shared" si="17"/>
        <v>1.8702702702702689E-2</v>
      </c>
    </row>
    <row r="1059" spans="2:8">
      <c r="B1059" s="55">
        <v>343.97</v>
      </c>
      <c r="C1059" s="55">
        <v>353.39</v>
      </c>
      <c r="D1059" s="55">
        <v>336.07</v>
      </c>
      <c r="E1059" s="55">
        <v>337</v>
      </c>
      <c r="F1059" s="55">
        <v>3156964</v>
      </c>
      <c r="G1059" s="55" t="s">
        <v>1082</v>
      </c>
      <c r="H1059" s="25">
        <f t="shared" si="17"/>
        <v>2.0682492581602485E-2</v>
      </c>
    </row>
    <row r="1060" spans="2:8">
      <c r="B1060" s="55">
        <v>331.78</v>
      </c>
      <c r="C1060" s="55">
        <v>334</v>
      </c>
      <c r="D1060" s="55">
        <v>319.86</v>
      </c>
      <c r="E1060" s="55">
        <v>320.22000000000003</v>
      </c>
      <c r="F1060" s="55">
        <v>2255458</v>
      </c>
      <c r="G1060" s="55" t="s">
        <v>1083</v>
      </c>
      <c r="H1060" s="25">
        <f t="shared" si="17"/>
        <v>3.6100181125475972E-2</v>
      </c>
    </row>
    <row r="1061" spans="2:8">
      <c r="B1061" s="55">
        <v>321.14</v>
      </c>
      <c r="C1061" s="55">
        <v>321.83999999999997</v>
      </c>
      <c r="D1061" s="55">
        <v>316.005</v>
      </c>
      <c r="E1061" s="55">
        <v>319</v>
      </c>
      <c r="F1061" s="55">
        <v>1322028</v>
      </c>
      <c r="G1061" s="55" t="s">
        <v>1084</v>
      </c>
      <c r="H1061" s="25">
        <f t="shared" si="17"/>
        <v>6.7084639498431464E-3</v>
      </c>
    </row>
    <row r="1062" spans="2:8">
      <c r="B1062" s="55">
        <v>317.74</v>
      </c>
      <c r="C1062" s="55">
        <v>317.83</v>
      </c>
      <c r="D1062" s="55">
        <v>306.05</v>
      </c>
      <c r="E1062" s="55">
        <v>310.54000000000002</v>
      </c>
      <c r="F1062" s="55">
        <v>1066662</v>
      </c>
      <c r="G1062" s="55" t="s">
        <v>1085</v>
      </c>
      <c r="H1062" s="25">
        <f t="shared" si="17"/>
        <v>2.318541894763948E-2</v>
      </c>
    </row>
    <row r="1063" spans="2:8">
      <c r="B1063" s="55">
        <v>310.42</v>
      </c>
      <c r="C1063" s="55">
        <v>315.77499999999998</v>
      </c>
      <c r="D1063" s="55">
        <v>308.18</v>
      </c>
      <c r="E1063" s="55">
        <v>313.38</v>
      </c>
      <c r="F1063" s="55">
        <v>975259</v>
      </c>
      <c r="G1063" s="55" t="s">
        <v>1086</v>
      </c>
      <c r="H1063" s="25">
        <f t="shared" si="17"/>
        <v>-9.4454017486756969E-3</v>
      </c>
    </row>
    <row r="1064" spans="2:8">
      <c r="B1064" s="55">
        <v>315.02999999999997</v>
      </c>
      <c r="C1064" s="55">
        <v>318.5</v>
      </c>
      <c r="D1064" s="55">
        <v>311.71010000000001</v>
      </c>
      <c r="E1064" s="55">
        <v>313.29000000000002</v>
      </c>
      <c r="F1064" s="55">
        <v>1181066</v>
      </c>
      <c r="G1064" s="55" t="s">
        <v>1087</v>
      </c>
      <c r="H1064" s="25">
        <f t="shared" si="17"/>
        <v>5.5539595901559213E-3</v>
      </c>
    </row>
    <row r="1065" spans="2:8">
      <c r="B1065" s="55">
        <v>308.22000000000003</v>
      </c>
      <c r="C1065" s="55">
        <v>317.02569999999997</v>
      </c>
      <c r="D1065" s="55">
        <v>303.5</v>
      </c>
      <c r="E1065" s="55">
        <v>316.08</v>
      </c>
      <c r="F1065" s="55">
        <v>1043173</v>
      </c>
      <c r="G1065" s="55" t="s">
        <v>1088</v>
      </c>
      <c r="H1065" s="25">
        <f t="shared" si="17"/>
        <v>-2.4867122247532181E-2</v>
      </c>
    </row>
    <row r="1066" spans="2:8">
      <c r="B1066" s="55">
        <v>316.93</v>
      </c>
      <c r="C1066" s="55">
        <v>317.52999999999997</v>
      </c>
      <c r="D1066" s="55">
        <v>304.75</v>
      </c>
      <c r="E1066" s="55">
        <v>304.91000000000003</v>
      </c>
      <c r="F1066" s="55">
        <v>1272512</v>
      </c>
      <c r="G1066" s="55" t="s">
        <v>1089</v>
      </c>
      <c r="H1066" s="25">
        <f t="shared" si="17"/>
        <v>3.9421468630087553E-2</v>
      </c>
    </row>
    <row r="1067" spans="2:8">
      <c r="B1067" s="55">
        <v>307.60000000000002</v>
      </c>
      <c r="C1067" s="55">
        <v>309.77</v>
      </c>
      <c r="D1067" s="55">
        <v>300.22000000000003</v>
      </c>
      <c r="E1067" s="55">
        <v>304.02999999999997</v>
      </c>
      <c r="F1067" s="55">
        <v>858909</v>
      </c>
      <c r="G1067" s="55" t="s">
        <v>1090</v>
      </c>
      <c r="H1067" s="25">
        <f t="shared" si="17"/>
        <v>1.1742262276749127E-2</v>
      </c>
    </row>
    <row r="1068" spans="2:8">
      <c r="B1068" s="55">
        <v>305.10000000000002</v>
      </c>
      <c r="C1068" s="55">
        <v>306.39</v>
      </c>
      <c r="D1068" s="55">
        <v>292.24919999999997</v>
      </c>
      <c r="E1068" s="55">
        <v>297.12</v>
      </c>
      <c r="F1068" s="55">
        <v>1252233</v>
      </c>
      <c r="G1068" s="55" t="s">
        <v>1091</v>
      </c>
      <c r="H1068" s="25">
        <f t="shared" si="17"/>
        <v>2.6857835218093706E-2</v>
      </c>
    </row>
    <row r="1069" spans="2:8">
      <c r="B1069" s="55">
        <v>289.92</v>
      </c>
      <c r="C1069" s="55">
        <v>293.01</v>
      </c>
      <c r="D1069" s="55">
        <v>278</v>
      </c>
      <c r="E1069" s="55">
        <v>284.13</v>
      </c>
      <c r="F1069" s="55">
        <v>1734525</v>
      </c>
      <c r="G1069" s="55" t="s">
        <v>1092</v>
      </c>
      <c r="H1069" s="25">
        <f t="shared" si="17"/>
        <v>2.037799598775214E-2</v>
      </c>
    </row>
    <row r="1070" spans="2:8">
      <c r="B1070" s="55">
        <v>289.24</v>
      </c>
      <c r="C1070" s="55">
        <v>293.76</v>
      </c>
      <c r="D1070" s="55">
        <v>283</v>
      </c>
      <c r="E1070" s="55">
        <v>290.67</v>
      </c>
      <c r="F1070" s="55">
        <v>1459067</v>
      </c>
      <c r="G1070" s="55" t="s">
        <v>1093</v>
      </c>
      <c r="H1070" s="25">
        <f t="shared" si="17"/>
        <v>-4.9196683524271867E-3</v>
      </c>
    </row>
    <row r="1071" spans="2:8">
      <c r="B1071" s="55">
        <v>291.55</v>
      </c>
      <c r="C1071" s="55">
        <v>306.13</v>
      </c>
      <c r="D1071" s="55">
        <v>291.375</v>
      </c>
      <c r="E1071" s="55">
        <v>306.13</v>
      </c>
      <c r="F1071" s="55">
        <v>978426</v>
      </c>
      <c r="G1071" s="55" t="s">
        <v>1094</v>
      </c>
      <c r="H1071" s="25">
        <f t="shared" si="17"/>
        <v>-4.7626825204978185E-2</v>
      </c>
    </row>
    <row r="1072" spans="2:8">
      <c r="B1072" s="55">
        <v>301.74</v>
      </c>
      <c r="C1072" s="55">
        <v>303.98</v>
      </c>
      <c r="D1072" s="55">
        <v>297.52</v>
      </c>
      <c r="E1072" s="55">
        <v>300</v>
      </c>
      <c r="F1072" s="55">
        <v>934837</v>
      </c>
      <c r="G1072" s="55" t="s">
        <v>1095</v>
      </c>
      <c r="H1072" s="25">
        <f t="shared" si="17"/>
        <v>5.8000000000000274E-3</v>
      </c>
    </row>
    <row r="1073" spans="2:8">
      <c r="B1073" s="55">
        <v>305.82</v>
      </c>
      <c r="C1073" s="55">
        <v>306.79000000000002</v>
      </c>
      <c r="D1073" s="55">
        <v>301.22000000000003</v>
      </c>
      <c r="E1073" s="55">
        <v>305.92</v>
      </c>
      <c r="F1073" s="55">
        <v>1574343</v>
      </c>
      <c r="G1073" s="55" t="s">
        <v>1096</v>
      </c>
      <c r="H1073" s="25">
        <f t="shared" si="17"/>
        <v>-3.2688284518833655E-4</v>
      </c>
    </row>
    <row r="1074" spans="2:8">
      <c r="B1074" s="55">
        <v>296.52</v>
      </c>
      <c r="C1074" s="55">
        <v>306.01</v>
      </c>
      <c r="D1074" s="55">
        <v>292.19</v>
      </c>
      <c r="E1074" s="55">
        <v>301.86</v>
      </c>
      <c r="F1074" s="55">
        <v>1637335</v>
      </c>
      <c r="G1074" s="55" t="s">
        <v>1097</v>
      </c>
      <c r="H1074" s="25">
        <f t="shared" si="17"/>
        <v>-1.7690320015901539E-2</v>
      </c>
    </row>
    <row r="1075" spans="2:8">
      <c r="B1075" s="55">
        <v>302.38</v>
      </c>
      <c r="C1075" s="55">
        <v>324.47000000000003</v>
      </c>
      <c r="D1075" s="55">
        <v>301.87</v>
      </c>
      <c r="E1075" s="55">
        <v>322.63</v>
      </c>
      <c r="F1075" s="55">
        <v>1452507</v>
      </c>
      <c r="G1075" s="55" t="s">
        <v>1098</v>
      </c>
      <c r="H1075" s="25">
        <f t="shared" si="17"/>
        <v>-6.2765396894275183E-2</v>
      </c>
    </row>
    <row r="1076" spans="2:8">
      <c r="B1076" s="55">
        <v>320.58</v>
      </c>
      <c r="C1076" s="55">
        <v>323.99</v>
      </c>
      <c r="D1076" s="55">
        <v>314.54000000000002</v>
      </c>
      <c r="E1076" s="55">
        <v>321.26</v>
      </c>
      <c r="F1076" s="55">
        <v>1131091</v>
      </c>
      <c r="G1076" s="55" t="s">
        <v>1099</v>
      </c>
      <c r="H1076" s="25">
        <f t="shared" si="17"/>
        <v>-2.1166656290855235E-3</v>
      </c>
    </row>
    <row r="1077" spans="2:8">
      <c r="B1077" s="55">
        <v>322.83999999999997</v>
      </c>
      <c r="C1077" s="55">
        <v>331.5</v>
      </c>
      <c r="D1077" s="55">
        <v>320.5</v>
      </c>
      <c r="E1077" s="55">
        <v>330.66</v>
      </c>
      <c r="F1077" s="55">
        <v>1094118</v>
      </c>
      <c r="G1077" s="55" t="s">
        <v>1100</v>
      </c>
      <c r="H1077" s="25">
        <f t="shared" si="17"/>
        <v>-2.3649670356257313E-2</v>
      </c>
    </row>
    <row r="1078" spans="2:8">
      <c r="B1078" s="55">
        <v>330.07</v>
      </c>
      <c r="C1078" s="55">
        <v>330.78</v>
      </c>
      <c r="D1078" s="55">
        <v>316.76</v>
      </c>
      <c r="E1078" s="55">
        <v>317.39</v>
      </c>
      <c r="F1078" s="55">
        <v>1361052</v>
      </c>
      <c r="G1078" s="55" t="s">
        <v>1101</v>
      </c>
      <c r="H1078" s="25">
        <f t="shared" si="17"/>
        <v>3.9950849113078668E-2</v>
      </c>
    </row>
    <row r="1079" spans="2:8">
      <c r="B1079" s="55">
        <v>315.18</v>
      </c>
      <c r="C1079" s="55">
        <v>326.02</v>
      </c>
      <c r="D1079" s="55">
        <v>313.3</v>
      </c>
      <c r="E1079" s="55">
        <v>321.11</v>
      </c>
      <c r="F1079" s="55">
        <v>1236657</v>
      </c>
      <c r="G1079" s="55" t="s">
        <v>1102</v>
      </c>
      <c r="H1079" s="25">
        <f t="shared" si="17"/>
        <v>-1.8467191927999727E-2</v>
      </c>
    </row>
    <row r="1080" spans="2:8">
      <c r="B1080" s="55">
        <v>319.94</v>
      </c>
      <c r="C1080" s="55">
        <v>320.43</v>
      </c>
      <c r="D1080" s="55">
        <v>311.33499999999998</v>
      </c>
      <c r="E1080" s="55">
        <v>312.42</v>
      </c>
      <c r="F1080" s="55">
        <v>1284807</v>
      </c>
      <c r="G1080" s="55" t="s">
        <v>1103</v>
      </c>
      <c r="H1080" s="25">
        <f t="shared" si="17"/>
        <v>2.4070161961462055E-2</v>
      </c>
    </row>
    <row r="1081" spans="2:8">
      <c r="B1081" s="55">
        <v>317.58</v>
      </c>
      <c r="C1081" s="55">
        <v>318.42</v>
      </c>
      <c r="D1081" s="55">
        <v>305.29000000000002</v>
      </c>
      <c r="E1081" s="55">
        <v>310</v>
      </c>
      <c r="F1081" s="55">
        <v>937167</v>
      </c>
      <c r="G1081" s="55" t="s">
        <v>1104</v>
      </c>
      <c r="H1081" s="25">
        <f t="shared" si="17"/>
        <v>2.4451612903225728E-2</v>
      </c>
    </row>
    <row r="1082" spans="2:8">
      <c r="B1082" s="55">
        <v>310.36</v>
      </c>
      <c r="C1082" s="55">
        <v>311.14</v>
      </c>
      <c r="D1082" s="55">
        <v>283.20999999999998</v>
      </c>
      <c r="E1082" s="55">
        <v>285.77999999999997</v>
      </c>
      <c r="F1082" s="55">
        <v>1507200</v>
      </c>
      <c r="G1082" s="55" t="s">
        <v>1105</v>
      </c>
      <c r="H1082" s="25">
        <f t="shared" si="17"/>
        <v>8.6010217649940657E-2</v>
      </c>
    </row>
    <row r="1083" spans="2:8">
      <c r="B1083" s="55">
        <v>295.24</v>
      </c>
      <c r="C1083" s="55">
        <v>309.52</v>
      </c>
      <c r="D1083" s="55">
        <v>295.17</v>
      </c>
      <c r="E1083" s="55">
        <v>309.2</v>
      </c>
      <c r="F1083" s="55">
        <v>997412</v>
      </c>
      <c r="G1083" s="55" t="s">
        <v>1106</v>
      </c>
      <c r="H1083" s="25">
        <f t="shared" ref="H1083:H1146" si="18">B1083/E1083-1</f>
        <v>-4.5148771021992218E-2</v>
      </c>
    </row>
    <row r="1084" spans="2:8">
      <c r="B1084" s="55">
        <v>304.58</v>
      </c>
      <c r="C1084" s="55">
        <v>311.58749999999998</v>
      </c>
      <c r="D1084" s="55">
        <v>300.93</v>
      </c>
      <c r="E1084" s="55">
        <v>306.57080000000002</v>
      </c>
      <c r="F1084" s="55">
        <v>1291663</v>
      </c>
      <c r="G1084" s="55" t="s">
        <v>1107</v>
      </c>
      <c r="H1084" s="25">
        <f t="shared" si="18"/>
        <v>-6.4937691391353525E-3</v>
      </c>
    </row>
    <row r="1085" spans="2:8">
      <c r="B1085" s="55">
        <v>308.66000000000003</v>
      </c>
      <c r="C1085" s="55">
        <v>315.42</v>
      </c>
      <c r="D1085" s="55">
        <v>307.01</v>
      </c>
      <c r="E1085" s="55">
        <v>313.24</v>
      </c>
      <c r="F1085" s="55">
        <v>822492</v>
      </c>
      <c r="G1085" s="55" t="s">
        <v>1108</v>
      </c>
      <c r="H1085" s="25">
        <f t="shared" si="18"/>
        <v>-1.4621376580257861E-2</v>
      </c>
    </row>
    <row r="1086" spans="2:8">
      <c r="B1086" s="55">
        <v>310.02999999999997</v>
      </c>
      <c r="C1086" s="55">
        <v>321.14999999999998</v>
      </c>
      <c r="D1086" s="55">
        <v>309.59010000000001</v>
      </c>
      <c r="E1086" s="55">
        <v>317.45999999999998</v>
      </c>
      <c r="F1086" s="55">
        <v>710393</v>
      </c>
      <c r="G1086" s="55" t="s">
        <v>1109</v>
      </c>
      <c r="H1086" s="25">
        <f t="shared" si="18"/>
        <v>-2.3404523404523481E-2</v>
      </c>
    </row>
    <row r="1087" spans="2:8">
      <c r="B1087" s="55">
        <v>320.04000000000002</v>
      </c>
      <c r="C1087" s="55">
        <v>321.24</v>
      </c>
      <c r="D1087" s="55">
        <v>312.02</v>
      </c>
      <c r="E1087" s="55">
        <v>316.45999999999998</v>
      </c>
      <c r="F1087" s="55">
        <v>783784</v>
      </c>
      <c r="G1087" s="55" t="s">
        <v>1110</v>
      </c>
      <c r="H1087" s="25">
        <f t="shared" si="18"/>
        <v>1.1312646148012417E-2</v>
      </c>
    </row>
    <row r="1088" spans="2:8">
      <c r="B1088" s="55">
        <v>318.14999999999998</v>
      </c>
      <c r="C1088" s="55">
        <v>322.70999999999998</v>
      </c>
      <c r="D1088" s="55">
        <v>315.11</v>
      </c>
      <c r="E1088" s="55">
        <v>320.91000000000003</v>
      </c>
      <c r="F1088" s="55">
        <v>825535</v>
      </c>
      <c r="G1088" s="55" t="s">
        <v>1111</v>
      </c>
      <c r="H1088" s="25">
        <f t="shared" si="18"/>
        <v>-8.6005422080959182E-3</v>
      </c>
    </row>
    <row r="1089" spans="2:8">
      <c r="B1089" s="55">
        <v>313.64</v>
      </c>
      <c r="C1089" s="55">
        <v>320.26</v>
      </c>
      <c r="D1089" s="55">
        <v>309.97000000000003</v>
      </c>
      <c r="E1089" s="55">
        <v>316.14</v>
      </c>
      <c r="F1089" s="55">
        <v>1121937</v>
      </c>
      <c r="G1089" s="55" t="s">
        <v>1112</v>
      </c>
      <c r="H1089" s="25">
        <f t="shared" si="18"/>
        <v>-7.9078889099766236E-3</v>
      </c>
    </row>
    <row r="1090" spans="2:8">
      <c r="B1090" s="55">
        <v>316.72000000000003</v>
      </c>
      <c r="C1090" s="55">
        <v>336.1</v>
      </c>
      <c r="D1090" s="55">
        <v>315.63</v>
      </c>
      <c r="E1090" s="55">
        <v>333.21</v>
      </c>
      <c r="F1090" s="55">
        <v>1244157</v>
      </c>
      <c r="G1090" s="55" t="s">
        <v>1113</v>
      </c>
      <c r="H1090" s="25">
        <f t="shared" si="18"/>
        <v>-4.9488310674949632E-2</v>
      </c>
    </row>
    <row r="1091" spans="2:8">
      <c r="B1091" s="55">
        <v>334.35</v>
      </c>
      <c r="C1091" s="55">
        <v>343.92</v>
      </c>
      <c r="D1091" s="55">
        <v>331.18</v>
      </c>
      <c r="E1091" s="55">
        <v>332.05</v>
      </c>
      <c r="F1091" s="55">
        <v>1186573</v>
      </c>
      <c r="G1091" s="55" t="s">
        <v>1114</v>
      </c>
      <c r="H1091" s="25">
        <f t="shared" si="18"/>
        <v>6.9266676705315167E-3</v>
      </c>
    </row>
    <row r="1092" spans="2:8">
      <c r="B1092" s="55">
        <v>339.64</v>
      </c>
      <c r="C1092" s="55">
        <v>343.57</v>
      </c>
      <c r="D1092" s="55">
        <v>335</v>
      </c>
      <c r="E1092" s="55">
        <v>339.21</v>
      </c>
      <c r="F1092" s="55">
        <v>703196</v>
      </c>
      <c r="G1092" s="55" t="s">
        <v>1115</v>
      </c>
      <c r="H1092" s="25">
        <f t="shared" si="18"/>
        <v>1.2676513074496576E-3</v>
      </c>
    </row>
    <row r="1093" spans="2:8">
      <c r="B1093" s="55">
        <v>334.4</v>
      </c>
      <c r="C1093" s="55">
        <v>336.14</v>
      </c>
      <c r="D1093" s="55">
        <v>327.64999999999998</v>
      </c>
      <c r="E1093" s="55">
        <v>331.69</v>
      </c>
      <c r="F1093" s="55">
        <v>665638</v>
      </c>
      <c r="G1093" s="55" t="s">
        <v>1116</v>
      </c>
      <c r="H1093" s="25">
        <f t="shared" si="18"/>
        <v>8.1702794778255594E-3</v>
      </c>
    </row>
    <row r="1094" spans="2:8">
      <c r="B1094" s="55">
        <v>332.2</v>
      </c>
      <c r="C1094" s="55">
        <v>338.81</v>
      </c>
      <c r="D1094" s="55">
        <v>327.81</v>
      </c>
      <c r="E1094" s="55">
        <v>336.37</v>
      </c>
      <c r="F1094" s="55">
        <v>840343</v>
      </c>
      <c r="G1094" s="55" t="s">
        <v>1117</v>
      </c>
      <c r="H1094" s="25">
        <f t="shared" si="18"/>
        <v>-1.2397062758272237E-2</v>
      </c>
    </row>
    <row r="1095" spans="2:8">
      <c r="B1095" s="55">
        <v>336.37</v>
      </c>
      <c r="C1095" s="55">
        <v>339.51670000000001</v>
      </c>
      <c r="D1095" s="55">
        <v>329.75</v>
      </c>
      <c r="E1095" s="55">
        <v>329.75</v>
      </c>
      <c r="F1095" s="55">
        <v>949930</v>
      </c>
      <c r="G1095" s="55" t="s">
        <v>1118</v>
      </c>
      <c r="H1095" s="25">
        <f t="shared" si="18"/>
        <v>2.0075815011372233E-2</v>
      </c>
    </row>
    <row r="1096" spans="2:8">
      <c r="B1096" s="55">
        <v>330.35</v>
      </c>
      <c r="C1096" s="55">
        <v>345.48149999999998</v>
      </c>
      <c r="D1096" s="55">
        <v>329.25</v>
      </c>
      <c r="E1096" s="55">
        <v>338.00349999999997</v>
      </c>
      <c r="F1096" s="55">
        <v>1664461</v>
      </c>
      <c r="G1096" s="55" t="s">
        <v>1119</v>
      </c>
      <c r="H1096" s="25">
        <f t="shared" si="18"/>
        <v>-2.2643256652667643E-2</v>
      </c>
    </row>
    <row r="1097" spans="2:8">
      <c r="B1097" s="55">
        <v>349.19</v>
      </c>
      <c r="C1097" s="55">
        <v>353.62</v>
      </c>
      <c r="D1097" s="55">
        <v>344.39499999999998</v>
      </c>
      <c r="E1097" s="55">
        <v>348.86</v>
      </c>
      <c r="F1097" s="55">
        <v>2267552</v>
      </c>
      <c r="G1097" s="55" t="s">
        <v>1120</v>
      </c>
      <c r="H1097" s="25">
        <f t="shared" si="18"/>
        <v>9.4593819870425477E-4</v>
      </c>
    </row>
    <row r="1098" spans="2:8">
      <c r="B1098" s="55">
        <v>344.91</v>
      </c>
      <c r="C1098" s="55">
        <v>346.13</v>
      </c>
      <c r="D1098" s="55">
        <v>333.39</v>
      </c>
      <c r="E1098" s="55">
        <v>335.48</v>
      </c>
      <c r="F1098" s="55">
        <v>1818626</v>
      </c>
      <c r="G1098" s="55" t="s">
        <v>1121</v>
      </c>
      <c r="H1098" s="25">
        <f t="shared" si="18"/>
        <v>2.8108978180517497E-2</v>
      </c>
    </row>
    <row r="1099" spans="2:8">
      <c r="B1099" s="55">
        <v>333.76</v>
      </c>
      <c r="C1099" s="55">
        <v>334.08</v>
      </c>
      <c r="D1099" s="55">
        <v>316.40640000000002</v>
      </c>
      <c r="E1099" s="55">
        <v>317.33999999999997</v>
      </c>
      <c r="F1099" s="55">
        <v>1903850</v>
      </c>
      <c r="G1099" s="55" t="s">
        <v>1122</v>
      </c>
      <c r="H1099" s="25">
        <f t="shared" si="18"/>
        <v>5.1742610449360349E-2</v>
      </c>
    </row>
    <row r="1100" spans="2:8">
      <c r="B1100" s="55">
        <v>315.91000000000003</v>
      </c>
      <c r="C1100" s="55">
        <v>316.33499999999998</v>
      </c>
      <c r="D1100" s="55">
        <v>301.60000000000002</v>
      </c>
      <c r="E1100" s="55">
        <v>303.26</v>
      </c>
      <c r="F1100" s="55">
        <v>1348384</v>
      </c>
      <c r="G1100" s="55" t="s">
        <v>1123</v>
      </c>
      <c r="H1100" s="25">
        <f t="shared" si="18"/>
        <v>4.1713381257007409E-2</v>
      </c>
    </row>
    <row r="1101" spans="2:8">
      <c r="B1101" s="55">
        <v>306.52</v>
      </c>
      <c r="C1101" s="55">
        <v>312.43</v>
      </c>
      <c r="D1101" s="55">
        <v>304.45</v>
      </c>
      <c r="E1101" s="55">
        <v>307.83999999999997</v>
      </c>
      <c r="F1101" s="55">
        <v>1422967</v>
      </c>
      <c r="G1101" s="55" t="s">
        <v>1124</v>
      </c>
      <c r="H1101" s="25">
        <f t="shared" si="18"/>
        <v>-4.2879417879417847E-3</v>
      </c>
    </row>
    <row r="1102" spans="2:8">
      <c r="B1102" s="55">
        <v>302.76</v>
      </c>
      <c r="C1102" s="55">
        <v>319.76</v>
      </c>
      <c r="D1102" s="55">
        <v>299.17</v>
      </c>
      <c r="E1102" s="55">
        <v>313.5</v>
      </c>
      <c r="F1102" s="55">
        <v>1457500</v>
      </c>
      <c r="G1102" s="55" t="s">
        <v>1125</v>
      </c>
      <c r="H1102" s="25">
        <f t="shared" si="18"/>
        <v>-3.4258373205741655E-2</v>
      </c>
    </row>
    <row r="1103" spans="2:8">
      <c r="B1103" s="55">
        <v>308.83</v>
      </c>
      <c r="C1103" s="55">
        <v>315.79500000000002</v>
      </c>
      <c r="D1103" s="55">
        <v>305.12009999999998</v>
      </c>
      <c r="E1103" s="55">
        <v>313.01</v>
      </c>
      <c r="F1103" s="55">
        <v>1347923</v>
      </c>
      <c r="G1103" s="55" t="s">
        <v>1126</v>
      </c>
      <c r="H1103" s="25">
        <f t="shared" si="18"/>
        <v>-1.3354205935912633E-2</v>
      </c>
    </row>
    <row r="1104" spans="2:8">
      <c r="B1104" s="55">
        <v>321.62</v>
      </c>
      <c r="C1104" s="55">
        <v>322.38900000000001</v>
      </c>
      <c r="D1104" s="55">
        <v>296.19</v>
      </c>
      <c r="E1104" s="55">
        <v>308.19</v>
      </c>
      <c r="F1104" s="55">
        <v>2445149</v>
      </c>
      <c r="G1104" s="55" t="s">
        <v>1127</v>
      </c>
      <c r="H1104" s="25">
        <f t="shared" si="18"/>
        <v>4.357701417956461E-2</v>
      </c>
    </row>
    <row r="1105" spans="2:8">
      <c r="B1105" s="55">
        <v>313.02</v>
      </c>
      <c r="C1105" s="55">
        <v>324</v>
      </c>
      <c r="D1105" s="55">
        <v>312.66000000000003</v>
      </c>
      <c r="E1105" s="55">
        <v>321.5</v>
      </c>
      <c r="F1105" s="55">
        <v>1731615</v>
      </c>
      <c r="G1105" s="55" t="s">
        <v>1128</v>
      </c>
      <c r="H1105" s="25">
        <f t="shared" si="18"/>
        <v>-2.6376360808709198E-2</v>
      </c>
    </row>
    <row r="1106" spans="2:8">
      <c r="B1106" s="55">
        <v>322.52999999999997</v>
      </c>
      <c r="C1106" s="55">
        <v>340.28500000000003</v>
      </c>
      <c r="D1106" s="55">
        <v>321.64999999999998</v>
      </c>
      <c r="E1106" s="55">
        <v>334.5</v>
      </c>
      <c r="F1106" s="55">
        <v>1362485</v>
      </c>
      <c r="G1106" s="55" t="s">
        <v>1129</v>
      </c>
      <c r="H1106" s="25">
        <f t="shared" si="18"/>
        <v>-3.5784753363228727E-2</v>
      </c>
    </row>
    <row r="1107" spans="2:8">
      <c r="B1107" s="55">
        <v>330.95</v>
      </c>
      <c r="C1107" s="55">
        <v>338.1</v>
      </c>
      <c r="D1107" s="55">
        <v>329.02</v>
      </c>
      <c r="E1107" s="55">
        <v>334.38</v>
      </c>
      <c r="F1107" s="55">
        <v>997246</v>
      </c>
      <c r="G1107" s="55" t="s">
        <v>1130</v>
      </c>
      <c r="H1107" s="25">
        <f t="shared" si="18"/>
        <v>-1.0257790537711586E-2</v>
      </c>
    </row>
    <row r="1108" spans="2:8">
      <c r="B1108" s="55">
        <v>332.53</v>
      </c>
      <c r="C1108" s="55">
        <v>336.33</v>
      </c>
      <c r="D1108" s="55">
        <v>324</v>
      </c>
      <c r="E1108" s="55">
        <v>325.065</v>
      </c>
      <c r="F1108" s="55">
        <v>1376461</v>
      </c>
      <c r="G1108" s="55" t="s">
        <v>1131</v>
      </c>
      <c r="H1108" s="25">
        <f t="shared" si="18"/>
        <v>2.2964637841662361E-2</v>
      </c>
    </row>
    <row r="1109" spans="2:8">
      <c r="B1109" s="55">
        <v>328.98</v>
      </c>
      <c r="C1109" s="55">
        <v>335.48</v>
      </c>
      <c r="D1109" s="55">
        <v>325.73</v>
      </c>
      <c r="E1109" s="55">
        <v>333.5</v>
      </c>
      <c r="F1109" s="55">
        <v>1850538</v>
      </c>
      <c r="G1109" s="55" t="s">
        <v>1132</v>
      </c>
      <c r="H1109" s="25">
        <f t="shared" si="18"/>
        <v>-1.355322338830578E-2</v>
      </c>
    </row>
    <row r="1110" spans="2:8">
      <c r="B1110" s="55">
        <v>336.27</v>
      </c>
      <c r="C1110" s="55">
        <v>354.85</v>
      </c>
      <c r="D1110" s="55">
        <v>335.73</v>
      </c>
      <c r="E1110" s="55">
        <v>353.9</v>
      </c>
      <c r="F1110" s="55">
        <v>1479413</v>
      </c>
      <c r="G1110" s="55" t="s">
        <v>1133</v>
      </c>
      <c r="H1110" s="25">
        <f t="shared" si="18"/>
        <v>-4.9816332297259125E-2</v>
      </c>
    </row>
    <row r="1111" spans="2:8">
      <c r="B1111" s="55">
        <v>352.72</v>
      </c>
      <c r="C1111" s="55">
        <v>354.44</v>
      </c>
      <c r="D1111" s="55">
        <v>345.48</v>
      </c>
      <c r="E1111" s="55">
        <v>348.86</v>
      </c>
      <c r="F1111" s="55">
        <v>1461550</v>
      </c>
      <c r="G1111" s="55" t="s">
        <v>1134</v>
      </c>
      <c r="H1111" s="25">
        <f t="shared" si="18"/>
        <v>1.106461044545104E-2</v>
      </c>
    </row>
    <row r="1112" spans="2:8">
      <c r="B1112" s="55">
        <v>346.75</v>
      </c>
      <c r="C1112" s="55">
        <v>347.49</v>
      </c>
      <c r="D1112" s="55">
        <v>337.05</v>
      </c>
      <c r="E1112" s="55">
        <v>345.81</v>
      </c>
      <c r="F1112" s="55">
        <v>1703121</v>
      </c>
      <c r="G1112" s="55" t="s">
        <v>1135</v>
      </c>
      <c r="H1112" s="25">
        <f t="shared" si="18"/>
        <v>2.7182556895404275E-3</v>
      </c>
    </row>
    <row r="1113" spans="2:8">
      <c r="B1113" s="55">
        <v>348.43</v>
      </c>
      <c r="C1113" s="55">
        <v>349.58</v>
      </c>
      <c r="D1113" s="55">
        <v>323.50009999999997</v>
      </c>
      <c r="E1113" s="55">
        <v>329.95</v>
      </c>
      <c r="F1113" s="55">
        <v>4235901</v>
      </c>
      <c r="G1113" s="55" t="s">
        <v>1136</v>
      </c>
      <c r="H1113" s="25">
        <f t="shared" si="18"/>
        <v>5.6008486134262903E-2</v>
      </c>
    </row>
    <row r="1114" spans="2:8">
      <c r="B1114" s="55">
        <v>355.21</v>
      </c>
      <c r="C1114" s="55">
        <v>366.99</v>
      </c>
      <c r="D1114" s="55">
        <v>354.32</v>
      </c>
      <c r="E1114" s="55">
        <v>366.04</v>
      </c>
      <c r="F1114" s="55">
        <v>2212162</v>
      </c>
      <c r="G1114" s="55" t="s">
        <v>1137</v>
      </c>
      <c r="H1114" s="25">
        <f t="shared" si="18"/>
        <v>-2.9586930390121391E-2</v>
      </c>
    </row>
    <row r="1115" spans="2:8">
      <c r="B1115" s="55">
        <v>368.77</v>
      </c>
      <c r="C1115" s="55">
        <v>371.42</v>
      </c>
      <c r="D1115" s="55">
        <v>355.67500000000001</v>
      </c>
      <c r="E1115" s="55">
        <v>358.93</v>
      </c>
      <c r="F1115" s="55">
        <v>1660305</v>
      </c>
      <c r="G1115" s="55" t="s">
        <v>1138</v>
      </c>
      <c r="H1115" s="25">
        <f t="shared" si="18"/>
        <v>2.7414816259437647E-2</v>
      </c>
    </row>
    <row r="1116" spans="2:8">
      <c r="B1116" s="55">
        <v>362.48</v>
      </c>
      <c r="C1116" s="55">
        <v>381.16</v>
      </c>
      <c r="D1116" s="55">
        <v>362.21</v>
      </c>
      <c r="E1116" s="55">
        <v>381.16</v>
      </c>
      <c r="F1116" s="55">
        <v>1543569</v>
      </c>
      <c r="G1116" s="55" t="s">
        <v>1139</v>
      </c>
      <c r="H1116" s="25">
        <f t="shared" si="18"/>
        <v>-4.9008290481687533E-2</v>
      </c>
    </row>
    <row r="1117" spans="2:8">
      <c r="B1117" s="55">
        <v>380.82</v>
      </c>
      <c r="C1117" s="55">
        <v>389.71</v>
      </c>
      <c r="D1117" s="55">
        <v>376.01</v>
      </c>
      <c r="E1117" s="55">
        <v>387.24</v>
      </c>
      <c r="F1117" s="55">
        <v>1199628</v>
      </c>
      <c r="G1117" s="55" t="s">
        <v>1140</v>
      </c>
      <c r="H1117" s="25">
        <f t="shared" si="18"/>
        <v>-1.6578865819646738E-2</v>
      </c>
    </row>
    <row r="1118" spans="2:8">
      <c r="B1118" s="55">
        <v>387.56</v>
      </c>
      <c r="C1118" s="55">
        <v>394.49</v>
      </c>
      <c r="D1118" s="55">
        <v>380.61</v>
      </c>
      <c r="E1118" s="55">
        <v>392.2</v>
      </c>
      <c r="F1118" s="55">
        <v>1322067</v>
      </c>
      <c r="G1118" s="55" t="s">
        <v>1141</v>
      </c>
      <c r="H1118" s="25">
        <f t="shared" si="18"/>
        <v>-1.1830698623151448E-2</v>
      </c>
    </row>
    <row r="1119" spans="2:8">
      <c r="B1119" s="55">
        <v>391.45</v>
      </c>
      <c r="C1119" s="55">
        <v>401.97</v>
      </c>
      <c r="D1119" s="55">
        <v>391.27</v>
      </c>
      <c r="E1119" s="55">
        <v>400</v>
      </c>
      <c r="F1119" s="55">
        <v>1066009</v>
      </c>
      <c r="G1119" s="55" t="s">
        <v>1142</v>
      </c>
      <c r="H1119" s="25">
        <f t="shared" si="18"/>
        <v>-2.1375000000000033E-2</v>
      </c>
    </row>
    <row r="1120" spans="2:8">
      <c r="B1120" s="55">
        <v>398.69</v>
      </c>
      <c r="C1120" s="55">
        <v>405.4</v>
      </c>
      <c r="D1120" s="55">
        <v>398.5</v>
      </c>
      <c r="E1120" s="55">
        <v>401.52</v>
      </c>
      <c r="F1120" s="55">
        <v>936528</v>
      </c>
      <c r="G1120" s="55" t="s">
        <v>1143</v>
      </c>
      <c r="H1120" s="25">
        <f t="shared" si="18"/>
        <v>-7.0482167762502268E-3</v>
      </c>
    </row>
    <row r="1121" spans="2:8">
      <c r="B1121" s="55">
        <v>401</v>
      </c>
      <c r="C1121" s="55">
        <v>403</v>
      </c>
      <c r="D1121" s="55">
        <v>400</v>
      </c>
      <c r="E1121" s="55">
        <v>400.3</v>
      </c>
      <c r="F1121" s="55">
        <v>742674</v>
      </c>
      <c r="G1121" s="55" t="s">
        <v>1144</v>
      </c>
      <c r="H1121" s="25">
        <f t="shared" si="18"/>
        <v>1.7486884836372951E-3</v>
      </c>
    </row>
    <row r="1122" spans="2:8">
      <c r="B1122" s="55">
        <v>400.07</v>
      </c>
      <c r="C1122" s="55">
        <v>406</v>
      </c>
      <c r="D1122" s="55">
        <v>400</v>
      </c>
      <c r="E1122" s="55">
        <v>405.96</v>
      </c>
      <c r="F1122" s="55">
        <v>953856</v>
      </c>
      <c r="G1122" s="55" t="s">
        <v>1145</v>
      </c>
      <c r="H1122" s="25">
        <f t="shared" si="18"/>
        <v>-1.4508818602817941E-2</v>
      </c>
    </row>
    <row r="1123" spans="2:8">
      <c r="B1123" s="55">
        <v>400.75</v>
      </c>
      <c r="C1123" s="55">
        <v>401.92</v>
      </c>
      <c r="D1123" s="55">
        <v>392.98</v>
      </c>
      <c r="E1123" s="55">
        <v>392.98</v>
      </c>
      <c r="F1123" s="55">
        <v>927884</v>
      </c>
      <c r="G1123" s="55" t="s">
        <v>1146</v>
      </c>
      <c r="H1123" s="25">
        <f t="shared" si="18"/>
        <v>1.9771998574991123E-2</v>
      </c>
    </row>
    <row r="1124" spans="2:8">
      <c r="B1124" s="55">
        <v>391.56</v>
      </c>
      <c r="C1124" s="55">
        <v>392.53</v>
      </c>
      <c r="D1124" s="55">
        <v>383.47</v>
      </c>
      <c r="E1124" s="55">
        <v>389.01</v>
      </c>
      <c r="F1124" s="55">
        <v>906719</v>
      </c>
      <c r="G1124" s="55" t="s">
        <v>1147</v>
      </c>
      <c r="H1124" s="25">
        <f t="shared" si="18"/>
        <v>6.5551014112747996E-3</v>
      </c>
    </row>
    <row r="1125" spans="2:8">
      <c r="B1125" s="55">
        <v>388.79</v>
      </c>
      <c r="C1125" s="55">
        <v>390.91</v>
      </c>
      <c r="D1125" s="55">
        <v>383.52</v>
      </c>
      <c r="E1125" s="55">
        <v>385.27</v>
      </c>
      <c r="F1125" s="55">
        <v>1104891</v>
      </c>
      <c r="G1125" s="55" t="s">
        <v>1148</v>
      </c>
      <c r="H1125" s="25">
        <f t="shared" si="18"/>
        <v>9.1364497625043839E-3</v>
      </c>
    </row>
    <row r="1126" spans="2:8">
      <c r="B1126" s="55">
        <v>383.31</v>
      </c>
      <c r="C1126" s="55">
        <v>385.22</v>
      </c>
      <c r="D1126" s="55">
        <v>375.07</v>
      </c>
      <c r="E1126" s="55">
        <v>376.07</v>
      </c>
      <c r="F1126" s="55">
        <v>1664492</v>
      </c>
      <c r="G1126" s="55" t="s">
        <v>1149</v>
      </c>
      <c r="H1126" s="25">
        <f t="shared" si="18"/>
        <v>1.925173504932598E-2</v>
      </c>
    </row>
    <row r="1127" spans="2:8">
      <c r="B1127" s="55">
        <v>370.57</v>
      </c>
      <c r="C1127" s="55">
        <v>382.95</v>
      </c>
      <c r="D1127" s="55">
        <v>366.45350000000002</v>
      </c>
      <c r="E1127" s="55">
        <v>382.62</v>
      </c>
      <c r="F1127" s="55">
        <v>2210830</v>
      </c>
      <c r="G1127" s="55" t="s">
        <v>1150</v>
      </c>
      <c r="H1127" s="25">
        <f t="shared" si="18"/>
        <v>-3.1493387695363584E-2</v>
      </c>
    </row>
    <row r="1128" spans="2:8">
      <c r="B1128" s="55">
        <v>384.66</v>
      </c>
      <c r="C1128" s="55">
        <v>388.51</v>
      </c>
      <c r="D1128" s="55">
        <v>378.5</v>
      </c>
      <c r="E1128" s="55">
        <v>384.15</v>
      </c>
      <c r="F1128" s="55">
        <v>2071651</v>
      </c>
      <c r="G1128" s="55" t="s">
        <v>1151</v>
      </c>
      <c r="H1128" s="25">
        <f t="shared" si="18"/>
        <v>1.3276064037486268E-3</v>
      </c>
    </row>
    <row r="1129" spans="2:8">
      <c r="B1129" s="55">
        <v>390.62</v>
      </c>
      <c r="C1129" s="55">
        <v>404.43</v>
      </c>
      <c r="D1129" s="55">
        <v>386.45</v>
      </c>
      <c r="E1129" s="55">
        <v>402.48</v>
      </c>
      <c r="F1129" s="55">
        <v>1718386</v>
      </c>
      <c r="G1129" s="55" t="s">
        <v>1152</v>
      </c>
      <c r="H1129" s="25">
        <f t="shared" si="18"/>
        <v>-2.9467302723116706E-2</v>
      </c>
    </row>
    <row r="1130" spans="2:8">
      <c r="B1130" s="55">
        <v>402.48</v>
      </c>
      <c r="C1130" s="55">
        <v>405</v>
      </c>
      <c r="D1130" s="55">
        <v>385.15</v>
      </c>
      <c r="E1130" s="55">
        <v>394.08</v>
      </c>
      <c r="F1130" s="55">
        <v>1901280</v>
      </c>
      <c r="G1130" s="55" t="s">
        <v>1153</v>
      </c>
      <c r="H1130" s="25">
        <f t="shared" si="18"/>
        <v>2.1315468940316773E-2</v>
      </c>
    </row>
    <row r="1131" spans="2:8">
      <c r="B1131" s="55">
        <v>395.09</v>
      </c>
      <c r="C1131" s="55">
        <v>399.815</v>
      </c>
      <c r="D1131" s="55">
        <v>391</v>
      </c>
      <c r="E1131" s="55">
        <v>398.28</v>
      </c>
      <c r="F1131" s="55">
        <v>1431990</v>
      </c>
      <c r="G1131" s="55" t="s">
        <v>1154</v>
      </c>
      <c r="H1131" s="25">
        <f t="shared" si="18"/>
        <v>-8.0094405945565494E-3</v>
      </c>
    </row>
    <row r="1132" spans="2:8">
      <c r="B1132" s="55">
        <v>403.75</v>
      </c>
      <c r="C1132" s="55">
        <v>414.88</v>
      </c>
      <c r="D1132" s="55">
        <v>401.476</v>
      </c>
      <c r="E1132" s="55">
        <v>412.67</v>
      </c>
      <c r="F1132" s="55">
        <v>1142024</v>
      </c>
      <c r="G1132" s="55" t="s">
        <v>1155</v>
      </c>
      <c r="H1132" s="25">
        <f t="shared" si="18"/>
        <v>-2.1615334286475885E-2</v>
      </c>
    </row>
    <row r="1133" spans="2:8">
      <c r="B1133" s="55">
        <v>409.58</v>
      </c>
      <c r="C1133" s="55">
        <v>421.39</v>
      </c>
      <c r="D1133" s="55">
        <v>402.32</v>
      </c>
      <c r="E1133" s="55">
        <v>410</v>
      </c>
      <c r="F1133" s="55">
        <v>2641259</v>
      </c>
      <c r="G1133" s="55" t="s">
        <v>1156</v>
      </c>
      <c r="H1133" s="25">
        <f t="shared" si="18"/>
        <v>-1.0243902439024399E-3</v>
      </c>
    </row>
    <row r="1134" spans="2:8">
      <c r="B1134" s="55">
        <v>416.92</v>
      </c>
      <c r="C1134" s="55">
        <v>427.47430000000003</v>
      </c>
      <c r="D1134" s="55">
        <v>415.84</v>
      </c>
      <c r="E1134" s="55">
        <v>426.81</v>
      </c>
      <c r="F1134" s="55">
        <v>3002090</v>
      </c>
      <c r="G1134" s="55" t="s">
        <v>1157</v>
      </c>
      <c r="H1134" s="25">
        <f t="shared" si="18"/>
        <v>-2.3171903188772491E-2</v>
      </c>
    </row>
    <row r="1135" spans="2:8">
      <c r="B1135" s="55">
        <v>426</v>
      </c>
      <c r="C1135" s="55">
        <v>436.38</v>
      </c>
      <c r="D1135" s="55">
        <v>421.47</v>
      </c>
      <c r="E1135" s="55">
        <v>434.95</v>
      </c>
      <c r="F1135" s="55">
        <v>1858561</v>
      </c>
      <c r="G1135" s="55" t="s">
        <v>1158</v>
      </c>
      <c r="H1135" s="25">
        <f t="shared" si="18"/>
        <v>-2.0577077825037371E-2</v>
      </c>
    </row>
    <row r="1136" spans="2:8">
      <c r="B1136" s="55">
        <v>434.95</v>
      </c>
      <c r="C1136" s="55">
        <v>442.5</v>
      </c>
      <c r="D1136" s="55">
        <v>431.66</v>
      </c>
      <c r="E1136" s="55">
        <v>434.97</v>
      </c>
      <c r="F1136" s="55">
        <v>1223438</v>
      </c>
      <c r="G1136" s="55" t="s">
        <v>1159</v>
      </c>
      <c r="H1136" s="25">
        <f t="shared" si="18"/>
        <v>-4.5980182541427439E-5</v>
      </c>
    </row>
    <row r="1137" spans="2:8">
      <c r="B1137" s="55">
        <v>423.54</v>
      </c>
      <c r="C1137" s="55">
        <v>436.54</v>
      </c>
      <c r="D1137" s="55">
        <v>413.06</v>
      </c>
      <c r="E1137" s="55">
        <v>435.72</v>
      </c>
      <c r="F1137" s="55">
        <v>1479902</v>
      </c>
      <c r="G1137" s="55" t="s">
        <v>1160</v>
      </c>
      <c r="H1137" s="25">
        <f t="shared" si="18"/>
        <v>-2.7953731754337685E-2</v>
      </c>
    </row>
    <row r="1138" spans="2:8">
      <c r="B1138" s="55">
        <v>435.72</v>
      </c>
      <c r="C1138" s="55">
        <v>454.94</v>
      </c>
      <c r="D1138" s="55">
        <v>430.67</v>
      </c>
      <c r="E1138" s="55">
        <v>453.43</v>
      </c>
      <c r="F1138" s="55">
        <v>1279188</v>
      </c>
      <c r="G1138" s="55" t="s">
        <v>1161</v>
      </c>
      <c r="H1138" s="25">
        <f t="shared" si="18"/>
        <v>-3.9057847958891112E-2</v>
      </c>
    </row>
    <row r="1139" spans="2:8">
      <c r="B1139" s="55">
        <v>450.68</v>
      </c>
      <c r="C1139" s="55">
        <v>454</v>
      </c>
      <c r="D1139" s="55">
        <v>441.4</v>
      </c>
      <c r="E1139" s="55">
        <v>447.5</v>
      </c>
      <c r="F1139" s="55">
        <v>833141</v>
      </c>
      <c r="G1139" s="55" t="s">
        <v>1162</v>
      </c>
      <c r="H1139" s="25">
        <f t="shared" si="18"/>
        <v>7.1061452513967449E-3</v>
      </c>
    </row>
    <row r="1140" spans="2:8">
      <c r="B1140" s="55">
        <v>448.43</v>
      </c>
      <c r="C1140" s="55">
        <v>467.98</v>
      </c>
      <c r="D1140" s="55">
        <v>447.96</v>
      </c>
      <c r="E1140" s="55">
        <v>459.55</v>
      </c>
      <c r="F1140" s="55">
        <v>892464</v>
      </c>
      <c r="G1140" s="55" t="s">
        <v>1163</v>
      </c>
      <c r="H1140" s="25">
        <f t="shared" si="18"/>
        <v>-2.41975845936242E-2</v>
      </c>
    </row>
    <row r="1141" spans="2:8">
      <c r="B1141" s="55">
        <v>454.41</v>
      </c>
      <c r="C1141" s="55">
        <v>468.77</v>
      </c>
      <c r="D1141" s="55">
        <v>452.2</v>
      </c>
      <c r="E1141" s="55">
        <v>463.19</v>
      </c>
      <c r="F1141" s="55">
        <v>1266302</v>
      </c>
      <c r="G1141" s="55" t="s">
        <v>1164</v>
      </c>
      <c r="H1141" s="25">
        <f t="shared" si="18"/>
        <v>-1.8955504220730113E-2</v>
      </c>
    </row>
    <row r="1142" spans="2:8">
      <c r="B1142" s="55">
        <v>463.26</v>
      </c>
      <c r="C1142" s="55">
        <v>466.72</v>
      </c>
      <c r="D1142" s="55">
        <v>455.5</v>
      </c>
      <c r="E1142" s="55">
        <v>458.5</v>
      </c>
      <c r="F1142" s="55">
        <v>758969</v>
      </c>
      <c r="G1142" s="55" t="s">
        <v>1165</v>
      </c>
      <c r="H1142" s="25">
        <f t="shared" si="18"/>
        <v>1.0381679389313003E-2</v>
      </c>
    </row>
    <row r="1143" spans="2:8">
      <c r="B1143" s="55">
        <v>456.58</v>
      </c>
      <c r="C1143" s="55">
        <v>462.11</v>
      </c>
      <c r="D1143" s="55">
        <v>453.64</v>
      </c>
      <c r="E1143" s="55">
        <v>460.18</v>
      </c>
      <c r="F1143" s="55">
        <v>418662</v>
      </c>
      <c r="G1143" s="55" t="s">
        <v>1166</v>
      </c>
      <c r="H1143" s="25">
        <f t="shared" si="18"/>
        <v>-7.8230257725238062E-3</v>
      </c>
    </row>
    <row r="1144" spans="2:8">
      <c r="B1144" s="55">
        <v>457.86</v>
      </c>
      <c r="C1144" s="55">
        <v>458.39</v>
      </c>
      <c r="D1144" s="55">
        <v>446.58</v>
      </c>
      <c r="E1144" s="55">
        <v>452.51</v>
      </c>
      <c r="F1144" s="55">
        <v>633808</v>
      </c>
      <c r="G1144" s="55" t="s">
        <v>1167</v>
      </c>
      <c r="H1144" s="25">
        <f t="shared" si="18"/>
        <v>1.182294313937815E-2</v>
      </c>
    </row>
    <row r="1145" spans="2:8">
      <c r="B1145" s="55">
        <v>458.76</v>
      </c>
      <c r="C1145" s="55">
        <v>465.38630000000001</v>
      </c>
      <c r="D1145" s="55">
        <v>454.78</v>
      </c>
      <c r="E1145" s="55">
        <v>460.71</v>
      </c>
      <c r="F1145" s="55">
        <v>600801</v>
      </c>
      <c r="G1145" s="55" t="s">
        <v>1168</v>
      </c>
      <c r="H1145" s="25">
        <f t="shared" si="18"/>
        <v>-4.232597512535019E-3</v>
      </c>
    </row>
    <row r="1146" spans="2:8">
      <c r="B1146" s="55">
        <v>460.93</v>
      </c>
      <c r="C1146" s="55">
        <v>473.43</v>
      </c>
      <c r="D1146" s="55">
        <v>458.26909999999998</v>
      </c>
      <c r="E1146" s="55">
        <v>473.43</v>
      </c>
      <c r="F1146" s="55">
        <v>796286</v>
      </c>
      <c r="G1146" s="55" t="s">
        <v>1169</v>
      </c>
      <c r="H1146" s="25">
        <f t="shared" si="18"/>
        <v>-2.6403058530300116E-2</v>
      </c>
    </row>
    <row r="1147" spans="2:8">
      <c r="B1147" s="55">
        <v>473</v>
      </c>
      <c r="C1147" s="55">
        <v>478.28</v>
      </c>
      <c r="D1147" s="55">
        <v>469.09</v>
      </c>
      <c r="E1147" s="55">
        <v>474.35</v>
      </c>
      <c r="F1147" s="55">
        <v>872361</v>
      </c>
      <c r="G1147" s="55" t="s">
        <v>1170</v>
      </c>
      <c r="H1147" s="25">
        <f t="shared" ref="H1147:H1210" si="19">B1147/E1147-1</f>
        <v>-2.8459997891852051E-3</v>
      </c>
    </row>
    <row r="1148" spans="2:8">
      <c r="B1148" s="55">
        <v>473.24</v>
      </c>
      <c r="C1148" s="55">
        <v>474.06</v>
      </c>
      <c r="D1148" s="55">
        <v>462.05</v>
      </c>
      <c r="E1148" s="55">
        <v>469</v>
      </c>
      <c r="F1148" s="55">
        <v>750504</v>
      </c>
      <c r="G1148" s="55" t="s">
        <v>1171</v>
      </c>
      <c r="H1148" s="25">
        <f t="shared" si="19"/>
        <v>9.0405117270788704E-3</v>
      </c>
    </row>
    <row r="1149" spans="2:8">
      <c r="B1149" s="55">
        <v>465.84</v>
      </c>
      <c r="C1149" s="55">
        <v>477.8</v>
      </c>
      <c r="D1149" s="55">
        <v>465.34</v>
      </c>
      <c r="E1149" s="55">
        <v>476.78</v>
      </c>
      <c r="F1149" s="55">
        <v>866710</v>
      </c>
      <c r="G1149" s="55" t="s">
        <v>1172</v>
      </c>
      <c r="H1149" s="25">
        <f t="shared" si="19"/>
        <v>-2.2945593355426008E-2</v>
      </c>
    </row>
    <row r="1150" spans="2:8">
      <c r="B1150" s="55">
        <v>477.91</v>
      </c>
      <c r="C1150" s="55">
        <v>485.82499999999999</v>
      </c>
      <c r="D1150" s="55">
        <v>463.73</v>
      </c>
      <c r="E1150" s="55">
        <v>464.51</v>
      </c>
      <c r="F1150" s="55">
        <v>1390054</v>
      </c>
      <c r="G1150" s="55" t="s">
        <v>1173</v>
      </c>
      <c r="H1150" s="25">
        <f t="shared" si="19"/>
        <v>2.8847602850315512E-2</v>
      </c>
    </row>
    <row r="1151" spans="2:8">
      <c r="B1151" s="55">
        <v>461.96</v>
      </c>
      <c r="C1151" s="55">
        <v>464.66989999999998</v>
      </c>
      <c r="D1151" s="55">
        <v>454.66</v>
      </c>
      <c r="E1151" s="55">
        <v>455.75</v>
      </c>
      <c r="F1151" s="55">
        <v>737949</v>
      </c>
      <c r="G1151" s="55" t="s">
        <v>1174</v>
      </c>
      <c r="H1151" s="25">
        <f t="shared" si="19"/>
        <v>1.362589138782222E-2</v>
      </c>
    </row>
    <row r="1152" spans="2:8">
      <c r="B1152" s="55">
        <v>452.59</v>
      </c>
      <c r="C1152" s="55">
        <v>457.44</v>
      </c>
      <c r="D1152" s="55">
        <v>450.61</v>
      </c>
      <c r="E1152" s="55">
        <v>457.44</v>
      </c>
      <c r="F1152" s="55">
        <v>721597</v>
      </c>
      <c r="G1152" s="55" t="s">
        <v>1175</v>
      </c>
      <c r="H1152" s="25">
        <f t="shared" si="19"/>
        <v>-1.0602483385799277E-2</v>
      </c>
    </row>
    <row r="1153" spans="2:8">
      <c r="B1153" s="55">
        <v>453</v>
      </c>
      <c r="C1153" s="55">
        <v>462.91</v>
      </c>
      <c r="D1153" s="55">
        <v>452.51</v>
      </c>
      <c r="E1153" s="55">
        <v>461.5</v>
      </c>
      <c r="F1153" s="55">
        <v>507066</v>
      </c>
      <c r="G1153" s="55" t="s">
        <v>1176</v>
      </c>
      <c r="H1153" s="25">
        <f t="shared" si="19"/>
        <v>-1.8418201516793076E-2</v>
      </c>
    </row>
    <row r="1154" spans="2:8">
      <c r="B1154" s="55">
        <v>457.36</v>
      </c>
      <c r="C1154" s="55">
        <v>467.56</v>
      </c>
      <c r="D1154" s="55">
        <v>453.85</v>
      </c>
      <c r="E1154" s="55">
        <v>464.55</v>
      </c>
      <c r="F1154" s="55">
        <v>647748</v>
      </c>
      <c r="G1154" s="55" t="s">
        <v>1177</v>
      </c>
      <c r="H1154" s="25">
        <f t="shared" si="19"/>
        <v>-1.5477343665913246E-2</v>
      </c>
    </row>
    <row r="1155" spans="2:8">
      <c r="B1155" s="55">
        <v>470.24</v>
      </c>
      <c r="C1155" s="55">
        <v>471.8399</v>
      </c>
      <c r="D1155" s="55">
        <v>465.3</v>
      </c>
      <c r="E1155" s="55">
        <v>466.84</v>
      </c>
      <c r="F1155" s="55">
        <v>613642</v>
      </c>
      <c r="G1155" s="55" t="s">
        <v>1178</v>
      </c>
      <c r="H1155" s="25">
        <f t="shared" si="19"/>
        <v>7.2830091680233799E-3</v>
      </c>
    </row>
    <row r="1156" spans="2:8">
      <c r="B1156" s="55">
        <v>466.14</v>
      </c>
      <c r="C1156" s="55">
        <v>471.82</v>
      </c>
      <c r="D1156" s="55">
        <v>456.755</v>
      </c>
      <c r="E1156" s="55">
        <v>471.82</v>
      </c>
      <c r="F1156" s="55">
        <v>736532</v>
      </c>
      <c r="G1156" s="55" t="s">
        <v>1179</v>
      </c>
      <c r="H1156" s="25">
        <f t="shared" si="19"/>
        <v>-1.2038489254376672E-2</v>
      </c>
    </row>
    <row r="1157" spans="2:8">
      <c r="B1157" s="55">
        <v>467.91</v>
      </c>
      <c r="C1157" s="55">
        <v>477.37900000000002</v>
      </c>
      <c r="D1157" s="55">
        <v>465.78</v>
      </c>
      <c r="E1157" s="55">
        <v>474.28</v>
      </c>
      <c r="F1157" s="55">
        <v>817628</v>
      </c>
      <c r="G1157" s="55" t="s">
        <v>1180</v>
      </c>
      <c r="H1157" s="25">
        <f t="shared" si="19"/>
        <v>-1.3430884709454194E-2</v>
      </c>
    </row>
    <row r="1158" spans="2:8">
      <c r="B1158" s="55">
        <v>473.94</v>
      </c>
      <c r="C1158" s="55">
        <v>478.66</v>
      </c>
      <c r="D1158" s="55">
        <v>469.02</v>
      </c>
      <c r="E1158" s="55">
        <v>469.93</v>
      </c>
      <c r="F1158" s="55">
        <v>676950</v>
      </c>
      <c r="G1158" s="55" t="s">
        <v>1181</v>
      </c>
      <c r="H1158" s="25">
        <f t="shared" si="19"/>
        <v>8.533185793628828E-3</v>
      </c>
    </row>
    <row r="1159" spans="2:8">
      <c r="B1159" s="55">
        <v>467.48</v>
      </c>
      <c r="C1159" s="55">
        <v>469.09500000000003</v>
      </c>
      <c r="D1159" s="55">
        <v>462.16</v>
      </c>
      <c r="E1159" s="55">
        <v>466.13</v>
      </c>
      <c r="F1159" s="55">
        <v>561849</v>
      </c>
      <c r="G1159" s="55" t="s">
        <v>1182</v>
      </c>
      <c r="H1159" s="25">
        <f t="shared" si="19"/>
        <v>2.8961877587798668E-3</v>
      </c>
    </row>
    <row r="1160" spans="2:8">
      <c r="B1160" s="55">
        <v>464.64</v>
      </c>
      <c r="C1160" s="55">
        <v>470.11</v>
      </c>
      <c r="D1160" s="55">
        <v>460.76499999999999</v>
      </c>
      <c r="E1160" s="55">
        <v>461.5</v>
      </c>
      <c r="F1160" s="55">
        <v>676907</v>
      </c>
      <c r="G1160" s="55" t="s">
        <v>1183</v>
      </c>
      <c r="H1160" s="25">
        <f t="shared" si="19"/>
        <v>6.8039003250270902E-3</v>
      </c>
    </row>
    <row r="1161" spans="2:8">
      <c r="B1161" s="55">
        <v>458.88</v>
      </c>
      <c r="C1161" s="55">
        <v>469.44</v>
      </c>
      <c r="D1161" s="55">
        <v>456.1</v>
      </c>
      <c r="E1161" s="55">
        <v>468</v>
      </c>
      <c r="F1161" s="55">
        <v>788898</v>
      </c>
      <c r="G1161" s="55" t="s">
        <v>1184</v>
      </c>
      <c r="H1161" s="25">
        <f t="shared" si="19"/>
        <v>-1.9487179487179485E-2</v>
      </c>
    </row>
    <row r="1162" spans="2:8">
      <c r="B1162" s="55">
        <v>466.01</v>
      </c>
      <c r="C1162" s="55">
        <v>467.04</v>
      </c>
      <c r="D1162" s="55">
        <v>446.08</v>
      </c>
      <c r="E1162" s="55">
        <v>446.62</v>
      </c>
      <c r="F1162" s="55">
        <v>1346225</v>
      </c>
      <c r="G1162" s="55" t="s">
        <v>1185</v>
      </c>
      <c r="H1162" s="25">
        <f t="shared" si="19"/>
        <v>4.3414983655008621E-2</v>
      </c>
    </row>
    <row r="1163" spans="2:8">
      <c r="B1163" s="55">
        <v>443.46</v>
      </c>
      <c r="C1163" s="55">
        <v>443.6</v>
      </c>
      <c r="D1163" s="55">
        <v>435.31</v>
      </c>
      <c r="E1163" s="55">
        <v>435.31</v>
      </c>
      <c r="F1163" s="55">
        <v>687723</v>
      </c>
      <c r="G1163" s="55" t="s">
        <v>1186</v>
      </c>
      <c r="H1163" s="25">
        <f t="shared" si="19"/>
        <v>1.8722289862396879E-2</v>
      </c>
    </row>
    <row r="1164" spans="2:8">
      <c r="B1164" s="55">
        <v>433.7</v>
      </c>
      <c r="C1164" s="55">
        <v>438.36</v>
      </c>
      <c r="D1164" s="55">
        <v>428</v>
      </c>
      <c r="E1164" s="55">
        <v>432.95</v>
      </c>
      <c r="F1164" s="55">
        <v>533895</v>
      </c>
      <c r="G1164" s="55" t="s">
        <v>1187</v>
      </c>
      <c r="H1164" s="25">
        <f t="shared" si="19"/>
        <v>1.7323016514609879E-3</v>
      </c>
    </row>
    <row r="1165" spans="2:8">
      <c r="B1165" s="55">
        <v>432.73</v>
      </c>
      <c r="C1165" s="55">
        <v>435</v>
      </c>
      <c r="D1165" s="55">
        <v>427.11</v>
      </c>
      <c r="E1165" s="55">
        <v>431</v>
      </c>
      <c r="F1165" s="55">
        <v>630146</v>
      </c>
      <c r="G1165" s="55" t="s">
        <v>1188</v>
      </c>
      <c r="H1165" s="25">
        <f t="shared" si="19"/>
        <v>4.0139211136891451E-3</v>
      </c>
    </row>
    <row r="1166" spans="2:8">
      <c r="B1166" s="55">
        <v>427.94</v>
      </c>
      <c r="C1166" s="55">
        <v>430</v>
      </c>
      <c r="D1166" s="55">
        <v>423.03</v>
      </c>
      <c r="E1166" s="55">
        <v>423.74</v>
      </c>
      <c r="F1166" s="55">
        <v>636933</v>
      </c>
      <c r="G1166" s="55" t="s">
        <v>1189</v>
      </c>
      <c r="H1166" s="25">
        <f t="shared" si="19"/>
        <v>9.9117383301081663E-3</v>
      </c>
    </row>
    <row r="1167" spans="2:8">
      <c r="B1167" s="55">
        <v>421.73</v>
      </c>
      <c r="C1167" s="55">
        <v>424.57</v>
      </c>
      <c r="D1167" s="55">
        <v>418.90390000000002</v>
      </c>
      <c r="E1167" s="55">
        <v>422.49</v>
      </c>
      <c r="F1167" s="55">
        <v>444732</v>
      </c>
      <c r="G1167" s="55" t="s">
        <v>1190</v>
      </c>
      <c r="H1167" s="25">
        <f t="shared" si="19"/>
        <v>-1.7988591445950997E-3</v>
      </c>
    </row>
    <row r="1168" spans="2:8">
      <c r="B1168" s="55">
        <v>424.04</v>
      </c>
      <c r="C1168" s="55">
        <v>424.85</v>
      </c>
      <c r="D1168" s="55">
        <v>416.14</v>
      </c>
      <c r="E1168" s="55">
        <v>416.27</v>
      </c>
      <c r="F1168" s="55">
        <v>566774</v>
      </c>
      <c r="G1168" s="55" t="s">
        <v>1191</v>
      </c>
      <c r="H1168" s="25">
        <f t="shared" si="19"/>
        <v>1.8665769812861832E-2</v>
      </c>
    </row>
    <row r="1169" spans="2:8">
      <c r="B1169" s="55">
        <v>414.4</v>
      </c>
      <c r="C1169" s="55">
        <v>423.8999</v>
      </c>
      <c r="D1169" s="55">
        <v>413.66</v>
      </c>
      <c r="E1169" s="55">
        <v>419.66</v>
      </c>
      <c r="F1169" s="55">
        <v>524832</v>
      </c>
      <c r="G1169" s="55" t="s">
        <v>1192</v>
      </c>
      <c r="H1169" s="25">
        <f t="shared" si="19"/>
        <v>-1.253395605966745E-2</v>
      </c>
    </row>
    <row r="1170" spans="2:8">
      <c r="B1170" s="55">
        <v>416.64</v>
      </c>
      <c r="C1170" s="55">
        <v>420.58</v>
      </c>
      <c r="D1170" s="55">
        <v>414.315</v>
      </c>
      <c r="E1170" s="55">
        <v>417.64</v>
      </c>
      <c r="F1170" s="55">
        <v>493682</v>
      </c>
      <c r="G1170" s="55" t="s">
        <v>1193</v>
      </c>
      <c r="H1170" s="25">
        <f t="shared" si="19"/>
        <v>-2.3944066660281926E-3</v>
      </c>
    </row>
    <row r="1171" spans="2:8">
      <c r="B1171" s="55">
        <v>417.38</v>
      </c>
      <c r="C1171" s="55">
        <v>417.62</v>
      </c>
      <c r="D1171" s="55">
        <v>400.3</v>
      </c>
      <c r="E1171" s="55">
        <v>401.25</v>
      </c>
      <c r="F1171" s="55">
        <v>647713</v>
      </c>
      <c r="G1171" s="55" t="s">
        <v>1194</v>
      </c>
      <c r="H1171" s="25">
        <f t="shared" si="19"/>
        <v>4.0199376947040566E-2</v>
      </c>
    </row>
    <row r="1172" spans="2:8">
      <c r="B1172" s="55">
        <v>403.51</v>
      </c>
      <c r="C1172" s="55">
        <v>409.4058</v>
      </c>
      <c r="D1172" s="55">
        <v>403</v>
      </c>
      <c r="E1172" s="55">
        <v>408.09</v>
      </c>
      <c r="F1172" s="55">
        <v>815710</v>
      </c>
      <c r="G1172" s="55" t="s">
        <v>1195</v>
      </c>
      <c r="H1172" s="25">
        <f t="shared" si="19"/>
        <v>-1.12230145311083E-2</v>
      </c>
    </row>
    <row r="1173" spans="2:8">
      <c r="B1173" s="55">
        <v>406.99</v>
      </c>
      <c r="C1173" s="55">
        <v>410.67899999999997</v>
      </c>
      <c r="D1173" s="55">
        <v>402.08</v>
      </c>
      <c r="E1173" s="55">
        <v>404.48</v>
      </c>
      <c r="F1173" s="55">
        <v>708782</v>
      </c>
      <c r="G1173" s="55" t="s">
        <v>1196</v>
      </c>
      <c r="H1173" s="25">
        <f t="shared" si="19"/>
        <v>6.2054984177215555E-3</v>
      </c>
    </row>
    <row r="1174" spans="2:8">
      <c r="B1174" s="55">
        <v>400.71</v>
      </c>
      <c r="C1174" s="55">
        <v>402.07</v>
      </c>
      <c r="D1174" s="55">
        <v>388.33</v>
      </c>
      <c r="E1174" s="55">
        <v>390.37</v>
      </c>
      <c r="F1174" s="55">
        <v>1451476</v>
      </c>
      <c r="G1174" s="55" t="s">
        <v>1197</v>
      </c>
      <c r="H1174" s="25">
        <f t="shared" si="19"/>
        <v>2.6487691164792215E-2</v>
      </c>
    </row>
    <row r="1175" spans="2:8">
      <c r="B1175" s="55">
        <v>384.57</v>
      </c>
      <c r="C1175" s="55">
        <v>389.74</v>
      </c>
      <c r="D1175" s="55">
        <v>383.24</v>
      </c>
      <c r="E1175" s="55">
        <v>388.44</v>
      </c>
      <c r="F1175" s="55">
        <v>828185</v>
      </c>
      <c r="G1175" s="55" t="s">
        <v>1198</v>
      </c>
      <c r="H1175" s="25">
        <f t="shared" si="19"/>
        <v>-9.9629286376274884E-3</v>
      </c>
    </row>
    <row r="1176" spans="2:8">
      <c r="B1176" s="55">
        <v>386.04</v>
      </c>
      <c r="C1176" s="55">
        <v>399.4</v>
      </c>
      <c r="D1176" s="55">
        <v>385.61</v>
      </c>
      <c r="E1176" s="55">
        <v>399.4</v>
      </c>
      <c r="F1176" s="55">
        <v>790587</v>
      </c>
      <c r="G1176" s="55" t="s">
        <v>1199</v>
      </c>
      <c r="H1176" s="25">
        <f t="shared" si="19"/>
        <v>-3.3450175262894288E-2</v>
      </c>
    </row>
    <row r="1177" spans="2:8">
      <c r="B1177" s="55">
        <v>397.22</v>
      </c>
      <c r="C1177" s="55">
        <v>401.755</v>
      </c>
      <c r="D1177" s="55">
        <v>393.72</v>
      </c>
      <c r="E1177" s="55">
        <v>401.41</v>
      </c>
      <c r="F1177" s="55">
        <v>560705</v>
      </c>
      <c r="G1177" s="55" t="s">
        <v>1200</v>
      </c>
      <c r="H1177" s="25">
        <f t="shared" si="19"/>
        <v>-1.0438205326225081E-2</v>
      </c>
    </row>
    <row r="1178" spans="2:8">
      <c r="B1178" s="55">
        <v>399.72</v>
      </c>
      <c r="C1178" s="55">
        <v>408.61</v>
      </c>
      <c r="D1178" s="55">
        <v>398.4</v>
      </c>
      <c r="E1178" s="55">
        <v>401.01</v>
      </c>
      <c r="F1178" s="55">
        <v>708742</v>
      </c>
      <c r="G1178" s="55" t="s">
        <v>1201</v>
      </c>
      <c r="H1178" s="25">
        <f t="shared" si="19"/>
        <v>-3.2168773846037446E-3</v>
      </c>
    </row>
    <row r="1179" spans="2:8">
      <c r="B1179" s="55">
        <v>398.13</v>
      </c>
      <c r="C1179" s="55">
        <v>400.68</v>
      </c>
      <c r="D1179" s="55">
        <v>392.52</v>
      </c>
      <c r="E1179" s="55">
        <v>392.66</v>
      </c>
      <c r="F1179" s="55">
        <v>810978</v>
      </c>
      <c r="G1179" s="55" t="s">
        <v>1202</v>
      </c>
      <c r="H1179" s="25">
        <f t="shared" si="19"/>
        <v>1.3930627005551699E-2</v>
      </c>
    </row>
    <row r="1180" spans="2:8">
      <c r="B1180" s="55">
        <v>397.12</v>
      </c>
      <c r="C1180" s="55">
        <v>404.81</v>
      </c>
      <c r="D1180" s="55">
        <v>396.68</v>
      </c>
      <c r="E1180" s="55">
        <v>399.07</v>
      </c>
      <c r="F1180" s="55">
        <v>818403</v>
      </c>
      <c r="G1180" s="55" t="s">
        <v>1203</v>
      </c>
      <c r="H1180" s="25">
        <f t="shared" si="19"/>
        <v>-4.8863607888339766E-3</v>
      </c>
    </row>
    <row r="1181" spans="2:8">
      <c r="B1181" s="55">
        <v>392.57</v>
      </c>
      <c r="C1181" s="55">
        <v>401.46350000000001</v>
      </c>
      <c r="D1181" s="55">
        <v>390.41570000000002</v>
      </c>
      <c r="E1181" s="55">
        <v>401.31</v>
      </c>
      <c r="F1181" s="55">
        <v>956554</v>
      </c>
      <c r="G1181" s="55" t="s">
        <v>1204</v>
      </c>
      <c r="H1181" s="25">
        <f t="shared" si="19"/>
        <v>-2.177867483989937E-2</v>
      </c>
    </row>
    <row r="1182" spans="2:8">
      <c r="B1182" s="55">
        <v>401.37</v>
      </c>
      <c r="C1182" s="55">
        <v>408.19</v>
      </c>
      <c r="D1182" s="55">
        <v>399.38</v>
      </c>
      <c r="E1182" s="55">
        <v>407.52</v>
      </c>
      <c r="F1182" s="55">
        <v>787834</v>
      </c>
      <c r="G1182" s="55" t="s">
        <v>1205</v>
      </c>
      <c r="H1182" s="25">
        <f t="shared" si="19"/>
        <v>-1.5091283863368665E-2</v>
      </c>
    </row>
    <row r="1183" spans="2:8">
      <c r="B1183" s="55">
        <v>404.7</v>
      </c>
      <c r="C1183" s="55">
        <v>411.3</v>
      </c>
      <c r="D1183" s="55">
        <v>403.32</v>
      </c>
      <c r="E1183" s="55">
        <v>410.28</v>
      </c>
      <c r="F1183" s="55">
        <v>798632</v>
      </c>
      <c r="G1183" s="55" t="s">
        <v>1206</v>
      </c>
      <c r="H1183" s="25">
        <f t="shared" si="19"/>
        <v>-1.3600467973091557E-2</v>
      </c>
    </row>
    <row r="1184" spans="2:8">
      <c r="B1184" s="55">
        <v>410.22</v>
      </c>
      <c r="C1184" s="55">
        <v>419</v>
      </c>
      <c r="D1184" s="55">
        <v>408.5</v>
      </c>
      <c r="E1184" s="55">
        <v>418.07</v>
      </c>
      <c r="F1184" s="55">
        <v>899112</v>
      </c>
      <c r="G1184" s="55" t="s">
        <v>1207</v>
      </c>
      <c r="H1184" s="25">
        <f t="shared" si="19"/>
        <v>-1.8776759872748516E-2</v>
      </c>
    </row>
    <row r="1185" spans="2:8">
      <c r="B1185" s="55">
        <v>414.54</v>
      </c>
      <c r="C1185" s="55">
        <v>429.45</v>
      </c>
      <c r="D1185" s="55">
        <v>413.7</v>
      </c>
      <c r="E1185" s="55">
        <v>427.89</v>
      </c>
      <c r="F1185" s="55">
        <v>1149465</v>
      </c>
      <c r="G1185" s="55" t="s">
        <v>1208</v>
      </c>
      <c r="H1185" s="25">
        <f t="shared" si="19"/>
        <v>-3.1199607375727356E-2</v>
      </c>
    </row>
    <row r="1186" spans="2:8">
      <c r="B1186" s="55">
        <v>430.72</v>
      </c>
      <c r="C1186" s="55">
        <v>434.93</v>
      </c>
      <c r="D1186" s="55">
        <v>427.81</v>
      </c>
      <c r="E1186" s="55">
        <v>430.48</v>
      </c>
      <c r="F1186" s="55">
        <v>698297</v>
      </c>
      <c r="G1186" s="55" t="s">
        <v>1209</v>
      </c>
      <c r="H1186" s="25">
        <f t="shared" si="19"/>
        <v>5.5751719011332135E-4</v>
      </c>
    </row>
    <row r="1187" spans="2:8">
      <c r="B1187" s="55">
        <v>432.61</v>
      </c>
      <c r="C1187" s="55">
        <v>433.61</v>
      </c>
      <c r="D1187" s="55">
        <v>424.07</v>
      </c>
      <c r="E1187" s="55">
        <v>427.44</v>
      </c>
      <c r="F1187" s="55">
        <v>873339</v>
      </c>
      <c r="G1187" s="55" t="s">
        <v>1210</v>
      </c>
      <c r="H1187" s="25">
        <f t="shared" si="19"/>
        <v>1.2095264832491237E-2</v>
      </c>
    </row>
    <row r="1188" spans="2:8">
      <c r="B1188" s="55">
        <v>431.91</v>
      </c>
      <c r="C1188" s="55">
        <v>437.32</v>
      </c>
      <c r="D1188" s="55">
        <v>430</v>
      </c>
      <c r="E1188" s="55">
        <v>433</v>
      </c>
      <c r="F1188" s="55">
        <v>1490115</v>
      </c>
      <c r="G1188" s="55" t="s">
        <v>1211</v>
      </c>
      <c r="H1188" s="25">
        <f t="shared" si="19"/>
        <v>-2.5173210161661963E-3</v>
      </c>
    </row>
    <row r="1189" spans="2:8">
      <c r="B1189" s="55">
        <v>431.18</v>
      </c>
      <c r="C1189" s="55">
        <v>431.28</v>
      </c>
      <c r="D1189" s="55">
        <v>422.01</v>
      </c>
      <c r="E1189" s="55">
        <v>425.12</v>
      </c>
      <c r="F1189" s="55">
        <v>948517</v>
      </c>
      <c r="G1189" s="55" t="s">
        <v>1212</v>
      </c>
      <c r="H1189" s="25">
        <f t="shared" si="19"/>
        <v>1.4254798645088496E-2</v>
      </c>
    </row>
    <row r="1190" spans="2:8">
      <c r="B1190" s="55">
        <v>424.19</v>
      </c>
      <c r="C1190" s="55">
        <v>426.7</v>
      </c>
      <c r="D1190" s="55">
        <v>419.55</v>
      </c>
      <c r="E1190" s="55">
        <v>422.39</v>
      </c>
      <c r="F1190" s="55">
        <v>610944</v>
      </c>
      <c r="G1190" s="55" t="s">
        <v>1213</v>
      </c>
      <c r="H1190" s="25">
        <f t="shared" si="19"/>
        <v>4.2614645233078896E-3</v>
      </c>
    </row>
    <row r="1191" spans="2:8">
      <c r="B1191" s="55">
        <v>419.53</v>
      </c>
      <c r="C1191" s="55">
        <v>425.3</v>
      </c>
      <c r="D1191" s="55">
        <v>412.48500000000001</v>
      </c>
      <c r="E1191" s="55">
        <v>418.1</v>
      </c>
      <c r="F1191" s="55">
        <v>971463</v>
      </c>
      <c r="G1191" s="55" t="s">
        <v>1214</v>
      </c>
      <c r="H1191" s="25">
        <f t="shared" si="19"/>
        <v>3.4202343936855506E-3</v>
      </c>
    </row>
    <row r="1192" spans="2:8">
      <c r="B1192" s="55">
        <v>426.55</v>
      </c>
      <c r="C1192" s="55">
        <v>432.74</v>
      </c>
      <c r="D1192" s="55">
        <v>424.3</v>
      </c>
      <c r="E1192" s="55">
        <v>428.4</v>
      </c>
      <c r="F1192" s="55">
        <v>1546474</v>
      </c>
      <c r="G1192" s="55" t="s">
        <v>1215</v>
      </c>
      <c r="H1192" s="25">
        <f t="shared" si="19"/>
        <v>-4.3183940242762509E-3</v>
      </c>
    </row>
    <row r="1193" spans="2:8">
      <c r="B1193" s="55">
        <v>426.44</v>
      </c>
      <c r="C1193" s="55">
        <v>429.79989999999998</v>
      </c>
      <c r="D1193" s="55">
        <v>417.21</v>
      </c>
      <c r="E1193" s="55">
        <v>417.21</v>
      </c>
      <c r="F1193" s="55">
        <v>978942</v>
      </c>
      <c r="G1193" s="55" t="s">
        <v>1216</v>
      </c>
      <c r="H1193" s="25">
        <f t="shared" si="19"/>
        <v>2.2123151410560649E-2</v>
      </c>
    </row>
    <row r="1194" spans="2:8">
      <c r="B1194" s="55">
        <v>418.95</v>
      </c>
      <c r="C1194" s="55">
        <v>421.02</v>
      </c>
      <c r="D1194" s="55">
        <v>414.09</v>
      </c>
      <c r="E1194" s="55">
        <v>420.94150000000002</v>
      </c>
      <c r="F1194" s="55">
        <v>818786</v>
      </c>
      <c r="G1194" s="55" t="s">
        <v>1217</v>
      </c>
      <c r="H1194" s="25">
        <f t="shared" si="19"/>
        <v>-4.7310612044667577E-3</v>
      </c>
    </row>
    <row r="1195" spans="2:8">
      <c r="B1195" s="55">
        <v>420.5</v>
      </c>
      <c r="C1195" s="55">
        <v>427.69</v>
      </c>
      <c r="D1195" s="55">
        <v>419.39010000000002</v>
      </c>
      <c r="E1195" s="55">
        <v>426.74</v>
      </c>
      <c r="F1195" s="55">
        <v>853674</v>
      </c>
      <c r="G1195" s="55" t="s">
        <v>1218</v>
      </c>
      <c r="H1195" s="25">
        <f t="shared" si="19"/>
        <v>-1.4622486760088149E-2</v>
      </c>
    </row>
    <row r="1196" spans="2:8">
      <c r="B1196" s="55">
        <v>425.12</v>
      </c>
      <c r="C1196" s="55">
        <v>428.31</v>
      </c>
      <c r="D1196" s="55">
        <v>418.99</v>
      </c>
      <c r="E1196" s="55">
        <v>428.31</v>
      </c>
      <c r="F1196" s="55">
        <v>1244861</v>
      </c>
      <c r="G1196" s="55" t="s">
        <v>1219</v>
      </c>
      <c r="H1196" s="25">
        <f t="shared" si="19"/>
        <v>-7.4478765380214806E-3</v>
      </c>
    </row>
    <row r="1197" spans="2:8">
      <c r="B1197" s="55">
        <v>425.58</v>
      </c>
      <c r="C1197" s="55">
        <v>430.05</v>
      </c>
      <c r="D1197" s="55">
        <v>417.09</v>
      </c>
      <c r="E1197" s="55">
        <v>424</v>
      </c>
      <c r="F1197" s="55">
        <v>2150628</v>
      </c>
      <c r="G1197" s="55" t="s">
        <v>1220</v>
      </c>
      <c r="H1197" s="25">
        <f t="shared" si="19"/>
        <v>3.7264150943396857E-3</v>
      </c>
    </row>
    <row r="1198" spans="2:8">
      <c r="B1198" s="55">
        <v>420.71</v>
      </c>
      <c r="C1198" s="55">
        <v>434.22250000000003</v>
      </c>
      <c r="D1198" s="55">
        <v>420.27330000000001</v>
      </c>
      <c r="E1198" s="55">
        <v>433.72500000000002</v>
      </c>
      <c r="F1198" s="55">
        <v>7789552</v>
      </c>
      <c r="G1198" s="55" t="s">
        <v>1221</v>
      </c>
      <c r="H1198" s="25">
        <f t="shared" si="19"/>
        <v>-3.0007493227275472E-2</v>
      </c>
    </row>
    <row r="1199" spans="2:8">
      <c r="B1199" s="55">
        <v>380.85</v>
      </c>
      <c r="C1199" s="55">
        <v>386.27820000000003</v>
      </c>
      <c r="D1199" s="55">
        <v>376.37</v>
      </c>
      <c r="E1199" s="55">
        <v>384.95</v>
      </c>
      <c r="F1199" s="55">
        <v>2878287</v>
      </c>
      <c r="G1199" s="55" t="s">
        <v>1222</v>
      </c>
      <c r="H1199" s="25">
        <f t="shared" si="19"/>
        <v>-1.0650733861540362E-2</v>
      </c>
    </row>
    <row r="1200" spans="2:8">
      <c r="B1200" s="55">
        <v>386.46</v>
      </c>
      <c r="C1200" s="55">
        <v>394.95</v>
      </c>
      <c r="D1200" s="55">
        <v>383.01</v>
      </c>
      <c r="E1200" s="55">
        <v>394.88</v>
      </c>
      <c r="F1200" s="55">
        <v>1082401</v>
      </c>
      <c r="G1200" s="55" t="s">
        <v>1223</v>
      </c>
      <c r="H1200" s="25">
        <f t="shared" si="19"/>
        <v>-2.1322933549432821E-2</v>
      </c>
    </row>
    <row r="1201" spans="2:8">
      <c r="B1201" s="55">
        <v>388.33</v>
      </c>
      <c r="C1201" s="55">
        <v>390.77</v>
      </c>
      <c r="D1201" s="55">
        <v>385.12</v>
      </c>
      <c r="E1201" s="55">
        <v>388.27</v>
      </c>
      <c r="F1201" s="55">
        <v>712426</v>
      </c>
      <c r="G1201" s="55" t="s">
        <v>1224</v>
      </c>
      <c r="H1201" s="25">
        <f t="shared" si="19"/>
        <v>1.5453164035328371E-4</v>
      </c>
    </row>
    <row r="1202" spans="2:8">
      <c r="B1202" s="55">
        <v>388.37</v>
      </c>
      <c r="C1202" s="55">
        <v>398.85</v>
      </c>
      <c r="D1202" s="55">
        <v>386.51</v>
      </c>
      <c r="E1202" s="55">
        <v>398.24</v>
      </c>
      <c r="F1202" s="55">
        <v>884521</v>
      </c>
      <c r="G1202" s="55" t="s">
        <v>1225</v>
      </c>
      <c r="H1202" s="25">
        <f t="shared" si="19"/>
        <v>-2.4784049819204457E-2</v>
      </c>
    </row>
    <row r="1203" spans="2:8">
      <c r="B1203" s="55">
        <v>395.53</v>
      </c>
      <c r="C1203" s="55">
        <v>401.95</v>
      </c>
      <c r="D1203" s="55">
        <v>393.68</v>
      </c>
      <c r="E1203" s="55">
        <v>400.71</v>
      </c>
      <c r="F1203" s="55">
        <v>966304</v>
      </c>
      <c r="G1203" s="55" t="s">
        <v>1226</v>
      </c>
      <c r="H1203" s="25">
        <f t="shared" si="19"/>
        <v>-1.2927054478301003E-2</v>
      </c>
    </row>
    <row r="1204" spans="2:8">
      <c r="B1204" s="55">
        <v>400.17</v>
      </c>
      <c r="C1204" s="55">
        <v>413.97</v>
      </c>
      <c r="D1204" s="55">
        <v>397.36</v>
      </c>
      <c r="E1204" s="55">
        <v>413.97</v>
      </c>
      <c r="F1204" s="55">
        <v>1275483</v>
      </c>
      <c r="G1204" s="55" t="s">
        <v>1227</v>
      </c>
      <c r="H1204" s="25">
        <f t="shared" si="19"/>
        <v>-3.3335748967316503E-2</v>
      </c>
    </row>
    <row r="1205" spans="2:8">
      <c r="B1205" s="55">
        <v>414.52</v>
      </c>
      <c r="C1205" s="55">
        <v>417.85</v>
      </c>
      <c r="D1205" s="55">
        <v>406.41</v>
      </c>
      <c r="E1205" s="55">
        <v>406.44</v>
      </c>
      <c r="F1205" s="55">
        <v>857947</v>
      </c>
      <c r="G1205" s="55" t="s">
        <v>1228</v>
      </c>
      <c r="H1205" s="25">
        <f t="shared" si="19"/>
        <v>1.987993307745306E-2</v>
      </c>
    </row>
    <row r="1206" spans="2:8">
      <c r="B1206" s="55">
        <v>405.97</v>
      </c>
      <c r="C1206" s="55">
        <v>409.34</v>
      </c>
      <c r="D1206" s="55">
        <v>402.83</v>
      </c>
      <c r="E1206" s="55">
        <v>403.76</v>
      </c>
      <c r="F1206" s="55">
        <v>465839</v>
      </c>
      <c r="G1206" s="55" t="s">
        <v>1229</v>
      </c>
      <c r="H1206" s="25">
        <f t="shared" si="19"/>
        <v>5.4735486427581748E-3</v>
      </c>
    </row>
    <row r="1207" spans="2:8">
      <c r="B1207" s="55">
        <v>404.44</v>
      </c>
      <c r="C1207" s="55">
        <v>408.54</v>
      </c>
      <c r="D1207" s="55">
        <v>402</v>
      </c>
      <c r="E1207" s="55">
        <v>408.54</v>
      </c>
      <c r="F1207" s="55">
        <v>469085</v>
      </c>
      <c r="G1207" s="55" t="s">
        <v>1230</v>
      </c>
      <c r="H1207" s="25">
        <f t="shared" si="19"/>
        <v>-1.003573701473548E-2</v>
      </c>
    </row>
    <row r="1208" spans="2:8">
      <c r="B1208" s="55">
        <v>408.32</v>
      </c>
      <c r="C1208" s="55">
        <v>409.04</v>
      </c>
      <c r="D1208" s="55">
        <v>402.65</v>
      </c>
      <c r="E1208" s="55">
        <v>404.85</v>
      </c>
      <c r="F1208" s="55">
        <v>506123</v>
      </c>
      <c r="G1208" s="55" t="s">
        <v>1231</v>
      </c>
      <c r="H1208" s="25">
        <f t="shared" si="19"/>
        <v>8.5710757070518451E-3</v>
      </c>
    </row>
    <row r="1209" spans="2:8">
      <c r="B1209" s="55">
        <v>405.8</v>
      </c>
      <c r="C1209" s="55">
        <v>406.83</v>
      </c>
      <c r="D1209" s="55">
        <v>402</v>
      </c>
      <c r="E1209" s="55">
        <v>403.5</v>
      </c>
      <c r="F1209" s="55">
        <v>490974</v>
      </c>
      <c r="G1209" s="55" t="s">
        <v>1232</v>
      </c>
      <c r="H1209" s="25">
        <f t="shared" si="19"/>
        <v>5.7001239157372652E-3</v>
      </c>
    </row>
    <row r="1210" spans="2:8">
      <c r="B1210" s="55">
        <v>404.36</v>
      </c>
      <c r="C1210" s="55">
        <v>406.32</v>
      </c>
      <c r="D1210" s="55">
        <v>396.56</v>
      </c>
      <c r="E1210" s="55">
        <v>398.57</v>
      </c>
      <c r="F1210" s="55">
        <v>546458</v>
      </c>
      <c r="G1210" s="55" t="s">
        <v>1233</v>
      </c>
      <c r="H1210" s="25">
        <f t="shared" si="19"/>
        <v>1.4526933788293173E-2</v>
      </c>
    </row>
    <row r="1211" spans="2:8">
      <c r="B1211" s="55">
        <v>397.83</v>
      </c>
      <c r="C1211" s="55">
        <v>398.2</v>
      </c>
      <c r="D1211" s="55">
        <v>391.58</v>
      </c>
      <c r="E1211" s="55">
        <v>395.92</v>
      </c>
      <c r="F1211" s="55">
        <v>635486</v>
      </c>
      <c r="G1211" s="55" t="s">
        <v>1234</v>
      </c>
      <c r="H1211" s="25">
        <f t="shared" ref="H1211:H1274" si="20">B1211/E1211-1</f>
        <v>4.8242069104869056E-3</v>
      </c>
    </row>
    <row r="1212" spans="2:8">
      <c r="B1212" s="55">
        <v>396.49</v>
      </c>
      <c r="C1212" s="55">
        <v>399</v>
      </c>
      <c r="D1212" s="55">
        <v>384.36</v>
      </c>
      <c r="E1212" s="55">
        <v>385.5</v>
      </c>
      <c r="F1212" s="55">
        <v>840939</v>
      </c>
      <c r="G1212" s="55" t="s">
        <v>1235</v>
      </c>
      <c r="H1212" s="25">
        <f t="shared" si="20"/>
        <v>2.8508430609597957E-2</v>
      </c>
    </row>
    <row r="1213" spans="2:8">
      <c r="B1213" s="55">
        <v>391.38</v>
      </c>
      <c r="C1213" s="55">
        <v>397.35</v>
      </c>
      <c r="D1213" s="55">
        <v>390.99</v>
      </c>
      <c r="E1213" s="55">
        <v>392.6</v>
      </c>
      <c r="F1213" s="55">
        <v>512585</v>
      </c>
      <c r="G1213" s="55" t="s">
        <v>1236</v>
      </c>
      <c r="H1213" s="25">
        <f t="shared" si="20"/>
        <v>-3.1074885379521744E-3</v>
      </c>
    </row>
    <row r="1214" spans="2:8">
      <c r="B1214" s="55">
        <v>392.48</v>
      </c>
      <c r="C1214" s="55">
        <v>403.25</v>
      </c>
      <c r="D1214" s="55">
        <v>388.2</v>
      </c>
      <c r="E1214" s="55">
        <v>403.12</v>
      </c>
      <c r="F1214" s="55">
        <v>1099381</v>
      </c>
      <c r="G1214" s="55" t="s">
        <v>1237</v>
      </c>
      <c r="H1214" s="25">
        <f t="shared" si="20"/>
        <v>-2.6394125818614778E-2</v>
      </c>
    </row>
    <row r="1215" spans="2:8">
      <c r="B1215" s="55">
        <v>407.42</v>
      </c>
      <c r="C1215" s="55">
        <v>407.56900000000002</v>
      </c>
      <c r="D1215" s="55">
        <v>400.37009999999998</v>
      </c>
      <c r="E1215" s="55">
        <v>406.25</v>
      </c>
      <c r="F1215" s="55">
        <v>572919</v>
      </c>
      <c r="G1215" s="55" t="s">
        <v>1238</v>
      </c>
      <c r="H1215" s="25">
        <f t="shared" si="20"/>
        <v>2.8799999999999937E-3</v>
      </c>
    </row>
    <row r="1216" spans="2:8">
      <c r="B1216" s="55">
        <v>408.72</v>
      </c>
      <c r="C1216" s="55">
        <v>409.13499999999999</v>
      </c>
      <c r="D1216" s="55">
        <v>403.17</v>
      </c>
      <c r="E1216" s="55">
        <v>409</v>
      </c>
      <c r="F1216" s="55">
        <v>429292</v>
      </c>
      <c r="G1216" s="55" t="s">
        <v>1239</v>
      </c>
      <c r="H1216" s="25">
        <f t="shared" si="20"/>
        <v>-6.8459657701702703E-4</v>
      </c>
    </row>
    <row r="1217" spans="2:8">
      <c r="B1217" s="55">
        <v>408.91</v>
      </c>
      <c r="C1217" s="55">
        <v>410.04</v>
      </c>
      <c r="D1217" s="55">
        <v>406.39</v>
      </c>
      <c r="E1217" s="55">
        <v>407.52</v>
      </c>
      <c r="F1217" s="55">
        <v>397416</v>
      </c>
      <c r="G1217" s="55" t="s">
        <v>1240</v>
      </c>
      <c r="H1217" s="25">
        <f t="shared" si="20"/>
        <v>3.4108755398509771E-3</v>
      </c>
    </row>
    <row r="1218" spans="2:8">
      <c r="B1218" s="55">
        <v>408.82</v>
      </c>
      <c r="C1218" s="55">
        <v>413.49</v>
      </c>
      <c r="D1218" s="55">
        <v>405.87</v>
      </c>
      <c r="E1218" s="55">
        <v>406.26</v>
      </c>
      <c r="F1218" s="55">
        <v>567690</v>
      </c>
      <c r="G1218" s="55" t="s">
        <v>1241</v>
      </c>
      <c r="H1218" s="25">
        <f t="shared" si="20"/>
        <v>6.3013833505636274E-3</v>
      </c>
    </row>
    <row r="1219" spans="2:8">
      <c r="B1219" s="55">
        <v>405.87</v>
      </c>
      <c r="C1219" s="55">
        <v>411.54</v>
      </c>
      <c r="D1219" s="55">
        <v>404.57499999999999</v>
      </c>
      <c r="E1219" s="55">
        <v>407.33</v>
      </c>
      <c r="F1219" s="55">
        <v>602142</v>
      </c>
      <c r="G1219" s="55" t="s">
        <v>1242</v>
      </c>
      <c r="H1219" s="25">
        <f t="shared" si="20"/>
        <v>-3.5843173839392728E-3</v>
      </c>
    </row>
    <row r="1220" spans="2:8">
      <c r="B1220" s="55">
        <v>407.64</v>
      </c>
      <c r="C1220" s="55">
        <v>410.6499</v>
      </c>
      <c r="D1220" s="55">
        <v>406.755</v>
      </c>
      <c r="E1220" s="55">
        <v>409.09</v>
      </c>
      <c r="F1220" s="55">
        <v>546339</v>
      </c>
      <c r="G1220" s="55" t="s">
        <v>1243</v>
      </c>
      <c r="H1220" s="25">
        <f t="shared" si="20"/>
        <v>-3.5444523210050871E-3</v>
      </c>
    </row>
    <row r="1221" spans="2:8">
      <c r="B1221" s="55">
        <v>408.52</v>
      </c>
      <c r="C1221" s="55">
        <v>413</v>
      </c>
      <c r="D1221" s="55">
        <v>406.53</v>
      </c>
      <c r="E1221" s="55">
        <v>412.44</v>
      </c>
      <c r="F1221" s="55">
        <v>609095</v>
      </c>
      <c r="G1221" s="55" t="s">
        <v>1244</v>
      </c>
      <c r="H1221" s="25">
        <f t="shared" si="20"/>
        <v>-9.5044127630685704E-3</v>
      </c>
    </row>
    <row r="1222" spans="2:8">
      <c r="B1222" s="55">
        <v>414.39</v>
      </c>
      <c r="C1222" s="55">
        <v>415.34</v>
      </c>
      <c r="D1222" s="55">
        <v>410.63</v>
      </c>
      <c r="E1222" s="55">
        <v>411</v>
      </c>
      <c r="F1222" s="55">
        <v>554030</v>
      </c>
      <c r="G1222" s="55" t="s">
        <v>1245</v>
      </c>
      <c r="H1222" s="25">
        <f t="shared" si="20"/>
        <v>8.2481751824816651E-3</v>
      </c>
    </row>
    <row r="1223" spans="2:8">
      <c r="B1223" s="55">
        <v>410.47</v>
      </c>
      <c r="C1223" s="55">
        <v>413.49</v>
      </c>
      <c r="D1223" s="55">
        <v>408.12</v>
      </c>
      <c r="E1223" s="55">
        <v>409</v>
      </c>
      <c r="F1223" s="55">
        <v>593258</v>
      </c>
      <c r="G1223" s="55" t="s">
        <v>1246</v>
      </c>
      <c r="H1223" s="25">
        <f t="shared" si="20"/>
        <v>3.5941320293400025E-3</v>
      </c>
    </row>
    <row r="1224" spans="2:8">
      <c r="B1224" s="55">
        <v>407.51</v>
      </c>
      <c r="C1224" s="55">
        <v>409.25049999999999</v>
      </c>
      <c r="D1224" s="55">
        <v>402.76</v>
      </c>
      <c r="E1224" s="55">
        <v>402.76</v>
      </c>
      <c r="F1224" s="55">
        <v>575040</v>
      </c>
      <c r="G1224" s="55" t="s">
        <v>1247</v>
      </c>
      <c r="H1224" s="25">
        <f t="shared" si="20"/>
        <v>1.1793623994438285E-2</v>
      </c>
    </row>
    <row r="1225" spans="2:8">
      <c r="B1225" s="55">
        <v>402.65</v>
      </c>
      <c r="C1225" s="55">
        <v>406.21</v>
      </c>
      <c r="D1225" s="55">
        <v>399.58</v>
      </c>
      <c r="E1225" s="55">
        <v>402.77</v>
      </c>
      <c r="F1225" s="55">
        <v>512247</v>
      </c>
      <c r="G1225" s="55" t="s">
        <v>1248</v>
      </c>
      <c r="H1225" s="25">
        <f t="shared" si="20"/>
        <v>-2.9793678774492349E-4</v>
      </c>
    </row>
    <row r="1226" spans="2:8">
      <c r="B1226" s="55">
        <v>400.17</v>
      </c>
      <c r="C1226" s="55">
        <v>403.21</v>
      </c>
      <c r="D1226" s="55">
        <v>397.83</v>
      </c>
      <c r="E1226" s="55">
        <v>399.14</v>
      </c>
      <c r="F1226" s="55">
        <v>563895</v>
      </c>
      <c r="G1226" s="55" t="s">
        <v>1249</v>
      </c>
      <c r="H1226" s="25">
        <f t="shared" si="20"/>
        <v>2.5805481785841078E-3</v>
      </c>
    </row>
    <row r="1227" spans="2:8">
      <c r="B1227" s="55">
        <v>402.87</v>
      </c>
      <c r="C1227" s="55">
        <v>406.24</v>
      </c>
      <c r="D1227" s="55">
        <v>394.315</v>
      </c>
      <c r="E1227" s="55">
        <v>394.54</v>
      </c>
      <c r="F1227" s="55">
        <v>1051983</v>
      </c>
      <c r="G1227" s="55" t="s">
        <v>1250</v>
      </c>
      <c r="H1227" s="25">
        <f t="shared" si="20"/>
        <v>2.1113195113296346E-2</v>
      </c>
    </row>
    <row r="1228" spans="2:8">
      <c r="B1228" s="55">
        <v>393.09</v>
      </c>
      <c r="C1228" s="55">
        <v>394.77</v>
      </c>
      <c r="D1228" s="55">
        <v>389.13</v>
      </c>
      <c r="E1228" s="55">
        <v>392.35</v>
      </c>
      <c r="F1228" s="55">
        <v>511603</v>
      </c>
      <c r="G1228" s="55" t="s">
        <v>1251</v>
      </c>
      <c r="H1228" s="25">
        <f t="shared" si="20"/>
        <v>1.8860711099781824E-3</v>
      </c>
    </row>
    <row r="1229" spans="2:8">
      <c r="B1229" s="55">
        <v>391.43</v>
      </c>
      <c r="C1229" s="55">
        <v>394.27</v>
      </c>
      <c r="D1229" s="55">
        <v>385.73500000000001</v>
      </c>
      <c r="E1229" s="55">
        <v>394.27</v>
      </c>
      <c r="F1229" s="55">
        <v>652264</v>
      </c>
      <c r="G1229" s="55" t="s">
        <v>1252</v>
      </c>
      <c r="H1229" s="25">
        <f t="shared" si="20"/>
        <v>-7.2031856342099632E-3</v>
      </c>
    </row>
    <row r="1230" spans="2:8">
      <c r="B1230" s="55">
        <v>395.44</v>
      </c>
      <c r="C1230" s="55">
        <v>405.935</v>
      </c>
      <c r="D1230" s="55">
        <v>392.53500000000003</v>
      </c>
      <c r="E1230" s="55">
        <v>402.57</v>
      </c>
      <c r="F1230" s="55">
        <v>799307</v>
      </c>
      <c r="G1230" s="55" t="s">
        <v>1253</v>
      </c>
      <c r="H1230" s="25">
        <f t="shared" si="20"/>
        <v>-1.7711205504632677E-2</v>
      </c>
    </row>
    <row r="1231" spans="2:8">
      <c r="B1231" s="55">
        <v>402.79</v>
      </c>
      <c r="C1231" s="55">
        <v>405.95</v>
      </c>
      <c r="D1231" s="55">
        <v>394.13</v>
      </c>
      <c r="E1231" s="55">
        <v>394.99</v>
      </c>
      <c r="F1231" s="55">
        <v>1215009</v>
      </c>
      <c r="G1231" s="55" t="s">
        <v>1254</v>
      </c>
      <c r="H1231" s="25">
        <f t="shared" si="20"/>
        <v>1.9747335375579267E-2</v>
      </c>
    </row>
    <row r="1232" spans="2:8">
      <c r="B1232" s="55">
        <v>395.85</v>
      </c>
      <c r="C1232" s="55">
        <v>397.5</v>
      </c>
      <c r="D1232" s="55">
        <v>383.75</v>
      </c>
      <c r="E1232" s="55">
        <v>383.75</v>
      </c>
      <c r="F1232" s="55">
        <v>1196887</v>
      </c>
      <c r="G1232" s="55" t="s">
        <v>1255</v>
      </c>
      <c r="H1232" s="25">
        <f t="shared" si="20"/>
        <v>3.1530944625407287E-2</v>
      </c>
    </row>
    <row r="1233" spans="2:8">
      <c r="B1233" s="55">
        <v>383.62</v>
      </c>
      <c r="C1233" s="55">
        <v>386.36610000000002</v>
      </c>
      <c r="D1233" s="55">
        <v>380.5</v>
      </c>
      <c r="E1233" s="55">
        <v>383.2</v>
      </c>
      <c r="F1233" s="55">
        <v>682512</v>
      </c>
      <c r="G1233" s="55" t="s">
        <v>1256</v>
      </c>
      <c r="H1233" s="25">
        <f t="shared" si="20"/>
        <v>1.096033402922858E-3</v>
      </c>
    </row>
    <row r="1234" spans="2:8">
      <c r="B1234" s="55">
        <v>383.3</v>
      </c>
      <c r="C1234" s="55">
        <v>387.91739999999999</v>
      </c>
      <c r="D1234" s="55">
        <v>373.56</v>
      </c>
      <c r="E1234" s="55">
        <v>375.27</v>
      </c>
      <c r="F1234" s="55">
        <v>1638132</v>
      </c>
      <c r="G1234" s="55" t="s">
        <v>1257</v>
      </c>
      <c r="H1234" s="25">
        <f t="shared" si="20"/>
        <v>2.1397926826018709E-2</v>
      </c>
    </row>
    <row r="1235" spans="2:8">
      <c r="B1235" s="55">
        <v>373.04</v>
      </c>
      <c r="C1235" s="55">
        <v>373.72</v>
      </c>
      <c r="D1235" s="55">
        <v>364.51</v>
      </c>
      <c r="E1235" s="55">
        <v>367.78</v>
      </c>
      <c r="F1235" s="55">
        <v>904133</v>
      </c>
      <c r="G1235" s="55" t="s">
        <v>1258</v>
      </c>
      <c r="H1235" s="25">
        <f t="shared" si="20"/>
        <v>1.4302028386535603E-2</v>
      </c>
    </row>
    <row r="1236" spans="2:8">
      <c r="B1236" s="55">
        <v>371.69</v>
      </c>
      <c r="C1236" s="55">
        <v>378.5</v>
      </c>
      <c r="D1236" s="55">
        <v>370.98</v>
      </c>
      <c r="E1236" s="55">
        <v>376.41</v>
      </c>
      <c r="F1236" s="55">
        <v>623858</v>
      </c>
      <c r="G1236" s="55" t="s">
        <v>1259</v>
      </c>
      <c r="H1236" s="25">
        <f t="shared" si="20"/>
        <v>-1.2539518078690914E-2</v>
      </c>
    </row>
    <row r="1237" spans="2:8">
      <c r="B1237" s="55">
        <v>376.17</v>
      </c>
      <c r="C1237" s="55">
        <v>380.82</v>
      </c>
      <c r="D1237" s="55">
        <v>370.38</v>
      </c>
      <c r="E1237" s="55">
        <v>379.61</v>
      </c>
      <c r="F1237" s="55">
        <v>1186286</v>
      </c>
      <c r="G1237" s="55" t="s">
        <v>1260</v>
      </c>
      <c r="H1237" s="25">
        <f t="shared" si="20"/>
        <v>-9.061931982824456E-3</v>
      </c>
    </row>
    <row r="1238" spans="2:8">
      <c r="B1238" s="55">
        <v>376.99</v>
      </c>
      <c r="C1238" s="55">
        <v>385.9</v>
      </c>
      <c r="D1238" s="55">
        <v>375.82499999999999</v>
      </c>
      <c r="E1238" s="55">
        <v>377.34</v>
      </c>
      <c r="F1238" s="55">
        <v>2119371</v>
      </c>
      <c r="G1238" s="55" t="s">
        <v>1261</v>
      </c>
      <c r="H1238" s="25">
        <f t="shared" si="20"/>
        <v>-9.2754544972695196E-4</v>
      </c>
    </row>
    <row r="1239" spans="2:8">
      <c r="B1239" s="55">
        <v>370.77</v>
      </c>
      <c r="C1239" s="55">
        <v>372.62</v>
      </c>
      <c r="D1239" s="55">
        <v>365.875</v>
      </c>
      <c r="E1239" s="55">
        <v>367.04</v>
      </c>
      <c r="F1239" s="55">
        <v>647176</v>
      </c>
      <c r="G1239" s="55" t="s">
        <v>1262</v>
      </c>
      <c r="H1239" s="25">
        <f t="shared" si="20"/>
        <v>1.0162380122057391E-2</v>
      </c>
    </row>
    <row r="1240" spans="2:8">
      <c r="B1240" s="55">
        <v>368.91</v>
      </c>
      <c r="C1240" s="55">
        <v>378</v>
      </c>
      <c r="D1240" s="55">
        <v>366.58</v>
      </c>
      <c r="E1240" s="55">
        <v>375.93</v>
      </c>
      <c r="F1240" s="55">
        <v>806003</v>
      </c>
      <c r="G1240" s="55" t="s">
        <v>1263</v>
      </c>
      <c r="H1240" s="25">
        <f t="shared" si="20"/>
        <v>-1.8673689250658265E-2</v>
      </c>
    </row>
    <row r="1241" spans="2:8">
      <c r="B1241" s="55">
        <v>377.42</v>
      </c>
      <c r="C1241" s="55">
        <v>378.42500000000001</v>
      </c>
      <c r="D1241" s="55">
        <v>372.77</v>
      </c>
      <c r="E1241" s="55">
        <v>373.91</v>
      </c>
      <c r="F1241" s="55">
        <v>671408</v>
      </c>
      <c r="G1241" s="55" t="s">
        <v>1264</v>
      </c>
      <c r="H1241" s="25">
        <f t="shared" si="20"/>
        <v>9.3872857104650986E-3</v>
      </c>
    </row>
    <row r="1242" spans="2:8">
      <c r="B1242" s="55">
        <v>373.53</v>
      </c>
      <c r="C1242" s="55">
        <v>375.15</v>
      </c>
      <c r="D1242" s="55">
        <v>368.68</v>
      </c>
      <c r="E1242" s="55">
        <v>370.6848</v>
      </c>
      <c r="F1242" s="55">
        <v>795552</v>
      </c>
      <c r="G1242" s="55" t="s">
        <v>1265</v>
      </c>
      <c r="H1242" s="25">
        <f t="shared" si="20"/>
        <v>7.675523787325389E-3</v>
      </c>
    </row>
    <row r="1243" spans="2:8">
      <c r="B1243" s="55">
        <v>377.82</v>
      </c>
      <c r="C1243" s="55">
        <v>378</v>
      </c>
      <c r="D1243" s="55">
        <v>371.26</v>
      </c>
      <c r="E1243" s="55">
        <v>374</v>
      </c>
      <c r="F1243" s="55">
        <v>836855</v>
      </c>
      <c r="G1243" s="55" t="s">
        <v>1266</v>
      </c>
      <c r="H1243" s="25">
        <f t="shared" si="20"/>
        <v>1.0213903743315544E-2</v>
      </c>
    </row>
    <row r="1244" spans="2:8">
      <c r="B1244" s="55">
        <v>371.37</v>
      </c>
      <c r="C1244" s="55">
        <v>372.41</v>
      </c>
      <c r="D1244" s="55">
        <v>364.74</v>
      </c>
      <c r="E1244" s="55">
        <v>369.95</v>
      </c>
      <c r="F1244" s="55">
        <v>948029</v>
      </c>
      <c r="G1244" s="55" t="s">
        <v>1267</v>
      </c>
      <c r="H1244" s="25">
        <f t="shared" si="20"/>
        <v>3.8383565346669091E-3</v>
      </c>
    </row>
    <row r="1245" spans="2:8">
      <c r="B1245" s="55">
        <v>368.47</v>
      </c>
      <c r="C1245" s="55">
        <v>369.55</v>
      </c>
      <c r="D1245" s="55">
        <v>365.51</v>
      </c>
      <c r="E1245" s="55">
        <v>365.87</v>
      </c>
      <c r="F1245" s="55">
        <v>697894</v>
      </c>
      <c r="G1245" s="55" t="s">
        <v>1268</v>
      </c>
      <c r="H1245" s="25">
        <f t="shared" si="20"/>
        <v>7.1063492497336345E-3</v>
      </c>
    </row>
    <row r="1246" spans="2:8">
      <c r="B1246" s="55">
        <v>364.23</v>
      </c>
      <c r="C1246" s="55">
        <v>366.51</v>
      </c>
      <c r="D1246" s="55">
        <v>361.51</v>
      </c>
      <c r="E1246" s="55">
        <v>363.79</v>
      </c>
      <c r="F1246" s="55">
        <v>880848</v>
      </c>
      <c r="G1246" s="55" t="s">
        <v>1269</v>
      </c>
      <c r="H1246" s="25">
        <f t="shared" si="20"/>
        <v>1.2094889909013418E-3</v>
      </c>
    </row>
    <row r="1247" spans="2:8">
      <c r="B1247" s="55">
        <v>364.97</v>
      </c>
      <c r="C1247" s="55">
        <v>367.25</v>
      </c>
      <c r="D1247" s="55">
        <v>364.4907</v>
      </c>
      <c r="E1247" s="55">
        <v>366.34</v>
      </c>
      <c r="F1247" s="55">
        <v>664016</v>
      </c>
      <c r="G1247" s="55" t="s">
        <v>1270</v>
      </c>
      <c r="H1247" s="25">
        <f t="shared" si="20"/>
        <v>-3.7396953649613263E-3</v>
      </c>
    </row>
    <row r="1248" spans="2:8">
      <c r="B1248" s="55">
        <v>366.66</v>
      </c>
      <c r="C1248" s="55">
        <v>368.32</v>
      </c>
      <c r="D1248" s="55">
        <v>363.15</v>
      </c>
      <c r="E1248" s="55">
        <v>363.79</v>
      </c>
      <c r="F1248" s="55">
        <v>648919</v>
      </c>
      <c r="G1248" s="55" t="s">
        <v>1271</v>
      </c>
      <c r="H1248" s="25">
        <f t="shared" si="20"/>
        <v>7.8891668270155701E-3</v>
      </c>
    </row>
    <row r="1249" spans="2:8">
      <c r="B1249" s="55">
        <v>363.79</v>
      </c>
      <c r="C1249" s="55">
        <v>367.79</v>
      </c>
      <c r="D1249" s="55">
        <v>363.52</v>
      </c>
      <c r="E1249" s="55">
        <v>365.06</v>
      </c>
      <c r="F1249" s="55">
        <v>1222264</v>
      </c>
      <c r="G1249" s="55" t="s">
        <v>1272</v>
      </c>
      <c r="H1249" s="25">
        <f t="shared" si="20"/>
        <v>-3.4788801840792694E-3</v>
      </c>
    </row>
    <row r="1250" spans="2:8">
      <c r="B1250" s="55">
        <v>363.69</v>
      </c>
      <c r="C1250" s="55">
        <v>371</v>
      </c>
      <c r="D1250" s="55">
        <v>361</v>
      </c>
      <c r="E1250" s="55">
        <v>365</v>
      </c>
      <c r="F1250" s="55">
        <v>1707682</v>
      </c>
      <c r="G1250" s="55" t="s">
        <v>1273</v>
      </c>
      <c r="H1250" s="25">
        <f t="shared" si="20"/>
        <v>-3.5890410958904218E-3</v>
      </c>
    </row>
    <row r="1251" spans="2:8">
      <c r="B1251" s="55">
        <v>361.91</v>
      </c>
      <c r="C1251" s="55">
        <v>364.96</v>
      </c>
      <c r="D1251" s="55">
        <v>361.17</v>
      </c>
      <c r="E1251" s="55">
        <v>362.84</v>
      </c>
      <c r="F1251" s="55">
        <v>768231</v>
      </c>
      <c r="G1251" s="55" t="s">
        <v>1274</v>
      </c>
      <c r="H1251" s="25">
        <f t="shared" si="20"/>
        <v>-2.5631132179472216E-3</v>
      </c>
    </row>
    <row r="1252" spans="2:8">
      <c r="B1252" s="55">
        <v>359.4</v>
      </c>
      <c r="C1252" s="55">
        <v>362.17</v>
      </c>
      <c r="D1252" s="55">
        <v>357.02</v>
      </c>
      <c r="E1252" s="55">
        <v>358.26</v>
      </c>
      <c r="F1252" s="55">
        <v>684635</v>
      </c>
      <c r="G1252" s="55" t="s">
        <v>1275</v>
      </c>
      <c r="H1252" s="25">
        <f t="shared" si="20"/>
        <v>3.1820465583654034E-3</v>
      </c>
    </row>
    <row r="1253" spans="2:8">
      <c r="B1253" s="55">
        <v>359.11</v>
      </c>
      <c r="C1253" s="55">
        <v>360.25</v>
      </c>
      <c r="D1253" s="55">
        <v>352.05</v>
      </c>
      <c r="E1253" s="55">
        <v>352.28</v>
      </c>
      <c r="F1253" s="55">
        <v>921867</v>
      </c>
      <c r="G1253" s="55" t="s">
        <v>1276</v>
      </c>
      <c r="H1253" s="25">
        <f t="shared" si="20"/>
        <v>1.9387986828659054E-2</v>
      </c>
    </row>
    <row r="1254" spans="2:8">
      <c r="B1254" s="55">
        <v>352.29</v>
      </c>
      <c r="C1254" s="55">
        <v>354.49</v>
      </c>
      <c r="D1254" s="55">
        <v>345.71499999999997</v>
      </c>
      <c r="E1254" s="55">
        <v>348.17</v>
      </c>
      <c r="F1254" s="55">
        <v>829092</v>
      </c>
      <c r="G1254" s="55" t="s">
        <v>1277</v>
      </c>
      <c r="H1254" s="25">
        <f t="shared" si="20"/>
        <v>1.1833299824798305E-2</v>
      </c>
    </row>
    <row r="1255" spans="2:8">
      <c r="B1255" s="55">
        <v>347.57</v>
      </c>
      <c r="C1255" s="55">
        <v>351.25900000000001</v>
      </c>
      <c r="D1255" s="55">
        <v>343.49</v>
      </c>
      <c r="E1255" s="55">
        <v>346.21</v>
      </c>
      <c r="F1255" s="55">
        <v>1509855</v>
      </c>
      <c r="G1255" s="55" t="s">
        <v>1278</v>
      </c>
      <c r="H1255" s="25">
        <f t="shared" si="20"/>
        <v>3.9282516391785371E-3</v>
      </c>
    </row>
    <row r="1256" spans="2:8">
      <c r="B1256" s="55">
        <v>349.4</v>
      </c>
      <c r="C1256" s="55">
        <v>351.1</v>
      </c>
      <c r="D1256" s="55">
        <v>334.5</v>
      </c>
      <c r="E1256" s="55">
        <v>335.15</v>
      </c>
      <c r="F1256" s="55">
        <v>2003590</v>
      </c>
      <c r="G1256" s="55" t="s">
        <v>1279</v>
      </c>
      <c r="H1256" s="25">
        <f t="shared" si="20"/>
        <v>4.2518275399074934E-2</v>
      </c>
    </row>
    <row r="1257" spans="2:8">
      <c r="B1257" s="55">
        <v>337.26</v>
      </c>
      <c r="C1257" s="55">
        <v>339.14</v>
      </c>
      <c r="D1257" s="55">
        <v>333.47</v>
      </c>
      <c r="E1257" s="55">
        <v>337.52</v>
      </c>
      <c r="F1257" s="55">
        <v>841191</v>
      </c>
      <c r="G1257" s="55" t="s">
        <v>1280</v>
      </c>
      <c r="H1257" s="25">
        <f t="shared" si="20"/>
        <v>-7.7032472149796138E-4</v>
      </c>
    </row>
    <row r="1258" spans="2:8">
      <c r="B1258" s="55">
        <v>335.19</v>
      </c>
      <c r="C1258" s="55">
        <v>336.572</v>
      </c>
      <c r="D1258" s="55">
        <v>333.41579999999999</v>
      </c>
      <c r="E1258" s="55">
        <v>336.39</v>
      </c>
      <c r="F1258" s="55">
        <v>644750</v>
      </c>
      <c r="G1258" s="55" t="s">
        <v>1281</v>
      </c>
      <c r="H1258" s="25">
        <f t="shared" si="20"/>
        <v>-3.5672879693212645E-3</v>
      </c>
    </row>
    <row r="1259" spans="2:8">
      <c r="B1259" s="55">
        <v>337.62</v>
      </c>
      <c r="C1259" s="55">
        <v>347.24</v>
      </c>
      <c r="D1259" s="55">
        <v>335.20010000000002</v>
      </c>
      <c r="E1259" s="55">
        <v>340.77</v>
      </c>
      <c r="F1259" s="55">
        <v>895839</v>
      </c>
      <c r="G1259" s="55" t="s">
        <v>1282</v>
      </c>
      <c r="H1259" s="25">
        <f t="shared" si="20"/>
        <v>-9.2437714587551012E-3</v>
      </c>
    </row>
    <row r="1260" spans="2:8">
      <c r="B1260" s="55">
        <v>338.3</v>
      </c>
      <c r="C1260" s="55">
        <v>338.69</v>
      </c>
      <c r="D1260" s="55">
        <v>329.53750000000002</v>
      </c>
      <c r="E1260" s="55">
        <v>331.1</v>
      </c>
      <c r="F1260" s="55">
        <v>957684</v>
      </c>
      <c r="G1260" s="55" t="s">
        <v>1283</v>
      </c>
      <c r="H1260" s="25">
        <f t="shared" si="20"/>
        <v>2.1745696164300776E-2</v>
      </c>
    </row>
    <row r="1261" spans="2:8">
      <c r="B1261" s="55">
        <v>329.8</v>
      </c>
      <c r="C1261" s="55">
        <v>332.76</v>
      </c>
      <c r="D1261" s="55">
        <v>327.505</v>
      </c>
      <c r="E1261" s="55">
        <v>329.02</v>
      </c>
      <c r="F1261" s="55">
        <v>671516</v>
      </c>
      <c r="G1261" s="55" t="s">
        <v>1284</v>
      </c>
      <c r="H1261" s="25">
        <f t="shared" si="20"/>
        <v>2.3706765546167574E-3</v>
      </c>
    </row>
    <row r="1262" spans="2:8">
      <c r="B1262" s="55">
        <v>327.22000000000003</v>
      </c>
      <c r="C1262" s="55">
        <v>331.76900000000001</v>
      </c>
      <c r="D1262" s="55">
        <v>325.60000000000002</v>
      </c>
      <c r="E1262" s="55">
        <v>331.09</v>
      </c>
      <c r="F1262" s="55">
        <v>861443</v>
      </c>
      <c r="G1262" s="55" t="s">
        <v>1285</v>
      </c>
      <c r="H1262" s="25">
        <f t="shared" si="20"/>
        <v>-1.1688664713521812E-2</v>
      </c>
    </row>
    <row r="1263" spans="2:8">
      <c r="B1263" s="55">
        <v>331</v>
      </c>
      <c r="C1263" s="55">
        <v>335.49</v>
      </c>
      <c r="D1263" s="55">
        <v>328.33</v>
      </c>
      <c r="E1263" s="55">
        <v>334.87</v>
      </c>
      <c r="F1263" s="55">
        <v>1134105</v>
      </c>
      <c r="G1263" s="55" t="s">
        <v>1286</v>
      </c>
      <c r="H1263" s="25">
        <f t="shared" si="20"/>
        <v>-1.1556723504643651E-2</v>
      </c>
    </row>
    <row r="1264" spans="2:8">
      <c r="B1264" s="55">
        <v>331.61</v>
      </c>
      <c r="C1264" s="55">
        <v>338.2</v>
      </c>
      <c r="D1264" s="55">
        <v>330.11</v>
      </c>
      <c r="E1264" s="55">
        <v>330.53</v>
      </c>
      <c r="F1264" s="55">
        <v>1444637</v>
      </c>
      <c r="G1264" s="55" t="s">
        <v>1287</v>
      </c>
      <c r="H1264" s="25">
        <f t="shared" si="20"/>
        <v>3.2674795026170766E-3</v>
      </c>
    </row>
    <row r="1265" spans="2:8">
      <c r="B1265" s="55">
        <v>329.52</v>
      </c>
      <c r="C1265" s="55">
        <v>331.03</v>
      </c>
      <c r="D1265" s="55">
        <v>318.5</v>
      </c>
      <c r="E1265" s="55">
        <v>321.86</v>
      </c>
      <c r="F1265" s="55">
        <v>2591129</v>
      </c>
      <c r="G1265" s="55" t="s">
        <v>1288</v>
      </c>
      <c r="H1265" s="25">
        <f t="shared" si="20"/>
        <v>2.3799167339837002E-2</v>
      </c>
    </row>
    <row r="1266" spans="2:8">
      <c r="B1266" s="55">
        <v>317.36</v>
      </c>
      <c r="C1266" s="55">
        <v>320.92</v>
      </c>
      <c r="D1266" s="55">
        <v>313.06</v>
      </c>
      <c r="E1266" s="55">
        <v>318.63</v>
      </c>
      <c r="F1266" s="55">
        <v>1954918</v>
      </c>
      <c r="G1266" s="55" t="s">
        <v>1289</v>
      </c>
      <c r="H1266" s="25">
        <f t="shared" si="20"/>
        <v>-3.9858142673319108E-3</v>
      </c>
    </row>
    <row r="1267" spans="2:8">
      <c r="B1267" s="55">
        <v>320.77999999999997</v>
      </c>
      <c r="C1267" s="55">
        <v>321.70999999999998</v>
      </c>
      <c r="D1267" s="55">
        <v>315.79000000000002</v>
      </c>
      <c r="E1267" s="55">
        <v>319.91000000000003</v>
      </c>
      <c r="F1267" s="55">
        <v>1124855</v>
      </c>
      <c r="G1267" s="55" t="s">
        <v>1290</v>
      </c>
      <c r="H1267" s="25">
        <f t="shared" si="20"/>
        <v>2.7195148635552613E-3</v>
      </c>
    </row>
    <row r="1268" spans="2:8">
      <c r="B1268" s="55">
        <v>318.62</v>
      </c>
      <c r="C1268" s="55">
        <v>323.39</v>
      </c>
      <c r="D1268" s="55">
        <v>315.89999999999998</v>
      </c>
      <c r="E1268" s="55">
        <v>322.44</v>
      </c>
      <c r="F1268" s="55">
        <v>1318383</v>
      </c>
      <c r="G1268" s="55" t="s">
        <v>1291</v>
      </c>
      <c r="H1268" s="25">
        <f t="shared" si="20"/>
        <v>-1.1847165364098688E-2</v>
      </c>
    </row>
    <row r="1269" spans="2:8">
      <c r="B1269" s="55">
        <v>323.13</v>
      </c>
      <c r="C1269" s="55">
        <v>330.52</v>
      </c>
      <c r="D1269" s="55">
        <v>323</v>
      </c>
      <c r="E1269" s="55">
        <v>330.52</v>
      </c>
      <c r="F1269" s="55">
        <v>910367</v>
      </c>
      <c r="G1269" s="55" t="s">
        <v>1292</v>
      </c>
      <c r="H1269" s="25">
        <f t="shared" si="20"/>
        <v>-2.2358707491225926E-2</v>
      </c>
    </row>
    <row r="1270" spans="2:8">
      <c r="B1270" s="55">
        <v>328.11</v>
      </c>
      <c r="C1270" s="55">
        <v>331.4</v>
      </c>
      <c r="D1270" s="55">
        <v>323.72000000000003</v>
      </c>
      <c r="E1270" s="55">
        <v>327.52</v>
      </c>
      <c r="F1270" s="55">
        <v>1744360</v>
      </c>
      <c r="G1270" s="55" t="s">
        <v>1293</v>
      </c>
      <c r="H1270" s="25">
        <f t="shared" si="20"/>
        <v>1.8014167073767684E-3</v>
      </c>
    </row>
    <row r="1271" spans="2:8">
      <c r="B1271" s="55">
        <v>329.76</v>
      </c>
      <c r="C1271" s="55">
        <v>330.03</v>
      </c>
      <c r="D1271" s="55">
        <v>324.37</v>
      </c>
      <c r="E1271" s="55">
        <v>325.91000000000003</v>
      </c>
      <c r="F1271" s="55">
        <v>1049896</v>
      </c>
      <c r="G1271" s="55" t="s">
        <v>1294</v>
      </c>
      <c r="H1271" s="25">
        <f t="shared" si="20"/>
        <v>1.1813077229910096E-2</v>
      </c>
    </row>
    <row r="1272" spans="2:8">
      <c r="B1272" s="55">
        <v>324.11</v>
      </c>
      <c r="C1272" s="55">
        <v>324.55</v>
      </c>
      <c r="D1272" s="55">
        <v>318.815</v>
      </c>
      <c r="E1272" s="55">
        <v>320.83999999999997</v>
      </c>
      <c r="F1272" s="55">
        <v>967871</v>
      </c>
      <c r="G1272" s="55" t="s">
        <v>1295</v>
      </c>
      <c r="H1272" s="25">
        <f t="shared" si="20"/>
        <v>1.0191996010472604E-2</v>
      </c>
    </row>
    <row r="1273" spans="2:8">
      <c r="B1273" s="55">
        <v>318.19</v>
      </c>
      <c r="C1273" s="55">
        <v>320.39999999999998</v>
      </c>
      <c r="D1273" s="55">
        <v>313.495</v>
      </c>
      <c r="E1273" s="55">
        <v>315.24</v>
      </c>
      <c r="F1273" s="55">
        <v>735903</v>
      </c>
      <c r="G1273" s="55" t="s">
        <v>1296</v>
      </c>
      <c r="H1273" s="25">
        <f t="shared" si="20"/>
        <v>9.3579494987945377E-3</v>
      </c>
    </row>
    <row r="1274" spans="2:8">
      <c r="B1274" s="55">
        <v>313.2</v>
      </c>
      <c r="C1274" s="55">
        <v>322.87</v>
      </c>
      <c r="D1274" s="55">
        <v>310.41180000000003</v>
      </c>
      <c r="E1274" s="55">
        <v>322.87</v>
      </c>
      <c r="F1274" s="55">
        <v>1186922</v>
      </c>
      <c r="G1274" s="55" t="s">
        <v>1297</v>
      </c>
      <c r="H1274" s="25">
        <f t="shared" si="20"/>
        <v>-2.9950134729147981E-2</v>
      </c>
    </row>
    <row r="1275" spans="2:8">
      <c r="B1275" s="55">
        <v>319.17</v>
      </c>
      <c r="C1275" s="55">
        <v>320.04000000000002</v>
      </c>
      <c r="D1275" s="55">
        <v>310.72000000000003</v>
      </c>
      <c r="E1275" s="55">
        <v>310.91000000000003</v>
      </c>
      <c r="F1275" s="55">
        <v>846194</v>
      </c>
      <c r="G1275" s="55" t="s">
        <v>1298</v>
      </c>
      <c r="H1275" s="25">
        <f t="shared" ref="H1275:H1338" si="21">B1275/E1275-1</f>
        <v>2.6567173780193576E-2</v>
      </c>
    </row>
    <row r="1276" spans="2:8">
      <c r="B1276" s="55">
        <v>310.31</v>
      </c>
      <c r="C1276" s="55">
        <v>310.92</v>
      </c>
      <c r="D1276" s="55">
        <v>304.38</v>
      </c>
      <c r="E1276" s="55">
        <v>307.45999999999998</v>
      </c>
      <c r="F1276" s="55">
        <v>737706</v>
      </c>
      <c r="G1276" s="55" t="s">
        <v>1299</v>
      </c>
      <c r="H1276" s="25">
        <f t="shared" si="21"/>
        <v>9.2694984713459494E-3</v>
      </c>
    </row>
    <row r="1277" spans="2:8">
      <c r="B1277" s="55">
        <v>312.02999999999997</v>
      </c>
      <c r="C1277" s="55">
        <v>316.58</v>
      </c>
      <c r="D1277" s="55">
        <v>310.7878</v>
      </c>
      <c r="E1277" s="55">
        <v>314.3</v>
      </c>
      <c r="F1277" s="55">
        <v>653590</v>
      </c>
      <c r="G1277" s="55" t="s">
        <v>1300</v>
      </c>
      <c r="H1277" s="25">
        <f t="shared" si="21"/>
        <v>-7.2223989818646084E-3</v>
      </c>
    </row>
    <row r="1278" spans="2:8">
      <c r="B1278" s="55">
        <v>314.54000000000002</v>
      </c>
      <c r="C1278" s="55">
        <v>314.64999999999998</v>
      </c>
      <c r="D1278" s="55">
        <v>309.12</v>
      </c>
      <c r="E1278" s="55">
        <v>311.5</v>
      </c>
      <c r="F1278" s="55">
        <v>631854</v>
      </c>
      <c r="G1278" s="55" t="s">
        <v>1301</v>
      </c>
      <c r="H1278" s="25">
        <f t="shared" si="21"/>
        <v>9.7592295345105828E-3</v>
      </c>
    </row>
    <row r="1279" spans="2:8">
      <c r="B1279" s="55">
        <v>314.64999999999998</v>
      </c>
      <c r="C1279" s="55">
        <v>316.77499999999998</v>
      </c>
      <c r="D1279" s="55">
        <v>309</v>
      </c>
      <c r="E1279" s="55">
        <v>309.42</v>
      </c>
      <c r="F1279" s="55">
        <v>606470</v>
      </c>
      <c r="G1279" s="55" t="s">
        <v>1302</v>
      </c>
      <c r="H1279" s="25">
        <f t="shared" si="21"/>
        <v>1.690259194622179E-2</v>
      </c>
    </row>
    <row r="1280" spans="2:8">
      <c r="B1280" s="55">
        <v>307.93</v>
      </c>
      <c r="C1280" s="55">
        <v>311.04000000000002</v>
      </c>
      <c r="D1280" s="55">
        <v>304</v>
      </c>
      <c r="E1280" s="55">
        <v>307.77999999999997</v>
      </c>
      <c r="F1280" s="55">
        <v>854344</v>
      </c>
      <c r="G1280" s="55" t="s">
        <v>1303</v>
      </c>
      <c r="H1280" s="25">
        <f t="shared" si="21"/>
        <v>4.8736110208591477E-4</v>
      </c>
    </row>
    <row r="1281" spans="2:8">
      <c r="B1281" s="55">
        <v>305.20999999999998</v>
      </c>
      <c r="C1281" s="55">
        <v>321.7</v>
      </c>
      <c r="D1281" s="55">
        <v>304.3</v>
      </c>
      <c r="E1281" s="55">
        <v>317.02</v>
      </c>
      <c r="F1281" s="55">
        <v>1312800</v>
      </c>
      <c r="G1281" s="55" t="s">
        <v>1304</v>
      </c>
      <c r="H1281" s="25">
        <f t="shared" si="21"/>
        <v>-3.7253170146993919E-2</v>
      </c>
    </row>
    <row r="1282" spans="2:8">
      <c r="B1282" s="55">
        <v>322.04000000000002</v>
      </c>
      <c r="C1282" s="55">
        <v>323.77</v>
      </c>
      <c r="D1282" s="55">
        <v>316.39999999999998</v>
      </c>
      <c r="E1282" s="55">
        <v>318.69</v>
      </c>
      <c r="F1282" s="55">
        <v>1199992</v>
      </c>
      <c r="G1282" s="55" t="s">
        <v>1305</v>
      </c>
      <c r="H1282" s="25">
        <f t="shared" si="21"/>
        <v>1.0511782610060028E-2</v>
      </c>
    </row>
    <row r="1283" spans="2:8">
      <c r="B1283" s="55">
        <v>324.26</v>
      </c>
      <c r="C1283" s="55">
        <v>331.64499999999998</v>
      </c>
      <c r="D1283" s="55">
        <v>324.14999999999998</v>
      </c>
      <c r="E1283" s="55">
        <v>330</v>
      </c>
      <c r="F1283" s="55">
        <v>857030</v>
      </c>
      <c r="G1283" s="55" t="s">
        <v>1306</v>
      </c>
      <c r="H1283" s="25">
        <f t="shared" si="21"/>
        <v>-1.7393939393939406E-2</v>
      </c>
    </row>
    <row r="1284" spans="2:8">
      <c r="B1284" s="55">
        <v>330.24</v>
      </c>
      <c r="C1284" s="55">
        <v>331.54969999999997</v>
      </c>
      <c r="D1284" s="55">
        <v>322.02999999999997</v>
      </c>
      <c r="E1284" s="55">
        <v>322.02999999999997</v>
      </c>
      <c r="F1284" s="55">
        <v>860000</v>
      </c>
      <c r="G1284" s="55" t="s">
        <v>1307</v>
      </c>
      <c r="H1284" s="25">
        <f t="shared" si="21"/>
        <v>2.5494519144179328E-2</v>
      </c>
    </row>
    <row r="1285" spans="2:8">
      <c r="B1285" s="55">
        <v>321.27999999999997</v>
      </c>
      <c r="C1285" s="55">
        <v>323.77</v>
      </c>
      <c r="D1285" s="55">
        <v>317.29000000000002</v>
      </c>
      <c r="E1285" s="55">
        <v>320.5</v>
      </c>
      <c r="F1285" s="55">
        <v>742280</v>
      </c>
      <c r="G1285" s="55" t="s">
        <v>1308</v>
      </c>
      <c r="H1285" s="25">
        <f t="shared" si="21"/>
        <v>2.4336973478937818E-3</v>
      </c>
    </row>
    <row r="1286" spans="2:8">
      <c r="B1286" s="55">
        <v>322.08999999999997</v>
      </c>
      <c r="C1286" s="55">
        <v>330.74</v>
      </c>
      <c r="D1286" s="55">
        <v>321.02</v>
      </c>
      <c r="E1286" s="55">
        <v>326.86</v>
      </c>
      <c r="F1286" s="55">
        <v>823876</v>
      </c>
      <c r="G1286" s="55" t="s">
        <v>1309</v>
      </c>
      <c r="H1286" s="25">
        <f t="shared" si="21"/>
        <v>-1.4593403903812141E-2</v>
      </c>
    </row>
    <row r="1287" spans="2:8">
      <c r="B1287" s="55">
        <v>324.89999999999998</v>
      </c>
      <c r="C1287" s="55">
        <v>331.99</v>
      </c>
      <c r="D1287" s="55">
        <v>321.88</v>
      </c>
      <c r="E1287" s="55">
        <v>330</v>
      </c>
      <c r="F1287" s="55">
        <v>1025430</v>
      </c>
      <c r="G1287" s="55" t="s">
        <v>1310</v>
      </c>
      <c r="H1287" s="25">
        <f t="shared" si="21"/>
        <v>-1.5454545454545499E-2</v>
      </c>
    </row>
    <row r="1288" spans="2:8">
      <c r="B1288" s="55">
        <v>335.38</v>
      </c>
      <c r="C1288" s="55">
        <v>337.02</v>
      </c>
      <c r="D1288" s="55">
        <v>332.76</v>
      </c>
      <c r="E1288" s="55">
        <v>336.47</v>
      </c>
      <c r="F1288" s="55">
        <v>757058</v>
      </c>
      <c r="G1288" s="55" t="s">
        <v>1311</v>
      </c>
      <c r="H1288" s="25">
        <f t="shared" si="21"/>
        <v>-3.2395161530003325E-3</v>
      </c>
    </row>
    <row r="1289" spans="2:8">
      <c r="B1289" s="55">
        <v>335.27</v>
      </c>
      <c r="C1289" s="55">
        <v>344.45299999999997</v>
      </c>
      <c r="D1289" s="55">
        <v>334.99</v>
      </c>
      <c r="E1289" s="55">
        <v>342.86</v>
      </c>
      <c r="F1289" s="55">
        <v>1091914</v>
      </c>
      <c r="G1289" s="55" t="s">
        <v>1312</v>
      </c>
      <c r="H1289" s="25">
        <f t="shared" si="21"/>
        <v>-2.2137315522370749E-2</v>
      </c>
    </row>
    <row r="1290" spans="2:8">
      <c r="B1290" s="55">
        <v>342.9</v>
      </c>
      <c r="C1290" s="55">
        <v>347</v>
      </c>
      <c r="D1290" s="55">
        <v>339.17</v>
      </c>
      <c r="E1290" s="55">
        <v>340.84</v>
      </c>
      <c r="F1290" s="55">
        <v>1067486</v>
      </c>
      <c r="G1290" s="55" t="s">
        <v>1313</v>
      </c>
      <c r="H1290" s="25">
        <f t="shared" si="21"/>
        <v>6.0438915620233402E-3</v>
      </c>
    </row>
    <row r="1291" spans="2:8">
      <c r="B1291" s="55">
        <v>338.06</v>
      </c>
      <c r="C1291" s="55">
        <v>342</v>
      </c>
      <c r="D1291" s="55">
        <v>335.59</v>
      </c>
      <c r="E1291" s="55">
        <v>339.27</v>
      </c>
      <c r="F1291" s="55">
        <v>626200</v>
      </c>
      <c r="G1291" s="55" t="s">
        <v>1314</v>
      </c>
      <c r="H1291" s="25">
        <f t="shared" si="21"/>
        <v>-3.5664809738555903E-3</v>
      </c>
    </row>
    <row r="1292" spans="2:8">
      <c r="B1292" s="55">
        <v>339.28</v>
      </c>
      <c r="C1292" s="55">
        <v>341.47539999999998</v>
      </c>
      <c r="D1292" s="55">
        <v>336.2</v>
      </c>
      <c r="E1292" s="55">
        <v>338</v>
      </c>
      <c r="F1292" s="55">
        <v>617662</v>
      </c>
      <c r="G1292" s="55" t="s">
        <v>1315</v>
      </c>
      <c r="H1292" s="25">
        <f t="shared" si="21"/>
        <v>3.7869822485205873E-3</v>
      </c>
    </row>
    <row r="1293" spans="2:8">
      <c r="B1293" s="55">
        <v>337.8</v>
      </c>
      <c r="C1293" s="55">
        <v>341.12</v>
      </c>
      <c r="D1293" s="55">
        <v>334.84</v>
      </c>
      <c r="E1293" s="55">
        <v>340.61</v>
      </c>
      <c r="F1293" s="55">
        <v>787512</v>
      </c>
      <c r="G1293" s="55" t="s">
        <v>1316</v>
      </c>
      <c r="H1293" s="25">
        <f t="shared" si="21"/>
        <v>-8.2499045829541595E-3</v>
      </c>
    </row>
    <row r="1294" spans="2:8">
      <c r="B1294" s="55">
        <v>340.98</v>
      </c>
      <c r="C1294" s="55">
        <v>342.46</v>
      </c>
      <c r="D1294" s="55">
        <v>336.71</v>
      </c>
      <c r="E1294" s="55">
        <v>338.61</v>
      </c>
      <c r="F1294" s="55">
        <v>1641581</v>
      </c>
      <c r="G1294" s="55" t="s">
        <v>1317</v>
      </c>
      <c r="H1294" s="25">
        <f t="shared" si="21"/>
        <v>6.9992026224861004E-3</v>
      </c>
    </row>
    <row r="1295" spans="2:8">
      <c r="B1295" s="55">
        <v>338.75</v>
      </c>
      <c r="C1295" s="55">
        <v>338.88</v>
      </c>
      <c r="D1295" s="55">
        <v>326.18</v>
      </c>
      <c r="E1295" s="55">
        <v>326.18</v>
      </c>
      <c r="F1295" s="55">
        <v>2146708</v>
      </c>
      <c r="G1295" s="55" t="s">
        <v>1318</v>
      </c>
      <c r="H1295" s="25">
        <f t="shared" si="21"/>
        <v>3.8537004108161188E-2</v>
      </c>
    </row>
    <row r="1296" spans="2:8">
      <c r="B1296" s="55">
        <v>326.68</v>
      </c>
      <c r="C1296" s="55">
        <v>326.68</v>
      </c>
      <c r="D1296" s="55">
        <v>316.7</v>
      </c>
      <c r="E1296" s="55">
        <v>316.89999999999998</v>
      </c>
      <c r="F1296" s="55">
        <v>1243755</v>
      </c>
      <c r="G1296" s="55" t="s">
        <v>1319</v>
      </c>
      <c r="H1296" s="25">
        <f t="shared" si="21"/>
        <v>3.0861470495424426E-2</v>
      </c>
    </row>
    <row r="1297" spans="2:8">
      <c r="B1297" s="55">
        <v>316.29000000000002</v>
      </c>
      <c r="C1297" s="55">
        <v>323.64999999999998</v>
      </c>
      <c r="D1297" s="55">
        <v>314.83</v>
      </c>
      <c r="E1297" s="55">
        <v>322.8</v>
      </c>
      <c r="F1297" s="55">
        <v>868184</v>
      </c>
      <c r="G1297" s="55" t="s">
        <v>1320</v>
      </c>
      <c r="H1297" s="25">
        <f t="shared" si="21"/>
        <v>-2.0167286245353133E-2</v>
      </c>
    </row>
    <row r="1298" spans="2:8">
      <c r="B1298" s="55">
        <v>322.27</v>
      </c>
      <c r="C1298" s="55">
        <v>324.97000000000003</v>
      </c>
      <c r="D1298" s="55">
        <v>321.47500000000002</v>
      </c>
      <c r="E1298" s="55">
        <v>321.47500000000002</v>
      </c>
      <c r="F1298" s="55">
        <v>1062625</v>
      </c>
      <c r="G1298" s="55" t="s">
        <v>1321</v>
      </c>
      <c r="H1298" s="25">
        <f t="shared" si="21"/>
        <v>2.4729761256705451E-3</v>
      </c>
    </row>
    <row r="1299" spans="2:8">
      <c r="B1299" s="55">
        <v>324.10000000000002</v>
      </c>
      <c r="C1299" s="55">
        <v>325.73</v>
      </c>
      <c r="D1299" s="55">
        <v>321.51</v>
      </c>
      <c r="E1299" s="55">
        <v>325.51</v>
      </c>
      <c r="F1299" s="55">
        <v>923436</v>
      </c>
      <c r="G1299" s="55" t="s">
        <v>1322</v>
      </c>
      <c r="H1299" s="25">
        <f t="shared" si="21"/>
        <v>-4.3316641577830772E-3</v>
      </c>
    </row>
    <row r="1300" spans="2:8">
      <c r="B1300" s="55">
        <v>325.83</v>
      </c>
      <c r="C1300" s="55">
        <v>328.4</v>
      </c>
      <c r="D1300" s="55">
        <v>323.39999999999998</v>
      </c>
      <c r="E1300" s="55">
        <v>324.54000000000002</v>
      </c>
      <c r="F1300" s="55">
        <v>1058324</v>
      </c>
      <c r="G1300" s="55" t="s">
        <v>1323</v>
      </c>
      <c r="H1300" s="25">
        <f t="shared" si="21"/>
        <v>3.9748567202808616E-3</v>
      </c>
    </row>
    <row r="1301" spans="2:8">
      <c r="B1301" s="55">
        <v>323</v>
      </c>
      <c r="C1301" s="55">
        <v>325</v>
      </c>
      <c r="D1301" s="55">
        <v>321.22000000000003</v>
      </c>
      <c r="E1301" s="55">
        <v>323.86</v>
      </c>
      <c r="F1301" s="55">
        <v>1060454</v>
      </c>
      <c r="G1301" s="55" t="s">
        <v>1324</v>
      </c>
      <c r="H1301" s="25">
        <f t="shared" si="21"/>
        <v>-2.655468412276929E-3</v>
      </c>
    </row>
    <row r="1302" spans="2:8">
      <c r="B1302" s="55">
        <v>324</v>
      </c>
      <c r="C1302" s="55">
        <v>324.42</v>
      </c>
      <c r="D1302" s="55">
        <v>318.57</v>
      </c>
      <c r="E1302" s="55">
        <v>322.67</v>
      </c>
      <c r="F1302" s="55">
        <v>1077385</v>
      </c>
      <c r="G1302" s="55" t="s">
        <v>1325</v>
      </c>
      <c r="H1302" s="25">
        <f t="shared" si="21"/>
        <v>4.121858245266008E-3</v>
      </c>
    </row>
    <row r="1303" spans="2:8">
      <c r="B1303" s="55">
        <v>323.87</v>
      </c>
      <c r="C1303" s="55">
        <v>324.26</v>
      </c>
      <c r="D1303" s="55">
        <v>314.36</v>
      </c>
      <c r="E1303" s="55">
        <v>317.77999999999997</v>
      </c>
      <c r="F1303" s="55">
        <v>1246911</v>
      </c>
      <c r="G1303" s="55" t="s">
        <v>1326</v>
      </c>
      <c r="H1303" s="25">
        <f t="shared" si="21"/>
        <v>1.9164201648939727E-2</v>
      </c>
    </row>
    <row r="1304" spans="2:8">
      <c r="B1304" s="55">
        <v>318.12</v>
      </c>
      <c r="C1304" s="55">
        <v>319.3</v>
      </c>
      <c r="D1304" s="55">
        <v>310.60000000000002</v>
      </c>
      <c r="E1304" s="55">
        <v>311.45</v>
      </c>
      <c r="F1304" s="55">
        <v>1357925</v>
      </c>
      <c r="G1304" s="55" t="s">
        <v>1327</v>
      </c>
      <c r="H1304" s="25">
        <f t="shared" si="21"/>
        <v>2.1415957617595183E-2</v>
      </c>
    </row>
    <row r="1305" spans="2:8">
      <c r="B1305" s="55">
        <v>312.56</v>
      </c>
      <c r="C1305" s="55">
        <v>313.88</v>
      </c>
      <c r="D1305" s="55">
        <v>308.11</v>
      </c>
      <c r="E1305" s="55">
        <v>309.97000000000003</v>
      </c>
      <c r="F1305" s="55">
        <v>1550030</v>
      </c>
      <c r="G1305" s="55" t="s">
        <v>1328</v>
      </c>
      <c r="H1305" s="25">
        <f t="shared" si="21"/>
        <v>8.3556473207084814E-3</v>
      </c>
    </row>
    <row r="1306" spans="2:8">
      <c r="B1306" s="55">
        <v>306.04000000000002</v>
      </c>
      <c r="C1306" s="55">
        <v>311.32</v>
      </c>
      <c r="D1306" s="55">
        <v>304.75</v>
      </c>
      <c r="E1306" s="55">
        <v>306.87</v>
      </c>
      <c r="F1306" s="55">
        <v>1162187</v>
      </c>
      <c r="G1306" s="55" t="s">
        <v>1329</v>
      </c>
      <c r="H1306" s="25">
        <f t="shared" si="21"/>
        <v>-2.7047283866131755E-3</v>
      </c>
    </row>
    <row r="1307" spans="2:8">
      <c r="B1307" s="55">
        <v>308.52</v>
      </c>
      <c r="C1307" s="55">
        <v>309.33</v>
      </c>
      <c r="D1307" s="55">
        <v>298.02010000000001</v>
      </c>
      <c r="E1307" s="55">
        <v>300.38</v>
      </c>
      <c r="F1307" s="55">
        <v>2004768</v>
      </c>
      <c r="G1307" s="55" t="s">
        <v>1330</v>
      </c>
      <c r="H1307" s="25">
        <f t="shared" si="21"/>
        <v>2.7099007923297114E-2</v>
      </c>
    </row>
    <row r="1308" spans="2:8">
      <c r="B1308" s="55">
        <v>298.75</v>
      </c>
      <c r="C1308" s="55">
        <v>302.86</v>
      </c>
      <c r="D1308" s="55">
        <v>295.89</v>
      </c>
      <c r="E1308" s="55">
        <v>302.86</v>
      </c>
      <c r="F1308" s="55">
        <v>2156413</v>
      </c>
      <c r="G1308" s="55" t="s">
        <v>1331</v>
      </c>
      <c r="H1308" s="25">
        <f t="shared" si="21"/>
        <v>-1.3570626692201104E-2</v>
      </c>
    </row>
    <row r="1309" spans="2:8">
      <c r="B1309" s="55">
        <v>301.07</v>
      </c>
      <c r="C1309" s="55">
        <v>308.79199999999997</v>
      </c>
      <c r="D1309" s="55">
        <v>300.32</v>
      </c>
      <c r="E1309" s="55">
        <v>308.29000000000002</v>
      </c>
      <c r="F1309" s="55">
        <v>2987491</v>
      </c>
      <c r="G1309" s="55" t="s">
        <v>1332</v>
      </c>
      <c r="H1309" s="25">
        <f t="shared" si="21"/>
        <v>-2.3419507606474488E-2</v>
      </c>
    </row>
    <row r="1310" spans="2:8">
      <c r="B1310" s="55">
        <v>306.70999999999998</v>
      </c>
      <c r="C1310" s="55">
        <v>311.6859</v>
      </c>
      <c r="D1310" s="55">
        <v>300.05</v>
      </c>
      <c r="E1310" s="55">
        <v>307.64999999999998</v>
      </c>
      <c r="F1310" s="55">
        <v>4932358</v>
      </c>
      <c r="G1310" s="55" t="s">
        <v>1333</v>
      </c>
      <c r="H1310" s="25">
        <f t="shared" si="21"/>
        <v>-3.0554201202664943E-3</v>
      </c>
    </row>
    <row r="1311" spans="2:8">
      <c r="B1311" s="55">
        <v>317.08999999999997</v>
      </c>
      <c r="C1311" s="55">
        <v>320.57990000000001</v>
      </c>
      <c r="D1311" s="55">
        <v>311.44</v>
      </c>
      <c r="E1311" s="55">
        <v>314.52</v>
      </c>
      <c r="F1311" s="55">
        <v>2537129</v>
      </c>
      <c r="G1311" s="55" t="s">
        <v>1334</v>
      </c>
      <c r="H1311" s="25">
        <f t="shared" si="21"/>
        <v>8.1711814828946405E-3</v>
      </c>
    </row>
    <row r="1312" spans="2:8">
      <c r="B1312" s="55">
        <v>316.16000000000003</v>
      </c>
      <c r="C1312" s="55">
        <v>319.8</v>
      </c>
      <c r="D1312" s="55">
        <v>310.25</v>
      </c>
      <c r="E1312" s="55">
        <v>317.46109999999999</v>
      </c>
      <c r="F1312" s="55">
        <v>1475092</v>
      </c>
      <c r="G1312" s="55" t="s">
        <v>1335</v>
      </c>
      <c r="H1312" s="25">
        <f t="shared" si="21"/>
        <v>-4.0984548973085344E-3</v>
      </c>
    </row>
    <row r="1313" spans="2:8">
      <c r="B1313" s="55">
        <v>314</v>
      </c>
      <c r="C1313" s="55">
        <v>314.14999999999998</v>
      </c>
      <c r="D1313" s="55">
        <v>302.48</v>
      </c>
      <c r="E1313" s="55">
        <v>302.6096</v>
      </c>
      <c r="F1313" s="55">
        <v>1109445</v>
      </c>
      <c r="G1313" s="55" t="s">
        <v>1336</v>
      </c>
      <c r="H1313" s="25">
        <f t="shared" si="21"/>
        <v>3.764057716609126E-2</v>
      </c>
    </row>
    <row r="1314" spans="2:8">
      <c r="B1314" s="55">
        <v>306.20999999999998</v>
      </c>
      <c r="C1314" s="55">
        <v>307.85000000000002</v>
      </c>
      <c r="D1314" s="55">
        <v>298.54000000000002</v>
      </c>
      <c r="E1314" s="55">
        <v>303.56</v>
      </c>
      <c r="F1314" s="55">
        <v>1326873</v>
      </c>
      <c r="G1314" s="55" t="s">
        <v>1337</v>
      </c>
      <c r="H1314" s="25">
        <f t="shared" si="21"/>
        <v>8.7297404137567369E-3</v>
      </c>
    </row>
    <row r="1315" spans="2:8">
      <c r="B1315" s="55">
        <v>307.31</v>
      </c>
      <c r="C1315" s="55">
        <v>319.7</v>
      </c>
      <c r="D1315" s="55">
        <v>306.68</v>
      </c>
      <c r="E1315" s="55">
        <v>316.3</v>
      </c>
      <c r="F1315" s="55">
        <v>1039279</v>
      </c>
      <c r="G1315" s="55" t="s">
        <v>1338</v>
      </c>
      <c r="H1315" s="25">
        <f t="shared" si="21"/>
        <v>-2.8422383812835905E-2</v>
      </c>
    </row>
    <row r="1316" spans="2:8">
      <c r="B1316" s="55">
        <v>314.02999999999997</v>
      </c>
      <c r="C1316" s="55">
        <v>321.3</v>
      </c>
      <c r="D1316" s="55">
        <v>312.90010000000001</v>
      </c>
      <c r="E1316" s="55">
        <v>314.22000000000003</v>
      </c>
      <c r="F1316" s="55">
        <v>1155192</v>
      </c>
      <c r="G1316" s="55" t="s">
        <v>1339</v>
      </c>
      <c r="H1316" s="25">
        <f t="shared" si="21"/>
        <v>-6.046718859399336E-4</v>
      </c>
    </row>
    <row r="1317" spans="2:8">
      <c r="B1317" s="55">
        <v>313.60000000000002</v>
      </c>
      <c r="C1317" s="55">
        <v>316.52</v>
      </c>
      <c r="D1317" s="55">
        <v>308.76</v>
      </c>
      <c r="E1317" s="55">
        <v>309.58999999999997</v>
      </c>
      <c r="F1317" s="55">
        <v>889336</v>
      </c>
      <c r="G1317" s="55" t="s">
        <v>1340</v>
      </c>
      <c r="H1317" s="25">
        <f t="shared" si="21"/>
        <v>1.2952614748538593E-2</v>
      </c>
    </row>
    <row r="1318" spans="2:8">
      <c r="B1318" s="55">
        <v>308.70999999999998</v>
      </c>
      <c r="C1318" s="55">
        <v>312.48</v>
      </c>
      <c r="D1318" s="55">
        <v>303.51</v>
      </c>
      <c r="E1318" s="55">
        <v>305.37</v>
      </c>
      <c r="F1318" s="55">
        <v>1623944</v>
      </c>
      <c r="G1318" s="55" t="s">
        <v>1341</v>
      </c>
      <c r="H1318" s="25">
        <f t="shared" si="21"/>
        <v>1.093755116743611E-2</v>
      </c>
    </row>
    <row r="1319" spans="2:8">
      <c r="B1319" s="55">
        <v>306.35000000000002</v>
      </c>
      <c r="C1319" s="55">
        <v>316.2</v>
      </c>
      <c r="D1319" s="55">
        <v>305.27999999999997</v>
      </c>
      <c r="E1319" s="55">
        <v>311.17</v>
      </c>
      <c r="F1319" s="55">
        <v>1110399</v>
      </c>
      <c r="G1319" s="55" t="s">
        <v>1342</v>
      </c>
      <c r="H1319" s="25">
        <f t="shared" si="21"/>
        <v>-1.5489925121316306E-2</v>
      </c>
    </row>
    <row r="1320" spans="2:8">
      <c r="B1320" s="55">
        <v>315.22000000000003</v>
      </c>
      <c r="C1320" s="55">
        <v>316.58999999999997</v>
      </c>
      <c r="D1320" s="55">
        <v>303.89</v>
      </c>
      <c r="E1320" s="55">
        <v>303.89</v>
      </c>
      <c r="F1320" s="55">
        <v>1022044</v>
      </c>
      <c r="G1320" s="55" t="s">
        <v>1343</v>
      </c>
      <c r="H1320" s="25">
        <f t="shared" si="21"/>
        <v>3.7283227483629E-2</v>
      </c>
    </row>
    <row r="1321" spans="2:8">
      <c r="B1321" s="55">
        <v>308.75</v>
      </c>
      <c r="C1321" s="55">
        <v>316.88959999999997</v>
      </c>
      <c r="D1321" s="55">
        <v>305.7</v>
      </c>
      <c r="E1321" s="55">
        <v>315.55</v>
      </c>
      <c r="F1321" s="55">
        <v>1145624</v>
      </c>
      <c r="G1321" s="55" t="s">
        <v>1344</v>
      </c>
      <c r="H1321" s="25">
        <f t="shared" si="21"/>
        <v>-2.1549675170337568E-2</v>
      </c>
    </row>
    <row r="1322" spans="2:8">
      <c r="B1322" s="55">
        <v>314.32</v>
      </c>
      <c r="C1322" s="55">
        <v>314.565</v>
      </c>
      <c r="D1322" s="55">
        <v>304.16559999999998</v>
      </c>
      <c r="E1322" s="55">
        <v>306.73</v>
      </c>
      <c r="F1322" s="55">
        <v>875628</v>
      </c>
      <c r="G1322" s="55" t="s">
        <v>1345</v>
      </c>
      <c r="H1322" s="25">
        <f t="shared" si="21"/>
        <v>2.4744889642356327E-2</v>
      </c>
    </row>
    <row r="1323" spans="2:8">
      <c r="B1323" s="55">
        <v>306.08</v>
      </c>
      <c r="C1323" s="55">
        <v>307.7</v>
      </c>
      <c r="D1323" s="55">
        <v>299.01</v>
      </c>
      <c r="E1323" s="55">
        <v>304.45999999999998</v>
      </c>
      <c r="F1323" s="55">
        <v>1260965</v>
      </c>
      <c r="G1323" s="55" t="s">
        <v>1346</v>
      </c>
      <c r="H1323" s="25">
        <f t="shared" si="21"/>
        <v>5.3208960126125415E-3</v>
      </c>
    </row>
    <row r="1324" spans="2:8">
      <c r="B1324" s="55">
        <v>310.33999999999997</v>
      </c>
      <c r="C1324" s="55">
        <v>315.33999999999997</v>
      </c>
      <c r="D1324" s="55">
        <v>308.74</v>
      </c>
      <c r="E1324" s="55">
        <v>313.52999999999997</v>
      </c>
      <c r="F1324" s="55">
        <v>1804615</v>
      </c>
      <c r="G1324" s="55" t="s">
        <v>1347</v>
      </c>
      <c r="H1324" s="25">
        <f t="shared" si="21"/>
        <v>-1.0174464963480401E-2</v>
      </c>
    </row>
    <row r="1325" spans="2:8">
      <c r="B1325" s="55">
        <v>309</v>
      </c>
      <c r="C1325" s="55">
        <v>311.41000000000003</v>
      </c>
      <c r="D1325" s="55">
        <v>299.19</v>
      </c>
      <c r="E1325" s="55">
        <v>302.07</v>
      </c>
      <c r="F1325" s="55">
        <v>2368341</v>
      </c>
      <c r="G1325" s="55" t="s">
        <v>1348</v>
      </c>
      <c r="H1325" s="25">
        <f t="shared" si="21"/>
        <v>2.2941702254444252E-2</v>
      </c>
    </row>
    <row r="1326" spans="2:8">
      <c r="B1326" s="55">
        <v>298.35000000000002</v>
      </c>
      <c r="C1326" s="55">
        <v>304.85000000000002</v>
      </c>
      <c r="D1326" s="55">
        <v>294.77999999999997</v>
      </c>
      <c r="E1326" s="55">
        <v>296.95</v>
      </c>
      <c r="F1326" s="55">
        <v>1585192</v>
      </c>
      <c r="G1326" s="55" t="s">
        <v>1349</v>
      </c>
      <c r="H1326" s="25">
        <f t="shared" si="21"/>
        <v>4.7145984172420885E-3</v>
      </c>
    </row>
    <row r="1327" spans="2:8">
      <c r="B1327" s="55">
        <v>288.94</v>
      </c>
      <c r="C1327" s="55">
        <v>295.87</v>
      </c>
      <c r="D1327" s="55">
        <v>288.05</v>
      </c>
      <c r="E1327" s="55">
        <v>291.17</v>
      </c>
      <c r="F1327" s="55">
        <v>1966664</v>
      </c>
      <c r="G1327" s="55" t="s">
        <v>1350</v>
      </c>
      <c r="H1327" s="25">
        <f t="shared" si="21"/>
        <v>-7.6587560531649057E-3</v>
      </c>
    </row>
    <row r="1328" spans="2:8">
      <c r="B1328" s="55">
        <v>293.24</v>
      </c>
      <c r="C1328" s="55">
        <v>293.82</v>
      </c>
      <c r="D1328" s="55">
        <v>269.2801</v>
      </c>
      <c r="E1328" s="55">
        <v>290.45</v>
      </c>
      <c r="F1328" s="55">
        <v>2596158</v>
      </c>
      <c r="G1328" s="55" t="s">
        <v>1351</v>
      </c>
      <c r="H1328" s="25">
        <f t="shared" si="21"/>
        <v>9.6057841280772216E-3</v>
      </c>
    </row>
    <row r="1329" spans="2:8">
      <c r="B1329" s="55">
        <v>285.14</v>
      </c>
      <c r="C1329" s="55">
        <v>299.27999999999997</v>
      </c>
      <c r="D1329" s="55">
        <v>280.48349999999999</v>
      </c>
      <c r="E1329" s="55">
        <v>296.41000000000003</v>
      </c>
      <c r="F1329" s="55">
        <v>3084222</v>
      </c>
      <c r="G1329" s="55" t="s">
        <v>1352</v>
      </c>
      <c r="H1329" s="25">
        <f t="shared" si="21"/>
        <v>-3.8021659188286594E-2</v>
      </c>
    </row>
    <row r="1330" spans="2:8">
      <c r="B1330" s="55">
        <v>295.99</v>
      </c>
      <c r="C1330" s="55">
        <v>315.75439999999998</v>
      </c>
      <c r="D1330" s="55">
        <v>295.68</v>
      </c>
      <c r="E1330" s="55">
        <v>313.69</v>
      </c>
      <c r="F1330" s="55">
        <v>2479184</v>
      </c>
      <c r="G1330" s="55" t="s">
        <v>1353</v>
      </c>
      <c r="H1330" s="25">
        <f t="shared" si="21"/>
        <v>-5.642513309318109E-2</v>
      </c>
    </row>
    <row r="1331" spans="2:8">
      <c r="B1331" s="55">
        <v>317.47000000000003</v>
      </c>
      <c r="C1331" s="55">
        <v>321.25</v>
      </c>
      <c r="D1331" s="55">
        <v>312.1044</v>
      </c>
      <c r="E1331" s="55">
        <v>316.51</v>
      </c>
      <c r="F1331" s="55">
        <v>1371082</v>
      </c>
      <c r="G1331" s="55" t="s">
        <v>1354</v>
      </c>
      <c r="H1331" s="25">
        <f t="shared" si="21"/>
        <v>3.0330795235538055E-3</v>
      </c>
    </row>
    <row r="1332" spans="2:8">
      <c r="B1332" s="55">
        <v>314.83</v>
      </c>
      <c r="C1332" s="55">
        <v>317.35000000000002</v>
      </c>
      <c r="D1332" s="55">
        <v>312.11</v>
      </c>
      <c r="E1332" s="55">
        <v>313.08999999999997</v>
      </c>
      <c r="F1332" s="55">
        <v>1315314</v>
      </c>
      <c r="G1332" s="55" t="s">
        <v>1355</v>
      </c>
      <c r="H1332" s="25">
        <f t="shared" si="21"/>
        <v>5.557507425979713E-3</v>
      </c>
    </row>
    <row r="1333" spans="2:8">
      <c r="B1333" s="55">
        <v>311.68</v>
      </c>
      <c r="C1333" s="55">
        <v>316.58</v>
      </c>
      <c r="D1333" s="55">
        <v>306.39929999999998</v>
      </c>
      <c r="E1333" s="55">
        <v>312.35000000000002</v>
      </c>
      <c r="F1333" s="55">
        <v>1460825</v>
      </c>
      <c r="G1333" s="55" t="s">
        <v>1356</v>
      </c>
      <c r="H1333" s="25">
        <f t="shared" si="21"/>
        <v>-2.1450296142149217E-3</v>
      </c>
    </row>
    <row r="1334" spans="2:8">
      <c r="B1334" s="55">
        <v>310.12</v>
      </c>
      <c r="C1334" s="55">
        <v>326.18939999999998</v>
      </c>
      <c r="D1334" s="55">
        <v>308.57499999999999</v>
      </c>
      <c r="E1334" s="55">
        <v>316.2</v>
      </c>
      <c r="F1334" s="55">
        <v>1278361</v>
      </c>
      <c r="G1334" s="55" t="s">
        <v>1357</v>
      </c>
      <c r="H1334" s="25">
        <f t="shared" si="21"/>
        <v>-1.922833649588862E-2</v>
      </c>
    </row>
    <row r="1335" spans="2:8">
      <c r="B1335" s="55">
        <v>317.7</v>
      </c>
      <c r="C1335" s="55">
        <v>321.18</v>
      </c>
      <c r="D1335" s="55">
        <v>312.51</v>
      </c>
      <c r="E1335" s="55">
        <v>318.79000000000002</v>
      </c>
      <c r="F1335" s="55">
        <v>1127903</v>
      </c>
      <c r="G1335" s="55" t="s">
        <v>1358</v>
      </c>
      <c r="H1335" s="25">
        <f t="shared" si="21"/>
        <v>-3.4191787697230858E-3</v>
      </c>
    </row>
    <row r="1336" spans="2:8">
      <c r="B1336" s="55">
        <v>322.85000000000002</v>
      </c>
      <c r="C1336" s="55">
        <v>325.51</v>
      </c>
      <c r="D1336" s="55">
        <v>304.87</v>
      </c>
      <c r="E1336" s="55">
        <v>315.77</v>
      </c>
      <c r="F1336" s="55">
        <v>1948101</v>
      </c>
      <c r="G1336" s="55" t="s">
        <v>1359</v>
      </c>
      <c r="H1336" s="25">
        <f t="shared" si="21"/>
        <v>2.2421382651930388E-2</v>
      </c>
    </row>
    <row r="1337" spans="2:8">
      <c r="B1337" s="55">
        <v>321.49</v>
      </c>
      <c r="C1337" s="55">
        <v>328.81</v>
      </c>
      <c r="D1337" s="55">
        <v>319.31189999999998</v>
      </c>
      <c r="E1337" s="55">
        <v>328.81</v>
      </c>
      <c r="F1337" s="55">
        <v>1324356</v>
      </c>
      <c r="G1337" s="55" t="s">
        <v>1360</v>
      </c>
      <c r="H1337" s="25">
        <f t="shared" si="21"/>
        <v>-2.2262096651561647E-2</v>
      </c>
    </row>
    <row r="1338" spans="2:8">
      <c r="B1338" s="55">
        <v>332.23</v>
      </c>
      <c r="C1338" s="55">
        <v>338.19</v>
      </c>
      <c r="D1338" s="55">
        <v>331.12</v>
      </c>
      <c r="E1338" s="55">
        <v>337</v>
      </c>
      <c r="F1338" s="55">
        <v>1171820</v>
      </c>
      <c r="G1338" s="55" t="s">
        <v>1361</v>
      </c>
      <c r="H1338" s="25">
        <f t="shared" si="21"/>
        <v>-1.415430267062312E-2</v>
      </c>
    </row>
    <row r="1339" spans="2:8">
      <c r="B1339" s="55">
        <v>336.83</v>
      </c>
      <c r="C1339" s="55">
        <v>338.42</v>
      </c>
      <c r="D1339" s="55">
        <v>325.75</v>
      </c>
      <c r="E1339" s="55">
        <v>334.85</v>
      </c>
      <c r="F1339" s="55">
        <v>1242851</v>
      </c>
      <c r="G1339" s="55" t="s">
        <v>1362</v>
      </c>
      <c r="H1339" s="25">
        <f t="shared" ref="H1339:H1402" si="22">B1339/E1339-1</f>
        <v>5.9130954158577165E-3</v>
      </c>
    </row>
    <row r="1340" spans="2:8">
      <c r="B1340" s="55">
        <v>337.52</v>
      </c>
      <c r="C1340" s="55">
        <v>338.59</v>
      </c>
      <c r="D1340" s="55">
        <v>331.19</v>
      </c>
      <c r="E1340" s="55">
        <v>338.07</v>
      </c>
      <c r="F1340" s="55">
        <v>869403</v>
      </c>
      <c r="G1340" s="55" t="s">
        <v>1363</v>
      </c>
      <c r="H1340" s="25">
        <f t="shared" si="22"/>
        <v>-1.6268820066850376E-3</v>
      </c>
    </row>
    <row r="1341" spans="2:8">
      <c r="B1341" s="55">
        <v>339.85</v>
      </c>
      <c r="C1341" s="55">
        <v>345</v>
      </c>
      <c r="D1341" s="55">
        <v>339.23</v>
      </c>
      <c r="E1341" s="55">
        <v>344.19</v>
      </c>
      <c r="F1341" s="55">
        <v>862037</v>
      </c>
      <c r="G1341" s="55" t="s">
        <v>1364</v>
      </c>
      <c r="H1341" s="25">
        <f t="shared" si="22"/>
        <v>-1.26093146227374E-2</v>
      </c>
    </row>
    <row r="1342" spans="2:8">
      <c r="B1342" s="55">
        <v>342.86</v>
      </c>
      <c r="C1342" s="55">
        <v>345.67</v>
      </c>
      <c r="D1342" s="55">
        <v>339.25</v>
      </c>
      <c r="E1342" s="55">
        <v>345.01</v>
      </c>
      <c r="F1342" s="55">
        <v>829705</v>
      </c>
      <c r="G1342" s="55" t="s">
        <v>1365</v>
      </c>
      <c r="H1342" s="25">
        <f t="shared" si="22"/>
        <v>-6.2317034288860151E-3</v>
      </c>
    </row>
    <row r="1343" spans="2:8">
      <c r="B1343" s="55">
        <v>345.89</v>
      </c>
      <c r="C1343" s="55">
        <v>347</v>
      </c>
      <c r="D1343" s="55">
        <v>340.86</v>
      </c>
      <c r="E1343" s="55">
        <v>344.72</v>
      </c>
      <c r="F1343" s="55">
        <v>950421</v>
      </c>
      <c r="G1343" s="55" t="s">
        <v>1366</v>
      </c>
      <c r="H1343" s="25">
        <f t="shared" si="22"/>
        <v>3.3940589463912207E-3</v>
      </c>
    </row>
    <row r="1344" spans="2:8">
      <c r="B1344" s="55">
        <v>341.39</v>
      </c>
      <c r="C1344" s="55">
        <v>344.91</v>
      </c>
      <c r="D1344" s="55">
        <v>338.01</v>
      </c>
      <c r="E1344" s="55">
        <v>341.2</v>
      </c>
      <c r="F1344" s="55">
        <v>919339</v>
      </c>
      <c r="G1344" s="55" t="s">
        <v>1367</v>
      </c>
      <c r="H1344" s="25">
        <f t="shared" si="22"/>
        <v>5.5685814771400111E-4</v>
      </c>
    </row>
    <row r="1345" spans="2:8">
      <c r="B1345" s="55">
        <v>340.69</v>
      </c>
      <c r="C1345" s="55">
        <v>342.33</v>
      </c>
      <c r="D1345" s="55">
        <v>334.15</v>
      </c>
      <c r="E1345" s="55">
        <v>336.65</v>
      </c>
      <c r="F1345" s="55">
        <v>948100</v>
      </c>
      <c r="G1345" s="55" t="s">
        <v>1368</v>
      </c>
      <c r="H1345" s="25">
        <f t="shared" si="22"/>
        <v>1.2000594088816374E-2</v>
      </c>
    </row>
    <row r="1346" spans="2:8">
      <c r="B1346" s="55">
        <v>339.71</v>
      </c>
      <c r="C1346" s="55">
        <v>342.43</v>
      </c>
      <c r="D1346" s="55">
        <v>334.12</v>
      </c>
      <c r="E1346" s="55">
        <v>335.95</v>
      </c>
      <c r="F1346" s="55">
        <v>1039219</v>
      </c>
      <c r="G1346" s="55" t="s">
        <v>1369</v>
      </c>
      <c r="H1346" s="25">
        <f t="shared" si="22"/>
        <v>1.1192141687751178E-2</v>
      </c>
    </row>
    <row r="1347" spans="2:8">
      <c r="B1347" s="55">
        <v>334.08</v>
      </c>
      <c r="C1347" s="55">
        <v>340.2</v>
      </c>
      <c r="D1347" s="55">
        <v>332.91</v>
      </c>
      <c r="E1347" s="55">
        <v>340.2</v>
      </c>
      <c r="F1347" s="55">
        <v>1226684</v>
      </c>
      <c r="G1347" s="55" t="s">
        <v>1370</v>
      </c>
      <c r="H1347" s="25">
        <f t="shared" si="22"/>
        <v>-1.7989417989418E-2</v>
      </c>
    </row>
    <row r="1348" spans="2:8">
      <c r="B1348" s="55">
        <v>338.59</v>
      </c>
      <c r="C1348" s="55">
        <v>340</v>
      </c>
      <c r="D1348" s="55">
        <v>334.35</v>
      </c>
      <c r="E1348" s="55">
        <v>335.34</v>
      </c>
      <c r="F1348" s="55">
        <v>1143181</v>
      </c>
      <c r="G1348" s="55" t="s">
        <v>1371</v>
      </c>
      <c r="H1348" s="25">
        <f t="shared" si="22"/>
        <v>9.6916562294984132E-3</v>
      </c>
    </row>
    <row r="1349" spans="2:8">
      <c r="B1349" s="55">
        <v>332.39</v>
      </c>
      <c r="C1349" s="55">
        <v>345</v>
      </c>
      <c r="D1349" s="55">
        <v>331.52</v>
      </c>
      <c r="E1349" s="55">
        <v>344.99</v>
      </c>
      <c r="F1349" s="55">
        <v>1367915</v>
      </c>
      <c r="G1349" s="55" t="s">
        <v>1372</v>
      </c>
      <c r="H1349" s="25">
        <f t="shared" si="22"/>
        <v>-3.6522797762254089E-2</v>
      </c>
    </row>
    <row r="1350" spans="2:8">
      <c r="B1350" s="55">
        <v>343.92</v>
      </c>
      <c r="C1350" s="55">
        <v>344.33</v>
      </c>
      <c r="D1350" s="55">
        <v>334.67</v>
      </c>
      <c r="E1350" s="55">
        <v>335.82</v>
      </c>
      <c r="F1350" s="55">
        <v>1154185</v>
      </c>
      <c r="G1350" s="55" t="s">
        <v>1373</v>
      </c>
      <c r="H1350" s="25">
        <f t="shared" si="22"/>
        <v>2.4120064320171553E-2</v>
      </c>
    </row>
    <row r="1351" spans="2:8">
      <c r="B1351" s="55">
        <v>333.47</v>
      </c>
      <c r="C1351" s="55">
        <v>334.22</v>
      </c>
      <c r="D1351" s="55">
        <v>324.39999999999998</v>
      </c>
      <c r="E1351" s="55">
        <v>329.38</v>
      </c>
      <c r="F1351" s="55">
        <v>1410682</v>
      </c>
      <c r="G1351" s="55" t="s">
        <v>1374</v>
      </c>
      <c r="H1351" s="25">
        <f t="shared" si="22"/>
        <v>1.2417268808063708E-2</v>
      </c>
    </row>
    <row r="1352" spans="2:8">
      <c r="B1352" s="55">
        <v>328.68</v>
      </c>
      <c r="C1352" s="55">
        <v>330.81</v>
      </c>
      <c r="D1352" s="55">
        <v>322.01</v>
      </c>
      <c r="E1352" s="55">
        <v>327.85</v>
      </c>
      <c r="F1352" s="55">
        <v>1258338</v>
      </c>
      <c r="G1352" s="55" t="s">
        <v>1375</v>
      </c>
      <c r="H1352" s="25">
        <f t="shared" si="22"/>
        <v>2.5316455696202667E-3</v>
      </c>
    </row>
    <row r="1353" spans="2:8">
      <c r="B1353" s="55">
        <v>330.24</v>
      </c>
      <c r="C1353" s="55">
        <v>336.5</v>
      </c>
      <c r="D1353" s="55">
        <v>328.7</v>
      </c>
      <c r="E1353" s="55">
        <v>330.8</v>
      </c>
      <c r="F1353" s="55">
        <v>1673416</v>
      </c>
      <c r="G1353" s="55" t="s">
        <v>1376</v>
      </c>
      <c r="H1353" s="25">
        <f t="shared" si="22"/>
        <v>-1.6928657799274438E-3</v>
      </c>
    </row>
    <row r="1354" spans="2:8">
      <c r="B1354" s="55">
        <v>329.51</v>
      </c>
      <c r="C1354" s="55">
        <v>331.48899999999998</v>
      </c>
      <c r="D1354" s="55">
        <v>312.89999999999998</v>
      </c>
      <c r="E1354" s="55">
        <v>325.5</v>
      </c>
      <c r="F1354" s="55">
        <v>2103970</v>
      </c>
      <c r="G1354" s="55" t="s">
        <v>1377</v>
      </c>
      <c r="H1354" s="25">
        <f t="shared" si="22"/>
        <v>1.2319508448540573E-2</v>
      </c>
    </row>
    <row r="1355" spans="2:8">
      <c r="B1355" s="55">
        <v>330.56</v>
      </c>
      <c r="C1355" s="55">
        <v>340.5</v>
      </c>
      <c r="D1355" s="55">
        <v>328.65</v>
      </c>
      <c r="E1355" s="55">
        <v>340.5</v>
      </c>
      <c r="F1355" s="55">
        <v>1962272</v>
      </c>
      <c r="G1355" s="55" t="s">
        <v>1378</v>
      </c>
      <c r="H1355" s="25">
        <f t="shared" si="22"/>
        <v>-2.919236417033777E-2</v>
      </c>
    </row>
    <row r="1356" spans="2:8">
      <c r="B1356" s="55">
        <v>339.99</v>
      </c>
      <c r="C1356" s="55">
        <v>350</v>
      </c>
      <c r="D1356" s="55">
        <v>335</v>
      </c>
      <c r="E1356" s="55">
        <v>347.14</v>
      </c>
      <c r="F1356" s="55">
        <v>1784475</v>
      </c>
      <c r="G1356" s="55" t="s">
        <v>1379</v>
      </c>
      <c r="H1356" s="25">
        <f t="shared" si="22"/>
        <v>-2.0596877340554154E-2</v>
      </c>
    </row>
    <row r="1357" spans="2:8">
      <c r="B1357" s="55">
        <v>346.37</v>
      </c>
      <c r="C1357" s="55">
        <v>350.16570000000002</v>
      </c>
      <c r="D1357" s="55">
        <v>344.42</v>
      </c>
      <c r="E1357" s="55">
        <v>349.15</v>
      </c>
      <c r="F1357" s="55">
        <v>651837</v>
      </c>
      <c r="G1357" s="55" t="s">
        <v>1380</v>
      </c>
      <c r="H1357" s="25">
        <f t="shared" si="22"/>
        <v>-7.9621938994700603E-3</v>
      </c>
    </row>
    <row r="1358" spans="2:8">
      <c r="B1358" s="55">
        <v>349.22</v>
      </c>
      <c r="C1358" s="55">
        <v>358.05</v>
      </c>
      <c r="D1358" s="55">
        <v>348.79640000000001</v>
      </c>
      <c r="E1358" s="55">
        <v>356.76</v>
      </c>
      <c r="F1358" s="55">
        <v>842075</v>
      </c>
      <c r="G1358" s="55" t="s">
        <v>1381</v>
      </c>
      <c r="H1358" s="25">
        <f t="shared" si="22"/>
        <v>-2.1134656351608827E-2</v>
      </c>
    </row>
    <row r="1359" spans="2:8">
      <c r="B1359" s="55">
        <v>355.12</v>
      </c>
      <c r="C1359" s="55">
        <v>357.13</v>
      </c>
      <c r="D1359" s="55">
        <v>343.81</v>
      </c>
      <c r="E1359" s="55">
        <v>344.91</v>
      </c>
      <c r="F1359" s="55">
        <v>1311016</v>
      </c>
      <c r="G1359" s="55" t="s">
        <v>1382</v>
      </c>
      <c r="H1359" s="25">
        <f t="shared" si="22"/>
        <v>2.9601925139891572E-2</v>
      </c>
    </row>
    <row r="1360" spans="2:8">
      <c r="B1360" s="55">
        <v>342.25</v>
      </c>
      <c r="C1360" s="55">
        <v>348.55</v>
      </c>
      <c r="D1360" s="55">
        <v>340.15010000000001</v>
      </c>
      <c r="E1360" s="55">
        <v>346.49</v>
      </c>
      <c r="F1360" s="55">
        <v>1200123</v>
      </c>
      <c r="G1360" s="55" t="s">
        <v>1383</v>
      </c>
      <c r="H1360" s="25">
        <f t="shared" si="22"/>
        <v>-1.2237005396981138E-2</v>
      </c>
    </row>
    <row r="1361" spans="2:8">
      <c r="B1361" s="55">
        <v>344.5</v>
      </c>
      <c r="C1361" s="55">
        <v>347.2</v>
      </c>
      <c r="D1361" s="55">
        <v>337.43</v>
      </c>
      <c r="E1361" s="55">
        <v>347</v>
      </c>
      <c r="F1361" s="55">
        <v>1401210</v>
      </c>
      <c r="G1361" s="55" t="s">
        <v>1384</v>
      </c>
      <c r="H1361" s="25">
        <f t="shared" si="22"/>
        <v>-7.2046109510086609E-3</v>
      </c>
    </row>
    <row r="1362" spans="2:8">
      <c r="B1362" s="55">
        <v>347.73</v>
      </c>
      <c r="C1362" s="55">
        <v>357.59</v>
      </c>
      <c r="D1362" s="55">
        <v>347.51</v>
      </c>
      <c r="E1362" s="55">
        <v>352.3</v>
      </c>
      <c r="F1362" s="55">
        <v>1047675</v>
      </c>
      <c r="G1362" s="55" t="s">
        <v>1385</v>
      </c>
      <c r="H1362" s="25">
        <f t="shared" si="22"/>
        <v>-1.2971898949758698E-2</v>
      </c>
    </row>
    <row r="1363" spans="2:8">
      <c r="B1363" s="55">
        <v>352.14</v>
      </c>
      <c r="C1363" s="55">
        <v>359.01</v>
      </c>
      <c r="D1363" s="55">
        <v>350.5</v>
      </c>
      <c r="E1363" s="55">
        <v>357.75</v>
      </c>
      <c r="F1363" s="55">
        <v>1108651</v>
      </c>
      <c r="G1363" s="55" t="s">
        <v>1386</v>
      </c>
      <c r="H1363" s="25">
        <f t="shared" si="22"/>
        <v>-1.5681341719077646E-2</v>
      </c>
    </row>
    <row r="1364" spans="2:8">
      <c r="B1364" s="55">
        <v>356.93</v>
      </c>
      <c r="C1364" s="55">
        <v>362.2525</v>
      </c>
      <c r="D1364" s="55">
        <v>351.14109999999999</v>
      </c>
      <c r="E1364" s="55">
        <v>361.6</v>
      </c>
      <c r="F1364" s="55">
        <v>1628039</v>
      </c>
      <c r="G1364" s="55" t="s">
        <v>1387</v>
      </c>
      <c r="H1364" s="25">
        <f t="shared" si="22"/>
        <v>-1.2914823008849607E-2</v>
      </c>
    </row>
    <row r="1365" spans="2:8">
      <c r="B1365" s="55">
        <v>361.66</v>
      </c>
      <c r="C1365" s="55">
        <v>373.07979999999998</v>
      </c>
      <c r="D1365" s="55">
        <v>352.34</v>
      </c>
      <c r="E1365" s="55">
        <v>354.13</v>
      </c>
      <c r="F1365" s="55">
        <v>1755214</v>
      </c>
      <c r="G1365" s="55" t="s">
        <v>1388</v>
      </c>
      <c r="H1365" s="25">
        <f t="shared" si="22"/>
        <v>2.1263377855589738E-2</v>
      </c>
    </row>
    <row r="1366" spans="2:8">
      <c r="B1366" s="55">
        <v>365.46</v>
      </c>
      <c r="C1366" s="55">
        <v>370.54</v>
      </c>
      <c r="D1366" s="55">
        <v>362.59</v>
      </c>
      <c r="E1366" s="55">
        <v>367.36</v>
      </c>
      <c r="F1366" s="55">
        <v>994943</v>
      </c>
      <c r="G1366" s="55" t="s">
        <v>1389</v>
      </c>
      <c r="H1366" s="25">
        <f t="shared" si="22"/>
        <v>-5.1720383275262183E-3</v>
      </c>
    </row>
    <row r="1367" spans="2:8">
      <c r="B1367" s="55">
        <v>367.29</v>
      </c>
      <c r="C1367" s="55">
        <v>374.2</v>
      </c>
      <c r="D1367" s="55">
        <v>364.6</v>
      </c>
      <c r="E1367" s="55">
        <v>366.87</v>
      </c>
      <c r="F1367" s="55">
        <v>1102993</v>
      </c>
      <c r="G1367" s="55" t="s">
        <v>1390</v>
      </c>
      <c r="H1367" s="25">
        <f t="shared" si="22"/>
        <v>1.1448196908987462E-3</v>
      </c>
    </row>
    <row r="1368" spans="2:8">
      <c r="B1368" s="55">
        <v>363.25</v>
      </c>
      <c r="C1368" s="55">
        <v>367.6</v>
      </c>
      <c r="D1368" s="55">
        <v>357.48</v>
      </c>
      <c r="E1368" s="55">
        <v>362.11</v>
      </c>
      <c r="F1368" s="55">
        <v>1170809</v>
      </c>
      <c r="G1368" s="55" t="s">
        <v>1391</v>
      </c>
      <c r="H1368" s="25">
        <f t="shared" si="22"/>
        <v>3.1482146309131931E-3</v>
      </c>
    </row>
    <row r="1369" spans="2:8">
      <c r="B1369" s="55">
        <v>366.5</v>
      </c>
      <c r="C1369" s="55">
        <v>369.44099999999997</v>
      </c>
      <c r="D1369" s="55">
        <v>357.375</v>
      </c>
      <c r="E1369" s="55">
        <v>357.89</v>
      </c>
      <c r="F1369" s="55">
        <v>2122925</v>
      </c>
      <c r="G1369" s="55" t="s">
        <v>1392</v>
      </c>
      <c r="H1369" s="25">
        <f t="shared" si="22"/>
        <v>2.4057671351532584E-2</v>
      </c>
    </row>
    <row r="1370" spans="2:8">
      <c r="B1370" s="55">
        <v>356.4</v>
      </c>
      <c r="C1370" s="55">
        <v>356.83</v>
      </c>
      <c r="D1370" s="55">
        <v>346.41</v>
      </c>
      <c r="E1370" s="55">
        <v>351.67</v>
      </c>
      <c r="F1370" s="55">
        <v>2015344</v>
      </c>
      <c r="G1370" s="55" t="s">
        <v>1393</v>
      </c>
      <c r="H1370" s="25">
        <f t="shared" si="22"/>
        <v>1.3450109477635142E-2</v>
      </c>
    </row>
    <row r="1371" spans="2:8">
      <c r="B1371" s="55">
        <v>348.03</v>
      </c>
      <c r="C1371" s="55">
        <v>351.81</v>
      </c>
      <c r="D1371" s="55">
        <v>346.75779999999997</v>
      </c>
      <c r="E1371" s="55">
        <v>349.28</v>
      </c>
      <c r="F1371" s="55">
        <v>791971</v>
      </c>
      <c r="G1371" s="55" t="s">
        <v>1394</v>
      </c>
      <c r="H1371" s="25">
        <f t="shared" si="22"/>
        <v>-3.5787906550618365E-3</v>
      </c>
    </row>
    <row r="1372" spans="2:8">
      <c r="B1372" s="55">
        <v>350.78</v>
      </c>
      <c r="C1372" s="55">
        <v>356</v>
      </c>
      <c r="D1372" s="55">
        <v>349.8</v>
      </c>
      <c r="E1372" s="55">
        <v>355</v>
      </c>
      <c r="F1372" s="55">
        <v>1197006</v>
      </c>
      <c r="G1372" s="55" t="s">
        <v>1395</v>
      </c>
      <c r="H1372" s="25">
        <f t="shared" si="22"/>
        <v>-1.1887323943662098E-2</v>
      </c>
    </row>
    <row r="1373" spans="2:8">
      <c r="B1373" s="55">
        <v>353.22</v>
      </c>
      <c r="C1373" s="55">
        <v>354.22</v>
      </c>
      <c r="D1373" s="55">
        <v>343.67</v>
      </c>
      <c r="E1373" s="55">
        <v>353.76</v>
      </c>
      <c r="F1373" s="55">
        <v>1227082</v>
      </c>
      <c r="G1373" s="55" t="s">
        <v>1396</v>
      </c>
      <c r="H1373" s="25">
        <f t="shared" si="22"/>
        <v>-1.5264586160107507E-3</v>
      </c>
    </row>
    <row r="1374" spans="2:8">
      <c r="B1374" s="55">
        <v>351.36</v>
      </c>
      <c r="C1374" s="55">
        <v>355.185</v>
      </c>
      <c r="D1374" s="55">
        <v>345.5</v>
      </c>
      <c r="E1374" s="55">
        <v>355.185</v>
      </c>
      <c r="F1374" s="55">
        <v>1352978</v>
      </c>
      <c r="G1374" s="55" t="s">
        <v>1397</v>
      </c>
      <c r="H1374" s="25">
        <f t="shared" si="22"/>
        <v>-1.0769035854554687E-2</v>
      </c>
    </row>
    <row r="1375" spans="2:8">
      <c r="B1375" s="55">
        <v>351.42</v>
      </c>
      <c r="C1375" s="55">
        <v>356.38499999999999</v>
      </c>
      <c r="D1375" s="55">
        <v>350.45</v>
      </c>
      <c r="E1375" s="55">
        <v>355</v>
      </c>
      <c r="F1375" s="55">
        <v>757754</v>
      </c>
      <c r="G1375" s="55" t="s">
        <v>1398</v>
      </c>
      <c r="H1375" s="25">
        <f t="shared" si="22"/>
        <v>-1.0084507042253499E-2</v>
      </c>
    </row>
    <row r="1376" spans="2:8">
      <c r="B1376" s="55">
        <v>355.13</v>
      </c>
      <c r="C1376" s="55">
        <v>363.99</v>
      </c>
      <c r="D1376" s="55">
        <v>354.91</v>
      </c>
      <c r="E1376" s="55">
        <v>363</v>
      </c>
      <c r="F1376" s="55">
        <v>1348838</v>
      </c>
      <c r="G1376" s="55" t="s">
        <v>1399</v>
      </c>
      <c r="H1376" s="25">
        <f t="shared" si="22"/>
        <v>-2.1680440771349896E-2</v>
      </c>
    </row>
    <row r="1377" spans="2:8">
      <c r="B1377" s="55">
        <v>360.07</v>
      </c>
      <c r="C1377" s="55">
        <v>375</v>
      </c>
      <c r="D1377" s="55">
        <v>357.52</v>
      </c>
      <c r="E1377" s="55">
        <v>373.75</v>
      </c>
      <c r="F1377" s="55">
        <v>2338621</v>
      </c>
      <c r="G1377" s="55" t="s">
        <v>1400</v>
      </c>
      <c r="H1377" s="25">
        <f t="shared" si="22"/>
        <v>-3.6602006688963185E-2</v>
      </c>
    </row>
    <row r="1378" spans="2:8">
      <c r="B1378" s="55">
        <v>373.4</v>
      </c>
      <c r="C1378" s="55">
        <v>377.76990000000001</v>
      </c>
      <c r="D1378" s="55">
        <v>369.46</v>
      </c>
      <c r="E1378" s="55">
        <v>373.35500000000002</v>
      </c>
      <c r="F1378" s="55">
        <v>1714591</v>
      </c>
      <c r="G1378" s="55" t="s">
        <v>1401</v>
      </c>
      <c r="H1378" s="25">
        <f t="shared" si="22"/>
        <v>1.2052871931533815E-4</v>
      </c>
    </row>
    <row r="1379" spans="2:8">
      <c r="B1379" s="55">
        <v>378.05</v>
      </c>
      <c r="C1379" s="55">
        <v>387.22</v>
      </c>
      <c r="D1379" s="55">
        <v>373.18</v>
      </c>
      <c r="E1379" s="55">
        <v>387.06</v>
      </c>
      <c r="F1379" s="55">
        <v>2698348</v>
      </c>
      <c r="G1379" s="55" t="s">
        <v>1402</v>
      </c>
      <c r="H1379" s="25">
        <f t="shared" si="22"/>
        <v>-2.3278044747584326E-2</v>
      </c>
    </row>
    <row r="1380" spans="2:8">
      <c r="B1380" s="55">
        <v>386.07</v>
      </c>
      <c r="C1380" s="55">
        <v>387.37</v>
      </c>
      <c r="D1380" s="55">
        <v>363.99</v>
      </c>
      <c r="E1380" s="55">
        <v>367</v>
      </c>
      <c r="F1380" s="55">
        <v>3870281</v>
      </c>
      <c r="G1380" s="55" t="s">
        <v>1403</v>
      </c>
      <c r="H1380" s="25">
        <f t="shared" si="22"/>
        <v>5.1961852861035496E-2</v>
      </c>
    </row>
    <row r="1381" spans="2:8">
      <c r="B1381" s="55">
        <v>363.1</v>
      </c>
      <c r="C1381" s="55">
        <v>363.5</v>
      </c>
      <c r="D1381" s="55">
        <v>351.565</v>
      </c>
      <c r="E1381" s="55">
        <v>357.21</v>
      </c>
      <c r="F1381" s="55">
        <v>2086674</v>
      </c>
      <c r="G1381" s="55" t="s">
        <v>1404</v>
      </c>
      <c r="H1381" s="25">
        <f t="shared" si="22"/>
        <v>1.6488900086783831E-2</v>
      </c>
    </row>
    <row r="1382" spans="2:8">
      <c r="B1382" s="55">
        <v>356.07</v>
      </c>
      <c r="C1382" s="55">
        <v>360.81369999999998</v>
      </c>
      <c r="D1382" s="55">
        <v>353.61500000000001</v>
      </c>
      <c r="E1382" s="55">
        <v>355.94</v>
      </c>
      <c r="F1382" s="55">
        <v>2095663</v>
      </c>
      <c r="G1382" s="55" t="s">
        <v>1405</v>
      </c>
      <c r="H1382" s="25">
        <f t="shared" si="22"/>
        <v>3.6523009495992298E-4</v>
      </c>
    </row>
    <row r="1383" spans="2:8">
      <c r="B1383" s="55">
        <v>352.37</v>
      </c>
      <c r="C1383" s="55">
        <v>354.83</v>
      </c>
      <c r="D1383" s="55">
        <v>337.07</v>
      </c>
      <c r="E1383" s="55">
        <v>344</v>
      </c>
      <c r="F1383" s="55">
        <v>2712307</v>
      </c>
      <c r="G1383" s="55" t="s">
        <v>1406</v>
      </c>
      <c r="H1383" s="25">
        <f t="shared" si="22"/>
        <v>2.4331395348837326E-2</v>
      </c>
    </row>
    <row r="1384" spans="2:8">
      <c r="B1384" s="55">
        <v>344.32</v>
      </c>
      <c r="C1384" s="55">
        <v>366.565</v>
      </c>
      <c r="D1384" s="55">
        <v>343.28</v>
      </c>
      <c r="E1384" s="55">
        <v>366.33</v>
      </c>
      <c r="F1384" s="55">
        <v>6440579</v>
      </c>
      <c r="G1384" s="55" t="s">
        <v>1407</v>
      </c>
      <c r="H1384" s="25">
        <f t="shared" si="22"/>
        <v>-6.0082439330658155E-2</v>
      </c>
    </row>
    <row r="1385" spans="2:8">
      <c r="B1385" s="55">
        <v>369.07</v>
      </c>
      <c r="C1385" s="55">
        <v>370.68</v>
      </c>
      <c r="D1385" s="55">
        <v>359.77640000000002</v>
      </c>
      <c r="E1385" s="55">
        <v>367.02</v>
      </c>
      <c r="F1385" s="55">
        <v>2700553</v>
      </c>
      <c r="G1385" s="55" t="s">
        <v>1408</v>
      </c>
      <c r="H1385" s="25">
        <f t="shared" si="22"/>
        <v>5.5855266742956822E-3</v>
      </c>
    </row>
    <row r="1386" spans="2:8">
      <c r="B1386" s="55">
        <v>363.56</v>
      </c>
      <c r="C1386" s="55">
        <v>378.5</v>
      </c>
      <c r="D1386" s="55">
        <v>361.84</v>
      </c>
      <c r="E1386" s="55">
        <v>374.51</v>
      </c>
      <c r="F1386" s="55">
        <v>1722325</v>
      </c>
      <c r="G1386" s="55" t="s">
        <v>1409</v>
      </c>
      <c r="H1386" s="25">
        <f t="shared" si="22"/>
        <v>-2.9238204587327399E-2</v>
      </c>
    </row>
    <row r="1387" spans="2:8">
      <c r="B1387" s="55">
        <v>371.07</v>
      </c>
      <c r="C1387" s="55">
        <v>375.67</v>
      </c>
      <c r="D1387" s="55">
        <v>367</v>
      </c>
      <c r="E1387" s="55">
        <v>372.03</v>
      </c>
      <c r="F1387" s="55">
        <v>1569175</v>
      </c>
      <c r="G1387" s="55" t="s">
        <v>1410</v>
      </c>
      <c r="H1387" s="25">
        <f t="shared" si="22"/>
        <v>-2.5804370615272187E-3</v>
      </c>
    </row>
    <row r="1388" spans="2:8">
      <c r="B1388" s="55">
        <v>371.48</v>
      </c>
      <c r="C1388" s="55">
        <v>376.55</v>
      </c>
      <c r="D1388" s="55">
        <v>366.66</v>
      </c>
      <c r="E1388" s="55">
        <v>376.3</v>
      </c>
      <c r="F1388" s="55">
        <v>2041775</v>
      </c>
      <c r="G1388" s="55" t="s">
        <v>1411</v>
      </c>
      <c r="H1388" s="25">
        <f t="shared" si="22"/>
        <v>-1.2808929045973971E-2</v>
      </c>
    </row>
    <row r="1389" spans="2:8">
      <c r="B1389" s="55">
        <v>377.06</v>
      </c>
      <c r="C1389" s="55">
        <v>380.245</v>
      </c>
      <c r="D1389" s="55">
        <v>374.36</v>
      </c>
      <c r="E1389" s="55">
        <v>378.87</v>
      </c>
      <c r="F1389" s="55">
        <v>1267760</v>
      </c>
      <c r="G1389" s="55" t="s">
        <v>1412</v>
      </c>
      <c r="H1389" s="25">
        <f t="shared" si="22"/>
        <v>-4.7773642674268091E-3</v>
      </c>
    </row>
    <row r="1390" spans="2:8">
      <c r="B1390" s="55">
        <v>375.42</v>
      </c>
      <c r="C1390" s="55">
        <v>383.54</v>
      </c>
      <c r="D1390" s="55">
        <v>373.38</v>
      </c>
      <c r="E1390" s="55">
        <v>374.21</v>
      </c>
      <c r="F1390" s="55">
        <v>1524060</v>
      </c>
      <c r="G1390" s="55" t="s">
        <v>1413</v>
      </c>
      <c r="H1390" s="25">
        <f t="shared" si="22"/>
        <v>3.2334785280991873E-3</v>
      </c>
    </row>
    <row r="1391" spans="2:8">
      <c r="B1391" s="55">
        <v>372.6</v>
      </c>
      <c r="C1391" s="55">
        <v>381.37</v>
      </c>
      <c r="D1391" s="55">
        <v>371.58049999999997</v>
      </c>
      <c r="E1391" s="55">
        <v>375.69490000000002</v>
      </c>
      <c r="F1391" s="55">
        <v>1090199</v>
      </c>
      <c r="G1391" s="55" t="s">
        <v>1414</v>
      </c>
      <c r="H1391" s="25">
        <f t="shared" si="22"/>
        <v>-8.2378014713534453E-3</v>
      </c>
    </row>
    <row r="1392" spans="2:8">
      <c r="B1392" s="55">
        <v>377.52</v>
      </c>
      <c r="C1392" s="55">
        <v>379.68819999999999</v>
      </c>
      <c r="D1392" s="55">
        <v>370.44</v>
      </c>
      <c r="E1392" s="55">
        <v>373.21</v>
      </c>
      <c r="F1392" s="55">
        <v>1512206</v>
      </c>
      <c r="G1392" s="55" t="s">
        <v>1415</v>
      </c>
      <c r="H1392" s="25">
        <f t="shared" si="22"/>
        <v>1.1548457972723192E-2</v>
      </c>
    </row>
    <row r="1393" spans="2:8">
      <c r="B1393" s="55">
        <v>370.22</v>
      </c>
      <c r="C1393" s="55">
        <v>371.98</v>
      </c>
      <c r="D1393" s="55">
        <v>357.49</v>
      </c>
      <c r="E1393" s="55">
        <v>367.78</v>
      </c>
      <c r="F1393" s="55">
        <v>1632164</v>
      </c>
      <c r="G1393" s="55" t="s">
        <v>1416</v>
      </c>
      <c r="H1393" s="25">
        <f t="shared" si="22"/>
        <v>6.6344010005983112E-3</v>
      </c>
    </row>
    <row r="1394" spans="2:8">
      <c r="B1394" s="55">
        <v>365.39</v>
      </c>
      <c r="C1394" s="55">
        <v>365.78</v>
      </c>
      <c r="D1394" s="55">
        <v>358.01</v>
      </c>
      <c r="E1394" s="55">
        <v>361.66</v>
      </c>
      <c r="F1394" s="55">
        <v>847820</v>
      </c>
      <c r="G1394" s="55" t="s">
        <v>1417</v>
      </c>
      <c r="H1394" s="25">
        <f t="shared" si="22"/>
        <v>1.0313554166897054E-2</v>
      </c>
    </row>
    <row r="1395" spans="2:8">
      <c r="B1395" s="55">
        <v>357.8</v>
      </c>
      <c r="C1395" s="55">
        <v>358.25</v>
      </c>
      <c r="D1395" s="55">
        <v>348.18</v>
      </c>
      <c r="E1395" s="55">
        <v>350</v>
      </c>
      <c r="F1395" s="55">
        <v>1086022</v>
      </c>
      <c r="G1395" s="55" t="s">
        <v>1418</v>
      </c>
      <c r="H1395" s="25">
        <f t="shared" si="22"/>
        <v>2.2285714285714242E-2</v>
      </c>
    </row>
    <row r="1396" spans="2:8">
      <c r="B1396" s="55">
        <v>349.55</v>
      </c>
      <c r="C1396" s="55">
        <v>352</v>
      </c>
      <c r="D1396" s="55">
        <v>344.41</v>
      </c>
      <c r="E1396" s="55">
        <v>350.57</v>
      </c>
      <c r="F1396" s="55">
        <v>679102</v>
      </c>
      <c r="G1396" s="55" t="s">
        <v>1419</v>
      </c>
      <c r="H1396" s="25">
        <f t="shared" si="22"/>
        <v>-2.9095473086686585E-3</v>
      </c>
    </row>
    <row r="1397" spans="2:8">
      <c r="B1397" s="55">
        <v>348.53</v>
      </c>
      <c r="C1397" s="55">
        <v>351.41</v>
      </c>
      <c r="D1397" s="55">
        <v>343.62</v>
      </c>
      <c r="E1397" s="55">
        <v>348.45</v>
      </c>
      <c r="F1397" s="55">
        <v>806165</v>
      </c>
      <c r="G1397" s="55" t="s">
        <v>1420</v>
      </c>
      <c r="H1397" s="25">
        <f t="shared" si="22"/>
        <v>2.2958817620888361E-4</v>
      </c>
    </row>
    <row r="1398" spans="2:8">
      <c r="B1398" s="55">
        <v>345.74</v>
      </c>
      <c r="C1398" s="55">
        <v>349.98</v>
      </c>
      <c r="D1398" s="55">
        <v>340.29500000000002</v>
      </c>
      <c r="E1398" s="55">
        <v>342.7</v>
      </c>
      <c r="F1398" s="55">
        <v>843529</v>
      </c>
      <c r="G1398" s="55" t="s">
        <v>1421</v>
      </c>
      <c r="H1398" s="25">
        <f t="shared" si="22"/>
        <v>8.8707324190253622E-3</v>
      </c>
    </row>
    <row r="1399" spans="2:8">
      <c r="B1399" s="55">
        <v>344.6</v>
      </c>
      <c r="C1399" s="55">
        <v>345.36</v>
      </c>
      <c r="D1399" s="55">
        <v>332.16</v>
      </c>
      <c r="E1399" s="55">
        <v>336.32</v>
      </c>
      <c r="F1399" s="55">
        <v>898131</v>
      </c>
      <c r="G1399" s="55" t="s">
        <v>1422</v>
      </c>
      <c r="H1399" s="25">
        <f t="shared" si="22"/>
        <v>2.4619410085632731E-2</v>
      </c>
    </row>
    <row r="1400" spans="2:8">
      <c r="B1400" s="55">
        <v>336.93</v>
      </c>
      <c r="C1400" s="55">
        <v>342.59</v>
      </c>
      <c r="D1400" s="55">
        <v>333.85</v>
      </c>
      <c r="E1400" s="55">
        <v>339.81</v>
      </c>
      <c r="F1400" s="55">
        <v>917822</v>
      </c>
      <c r="G1400" s="55" t="s">
        <v>1423</v>
      </c>
      <c r="H1400" s="25">
        <f t="shared" si="22"/>
        <v>-8.4753244460139543E-3</v>
      </c>
    </row>
    <row r="1401" spans="2:8">
      <c r="B1401" s="55">
        <v>338.4</v>
      </c>
      <c r="C1401" s="55">
        <v>340.7</v>
      </c>
      <c r="D1401" s="55">
        <v>327.20999999999998</v>
      </c>
      <c r="E1401" s="55">
        <v>331</v>
      </c>
      <c r="F1401" s="55">
        <v>799833</v>
      </c>
      <c r="G1401" s="55" t="s">
        <v>1424</v>
      </c>
      <c r="H1401" s="25">
        <f t="shared" si="22"/>
        <v>2.2356495468277782E-2</v>
      </c>
    </row>
    <row r="1402" spans="2:8">
      <c r="B1402" s="55">
        <v>331.77</v>
      </c>
      <c r="C1402" s="55">
        <v>333.76</v>
      </c>
      <c r="D1402" s="55">
        <v>322.17</v>
      </c>
      <c r="E1402" s="55">
        <v>324.02</v>
      </c>
      <c r="F1402" s="55">
        <v>915770</v>
      </c>
      <c r="G1402" s="55" t="s">
        <v>1425</v>
      </c>
      <c r="H1402" s="25">
        <f t="shared" si="22"/>
        <v>2.3918276649589565E-2</v>
      </c>
    </row>
    <row r="1403" spans="2:8">
      <c r="B1403" s="55">
        <v>325.45</v>
      </c>
      <c r="C1403" s="55">
        <v>332.65</v>
      </c>
      <c r="D1403" s="55">
        <v>324.5</v>
      </c>
      <c r="E1403" s="55">
        <v>330.5</v>
      </c>
      <c r="F1403" s="55">
        <v>793070</v>
      </c>
      <c r="G1403" s="55" t="s">
        <v>1426</v>
      </c>
      <c r="H1403" s="25">
        <f t="shared" ref="H1403:H1441" si="23">B1403/E1403-1</f>
        <v>-1.5279878971255711E-2</v>
      </c>
    </row>
    <row r="1404" spans="2:8">
      <c r="B1404" s="55">
        <v>329.91</v>
      </c>
      <c r="C1404" s="55">
        <v>338.9</v>
      </c>
      <c r="D1404" s="55">
        <v>328.57</v>
      </c>
      <c r="E1404" s="55">
        <v>335</v>
      </c>
      <c r="F1404" s="55">
        <v>897480</v>
      </c>
      <c r="G1404" s="55" t="s">
        <v>1427</v>
      </c>
      <c r="H1404" s="25">
        <f t="shared" si="23"/>
        <v>-1.5194029850746249E-2</v>
      </c>
    </row>
    <row r="1405" spans="2:8">
      <c r="B1405" s="55">
        <v>336.68</v>
      </c>
      <c r="C1405" s="55">
        <v>337.86</v>
      </c>
      <c r="D1405" s="55">
        <v>322.19</v>
      </c>
      <c r="E1405" s="55">
        <v>325.60500000000002</v>
      </c>
      <c r="F1405" s="55">
        <v>984756</v>
      </c>
      <c r="G1405" s="55" t="s">
        <v>1428</v>
      </c>
      <c r="H1405" s="25">
        <f t="shared" si="23"/>
        <v>3.4013605442176909E-2</v>
      </c>
    </row>
    <row r="1406" spans="2:8">
      <c r="B1406" s="55">
        <v>322.19</v>
      </c>
      <c r="C1406" s="55">
        <v>328.51990000000001</v>
      </c>
      <c r="D1406" s="55">
        <v>311.04000000000002</v>
      </c>
      <c r="E1406" s="55">
        <v>326.18</v>
      </c>
      <c r="F1406" s="55">
        <v>1520331</v>
      </c>
      <c r="G1406" s="55" t="s">
        <v>1429</v>
      </c>
      <c r="H1406" s="25">
        <f t="shared" si="23"/>
        <v>-1.2232509657244539E-2</v>
      </c>
    </row>
    <row r="1407" spans="2:8">
      <c r="B1407" s="55">
        <v>326.95999999999998</v>
      </c>
      <c r="C1407" s="55">
        <v>353.93</v>
      </c>
      <c r="D1407" s="55">
        <v>326.64999999999998</v>
      </c>
      <c r="E1407" s="55">
        <v>351.5</v>
      </c>
      <c r="F1407" s="55">
        <v>1882501</v>
      </c>
      <c r="G1407" s="55" t="s">
        <v>1430</v>
      </c>
      <c r="H1407" s="25">
        <f t="shared" si="23"/>
        <v>-6.9815078236130979E-2</v>
      </c>
    </row>
    <row r="1408" spans="2:8">
      <c r="B1408" s="55">
        <v>343.8</v>
      </c>
      <c r="C1408" s="55">
        <v>349.64</v>
      </c>
      <c r="D1408" s="55">
        <v>343.02</v>
      </c>
      <c r="E1408" s="55">
        <v>348.15</v>
      </c>
      <c r="F1408" s="55">
        <v>990246</v>
      </c>
      <c r="G1408" s="55" t="s">
        <v>1431</v>
      </c>
      <c r="H1408" s="25">
        <f t="shared" si="23"/>
        <v>-1.2494614390348935E-2</v>
      </c>
    </row>
    <row r="1409" spans="2:8">
      <c r="B1409" s="55">
        <v>347.18</v>
      </c>
      <c r="C1409" s="55">
        <v>348.51</v>
      </c>
      <c r="D1409" s="55">
        <v>338.25</v>
      </c>
      <c r="E1409" s="55">
        <v>345.21</v>
      </c>
      <c r="F1409" s="55">
        <v>1187783</v>
      </c>
      <c r="G1409" s="55" t="s">
        <v>1432</v>
      </c>
      <c r="H1409" s="25">
        <f t="shared" si="23"/>
        <v>5.706671301526578E-3</v>
      </c>
    </row>
    <row r="1410" spans="2:8">
      <c r="B1410" s="55">
        <v>340.18</v>
      </c>
      <c r="C1410" s="55">
        <v>342.25</v>
      </c>
      <c r="D1410" s="55">
        <v>331.07499999999999</v>
      </c>
      <c r="E1410" s="55">
        <v>336.75</v>
      </c>
      <c r="F1410" s="55">
        <v>1381464</v>
      </c>
      <c r="G1410" s="55" t="s">
        <v>1433</v>
      </c>
      <c r="H1410" s="25">
        <f t="shared" si="23"/>
        <v>1.018559762435034E-2</v>
      </c>
    </row>
    <row r="1411" spans="2:8">
      <c r="B1411" s="55">
        <v>327.13</v>
      </c>
      <c r="C1411" s="55">
        <v>328.86</v>
      </c>
      <c r="D1411" s="55">
        <v>312.05</v>
      </c>
      <c r="E1411" s="55">
        <v>317.5</v>
      </c>
      <c r="F1411" s="55">
        <v>1196381</v>
      </c>
      <c r="G1411" s="55" t="s">
        <v>1434</v>
      </c>
      <c r="H1411" s="25">
        <f t="shared" si="23"/>
        <v>3.0330708661417294E-2</v>
      </c>
    </row>
    <row r="1412" spans="2:8">
      <c r="B1412" s="55">
        <v>315.5</v>
      </c>
      <c r="C1412" s="55">
        <v>324.23</v>
      </c>
      <c r="D1412" s="55">
        <v>307.81009999999998</v>
      </c>
      <c r="E1412" s="55">
        <v>321.02</v>
      </c>
      <c r="F1412" s="55">
        <v>1327300</v>
      </c>
      <c r="G1412" s="55" t="s">
        <v>1435</v>
      </c>
      <c r="H1412" s="25">
        <f t="shared" si="23"/>
        <v>-1.7195190330820509E-2</v>
      </c>
    </row>
    <row r="1413" spans="2:8">
      <c r="B1413" s="55">
        <v>319.29000000000002</v>
      </c>
      <c r="C1413" s="55">
        <v>328.67</v>
      </c>
      <c r="D1413" s="55">
        <v>314.63</v>
      </c>
      <c r="E1413" s="55">
        <v>326.69</v>
      </c>
      <c r="F1413" s="55">
        <v>1398647</v>
      </c>
      <c r="G1413" s="55" t="s">
        <v>1436</v>
      </c>
      <c r="H1413" s="25">
        <f t="shared" si="23"/>
        <v>-2.265144326425661E-2</v>
      </c>
    </row>
    <row r="1414" spans="2:8">
      <c r="B1414" s="55">
        <v>330.15</v>
      </c>
      <c r="C1414" s="55">
        <v>335.2</v>
      </c>
      <c r="D1414" s="55">
        <v>326.42009999999999</v>
      </c>
      <c r="E1414" s="55">
        <v>332.98</v>
      </c>
      <c r="F1414" s="55">
        <v>803404</v>
      </c>
      <c r="G1414" s="55" t="s">
        <v>1437</v>
      </c>
      <c r="H1414" s="25">
        <f t="shared" si="23"/>
        <v>-8.4990089494866305E-3</v>
      </c>
    </row>
    <row r="1415" spans="2:8">
      <c r="B1415" s="55">
        <v>329.51</v>
      </c>
      <c r="C1415" s="55">
        <v>333</v>
      </c>
      <c r="D1415" s="55">
        <v>326.26</v>
      </c>
      <c r="E1415" s="55">
        <v>330.39</v>
      </c>
      <c r="F1415" s="55">
        <v>1088461</v>
      </c>
      <c r="G1415" s="55" t="s">
        <v>1438</v>
      </c>
      <c r="H1415" s="25">
        <f t="shared" si="23"/>
        <v>-2.6635188716365166E-3</v>
      </c>
    </row>
    <row r="1416" spans="2:8">
      <c r="B1416" s="55">
        <v>333.81</v>
      </c>
      <c r="C1416" s="55">
        <v>337.28750000000002</v>
      </c>
      <c r="D1416" s="55">
        <v>330.51</v>
      </c>
      <c r="E1416" s="55">
        <v>332.88</v>
      </c>
      <c r="F1416" s="55">
        <v>891669</v>
      </c>
      <c r="G1416" s="55" t="s">
        <v>1439</v>
      </c>
      <c r="H1416" s="25">
        <f t="shared" si="23"/>
        <v>2.7937995674116589E-3</v>
      </c>
    </row>
    <row r="1417" spans="2:8">
      <c r="B1417" s="55">
        <v>331.6</v>
      </c>
      <c r="C1417" s="55">
        <v>340.85</v>
      </c>
      <c r="D1417" s="55">
        <v>325.64999999999998</v>
      </c>
      <c r="E1417" s="55">
        <v>336.1</v>
      </c>
      <c r="F1417" s="55">
        <v>1416690</v>
      </c>
      <c r="G1417" s="55" t="s">
        <v>1440</v>
      </c>
      <c r="H1417" s="25">
        <f t="shared" si="23"/>
        <v>-1.3388872359416881E-2</v>
      </c>
    </row>
    <row r="1418" spans="2:8">
      <c r="B1418" s="55">
        <v>333.92</v>
      </c>
      <c r="C1418" s="55">
        <v>334.19</v>
      </c>
      <c r="D1418" s="55">
        <v>322.82220000000001</v>
      </c>
      <c r="E1418" s="55">
        <v>327.01</v>
      </c>
      <c r="F1418" s="55">
        <v>1164097</v>
      </c>
      <c r="G1418" s="55" t="s">
        <v>1441</v>
      </c>
      <c r="H1418" s="25">
        <f t="shared" si="23"/>
        <v>2.1130852267514877E-2</v>
      </c>
    </row>
    <row r="1419" spans="2:8">
      <c r="B1419" s="55">
        <v>325.67</v>
      </c>
      <c r="C1419" s="55">
        <v>327.36500000000001</v>
      </c>
      <c r="D1419" s="55">
        <v>316.48</v>
      </c>
      <c r="E1419" s="55">
        <v>326.52999999999997</v>
      </c>
      <c r="F1419" s="55">
        <v>1847806</v>
      </c>
      <c r="G1419" s="55" t="s">
        <v>1442</v>
      </c>
      <c r="H1419" s="25">
        <f t="shared" si="23"/>
        <v>-2.6337549382903225E-3</v>
      </c>
    </row>
    <row r="1420" spans="2:8">
      <c r="B1420" s="55">
        <v>325.5</v>
      </c>
      <c r="C1420" s="55">
        <v>336.66</v>
      </c>
      <c r="D1420" s="55">
        <v>325.16000000000003</v>
      </c>
      <c r="E1420" s="55">
        <v>331.16</v>
      </c>
      <c r="F1420" s="55">
        <v>1623660</v>
      </c>
      <c r="G1420" s="55" t="s">
        <v>1443</v>
      </c>
      <c r="H1420" s="25">
        <f t="shared" si="23"/>
        <v>-1.7091436163787943E-2</v>
      </c>
    </row>
    <row r="1421" spans="2:8">
      <c r="B1421" s="55">
        <v>330.04</v>
      </c>
      <c r="C1421" s="55">
        <v>338.63010000000003</v>
      </c>
      <c r="D1421" s="55">
        <v>329.88</v>
      </c>
      <c r="E1421" s="55">
        <v>338.26</v>
      </c>
      <c r="F1421" s="55">
        <v>1277359</v>
      </c>
      <c r="G1421" s="55" t="s">
        <v>1444</v>
      </c>
      <c r="H1421" s="25">
        <f t="shared" si="23"/>
        <v>-2.4300833678235545E-2</v>
      </c>
    </row>
    <row r="1422" spans="2:8">
      <c r="B1422" s="55">
        <v>336.46</v>
      </c>
      <c r="C1422" s="55">
        <v>352.31</v>
      </c>
      <c r="D1422" s="55">
        <v>336.05</v>
      </c>
      <c r="E1422" s="55">
        <v>351</v>
      </c>
      <c r="F1422" s="55">
        <v>1367223</v>
      </c>
      <c r="G1422" s="55" t="s">
        <v>1445</v>
      </c>
      <c r="H1422" s="25">
        <f t="shared" si="23"/>
        <v>-4.1424501424501492E-2</v>
      </c>
    </row>
    <row r="1423" spans="2:8">
      <c r="B1423" s="55">
        <v>349.95</v>
      </c>
      <c r="C1423" s="55">
        <v>358.565</v>
      </c>
      <c r="D1423" s="55">
        <v>348.29</v>
      </c>
      <c r="E1423" s="55">
        <v>356.15</v>
      </c>
      <c r="F1423" s="55">
        <v>869516</v>
      </c>
      <c r="G1423" s="55" t="s">
        <v>1446</v>
      </c>
      <c r="H1423" s="25">
        <f t="shared" si="23"/>
        <v>-1.7408395339042482E-2</v>
      </c>
    </row>
    <row r="1424" spans="2:8">
      <c r="B1424" s="55">
        <v>353.61</v>
      </c>
      <c r="C1424" s="55">
        <v>354.73</v>
      </c>
      <c r="D1424" s="55">
        <v>345</v>
      </c>
      <c r="E1424" s="55">
        <v>345.12</v>
      </c>
      <c r="F1424" s="55">
        <v>762695</v>
      </c>
      <c r="G1424" s="55" t="s">
        <v>1447</v>
      </c>
      <c r="H1424" s="25">
        <f t="shared" si="23"/>
        <v>2.4600139082058492E-2</v>
      </c>
    </row>
    <row r="1425" spans="2:8">
      <c r="B1425" s="55">
        <v>352.07</v>
      </c>
      <c r="C1425" s="55">
        <v>358.89</v>
      </c>
      <c r="D1425" s="55">
        <v>346.30500000000001</v>
      </c>
      <c r="E1425" s="55">
        <v>358.89</v>
      </c>
      <c r="F1425" s="55">
        <v>1128074</v>
      </c>
      <c r="G1425" s="55" t="s">
        <v>1448</v>
      </c>
      <c r="H1425" s="25">
        <f t="shared" si="23"/>
        <v>-1.9003037142299894E-2</v>
      </c>
    </row>
    <row r="1426" spans="2:8">
      <c r="B1426" s="55">
        <v>356.29</v>
      </c>
      <c r="C1426" s="55">
        <v>359.23500000000001</v>
      </c>
      <c r="D1426" s="55">
        <v>348.2</v>
      </c>
      <c r="E1426" s="55">
        <v>350</v>
      </c>
      <c r="F1426" s="55">
        <v>1402427</v>
      </c>
      <c r="G1426" s="55" t="s">
        <v>1449</v>
      </c>
      <c r="H1426" s="25">
        <f t="shared" si="23"/>
        <v>1.7971428571428527E-2</v>
      </c>
    </row>
    <row r="1427" spans="2:8">
      <c r="B1427" s="55">
        <v>348</v>
      </c>
      <c r="C1427" s="55">
        <v>351.55</v>
      </c>
      <c r="D1427" s="55">
        <v>342.82499999999999</v>
      </c>
      <c r="E1427" s="55">
        <v>351.2</v>
      </c>
      <c r="F1427" s="55">
        <v>1236522</v>
      </c>
      <c r="G1427" s="55" t="s">
        <v>1450</v>
      </c>
      <c r="H1427" s="25">
        <f t="shared" si="23"/>
        <v>-9.1116173120728838E-3</v>
      </c>
    </row>
    <row r="1428" spans="2:8">
      <c r="B1428" s="55">
        <v>346.46</v>
      </c>
      <c r="C1428" s="55">
        <v>349.35</v>
      </c>
      <c r="D1428" s="55">
        <v>338.4</v>
      </c>
      <c r="E1428" s="55">
        <v>340.81</v>
      </c>
      <c r="F1428" s="55">
        <v>1726004</v>
      </c>
      <c r="G1428" s="55" t="s">
        <v>1451</v>
      </c>
      <c r="H1428" s="25">
        <f t="shared" si="23"/>
        <v>1.6578152049528949E-2</v>
      </c>
    </row>
    <row r="1429" spans="2:8">
      <c r="B1429" s="55">
        <v>337.94</v>
      </c>
      <c r="C1429" s="55">
        <v>343.935</v>
      </c>
      <c r="D1429" s="55">
        <v>337.17</v>
      </c>
      <c r="E1429" s="55">
        <v>343.9</v>
      </c>
      <c r="F1429" s="55">
        <v>1077498</v>
      </c>
      <c r="G1429" s="55" t="s">
        <v>1452</v>
      </c>
      <c r="H1429" s="25">
        <f t="shared" si="23"/>
        <v>-1.7330619366094702E-2</v>
      </c>
    </row>
    <row r="1430" spans="2:8">
      <c r="B1430" s="55">
        <v>338.91</v>
      </c>
      <c r="C1430" s="55">
        <v>339.2</v>
      </c>
      <c r="D1430" s="55">
        <v>333.09500000000003</v>
      </c>
      <c r="E1430" s="55">
        <v>333.38</v>
      </c>
      <c r="F1430" s="55">
        <v>1225816</v>
      </c>
      <c r="G1430" s="55" t="s">
        <v>1453</v>
      </c>
      <c r="H1430" s="25">
        <f t="shared" si="23"/>
        <v>1.6587677725118599E-2</v>
      </c>
    </row>
    <row r="1431" spans="2:8">
      <c r="B1431" s="55">
        <v>329.29</v>
      </c>
      <c r="C1431" s="55">
        <v>339.49</v>
      </c>
      <c r="D1431" s="55">
        <v>327.39</v>
      </c>
      <c r="E1431" s="55">
        <v>335.66</v>
      </c>
      <c r="F1431" s="55">
        <v>1575500</v>
      </c>
      <c r="G1431" s="55" t="s">
        <v>1454</v>
      </c>
      <c r="H1431" s="25">
        <f t="shared" si="23"/>
        <v>-1.8977536793183591E-2</v>
      </c>
    </row>
    <row r="1432" spans="2:8">
      <c r="B1432" s="55">
        <v>337.87</v>
      </c>
      <c r="C1432" s="55">
        <v>337.97</v>
      </c>
      <c r="D1432" s="55">
        <v>327.02600000000001</v>
      </c>
      <c r="E1432" s="55">
        <v>334</v>
      </c>
      <c r="F1432" s="55">
        <v>1397797</v>
      </c>
      <c r="G1432" s="55" t="s">
        <v>1455</v>
      </c>
      <c r="H1432" s="25">
        <f t="shared" si="23"/>
        <v>1.1586826347305346E-2</v>
      </c>
    </row>
    <row r="1433" spans="2:8">
      <c r="B1433" s="55">
        <v>332.67</v>
      </c>
      <c r="C1433" s="55">
        <v>339.26440000000002</v>
      </c>
      <c r="D1433" s="55">
        <v>327.73</v>
      </c>
      <c r="E1433" s="55">
        <v>333</v>
      </c>
      <c r="F1433" s="55">
        <v>1848362</v>
      </c>
      <c r="G1433" s="55" t="s">
        <v>1456</v>
      </c>
      <c r="H1433" s="25">
        <f t="shared" si="23"/>
        <v>-9.9099099099098087E-4</v>
      </c>
    </row>
    <row r="1434" spans="2:8">
      <c r="B1434" s="55">
        <v>341.05</v>
      </c>
      <c r="C1434" s="55">
        <v>343.26990000000001</v>
      </c>
      <c r="D1434" s="55">
        <v>332.62</v>
      </c>
      <c r="E1434" s="55">
        <v>334.01</v>
      </c>
      <c r="F1434" s="55">
        <v>1715913</v>
      </c>
      <c r="G1434" s="55" t="s">
        <v>1457</v>
      </c>
      <c r="H1434" s="25">
        <f t="shared" si="23"/>
        <v>2.1077213257088223E-2</v>
      </c>
    </row>
    <row r="1435" spans="2:8">
      <c r="B1435" s="55">
        <v>329.37</v>
      </c>
      <c r="C1435" s="55">
        <v>334.34100000000001</v>
      </c>
      <c r="D1435" s="55">
        <v>326.81</v>
      </c>
      <c r="E1435" s="55">
        <v>328.80059999999997</v>
      </c>
      <c r="F1435" s="55">
        <v>2001846</v>
      </c>
      <c r="G1435" s="55" t="s">
        <v>1458</v>
      </c>
      <c r="H1435" s="25">
        <f t="shared" si="23"/>
        <v>1.7317486646923896E-3</v>
      </c>
    </row>
    <row r="1436" spans="2:8">
      <c r="B1436" s="55">
        <v>323.67</v>
      </c>
      <c r="C1436" s="55">
        <v>325.23989999999998</v>
      </c>
      <c r="D1436" s="55">
        <v>315.97000000000003</v>
      </c>
      <c r="E1436" s="55">
        <v>318.74</v>
      </c>
      <c r="F1436" s="55">
        <v>1344119</v>
      </c>
      <c r="G1436" s="55" t="s">
        <v>1459</v>
      </c>
      <c r="H1436" s="25">
        <f t="shared" si="23"/>
        <v>1.546715191064818E-2</v>
      </c>
    </row>
    <row r="1437" spans="2:8">
      <c r="B1437" s="55">
        <v>318.73</v>
      </c>
      <c r="C1437" s="55">
        <v>319.29079999999999</v>
      </c>
      <c r="D1437" s="55">
        <v>310.59500000000003</v>
      </c>
      <c r="E1437" s="55">
        <v>317.88</v>
      </c>
      <c r="F1437" s="55">
        <v>1448539</v>
      </c>
      <c r="G1437" s="55" t="s">
        <v>1460</v>
      </c>
      <c r="H1437" s="25">
        <f t="shared" si="23"/>
        <v>2.6739650182459052E-3</v>
      </c>
    </row>
    <row r="1438" spans="2:8">
      <c r="B1438" s="55">
        <v>315.35000000000002</v>
      </c>
      <c r="C1438" s="55">
        <v>316.5</v>
      </c>
      <c r="D1438" s="55">
        <v>308.58999999999997</v>
      </c>
      <c r="E1438" s="55">
        <v>315.61</v>
      </c>
      <c r="F1438" s="55">
        <v>1788035</v>
      </c>
      <c r="G1438" s="55" t="s">
        <v>1461</v>
      </c>
      <c r="H1438" s="25">
        <f t="shared" si="23"/>
        <v>-8.2380152720129551E-4</v>
      </c>
    </row>
    <row r="1439" spans="2:8">
      <c r="B1439" s="55">
        <v>315.58</v>
      </c>
      <c r="C1439" s="55">
        <v>320.92</v>
      </c>
      <c r="D1439" s="55">
        <v>303.20890000000003</v>
      </c>
      <c r="E1439" s="55">
        <v>312.89</v>
      </c>
      <c r="F1439" s="55">
        <v>2451275</v>
      </c>
      <c r="G1439" s="55" t="s">
        <v>1462</v>
      </c>
      <c r="H1439" s="25">
        <f t="shared" si="23"/>
        <v>8.597270606283347E-3</v>
      </c>
    </row>
    <row r="1440" spans="2:8">
      <c r="B1440" s="55">
        <v>316.77</v>
      </c>
      <c r="C1440" s="55">
        <v>331.85</v>
      </c>
      <c r="D1440" s="55">
        <v>313.79399999999998</v>
      </c>
      <c r="E1440" s="55">
        <v>325.33999999999997</v>
      </c>
      <c r="F1440" s="55">
        <v>4646018</v>
      </c>
      <c r="G1440" s="55" t="s">
        <v>1463</v>
      </c>
      <c r="H1440" s="25">
        <f t="shared" si="23"/>
        <v>-2.6341673326366277E-2</v>
      </c>
    </row>
    <row r="1441" spans="2:8">
      <c r="B1441" s="55">
        <v>313.60000000000002</v>
      </c>
      <c r="C1441" s="55">
        <v>314.14999999999998</v>
      </c>
      <c r="D1441" s="55">
        <v>296.77</v>
      </c>
      <c r="E1441" s="55">
        <v>297.62</v>
      </c>
      <c r="F1441" s="55">
        <v>4030441</v>
      </c>
      <c r="G1441" s="55" t="s">
        <v>1464</v>
      </c>
      <c r="H1441" s="25">
        <f t="shared" si="23"/>
        <v>5.3692628183589886E-2</v>
      </c>
    </row>
    <row r="1442" spans="2:8">
      <c r="B1442" s="55">
        <v>295.56</v>
      </c>
      <c r="C1442" s="55">
        <v>295.68</v>
      </c>
      <c r="D1442" s="55">
        <v>287.20999999999998</v>
      </c>
      <c r="E1442" s="55">
        <v>289.64999999999998</v>
      </c>
      <c r="F1442" s="55">
        <v>2257336</v>
      </c>
      <c r="G1442" s="55" t="s">
        <v>1465</v>
      </c>
      <c r="H1442" s="25">
        <f>B1442/E1442-1</f>
        <v>2.0403935784567562E-2</v>
      </c>
    </row>
    <row r="1443" spans="2:8">
      <c r="H1443" s="25"/>
    </row>
    <row r="1444" spans="2:8">
      <c r="H1444" s="25"/>
    </row>
    <row r="1445" spans="2:8">
      <c r="H1445" s="25"/>
    </row>
    <row r="1446" spans="2:8">
      <c r="H1446" s="25"/>
    </row>
    <row r="1447" spans="2:8">
      <c r="H1447" s="25"/>
    </row>
    <row r="1448" spans="2:8">
      <c r="H1448" s="25"/>
    </row>
    <row r="1449" spans="2:8">
      <c r="H1449" s="25"/>
    </row>
    <row r="1450" spans="2:8">
      <c r="H1450" s="25"/>
    </row>
    <row r="1451" spans="2:8">
      <c r="H1451" s="25"/>
    </row>
    <row r="1452" spans="2:8">
      <c r="H1452" s="25"/>
    </row>
    <row r="1453" spans="2:8">
      <c r="H1453" s="25"/>
    </row>
    <row r="1454" spans="2:8">
      <c r="H1454" s="25"/>
    </row>
    <row r="1455" spans="2:8">
      <c r="H1455" s="25"/>
    </row>
    <row r="1456" spans="2:8">
      <c r="H1456" s="25"/>
    </row>
    <row r="1457" spans="8:8">
      <c r="H1457" s="25"/>
    </row>
    <row r="1458" spans="8:8">
      <c r="H1458" s="25"/>
    </row>
    <row r="1459" spans="8:8">
      <c r="H1459" s="25"/>
    </row>
    <row r="1460" spans="8:8">
      <c r="H1460" s="25"/>
    </row>
    <row r="1461" spans="8:8">
      <c r="H1461" s="25"/>
    </row>
    <row r="1462" spans="8:8">
      <c r="H1462" s="25"/>
    </row>
    <row r="1463" spans="8:8">
      <c r="H1463" s="25"/>
    </row>
    <row r="1464" spans="8:8">
      <c r="H1464" s="25"/>
    </row>
    <row r="1465" spans="8:8">
      <c r="H1465" s="25"/>
    </row>
    <row r="1466" spans="8:8">
      <c r="H1466" s="25"/>
    </row>
    <row r="1467" spans="8:8">
      <c r="H1467" s="25"/>
    </row>
    <row r="1468" spans="8:8">
      <c r="H1468" s="25"/>
    </row>
    <row r="1469" spans="8:8">
      <c r="H1469" s="25"/>
    </row>
    <row r="1470" spans="8:8">
      <c r="H1470" s="25"/>
    </row>
    <row r="1471" spans="8:8">
      <c r="H1471" s="25"/>
    </row>
    <row r="1472" spans="8:8">
      <c r="H1472" s="25"/>
    </row>
    <row r="1473" spans="8:8">
      <c r="H1473" s="25"/>
    </row>
    <row r="1474" spans="8:8">
      <c r="H1474" s="25"/>
    </row>
    <row r="1475" spans="8:8">
      <c r="H1475" s="25"/>
    </row>
    <row r="1476" spans="8:8">
      <c r="H1476" s="25"/>
    </row>
    <row r="1477" spans="8:8">
      <c r="H1477" s="25"/>
    </row>
    <row r="1478" spans="8:8">
      <c r="H1478" s="25"/>
    </row>
    <row r="1479" spans="8:8">
      <c r="H1479" s="25"/>
    </row>
    <row r="1480" spans="8:8">
      <c r="H1480" s="25"/>
    </row>
    <row r="1481" spans="8:8">
      <c r="H1481" s="25"/>
    </row>
    <row r="1482" spans="8:8">
      <c r="H1482" s="25"/>
    </row>
    <row r="1483" spans="8:8">
      <c r="H1483" s="25"/>
    </row>
    <row r="1484" spans="8:8">
      <c r="H1484" s="25"/>
    </row>
    <row r="1485" spans="8:8">
      <c r="H1485" s="25"/>
    </row>
    <row r="1486" spans="8:8">
      <c r="H1486" s="25"/>
    </row>
    <row r="1487" spans="8:8">
      <c r="H1487" s="25"/>
    </row>
    <row r="1488" spans="8:8">
      <c r="H1488" s="25"/>
    </row>
    <row r="1489" spans="8:8">
      <c r="H1489" s="25"/>
    </row>
    <row r="1490" spans="8:8">
      <c r="H1490" s="25"/>
    </row>
    <row r="1491" spans="8:8">
      <c r="H1491" s="25"/>
    </row>
    <row r="1492" spans="8:8">
      <c r="H1492" s="25"/>
    </row>
    <row r="1493" spans="8:8">
      <c r="H1493" s="25"/>
    </row>
    <row r="1494" spans="8:8">
      <c r="H1494" s="25"/>
    </row>
    <row r="1495" spans="8:8">
      <c r="H1495" s="25"/>
    </row>
    <row r="1496" spans="8:8">
      <c r="H1496" s="25"/>
    </row>
    <row r="1497" spans="8:8">
      <c r="H1497" s="25"/>
    </row>
    <row r="1498" spans="8:8">
      <c r="H1498" s="25"/>
    </row>
    <row r="1499" spans="8:8">
      <c r="H1499" s="25"/>
    </row>
    <row r="1500" spans="8:8">
      <c r="H1500" s="25"/>
    </row>
    <row r="1501" spans="8:8">
      <c r="H1501" s="25"/>
    </row>
    <row r="1502" spans="8:8">
      <c r="H1502" s="25"/>
    </row>
    <row r="1503" spans="8:8">
      <c r="H1503" s="25"/>
    </row>
    <row r="1504" spans="8:8">
      <c r="H1504" s="25"/>
    </row>
    <row r="1505" spans="8:8">
      <c r="H1505" s="25"/>
    </row>
    <row r="1506" spans="8:8">
      <c r="H1506" s="25"/>
    </row>
    <row r="1507" spans="8:8">
      <c r="H1507" s="25"/>
    </row>
    <row r="1508" spans="8:8">
      <c r="H1508" s="25"/>
    </row>
    <row r="1509" spans="8:8">
      <c r="H1509" s="25"/>
    </row>
    <row r="1510" spans="8:8">
      <c r="H1510" s="25"/>
    </row>
    <row r="1511" spans="8:8">
      <c r="H1511" s="25"/>
    </row>
    <row r="1512" spans="8:8">
      <c r="H1512" s="25"/>
    </row>
    <row r="1513" spans="8:8">
      <c r="H1513" s="25"/>
    </row>
    <row r="1514" spans="8:8">
      <c r="H1514" s="25"/>
    </row>
    <row r="1515" spans="8:8">
      <c r="H1515" s="25"/>
    </row>
    <row r="1516" spans="8:8">
      <c r="H1516" s="25"/>
    </row>
    <row r="1517" spans="8:8">
      <c r="H1517" s="25"/>
    </row>
    <row r="1518" spans="8:8">
      <c r="H1518" s="25"/>
    </row>
    <row r="1519" spans="8:8">
      <c r="H1519" s="25"/>
    </row>
    <row r="1520" spans="8:8">
      <c r="H1520" s="25"/>
    </row>
    <row r="1521" spans="8:8">
      <c r="H1521" s="25"/>
    </row>
    <row r="1522" spans="8:8">
      <c r="H1522" s="25"/>
    </row>
    <row r="1523" spans="8:8">
      <c r="H1523" s="25"/>
    </row>
    <row r="1524" spans="8:8">
      <c r="H1524" s="25"/>
    </row>
    <row r="1525" spans="8:8">
      <c r="H1525" s="25"/>
    </row>
    <row r="1526" spans="8:8">
      <c r="H1526" s="25"/>
    </row>
    <row r="1527" spans="8:8">
      <c r="H1527" s="25"/>
    </row>
    <row r="1528" spans="8:8">
      <c r="H1528" s="25"/>
    </row>
    <row r="1529" spans="8:8">
      <c r="H1529" s="25"/>
    </row>
    <row r="1530" spans="8:8">
      <c r="H1530" s="25"/>
    </row>
    <row r="1531" spans="8:8">
      <c r="H1531" s="25"/>
    </row>
    <row r="1532" spans="8:8">
      <c r="H1532" s="25"/>
    </row>
    <row r="1533" spans="8:8">
      <c r="H1533" s="25"/>
    </row>
    <row r="1534" spans="8:8">
      <c r="H1534" s="25"/>
    </row>
    <row r="1535" spans="8:8">
      <c r="H1535" s="25"/>
    </row>
    <row r="1536" spans="8:8">
      <c r="H1536" s="25"/>
    </row>
    <row r="1537" spans="8:8">
      <c r="H1537" s="25"/>
    </row>
    <row r="1538" spans="8:8">
      <c r="H1538" s="25"/>
    </row>
    <row r="1539" spans="8:8">
      <c r="H1539" s="25"/>
    </row>
    <row r="1540" spans="8:8">
      <c r="H1540" s="25"/>
    </row>
    <row r="1541" spans="8:8">
      <c r="H1541" s="25"/>
    </row>
    <row r="1542" spans="8:8">
      <c r="H1542" s="25"/>
    </row>
    <row r="1543" spans="8:8">
      <c r="H1543" s="25"/>
    </row>
    <row r="1544" spans="8:8">
      <c r="H1544" s="25"/>
    </row>
    <row r="1545" spans="8:8">
      <c r="H1545" s="25"/>
    </row>
    <row r="1546" spans="8:8">
      <c r="H1546" s="25"/>
    </row>
    <row r="1547" spans="8:8">
      <c r="H1547" s="25"/>
    </row>
    <row r="1548" spans="8:8">
      <c r="H1548" s="25"/>
    </row>
    <row r="1549" spans="8:8">
      <c r="H1549" s="25"/>
    </row>
    <row r="1550" spans="8:8">
      <c r="H1550" s="25"/>
    </row>
    <row r="1551" spans="8:8">
      <c r="H1551" s="25"/>
    </row>
    <row r="1552" spans="8:8">
      <c r="H1552" s="25"/>
    </row>
    <row r="1553" spans="8:8">
      <c r="H1553" s="25"/>
    </row>
    <row r="1554" spans="8:8">
      <c r="H1554" s="25"/>
    </row>
    <row r="1555" spans="8:8">
      <c r="H1555" s="25"/>
    </row>
    <row r="1556" spans="8:8">
      <c r="H1556" s="25"/>
    </row>
    <row r="1557" spans="8:8">
      <c r="H1557" s="25"/>
    </row>
  </sheetData>
  <sortState xmlns:xlrd2="http://schemas.microsoft.com/office/spreadsheetml/2017/richdata2" ref="J211:J335">
    <sortCondition ref="J21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activeCell="D15" sqref="D15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10</v>
      </c>
      <c r="C2" s="4"/>
      <c r="D2" s="4"/>
      <c r="E2" s="4"/>
      <c r="F2" s="4"/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11</v>
      </c>
      <c r="C3" s="8"/>
      <c r="D3" s="8"/>
      <c r="E3" s="8"/>
      <c r="F3" s="9"/>
      <c r="G3" s="10" t="s">
        <v>12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11</v>
      </c>
      <c r="C4" s="13"/>
      <c r="D4" s="13"/>
      <c r="E4" s="13"/>
      <c r="F4" s="14"/>
      <c r="G4" s="15" t="s">
        <v>13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11</v>
      </c>
      <c r="C5" s="13"/>
      <c r="D5" s="13"/>
      <c r="E5" s="13"/>
      <c r="F5" s="14"/>
      <c r="G5" s="17" t="s">
        <v>12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11</v>
      </c>
      <c r="C6" s="13"/>
      <c r="D6" s="13"/>
      <c r="E6" s="13"/>
      <c r="F6" s="14"/>
      <c r="G6" s="15" t="s">
        <v>13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11</v>
      </c>
      <c r="C7" s="13"/>
      <c r="D7" s="13"/>
      <c r="E7" s="13"/>
      <c r="F7" s="14"/>
      <c r="G7" s="17" t="s">
        <v>12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11</v>
      </c>
      <c r="C8" s="20"/>
      <c r="D8" s="20"/>
      <c r="E8" s="20"/>
      <c r="F8" s="21"/>
      <c r="G8" s="22" t="s">
        <v>13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Notes | Quant Analysis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Herrick</cp:lastModifiedBy>
  <dcterms:created xsi:type="dcterms:W3CDTF">2015-06-05T18:17:20Z</dcterms:created>
  <dcterms:modified xsi:type="dcterms:W3CDTF">2026-04-29T09:02:16Z</dcterms:modified>
</cp:coreProperties>
</file>