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General\"/>
    </mc:Choice>
  </mc:AlternateContent>
  <xr:revisionPtr revIDLastSave="0" documentId="13_ncr:1_{49A36142-994F-4478-9139-AF4854F2B18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Economics" sheetId="7" r:id="rId5"/>
    <sheet name="Management" sheetId="6" r:id="rId6"/>
    <sheet name="Table Formatting" sheetId="4" r:id="rId7"/>
  </sheets>
  <externalReferences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126" i="2" l="1"/>
  <c r="BU126" i="2"/>
  <c r="BT126" i="2"/>
  <c r="BS126" i="2"/>
  <c r="BR126" i="2"/>
  <c r="BQ126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V125" i="2"/>
  <c r="BU125" i="2"/>
  <c r="BT125" i="2"/>
  <c r="BS125" i="2"/>
  <c r="BR125" i="2"/>
  <c r="BQ125" i="2"/>
  <c r="BP125" i="2"/>
  <c r="BO125" i="2"/>
  <c r="BN125" i="2"/>
  <c r="BM125" i="2"/>
  <c r="BL125" i="2"/>
  <c r="BK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V124" i="2"/>
  <c r="BU124" i="2"/>
  <c r="BT124" i="2"/>
  <c r="BS124" i="2"/>
  <c r="BR124" i="2"/>
  <c r="BQ124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W126" i="2"/>
  <c r="BW125" i="2"/>
  <c r="BW124" i="2"/>
  <c r="BW120" i="2"/>
  <c r="BW122" i="2" s="1"/>
  <c r="BW115" i="2"/>
  <c r="BW114" i="2"/>
  <c r="BW113" i="2"/>
  <c r="BW112" i="2"/>
  <c r="BW111" i="2"/>
  <c r="BW109" i="2"/>
  <c r="BW108" i="2"/>
  <c r="BW97" i="2"/>
  <c r="BW110" i="2" s="1"/>
  <c r="BW95" i="2"/>
  <c r="BW83" i="2"/>
  <c r="BW39" i="2"/>
  <c r="BW38" i="2"/>
  <c r="BW37" i="2"/>
  <c r="BW36" i="2"/>
  <c r="BW25" i="2"/>
  <c r="BW24" i="2"/>
  <c r="BW23" i="2"/>
  <c r="BW22" i="2"/>
  <c r="BW21" i="2"/>
  <c r="BW20" i="2"/>
  <c r="BW19" i="2"/>
  <c r="BW18" i="2"/>
  <c r="BW17" i="2"/>
  <c r="BW16" i="2"/>
  <c r="BW14" i="2"/>
  <c r="BW29" i="2" s="1"/>
  <c r="CZ47" i="2"/>
  <c r="CZ46" i="2"/>
  <c r="CZ34" i="2"/>
  <c r="CZ33" i="2"/>
  <c r="CZ32" i="2"/>
  <c r="CZ31" i="2"/>
  <c r="CZ14" i="2"/>
  <c r="CZ13" i="2"/>
  <c r="DA13" i="2" s="1"/>
  <c r="CZ12" i="2"/>
  <c r="CZ11" i="2"/>
  <c r="CZ10" i="2"/>
  <c r="DA10" i="2" s="1"/>
  <c r="CZ9" i="2"/>
  <c r="CZ8" i="2"/>
  <c r="CZ7" i="2"/>
  <c r="CZ6" i="2"/>
  <c r="DA6" i="2" s="1"/>
  <c r="CZ5" i="2"/>
  <c r="DA5" i="2" s="1"/>
  <c r="CZ4" i="2"/>
  <c r="DA4" i="2" s="1"/>
  <c r="DA12" i="2"/>
  <c r="DA11" i="2"/>
  <c r="DA9" i="2"/>
  <c r="DA8" i="2"/>
  <c r="DA7" i="2"/>
  <c r="DE85" i="2"/>
  <c r="CZ115" i="2"/>
  <c r="CZ114" i="2"/>
  <c r="CZ113" i="2"/>
  <c r="CZ112" i="2"/>
  <c r="CZ111" i="2"/>
  <c r="CZ110" i="2"/>
  <c r="CZ109" i="2"/>
  <c r="CZ108" i="2"/>
  <c r="BV115" i="2"/>
  <c r="BV114" i="2"/>
  <c r="BV113" i="2"/>
  <c r="BV112" i="2"/>
  <c r="BV111" i="2"/>
  <c r="BV110" i="2"/>
  <c r="BV109" i="2"/>
  <c r="BV108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V120" i="2"/>
  <c r="BV97" i="2"/>
  <c r="BV95" i="2"/>
  <c r="BV83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T39" i="2"/>
  <c r="BT38" i="2"/>
  <c r="BT37" i="2"/>
  <c r="BT36" i="2"/>
  <c r="BU39" i="2"/>
  <c r="BU38" i="2"/>
  <c r="BU37" i="2"/>
  <c r="BU36" i="2"/>
  <c r="BV39" i="2"/>
  <c r="BV38" i="2"/>
  <c r="BV37" i="2"/>
  <c r="BV36" i="2"/>
  <c r="C3" i="2" a="1"/>
  <c r="C3" i="2" s="1"/>
  <c r="BW46" i="2" l="1"/>
  <c r="BW48" i="2" s="1"/>
  <c r="BW28" i="2"/>
  <c r="BW26" i="2"/>
  <c r="DA14" i="2"/>
  <c r="DA26" i="2" s="1"/>
  <c r="DJ87" i="2"/>
  <c r="DJ85" i="2"/>
  <c r="DE96" i="2"/>
  <c r="DJ79" i="2"/>
  <c r="DJ80" i="2" s="1"/>
  <c r="DG79" i="2"/>
  <c r="CZ74" i="2" l="1"/>
  <c r="DC79" i="2" s="1"/>
  <c r="CZ23" i="2"/>
  <c r="CZ22" i="2"/>
  <c r="CZ21" i="2"/>
  <c r="CZ20" i="2"/>
  <c r="CZ19" i="2"/>
  <c r="CZ3" i="2"/>
  <c r="DA3" i="2" s="1"/>
  <c r="BU122" i="2"/>
  <c r="BT122" i="2"/>
  <c r="BS122" i="2"/>
  <c r="BR122" i="2"/>
  <c r="BQ122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V122" i="2"/>
  <c r="BU14" i="2"/>
  <c r="BU46" i="2" s="1"/>
  <c r="BU48" i="2" s="1"/>
  <c r="BT14" i="2"/>
  <c r="BT46" i="2" s="1"/>
  <c r="BT48" i="2" s="1"/>
  <c r="BS14" i="2"/>
  <c r="BS46" i="2" s="1"/>
  <c r="BS48" i="2" s="1"/>
  <c r="BR14" i="2"/>
  <c r="BQ14" i="2"/>
  <c r="BQ46" i="2" s="1"/>
  <c r="BP14" i="2"/>
  <c r="BP26" i="2" s="1"/>
  <c r="BO14" i="2"/>
  <c r="BN14" i="2"/>
  <c r="BR26" i="2" s="1"/>
  <c r="BM14" i="2"/>
  <c r="BL14" i="2"/>
  <c r="BK14" i="2"/>
  <c r="BJ14" i="2"/>
  <c r="BI14" i="2"/>
  <c r="BM26" i="2" s="1"/>
  <c r="BH14" i="2"/>
  <c r="BL26" i="2" s="1"/>
  <c r="BG14" i="2"/>
  <c r="BF14" i="2"/>
  <c r="BF26" i="2" s="1"/>
  <c r="BE14" i="2"/>
  <c r="BD14" i="2"/>
  <c r="BC14" i="2"/>
  <c r="BV14" i="2"/>
  <c r="BV26" i="2" s="1"/>
  <c r="BU26" i="2"/>
  <c r="BQ26" i="2"/>
  <c r="BE26" i="2"/>
  <c r="BD26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V25" i="2"/>
  <c r="BV24" i="2"/>
  <c r="BV23" i="2"/>
  <c r="BV22" i="2"/>
  <c r="BV21" i="2"/>
  <c r="BV20" i="2"/>
  <c r="BV19" i="2"/>
  <c r="BV18" i="2"/>
  <c r="BV17" i="2"/>
  <c r="BV16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G187" i="3"/>
  <c r="R253" i="3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51" i="3"/>
  <c r="R250" i="3" s="1"/>
  <c r="R249" i="3" s="1"/>
  <c r="R248" i="3" s="1"/>
  <c r="R247" i="3" s="1"/>
  <c r="R246" i="3" s="1"/>
  <c r="R245" i="3" s="1"/>
  <c r="R244" i="3" s="1"/>
  <c r="R243" i="3" s="1"/>
  <c r="R242" i="3" s="1"/>
  <c r="R241" i="3" s="1"/>
  <c r="R240" i="3" s="1"/>
  <c r="R239" i="3" s="1"/>
  <c r="R238" i="3" s="1"/>
  <c r="R237" i="3" s="1"/>
  <c r="R236" i="3" s="1"/>
  <c r="R235" i="3" s="1"/>
  <c r="R234" i="3" s="1"/>
  <c r="R233" i="3" s="1"/>
  <c r="R232" i="3" s="1"/>
  <c r="R231" i="3" s="1"/>
  <c r="R230" i="3" s="1"/>
  <c r="R229" i="3" s="1"/>
  <c r="R228" i="3" s="1"/>
  <c r="R227" i="3" s="1"/>
  <c r="R226" i="3" s="1"/>
  <c r="R225" i="3" s="1"/>
  <c r="R224" i="3" s="1"/>
  <c r="R223" i="3" s="1"/>
  <c r="R222" i="3" s="1"/>
  <c r="R221" i="3" s="1"/>
  <c r="BR46" i="2"/>
  <c r="BR48" i="2" s="1"/>
  <c r="BN46" i="2"/>
  <c r="BN48" i="2" s="1"/>
  <c r="BM46" i="2"/>
  <c r="BM48" i="2" s="1"/>
  <c r="BL46" i="2"/>
  <c r="BL48" i="2" s="1"/>
  <c r="BJ46" i="2"/>
  <c r="BJ48" i="2" s="1"/>
  <c r="BE46" i="2"/>
  <c r="BE48" i="2" s="1"/>
  <c r="BD46" i="2"/>
  <c r="BD48" i="2" s="1"/>
  <c r="BB46" i="2"/>
  <c r="BB48" i="2" s="1"/>
  <c r="BA46" i="2"/>
  <c r="AZ46" i="2"/>
  <c r="AZ48" i="2" s="1"/>
  <c r="AY46" i="2"/>
  <c r="AY48" i="2" s="1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DB79" i="2" s="1"/>
  <c r="CT46" i="2"/>
  <c r="CS46" i="2"/>
  <c r="CR46" i="2"/>
  <c r="CQ46" i="2"/>
  <c r="CP46" i="2"/>
  <c r="CO46" i="2"/>
  <c r="CN46" i="2"/>
  <c r="CM46" i="2"/>
  <c r="CL46" i="2"/>
  <c r="CK46" i="2"/>
  <c r="CJ46" i="2"/>
  <c r="CI46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U14" i="2"/>
  <c r="CT14" i="2"/>
  <c r="CT26" i="2" s="1"/>
  <c r="CS14" i="2"/>
  <c r="CR14" i="2"/>
  <c r="CQ14" i="2"/>
  <c r="CP14" i="2"/>
  <c r="CO14" i="2"/>
  <c r="CN14" i="2"/>
  <c r="CN26" i="2" s="1"/>
  <c r="CM14" i="2"/>
  <c r="CL14" i="2"/>
  <c r="CL26" i="2" s="1"/>
  <c r="CK14" i="2"/>
  <c r="CJ14" i="2"/>
  <c r="CI14" i="2"/>
  <c r="CY13" i="2"/>
  <c r="DB13" i="2" s="1"/>
  <c r="DC13" i="2" s="1"/>
  <c r="DD13" i="2" s="1"/>
  <c r="DE13" i="2" s="1"/>
  <c r="DF13" i="2" s="1"/>
  <c r="DG13" i="2" s="1"/>
  <c r="DH13" i="2" s="1"/>
  <c r="DI13" i="2" s="1"/>
  <c r="DJ13" i="2" s="1"/>
  <c r="CX13" i="2"/>
  <c r="CW13" i="2"/>
  <c r="CW25" i="2" s="1"/>
  <c r="CV13" i="2"/>
  <c r="CU13" i="2"/>
  <c r="CU25" i="2" s="1"/>
  <c r="CT13" i="2"/>
  <c r="CS13" i="2"/>
  <c r="CR13" i="2"/>
  <c r="CQ13" i="2"/>
  <c r="CP13" i="2"/>
  <c r="CO13" i="2"/>
  <c r="CO25" i="2" s="1"/>
  <c r="CN13" i="2"/>
  <c r="CM13" i="2"/>
  <c r="CM25" i="2" s="1"/>
  <c r="CL13" i="2"/>
  <c r="CK13" i="2"/>
  <c r="CJ13" i="2"/>
  <c r="CI13" i="2"/>
  <c r="CY12" i="2"/>
  <c r="DB12" i="2" s="1"/>
  <c r="DC12" i="2" s="1"/>
  <c r="DD12" i="2" s="1"/>
  <c r="DE12" i="2" s="1"/>
  <c r="DF12" i="2" s="1"/>
  <c r="DG12" i="2" s="1"/>
  <c r="DH12" i="2" s="1"/>
  <c r="DI12" i="2" s="1"/>
  <c r="DJ12" i="2" s="1"/>
  <c r="CX12" i="2"/>
  <c r="CX24" i="2" s="1"/>
  <c r="CW12" i="2"/>
  <c r="CV12" i="2"/>
  <c r="CV24" i="2" s="1"/>
  <c r="CU12" i="2"/>
  <c r="CT12" i="2"/>
  <c r="CS12" i="2"/>
  <c r="CR12" i="2"/>
  <c r="CQ12" i="2"/>
  <c r="CQ24" i="2" s="1"/>
  <c r="CP12" i="2"/>
  <c r="CP24" i="2" s="1"/>
  <c r="CO12" i="2"/>
  <c r="CO24" i="2" s="1"/>
  <c r="CN12" i="2"/>
  <c r="CN24" i="2" s="1"/>
  <c r="CM12" i="2"/>
  <c r="CL12" i="2"/>
  <c r="CK12" i="2"/>
  <c r="CJ12" i="2"/>
  <c r="CI12" i="2"/>
  <c r="CY11" i="2"/>
  <c r="DB11" i="2" s="1"/>
  <c r="DC11" i="2" s="1"/>
  <c r="DD11" i="2" s="1"/>
  <c r="DE11" i="2" s="1"/>
  <c r="DF11" i="2" s="1"/>
  <c r="DG11" i="2" s="1"/>
  <c r="DH11" i="2" s="1"/>
  <c r="DI11" i="2" s="1"/>
  <c r="DJ11" i="2" s="1"/>
  <c r="CX11" i="2"/>
  <c r="CW11" i="2"/>
  <c r="CW23" i="2" s="1"/>
  <c r="CV11" i="2"/>
  <c r="CU11" i="2"/>
  <c r="CT11" i="2"/>
  <c r="CS11" i="2"/>
  <c r="CR11" i="2"/>
  <c r="CQ11" i="2"/>
  <c r="CQ23" i="2" s="1"/>
  <c r="CP11" i="2"/>
  <c r="CO11" i="2"/>
  <c r="CO23" i="2" s="1"/>
  <c r="CN11" i="2"/>
  <c r="CM11" i="2"/>
  <c r="CL11" i="2"/>
  <c r="CK11" i="2"/>
  <c r="CJ11" i="2"/>
  <c r="CI11" i="2"/>
  <c r="CY10" i="2"/>
  <c r="DB10" i="2" s="1"/>
  <c r="DC10" i="2" s="1"/>
  <c r="DD10" i="2" s="1"/>
  <c r="DE10" i="2" s="1"/>
  <c r="DF10" i="2" s="1"/>
  <c r="DG10" i="2" s="1"/>
  <c r="DH10" i="2" s="1"/>
  <c r="DI10" i="2" s="1"/>
  <c r="DJ10" i="2" s="1"/>
  <c r="CX10" i="2"/>
  <c r="CW10" i="2"/>
  <c r="CW22" i="2" s="1"/>
  <c r="CV10" i="2"/>
  <c r="CU10" i="2"/>
  <c r="CT10" i="2"/>
  <c r="CS10" i="2"/>
  <c r="CR10" i="2"/>
  <c r="CR22" i="2" s="1"/>
  <c r="CQ10" i="2"/>
  <c r="CP10" i="2"/>
  <c r="CP22" i="2" s="1"/>
  <c r="CO10" i="2"/>
  <c r="CO22" i="2" s="1"/>
  <c r="CN10" i="2"/>
  <c r="CM10" i="2"/>
  <c r="CL10" i="2"/>
  <c r="CK10" i="2"/>
  <c r="CJ10" i="2"/>
  <c r="CJ22" i="2" s="1"/>
  <c r="CI10" i="2"/>
  <c r="CY9" i="2"/>
  <c r="DB9" i="2" s="1"/>
  <c r="DC9" i="2" s="1"/>
  <c r="DD9" i="2" s="1"/>
  <c r="DE9" i="2" s="1"/>
  <c r="DF9" i="2" s="1"/>
  <c r="DG9" i="2" s="1"/>
  <c r="DH9" i="2" s="1"/>
  <c r="DI9" i="2" s="1"/>
  <c r="DJ9" i="2" s="1"/>
  <c r="CX9" i="2"/>
  <c r="CW9" i="2"/>
  <c r="CW21" i="2" s="1"/>
  <c r="CV9" i="2"/>
  <c r="CU9" i="2"/>
  <c r="CT9" i="2"/>
  <c r="CS9" i="2"/>
  <c r="CS21" i="2" s="1"/>
  <c r="CR9" i="2"/>
  <c r="CQ9" i="2"/>
  <c r="CQ21" i="2" s="1"/>
  <c r="CP9" i="2"/>
  <c r="CO9" i="2"/>
  <c r="CO21" i="2" s="1"/>
  <c r="CN9" i="2"/>
  <c r="CM9" i="2"/>
  <c r="CL9" i="2"/>
  <c r="CK9" i="2"/>
  <c r="CK21" i="2" s="1"/>
  <c r="CJ9" i="2"/>
  <c r="CI9" i="2"/>
  <c r="CY8" i="2"/>
  <c r="DB8" i="2" s="1"/>
  <c r="DC8" i="2" s="1"/>
  <c r="DD8" i="2" s="1"/>
  <c r="DE8" i="2" s="1"/>
  <c r="DF8" i="2" s="1"/>
  <c r="DG8" i="2" s="1"/>
  <c r="DH8" i="2" s="1"/>
  <c r="DI8" i="2" s="1"/>
  <c r="DJ8" i="2" s="1"/>
  <c r="CX8" i="2"/>
  <c r="CW8" i="2"/>
  <c r="CV8" i="2"/>
  <c r="CU8" i="2"/>
  <c r="CT8" i="2"/>
  <c r="CT20" i="2" s="1"/>
  <c r="CS8" i="2"/>
  <c r="CR8" i="2"/>
  <c r="CR20" i="2" s="1"/>
  <c r="CQ8" i="2"/>
  <c r="CQ20" i="2" s="1"/>
  <c r="CP8" i="2"/>
  <c r="CO8" i="2"/>
  <c r="CN8" i="2"/>
  <c r="CM8" i="2"/>
  <c r="CL8" i="2"/>
  <c r="CL20" i="2" s="1"/>
  <c r="CK8" i="2"/>
  <c r="CJ8" i="2"/>
  <c r="CJ20" i="2" s="1"/>
  <c r="CI8" i="2"/>
  <c r="CY7" i="2"/>
  <c r="DB7" i="2" s="1"/>
  <c r="DC7" i="2" s="1"/>
  <c r="DD7" i="2" s="1"/>
  <c r="DE7" i="2" s="1"/>
  <c r="DF7" i="2" s="1"/>
  <c r="DG7" i="2" s="1"/>
  <c r="DH7" i="2" s="1"/>
  <c r="DI7" i="2" s="1"/>
  <c r="DJ7" i="2" s="1"/>
  <c r="CX7" i="2"/>
  <c r="CW7" i="2"/>
  <c r="CV7" i="2"/>
  <c r="CU7" i="2"/>
  <c r="CU19" i="2" s="1"/>
  <c r="CT7" i="2"/>
  <c r="CS7" i="2"/>
  <c r="CS19" i="2" s="1"/>
  <c r="CR7" i="2"/>
  <c r="CQ7" i="2"/>
  <c r="CP7" i="2"/>
  <c r="CO7" i="2"/>
  <c r="CN7" i="2"/>
  <c r="CM7" i="2"/>
  <c r="CM19" i="2" s="1"/>
  <c r="CL7" i="2"/>
  <c r="CK7" i="2"/>
  <c r="CK19" i="2" s="1"/>
  <c r="CJ7" i="2"/>
  <c r="CI7" i="2"/>
  <c r="CY6" i="2"/>
  <c r="CX6" i="2"/>
  <c r="CW6" i="2"/>
  <c r="CV6" i="2"/>
  <c r="CV18" i="2" s="1"/>
  <c r="CU6" i="2"/>
  <c r="CT6" i="2"/>
  <c r="CT18" i="2" s="1"/>
  <c r="CS6" i="2"/>
  <c r="CS18" i="2" s="1"/>
  <c r="CR6" i="2"/>
  <c r="CQ6" i="2"/>
  <c r="CP6" i="2"/>
  <c r="CO6" i="2"/>
  <c r="CN6" i="2"/>
  <c r="CN18" i="2" s="1"/>
  <c r="CM6" i="2"/>
  <c r="CL6" i="2"/>
  <c r="CL18" i="2" s="1"/>
  <c r="CK6" i="2"/>
  <c r="CK18" i="2" s="1"/>
  <c r="CJ6" i="2"/>
  <c r="CI6" i="2"/>
  <c r="CY5" i="2"/>
  <c r="DB5" i="2" s="1"/>
  <c r="DC5" i="2" s="1"/>
  <c r="DD5" i="2" s="1"/>
  <c r="DE5" i="2" s="1"/>
  <c r="DF5" i="2" s="1"/>
  <c r="DG5" i="2" s="1"/>
  <c r="DH5" i="2" s="1"/>
  <c r="DI5" i="2" s="1"/>
  <c r="DJ5" i="2" s="1"/>
  <c r="CX5" i="2"/>
  <c r="CW5" i="2"/>
  <c r="CW17" i="2" s="1"/>
  <c r="CV5" i="2"/>
  <c r="CU5" i="2"/>
  <c r="CU17" i="2" s="1"/>
  <c r="CT5" i="2"/>
  <c r="CT17" i="2" s="1"/>
  <c r="CS5" i="2"/>
  <c r="CR5" i="2"/>
  <c r="CQ5" i="2"/>
  <c r="CP5" i="2"/>
  <c r="CO5" i="2"/>
  <c r="CO17" i="2" s="1"/>
  <c r="CN5" i="2"/>
  <c r="CM5" i="2"/>
  <c r="CM17" i="2" s="1"/>
  <c r="CL5" i="2"/>
  <c r="CL17" i="2" s="1"/>
  <c r="CK5" i="2"/>
  <c r="CJ5" i="2"/>
  <c r="CI5" i="2"/>
  <c r="CV4" i="2"/>
  <c r="CX4" i="2"/>
  <c r="CY4" i="2"/>
  <c r="DB4" i="2" s="1"/>
  <c r="DC4" i="2" s="1"/>
  <c r="DD4" i="2" s="1"/>
  <c r="DE4" i="2" s="1"/>
  <c r="DF4" i="2" s="1"/>
  <c r="DG4" i="2" s="1"/>
  <c r="DH4" i="2" s="1"/>
  <c r="DI4" i="2" s="1"/>
  <c r="DJ4" i="2" s="1"/>
  <c r="CW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J3" i="2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O187" i="3"/>
  <c r="S213" i="3" s="1"/>
  <c r="S214" i="3" s="1"/>
  <c r="C5" i="1"/>
  <c r="S215" i="3" l="1"/>
  <c r="DE89" i="2" s="1"/>
  <c r="DE91" i="2" s="1"/>
  <c r="C8" i="1"/>
  <c r="DE82" i="2"/>
  <c r="CN17" i="2"/>
  <c r="CV17" i="2"/>
  <c r="CM18" i="2"/>
  <c r="CU18" i="2"/>
  <c r="CL19" i="2"/>
  <c r="CT19" i="2"/>
  <c r="CK20" i="2"/>
  <c r="CS20" i="2"/>
  <c r="CJ21" i="2"/>
  <c r="CR21" i="2"/>
  <c r="CQ22" i="2"/>
  <c r="CP23" i="2"/>
  <c r="CX23" i="2"/>
  <c r="CW24" i="2"/>
  <c r="CN25" i="2"/>
  <c r="CV25" i="2"/>
  <c r="CM26" i="2"/>
  <c r="CU26" i="2"/>
  <c r="CW14" i="2"/>
  <c r="CY14" i="2"/>
  <c r="CZ16" i="2"/>
  <c r="CZ24" i="2"/>
  <c r="CZ17" i="2"/>
  <c r="CZ25" i="2"/>
  <c r="CX17" i="2"/>
  <c r="CN19" i="2"/>
  <c r="CV19" i="2"/>
  <c r="CM20" i="2"/>
  <c r="CU20" i="2"/>
  <c r="CL21" i="2"/>
  <c r="CT21" i="2"/>
  <c r="CK22" i="2"/>
  <c r="CS22" i="2"/>
  <c r="CJ23" i="2"/>
  <c r="CR23" i="2"/>
  <c r="CP25" i="2"/>
  <c r="CX25" i="2"/>
  <c r="CZ18" i="2"/>
  <c r="CZ26" i="2"/>
  <c r="CP17" i="2"/>
  <c r="CW19" i="2"/>
  <c r="BF46" i="2"/>
  <c r="BF48" i="2" s="1"/>
  <c r="BJ26" i="2"/>
  <c r="CO20" i="2"/>
  <c r="CW20" i="2"/>
  <c r="CX14" i="2"/>
  <c r="DE79" i="2"/>
  <c r="DG80" i="2" s="1"/>
  <c r="CZ28" i="2"/>
  <c r="DB3" i="2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CN20" i="2"/>
  <c r="CL22" i="2"/>
  <c r="CR24" i="2"/>
  <c r="CN21" i="2"/>
  <c r="CK24" i="2"/>
  <c r="CQ17" i="2"/>
  <c r="CJ24" i="2"/>
  <c r="CR17" i="2"/>
  <c r="CX19" i="2"/>
  <c r="CM22" i="2"/>
  <c r="CJ25" i="2"/>
  <c r="BH26" i="2"/>
  <c r="CK17" i="2"/>
  <c r="CS17" i="2"/>
  <c r="CJ18" i="2"/>
  <c r="CR18" i="2"/>
  <c r="CQ19" i="2"/>
  <c r="CP20" i="2"/>
  <c r="CX20" i="2"/>
  <c r="CN22" i="2"/>
  <c r="CV22" i="2"/>
  <c r="CM23" i="2"/>
  <c r="CU23" i="2"/>
  <c r="CL24" i="2"/>
  <c r="CT24" i="2"/>
  <c r="CK25" i="2"/>
  <c r="CS25" i="2"/>
  <c r="CJ26" i="2"/>
  <c r="CR26" i="2"/>
  <c r="BG46" i="2"/>
  <c r="BG48" i="2" s="1"/>
  <c r="BP46" i="2"/>
  <c r="BI26" i="2"/>
  <c r="CO19" i="2"/>
  <c r="CP18" i="2"/>
  <c r="CV20" i="2"/>
  <c r="CK23" i="2"/>
  <c r="CP26" i="2"/>
  <c r="BG26" i="2"/>
  <c r="CY18" i="2"/>
  <c r="CU22" i="2"/>
  <c r="CS24" i="2"/>
  <c r="CJ19" i="2"/>
  <c r="CR19" i="2"/>
  <c r="CP21" i="2"/>
  <c r="CX21" i="2"/>
  <c r="CN23" i="2"/>
  <c r="CV23" i="2"/>
  <c r="CM24" i="2"/>
  <c r="CU24" i="2"/>
  <c r="CL25" i="2"/>
  <c r="CT25" i="2"/>
  <c r="CK26" i="2"/>
  <c r="CS26" i="2"/>
  <c r="BH46" i="2"/>
  <c r="BH48" i="2" s="1"/>
  <c r="CV14" i="2"/>
  <c r="CV26" i="2" s="1"/>
  <c r="CP19" i="2"/>
  <c r="CL23" i="2"/>
  <c r="CR25" i="2"/>
  <c r="BO46" i="2"/>
  <c r="BO48" i="2" s="1"/>
  <c r="CX22" i="2"/>
  <c r="BI46" i="2"/>
  <c r="BI48" i="2" s="1"/>
  <c r="CX18" i="2"/>
  <c r="CM21" i="2"/>
  <c r="CT22" i="2"/>
  <c r="CQ25" i="2"/>
  <c r="CQ18" i="2"/>
  <c r="CV21" i="2"/>
  <c r="CT23" i="2"/>
  <c r="CQ26" i="2"/>
  <c r="CU21" i="2"/>
  <c r="CS23" i="2"/>
  <c r="CJ17" i="2"/>
  <c r="BN26" i="2"/>
  <c r="BV29" i="2"/>
  <c r="CW18" i="2"/>
  <c r="CO26" i="2"/>
  <c r="CK16" i="2"/>
  <c r="CY17" i="2"/>
  <c r="CY19" i="2"/>
  <c r="CY20" i="2"/>
  <c r="CY21" i="2"/>
  <c r="CY22" i="2"/>
  <c r="CY23" i="2"/>
  <c r="CY24" i="2"/>
  <c r="CY25" i="2"/>
  <c r="CU46" i="2"/>
  <c r="BC46" i="2"/>
  <c r="CV46" i="2" s="1"/>
  <c r="BK46" i="2"/>
  <c r="BC26" i="2"/>
  <c r="BK26" i="2"/>
  <c r="BS26" i="2"/>
  <c r="BV28" i="2"/>
  <c r="CM16" i="2"/>
  <c r="CU16" i="2"/>
  <c r="BT26" i="2"/>
  <c r="CO18" i="2"/>
  <c r="BO26" i="2"/>
  <c r="BA48" i="2"/>
  <c r="BV46" i="2"/>
  <c r="BV48" i="2" s="1"/>
  <c r="CY26" i="2"/>
  <c r="BQ48" i="2"/>
  <c r="CW46" i="2"/>
  <c r="CX26" i="2"/>
  <c r="CN16" i="2"/>
  <c r="CQ16" i="2"/>
  <c r="CV16" i="2"/>
  <c r="CL16" i="2"/>
  <c r="CT16" i="2"/>
  <c r="CR16" i="2"/>
  <c r="CS16" i="2"/>
  <c r="CJ16" i="2"/>
  <c r="CW16" i="2"/>
  <c r="CO16" i="2"/>
  <c r="CP16" i="2"/>
  <c r="CX16" i="2"/>
  <c r="DB6" i="2"/>
  <c r="DC6" i="2" s="1"/>
  <c r="DD6" i="2" s="1"/>
  <c r="DE6" i="2" s="1"/>
  <c r="DF6" i="2" s="1"/>
  <c r="DG6" i="2" s="1"/>
  <c r="DH6" i="2" s="1"/>
  <c r="DI6" i="2" s="1"/>
  <c r="DJ6" i="2" s="1"/>
  <c r="DJ14" i="2" s="1"/>
  <c r="CY16" i="2"/>
  <c r="CY28" i="2"/>
  <c r="S209" i="3"/>
  <c r="S210" i="3"/>
  <c r="S211" i="3"/>
  <c r="AA232" i="3" s="1"/>
  <c r="S212" i="3"/>
  <c r="DJ81" i="2" l="1"/>
  <c r="DJ82" i="2" s="1"/>
  <c r="DJ84" i="2" s="1"/>
  <c r="DJ86" i="2" s="1"/>
  <c r="DJ88" i="2" s="1"/>
  <c r="DK88" i="2" s="1"/>
  <c r="DI89" i="2" a="1"/>
  <c r="DI89" i="2" s="1"/>
  <c r="DE84" i="2"/>
  <c r="DE83" i="2"/>
  <c r="BP48" i="2"/>
  <c r="CW26" i="2"/>
  <c r="CY46" i="2"/>
  <c r="BK48" i="2"/>
  <c r="CX46" i="2"/>
  <c r="BC48" i="2"/>
  <c r="DF14" i="2"/>
  <c r="DG14" i="2"/>
  <c r="DI14" i="2"/>
  <c r="DC14" i="2"/>
  <c r="DH14" i="2"/>
  <c r="DD14" i="2"/>
  <c r="DB14" i="2"/>
  <c r="DB26" i="2" s="1"/>
  <c r="DE14" i="2"/>
  <c r="AA222" i="3"/>
  <c r="AA221" i="3"/>
  <c r="AA224" i="3"/>
  <c r="AA231" i="3"/>
  <c r="AA223" i="3"/>
  <c r="AA234" i="3"/>
  <c r="AA230" i="3"/>
  <c r="AA226" i="3"/>
  <c r="AA229" i="3"/>
  <c r="AA233" i="3"/>
  <c r="AA228" i="3"/>
  <c r="AA225" i="3"/>
  <c r="AA227" i="3"/>
  <c r="DD26" i="2" l="1"/>
  <c r="DE26" i="2"/>
  <c r="DF26" i="2"/>
  <c r="DE98" i="2"/>
  <c r="DG26" i="2"/>
  <c r="DI26" i="2"/>
  <c r="DH26" i="2"/>
  <c r="DJ26" i="2"/>
  <c r="DC2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<sst xmlns="http://schemas.openxmlformats.org/spreadsheetml/2006/main" count="246" uniqueCount="211">
  <si>
    <t>[Ticker]</t>
  </si>
  <si>
    <t xml:space="preserve">Price </t>
  </si>
  <si>
    <t>SO</t>
  </si>
  <si>
    <t>MC</t>
  </si>
  <si>
    <t>Cash</t>
  </si>
  <si>
    <t>Debt</t>
  </si>
  <si>
    <t>EV</t>
  </si>
  <si>
    <t>[Company Name]</t>
  </si>
  <si>
    <t>Founded:</t>
  </si>
  <si>
    <t>Headquarters:</t>
  </si>
  <si>
    <t>Current CEO:</t>
  </si>
  <si>
    <t>Employees:</t>
  </si>
  <si>
    <t>Registered Exchange:</t>
  </si>
  <si>
    <t>Investor Relations Contact:</t>
  </si>
  <si>
    <t>SEC filings</t>
  </si>
  <si>
    <t>Godel Terminal</t>
  </si>
  <si>
    <t>Company Overview:</t>
  </si>
  <si>
    <t>[description of business, markets, products, employees, initiatives etc.] (general)</t>
  </si>
  <si>
    <t>[Bold Title]</t>
  </si>
  <si>
    <t>Line Titles</t>
  </si>
  <si>
    <t>&lt;-- General</t>
  </si>
  <si>
    <t>&lt;-- Info</t>
  </si>
  <si>
    <t>[Godel Snapshot]</t>
  </si>
  <si>
    <t>Revenue Breakdown by Segment (Build graph for this section if applicable…. See example below)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</si>
  <si>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</si>
  <si>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</si>
  <si>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</si>
  <si>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</si>
  <si>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</si>
  <si>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</si>
  <si>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</si>
  <si>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</si>
  <si>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</si>
  <si>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</si>
  <si>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</si>
  <si>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# of Trading Days? (From: </t>
    </r>
    <r>
      <rPr>
        <i/>
        <sz val="11"/>
        <color theme="1"/>
        <rFont val="Calibre"/>
      </rPr>
      <t>date the data snapshot was collected</t>
    </r>
    <r>
      <rPr>
        <sz val="11"/>
        <color theme="1"/>
        <rFont val="Calibre"/>
      </rPr>
      <t>)</t>
    </r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</si>
  <si>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</si>
  <si>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</si>
  <si>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</si>
  <si>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</si>
  <si>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</si>
  <si>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</si>
  <si>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</si>
  <si>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</si>
  <si>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</si>
  <si>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</si>
  <si>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</si>
  <si>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</si>
  <si>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</si>
  <si>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</si>
  <si>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</si>
  <si>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</si>
  <si>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</si>
  <si>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</si>
  <si>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2020</t>
  </si>
  <si>
    <t>Q1 2021</t>
  </si>
  <si>
    <t>Q1 2022</t>
  </si>
  <si>
    <t>Q1 2023</t>
  </si>
  <si>
    <t>Q1 2024</t>
  </si>
  <si>
    <t>Q1 2025</t>
  </si>
  <si>
    <t>[Use for Graphing]</t>
  </si>
  <si>
    <t>Quarterly</t>
  </si>
  <si>
    <t>Revenues</t>
  </si>
  <si>
    <t>Ttl Revenues</t>
  </si>
  <si>
    <t>Product D</t>
  </si>
  <si>
    <t>Product A</t>
  </si>
  <si>
    <t>Product B</t>
  </si>
  <si>
    <t>Product C</t>
  </si>
  <si>
    <t>Product E</t>
  </si>
  <si>
    <t>Product F</t>
  </si>
  <si>
    <t>Product G</t>
  </si>
  <si>
    <t>Product H</t>
  </si>
  <si>
    <t>Product I</t>
  </si>
  <si>
    <t>Product J</t>
  </si>
  <si>
    <t>[Segment A] % of Ttl Revenues</t>
  </si>
  <si>
    <t>[Segment B] % of Ttl Revenues</t>
  </si>
  <si>
    <t>Product A Growth Y/y</t>
  </si>
  <si>
    <t>Product B Growth Y/y</t>
  </si>
  <si>
    <t>Product C Growth Y/y</t>
  </si>
  <si>
    <t>Product D Growth Y/y</t>
  </si>
  <si>
    <t>Product E Growth Y/y</t>
  </si>
  <si>
    <t>Product F Growth Y/y</t>
  </si>
  <si>
    <t>Product J Growth Y/y</t>
  </si>
  <si>
    <t>Product H Growth Y/y</t>
  </si>
  <si>
    <t>Product G Growth Y/y</t>
  </si>
  <si>
    <t>Product I Growth Y/y</t>
  </si>
  <si>
    <t>U.S. Revenues</t>
  </si>
  <si>
    <t>[Region C] Revenues</t>
  </si>
  <si>
    <t>[Region B] Revenues</t>
  </si>
  <si>
    <t>[Region A] Revenues</t>
  </si>
  <si>
    <t>U.S. % of Revenues</t>
  </si>
  <si>
    <t>[Region A] Revenues % of Revenues</t>
  </si>
  <si>
    <t>[Region B] Revenues % of Revenues</t>
  </si>
  <si>
    <t>[Region C] Revenues % of Revenues</t>
  </si>
  <si>
    <t>[Region A] Revenue Growth Y/y</t>
  </si>
  <si>
    <t>[Region B] Revenue Growth Y/y</t>
  </si>
  <si>
    <t>U.S. Revenue Growth Y/y</t>
  </si>
  <si>
    <t>[Region C] Revenue Growth Y/y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</si>
  <si>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</si>
  <si>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</si>
  <si>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</si>
  <si>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</si>
  <si>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</si>
  <si>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</si>
  <si>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</si>
  <si>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</si>
  <si>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</si>
  <si>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</si>
  <si>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Marketable Securities</t>
  </si>
  <si>
    <t>Current Ratio</t>
  </si>
  <si>
    <t>Quick Ratio</t>
  </si>
  <si>
    <t>Cash Ratio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</si>
  <si>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</si>
  <si>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</si>
  <si>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</si>
  <si>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</si>
  <si>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</si>
  <si>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</si>
  <si>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</si>
  <si>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</si>
  <si>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</si>
  <si>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</si>
  <si>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[Godel Snapshot of projected sales]</t>
  </si>
  <si>
    <t>Earnings Scope: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</si>
  <si>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</si>
  <si>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</si>
  <si>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</si>
  <si>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</si>
  <si>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</si>
  <si>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</si>
  <si>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</si>
  <si>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</si>
  <si>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</si>
  <si>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</si>
  <si>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</si>
  <si>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</si>
  <si>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</si>
  <si>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EPS Growth</t>
  </si>
  <si>
    <t>&lt;- Sharpe Ratio (Risk Adjusted Return)</t>
  </si>
  <si>
    <t xml:space="preserve">Sector: </t>
  </si>
  <si>
    <t xml:space="preserve">Industry: </t>
  </si>
  <si>
    <t>https://www.sec.gov/edgar/browse/?CIK=310764&amp;owner=exclude</t>
  </si>
  <si>
    <t>https://abc.xyz/investor/</t>
  </si>
  <si>
    <t>Earnings Calls</t>
  </si>
  <si>
    <t>Equity Analysis</t>
  </si>
  <si>
    <t>https://stockanalysis.com/stocks/googl/</t>
  </si>
  <si>
    <t>https://app.godelterminal.com/</t>
  </si>
  <si>
    <t>[Change for specific company]</t>
  </si>
  <si>
    <t>IPO:</t>
  </si>
  <si>
    <t>Address:</t>
  </si>
  <si>
    <t>Founder(s):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</si>
  <si>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</si>
  <si>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</si>
  <si>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</si>
  <si>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</si>
  <si>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</si>
  <si>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Y/y Total Revenues, Net Income, FCF</t>
  </si>
  <si>
    <t>Q/q Total Revenues, Net Income, FCF</t>
  </si>
  <si>
    <t>https://www.investing.com/news/transcripts/earnings-call-transcript-teleflex-q2-2025-earnings-beat-boosts-stock-93CH-4163612</t>
  </si>
  <si>
    <t>Company IR Page</t>
  </si>
  <si>
    <t>Company Homepage</t>
  </si>
  <si>
    <t>MacroTrends</t>
  </si>
  <si>
    <t>ROIC, WACC</t>
  </si>
  <si>
    <t>https://www.gurufocus.com/term/wacc/TFX</t>
  </si>
  <si>
    <t>https://www.macrotrends.net/stocks/charts/TFX/teleflex/cash-flow-statement?freq=Q</t>
  </si>
  <si>
    <t>Ttl Revenue Growth Y/y</t>
  </si>
  <si>
    <t>Projected ROIC:</t>
  </si>
  <si>
    <t>Invested Capital</t>
  </si>
  <si>
    <t>ROIC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</si>
  <si>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</si>
  <si>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</si>
  <si>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</si>
  <si>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</si>
  <si>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</si>
  <si>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</si>
  <si>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</si>
  <si>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</si>
  <si>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</t>
  </si>
  <si>
    <t>Fiscal Year:</t>
  </si>
  <si>
    <t>[Godel Snapshot of projected earnings/EPS + CFFO]</t>
  </si>
  <si>
    <t>VOO Historical Returns</t>
  </si>
  <si>
    <t>Cost of Equity</t>
  </si>
  <si>
    <t>Capital Structure</t>
  </si>
  <si>
    <t>Mkt Cap</t>
  </si>
  <si>
    <t>Debt to Ttl Mkt Cap</t>
  </si>
  <si>
    <t>Mkt Equity to Ttl Mkt Cap</t>
  </si>
  <si>
    <t>Market Return(1-year avg.)</t>
  </si>
  <si>
    <t xml:space="preserve">Cost of Equity </t>
  </si>
  <si>
    <t>Cost of Debt</t>
  </si>
  <si>
    <t>Tax Rate</t>
  </si>
  <si>
    <t>After Tax Cost of Debt</t>
  </si>
  <si>
    <t>WACC</t>
  </si>
  <si>
    <t>2024-2025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</si>
  <si>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</si>
  <si>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Ttl Assets</t>
  </si>
  <si>
    <t>Ttl Liabilities</t>
  </si>
  <si>
    <t>Ttl SE</t>
  </si>
  <si>
    <t>Ttl L + SE</t>
  </si>
  <si>
    <t>EPS</t>
  </si>
  <si>
    <t>Fixed Asset Turnover Ratio</t>
  </si>
  <si>
    <t>Ttl Asset Turnover Ratio</t>
  </si>
  <si>
    <t>LT Debt / Equity</t>
  </si>
  <si>
    <t>Institutional Ownership Snapshot Q4'25</t>
  </si>
  <si>
    <t>General Notes/Observations (Updated Q1'26)</t>
  </si>
  <si>
    <t>Financial Stmts. Notes/Observations (Updated Q1'26)</t>
  </si>
  <si>
    <t>CFFO Margin</t>
  </si>
  <si>
    <t>FCF Margin</t>
  </si>
  <si>
    <t>CapEx as % of Revenue</t>
  </si>
  <si>
    <t>Q1 2026</t>
  </si>
  <si>
    <t>Q2'26</t>
  </si>
  <si>
    <t>8/13/2026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</si>
</sst>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9" fontId="13" fillId="0" borderId="0" xfId="0" applyNumberFormat="1" applyFont="1"/>
    <xf numFmtId="0" fontId="11" fillId="0" borderId="0" xfId="0" applyFont="1" applyAlignment="1">
      <alignment horizontal="left" indent="1"/>
    </xf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10" fontId="2" fillId="0" borderId="0" xfId="1" applyNumberFormat="1" applyFont="1"/>
    <xf numFmtId="2" fontId="8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right"/>
    </xf>
    <xf numFmtId="9" fontId="13" fillId="0" borderId="0" xfId="1" applyFont="1"/>
    <xf numFmtId="10" fontId="13" fillId="0" borderId="0" xfId="1" applyNumberFormat="1" applyFont="1"/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14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 indent="1"/>
    </xf>
    <xf numFmtId="0" fontId="13" fillId="0" borderId="0" xfId="0" applyFont="1" applyAlignment="1">
      <alignment horizontal="center"/>
    </xf>
    <xf numFmtId="1" fontId="13" fillId="0" borderId="0" xfId="0" applyNumberFormat="1" applyFont="1"/>
    <xf numFmtId="2" fontId="13" fillId="0" borderId="0" xfId="0" applyNumberFormat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1" fontId="12" fillId="0" borderId="0" xfId="0" applyNumberFormat="1" applyFont="1" applyAlignment="1">
      <alignment horizontal="left" indent="1"/>
    </xf>
    <xf numFmtId="10" fontId="13" fillId="0" borderId="0" xfId="0" applyNumberFormat="1" applyFont="1"/>
    <xf numFmtId="0" fontId="12" fillId="0" borderId="0" xfId="0" applyFont="1" applyAlignment="1">
      <alignment horizontal="left" vertical="top" indent="1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/>
    </xf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43" fontId="2" fillId="0" borderId="0" xfId="3" applyFont="1" applyAlignment="1">
      <alignment horizontal="left"/>
    </xf>
    <xf numFmtId="166" fontId="2" fillId="0" borderId="0" xfId="3" applyNumberFormat="1" applyFont="1" applyAlignment="1">
      <alignment horizontal="left"/>
    </xf>
    <xf numFmtId="167" fontId="2" fillId="0" borderId="0" xfId="3" applyNumberFormat="1" applyFont="1" applyAlignment="1">
      <alignment horizontal="left"/>
    </xf>
    <xf numFmtId="0" fontId="13" fillId="0" borderId="0" xfId="0" applyFont="1" applyAlignment="1">
      <alignment horizontal="right" vertical="center"/>
    </xf>
    <xf numFmtId="165" fontId="2" fillId="0" borderId="0" xfId="1" applyNumberFormat="1" applyFont="1"/>
    <xf numFmtId="0" fontId="13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(Ticker)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1-Day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Historical Return Histogram + Normal Distribution Overlay</a:t>
            </a:r>
          </a:p>
        </c:rich>
      </c:tx>
      <c:layout>
        <c:manualLayout>
          <c:xMode val="edge"/>
          <c:yMode val="edge"/>
          <c:x val="0.20889544553558131"/>
          <c:y val="1.626985346325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52794667284949E-2"/>
          <c:y val="7.3102355294668728E-2"/>
          <c:w val="0.94945999344094489"/>
          <c:h val="0.87235123078333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Analysis'!$T$219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Analysis'!$T$221:$T$283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Analysis'!$U$221:$U$283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8-46E7-8417-05DC731C65AA}"/>
            </c:ext>
          </c:extLst>
        </c:ser>
        <c:ser>
          <c:idx val="1"/>
          <c:order val="1"/>
          <c:tx>
            <c:strRef>
              <c:f>'Notes | Quant Analysis'!$W$219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'Notes | Quant Analysis'!$W$221:$W$283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Analysis'!$X$221:$X$283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8-46E7-8417-05DC731C65AA}"/>
            </c:ext>
          </c:extLst>
        </c:ser>
        <c:ser>
          <c:idx val="2"/>
          <c:order val="2"/>
          <c:tx>
            <c:strRef>
              <c:f>'Notes | Quant Analysis'!$Z$221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Analysis'!$AA$221:$AA$222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Analysis'!$AB$221:$AB$222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C8-46E7-8417-05DC731C65AA}"/>
            </c:ext>
          </c:extLst>
        </c:ser>
        <c:ser>
          <c:idx val="3"/>
          <c:order val="3"/>
          <c:tx>
            <c:strRef>
              <c:f>'Notes | Quant Analysis'!$Z$223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Analysis'!$AA$223:$AA$224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Analysis'!$AB$223:$AB$224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C8-46E7-8417-05DC731C65AA}"/>
            </c:ext>
          </c:extLst>
        </c:ser>
        <c:ser>
          <c:idx val="4"/>
          <c:order val="4"/>
          <c:tx>
            <c:strRef>
              <c:f>'Notes | Quant Analysis'!$Z$225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Analysis'!$AA$225:$AA$226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Analysis'!$AB$225:$AB$226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C8-46E7-8417-05DC731C65AA}"/>
            </c:ext>
          </c:extLst>
        </c:ser>
        <c:ser>
          <c:idx val="5"/>
          <c:order val="5"/>
          <c:tx>
            <c:strRef>
              <c:f>'Notes | Quant Analysis'!$Z$227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Analysis'!$AA$227:$AA$228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Analysis'!$AB$227:$AB$228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C8-46E7-8417-05DC731C65AA}"/>
            </c:ext>
          </c:extLst>
        </c:ser>
        <c:ser>
          <c:idx val="6"/>
          <c:order val="6"/>
          <c:tx>
            <c:strRef>
              <c:f>'Notes | Quant Analysis'!$Z$229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Analysis'!$AA$229:$AA$230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Analysis'!$AB$229:$AB$230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C8-46E7-8417-05DC731C65AA}"/>
            </c:ext>
          </c:extLst>
        </c:ser>
        <c:ser>
          <c:idx val="7"/>
          <c:order val="7"/>
          <c:tx>
            <c:strRef>
              <c:f>'Notes | Quant Analysis'!$Z$231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Analysis'!$AA$231:$AA$232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Analysis'!$AB$231:$AB$232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C8-46E7-8417-05DC731C65AA}"/>
            </c:ext>
          </c:extLst>
        </c:ser>
        <c:ser>
          <c:idx val="8"/>
          <c:order val="8"/>
          <c:tx>
            <c:strRef>
              <c:f>'Notes | Quant Analysis'!$Z$233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Analysis'!$AA$233:$AA$234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Analysis'!$AB$233:$AB$234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C8-46E7-8417-05DC731C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843279"/>
        <c:axId val="1297840879"/>
      </c:scatterChart>
      <c:valAx>
        <c:axId val="1297843279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0879"/>
        <c:crosses val="autoZero"/>
        <c:crossBetween val="midCat"/>
        <c:majorUnit val="5.000000000000001E-3"/>
      </c:valAx>
      <c:valAx>
        <c:axId val="12978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3279"/>
        <c:crossesAt val="-1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(TDY)</a:t>
            </a:r>
            <a:r>
              <a:rPr lang="en-US" baseline="0"/>
              <a:t> Customer Mix Chart: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42492641934959"/>
          <c:y val="0.17644407257262365"/>
          <c:w val="0.82176439166326731"/>
          <c:h val="0.737995088510377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[3]Model!$B$21</c:f>
              <c:strCache>
                <c:ptCount val="1"/>
                <c:pt idx="0">
                  <c:v>U.S. Government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[3]Model!$AY$3:$BP$3</c:f>
              <c:strCache>
                <c:ptCount val="18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</c:strCache>
            </c:strRef>
          </c:cat>
          <c:val>
            <c:numRef>
              <c:f>[3]Model!$AY$29:$BP$29</c:f>
              <c:numCache>
                <c:formatCode>General</c:formatCode>
                <c:ptCount val="18"/>
                <c:pt idx="0">
                  <c:v>0.23482210446631338</c:v>
                </c:pt>
                <c:pt idx="1">
                  <c:v>0.2532084378226877</c:v>
                </c:pt>
                <c:pt idx="2">
                  <c:v>0.25498679964799065</c:v>
                </c:pt>
                <c:pt idx="3">
                  <c:v>0.25292624453532647</c:v>
                </c:pt>
                <c:pt idx="4">
                  <c:v>0.22518614906383286</c:v>
                </c:pt>
                <c:pt idx="5">
                  <c:v>0.22236260265319013</c:v>
                </c:pt>
                <c:pt idx="6">
                  <c:v>0.25012477718360071</c:v>
                </c:pt>
                <c:pt idx="7">
                  <c:v>0.28252631578947363</c:v>
                </c:pt>
                <c:pt idx="8">
                  <c:v>0.22413154581142142</c:v>
                </c:pt>
                <c:pt idx="9">
                  <c:v>0.22421948912015141</c:v>
                </c:pt>
                <c:pt idx="10">
                  <c:v>0.24897817803948735</c:v>
                </c:pt>
                <c:pt idx="11">
                  <c:v>0.2709179258470345</c:v>
                </c:pt>
                <c:pt idx="12">
                  <c:v>0.25643147803296784</c:v>
                </c:pt>
                <c:pt idx="13">
                  <c:v>0.25071018035277798</c:v>
                </c:pt>
                <c:pt idx="14">
                  <c:v>0.25787593374472229</c:v>
                </c:pt>
                <c:pt idx="15">
                  <c:v>0.25497736153321349</c:v>
                </c:pt>
                <c:pt idx="16">
                  <c:v>0.25966284212550478</c:v>
                </c:pt>
                <c:pt idx="17">
                  <c:v>0.25377443609022554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E-444D-8805-E34312DE5FF5}"/>
            </c:ext>
          </c:extLst>
        </c:ser>
        <c:ser>
          <c:idx val="1"/>
          <c:order val="1"/>
          <c:tx>
            <c:strRef>
              <c:f>[3]Model!$B$22</c:f>
              <c:strCache>
                <c:ptCount val="1"/>
                <c:pt idx="0">
                  <c:v>Commercial &amp; Other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[3]Model!$AY$3:$BP$3</c:f>
              <c:strCache>
                <c:ptCount val="18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</c:strCache>
            </c:strRef>
          </c:cat>
          <c:val>
            <c:numRef>
              <c:f>[3]Model!$AY$30:$BP$30</c:f>
              <c:numCache>
                <c:formatCode>General</c:formatCode>
                <c:ptCount val="18"/>
                <c:pt idx="0">
                  <c:v>0.76517789553368654</c:v>
                </c:pt>
                <c:pt idx="1">
                  <c:v>0.74679156217731235</c:v>
                </c:pt>
                <c:pt idx="2">
                  <c:v>0.74501320035200946</c:v>
                </c:pt>
                <c:pt idx="3">
                  <c:v>0.74707375546467347</c:v>
                </c:pt>
                <c:pt idx="4">
                  <c:v>0.77481385093616717</c:v>
                </c:pt>
                <c:pt idx="5">
                  <c:v>0.77763739734680992</c:v>
                </c:pt>
                <c:pt idx="6">
                  <c:v>0.74987522281639929</c:v>
                </c:pt>
                <c:pt idx="7">
                  <c:v>0.71747368421052637</c:v>
                </c:pt>
                <c:pt idx="8">
                  <c:v>0.77586845418857864</c:v>
                </c:pt>
                <c:pt idx="9">
                  <c:v>0.77578051087984867</c:v>
                </c:pt>
                <c:pt idx="10">
                  <c:v>0.75102182196051259</c:v>
                </c:pt>
                <c:pt idx="11">
                  <c:v>0.72908207415296544</c:v>
                </c:pt>
                <c:pt idx="12">
                  <c:v>0.74356852196703227</c:v>
                </c:pt>
                <c:pt idx="13">
                  <c:v>0.74928981964722208</c:v>
                </c:pt>
                <c:pt idx="14">
                  <c:v>0.74212406625527771</c:v>
                </c:pt>
                <c:pt idx="15">
                  <c:v>0.74502263846678651</c:v>
                </c:pt>
                <c:pt idx="16">
                  <c:v>0.74033715787449528</c:v>
                </c:pt>
                <c:pt idx="17">
                  <c:v>0.74622556390977435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E-444D-8805-E34312DE5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7718351"/>
        <c:axId val="1852422639"/>
      </c:barChart>
      <c:catAx>
        <c:axId val="185771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422639"/>
        <c:crosses val="autoZero"/>
        <c:auto val="1"/>
        <c:lblAlgn val="ctr"/>
        <c:lblOffset val="100"/>
        <c:noMultiLvlLbl val="0"/>
      </c:catAx>
      <c:valAx>
        <c:axId val="185242263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71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00871452550721"/>
          <c:y val="8.7475275455283039E-2"/>
          <c:w val="0.66562845214696642"/>
          <c:h val="8.2905937059580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593911</xdr:colOff>
      <xdr:row>0</xdr:row>
      <xdr:rowOff>0</xdr:rowOff>
    </xdr:from>
    <xdr:to>
      <xdr:col>75</xdr:col>
      <xdr:colOff>593911</xdr:colOff>
      <xdr:row>130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7412087" y="0"/>
          <a:ext cx="0" cy="234046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0</xdr:colOff>
      <xdr:row>0</xdr:row>
      <xdr:rowOff>0</xdr:rowOff>
    </xdr:from>
    <xdr:to>
      <xdr:col>105</xdr:col>
      <xdr:colOff>0</xdr:colOff>
      <xdr:row>129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971706" y="0"/>
          <a:ext cx="0" cy="231491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31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170</xdr:row>
      <xdr:rowOff>0</xdr:rowOff>
    </xdr:from>
    <xdr:to>
      <xdr:col>31</xdr:col>
      <xdr:colOff>0</xdr:colOff>
      <xdr:row>198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138</xdr:row>
      <xdr:rowOff>0</xdr:rowOff>
    </xdr:from>
    <xdr:to>
      <xdr:col>31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0</xdr:colOff>
      <xdr:row>69</xdr:row>
      <xdr:rowOff>0</xdr:rowOff>
    </xdr:from>
    <xdr:to>
      <xdr:col>39</xdr:col>
      <xdr:colOff>0</xdr:colOff>
      <xdr:row>100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65F3C6-E3BA-4823-97B1-522A94E05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Industrials\TDY_Model.xlsx" TargetMode="External"/><Relationship Id="rId1" Type="http://schemas.openxmlformats.org/officeDocument/2006/relationships/externalLinkPath" Target="file:///C:\Users\User\OneDrive\Desktop\Equity%20Research\Models\Industrials\TDY_Mode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SYK_Model.xlsx" TargetMode="External"/><Relationship Id="rId1" Type="http://schemas.openxmlformats.org/officeDocument/2006/relationships/externalLinkPath" Target="file:///C:\Users\User\OneDrive\Desktop\Equity%20Research\Models\Health%20Care\MedTech\SYK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Economics"/>
      <sheetName val="Management"/>
      <sheetName val="Table Formatting"/>
    </sheetNames>
    <sheetDataSet>
      <sheetData sheetId="0">
        <row r="3">
          <cell r="C3">
            <v>606.80999999999995</v>
          </cell>
        </row>
      </sheetData>
      <sheetData sheetId="1">
        <row r="3">
          <cell r="AY3" t="str">
            <v>Q1 2022</v>
          </cell>
          <cell r="AZ3" t="str">
            <v>Q2 2022</v>
          </cell>
          <cell r="BA3" t="str">
            <v>Q3 2022</v>
          </cell>
          <cell r="BB3" t="str">
            <v>Q4 2022</v>
          </cell>
          <cell r="BC3" t="str">
            <v>Q1 2023</v>
          </cell>
          <cell r="BD3" t="str">
            <v>Q2 2023</v>
          </cell>
          <cell r="BE3" t="str">
            <v>Q3 2023</v>
          </cell>
          <cell r="BF3" t="str">
            <v>Q4 2023</v>
          </cell>
          <cell r="BG3" t="str">
            <v>Q1 2024</v>
          </cell>
          <cell r="BH3" t="str">
            <v>Q2 2024</v>
          </cell>
          <cell r="BI3" t="str">
            <v>Q3 2024</v>
          </cell>
          <cell r="BJ3" t="str">
            <v>Q4 2024</v>
          </cell>
          <cell r="BK3" t="str">
            <v>Q1 2025</v>
          </cell>
          <cell r="BL3" t="str">
            <v>Q2 2025</v>
          </cell>
          <cell r="BM3" t="str">
            <v>Q3 2025</v>
          </cell>
          <cell r="BN3" t="str">
            <v>Q4 2025</v>
          </cell>
          <cell r="BO3" t="str">
            <v>Q1 2026</v>
          </cell>
          <cell r="BP3" t="str">
            <v>Q2 2026</v>
          </cell>
        </row>
        <row r="21">
          <cell r="B21" t="str">
            <v>U.S. Government</v>
          </cell>
        </row>
        <row r="22">
          <cell r="B22" t="str">
            <v xml:space="preserve">Commercial &amp; Other </v>
          </cell>
        </row>
        <row r="29">
          <cell r="AY29">
            <v>0.23482210446631338</v>
          </cell>
          <cell r="AZ29">
            <v>0.2532084378226877</v>
          </cell>
          <cell r="BA29">
            <v>0.25498679964799065</v>
          </cell>
          <cell r="BB29">
            <v>0.25292624453532647</v>
          </cell>
          <cell r="BC29">
            <v>0.22518614906383286</v>
          </cell>
          <cell r="BD29">
            <v>0.22236260265319013</v>
          </cell>
          <cell r="BE29">
            <v>0.25012477718360071</v>
          </cell>
          <cell r="BF29">
            <v>0.28252631578947363</v>
          </cell>
          <cell r="BG29">
            <v>0.22413154581142142</v>
          </cell>
          <cell r="BH29">
            <v>0.22421948912015141</v>
          </cell>
          <cell r="BI29">
            <v>0.24897817803948735</v>
          </cell>
          <cell r="BJ29">
            <v>0.2709179258470345</v>
          </cell>
          <cell r="BK29">
            <v>0.25643147803296784</v>
          </cell>
          <cell r="BL29">
            <v>0.25071018035277798</v>
          </cell>
          <cell r="BM29">
            <v>0.25787593374472229</v>
          </cell>
          <cell r="BN29">
            <v>0.25497736153321349</v>
          </cell>
          <cell r="BO29">
            <v>0.25966284212550478</v>
          </cell>
          <cell r="BP29">
            <v>0.25377443609022554</v>
          </cell>
        </row>
        <row r="30">
          <cell r="AY30">
            <v>0.76517789553368654</v>
          </cell>
          <cell r="AZ30">
            <v>0.74679156217731235</v>
          </cell>
          <cell r="BA30">
            <v>0.74501320035200946</v>
          </cell>
          <cell r="BB30">
            <v>0.74707375546467347</v>
          </cell>
          <cell r="BC30">
            <v>0.77481385093616717</v>
          </cell>
          <cell r="BD30">
            <v>0.77763739734680992</v>
          </cell>
          <cell r="BE30">
            <v>0.74987522281639929</v>
          </cell>
          <cell r="BF30">
            <v>0.71747368421052637</v>
          </cell>
          <cell r="BG30">
            <v>0.77586845418857864</v>
          </cell>
          <cell r="BH30">
            <v>0.77578051087984867</v>
          </cell>
          <cell r="BI30">
            <v>0.75102182196051259</v>
          </cell>
          <cell r="BJ30">
            <v>0.72908207415296544</v>
          </cell>
          <cell r="BK30">
            <v>0.74356852196703227</v>
          </cell>
          <cell r="BL30">
            <v>0.74928981964722208</v>
          </cell>
          <cell r="BM30">
            <v>0.74212406625527771</v>
          </cell>
          <cell r="BN30">
            <v>0.74502263846678651</v>
          </cell>
          <cell r="BO30">
            <v>0.74033715787449528</v>
          </cell>
          <cell r="BP30">
            <v>0.74622556390977435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NARI"/>
      <sheetName val="Debt Schedule"/>
    </sheetNames>
    <sheetDataSet>
      <sheetData sheetId="0">
        <row r="5">
          <cell r="C5">
            <v>308.42</v>
          </cell>
        </row>
      </sheetData>
      <sheetData sheetId="1">
        <row r="1">
          <cell r="AY1" t="str">
            <v>Q1 2021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ockanalysis.com/stocks/googl/" TargetMode="External"/><Relationship Id="rId2" Type="http://schemas.openxmlformats.org/officeDocument/2006/relationships/hyperlink" Target="https://abc.xyz/investor/" TargetMode="External"/><Relationship Id="rId1" Type="http://schemas.openxmlformats.org/officeDocument/2006/relationships/hyperlink" Target="https://www.sec.gov/edgar/browse/?CIK=310764&amp;owner=exclude" TargetMode="External"/><Relationship Id="rId6" Type="http://schemas.openxmlformats.org/officeDocument/2006/relationships/hyperlink" Target="https://www.macrotrends.net/stocks/charts/TFX/teleflex/cash-flow-statement?freq=Q" TargetMode="External"/><Relationship Id="rId5" Type="http://schemas.openxmlformats.org/officeDocument/2006/relationships/hyperlink" Target="https://www.gurufocus.com/term/wacc/TFX" TargetMode="External"/><Relationship Id="rId4" Type="http://schemas.openxmlformats.org/officeDocument/2006/relationships/hyperlink" Target="https://app.godeltermina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4"/>
  <sheetViews>
    <sheetView topLeftCell="A9" workbookViewId="0">
      <selection activeCell="A9" sqref="A1:XFD1048576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8" ht="15">
      <c r="B2" s="2" t="s">
        <v>0</v>
      </c>
    </row>
    <row r="3" spans="2:18">
      <c r="B3" s="1" t="s">
        <v>1</v>
      </c>
      <c r="C3" s="82">
        <v>0</v>
      </c>
      <c r="D3" s="44" t="s">
        <v>210</v>
      </c>
    </row>
    <row r="4" spans="2:18">
      <c r="B4" s="1" t="s">
        <v>2</v>
      </c>
      <c r="C4" s="83">
        <v>0</v>
      </c>
      <c r="D4" s="1" t="s">
        <v>209</v>
      </c>
    </row>
    <row r="5" spans="2:18">
      <c r="B5" s="1" t="s">
        <v>3</v>
      </c>
      <c r="C5" s="84">
        <f>C3*C4</f>
        <v>0</v>
      </c>
    </row>
    <row r="6" spans="2:18">
      <c r="B6" s="1" t="s">
        <v>4</v>
      </c>
      <c r="C6" s="84">
        <v>0</v>
      </c>
      <c r="D6" s="1" t="s">
        <v>209</v>
      </c>
    </row>
    <row r="7" spans="2:18">
      <c r="B7" s="1" t="s">
        <v>5</v>
      </c>
      <c r="C7" s="84">
        <v>0</v>
      </c>
      <c r="D7" s="1" t="s">
        <v>209</v>
      </c>
    </row>
    <row r="8" spans="2:18">
      <c r="B8" s="1" t="s">
        <v>6</v>
      </c>
      <c r="C8" s="84">
        <f>C5-C6+C7</f>
        <v>0</v>
      </c>
    </row>
    <row r="10" spans="2:18" ht="15">
      <c r="B10" s="2" t="s">
        <v>7</v>
      </c>
    </row>
    <row r="12" spans="2:18" ht="15">
      <c r="B12" s="1" t="s">
        <v>150</v>
      </c>
      <c r="F12" s="1" t="s">
        <v>12</v>
      </c>
      <c r="N12" s="1" t="s">
        <v>155</v>
      </c>
      <c r="Q12" s="2" t="s">
        <v>147</v>
      </c>
    </row>
    <row r="13" spans="2:18">
      <c r="B13" s="1" t="s">
        <v>8</v>
      </c>
      <c r="F13" s="1" t="s">
        <v>149</v>
      </c>
      <c r="N13" s="1" t="s">
        <v>14</v>
      </c>
      <c r="Q13" s="45" t="s">
        <v>141</v>
      </c>
    </row>
    <row r="14" spans="2:18">
      <c r="B14" s="1" t="s">
        <v>9</v>
      </c>
      <c r="F14" s="1" t="s">
        <v>13</v>
      </c>
      <c r="N14" s="1" t="s">
        <v>160</v>
      </c>
    </row>
    <row r="15" spans="2:18">
      <c r="B15" s="1" t="s">
        <v>10</v>
      </c>
      <c r="F15" s="1" t="s">
        <v>151</v>
      </c>
      <c r="O15" s="1" t="s">
        <v>159</v>
      </c>
      <c r="R15" s="45" t="s">
        <v>142</v>
      </c>
    </row>
    <row r="16" spans="2:18">
      <c r="B16" s="1" t="s">
        <v>11</v>
      </c>
      <c r="F16" s="1" t="s">
        <v>135</v>
      </c>
      <c r="I16" s="1" t="s">
        <v>136</v>
      </c>
      <c r="N16" s="1" t="s">
        <v>143</v>
      </c>
      <c r="Q16" s="45" t="s">
        <v>158</v>
      </c>
    </row>
    <row r="17" spans="1:17">
      <c r="B17" s="1" t="s">
        <v>140</v>
      </c>
      <c r="N17" s="1" t="s">
        <v>144</v>
      </c>
      <c r="Q17" s="45" t="s">
        <v>145</v>
      </c>
    </row>
    <row r="18" spans="1:17">
      <c r="B18" s="1" t="s">
        <v>139</v>
      </c>
      <c r="N18" s="1" t="s">
        <v>161</v>
      </c>
      <c r="Q18" s="45" t="s">
        <v>164</v>
      </c>
    </row>
    <row r="19" spans="1:17">
      <c r="B19" s="1" t="s">
        <v>148</v>
      </c>
      <c r="N19" s="1" t="s">
        <v>162</v>
      </c>
      <c r="Q19" s="45" t="s">
        <v>163</v>
      </c>
    </row>
    <row r="20" spans="1:17">
      <c r="B20" s="1" t="s">
        <v>178</v>
      </c>
      <c r="N20" s="1" t="s">
        <v>15</v>
      </c>
      <c r="Q20" s="45" t="s">
        <v>146</v>
      </c>
    </row>
    <row r="21" spans="1:17">
      <c r="Q21" s="45"/>
    </row>
    <row r="22" spans="1:17" ht="15">
      <c r="A22" s="2" t="s">
        <v>16</v>
      </c>
      <c r="N22" s="2"/>
    </row>
    <row r="23" spans="1:17">
      <c r="B23" s="1" t="s">
        <v>17</v>
      </c>
    </row>
    <row r="33" spans="1:2" ht="15">
      <c r="A33" s="2" t="s">
        <v>152</v>
      </c>
    </row>
    <row r="34" spans="1:2">
      <c r="B34" s="1" t="s">
        <v>153</v>
      </c>
    </row>
  </sheetData>
  <hyperlinks>
    <hyperlink ref="Q13" r:id="rId1" xr:uid="{739BC0F6-DDEA-409E-BAA0-CED0EC3FAC10}"/>
    <hyperlink ref="R15" r:id="rId2" xr:uid="{3A32E811-E794-46FB-A010-EBB0450F323B}"/>
    <hyperlink ref="Q17" r:id="rId3" xr:uid="{02ECFE4E-0865-458E-9F04-951EDF61DD89}"/>
    <hyperlink ref="Q20" r:id="rId4" xr:uid="{14375537-5C3D-4253-9650-337AB6789785}"/>
    <hyperlink ref="Q19" r:id="rId5" xr:uid="{0B1BE51B-1109-4BB2-8317-5797C103CF5F}"/>
    <hyperlink ref="Q18" r:id="rId6" xr:uid="{1717F883-58E9-4228-8A97-AB7941DF57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K126"/>
  <sheetViews>
    <sheetView zoomScale="55" zoomScaleNormal="55" workbookViewId="0">
      <pane xSplit="2" ySplit="3" topLeftCell="AY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4" width="9.140625" style="1" customWidth="1"/>
    <col min="5" max="75" width="9.140625" style="1"/>
    <col min="76" max="78" width="9.140625" style="36"/>
    <col min="79" max="104" width="9.140625" style="1"/>
    <col min="105" max="166" width="9.140625" style="36"/>
    <col min="167" max="16384" width="9.140625" style="1"/>
  </cols>
  <sheetData>
    <row r="1" spans="2:167" ht="15">
      <c r="B1" s="1" t="s">
        <v>60</v>
      </c>
      <c r="AY1" s="34" t="s">
        <v>54</v>
      </c>
      <c r="BC1" s="34" t="s">
        <v>55</v>
      </c>
      <c r="BG1" s="34" t="s">
        <v>56</v>
      </c>
      <c r="BK1" s="34" t="s">
        <v>57</v>
      </c>
      <c r="BO1" s="34" t="s">
        <v>58</v>
      </c>
      <c r="BS1" s="34" t="s">
        <v>59</v>
      </c>
      <c r="BW1" s="34" t="s">
        <v>208</v>
      </c>
    </row>
    <row r="2" spans="2:167">
      <c r="B2" s="1" t="s">
        <v>61</v>
      </c>
    </row>
    <row r="3" spans="2:167" ht="15">
      <c r="B3" s="2" t="s">
        <v>62</v>
      </c>
      <c r="C3" s="2" t="str" cm="1">
        <f t="array" ref="C3:BZ3">"Q"&amp;MOD(_xlfn.SEQUENCE(1,76)-1,4)+1&amp;" "&amp;(2008+INT((_xlfn.SEQUENCE(1,76)-1)/4))</f>
        <v>Q1 2008</v>
      </c>
      <c r="D3" s="34" t="str">
        <v>Q2 2008</v>
      </c>
      <c r="E3" s="34" t="str">
        <v>Q3 2008</v>
      </c>
      <c r="F3" s="34" t="str">
        <v>Q4 2008</v>
      </c>
      <c r="G3" s="34" t="str">
        <v>Q1 2009</v>
      </c>
      <c r="H3" s="34" t="str">
        <v>Q2 2009</v>
      </c>
      <c r="I3" s="34" t="str">
        <v>Q3 2009</v>
      </c>
      <c r="J3" s="34" t="str">
        <v>Q4 2009</v>
      </c>
      <c r="K3" s="34" t="str">
        <v>Q1 2010</v>
      </c>
      <c r="L3" s="34" t="str">
        <v>Q2 2010</v>
      </c>
      <c r="M3" s="34" t="str">
        <v>Q3 2010</v>
      </c>
      <c r="N3" s="34" t="str">
        <v>Q4 2010</v>
      </c>
      <c r="O3" s="34" t="str">
        <v>Q1 2011</v>
      </c>
      <c r="P3" s="34" t="str">
        <v>Q2 2011</v>
      </c>
      <c r="Q3" s="34" t="str">
        <v>Q3 2011</v>
      </c>
      <c r="R3" s="34" t="str">
        <v>Q4 2011</v>
      </c>
      <c r="S3" s="34" t="str">
        <v>Q1 2012</v>
      </c>
      <c r="T3" s="34" t="str">
        <v>Q2 2012</v>
      </c>
      <c r="U3" s="34" t="str">
        <v>Q3 2012</v>
      </c>
      <c r="V3" s="34" t="str">
        <v>Q4 2012</v>
      </c>
      <c r="W3" s="34" t="str">
        <v>Q1 2013</v>
      </c>
      <c r="X3" s="34" t="str">
        <v>Q2 2013</v>
      </c>
      <c r="Y3" s="34" t="str">
        <v>Q3 2013</v>
      </c>
      <c r="Z3" s="34" t="str">
        <v>Q4 2013</v>
      </c>
      <c r="AA3" s="34" t="str">
        <v>Q1 2014</v>
      </c>
      <c r="AB3" s="34" t="str">
        <v>Q2 2014</v>
      </c>
      <c r="AC3" s="34" t="str">
        <v>Q3 2014</v>
      </c>
      <c r="AD3" s="34" t="str">
        <v>Q4 2014</v>
      </c>
      <c r="AE3" s="34" t="str">
        <v>Q1 2015</v>
      </c>
      <c r="AF3" s="34" t="str">
        <v>Q2 2015</v>
      </c>
      <c r="AG3" s="34" t="str">
        <v>Q3 2015</v>
      </c>
      <c r="AH3" s="34" t="str">
        <v>Q4 2015</v>
      </c>
      <c r="AI3" s="34" t="str">
        <v>Q1 2016</v>
      </c>
      <c r="AJ3" s="34" t="str">
        <v>Q2 2016</v>
      </c>
      <c r="AK3" s="34" t="str">
        <v>Q3 2016</v>
      </c>
      <c r="AL3" s="34" t="str">
        <v>Q4 2016</v>
      </c>
      <c r="AM3" s="34" t="str">
        <v>Q1 2017</v>
      </c>
      <c r="AN3" s="34" t="str">
        <v>Q2 2017</v>
      </c>
      <c r="AO3" s="34" t="str">
        <v>Q3 2017</v>
      </c>
      <c r="AP3" s="34" t="str">
        <v>Q4 2017</v>
      </c>
      <c r="AQ3" s="34" t="str">
        <v>Q1 2018</v>
      </c>
      <c r="AR3" s="34" t="str">
        <v>Q2 2018</v>
      </c>
      <c r="AS3" s="34" t="str">
        <v>Q3 2018</v>
      </c>
      <c r="AT3" s="34" t="str">
        <v>Q4 2018</v>
      </c>
      <c r="AU3" s="34" t="str">
        <v>Q1 2019</v>
      </c>
      <c r="AV3" s="34" t="str">
        <v>Q2 2019</v>
      </c>
      <c r="AW3" s="34" t="str">
        <v>Q3 2019</v>
      </c>
      <c r="AX3" s="34" t="str">
        <v>Q4 2019</v>
      </c>
      <c r="AY3" s="34" t="str">
        <v>Q1 2020</v>
      </c>
      <c r="AZ3" s="34" t="str">
        <v>Q2 2020</v>
      </c>
      <c r="BA3" s="34" t="str">
        <v>Q3 2020</v>
      </c>
      <c r="BB3" s="34" t="str">
        <v>Q4 2020</v>
      </c>
      <c r="BC3" s="34" t="str">
        <v>Q1 2021</v>
      </c>
      <c r="BD3" s="34" t="str">
        <v>Q2 2021</v>
      </c>
      <c r="BE3" s="34" t="str">
        <v>Q3 2021</v>
      </c>
      <c r="BF3" s="34" t="str">
        <v>Q4 2021</v>
      </c>
      <c r="BG3" s="34" t="str">
        <v>Q1 2022</v>
      </c>
      <c r="BH3" s="34" t="str">
        <v>Q2 2022</v>
      </c>
      <c r="BI3" s="34" t="str">
        <v>Q3 2022</v>
      </c>
      <c r="BJ3" s="34" t="str">
        <v>Q4 2022</v>
      </c>
      <c r="BK3" s="34" t="str">
        <v>Q1 2023</v>
      </c>
      <c r="BL3" s="34" t="str">
        <v>Q2 2023</v>
      </c>
      <c r="BM3" s="34" t="str">
        <v>Q3 2023</v>
      </c>
      <c r="BN3" s="34" t="str">
        <v>Q4 2023</v>
      </c>
      <c r="BO3" s="34" t="str">
        <v>Q1 2024</v>
      </c>
      <c r="BP3" s="34" t="str">
        <v>Q2 2024</v>
      </c>
      <c r="BQ3" s="34" t="str">
        <v>Q3 2024</v>
      </c>
      <c r="BR3" s="34" t="str">
        <v>Q4 2024</v>
      </c>
      <c r="BS3" s="34" t="str">
        <v>Q1 2025</v>
      </c>
      <c r="BT3" s="2" t="str">
        <v>Q2 2025</v>
      </c>
      <c r="BU3" s="2" t="str">
        <v>Q3 2025</v>
      </c>
      <c r="BV3" s="2" t="str">
        <v>Q4 2025</v>
      </c>
      <c r="BW3" s="2" t="str">
        <v>Q1 2026</v>
      </c>
      <c r="BX3" s="35" t="str">
        <v>Q2 2026</v>
      </c>
      <c r="BY3" s="35" t="str">
        <v>Q3 2026</v>
      </c>
      <c r="BZ3" s="35" t="str">
        <v>Q4 2026</v>
      </c>
      <c r="CI3" s="2">
        <v>2008</v>
      </c>
      <c r="CJ3" s="2">
        <f>CI3+1</f>
        <v>2009</v>
      </c>
      <c r="CK3" s="2">
        <f t="shared" ref="CK3:EW3" si="0">CJ3+1</f>
        <v>2010</v>
      </c>
      <c r="CL3" s="2">
        <f t="shared" si="0"/>
        <v>2011</v>
      </c>
      <c r="CM3" s="2">
        <f t="shared" si="0"/>
        <v>2012</v>
      </c>
      <c r="CN3" s="2">
        <f t="shared" si="0"/>
        <v>2013</v>
      </c>
      <c r="CO3" s="2">
        <f t="shared" si="0"/>
        <v>2014</v>
      </c>
      <c r="CP3" s="2">
        <f t="shared" si="0"/>
        <v>2015</v>
      </c>
      <c r="CQ3" s="2">
        <f t="shared" si="0"/>
        <v>2016</v>
      </c>
      <c r="CR3" s="2">
        <f t="shared" si="0"/>
        <v>2017</v>
      </c>
      <c r="CS3" s="2">
        <f t="shared" si="0"/>
        <v>2018</v>
      </c>
      <c r="CT3" s="2">
        <f t="shared" si="0"/>
        <v>2019</v>
      </c>
      <c r="CU3" s="2">
        <f t="shared" si="0"/>
        <v>2020</v>
      </c>
      <c r="CV3" s="2">
        <f t="shared" si="0"/>
        <v>2021</v>
      </c>
      <c r="CW3" s="2">
        <f t="shared" si="0"/>
        <v>2022</v>
      </c>
      <c r="CX3" s="2">
        <f t="shared" si="0"/>
        <v>2023</v>
      </c>
      <c r="CY3" s="2">
        <f t="shared" si="0"/>
        <v>2024</v>
      </c>
      <c r="CZ3" s="2">
        <f t="shared" si="0"/>
        <v>2025</v>
      </c>
      <c r="DA3" s="35">
        <f>CZ3+1</f>
        <v>2026</v>
      </c>
      <c r="DB3" s="35">
        <f t="shared" si="0"/>
        <v>2027</v>
      </c>
      <c r="DC3" s="35">
        <f t="shared" si="0"/>
        <v>2028</v>
      </c>
      <c r="DD3" s="35">
        <f t="shared" si="0"/>
        <v>2029</v>
      </c>
      <c r="DE3" s="35">
        <f t="shared" si="0"/>
        <v>2030</v>
      </c>
      <c r="DF3" s="35">
        <f t="shared" si="0"/>
        <v>2031</v>
      </c>
      <c r="DG3" s="35">
        <f t="shared" si="0"/>
        <v>2032</v>
      </c>
      <c r="DH3" s="35">
        <f t="shared" si="0"/>
        <v>2033</v>
      </c>
      <c r="DI3" s="35">
        <f t="shared" si="0"/>
        <v>2034</v>
      </c>
      <c r="DJ3" s="35">
        <f t="shared" si="0"/>
        <v>2035</v>
      </c>
      <c r="DK3" s="35">
        <f t="shared" si="0"/>
        <v>2036</v>
      </c>
      <c r="DL3" s="35">
        <f t="shared" si="0"/>
        <v>2037</v>
      </c>
      <c r="DM3" s="35">
        <f t="shared" si="0"/>
        <v>2038</v>
      </c>
      <c r="DN3" s="35">
        <f t="shared" si="0"/>
        <v>2039</v>
      </c>
      <c r="DO3" s="35">
        <f t="shared" si="0"/>
        <v>2040</v>
      </c>
      <c r="DP3" s="35">
        <f t="shared" si="0"/>
        <v>2041</v>
      </c>
      <c r="DQ3" s="35">
        <f t="shared" si="0"/>
        <v>2042</v>
      </c>
      <c r="DR3" s="35">
        <f t="shared" si="0"/>
        <v>2043</v>
      </c>
      <c r="DS3" s="35">
        <f t="shared" si="0"/>
        <v>2044</v>
      </c>
      <c r="DT3" s="35">
        <f t="shared" si="0"/>
        <v>2045</v>
      </c>
      <c r="DU3" s="35">
        <f t="shared" si="0"/>
        <v>2046</v>
      </c>
      <c r="DV3" s="35">
        <f t="shared" si="0"/>
        <v>2047</v>
      </c>
      <c r="DW3" s="35">
        <f t="shared" si="0"/>
        <v>2048</v>
      </c>
      <c r="DX3" s="35">
        <f t="shared" si="0"/>
        <v>2049</v>
      </c>
      <c r="DY3" s="35">
        <f t="shared" si="0"/>
        <v>2050</v>
      </c>
      <c r="DZ3" s="35">
        <f t="shared" si="0"/>
        <v>2051</v>
      </c>
      <c r="EA3" s="35">
        <f t="shared" si="0"/>
        <v>2052</v>
      </c>
      <c r="EB3" s="35">
        <f t="shared" si="0"/>
        <v>2053</v>
      </c>
      <c r="EC3" s="35">
        <f t="shared" si="0"/>
        <v>2054</v>
      </c>
      <c r="ED3" s="35">
        <f t="shared" si="0"/>
        <v>2055</v>
      </c>
      <c r="EE3" s="35">
        <f t="shared" si="0"/>
        <v>2056</v>
      </c>
      <c r="EF3" s="35">
        <f t="shared" si="0"/>
        <v>2057</v>
      </c>
      <c r="EG3" s="35">
        <f t="shared" si="0"/>
        <v>2058</v>
      </c>
      <c r="EH3" s="35">
        <f t="shared" si="0"/>
        <v>2059</v>
      </c>
      <c r="EI3" s="35">
        <f t="shared" si="0"/>
        <v>2060</v>
      </c>
      <c r="EJ3" s="35">
        <f t="shared" si="0"/>
        <v>2061</v>
      </c>
      <c r="EK3" s="35">
        <f t="shared" si="0"/>
        <v>2062</v>
      </c>
      <c r="EL3" s="35">
        <f t="shared" si="0"/>
        <v>2063</v>
      </c>
      <c r="EM3" s="35">
        <f t="shared" si="0"/>
        <v>2064</v>
      </c>
      <c r="EN3" s="35">
        <f t="shared" si="0"/>
        <v>2065</v>
      </c>
      <c r="EO3" s="35">
        <f t="shared" si="0"/>
        <v>2066</v>
      </c>
      <c r="EP3" s="35">
        <f t="shared" si="0"/>
        <v>2067</v>
      </c>
      <c r="EQ3" s="35">
        <f t="shared" si="0"/>
        <v>2068</v>
      </c>
      <c r="ER3" s="35">
        <f t="shared" si="0"/>
        <v>2069</v>
      </c>
      <c r="ES3" s="35">
        <f t="shared" si="0"/>
        <v>2070</v>
      </c>
      <c r="ET3" s="35">
        <f t="shared" si="0"/>
        <v>2071</v>
      </c>
      <c r="EU3" s="35">
        <f t="shared" si="0"/>
        <v>2072</v>
      </c>
      <c r="EV3" s="35">
        <f t="shared" si="0"/>
        <v>2073</v>
      </c>
      <c r="EW3" s="35">
        <f t="shared" si="0"/>
        <v>2074</v>
      </c>
      <c r="EX3" s="35">
        <f t="shared" ref="EX3:FH3" si="1">EW3+1</f>
        <v>2075</v>
      </c>
      <c r="EY3" s="35">
        <f t="shared" si="1"/>
        <v>2076</v>
      </c>
      <c r="EZ3" s="35">
        <f t="shared" si="1"/>
        <v>2077</v>
      </c>
      <c r="FA3" s="35">
        <f t="shared" si="1"/>
        <v>2078</v>
      </c>
      <c r="FB3" s="35">
        <f t="shared" si="1"/>
        <v>2079</v>
      </c>
      <c r="FC3" s="35">
        <f t="shared" si="1"/>
        <v>2080</v>
      </c>
      <c r="FD3" s="35">
        <f t="shared" si="1"/>
        <v>2081</v>
      </c>
      <c r="FE3" s="35">
        <f t="shared" si="1"/>
        <v>2082</v>
      </c>
      <c r="FF3" s="35">
        <f t="shared" si="1"/>
        <v>2083</v>
      </c>
      <c r="FG3" s="35">
        <f t="shared" si="1"/>
        <v>2084</v>
      </c>
      <c r="FH3" s="35">
        <f t="shared" si="1"/>
        <v>2085</v>
      </c>
      <c r="FI3" s="35"/>
      <c r="FJ3" s="35"/>
      <c r="FK3" s="2"/>
    </row>
    <row r="4" spans="2:167">
      <c r="B4" s="37" t="s">
        <v>65</v>
      </c>
      <c r="CI4" s="1">
        <f>SUM(C4:F4)</f>
        <v>0</v>
      </c>
      <c r="CJ4" s="1">
        <f>SUM(G4:J4)</f>
        <v>0</v>
      </c>
      <c r="CK4" s="1">
        <f>SUM(K4:N4)</f>
        <v>0</v>
      </c>
      <c r="CL4" s="1">
        <f>SUM(O4:R4)</f>
        <v>0</v>
      </c>
      <c r="CM4" s="1">
        <f>SUM(S4:V4)</f>
        <v>0</v>
      </c>
      <c r="CN4" s="1">
        <f>SUM(W4:Z4)</f>
        <v>0</v>
      </c>
      <c r="CO4" s="1">
        <f>SUM(AA4:AD4)</f>
        <v>0</v>
      </c>
      <c r="CP4" s="1">
        <f>SUM(AE4:AH4)</f>
        <v>0</v>
      </c>
      <c r="CQ4" s="1">
        <f>SUM(AI4:AL4)</f>
        <v>0</v>
      </c>
      <c r="CR4" s="1">
        <f>SUM(AM4:AP4)</f>
        <v>0</v>
      </c>
      <c r="CS4" s="1">
        <f>SUM(AQ4:AT4)</f>
        <v>0</v>
      </c>
      <c r="CT4" s="1">
        <f>SUM(AU4:AX4)</f>
        <v>0</v>
      </c>
      <c r="CU4" s="1">
        <f>SUM(AY4:BB4)</f>
        <v>0</v>
      </c>
      <c r="CV4" s="1">
        <f>SUM(BC4:BF4)</f>
        <v>0</v>
      </c>
      <c r="CW4" s="1">
        <f>SUM(BG4:BJ4)</f>
        <v>0</v>
      </c>
      <c r="CX4" s="1">
        <f>SUM(BK4:BN4)</f>
        <v>0</v>
      </c>
      <c r="CY4" s="1">
        <f>SUM(BO4:BR4)</f>
        <v>0</v>
      </c>
      <c r="CZ4" s="1">
        <f>SUM(BS4:BV4)</f>
        <v>0</v>
      </c>
      <c r="DA4" s="36">
        <f t="shared" ref="DA4:DJ4" si="2">CZ4*(1+DA16)</f>
        <v>0</v>
      </c>
      <c r="DB4" s="36">
        <f t="shared" si="2"/>
        <v>0</v>
      </c>
      <c r="DC4" s="36">
        <f t="shared" si="2"/>
        <v>0</v>
      </c>
      <c r="DD4" s="36">
        <f t="shared" si="2"/>
        <v>0</v>
      </c>
      <c r="DE4" s="36">
        <f t="shared" si="2"/>
        <v>0</v>
      </c>
      <c r="DF4" s="36">
        <f t="shared" si="2"/>
        <v>0</v>
      </c>
      <c r="DG4" s="36">
        <f t="shared" si="2"/>
        <v>0</v>
      </c>
      <c r="DH4" s="36">
        <f t="shared" si="2"/>
        <v>0</v>
      </c>
      <c r="DI4" s="36">
        <f t="shared" si="2"/>
        <v>0</v>
      </c>
      <c r="DJ4" s="36">
        <f t="shared" si="2"/>
        <v>0</v>
      </c>
    </row>
    <row r="5" spans="2:167">
      <c r="B5" s="37" t="s">
        <v>66</v>
      </c>
      <c r="CI5" s="1">
        <f t="shared" ref="CI5:CI14" si="3">SUM(C5:F5)</f>
        <v>0</v>
      </c>
      <c r="CJ5" s="1">
        <f t="shared" ref="CJ5:CJ14" si="4">SUM(G5:J5)</f>
        <v>0</v>
      </c>
      <c r="CK5" s="1">
        <f t="shared" ref="CK5:CK14" si="5">SUM(K5:N5)</f>
        <v>0</v>
      </c>
      <c r="CL5" s="1">
        <f t="shared" ref="CL5:CL14" si="6">SUM(O5:R5)</f>
        <v>0</v>
      </c>
      <c r="CM5" s="1">
        <f t="shared" ref="CM5:CM14" si="7">SUM(S5:V5)</f>
        <v>0</v>
      </c>
      <c r="CN5" s="1">
        <f t="shared" ref="CN5:CN14" si="8">SUM(W5:Z5)</f>
        <v>0</v>
      </c>
      <c r="CO5" s="1">
        <f t="shared" ref="CO5:CO14" si="9">SUM(AA5:AD5)</f>
        <v>0</v>
      </c>
      <c r="CP5" s="1">
        <f t="shared" ref="CP5:CP14" si="10">SUM(AE5:AH5)</f>
        <v>0</v>
      </c>
      <c r="CQ5" s="1">
        <f t="shared" ref="CQ5:CQ14" si="11">SUM(AI5:AL5)</f>
        <v>0</v>
      </c>
      <c r="CR5" s="1">
        <f t="shared" ref="CR5:CR14" si="12">SUM(AM5:AP5)</f>
        <v>0</v>
      </c>
      <c r="CS5" s="1">
        <f t="shared" ref="CS5:CS14" si="13">SUM(AQ5:AT5)</f>
        <v>0</v>
      </c>
      <c r="CT5" s="1">
        <f t="shared" ref="CT5:CT14" si="14">SUM(AU5:AX5)</f>
        <v>0</v>
      </c>
      <c r="CU5" s="1">
        <f t="shared" ref="CU5:CU14" si="15">SUM(AY5:BB5)</f>
        <v>0</v>
      </c>
      <c r="CV5" s="1">
        <f t="shared" ref="CV5:CV14" si="16">SUM(BC5:BF5)</f>
        <v>0</v>
      </c>
      <c r="CW5" s="1">
        <f t="shared" ref="CW5:CW14" si="17">SUM(BG5:BJ5)</f>
        <v>0</v>
      </c>
      <c r="CX5" s="1">
        <f t="shared" ref="CX5:CX14" si="18">SUM(BK5:BN5)</f>
        <v>0</v>
      </c>
      <c r="CY5" s="1">
        <f t="shared" ref="CY5:CY14" si="19">SUM(BO5:BR5)</f>
        <v>0</v>
      </c>
      <c r="CZ5" s="1">
        <f t="shared" ref="CZ5:CZ14" si="20">SUM(BS5:BV5)</f>
        <v>0</v>
      </c>
      <c r="DA5" s="36">
        <f t="shared" ref="DA5:DJ5" si="21">CZ5*(1+DA17)</f>
        <v>0</v>
      </c>
      <c r="DB5" s="36">
        <f t="shared" si="21"/>
        <v>0</v>
      </c>
      <c r="DC5" s="36">
        <f t="shared" si="21"/>
        <v>0</v>
      </c>
      <c r="DD5" s="36">
        <f t="shared" si="21"/>
        <v>0</v>
      </c>
      <c r="DE5" s="36">
        <f t="shared" si="21"/>
        <v>0</v>
      </c>
      <c r="DF5" s="36">
        <f t="shared" si="21"/>
        <v>0</v>
      </c>
      <c r="DG5" s="36">
        <f t="shared" si="21"/>
        <v>0</v>
      </c>
      <c r="DH5" s="36">
        <f t="shared" si="21"/>
        <v>0</v>
      </c>
      <c r="DI5" s="36">
        <f t="shared" si="21"/>
        <v>0</v>
      </c>
      <c r="DJ5" s="36">
        <f t="shared" si="21"/>
        <v>0</v>
      </c>
    </row>
    <row r="6" spans="2:167">
      <c r="B6" s="37" t="s">
        <v>67</v>
      </c>
      <c r="CI6" s="1">
        <f t="shared" si="3"/>
        <v>0</v>
      </c>
      <c r="CJ6" s="1">
        <f t="shared" si="4"/>
        <v>0</v>
      </c>
      <c r="CK6" s="1">
        <f t="shared" si="5"/>
        <v>0</v>
      </c>
      <c r="CL6" s="1">
        <f t="shared" si="6"/>
        <v>0</v>
      </c>
      <c r="CM6" s="1">
        <f t="shared" si="7"/>
        <v>0</v>
      </c>
      <c r="CN6" s="1">
        <f t="shared" si="8"/>
        <v>0</v>
      </c>
      <c r="CO6" s="1">
        <f t="shared" si="9"/>
        <v>0</v>
      </c>
      <c r="CP6" s="1">
        <f t="shared" si="10"/>
        <v>0</v>
      </c>
      <c r="CQ6" s="1">
        <f t="shared" si="11"/>
        <v>0</v>
      </c>
      <c r="CR6" s="1">
        <f t="shared" si="12"/>
        <v>0</v>
      </c>
      <c r="CS6" s="1">
        <f t="shared" si="13"/>
        <v>0</v>
      </c>
      <c r="CT6" s="1">
        <f t="shared" si="14"/>
        <v>0</v>
      </c>
      <c r="CU6" s="1">
        <f t="shared" si="15"/>
        <v>0</v>
      </c>
      <c r="CV6" s="1">
        <f t="shared" si="16"/>
        <v>0</v>
      </c>
      <c r="CW6" s="1">
        <f t="shared" si="17"/>
        <v>0</v>
      </c>
      <c r="CX6" s="1">
        <f t="shared" si="18"/>
        <v>0</v>
      </c>
      <c r="CY6" s="1">
        <f t="shared" si="19"/>
        <v>0</v>
      </c>
      <c r="CZ6" s="1">
        <f t="shared" si="20"/>
        <v>0</v>
      </c>
      <c r="DA6" s="36">
        <f t="shared" ref="DA6:DJ6" si="22">CZ6*(1+DA18)</f>
        <v>0</v>
      </c>
      <c r="DB6" s="36">
        <f t="shared" si="22"/>
        <v>0</v>
      </c>
      <c r="DC6" s="36">
        <f t="shared" si="22"/>
        <v>0</v>
      </c>
      <c r="DD6" s="36">
        <f t="shared" si="22"/>
        <v>0</v>
      </c>
      <c r="DE6" s="36">
        <f t="shared" si="22"/>
        <v>0</v>
      </c>
      <c r="DF6" s="36">
        <f t="shared" si="22"/>
        <v>0</v>
      </c>
      <c r="DG6" s="36">
        <f t="shared" si="22"/>
        <v>0</v>
      </c>
      <c r="DH6" s="36">
        <f t="shared" si="22"/>
        <v>0</v>
      </c>
      <c r="DI6" s="36">
        <f t="shared" si="22"/>
        <v>0</v>
      </c>
      <c r="DJ6" s="36">
        <f t="shared" si="22"/>
        <v>0</v>
      </c>
    </row>
    <row r="7" spans="2:167">
      <c r="B7" s="37" t="s">
        <v>64</v>
      </c>
      <c r="CI7" s="1">
        <f t="shared" si="3"/>
        <v>0</v>
      </c>
      <c r="CJ7" s="1">
        <f t="shared" si="4"/>
        <v>0</v>
      </c>
      <c r="CK7" s="1">
        <f t="shared" si="5"/>
        <v>0</v>
      </c>
      <c r="CL7" s="1">
        <f t="shared" si="6"/>
        <v>0</v>
      </c>
      <c r="CM7" s="1">
        <f t="shared" si="7"/>
        <v>0</v>
      </c>
      <c r="CN7" s="1">
        <f t="shared" si="8"/>
        <v>0</v>
      </c>
      <c r="CO7" s="1">
        <f t="shared" si="9"/>
        <v>0</v>
      </c>
      <c r="CP7" s="1">
        <f t="shared" si="10"/>
        <v>0</v>
      </c>
      <c r="CQ7" s="1">
        <f t="shared" si="11"/>
        <v>0</v>
      </c>
      <c r="CR7" s="1">
        <f t="shared" si="12"/>
        <v>0</v>
      </c>
      <c r="CS7" s="1">
        <f t="shared" si="13"/>
        <v>0</v>
      </c>
      <c r="CT7" s="1">
        <f t="shared" si="14"/>
        <v>0</v>
      </c>
      <c r="CU7" s="1">
        <f t="shared" si="15"/>
        <v>0</v>
      </c>
      <c r="CV7" s="1">
        <f t="shared" si="16"/>
        <v>0</v>
      </c>
      <c r="CW7" s="1">
        <f t="shared" si="17"/>
        <v>0</v>
      </c>
      <c r="CX7" s="1">
        <f t="shared" si="18"/>
        <v>0</v>
      </c>
      <c r="CY7" s="1">
        <f t="shared" si="19"/>
        <v>0</v>
      </c>
      <c r="CZ7" s="1">
        <f t="shared" si="20"/>
        <v>0</v>
      </c>
      <c r="DA7" s="36">
        <f t="shared" ref="DA7:DJ7" si="23">CZ7*(1+DA19)</f>
        <v>0</v>
      </c>
      <c r="DB7" s="36">
        <f t="shared" si="23"/>
        <v>0</v>
      </c>
      <c r="DC7" s="36">
        <f t="shared" si="23"/>
        <v>0</v>
      </c>
      <c r="DD7" s="36">
        <f t="shared" si="23"/>
        <v>0</v>
      </c>
      <c r="DE7" s="36">
        <f t="shared" si="23"/>
        <v>0</v>
      </c>
      <c r="DF7" s="36">
        <f t="shared" si="23"/>
        <v>0</v>
      </c>
      <c r="DG7" s="36">
        <f t="shared" si="23"/>
        <v>0</v>
      </c>
      <c r="DH7" s="36">
        <f t="shared" si="23"/>
        <v>0</v>
      </c>
      <c r="DI7" s="36">
        <f t="shared" si="23"/>
        <v>0</v>
      </c>
      <c r="DJ7" s="36">
        <f t="shared" si="23"/>
        <v>0</v>
      </c>
    </row>
    <row r="8" spans="2:167">
      <c r="B8" s="37" t="s">
        <v>68</v>
      </c>
      <c r="CI8" s="1">
        <f t="shared" si="3"/>
        <v>0</v>
      </c>
      <c r="CJ8" s="1">
        <f t="shared" si="4"/>
        <v>0</v>
      </c>
      <c r="CK8" s="1">
        <f t="shared" si="5"/>
        <v>0</v>
      </c>
      <c r="CL8" s="1">
        <f t="shared" si="6"/>
        <v>0</v>
      </c>
      <c r="CM8" s="1">
        <f t="shared" si="7"/>
        <v>0</v>
      </c>
      <c r="CN8" s="1">
        <f t="shared" si="8"/>
        <v>0</v>
      </c>
      <c r="CO8" s="1">
        <f t="shared" si="9"/>
        <v>0</v>
      </c>
      <c r="CP8" s="1">
        <f t="shared" si="10"/>
        <v>0</v>
      </c>
      <c r="CQ8" s="1">
        <f t="shared" si="11"/>
        <v>0</v>
      </c>
      <c r="CR8" s="1">
        <f t="shared" si="12"/>
        <v>0</v>
      </c>
      <c r="CS8" s="1">
        <f t="shared" si="13"/>
        <v>0</v>
      </c>
      <c r="CT8" s="1">
        <f t="shared" si="14"/>
        <v>0</v>
      </c>
      <c r="CU8" s="1">
        <f t="shared" si="15"/>
        <v>0</v>
      </c>
      <c r="CV8" s="1">
        <f t="shared" si="16"/>
        <v>0</v>
      </c>
      <c r="CW8" s="1">
        <f t="shared" si="17"/>
        <v>0</v>
      </c>
      <c r="CX8" s="1">
        <f t="shared" si="18"/>
        <v>0</v>
      </c>
      <c r="CY8" s="1">
        <f t="shared" si="19"/>
        <v>0</v>
      </c>
      <c r="CZ8" s="1">
        <f t="shared" si="20"/>
        <v>0</v>
      </c>
      <c r="DA8" s="36">
        <f t="shared" ref="DA8:DJ8" si="24">CZ8*(1+DA20)</f>
        <v>0</v>
      </c>
      <c r="DB8" s="36">
        <f t="shared" si="24"/>
        <v>0</v>
      </c>
      <c r="DC8" s="36">
        <f t="shared" si="24"/>
        <v>0</v>
      </c>
      <c r="DD8" s="36">
        <f t="shared" si="24"/>
        <v>0</v>
      </c>
      <c r="DE8" s="36">
        <f t="shared" si="24"/>
        <v>0</v>
      </c>
      <c r="DF8" s="36">
        <f t="shared" si="24"/>
        <v>0</v>
      </c>
      <c r="DG8" s="36">
        <f t="shared" si="24"/>
        <v>0</v>
      </c>
      <c r="DH8" s="36">
        <f t="shared" si="24"/>
        <v>0</v>
      </c>
      <c r="DI8" s="36">
        <f t="shared" si="24"/>
        <v>0</v>
      </c>
      <c r="DJ8" s="36">
        <f t="shared" si="24"/>
        <v>0</v>
      </c>
    </row>
    <row r="9" spans="2:167">
      <c r="B9" s="37" t="s">
        <v>69</v>
      </c>
      <c r="CI9" s="1">
        <f t="shared" si="3"/>
        <v>0</v>
      </c>
      <c r="CJ9" s="1">
        <f t="shared" si="4"/>
        <v>0</v>
      </c>
      <c r="CK9" s="1">
        <f t="shared" si="5"/>
        <v>0</v>
      </c>
      <c r="CL9" s="1">
        <f t="shared" si="6"/>
        <v>0</v>
      </c>
      <c r="CM9" s="1">
        <f t="shared" si="7"/>
        <v>0</v>
      </c>
      <c r="CN9" s="1">
        <f t="shared" si="8"/>
        <v>0</v>
      </c>
      <c r="CO9" s="1">
        <f t="shared" si="9"/>
        <v>0</v>
      </c>
      <c r="CP9" s="1">
        <f t="shared" si="10"/>
        <v>0</v>
      </c>
      <c r="CQ9" s="1">
        <f t="shared" si="11"/>
        <v>0</v>
      </c>
      <c r="CR9" s="1">
        <f t="shared" si="12"/>
        <v>0</v>
      </c>
      <c r="CS9" s="1">
        <f t="shared" si="13"/>
        <v>0</v>
      </c>
      <c r="CT9" s="1">
        <f t="shared" si="14"/>
        <v>0</v>
      </c>
      <c r="CU9" s="1">
        <f t="shared" si="15"/>
        <v>0</v>
      </c>
      <c r="CV9" s="1">
        <f t="shared" si="16"/>
        <v>0</v>
      </c>
      <c r="CW9" s="1">
        <f t="shared" si="17"/>
        <v>0</v>
      </c>
      <c r="CX9" s="1">
        <f t="shared" si="18"/>
        <v>0</v>
      </c>
      <c r="CY9" s="1">
        <f t="shared" si="19"/>
        <v>0</v>
      </c>
      <c r="CZ9" s="1">
        <f t="shared" si="20"/>
        <v>0</v>
      </c>
      <c r="DA9" s="36">
        <f t="shared" ref="DA9:DJ9" si="25">CZ9*(1+DA21)</f>
        <v>0</v>
      </c>
      <c r="DB9" s="36">
        <f t="shared" si="25"/>
        <v>0</v>
      </c>
      <c r="DC9" s="36">
        <f t="shared" si="25"/>
        <v>0</v>
      </c>
      <c r="DD9" s="36">
        <f t="shared" si="25"/>
        <v>0</v>
      </c>
      <c r="DE9" s="36">
        <f t="shared" si="25"/>
        <v>0</v>
      </c>
      <c r="DF9" s="36">
        <f t="shared" si="25"/>
        <v>0</v>
      </c>
      <c r="DG9" s="36">
        <f t="shared" si="25"/>
        <v>0</v>
      </c>
      <c r="DH9" s="36">
        <f t="shared" si="25"/>
        <v>0</v>
      </c>
      <c r="DI9" s="36">
        <f t="shared" si="25"/>
        <v>0</v>
      </c>
      <c r="DJ9" s="36">
        <f t="shared" si="25"/>
        <v>0</v>
      </c>
    </row>
    <row r="10" spans="2:167">
      <c r="B10" s="37" t="s">
        <v>70</v>
      </c>
      <c r="CI10" s="1">
        <f t="shared" si="3"/>
        <v>0</v>
      </c>
      <c r="CJ10" s="1">
        <f t="shared" si="4"/>
        <v>0</v>
      </c>
      <c r="CK10" s="1">
        <f t="shared" si="5"/>
        <v>0</v>
      </c>
      <c r="CL10" s="1">
        <f t="shared" si="6"/>
        <v>0</v>
      </c>
      <c r="CM10" s="1">
        <f t="shared" si="7"/>
        <v>0</v>
      </c>
      <c r="CN10" s="1">
        <f t="shared" si="8"/>
        <v>0</v>
      </c>
      <c r="CO10" s="1">
        <f t="shared" si="9"/>
        <v>0</v>
      </c>
      <c r="CP10" s="1">
        <f t="shared" si="10"/>
        <v>0</v>
      </c>
      <c r="CQ10" s="1">
        <f t="shared" si="11"/>
        <v>0</v>
      </c>
      <c r="CR10" s="1">
        <f t="shared" si="12"/>
        <v>0</v>
      </c>
      <c r="CS10" s="1">
        <f t="shared" si="13"/>
        <v>0</v>
      </c>
      <c r="CT10" s="1">
        <f t="shared" si="14"/>
        <v>0</v>
      </c>
      <c r="CU10" s="1">
        <f t="shared" si="15"/>
        <v>0</v>
      </c>
      <c r="CV10" s="1">
        <f t="shared" si="16"/>
        <v>0</v>
      </c>
      <c r="CW10" s="1">
        <f t="shared" si="17"/>
        <v>0</v>
      </c>
      <c r="CX10" s="1">
        <f t="shared" si="18"/>
        <v>0</v>
      </c>
      <c r="CY10" s="1">
        <f t="shared" si="19"/>
        <v>0</v>
      </c>
      <c r="CZ10" s="1">
        <f t="shared" si="20"/>
        <v>0</v>
      </c>
      <c r="DA10" s="36">
        <f t="shared" ref="DA10:DJ10" si="26">CZ10*(1+DA22)</f>
        <v>0</v>
      </c>
      <c r="DB10" s="36">
        <f t="shared" si="26"/>
        <v>0</v>
      </c>
      <c r="DC10" s="36">
        <f t="shared" si="26"/>
        <v>0</v>
      </c>
      <c r="DD10" s="36">
        <f t="shared" si="26"/>
        <v>0</v>
      </c>
      <c r="DE10" s="36">
        <f t="shared" si="26"/>
        <v>0</v>
      </c>
      <c r="DF10" s="36">
        <f t="shared" si="26"/>
        <v>0</v>
      </c>
      <c r="DG10" s="36">
        <f t="shared" si="26"/>
        <v>0</v>
      </c>
      <c r="DH10" s="36">
        <f t="shared" si="26"/>
        <v>0</v>
      </c>
      <c r="DI10" s="36">
        <f t="shared" si="26"/>
        <v>0</v>
      </c>
      <c r="DJ10" s="36">
        <f t="shared" si="26"/>
        <v>0</v>
      </c>
    </row>
    <row r="11" spans="2:167">
      <c r="B11" s="37" t="s">
        <v>71</v>
      </c>
      <c r="CI11" s="1">
        <f t="shared" si="3"/>
        <v>0</v>
      </c>
      <c r="CJ11" s="1">
        <f t="shared" si="4"/>
        <v>0</v>
      </c>
      <c r="CK11" s="1">
        <f t="shared" si="5"/>
        <v>0</v>
      </c>
      <c r="CL11" s="1">
        <f t="shared" si="6"/>
        <v>0</v>
      </c>
      <c r="CM11" s="1">
        <f t="shared" si="7"/>
        <v>0</v>
      </c>
      <c r="CN11" s="1">
        <f t="shared" si="8"/>
        <v>0</v>
      </c>
      <c r="CO11" s="1">
        <f t="shared" si="9"/>
        <v>0</v>
      </c>
      <c r="CP11" s="1">
        <f t="shared" si="10"/>
        <v>0</v>
      </c>
      <c r="CQ11" s="1">
        <f t="shared" si="11"/>
        <v>0</v>
      </c>
      <c r="CR11" s="1">
        <f t="shared" si="12"/>
        <v>0</v>
      </c>
      <c r="CS11" s="1">
        <f t="shared" si="13"/>
        <v>0</v>
      </c>
      <c r="CT11" s="1">
        <f t="shared" si="14"/>
        <v>0</v>
      </c>
      <c r="CU11" s="1">
        <f t="shared" si="15"/>
        <v>0</v>
      </c>
      <c r="CV11" s="1">
        <f t="shared" si="16"/>
        <v>0</v>
      </c>
      <c r="CW11" s="1">
        <f t="shared" si="17"/>
        <v>0</v>
      </c>
      <c r="CX11" s="1">
        <f t="shared" si="18"/>
        <v>0</v>
      </c>
      <c r="CY11" s="1">
        <f t="shared" si="19"/>
        <v>0</v>
      </c>
      <c r="CZ11" s="1">
        <f t="shared" si="20"/>
        <v>0</v>
      </c>
      <c r="DA11" s="36">
        <f t="shared" ref="DA11:DJ11" si="27">CZ11*(1+DA23)</f>
        <v>0</v>
      </c>
      <c r="DB11" s="36">
        <f t="shared" si="27"/>
        <v>0</v>
      </c>
      <c r="DC11" s="36">
        <f t="shared" si="27"/>
        <v>0</v>
      </c>
      <c r="DD11" s="36">
        <f t="shared" si="27"/>
        <v>0</v>
      </c>
      <c r="DE11" s="36">
        <f t="shared" si="27"/>
        <v>0</v>
      </c>
      <c r="DF11" s="36">
        <f t="shared" si="27"/>
        <v>0</v>
      </c>
      <c r="DG11" s="36">
        <f t="shared" si="27"/>
        <v>0</v>
      </c>
      <c r="DH11" s="36">
        <f t="shared" si="27"/>
        <v>0</v>
      </c>
      <c r="DI11" s="36">
        <f t="shared" si="27"/>
        <v>0</v>
      </c>
      <c r="DJ11" s="36">
        <f t="shared" si="27"/>
        <v>0</v>
      </c>
    </row>
    <row r="12" spans="2:167">
      <c r="B12" s="37" t="s">
        <v>72</v>
      </c>
      <c r="C12" s="37"/>
      <c r="CI12" s="1">
        <f t="shared" si="3"/>
        <v>0</v>
      </c>
      <c r="CJ12" s="1">
        <f t="shared" si="4"/>
        <v>0</v>
      </c>
      <c r="CK12" s="1">
        <f t="shared" si="5"/>
        <v>0</v>
      </c>
      <c r="CL12" s="1">
        <f t="shared" si="6"/>
        <v>0</v>
      </c>
      <c r="CM12" s="1">
        <f t="shared" si="7"/>
        <v>0</v>
      </c>
      <c r="CN12" s="1">
        <f t="shared" si="8"/>
        <v>0</v>
      </c>
      <c r="CO12" s="1">
        <f t="shared" si="9"/>
        <v>0</v>
      </c>
      <c r="CP12" s="1">
        <f t="shared" si="10"/>
        <v>0</v>
      </c>
      <c r="CQ12" s="1">
        <f t="shared" si="11"/>
        <v>0</v>
      </c>
      <c r="CR12" s="1">
        <f t="shared" si="12"/>
        <v>0</v>
      </c>
      <c r="CS12" s="1">
        <f t="shared" si="13"/>
        <v>0</v>
      </c>
      <c r="CT12" s="1">
        <f t="shared" si="14"/>
        <v>0</v>
      </c>
      <c r="CU12" s="1">
        <f t="shared" si="15"/>
        <v>0</v>
      </c>
      <c r="CV12" s="1">
        <f t="shared" si="16"/>
        <v>0</v>
      </c>
      <c r="CW12" s="1">
        <f t="shared" si="17"/>
        <v>0</v>
      </c>
      <c r="CX12" s="1">
        <f t="shared" si="18"/>
        <v>0</v>
      </c>
      <c r="CY12" s="1">
        <f t="shared" si="19"/>
        <v>0</v>
      </c>
      <c r="CZ12" s="1">
        <f t="shared" si="20"/>
        <v>0</v>
      </c>
      <c r="DA12" s="36">
        <f t="shared" ref="DA12:DJ12" si="28">CZ12*(1+DA24)</f>
        <v>0</v>
      </c>
      <c r="DB12" s="36">
        <f t="shared" si="28"/>
        <v>0</v>
      </c>
      <c r="DC12" s="36">
        <f t="shared" si="28"/>
        <v>0</v>
      </c>
      <c r="DD12" s="36">
        <f t="shared" si="28"/>
        <v>0</v>
      </c>
      <c r="DE12" s="36">
        <f t="shared" si="28"/>
        <v>0</v>
      </c>
      <c r="DF12" s="36">
        <f t="shared" si="28"/>
        <v>0</v>
      </c>
      <c r="DG12" s="36">
        <f t="shared" si="28"/>
        <v>0</v>
      </c>
      <c r="DH12" s="36">
        <f t="shared" si="28"/>
        <v>0</v>
      </c>
      <c r="DI12" s="36">
        <f t="shared" si="28"/>
        <v>0</v>
      </c>
      <c r="DJ12" s="36">
        <f t="shared" si="28"/>
        <v>0</v>
      </c>
    </row>
    <row r="13" spans="2:167">
      <c r="B13" s="37" t="s">
        <v>73</v>
      </c>
      <c r="C13" s="37"/>
      <c r="CI13" s="1">
        <f t="shared" si="3"/>
        <v>0</v>
      </c>
      <c r="CJ13" s="1">
        <f t="shared" si="4"/>
        <v>0</v>
      </c>
      <c r="CK13" s="1">
        <f t="shared" si="5"/>
        <v>0</v>
      </c>
      <c r="CL13" s="1">
        <f t="shared" si="6"/>
        <v>0</v>
      </c>
      <c r="CM13" s="1">
        <f t="shared" si="7"/>
        <v>0</v>
      </c>
      <c r="CN13" s="1">
        <f t="shared" si="8"/>
        <v>0</v>
      </c>
      <c r="CO13" s="1">
        <f t="shared" si="9"/>
        <v>0</v>
      </c>
      <c r="CP13" s="1">
        <f t="shared" si="10"/>
        <v>0</v>
      </c>
      <c r="CQ13" s="1">
        <f t="shared" si="11"/>
        <v>0</v>
      </c>
      <c r="CR13" s="1">
        <f t="shared" si="12"/>
        <v>0</v>
      </c>
      <c r="CS13" s="1">
        <f t="shared" si="13"/>
        <v>0</v>
      </c>
      <c r="CT13" s="1">
        <f t="shared" si="14"/>
        <v>0</v>
      </c>
      <c r="CU13" s="1">
        <f t="shared" si="15"/>
        <v>0</v>
      </c>
      <c r="CV13" s="1">
        <f t="shared" si="16"/>
        <v>0</v>
      </c>
      <c r="CW13" s="1">
        <f t="shared" si="17"/>
        <v>0</v>
      </c>
      <c r="CX13" s="1">
        <f t="shared" si="18"/>
        <v>0</v>
      </c>
      <c r="CY13" s="1">
        <f t="shared" si="19"/>
        <v>0</v>
      </c>
      <c r="CZ13" s="1">
        <f t="shared" si="20"/>
        <v>0</v>
      </c>
      <c r="DA13" s="36">
        <f t="shared" ref="DA13:DJ13" si="29">CZ13*(1+DA25)</f>
        <v>0</v>
      </c>
      <c r="DB13" s="36">
        <f t="shared" si="29"/>
        <v>0</v>
      </c>
      <c r="DC13" s="36">
        <f t="shared" si="29"/>
        <v>0</v>
      </c>
      <c r="DD13" s="36">
        <f t="shared" si="29"/>
        <v>0</v>
      </c>
      <c r="DE13" s="36">
        <f t="shared" si="29"/>
        <v>0</v>
      </c>
      <c r="DF13" s="36">
        <f t="shared" si="29"/>
        <v>0</v>
      </c>
      <c r="DG13" s="36">
        <f t="shared" si="29"/>
        <v>0</v>
      </c>
      <c r="DH13" s="36">
        <f t="shared" si="29"/>
        <v>0</v>
      </c>
      <c r="DI13" s="36">
        <f t="shared" si="29"/>
        <v>0</v>
      </c>
      <c r="DJ13" s="36">
        <f t="shared" si="29"/>
        <v>0</v>
      </c>
    </row>
    <row r="14" spans="2:167" s="2" customFormat="1" ht="15">
      <c r="B14" s="34" t="s">
        <v>63</v>
      </c>
      <c r="C14" s="47"/>
      <c r="BC14" s="2">
        <f t="shared" ref="BC14:BU14" si="30">SUM(BC4:BC13)</f>
        <v>0</v>
      </c>
      <c r="BD14" s="2">
        <f t="shared" si="30"/>
        <v>0</v>
      </c>
      <c r="BE14" s="2">
        <f t="shared" si="30"/>
        <v>0</v>
      </c>
      <c r="BF14" s="2">
        <f t="shared" si="30"/>
        <v>0</v>
      </c>
      <c r="BG14" s="2">
        <f t="shared" si="30"/>
        <v>0</v>
      </c>
      <c r="BH14" s="2">
        <f t="shared" si="30"/>
        <v>0</v>
      </c>
      <c r="BI14" s="2">
        <f t="shared" si="30"/>
        <v>0</v>
      </c>
      <c r="BJ14" s="2">
        <f t="shared" si="30"/>
        <v>0</v>
      </c>
      <c r="BK14" s="2">
        <f t="shared" si="30"/>
        <v>0</v>
      </c>
      <c r="BL14" s="2">
        <f t="shared" si="30"/>
        <v>0</v>
      </c>
      <c r="BM14" s="2">
        <f t="shared" si="30"/>
        <v>0</v>
      </c>
      <c r="BN14" s="2">
        <f t="shared" si="30"/>
        <v>0</v>
      </c>
      <c r="BO14" s="2">
        <f t="shared" si="30"/>
        <v>0</v>
      </c>
      <c r="BP14" s="2">
        <f t="shared" si="30"/>
        <v>0</v>
      </c>
      <c r="BQ14" s="2">
        <f t="shared" si="30"/>
        <v>0</v>
      </c>
      <c r="BR14" s="2">
        <f t="shared" si="30"/>
        <v>0</v>
      </c>
      <c r="BS14" s="2">
        <f t="shared" si="30"/>
        <v>0</v>
      </c>
      <c r="BT14" s="2">
        <f t="shared" si="30"/>
        <v>0</v>
      </c>
      <c r="BU14" s="2">
        <f t="shared" si="30"/>
        <v>0</v>
      </c>
      <c r="BV14" s="2">
        <f>SUM(BV4:BV13)</f>
        <v>0</v>
      </c>
      <c r="BW14" s="2">
        <f>SUM(BW4:BW13)</f>
        <v>0</v>
      </c>
      <c r="BX14" s="35"/>
      <c r="BY14" s="35"/>
      <c r="BZ14" s="35"/>
      <c r="CI14" s="2">
        <f t="shared" si="3"/>
        <v>0</v>
      </c>
      <c r="CJ14" s="2">
        <f t="shared" si="4"/>
        <v>0</v>
      </c>
      <c r="CK14" s="2">
        <f t="shared" si="5"/>
        <v>0</v>
      </c>
      <c r="CL14" s="2">
        <f t="shared" si="6"/>
        <v>0</v>
      </c>
      <c r="CM14" s="2">
        <f t="shared" si="7"/>
        <v>0</v>
      </c>
      <c r="CN14" s="2">
        <f t="shared" si="8"/>
        <v>0</v>
      </c>
      <c r="CO14" s="2">
        <f t="shared" si="9"/>
        <v>0</v>
      </c>
      <c r="CP14" s="2">
        <f t="shared" si="10"/>
        <v>0</v>
      </c>
      <c r="CQ14" s="2">
        <f t="shared" si="11"/>
        <v>0</v>
      </c>
      <c r="CR14" s="2">
        <f t="shared" si="12"/>
        <v>0</v>
      </c>
      <c r="CS14" s="2">
        <f t="shared" si="13"/>
        <v>0</v>
      </c>
      <c r="CT14" s="2">
        <f t="shared" si="14"/>
        <v>0</v>
      </c>
      <c r="CU14" s="2">
        <f t="shared" si="15"/>
        <v>0</v>
      </c>
      <c r="CV14" s="2">
        <f t="shared" si="16"/>
        <v>0</v>
      </c>
      <c r="CW14" s="2">
        <f t="shared" si="17"/>
        <v>0</v>
      </c>
      <c r="CX14" s="2">
        <f t="shared" si="18"/>
        <v>0</v>
      </c>
      <c r="CY14" s="2">
        <f t="shared" si="19"/>
        <v>0</v>
      </c>
      <c r="CZ14" s="2">
        <f t="shared" si="20"/>
        <v>0</v>
      </c>
      <c r="DA14" s="35">
        <f t="shared" ref="DA14" si="31">SUM(DA4:DA13)</f>
        <v>0</v>
      </c>
      <c r="DB14" s="35">
        <f t="shared" ref="DB14:DJ14" si="32">SUM(DB4:DB13)</f>
        <v>0</v>
      </c>
      <c r="DC14" s="35">
        <f t="shared" si="32"/>
        <v>0</v>
      </c>
      <c r="DD14" s="35">
        <f t="shared" si="32"/>
        <v>0</v>
      </c>
      <c r="DE14" s="35">
        <f t="shared" si="32"/>
        <v>0</v>
      </c>
      <c r="DF14" s="35">
        <f t="shared" si="32"/>
        <v>0</v>
      </c>
      <c r="DG14" s="35">
        <f t="shared" si="32"/>
        <v>0</v>
      </c>
      <c r="DH14" s="35">
        <f t="shared" si="32"/>
        <v>0</v>
      </c>
      <c r="DI14" s="35">
        <f t="shared" si="32"/>
        <v>0</v>
      </c>
      <c r="DJ14" s="35">
        <f t="shared" si="32"/>
        <v>0</v>
      </c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</row>
    <row r="15" spans="2:167">
      <c r="B15" s="37"/>
      <c r="C15" s="37"/>
    </row>
    <row r="16" spans="2:167">
      <c r="B16" s="38" t="s">
        <v>76</v>
      </c>
      <c r="BC16" s="1" t="e">
        <f t="shared" ref="BC16:BU26" si="33">BC4/AY4-1</f>
        <v>#DIV/0!</v>
      </c>
      <c r="BD16" s="1" t="e">
        <f t="shared" si="33"/>
        <v>#DIV/0!</v>
      </c>
      <c r="BE16" s="1" t="e">
        <f t="shared" si="33"/>
        <v>#DIV/0!</v>
      </c>
      <c r="BF16" s="1" t="e">
        <f t="shared" si="33"/>
        <v>#DIV/0!</v>
      </c>
      <c r="BG16" s="1" t="e">
        <f t="shared" si="33"/>
        <v>#DIV/0!</v>
      </c>
      <c r="BH16" s="1" t="e">
        <f t="shared" si="33"/>
        <v>#DIV/0!</v>
      </c>
      <c r="BI16" s="1" t="e">
        <f t="shared" si="33"/>
        <v>#DIV/0!</v>
      </c>
      <c r="BJ16" s="1" t="e">
        <f t="shared" si="33"/>
        <v>#DIV/0!</v>
      </c>
      <c r="BK16" s="1" t="e">
        <f t="shared" si="33"/>
        <v>#DIV/0!</v>
      </c>
      <c r="BL16" s="1" t="e">
        <f t="shared" si="33"/>
        <v>#DIV/0!</v>
      </c>
      <c r="BM16" s="1" t="e">
        <f t="shared" si="33"/>
        <v>#DIV/0!</v>
      </c>
      <c r="BN16" s="1" t="e">
        <f t="shared" si="33"/>
        <v>#DIV/0!</v>
      </c>
      <c r="BO16" s="1" t="e">
        <f t="shared" si="33"/>
        <v>#DIV/0!</v>
      </c>
      <c r="BP16" s="1" t="e">
        <f t="shared" si="33"/>
        <v>#DIV/0!</v>
      </c>
      <c r="BQ16" s="1" t="e">
        <f t="shared" si="33"/>
        <v>#DIV/0!</v>
      </c>
      <c r="BR16" s="1" t="e">
        <f t="shared" si="33"/>
        <v>#DIV/0!</v>
      </c>
      <c r="BS16" s="1" t="e">
        <f t="shared" si="33"/>
        <v>#DIV/0!</v>
      </c>
      <c r="BT16" s="1" t="e">
        <f t="shared" si="33"/>
        <v>#DIV/0!</v>
      </c>
      <c r="BU16" s="1" t="e">
        <f t="shared" si="33"/>
        <v>#DIV/0!</v>
      </c>
      <c r="BV16" s="1" t="e">
        <f>BV4/BR4-1</f>
        <v>#DIV/0!</v>
      </c>
      <c r="BW16" s="1" t="e">
        <f>BW4/BS4-1</f>
        <v>#DIV/0!</v>
      </c>
      <c r="CJ16" s="1" t="e">
        <f t="shared" ref="CJ16:CZ16" si="34">CJ4/CI4-1</f>
        <v>#DIV/0!</v>
      </c>
      <c r="CK16" s="1" t="e">
        <f t="shared" si="34"/>
        <v>#DIV/0!</v>
      </c>
      <c r="CL16" s="1" t="e">
        <f t="shared" si="34"/>
        <v>#DIV/0!</v>
      </c>
      <c r="CM16" s="1" t="e">
        <f t="shared" si="34"/>
        <v>#DIV/0!</v>
      </c>
      <c r="CN16" s="1" t="e">
        <f t="shared" si="34"/>
        <v>#DIV/0!</v>
      </c>
      <c r="CO16" s="1" t="e">
        <f t="shared" si="34"/>
        <v>#DIV/0!</v>
      </c>
      <c r="CP16" s="1" t="e">
        <f t="shared" si="34"/>
        <v>#DIV/0!</v>
      </c>
      <c r="CQ16" s="1" t="e">
        <f t="shared" si="34"/>
        <v>#DIV/0!</v>
      </c>
      <c r="CR16" s="1" t="e">
        <f t="shared" si="34"/>
        <v>#DIV/0!</v>
      </c>
      <c r="CS16" s="1" t="e">
        <f t="shared" si="34"/>
        <v>#DIV/0!</v>
      </c>
      <c r="CT16" s="1" t="e">
        <f t="shared" si="34"/>
        <v>#DIV/0!</v>
      </c>
      <c r="CU16" s="1" t="e">
        <f t="shared" si="34"/>
        <v>#DIV/0!</v>
      </c>
      <c r="CV16" s="1" t="e">
        <f t="shared" si="34"/>
        <v>#DIV/0!</v>
      </c>
      <c r="CW16" s="1" t="e">
        <f t="shared" si="34"/>
        <v>#DIV/0!</v>
      </c>
      <c r="CX16" s="1" t="e">
        <f t="shared" si="34"/>
        <v>#DIV/0!</v>
      </c>
      <c r="CY16" s="1" t="e">
        <f t="shared" si="34"/>
        <v>#DIV/0!</v>
      </c>
      <c r="CZ16" s="1" t="e">
        <f t="shared" si="34"/>
        <v>#DIV/0!</v>
      </c>
      <c r="DA16" s="46">
        <v>1</v>
      </c>
      <c r="DB16" s="46">
        <v>1</v>
      </c>
      <c r="DC16" s="46">
        <v>1</v>
      </c>
      <c r="DD16" s="46">
        <v>1</v>
      </c>
      <c r="DE16" s="46">
        <v>1</v>
      </c>
      <c r="DF16" s="46">
        <v>1</v>
      </c>
      <c r="DG16" s="46">
        <v>1</v>
      </c>
      <c r="DH16" s="46">
        <v>1</v>
      </c>
      <c r="DI16" s="46">
        <v>1</v>
      </c>
      <c r="DJ16" s="46">
        <v>1</v>
      </c>
    </row>
    <row r="17" spans="2:166">
      <c r="B17" s="38" t="s">
        <v>77</v>
      </c>
      <c r="BC17" s="1" t="e">
        <f t="shared" si="33"/>
        <v>#DIV/0!</v>
      </c>
      <c r="BD17" s="1" t="e">
        <f t="shared" si="33"/>
        <v>#DIV/0!</v>
      </c>
      <c r="BE17" s="1" t="e">
        <f t="shared" si="33"/>
        <v>#DIV/0!</v>
      </c>
      <c r="BF17" s="1" t="e">
        <f t="shared" si="33"/>
        <v>#DIV/0!</v>
      </c>
      <c r="BG17" s="1" t="e">
        <f t="shared" si="33"/>
        <v>#DIV/0!</v>
      </c>
      <c r="BH17" s="1" t="e">
        <f t="shared" si="33"/>
        <v>#DIV/0!</v>
      </c>
      <c r="BI17" s="1" t="e">
        <f t="shared" si="33"/>
        <v>#DIV/0!</v>
      </c>
      <c r="BJ17" s="1" t="e">
        <f t="shared" si="33"/>
        <v>#DIV/0!</v>
      </c>
      <c r="BK17" s="1" t="e">
        <f t="shared" si="33"/>
        <v>#DIV/0!</v>
      </c>
      <c r="BL17" s="1" t="e">
        <f t="shared" si="33"/>
        <v>#DIV/0!</v>
      </c>
      <c r="BM17" s="1" t="e">
        <f t="shared" si="33"/>
        <v>#DIV/0!</v>
      </c>
      <c r="BN17" s="1" t="e">
        <f t="shared" si="33"/>
        <v>#DIV/0!</v>
      </c>
      <c r="BO17" s="1" t="e">
        <f t="shared" si="33"/>
        <v>#DIV/0!</v>
      </c>
      <c r="BP17" s="1" t="e">
        <f t="shared" si="33"/>
        <v>#DIV/0!</v>
      </c>
      <c r="BQ17" s="1" t="e">
        <f t="shared" si="33"/>
        <v>#DIV/0!</v>
      </c>
      <c r="BR17" s="1" t="e">
        <f t="shared" si="33"/>
        <v>#DIV/0!</v>
      </c>
      <c r="BS17" s="1" t="e">
        <f t="shared" si="33"/>
        <v>#DIV/0!</v>
      </c>
      <c r="BT17" s="1" t="e">
        <f t="shared" si="33"/>
        <v>#DIV/0!</v>
      </c>
      <c r="BU17" s="1" t="e">
        <f t="shared" si="33"/>
        <v>#DIV/0!</v>
      </c>
      <c r="BV17" s="1" t="e">
        <f t="shared" ref="BV17:BW26" si="35">BV5/BR5-1</f>
        <v>#DIV/0!</v>
      </c>
      <c r="BW17" s="1" t="e">
        <f t="shared" si="35"/>
        <v>#DIV/0!</v>
      </c>
      <c r="CJ17" s="1" t="e">
        <f t="shared" ref="CJ17:CZ17" si="36">CJ5/CI5-1</f>
        <v>#DIV/0!</v>
      </c>
      <c r="CK17" s="1" t="e">
        <f t="shared" si="36"/>
        <v>#DIV/0!</v>
      </c>
      <c r="CL17" s="1" t="e">
        <f t="shared" si="36"/>
        <v>#DIV/0!</v>
      </c>
      <c r="CM17" s="1" t="e">
        <f t="shared" si="36"/>
        <v>#DIV/0!</v>
      </c>
      <c r="CN17" s="1" t="e">
        <f t="shared" si="36"/>
        <v>#DIV/0!</v>
      </c>
      <c r="CO17" s="1" t="e">
        <f t="shared" si="36"/>
        <v>#DIV/0!</v>
      </c>
      <c r="CP17" s="1" t="e">
        <f t="shared" si="36"/>
        <v>#DIV/0!</v>
      </c>
      <c r="CQ17" s="1" t="e">
        <f t="shared" si="36"/>
        <v>#DIV/0!</v>
      </c>
      <c r="CR17" s="1" t="e">
        <f t="shared" si="36"/>
        <v>#DIV/0!</v>
      </c>
      <c r="CS17" s="1" t="e">
        <f t="shared" si="36"/>
        <v>#DIV/0!</v>
      </c>
      <c r="CT17" s="1" t="e">
        <f t="shared" si="36"/>
        <v>#DIV/0!</v>
      </c>
      <c r="CU17" s="1" t="e">
        <f t="shared" si="36"/>
        <v>#DIV/0!</v>
      </c>
      <c r="CV17" s="1" t="e">
        <f t="shared" si="36"/>
        <v>#DIV/0!</v>
      </c>
      <c r="CW17" s="1" t="e">
        <f t="shared" si="36"/>
        <v>#DIV/0!</v>
      </c>
      <c r="CX17" s="1" t="e">
        <f t="shared" si="36"/>
        <v>#DIV/0!</v>
      </c>
      <c r="CY17" s="1" t="e">
        <f t="shared" si="36"/>
        <v>#DIV/0!</v>
      </c>
      <c r="CZ17" s="1" t="e">
        <f t="shared" si="36"/>
        <v>#DIV/0!</v>
      </c>
      <c r="DA17" s="46">
        <v>1</v>
      </c>
      <c r="DB17" s="46">
        <v>1</v>
      </c>
      <c r="DC17" s="46">
        <v>1</v>
      </c>
      <c r="DD17" s="46">
        <v>1</v>
      </c>
      <c r="DE17" s="46">
        <v>1</v>
      </c>
      <c r="DF17" s="46">
        <v>1</v>
      </c>
      <c r="DG17" s="46">
        <v>1</v>
      </c>
      <c r="DH17" s="46">
        <v>1</v>
      </c>
      <c r="DI17" s="46">
        <v>1</v>
      </c>
      <c r="DJ17" s="46">
        <v>1</v>
      </c>
    </row>
    <row r="18" spans="2:166">
      <c r="B18" s="38" t="s">
        <v>78</v>
      </c>
      <c r="BC18" s="1" t="e">
        <f t="shared" si="33"/>
        <v>#DIV/0!</v>
      </c>
      <c r="BD18" s="1" t="e">
        <f t="shared" si="33"/>
        <v>#DIV/0!</v>
      </c>
      <c r="BE18" s="1" t="e">
        <f t="shared" si="33"/>
        <v>#DIV/0!</v>
      </c>
      <c r="BF18" s="1" t="e">
        <f t="shared" si="33"/>
        <v>#DIV/0!</v>
      </c>
      <c r="BG18" s="1" t="e">
        <f t="shared" si="33"/>
        <v>#DIV/0!</v>
      </c>
      <c r="BH18" s="1" t="e">
        <f t="shared" si="33"/>
        <v>#DIV/0!</v>
      </c>
      <c r="BI18" s="1" t="e">
        <f t="shared" si="33"/>
        <v>#DIV/0!</v>
      </c>
      <c r="BJ18" s="1" t="e">
        <f t="shared" si="33"/>
        <v>#DIV/0!</v>
      </c>
      <c r="BK18" s="1" t="e">
        <f t="shared" si="33"/>
        <v>#DIV/0!</v>
      </c>
      <c r="BL18" s="1" t="e">
        <f t="shared" si="33"/>
        <v>#DIV/0!</v>
      </c>
      <c r="BM18" s="1" t="e">
        <f t="shared" si="33"/>
        <v>#DIV/0!</v>
      </c>
      <c r="BN18" s="1" t="e">
        <f t="shared" si="33"/>
        <v>#DIV/0!</v>
      </c>
      <c r="BO18" s="1" t="e">
        <f t="shared" si="33"/>
        <v>#DIV/0!</v>
      </c>
      <c r="BP18" s="1" t="e">
        <f t="shared" si="33"/>
        <v>#DIV/0!</v>
      </c>
      <c r="BQ18" s="1" t="e">
        <f t="shared" si="33"/>
        <v>#DIV/0!</v>
      </c>
      <c r="BR18" s="1" t="e">
        <f t="shared" si="33"/>
        <v>#DIV/0!</v>
      </c>
      <c r="BS18" s="1" t="e">
        <f t="shared" si="33"/>
        <v>#DIV/0!</v>
      </c>
      <c r="BT18" s="1" t="e">
        <f t="shared" si="33"/>
        <v>#DIV/0!</v>
      </c>
      <c r="BU18" s="1" t="e">
        <f t="shared" si="33"/>
        <v>#DIV/0!</v>
      </c>
      <c r="BV18" s="1" t="e">
        <f t="shared" si="35"/>
        <v>#DIV/0!</v>
      </c>
      <c r="BW18" s="1" t="e">
        <f t="shared" si="35"/>
        <v>#DIV/0!</v>
      </c>
      <c r="CJ18" s="1" t="e">
        <f t="shared" ref="CJ18:CZ18" si="37">CJ6/CI6-1</f>
        <v>#DIV/0!</v>
      </c>
      <c r="CK18" s="1" t="e">
        <f t="shared" si="37"/>
        <v>#DIV/0!</v>
      </c>
      <c r="CL18" s="1" t="e">
        <f t="shared" si="37"/>
        <v>#DIV/0!</v>
      </c>
      <c r="CM18" s="1" t="e">
        <f t="shared" si="37"/>
        <v>#DIV/0!</v>
      </c>
      <c r="CN18" s="1" t="e">
        <f t="shared" si="37"/>
        <v>#DIV/0!</v>
      </c>
      <c r="CO18" s="1" t="e">
        <f t="shared" si="37"/>
        <v>#DIV/0!</v>
      </c>
      <c r="CP18" s="1" t="e">
        <f t="shared" si="37"/>
        <v>#DIV/0!</v>
      </c>
      <c r="CQ18" s="1" t="e">
        <f t="shared" si="37"/>
        <v>#DIV/0!</v>
      </c>
      <c r="CR18" s="1" t="e">
        <f t="shared" si="37"/>
        <v>#DIV/0!</v>
      </c>
      <c r="CS18" s="1" t="e">
        <f t="shared" si="37"/>
        <v>#DIV/0!</v>
      </c>
      <c r="CT18" s="1" t="e">
        <f t="shared" si="37"/>
        <v>#DIV/0!</v>
      </c>
      <c r="CU18" s="1" t="e">
        <f t="shared" si="37"/>
        <v>#DIV/0!</v>
      </c>
      <c r="CV18" s="1" t="e">
        <f t="shared" si="37"/>
        <v>#DIV/0!</v>
      </c>
      <c r="CW18" s="1" t="e">
        <f t="shared" si="37"/>
        <v>#DIV/0!</v>
      </c>
      <c r="CX18" s="1" t="e">
        <f t="shared" si="37"/>
        <v>#DIV/0!</v>
      </c>
      <c r="CY18" s="1" t="e">
        <f t="shared" si="37"/>
        <v>#DIV/0!</v>
      </c>
      <c r="CZ18" s="1" t="e">
        <f t="shared" si="37"/>
        <v>#DIV/0!</v>
      </c>
      <c r="DA18" s="46">
        <v>1</v>
      </c>
      <c r="DB18" s="46">
        <v>1</v>
      </c>
      <c r="DC18" s="46">
        <v>1</v>
      </c>
      <c r="DD18" s="46">
        <v>1</v>
      </c>
      <c r="DE18" s="46">
        <v>1</v>
      </c>
      <c r="DF18" s="46">
        <v>1</v>
      </c>
      <c r="DG18" s="46">
        <v>1</v>
      </c>
      <c r="DH18" s="46">
        <v>1</v>
      </c>
      <c r="DI18" s="46">
        <v>1</v>
      </c>
      <c r="DJ18" s="46">
        <v>1</v>
      </c>
    </row>
    <row r="19" spans="2:166">
      <c r="B19" s="38" t="s">
        <v>79</v>
      </c>
      <c r="BC19" s="1" t="e">
        <f t="shared" si="33"/>
        <v>#DIV/0!</v>
      </c>
      <c r="BD19" s="1" t="e">
        <f t="shared" si="33"/>
        <v>#DIV/0!</v>
      </c>
      <c r="BE19" s="1" t="e">
        <f t="shared" si="33"/>
        <v>#DIV/0!</v>
      </c>
      <c r="BF19" s="1" t="e">
        <f t="shared" si="33"/>
        <v>#DIV/0!</v>
      </c>
      <c r="BG19" s="1" t="e">
        <f t="shared" si="33"/>
        <v>#DIV/0!</v>
      </c>
      <c r="BH19" s="1" t="e">
        <f t="shared" si="33"/>
        <v>#DIV/0!</v>
      </c>
      <c r="BI19" s="1" t="e">
        <f t="shared" si="33"/>
        <v>#DIV/0!</v>
      </c>
      <c r="BJ19" s="1" t="e">
        <f t="shared" si="33"/>
        <v>#DIV/0!</v>
      </c>
      <c r="BK19" s="1" t="e">
        <f t="shared" si="33"/>
        <v>#DIV/0!</v>
      </c>
      <c r="BL19" s="1" t="e">
        <f t="shared" si="33"/>
        <v>#DIV/0!</v>
      </c>
      <c r="BM19" s="1" t="e">
        <f t="shared" si="33"/>
        <v>#DIV/0!</v>
      </c>
      <c r="BN19" s="1" t="e">
        <f t="shared" si="33"/>
        <v>#DIV/0!</v>
      </c>
      <c r="BO19" s="1" t="e">
        <f t="shared" si="33"/>
        <v>#DIV/0!</v>
      </c>
      <c r="BP19" s="1" t="e">
        <f t="shared" si="33"/>
        <v>#DIV/0!</v>
      </c>
      <c r="BQ19" s="1" t="e">
        <f t="shared" si="33"/>
        <v>#DIV/0!</v>
      </c>
      <c r="BR19" s="1" t="e">
        <f t="shared" si="33"/>
        <v>#DIV/0!</v>
      </c>
      <c r="BS19" s="1" t="e">
        <f t="shared" si="33"/>
        <v>#DIV/0!</v>
      </c>
      <c r="BT19" s="1" t="e">
        <f t="shared" si="33"/>
        <v>#DIV/0!</v>
      </c>
      <c r="BU19" s="1" t="e">
        <f t="shared" si="33"/>
        <v>#DIV/0!</v>
      </c>
      <c r="BV19" s="1" t="e">
        <f t="shared" si="35"/>
        <v>#DIV/0!</v>
      </c>
      <c r="BW19" s="1" t="e">
        <f t="shared" si="35"/>
        <v>#DIV/0!</v>
      </c>
      <c r="CJ19" s="1" t="e">
        <f t="shared" ref="CJ19:CZ19" si="38">CJ7/CI7-1</f>
        <v>#DIV/0!</v>
      </c>
      <c r="CK19" s="1" t="e">
        <f t="shared" si="38"/>
        <v>#DIV/0!</v>
      </c>
      <c r="CL19" s="1" t="e">
        <f t="shared" si="38"/>
        <v>#DIV/0!</v>
      </c>
      <c r="CM19" s="1" t="e">
        <f t="shared" si="38"/>
        <v>#DIV/0!</v>
      </c>
      <c r="CN19" s="1" t="e">
        <f t="shared" si="38"/>
        <v>#DIV/0!</v>
      </c>
      <c r="CO19" s="1" t="e">
        <f t="shared" si="38"/>
        <v>#DIV/0!</v>
      </c>
      <c r="CP19" s="1" t="e">
        <f t="shared" si="38"/>
        <v>#DIV/0!</v>
      </c>
      <c r="CQ19" s="1" t="e">
        <f t="shared" si="38"/>
        <v>#DIV/0!</v>
      </c>
      <c r="CR19" s="1" t="e">
        <f t="shared" si="38"/>
        <v>#DIV/0!</v>
      </c>
      <c r="CS19" s="1" t="e">
        <f t="shared" si="38"/>
        <v>#DIV/0!</v>
      </c>
      <c r="CT19" s="1" t="e">
        <f t="shared" si="38"/>
        <v>#DIV/0!</v>
      </c>
      <c r="CU19" s="1" t="e">
        <f t="shared" si="38"/>
        <v>#DIV/0!</v>
      </c>
      <c r="CV19" s="1" t="e">
        <f t="shared" si="38"/>
        <v>#DIV/0!</v>
      </c>
      <c r="CW19" s="1" t="e">
        <f t="shared" si="38"/>
        <v>#DIV/0!</v>
      </c>
      <c r="CX19" s="1" t="e">
        <f t="shared" si="38"/>
        <v>#DIV/0!</v>
      </c>
      <c r="CY19" s="1" t="e">
        <f t="shared" si="38"/>
        <v>#DIV/0!</v>
      </c>
      <c r="CZ19" s="1" t="e">
        <f t="shared" si="38"/>
        <v>#DIV/0!</v>
      </c>
      <c r="DA19" s="46">
        <v>1</v>
      </c>
      <c r="DB19" s="46">
        <v>1</v>
      </c>
      <c r="DC19" s="46">
        <v>1</v>
      </c>
      <c r="DD19" s="46">
        <v>1</v>
      </c>
      <c r="DE19" s="46">
        <v>1</v>
      </c>
      <c r="DF19" s="46">
        <v>1</v>
      </c>
      <c r="DG19" s="46">
        <v>1</v>
      </c>
      <c r="DH19" s="46">
        <v>1</v>
      </c>
      <c r="DI19" s="46">
        <v>1</v>
      </c>
      <c r="DJ19" s="46">
        <v>1</v>
      </c>
    </row>
    <row r="20" spans="2:166">
      <c r="B20" s="38" t="s">
        <v>80</v>
      </c>
      <c r="BC20" s="1" t="e">
        <f t="shared" si="33"/>
        <v>#DIV/0!</v>
      </c>
      <c r="BD20" s="1" t="e">
        <f t="shared" si="33"/>
        <v>#DIV/0!</v>
      </c>
      <c r="BE20" s="1" t="e">
        <f t="shared" si="33"/>
        <v>#DIV/0!</v>
      </c>
      <c r="BF20" s="1" t="e">
        <f t="shared" si="33"/>
        <v>#DIV/0!</v>
      </c>
      <c r="BG20" s="1" t="e">
        <f t="shared" si="33"/>
        <v>#DIV/0!</v>
      </c>
      <c r="BH20" s="1" t="e">
        <f t="shared" si="33"/>
        <v>#DIV/0!</v>
      </c>
      <c r="BI20" s="1" t="e">
        <f t="shared" si="33"/>
        <v>#DIV/0!</v>
      </c>
      <c r="BJ20" s="1" t="e">
        <f t="shared" si="33"/>
        <v>#DIV/0!</v>
      </c>
      <c r="BK20" s="1" t="e">
        <f t="shared" si="33"/>
        <v>#DIV/0!</v>
      </c>
      <c r="BL20" s="1" t="e">
        <f t="shared" si="33"/>
        <v>#DIV/0!</v>
      </c>
      <c r="BM20" s="1" t="e">
        <f t="shared" si="33"/>
        <v>#DIV/0!</v>
      </c>
      <c r="BN20" s="1" t="e">
        <f t="shared" si="33"/>
        <v>#DIV/0!</v>
      </c>
      <c r="BO20" s="1" t="e">
        <f t="shared" si="33"/>
        <v>#DIV/0!</v>
      </c>
      <c r="BP20" s="1" t="e">
        <f t="shared" si="33"/>
        <v>#DIV/0!</v>
      </c>
      <c r="BQ20" s="1" t="e">
        <f t="shared" si="33"/>
        <v>#DIV/0!</v>
      </c>
      <c r="BR20" s="1" t="e">
        <f t="shared" si="33"/>
        <v>#DIV/0!</v>
      </c>
      <c r="BS20" s="1" t="e">
        <f t="shared" si="33"/>
        <v>#DIV/0!</v>
      </c>
      <c r="BT20" s="1" t="e">
        <f t="shared" si="33"/>
        <v>#DIV/0!</v>
      </c>
      <c r="BU20" s="1" t="e">
        <f t="shared" si="33"/>
        <v>#DIV/0!</v>
      </c>
      <c r="BV20" s="1" t="e">
        <f t="shared" si="35"/>
        <v>#DIV/0!</v>
      </c>
      <c r="BW20" s="1" t="e">
        <f t="shared" si="35"/>
        <v>#DIV/0!</v>
      </c>
      <c r="CJ20" s="1" t="e">
        <f t="shared" ref="CJ20:CZ20" si="39">CJ8/CI8-1</f>
        <v>#DIV/0!</v>
      </c>
      <c r="CK20" s="1" t="e">
        <f t="shared" si="39"/>
        <v>#DIV/0!</v>
      </c>
      <c r="CL20" s="1" t="e">
        <f t="shared" si="39"/>
        <v>#DIV/0!</v>
      </c>
      <c r="CM20" s="1" t="e">
        <f t="shared" si="39"/>
        <v>#DIV/0!</v>
      </c>
      <c r="CN20" s="1" t="e">
        <f t="shared" si="39"/>
        <v>#DIV/0!</v>
      </c>
      <c r="CO20" s="1" t="e">
        <f t="shared" si="39"/>
        <v>#DIV/0!</v>
      </c>
      <c r="CP20" s="1" t="e">
        <f t="shared" si="39"/>
        <v>#DIV/0!</v>
      </c>
      <c r="CQ20" s="1" t="e">
        <f t="shared" si="39"/>
        <v>#DIV/0!</v>
      </c>
      <c r="CR20" s="1" t="e">
        <f t="shared" si="39"/>
        <v>#DIV/0!</v>
      </c>
      <c r="CS20" s="1" t="e">
        <f t="shared" si="39"/>
        <v>#DIV/0!</v>
      </c>
      <c r="CT20" s="1" t="e">
        <f t="shared" si="39"/>
        <v>#DIV/0!</v>
      </c>
      <c r="CU20" s="1" t="e">
        <f t="shared" si="39"/>
        <v>#DIV/0!</v>
      </c>
      <c r="CV20" s="1" t="e">
        <f t="shared" si="39"/>
        <v>#DIV/0!</v>
      </c>
      <c r="CW20" s="1" t="e">
        <f t="shared" si="39"/>
        <v>#DIV/0!</v>
      </c>
      <c r="CX20" s="1" t="e">
        <f t="shared" si="39"/>
        <v>#DIV/0!</v>
      </c>
      <c r="CY20" s="1" t="e">
        <f t="shared" si="39"/>
        <v>#DIV/0!</v>
      </c>
      <c r="CZ20" s="1" t="e">
        <f t="shared" si="39"/>
        <v>#DIV/0!</v>
      </c>
      <c r="DA20" s="46">
        <v>1</v>
      </c>
      <c r="DB20" s="46">
        <v>1</v>
      </c>
      <c r="DC20" s="46">
        <v>1</v>
      </c>
      <c r="DD20" s="46">
        <v>1</v>
      </c>
      <c r="DE20" s="46">
        <v>1</v>
      </c>
      <c r="DF20" s="46">
        <v>1</v>
      </c>
      <c r="DG20" s="46">
        <v>1</v>
      </c>
      <c r="DH20" s="46">
        <v>1</v>
      </c>
      <c r="DI20" s="46">
        <v>1</v>
      </c>
      <c r="DJ20" s="46">
        <v>1</v>
      </c>
    </row>
    <row r="21" spans="2:166">
      <c r="B21" s="38" t="s">
        <v>81</v>
      </c>
      <c r="BC21" s="1" t="e">
        <f t="shared" si="33"/>
        <v>#DIV/0!</v>
      </c>
      <c r="BD21" s="1" t="e">
        <f t="shared" si="33"/>
        <v>#DIV/0!</v>
      </c>
      <c r="BE21" s="1" t="e">
        <f t="shared" si="33"/>
        <v>#DIV/0!</v>
      </c>
      <c r="BF21" s="1" t="e">
        <f t="shared" si="33"/>
        <v>#DIV/0!</v>
      </c>
      <c r="BG21" s="1" t="e">
        <f t="shared" si="33"/>
        <v>#DIV/0!</v>
      </c>
      <c r="BH21" s="1" t="e">
        <f t="shared" si="33"/>
        <v>#DIV/0!</v>
      </c>
      <c r="BI21" s="1" t="e">
        <f t="shared" si="33"/>
        <v>#DIV/0!</v>
      </c>
      <c r="BJ21" s="1" t="e">
        <f t="shared" si="33"/>
        <v>#DIV/0!</v>
      </c>
      <c r="BK21" s="1" t="e">
        <f t="shared" si="33"/>
        <v>#DIV/0!</v>
      </c>
      <c r="BL21" s="1" t="e">
        <f t="shared" si="33"/>
        <v>#DIV/0!</v>
      </c>
      <c r="BM21" s="1" t="e">
        <f t="shared" si="33"/>
        <v>#DIV/0!</v>
      </c>
      <c r="BN21" s="1" t="e">
        <f t="shared" si="33"/>
        <v>#DIV/0!</v>
      </c>
      <c r="BO21" s="1" t="e">
        <f t="shared" si="33"/>
        <v>#DIV/0!</v>
      </c>
      <c r="BP21" s="1" t="e">
        <f t="shared" si="33"/>
        <v>#DIV/0!</v>
      </c>
      <c r="BQ21" s="1" t="e">
        <f t="shared" si="33"/>
        <v>#DIV/0!</v>
      </c>
      <c r="BR21" s="1" t="e">
        <f t="shared" si="33"/>
        <v>#DIV/0!</v>
      </c>
      <c r="BS21" s="1" t="e">
        <f t="shared" si="33"/>
        <v>#DIV/0!</v>
      </c>
      <c r="BT21" s="1" t="e">
        <f t="shared" si="33"/>
        <v>#DIV/0!</v>
      </c>
      <c r="BU21" s="1" t="e">
        <f t="shared" si="33"/>
        <v>#DIV/0!</v>
      </c>
      <c r="BV21" s="1" t="e">
        <f t="shared" si="35"/>
        <v>#DIV/0!</v>
      </c>
      <c r="BW21" s="1" t="e">
        <f t="shared" si="35"/>
        <v>#DIV/0!</v>
      </c>
      <c r="CJ21" s="1" t="e">
        <f t="shared" ref="CJ21:CZ21" si="40">CJ9/CI9-1</f>
        <v>#DIV/0!</v>
      </c>
      <c r="CK21" s="1" t="e">
        <f t="shared" si="40"/>
        <v>#DIV/0!</v>
      </c>
      <c r="CL21" s="1" t="e">
        <f t="shared" si="40"/>
        <v>#DIV/0!</v>
      </c>
      <c r="CM21" s="1" t="e">
        <f t="shared" si="40"/>
        <v>#DIV/0!</v>
      </c>
      <c r="CN21" s="1" t="e">
        <f t="shared" si="40"/>
        <v>#DIV/0!</v>
      </c>
      <c r="CO21" s="1" t="e">
        <f t="shared" si="40"/>
        <v>#DIV/0!</v>
      </c>
      <c r="CP21" s="1" t="e">
        <f t="shared" si="40"/>
        <v>#DIV/0!</v>
      </c>
      <c r="CQ21" s="1" t="e">
        <f t="shared" si="40"/>
        <v>#DIV/0!</v>
      </c>
      <c r="CR21" s="1" t="e">
        <f t="shared" si="40"/>
        <v>#DIV/0!</v>
      </c>
      <c r="CS21" s="1" t="e">
        <f t="shared" si="40"/>
        <v>#DIV/0!</v>
      </c>
      <c r="CT21" s="1" t="e">
        <f t="shared" si="40"/>
        <v>#DIV/0!</v>
      </c>
      <c r="CU21" s="1" t="e">
        <f t="shared" si="40"/>
        <v>#DIV/0!</v>
      </c>
      <c r="CV21" s="1" t="e">
        <f t="shared" si="40"/>
        <v>#DIV/0!</v>
      </c>
      <c r="CW21" s="1" t="e">
        <f t="shared" si="40"/>
        <v>#DIV/0!</v>
      </c>
      <c r="CX21" s="1" t="e">
        <f t="shared" si="40"/>
        <v>#DIV/0!</v>
      </c>
      <c r="CY21" s="1" t="e">
        <f t="shared" si="40"/>
        <v>#DIV/0!</v>
      </c>
      <c r="CZ21" s="1" t="e">
        <f t="shared" si="40"/>
        <v>#DIV/0!</v>
      </c>
      <c r="DA21" s="46">
        <v>1</v>
      </c>
      <c r="DB21" s="46">
        <v>1</v>
      </c>
      <c r="DC21" s="46">
        <v>1</v>
      </c>
      <c r="DD21" s="46">
        <v>1</v>
      </c>
      <c r="DE21" s="46">
        <v>1</v>
      </c>
      <c r="DF21" s="46">
        <v>1</v>
      </c>
      <c r="DG21" s="46">
        <v>1</v>
      </c>
      <c r="DH21" s="46">
        <v>1</v>
      </c>
      <c r="DI21" s="46">
        <v>1</v>
      </c>
      <c r="DJ21" s="46">
        <v>1</v>
      </c>
    </row>
    <row r="22" spans="2:166">
      <c r="B22" s="38" t="s">
        <v>84</v>
      </c>
      <c r="BC22" s="1" t="e">
        <f t="shared" si="33"/>
        <v>#DIV/0!</v>
      </c>
      <c r="BD22" s="1" t="e">
        <f t="shared" si="33"/>
        <v>#DIV/0!</v>
      </c>
      <c r="BE22" s="1" t="e">
        <f t="shared" si="33"/>
        <v>#DIV/0!</v>
      </c>
      <c r="BF22" s="1" t="e">
        <f t="shared" si="33"/>
        <v>#DIV/0!</v>
      </c>
      <c r="BG22" s="1" t="e">
        <f t="shared" si="33"/>
        <v>#DIV/0!</v>
      </c>
      <c r="BH22" s="1" t="e">
        <f t="shared" si="33"/>
        <v>#DIV/0!</v>
      </c>
      <c r="BI22" s="1" t="e">
        <f t="shared" si="33"/>
        <v>#DIV/0!</v>
      </c>
      <c r="BJ22" s="1" t="e">
        <f t="shared" si="33"/>
        <v>#DIV/0!</v>
      </c>
      <c r="BK22" s="1" t="e">
        <f t="shared" si="33"/>
        <v>#DIV/0!</v>
      </c>
      <c r="BL22" s="1" t="e">
        <f t="shared" si="33"/>
        <v>#DIV/0!</v>
      </c>
      <c r="BM22" s="1" t="e">
        <f t="shared" si="33"/>
        <v>#DIV/0!</v>
      </c>
      <c r="BN22" s="1" t="e">
        <f t="shared" si="33"/>
        <v>#DIV/0!</v>
      </c>
      <c r="BO22" s="1" t="e">
        <f t="shared" si="33"/>
        <v>#DIV/0!</v>
      </c>
      <c r="BP22" s="1" t="e">
        <f t="shared" si="33"/>
        <v>#DIV/0!</v>
      </c>
      <c r="BQ22" s="1" t="e">
        <f t="shared" si="33"/>
        <v>#DIV/0!</v>
      </c>
      <c r="BR22" s="1" t="e">
        <f t="shared" si="33"/>
        <v>#DIV/0!</v>
      </c>
      <c r="BS22" s="1" t="e">
        <f t="shared" si="33"/>
        <v>#DIV/0!</v>
      </c>
      <c r="BT22" s="1" t="e">
        <f t="shared" si="33"/>
        <v>#DIV/0!</v>
      </c>
      <c r="BU22" s="1" t="e">
        <f t="shared" si="33"/>
        <v>#DIV/0!</v>
      </c>
      <c r="BV22" s="1" t="e">
        <f t="shared" si="35"/>
        <v>#DIV/0!</v>
      </c>
      <c r="BW22" s="1" t="e">
        <f t="shared" si="35"/>
        <v>#DIV/0!</v>
      </c>
      <c r="CJ22" s="1" t="e">
        <f t="shared" ref="CJ22:CZ22" si="41">CJ10/CI10-1</f>
        <v>#DIV/0!</v>
      </c>
      <c r="CK22" s="1" t="e">
        <f t="shared" si="41"/>
        <v>#DIV/0!</v>
      </c>
      <c r="CL22" s="1" t="e">
        <f t="shared" si="41"/>
        <v>#DIV/0!</v>
      </c>
      <c r="CM22" s="1" t="e">
        <f t="shared" si="41"/>
        <v>#DIV/0!</v>
      </c>
      <c r="CN22" s="1" t="e">
        <f t="shared" si="41"/>
        <v>#DIV/0!</v>
      </c>
      <c r="CO22" s="1" t="e">
        <f t="shared" si="41"/>
        <v>#DIV/0!</v>
      </c>
      <c r="CP22" s="1" t="e">
        <f t="shared" si="41"/>
        <v>#DIV/0!</v>
      </c>
      <c r="CQ22" s="1" t="e">
        <f t="shared" si="41"/>
        <v>#DIV/0!</v>
      </c>
      <c r="CR22" s="1" t="e">
        <f t="shared" si="41"/>
        <v>#DIV/0!</v>
      </c>
      <c r="CS22" s="1" t="e">
        <f t="shared" si="41"/>
        <v>#DIV/0!</v>
      </c>
      <c r="CT22" s="1" t="e">
        <f t="shared" si="41"/>
        <v>#DIV/0!</v>
      </c>
      <c r="CU22" s="1" t="e">
        <f t="shared" si="41"/>
        <v>#DIV/0!</v>
      </c>
      <c r="CV22" s="1" t="e">
        <f t="shared" si="41"/>
        <v>#DIV/0!</v>
      </c>
      <c r="CW22" s="1" t="e">
        <f t="shared" si="41"/>
        <v>#DIV/0!</v>
      </c>
      <c r="CX22" s="1" t="e">
        <f t="shared" si="41"/>
        <v>#DIV/0!</v>
      </c>
      <c r="CY22" s="1" t="e">
        <f t="shared" si="41"/>
        <v>#DIV/0!</v>
      </c>
      <c r="CZ22" s="1" t="e">
        <f t="shared" si="41"/>
        <v>#DIV/0!</v>
      </c>
      <c r="DA22" s="46">
        <v>1</v>
      </c>
      <c r="DB22" s="46">
        <v>1</v>
      </c>
      <c r="DC22" s="46">
        <v>1</v>
      </c>
      <c r="DD22" s="46">
        <v>1</v>
      </c>
      <c r="DE22" s="46">
        <v>1</v>
      </c>
      <c r="DF22" s="46">
        <v>1</v>
      </c>
      <c r="DG22" s="46">
        <v>1</v>
      </c>
      <c r="DH22" s="46">
        <v>1</v>
      </c>
      <c r="DI22" s="46">
        <v>1</v>
      </c>
      <c r="DJ22" s="46">
        <v>1</v>
      </c>
    </row>
    <row r="23" spans="2:166">
      <c r="B23" s="38" t="s">
        <v>83</v>
      </c>
      <c r="BC23" s="1" t="e">
        <f t="shared" si="33"/>
        <v>#DIV/0!</v>
      </c>
      <c r="BD23" s="1" t="e">
        <f t="shared" si="33"/>
        <v>#DIV/0!</v>
      </c>
      <c r="BE23" s="1" t="e">
        <f t="shared" si="33"/>
        <v>#DIV/0!</v>
      </c>
      <c r="BF23" s="1" t="e">
        <f t="shared" si="33"/>
        <v>#DIV/0!</v>
      </c>
      <c r="BG23" s="1" t="e">
        <f t="shared" si="33"/>
        <v>#DIV/0!</v>
      </c>
      <c r="BH23" s="1" t="e">
        <f t="shared" si="33"/>
        <v>#DIV/0!</v>
      </c>
      <c r="BI23" s="1" t="e">
        <f t="shared" si="33"/>
        <v>#DIV/0!</v>
      </c>
      <c r="BJ23" s="1" t="e">
        <f t="shared" si="33"/>
        <v>#DIV/0!</v>
      </c>
      <c r="BK23" s="1" t="e">
        <f t="shared" si="33"/>
        <v>#DIV/0!</v>
      </c>
      <c r="BL23" s="1" t="e">
        <f t="shared" si="33"/>
        <v>#DIV/0!</v>
      </c>
      <c r="BM23" s="1" t="e">
        <f t="shared" si="33"/>
        <v>#DIV/0!</v>
      </c>
      <c r="BN23" s="1" t="e">
        <f t="shared" si="33"/>
        <v>#DIV/0!</v>
      </c>
      <c r="BO23" s="1" t="e">
        <f t="shared" si="33"/>
        <v>#DIV/0!</v>
      </c>
      <c r="BP23" s="1" t="e">
        <f t="shared" si="33"/>
        <v>#DIV/0!</v>
      </c>
      <c r="BQ23" s="1" t="e">
        <f t="shared" si="33"/>
        <v>#DIV/0!</v>
      </c>
      <c r="BR23" s="1" t="e">
        <f t="shared" si="33"/>
        <v>#DIV/0!</v>
      </c>
      <c r="BS23" s="1" t="e">
        <f t="shared" si="33"/>
        <v>#DIV/0!</v>
      </c>
      <c r="BT23" s="1" t="e">
        <f t="shared" si="33"/>
        <v>#DIV/0!</v>
      </c>
      <c r="BU23" s="1" t="e">
        <f t="shared" si="33"/>
        <v>#DIV/0!</v>
      </c>
      <c r="BV23" s="1" t="e">
        <f t="shared" si="35"/>
        <v>#DIV/0!</v>
      </c>
      <c r="BW23" s="1" t="e">
        <f t="shared" si="35"/>
        <v>#DIV/0!</v>
      </c>
      <c r="CJ23" s="1" t="e">
        <f t="shared" ref="CJ23:CZ23" si="42">CJ11/CI11-1</f>
        <v>#DIV/0!</v>
      </c>
      <c r="CK23" s="1" t="e">
        <f t="shared" si="42"/>
        <v>#DIV/0!</v>
      </c>
      <c r="CL23" s="1" t="e">
        <f t="shared" si="42"/>
        <v>#DIV/0!</v>
      </c>
      <c r="CM23" s="1" t="e">
        <f t="shared" si="42"/>
        <v>#DIV/0!</v>
      </c>
      <c r="CN23" s="1" t="e">
        <f t="shared" si="42"/>
        <v>#DIV/0!</v>
      </c>
      <c r="CO23" s="1" t="e">
        <f t="shared" si="42"/>
        <v>#DIV/0!</v>
      </c>
      <c r="CP23" s="1" t="e">
        <f t="shared" si="42"/>
        <v>#DIV/0!</v>
      </c>
      <c r="CQ23" s="1" t="e">
        <f t="shared" si="42"/>
        <v>#DIV/0!</v>
      </c>
      <c r="CR23" s="1" t="e">
        <f t="shared" si="42"/>
        <v>#DIV/0!</v>
      </c>
      <c r="CS23" s="1" t="e">
        <f t="shared" si="42"/>
        <v>#DIV/0!</v>
      </c>
      <c r="CT23" s="1" t="e">
        <f t="shared" si="42"/>
        <v>#DIV/0!</v>
      </c>
      <c r="CU23" s="1" t="e">
        <f t="shared" si="42"/>
        <v>#DIV/0!</v>
      </c>
      <c r="CV23" s="1" t="e">
        <f t="shared" si="42"/>
        <v>#DIV/0!</v>
      </c>
      <c r="CW23" s="1" t="e">
        <f t="shared" si="42"/>
        <v>#DIV/0!</v>
      </c>
      <c r="CX23" s="1" t="e">
        <f t="shared" si="42"/>
        <v>#DIV/0!</v>
      </c>
      <c r="CY23" s="1" t="e">
        <f t="shared" si="42"/>
        <v>#DIV/0!</v>
      </c>
      <c r="CZ23" s="1" t="e">
        <f t="shared" si="42"/>
        <v>#DIV/0!</v>
      </c>
      <c r="DA23" s="46">
        <v>1</v>
      </c>
      <c r="DB23" s="46">
        <v>1</v>
      </c>
      <c r="DC23" s="46">
        <v>1</v>
      </c>
      <c r="DD23" s="46">
        <v>1</v>
      </c>
      <c r="DE23" s="46">
        <v>1</v>
      </c>
      <c r="DF23" s="46">
        <v>1</v>
      </c>
      <c r="DG23" s="46">
        <v>1</v>
      </c>
      <c r="DH23" s="46">
        <v>1</v>
      </c>
      <c r="DI23" s="46">
        <v>1</v>
      </c>
      <c r="DJ23" s="46">
        <v>1</v>
      </c>
    </row>
    <row r="24" spans="2:166">
      <c r="B24" s="38" t="s">
        <v>85</v>
      </c>
      <c r="BC24" s="1" t="e">
        <f t="shared" si="33"/>
        <v>#DIV/0!</v>
      </c>
      <c r="BD24" s="1" t="e">
        <f t="shared" si="33"/>
        <v>#DIV/0!</v>
      </c>
      <c r="BE24" s="1" t="e">
        <f t="shared" si="33"/>
        <v>#DIV/0!</v>
      </c>
      <c r="BF24" s="1" t="e">
        <f t="shared" si="33"/>
        <v>#DIV/0!</v>
      </c>
      <c r="BG24" s="1" t="e">
        <f t="shared" si="33"/>
        <v>#DIV/0!</v>
      </c>
      <c r="BH24" s="1" t="e">
        <f t="shared" si="33"/>
        <v>#DIV/0!</v>
      </c>
      <c r="BI24" s="1" t="e">
        <f t="shared" si="33"/>
        <v>#DIV/0!</v>
      </c>
      <c r="BJ24" s="1" t="e">
        <f t="shared" si="33"/>
        <v>#DIV/0!</v>
      </c>
      <c r="BK24" s="1" t="e">
        <f t="shared" si="33"/>
        <v>#DIV/0!</v>
      </c>
      <c r="BL24" s="1" t="e">
        <f t="shared" si="33"/>
        <v>#DIV/0!</v>
      </c>
      <c r="BM24" s="1" t="e">
        <f t="shared" si="33"/>
        <v>#DIV/0!</v>
      </c>
      <c r="BN24" s="1" t="e">
        <f t="shared" si="33"/>
        <v>#DIV/0!</v>
      </c>
      <c r="BO24" s="1" t="e">
        <f t="shared" si="33"/>
        <v>#DIV/0!</v>
      </c>
      <c r="BP24" s="1" t="e">
        <f t="shared" si="33"/>
        <v>#DIV/0!</v>
      </c>
      <c r="BQ24" s="1" t="e">
        <f t="shared" si="33"/>
        <v>#DIV/0!</v>
      </c>
      <c r="BR24" s="1" t="e">
        <f t="shared" si="33"/>
        <v>#DIV/0!</v>
      </c>
      <c r="BS24" s="1" t="e">
        <f t="shared" si="33"/>
        <v>#DIV/0!</v>
      </c>
      <c r="BT24" s="1" t="e">
        <f t="shared" si="33"/>
        <v>#DIV/0!</v>
      </c>
      <c r="BU24" s="1" t="e">
        <f t="shared" si="33"/>
        <v>#DIV/0!</v>
      </c>
      <c r="BV24" s="1" t="e">
        <f t="shared" si="35"/>
        <v>#DIV/0!</v>
      </c>
      <c r="BW24" s="1" t="e">
        <f t="shared" si="35"/>
        <v>#DIV/0!</v>
      </c>
      <c r="CJ24" s="1" t="e">
        <f t="shared" ref="CJ24:CZ24" si="43">CJ12/CI12-1</f>
        <v>#DIV/0!</v>
      </c>
      <c r="CK24" s="1" t="e">
        <f t="shared" si="43"/>
        <v>#DIV/0!</v>
      </c>
      <c r="CL24" s="1" t="e">
        <f t="shared" si="43"/>
        <v>#DIV/0!</v>
      </c>
      <c r="CM24" s="1" t="e">
        <f t="shared" si="43"/>
        <v>#DIV/0!</v>
      </c>
      <c r="CN24" s="1" t="e">
        <f t="shared" si="43"/>
        <v>#DIV/0!</v>
      </c>
      <c r="CO24" s="1" t="e">
        <f t="shared" si="43"/>
        <v>#DIV/0!</v>
      </c>
      <c r="CP24" s="1" t="e">
        <f t="shared" si="43"/>
        <v>#DIV/0!</v>
      </c>
      <c r="CQ24" s="1" t="e">
        <f t="shared" si="43"/>
        <v>#DIV/0!</v>
      </c>
      <c r="CR24" s="1" t="e">
        <f t="shared" si="43"/>
        <v>#DIV/0!</v>
      </c>
      <c r="CS24" s="1" t="e">
        <f t="shared" si="43"/>
        <v>#DIV/0!</v>
      </c>
      <c r="CT24" s="1" t="e">
        <f t="shared" si="43"/>
        <v>#DIV/0!</v>
      </c>
      <c r="CU24" s="1" t="e">
        <f t="shared" si="43"/>
        <v>#DIV/0!</v>
      </c>
      <c r="CV24" s="1" t="e">
        <f t="shared" si="43"/>
        <v>#DIV/0!</v>
      </c>
      <c r="CW24" s="1" t="e">
        <f t="shared" si="43"/>
        <v>#DIV/0!</v>
      </c>
      <c r="CX24" s="1" t="e">
        <f t="shared" si="43"/>
        <v>#DIV/0!</v>
      </c>
      <c r="CY24" s="1" t="e">
        <f t="shared" si="43"/>
        <v>#DIV/0!</v>
      </c>
      <c r="CZ24" s="1" t="e">
        <f t="shared" si="43"/>
        <v>#DIV/0!</v>
      </c>
      <c r="DA24" s="46">
        <v>1</v>
      </c>
      <c r="DB24" s="46">
        <v>1</v>
      </c>
      <c r="DC24" s="46">
        <v>1</v>
      </c>
      <c r="DD24" s="46">
        <v>1</v>
      </c>
      <c r="DE24" s="46">
        <v>1</v>
      </c>
      <c r="DF24" s="46">
        <v>1</v>
      </c>
      <c r="DG24" s="46">
        <v>1</v>
      </c>
      <c r="DH24" s="46">
        <v>1</v>
      </c>
      <c r="DI24" s="46">
        <v>1</v>
      </c>
      <c r="DJ24" s="46">
        <v>1</v>
      </c>
    </row>
    <row r="25" spans="2:166">
      <c r="B25" s="38" t="s">
        <v>82</v>
      </c>
      <c r="BC25" s="1" t="e">
        <f t="shared" si="33"/>
        <v>#DIV/0!</v>
      </c>
      <c r="BD25" s="1" t="e">
        <f t="shared" si="33"/>
        <v>#DIV/0!</v>
      </c>
      <c r="BE25" s="1" t="e">
        <f t="shared" si="33"/>
        <v>#DIV/0!</v>
      </c>
      <c r="BF25" s="1" t="e">
        <f t="shared" si="33"/>
        <v>#DIV/0!</v>
      </c>
      <c r="BG25" s="1" t="e">
        <f t="shared" si="33"/>
        <v>#DIV/0!</v>
      </c>
      <c r="BH25" s="1" t="e">
        <f t="shared" si="33"/>
        <v>#DIV/0!</v>
      </c>
      <c r="BI25" s="1" t="e">
        <f t="shared" si="33"/>
        <v>#DIV/0!</v>
      </c>
      <c r="BJ25" s="1" t="e">
        <f t="shared" si="33"/>
        <v>#DIV/0!</v>
      </c>
      <c r="BK25" s="1" t="e">
        <f t="shared" si="33"/>
        <v>#DIV/0!</v>
      </c>
      <c r="BL25" s="1" t="e">
        <f t="shared" si="33"/>
        <v>#DIV/0!</v>
      </c>
      <c r="BM25" s="1" t="e">
        <f t="shared" si="33"/>
        <v>#DIV/0!</v>
      </c>
      <c r="BN25" s="1" t="e">
        <f t="shared" si="33"/>
        <v>#DIV/0!</v>
      </c>
      <c r="BO25" s="1" t="e">
        <f t="shared" si="33"/>
        <v>#DIV/0!</v>
      </c>
      <c r="BP25" s="1" t="e">
        <f t="shared" si="33"/>
        <v>#DIV/0!</v>
      </c>
      <c r="BQ25" s="1" t="e">
        <f t="shared" si="33"/>
        <v>#DIV/0!</v>
      </c>
      <c r="BR25" s="1" t="e">
        <f t="shared" si="33"/>
        <v>#DIV/0!</v>
      </c>
      <c r="BS25" s="1" t="e">
        <f t="shared" si="33"/>
        <v>#DIV/0!</v>
      </c>
      <c r="BT25" s="1" t="e">
        <f t="shared" si="33"/>
        <v>#DIV/0!</v>
      </c>
      <c r="BU25" s="1" t="e">
        <f t="shared" si="33"/>
        <v>#DIV/0!</v>
      </c>
      <c r="BV25" s="1" t="e">
        <f t="shared" si="35"/>
        <v>#DIV/0!</v>
      </c>
      <c r="BW25" s="1" t="e">
        <f t="shared" si="35"/>
        <v>#DIV/0!</v>
      </c>
      <c r="CJ25" s="1" t="e">
        <f t="shared" ref="CJ25:CZ25" si="44">CJ13/CI13-1</f>
        <v>#DIV/0!</v>
      </c>
      <c r="CK25" s="1" t="e">
        <f t="shared" si="44"/>
        <v>#DIV/0!</v>
      </c>
      <c r="CL25" s="1" t="e">
        <f t="shared" si="44"/>
        <v>#DIV/0!</v>
      </c>
      <c r="CM25" s="1" t="e">
        <f t="shared" si="44"/>
        <v>#DIV/0!</v>
      </c>
      <c r="CN25" s="1" t="e">
        <f t="shared" si="44"/>
        <v>#DIV/0!</v>
      </c>
      <c r="CO25" s="1" t="e">
        <f t="shared" si="44"/>
        <v>#DIV/0!</v>
      </c>
      <c r="CP25" s="1" t="e">
        <f t="shared" si="44"/>
        <v>#DIV/0!</v>
      </c>
      <c r="CQ25" s="1" t="e">
        <f t="shared" si="44"/>
        <v>#DIV/0!</v>
      </c>
      <c r="CR25" s="1" t="e">
        <f t="shared" si="44"/>
        <v>#DIV/0!</v>
      </c>
      <c r="CS25" s="1" t="e">
        <f t="shared" si="44"/>
        <v>#DIV/0!</v>
      </c>
      <c r="CT25" s="1" t="e">
        <f t="shared" si="44"/>
        <v>#DIV/0!</v>
      </c>
      <c r="CU25" s="1" t="e">
        <f t="shared" si="44"/>
        <v>#DIV/0!</v>
      </c>
      <c r="CV25" s="1" t="e">
        <f t="shared" si="44"/>
        <v>#DIV/0!</v>
      </c>
      <c r="CW25" s="1" t="e">
        <f t="shared" si="44"/>
        <v>#DIV/0!</v>
      </c>
      <c r="CX25" s="1" t="e">
        <f t="shared" si="44"/>
        <v>#DIV/0!</v>
      </c>
      <c r="CY25" s="1" t="e">
        <f t="shared" si="44"/>
        <v>#DIV/0!</v>
      </c>
      <c r="CZ25" s="1" t="e">
        <f t="shared" si="44"/>
        <v>#DIV/0!</v>
      </c>
      <c r="DA25" s="46">
        <v>1</v>
      </c>
      <c r="DB25" s="46">
        <v>1</v>
      </c>
      <c r="DC25" s="46">
        <v>1</v>
      </c>
      <c r="DD25" s="46">
        <v>1</v>
      </c>
      <c r="DE25" s="46">
        <v>1</v>
      </c>
      <c r="DF25" s="46">
        <v>1</v>
      </c>
      <c r="DG25" s="46">
        <v>1</v>
      </c>
      <c r="DH25" s="46">
        <v>1</v>
      </c>
      <c r="DI25" s="46">
        <v>1</v>
      </c>
      <c r="DJ25" s="46">
        <v>1</v>
      </c>
    </row>
    <row r="26" spans="2:166" s="2" customFormat="1" ht="15">
      <c r="B26" s="34" t="s">
        <v>165</v>
      </c>
      <c r="BC26" s="1" t="e">
        <f t="shared" si="33"/>
        <v>#DIV/0!</v>
      </c>
      <c r="BD26" s="1" t="e">
        <f t="shared" si="33"/>
        <v>#DIV/0!</v>
      </c>
      <c r="BE26" s="1" t="e">
        <f t="shared" si="33"/>
        <v>#DIV/0!</v>
      </c>
      <c r="BF26" s="1" t="e">
        <f t="shared" si="33"/>
        <v>#DIV/0!</v>
      </c>
      <c r="BG26" s="1" t="e">
        <f t="shared" si="33"/>
        <v>#DIV/0!</v>
      </c>
      <c r="BH26" s="1" t="e">
        <f t="shared" si="33"/>
        <v>#DIV/0!</v>
      </c>
      <c r="BI26" s="1" t="e">
        <f t="shared" si="33"/>
        <v>#DIV/0!</v>
      </c>
      <c r="BJ26" s="1" t="e">
        <f t="shared" si="33"/>
        <v>#DIV/0!</v>
      </c>
      <c r="BK26" s="1" t="e">
        <f t="shared" si="33"/>
        <v>#DIV/0!</v>
      </c>
      <c r="BL26" s="1" t="e">
        <f t="shared" si="33"/>
        <v>#DIV/0!</v>
      </c>
      <c r="BM26" s="1" t="e">
        <f t="shared" si="33"/>
        <v>#DIV/0!</v>
      </c>
      <c r="BN26" s="1" t="e">
        <f t="shared" si="33"/>
        <v>#DIV/0!</v>
      </c>
      <c r="BO26" s="1" t="e">
        <f t="shared" si="33"/>
        <v>#DIV/0!</v>
      </c>
      <c r="BP26" s="1" t="e">
        <f t="shared" si="33"/>
        <v>#DIV/0!</v>
      </c>
      <c r="BQ26" s="1" t="e">
        <f t="shared" si="33"/>
        <v>#DIV/0!</v>
      </c>
      <c r="BR26" s="1" t="e">
        <f t="shared" si="33"/>
        <v>#DIV/0!</v>
      </c>
      <c r="BS26" s="1" t="e">
        <f t="shared" si="33"/>
        <v>#DIV/0!</v>
      </c>
      <c r="BT26" s="1" t="e">
        <f t="shared" si="33"/>
        <v>#DIV/0!</v>
      </c>
      <c r="BU26" s="1" t="e">
        <f t="shared" si="33"/>
        <v>#DIV/0!</v>
      </c>
      <c r="BV26" s="1" t="e">
        <f t="shared" si="35"/>
        <v>#DIV/0!</v>
      </c>
      <c r="BW26" s="1" t="e">
        <f t="shared" si="35"/>
        <v>#DIV/0!</v>
      </c>
      <c r="BX26" s="35"/>
      <c r="BY26" s="35"/>
      <c r="BZ26" s="35"/>
      <c r="CJ26" s="2" t="e">
        <f t="shared" ref="CJ26:CZ26" si="45">CJ14/CI14-1</f>
        <v>#DIV/0!</v>
      </c>
      <c r="CK26" s="2" t="e">
        <f t="shared" si="45"/>
        <v>#DIV/0!</v>
      </c>
      <c r="CL26" s="2" t="e">
        <f t="shared" si="45"/>
        <v>#DIV/0!</v>
      </c>
      <c r="CM26" s="2" t="e">
        <f t="shared" si="45"/>
        <v>#DIV/0!</v>
      </c>
      <c r="CN26" s="2" t="e">
        <f t="shared" si="45"/>
        <v>#DIV/0!</v>
      </c>
      <c r="CO26" s="2" t="e">
        <f t="shared" si="45"/>
        <v>#DIV/0!</v>
      </c>
      <c r="CP26" s="2" t="e">
        <f t="shared" si="45"/>
        <v>#DIV/0!</v>
      </c>
      <c r="CQ26" s="2" t="e">
        <f t="shared" si="45"/>
        <v>#DIV/0!</v>
      </c>
      <c r="CR26" s="2" t="e">
        <f t="shared" si="45"/>
        <v>#DIV/0!</v>
      </c>
      <c r="CS26" s="2" t="e">
        <f t="shared" si="45"/>
        <v>#DIV/0!</v>
      </c>
      <c r="CT26" s="2" t="e">
        <f t="shared" si="45"/>
        <v>#DIV/0!</v>
      </c>
      <c r="CU26" s="2" t="e">
        <f t="shared" si="45"/>
        <v>#DIV/0!</v>
      </c>
      <c r="CV26" s="2" t="e">
        <f t="shared" si="45"/>
        <v>#DIV/0!</v>
      </c>
      <c r="CW26" s="2" t="e">
        <f t="shared" si="45"/>
        <v>#DIV/0!</v>
      </c>
      <c r="CX26" s="2" t="e">
        <f t="shared" si="45"/>
        <v>#DIV/0!</v>
      </c>
      <c r="CY26" s="2" t="e">
        <f t="shared" si="45"/>
        <v>#DIV/0!</v>
      </c>
      <c r="CZ26" s="2" t="e">
        <f t="shared" si="45"/>
        <v>#DIV/0!</v>
      </c>
      <c r="DA26" s="48" t="e">
        <f t="shared" ref="DA26:DJ26" si="46">DA14/CZ14-1</f>
        <v>#DIV/0!</v>
      </c>
      <c r="DB26" s="48" t="e">
        <f t="shared" si="46"/>
        <v>#DIV/0!</v>
      </c>
      <c r="DC26" s="48" t="e">
        <f t="shared" si="46"/>
        <v>#DIV/0!</v>
      </c>
      <c r="DD26" s="48" t="e">
        <f t="shared" si="46"/>
        <v>#DIV/0!</v>
      </c>
      <c r="DE26" s="48" t="e">
        <f t="shared" si="46"/>
        <v>#DIV/0!</v>
      </c>
      <c r="DF26" s="48" t="e">
        <f t="shared" si="46"/>
        <v>#DIV/0!</v>
      </c>
      <c r="DG26" s="48" t="e">
        <f t="shared" si="46"/>
        <v>#DIV/0!</v>
      </c>
      <c r="DH26" s="48" t="e">
        <f t="shared" si="46"/>
        <v>#DIV/0!</v>
      </c>
      <c r="DI26" s="48" t="e">
        <f t="shared" si="46"/>
        <v>#DIV/0!</v>
      </c>
      <c r="DJ26" s="48" t="e">
        <f t="shared" si="46"/>
        <v>#DIV/0!</v>
      </c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</row>
    <row r="28" spans="2:166">
      <c r="B28" s="38" t="s">
        <v>74</v>
      </c>
      <c r="BV28" s="1" t="e">
        <f>BV4/BV14</f>
        <v>#DIV/0!</v>
      </c>
      <c r="BW28" s="1" t="e">
        <f>BW4/BW14</f>
        <v>#DIV/0!</v>
      </c>
      <c r="CY28" s="1" t="e">
        <f>CY4/CY14</f>
        <v>#DIV/0!</v>
      </c>
      <c r="CZ28" s="1" t="e">
        <f>CZ4/CZ14</f>
        <v>#DIV/0!</v>
      </c>
    </row>
    <row r="29" spans="2:166">
      <c r="B29" s="38" t="s">
        <v>75</v>
      </c>
      <c r="BV29" s="1" t="e">
        <f>BV5/BV14</f>
        <v>#DIV/0!</v>
      </c>
      <c r="BW29" s="1" t="e">
        <f>BW5/BW14</f>
        <v>#DIV/0!</v>
      </c>
    </row>
    <row r="31" spans="2:166">
      <c r="B31" s="1" t="s">
        <v>86</v>
      </c>
      <c r="CI31" s="1">
        <f t="shared" ref="CI31:CI34" si="47">SUM(C31:F31)</f>
        <v>0</v>
      </c>
      <c r="CJ31" s="1">
        <f t="shared" ref="CJ31:CJ34" si="48">SUM(G31:J31)</f>
        <v>0</v>
      </c>
      <c r="CK31" s="1">
        <f t="shared" ref="CK31:CK34" si="49">SUM(K31:N31)</f>
        <v>0</v>
      </c>
      <c r="CL31" s="1">
        <f t="shared" ref="CL31:CL34" si="50">SUM(O31:R31)</f>
        <v>0</v>
      </c>
      <c r="CM31" s="1">
        <f t="shared" ref="CM31:CM34" si="51">SUM(S31:V31)</f>
        <v>0</v>
      </c>
      <c r="CN31" s="1">
        <f t="shared" ref="CN31:CN34" si="52">SUM(W31:Z31)</f>
        <v>0</v>
      </c>
      <c r="CO31" s="1">
        <f t="shared" ref="CO31:CO34" si="53">SUM(AA31:AD31)</f>
        <v>0</v>
      </c>
      <c r="CP31" s="1">
        <f t="shared" ref="CP31:CP34" si="54">SUM(AE31:AH31)</f>
        <v>0</v>
      </c>
      <c r="CQ31" s="1">
        <f t="shared" ref="CQ31:CQ34" si="55">SUM(AI31:AL31)</f>
        <v>0</v>
      </c>
      <c r="CR31" s="1">
        <f t="shared" ref="CR31:CR34" si="56">SUM(AM31:AP31)</f>
        <v>0</v>
      </c>
      <c r="CS31" s="1">
        <f t="shared" ref="CS31:CS34" si="57">SUM(AQ31:AT31)</f>
        <v>0</v>
      </c>
      <c r="CT31" s="1">
        <f t="shared" ref="CT31:CT34" si="58">SUM(AU31:AX31)</f>
        <v>0</v>
      </c>
      <c r="CU31" s="1">
        <f t="shared" ref="CU31:CU34" si="59">SUM(AY31:BB31)</f>
        <v>0</v>
      </c>
      <c r="CV31" s="1">
        <f t="shared" ref="CV31:CV34" si="60">SUM(BC31:BF31)</f>
        <v>0</v>
      </c>
      <c r="CW31" s="1">
        <f t="shared" ref="CW31:CW34" si="61">SUM(BG31:BJ31)</f>
        <v>0</v>
      </c>
      <c r="CX31" s="1">
        <f t="shared" ref="CX31:CX34" si="62">SUM(BK31:BN31)</f>
        <v>0</v>
      </c>
      <c r="CY31" s="1">
        <f t="shared" ref="CY31:CY34" si="63">SUM(BO31:BR31)</f>
        <v>0</v>
      </c>
      <c r="CZ31" s="1">
        <f t="shared" ref="CZ31:CZ34" si="64">SUM(BS31:BV31)</f>
        <v>0</v>
      </c>
    </row>
    <row r="32" spans="2:166">
      <c r="B32" s="1" t="s">
        <v>89</v>
      </c>
      <c r="CI32" s="1">
        <f t="shared" si="47"/>
        <v>0</v>
      </c>
      <c r="CJ32" s="1">
        <f t="shared" si="48"/>
        <v>0</v>
      </c>
      <c r="CK32" s="1">
        <f t="shared" si="49"/>
        <v>0</v>
      </c>
      <c r="CL32" s="1">
        <f t="shared" si="50"/>
        <v>0</v>
      </c>
      <c r="CM32" s="1">
        <f t="shared" si="51"/>
        <v>0</v>
      </c>
      <c r="CN32" s="1">
        <f t="shared" si="52"/>
        <v>0</v>
      </c>
      <c r="CO32" s="1">
        <f t="shared" si="53"/>
        <v>0</v>
      </c>
      <c r="CP32" s="1">
        <f t="shared" si="54"/>
        <v>0</v>
      </c>
      <c r="CQ32" s="1">
        <f t="shared" si="55"/>
        <v>0</v>
      </c>
      <c r="CR32" s="1">
        <f t="shared" si="56"/>
        <v>0</v>
      </c>
      <c r="CS32" s="1">
        <f t="shared" si="57"/>
        <v>0</v>
      </c>
      <c r="CT32" s="1">
        <f t="shared" si="58"/>
        <v>0</v>
      </c>
      <c r="CU32" s="1">
        <f t="shared" si="59"/>
        <v>0</v>
      </c>
      <c r="CV32" s="1">
        <f t="shared" si="60"/>
        <v>0</v>
      </c>
      <c r="CW32" s="1">
        <f t="shared" si="61"/>
        <v>0</v>
      </c>
      <c r="CX32" s="1">
        <f t="shared" si="62"/>
        <v>0</v>
      </c>
      <c r="CY32" s="1">
        <f t="shared" si="63"/>
        <v>0</v>
      </c>
      <c r="CZ32" s="1">
        <f t="shared" si="64"/>
        <v>0</v>
      </c>
    </row>
    <row r="33" spans="2:166">
      <c r="B33" s="1" t="s">
        <v>88</v>
      </c>
      <c r="CI33" s="1">
        <f t="shared" si="47"/>
        <v>0</v>
      </c>
      <c r="CJ33" s="1">
        <f t="shared" si="48"/>
        <v>0</v>
      </c>
      <c r="CK33" s="1">
        <f t="shared" si="49"/>
        <v>0</v>
      </c>
      <c r="CL33" s="1">
        <f t="shared" si="50"/>
        <v>0</v>
      </c>
      <c r="CM33" s="1">
        <f t="shared" si="51"/>
        <v>0</v>
      </c>
      <c r="CN33" s="1">
        <f t="shared" si="52"/>
        <v>0</v>
      </c>
      <c r="CO33" s="1">
        <f t="shared" si="53"/>
        <v>0</v>
      </c>
      <c r="CP33" s="1">
        <f t="shared" si="54"/>
        <v>0</v>
      </c>
      <c r="CQ33" s="1">
        <f t="shared" si="55"/>
        <v>0</v>
      </c>
      <c r="CR33" s="1">
        <f t="shared" si="56"/>
        <v>0</v>
      </c>
      <c r="CS33" s="1">
        <f t="shared" si="57"/>
        <v>0</v>
      </c>
      <c r="CT33" s="1">
        <f t="shared" si="58"/>
        <v>0</v>
      </c>
      <c r="CU33" s="1">
        <f t="shared" si="59"/>
        <v>0</v>
      </c>
      <c r="CV33" s="1">
        <f t="shared" si="60"/>
        <v>0</v>
      </c>
      <c r="CW33" s="1">
        <f t="shared" si="61"/>
        <v>0</v>
      </c>
      <c r="CX33" s="1">
        <f t="shared" si="62"/>
        <v>0</v>
      </c>
      <c r="CY33" s="1">
        <f t="shared" si="63"/>
        <v>0</v>
      </c>
      <c r="CZ33" s="1">
        <f t="shared" si="64"/>
        <v>0</v>
      </c>
    </row>
    <row r="34" spans="2:166">
      <c r="B34" s="1" t="s">
        <v>87</v>
      </c>
      <c r="CI34" s="1">
        <f t="shared" si="47"/>
        <v>0</v>
      </c>
      <c r="CJ34" s="1">
        <f t="shared" si="48"/>
        <v>0</v>
      </c>
      <c r="CK34" s="1">
        <f t="shared" si="49"/>
        <v>0</v>
      </c>
      <c r="CL34" s="1">
        <f t="shared" si="50"/>
        <v>0</v>
      </c>
      <c r="CM34" s="1">
        <f t="shared" si="51"/>
        <v>0</v>
      </c>
      <c r="CN34" s="1">
        <f t="shared" si="52"/>
        <v>0</v>
      </c>
      <c r="CO34" s="1">
        <f t="shared" si="53"/>
        <v>0</v>
      </c>
      <c r="CP34" s="1">
        <f t="shared" si="54"/>
        <v>0</v>
      </c>
      <c r="CQ34" s="1">
        <f t="shared" si="55"/>
        <v>0</v>
      </c>
      <c r="CR34" s="1">
        <f t="shared" si="56"/>
        <v>0</v>
      </c>
      <c r="CS34" s="1">
        <f t="shared" si="57"/>
        <v>0</v>
      </c>
      <c r="CT34" s="1">
        <f t="shared" si="58"/>
        <v>0</v>
      </c>
      <c r="CU34" s="1">
        <f t="shared" si="59"/>
        <v>0</v>
      </c>
      <c r="CV34" s="1">
        <f t="shared" si="60"/>
        <v>0</v>
      </c>
      <c r="CW34" s="1">
        <f t="shared" si="61"/>
        <v>0</v>
      </c>
      <c r="CX34" s="1">
        <f t="shared" si="62"/>
        <v>0</v>
      </c>
      <c r="CY34" s="1">
        <f t="shared" si="63"/>
        <v>0</v>
      </c>
      <c r="CZ34" s="1">
        <f t="shared" si="64"/>
        <v>0</v>
      </c>
    </row>
    <row r="36" spans="2:166">
      <c r="B36" s="1" t="s">
        <v>96</v>
      </c>
      <c r="BC36" s="1" t="e">
        <f t="shared" ref="BC36:BS39" si="65">BC31/AY31-1</f>
        <v>#DIV/0!</v>
      </c>
      <c r="BD36" s="1" t="e">
        <f t="shared" si="65"/>
        <v>#DIV/0!</v>
      </c>
      <c r="BE36" s="1" t="e">
        <f t="shared" si="65"/>
        <v>#DIV/0!</v>
      </c>
      <c r="BF36" s="1" t="e">
        <f t="shared" si="65"/>
        <v>#DIV/0!</v>
      </c>
      <c r="BG36" s="1" t="e">
        <f t="shared" si="65"/>
        <v>#DIV/0!</v>
      </c>
      <c r="BH36" s="1" t="e">
        <f t="shared" si="65"/>
        <v>#DIV/0!</v>
      </c>
      <c r="BI36" s="1" t="e">
        <f t="shared" si="65"/>
        <v>#DIV/0!</v>
      </c>
      <c r="BJ36" s="1" t="e">
        <f t="shared" si="65"/>
        <v>#DIV/0!</v>
      </c>
      <c r="BK36" s="1" t="e">
        <f t="shared" si="65"/>
        <v>#DIV/0!</v>
      </c>
      <c r="BL36" s="1" t="e">
        <f t="shared" si="65"/>
        <v>#DIV/0!</v>
      </c>
      <c r="BM36" s="1" t="e">
        <f t="shared" si="65"/>
        <v>#DIV/0!</v>
      </c>
      <c r="BN36" s="1" t="e">
        <f t="shared" si="65"/>
        <v>#DIV/0!</v>
      </c>
      <c r="BO36" s="1" t="e">
        <f t="shared" si="65"/>
        <v>#DIV/0!</v>
      </c>
      <c r="BP36" s="1" t="e">
        <f t="shared" si="65"/>
        <v>#DIV/0!</v>
      </c>
      <c r="BQ36" s="1" t="e">
        <f t="shared" si="65"/>
        <v>#DIV/0!</v>
      </c>
      <c r="BR36" s="1" t="e">
        <f t="shared" si="65"/>
        <v>#DIV/0!</v>
      </c>
      <c r="BS36" s="1" t="e">
        <f t="shared" si="65"/>
        <v>#DIV/0!</v>
      </c>
      <c r="BT36" s="1" t="e">
        <f>BT31/BP31-1</f>
        <v>#DIV/0!</v>
      </c>
      <c r="BU36" s="1" t="e">
        <f>BU31/BQ31-1</f>
        <v>#DIV/0!</v>
      </c>
      <c r="BV36" s="1" t="e">
        <f>BV31/BR31-1</f>
        <v>#DIV/0!</v>
      </c>
      <c r="BW36" s="1" t="e">
        <f>BW31/BS31-1</f>
        <v>#DIV/0!</v>
      </c>
    </row>
    <row r="37" spans="2:166">
      <c r="B37" s="1" t="s">
        <v>94</v>
      </c>
      <c r="BC37" s="1" t="e">
        <f t="shared" si="65"/>
        <v>#DIV/0!</v>
      </c>
      <c r="BD37" s="1" t="e">
        <f t="shared" si="65"/>
        <v>#DIV/0!</v>
      </c>
      <c r="BE37" s="1" t="e">
        <f t="shared" si="65"/>
        <v>#DIV/0!</v>
      </c>
      <c r="BF37" s="1" t="e">
        <f t="shared" si="65"/>
        <v>#DIV/0!</v>
      </c>
      <c r="BG37" s="1" t="e">
        <f t="shared" si="65"/>
        <v>#DIV/0!</v>
      </c>
      <c r="BH37" s="1" t="e">
        <f t="shared" si="65"/>
        <v>#DIV/0!</v>
      </c>
      <c r="BI37" s="1" t="e">
        <f t="shared" si="65"/>
        <v>#DIV/0!</v>
      </c>
      <c r="BJ37" s="1" t="e">
        <f t="shared" si="65"/>
        <v>#DIV/0!</v>
      </c>
      <c r="BK37" s="1" t="e">
        <f t="shared" si="65"/>
        <v>#DIV/0!</v>
      </c>
      <c r="BL37" s="1" t="e">
        <f t="shared" si="65"/>
        <v>#DIV/0!</v>
      </c>
      <c r="BM37" s="1" t="e">
        <f t="shared" si="65"/>
        <v>#DIV/0!</v>
      </c>
      <c r="BN37" s="1" t="e">
        <f t="shared" si="65"/>
        <v>#DIV/0!</v>
      </c>
      <c r="BO37" s="1" t="e">
        <f t="shared" si="65"/>
        <v>#DIV/0!</v>
      </c>
      <c r="BP37" s="1" t="e">
        <f t="shared" si="65"/>
        <v>#DIV/0!</v>
      </c>
      <c r="BQ37" s="1" t="e">
        <f t="shared" si="65"/>
        <v>#DIV/0!</v>
      </c>
      <c r="BR37" s="1" t="e">
        <f t="shared" si="65"/>
        <v>#DIV/0!</v>
      </c>
      <c r="BS37" s="1" t="e">
        <f t="shared" si="65"/>
        <v>#DIV/0!</v>
      </c>
      <c r="BT37" s="1" t="e">
        <f t="shared" ref="BT37:BW39" si="66">BT32/BP32-1</f>
        <v>#DIV/0!</v>
      </c>
      <c r="BU37" s="1" t="e">
        <f t="shared" si="66"/>
        <v>#DIV/0!</v>
      </c>
      <c r="BV37" s="1" t="e">
        <f t="shared" si="66"/>
        <v>#DIV/0!</v>
      </c>
      <c r="BW37" s="1" t="e">
        <f t="shared" si="66"/>
        <v>#DIV/0!</v>
      </c>
    </row>
    <row r="38" spans="2:166">
      <c r="B38" s="1" t="s">
        <v>95</v>
      </c>
      <c r="BC38" s="1" t="e">
        <f t="shared" si="65"/>
        <v>#DIV/0!</v>
      </c>
      <c r="BD38" s="1" t="e">
        <f t="shared" si="65"/>
        <v>#DIV/0!</v>
      </c>
      <c r="BE38" s="1" t="e">
        <f t="shared" si="65"/>
        <v>#DIV/0!</v>
      </c>
      <c r="BF38" s="1" t="e">
        <f t="shared" si="65"/>
        <v>#DIV/0!</v>
      </c>
      <c r="BG38" s="1" t="e">
        <f t="shared" si="65"/>
        <v>#DIV/0!</v>
      </c>
      <c r="BH38" s="1" t="e">
        <f t="shared" si="65"/>
        <v>#DIV/0!</v>
      </c>
      <c r="BI38" s="1" t="e">
        <f t="shared" si="65"/>
        <v>#DIV/0!</v>
      </c>
      <c r="BJ38" s="1" t="e">
        <f t="shared" si="65"/>
        <v>#DIV/0!</v>
      </c>
      <c r="BK38" s="1" t="e">
        <f t="shared" si="65"/>
        <v>#DIV/0!</v>
      </c>
      <c r="BL38" s="1" t="e">
        <f t="shared" si="65"/>
        <v>#DIV/0!</v>
      </c>
      <c r="BM38" s="1" t="e">
        <f t="shared" si="65"/>
        <v>#DIV/0!</v>
      </c>
      <c r="BN38" s="1" t="e">
        <f t="shared" si="65"/>
        <v>#DIV/0!</v>
      </c>
      <c r="BO38" s="1" t="e">
        <f t="shared" si="65"/>
        <v>#DIV/0!</v>
      </c>
      <c r="BP38" s="1" t="e">
        <f t="shared" si="65"/>
        <v>#DIV/0!</v>
      </c>
      <c r="BQ38" s="1" t="e">
        <f t="shared" si="65"/>
        <v>#DIV/0!</v>
      </c>
      <c r="BR38" s="1" t="e">
        <f t="shared" si="65"/>
        <v>#DIV/0!</v>
      </c>
      <c r="BS38" s="1" t="e">
        <f t="shared" si="65"/>
        <v>#DIV/0!</v>
      </c>
      <c r="BT38" s="1" t="e">
        <f t="shared" si="66"/>
        <v>#DIV/0!</v>
      </c>
      <c r="BU38" s="1" t="e">
        <f t="shared" si="66"/>
        <v>#DIV/0!</v>
      </c>
      <c r="BV38" s="1" t="e">
        <f t="shared" si="66"/>
        <v>#DIV/0!</v>
      </c>
      <c r="BW38" s="1" t="e">
        <f t="shared" si="66"/>
        <v>#DIV/0!</v>
      </c>
    </row>
    <row r="39" spans="2:166">
      <c r="B39" s="1" t="s">
        <v>97</v>
      </c>
      <c r="BC39" s="1" t="e">
        <f t="shared" si="65"/>
        <v>#DIV/0!</v>
      </c>
      <c r="BD39" s="1" t="e">
        <f t="shared" si="65"/>
        <v>#DIV/0!</v>
      </c>
      <c r="BE39" s="1" t="e">
        <f t="shared" si="65"/>
        <v>#DIV/0!</v>
      </c>
      <c r="BF39" s="1" t="e">
        <f t="shared" si="65"/>
        <v>#DIV/0!</v>
      </c>
      <c r="BG39" s="1" t="e">
        <f t="shared" si="65"/>
        <v>#DIV/0!</v>
      </c>
      <c r="BH39" s="1" t="e">
        <f t="shared" si="65"/>
        <v>#DIV/0!</v>
      </c>
      <c r="BI39" s="1" t="e">
        <f t="shared" si="65"/>
        <v>#DIV/0!</v>
      </c>
      <c r="BJ39" s="1" t="e">
        <f t="shared" si="65"/>
        <v>#DIV/0!</v>
      </c>
      <c r="BK39" s="1" t="e">
        <f t="shared" si="65"/>
        <v>#DIV/0!</v>
      </c>
      <c r="BL39" s="1" t="e">
        <f t="shared" si="65"/>
        <v>#DIV/0!</v>
      </c>
      <c r="BM39" s="1" t="e">
        <f t="shared" si="65"/>
        <v>#DIV/0!</v>
      </c>
      <c r="BN39" s="1" t="e">
        <f t="shared" si="65"/>
        <v>#DIV/0!</v>
      </c>
      <c r="BO39" s="1" t="e">
        <f t="shared" si="65"/>
        <v>#DIV/0!</v>
      </c>
      <c r="BP39" s="1" t="e">
        <f t="shared" si="65"/>
        <v>#DIV/0!</v>
      </c>
      <c r="BQ39" s="1" t="e">
        <f t="shared" si="65"/>
        <v>#DIV/0!</v>
      </c>
      <c r="BR39" s="1" t="e">
        <f t="shared" si="65"/>
        <v>#DIV/0!</v>
      </c>
      <c r="BS39" s="1" t="e">
        <f t="shared" si="65"/>
        <v>#DIV/0!</v>
      </c>
      <c r="BT39" s="1" t="e">
        <f t="shared" si="66"/>
        <v>#DIV/0!</v>
      </c>
      <c r="BU39" s="1" t="e">
        <f t="shared" si="66"/>
        <v>#DIV/0!</v>
      </c>
      <c r="BV39" s="1" t="e">
        <f t="shared" si="66"/>
        <v>#DIV/0!</v>
      </c>
      <c r="BW39" s="1" t="e">
        <f t="shared" si="66"/>
        <v>#DIV/0!</v>
      </c>
    </row>
    <row r="41" spans="2:166">
      <c r="B41" s="39" t="s">
        <v>90</v>
      </c>
    </row>
    <row r="42" spans="2:166">
      <c r="B42" s="1" t="s">
        <v>91</v>
      </c>
    </row>
    <row r="43" spans="2:166">
      <c r="B43" s="1" t="s">
        <v>92</v>
      </c>
    </row>
    <row r="44" spans="2:166">
      <c r="B44" s="1" t="s">
        <v>93</v>
      </c>
    </row>
    <row r="46" spans="2:166" s="2" customFormat="1" ht="15">
      <c r="B46" s="2" t="s">
        <v>62</v>
      </c>
      <c r="AY46" s="2">
        <f t="shared" ref="AY46:BR46" si="67">AY14</f>
        <v>0</v>
      </c>
      <c r="AZ46" s="2">
        <f t="shared" si="67"/>
        <v>0</v>
      </c>
      <c r="BA46" s="2">
        <f t="shared" si="67"/>
        <v>0</v>
      </c>
      <c r="BB46" s="2">
        <f t="shared" si="67"/>
        <v>0</v>
      </c>
      <c r="BC46" s="2">
        <f t="shared" si="67"/>
        <v>0</v>
      </c>
      <c r="BD46" s="2">
        <f t="shared" si="67"/>
        <v>0</v>
      </c>
      <c r="BE46" s="2">
        <f t="shared" si="67"/>
        <v>0</v>
      </c>
      <c r="BF46" s="2">
        <f t="shared" si="67"/>
        <v>0</v>
      </c>
      <c r="BG46" s="2">
        <f t="shared" si="67"/>
        <v>0</v>
      </c>
      <c r="BH46" s="2">
        <f t="shared" si="67"/>
        <v>0</v>
      </c>
      <c r="BI46" s="2">
        <f t="shared" si="67"/>
        <v>0</v>
      </c>
      <c r="BJ46" s="2">
        <f t="shared" si="67"/>
        <v>0</v>
      </c>
      <c r="BK46" s="2">
        <f t="shared" si="67"/>
        <v>0</v>
      </c>
      <c r="BL46" s="2">
        <f t="shared" si="67"/>
        <v>0</v>
      </c>
      <c r="BM46" s="2">
        <f t="shared" si="67"/>
        <v>0</v>
      </c>
      <c r="BN46" s="2">
        <f t="shared" si="67"/>
        <v>0</v>
      </c>
      <c r="BO46" s="2">
        <f t="shared" si="67"/>
        <v>0</v>
      </c>
      <c r="BP46" s="2">
        <f t="shared" si="67"/>
        <v>0</v>
      </c>
      <c r="BQ46" s="2">
        <f t="shared" si="67"/>
        <v>0</v>
      </c>
      <c r="BR46" s="2">
        <f t="shared" si="67"/>
        <v>0</v>
      </c>
      <c r="BS46" s="2">
        <f>BS14</f>
        <v>0</v>
      </c>
      <c r="BT46" s="2">
        <f t="shared" ref="BT46:BV46" si="68">BT14</f>
        <v>0</v>
      </c>
      <c r="BU46" s="2">
        <f t="shared" si="68"/>
        <v>0</v>
      </c>
      <c r="BV46" s="2">
        <f t="shared" si="68"/>
        <v>0</v>
      </c>
      <c r="BW46" s="2">
        <f t="shared" ref="BW46" si="69">BW14</f>
        <v>0</v>
      </c>
      <c r="BX46" s="35"/>
      <c r="BY46" s="35"/>
      <c r="BZ46" s="35"/>
      <c r="CI46" s="2">
        <f>SUM(C46:F46)</f>
        <v>0</v>
      </c>
      <c r="CJ46" s="2">
        <f>SUM(G46:J46)</f>
        <v>0</v>
      </c>
      <c r="CK46" s="2">
        <f>SUM(K46:N46)</f>
        <v>0</v>
      </c>
      <c r="CL46" s="2">
        <f>SUM(O46:R46)</f>
        <v>0</v>
      </c>
      <c r="CM46" s="2">
        <f>SUM(S46:V46)</f>
        <v>0</v>
      </c>
      <c r="CN46" s="2">
        <f>SUM(W46:Z46)</f>
        <v>0</v>
      </c>
      <c r="CO46" s="2">
        <f>SUM(AA46:AD46)</f>
        <v>0</v>
      </c>
      <c r="CP46" s="2">
        <f>SUM(AE46:AH46)</f>
        <v>0</v>
      </c>
      <c r="CQ46" s="2">
        <f>SUM(AI46:AL46)</f>
        <v>0</v>
      </c>
      <c r="CR46" s="2">
        <f>SUM(AM46:AP46)</f>
        <v>0</v>
      </c>
      <c r="CS46" s="2">
        <f>SUM(AQ46:AT46)</f>
        <v>0</v>
      </c>
      <c r="CT46" s="2">
        <f>SUM(AU46:AX46)</f>
        <v>0</v>
      </c>
      <c r="CU46" s="2">
        <f>SUM(AY46:BB46)</f>
        <v>0</v>
      </c>
      <c r="CV46" s="2">
        <f>SUM(BC46:BF46)</f>
        <v>0</v>
      </c>
      <c r="CW46" s="2">
        <f>SUM(BG46:BJ46)</f>
        <v>0</v>
      </c>
      <c r="CX46" s="2">
        <f>SUM(BK46:BN46)</f>
        <v>0</v>
      </c>
      <c r="CY46" s="2">
        <f>SUM(BO46:BR46)</f>
        <v>0</v>
      </c>
      <c r="CZ46" s="2">
        <f t="shared" ref="CZ46:CZ47" si="70">SUM(BS46:BV46)</f>
        <v>0</v>
      </c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</row>
    <row r="47" spans="2:166">
      <c r="B47" s="1" t="s">
        <v>98</v>
      </c>
      <c r="CI47" s="1">
        <f>SUM(C47:F47)</f>
        <v>0</v>
      </c>
      <c r="CJ47" s="1">
        <f>SUM(G47:J47)</f>
        <v>0</v>
      </c>
      <c r="CK47" s="1">
        <f>SUM(K47:N47)</f>
        <v>0</v>
      </c>
      <c r="CL47" s="1">
        <f>SUM(O47:R47)</f>
        <v>0</v>
      </c>
      <c r="CM47" s="1">
        <f>SUM(S47:V47)</f>
        <v>0</v>
      </c>
      <c r="CN47" s="1">
        <f>SUM(W47:Z47)</f>
        <v>0</v>
      </c>
      <c r="CO47" s="1">
        <f>SUM(AA47:AD47)</f>
        <v>0</v>
      </c>
      <c r="CP47" s="1">
        <f>SUM(AE47:AH47)</f>
        <v>0</v>
      </c>
      <c r="CQ47" s="1">
        <f>SUM(AI47:AL47)</f>
        <v>0</v>
      </c>
      <c r="CR47" s="1">
        <f>SUM(AM47:AP47)</f>
        <v>0</v>
      </c>
      <c r="CS47" s="1">
        <f>SUM(AQ47:AT47)</f>
        <v>0</v>
      </c>
      <c r="CT47" s="1">
        <f>SUM(AU47:AX47)</f>
        <v>0</v>
      </c>
      <c r="CU47" s="1">
        <f>SUM(AY47:BB47)</f>
        <v>0</v>
      </c>
      <c r="CV47" s="1">
        <f>SUM(BC47:BF47)</f>
        <v>0</v>
      </c>
      <c r="CW47" s="1">
        <f>SUM(BG47:BJ47)</f>
        <v>0</v>
      </c>
      <c r="CX47" s="1">
        <f>SUM(BK47:BN47)</f>
        <v>0</v>
      </c>
      <c r="CY47" s="1">
        <f>SUM(BO47:BR47)</f>
        <v>0</v>
      </c>
      <c r="CZ47" s="1">
        <f t="shared" si="70"/>
        <v>0</v>
      </c>
    </row>
    <row r="48" spans="2:166">
      <c r="B48" s="1" t="s">
        <v>99</v>
      </c>
      <c r="AY48" s="1">
        <f t="shared" ref="AY48:BR48" si="71">AY46-AY47</f>
        <v>0</v>
      </c>
      <c r="AZ48" s="1">
        <f t="shared" si="71"/>
        <v>0</v>
      </c>
      <c r="BA48" s="1">
        <f t="shared" si="71"/>
        <v>0</v>
      </c>
      <c r="BB48" s="1">
        <f t="shared" si="71"/>
        <v>0</v>
      </c>
      <c r="BC48" s="1">
        <f t="shared" si="71"/>
        <v>0</v>
      </c>
      <c r="BD48" s="1">
        <f t="shared" si="71"/>
        <v>0</v>
      </c>
      <c r="BE48" s="1">
        <f t="shared" si="71"/>
        <v>0</v>
      </c>
      <c r="BF48" s="1">
        <f t="shared" si="71"/>
        <v>0</v>
      </c>
      <c r="BG48" s="1">
        <f t="shared" si="71"/>
        <v>0</v>
      </c>
      <c r="BH48" s="1">
        <f t="shared" si="71"/>
        <v>0</v>
      </c>
      <c r="BI48" s="1">
        <f t="shared" si="71"/>
        <v>0</v>
      </c>
      <c r="BJ48" s="1">
        <f t="shared" si="71"/>
        <v>0</v>
      </c>
      <c r="BK48" s="1">
        <f t="shared" si="71"/>
        <v>0</v>
      </c>
      <c r="BL48" s="1">
        <f t="shared" si="71"/>
        <v>0</v>
      </c>
      <c r="BM48" s="1">
        <f t="shared" si="71"/>
        <v>0</v>
      </c>
      <c r="BN48" s="1">
        <f t="shared" si="71"/>
        <v>0</v>
      </c>
      <c r="BO48" s="1">
        <f t="shared" si="71"/>
        <v>0</v>
      </c>
      <c r="BP48" s="1">
        <f t="shared" si="71"/>
        <v>0</v>
      </c>
      <c r="BQ48" s="1">
        <f t="shared" si="71"/>
        <v>0</v>
      </c>
      <c r="BR48" s="1">
        <f t="shared" si="71"/>
        <v>0</v>
      </c>
      <c r="BS48" s="1">
        <f>BS46-BS47</f>
        <v>0</v>
      </c>
      <c r="BT48" s="1">
        <f t="shared" ref="BT48:BV48" si="72">BT46-BT47</f>
        <v>0</v>
      </c>
      <c r="BU48" s="1">
        <f t="shared" si="72"/>
        <v>0</v>
      </c>
      <c r="BV48" s="1">
        <f t="shared" si="72"/>
        <v>0</v>
      </c>
      <c r="BW48" s="1">
        <f t="shared" ref="BW48" si="73">BW46-BW47</f>
        <v>0</v>
      </c>
    </row>
    <row r="62" spans="2:166" s="2" customFormat="1" ht="15">
      <c r="B62" s="2" t="s">
        <v>115</v>
      </c>
      <c r="BX62" s="35"/>
      <c r="BY62" s="35"/>
      <c r="B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</row>
    <row r="63" spans="2:166">
      <c r="B63" s="1" t="s">
        <v>119</v>
      </c>
    </row>
    <row r="64" spans="2:166">
      <c r="B64" s="1" t="s">
        <v>198</v>
      </c>
    </row>
    <row r="66" spans="2:115">
      <c r="B66" s="38" t="s">
        <v>100</v>
      </c>
    </row>
    <row r="67" spans="2:115">
      <c r="B67" s="38" t="s">
        <v>101</v>
      </c>
    </row>
    <row r="68" spans="2:115">
      <c r="B68" s="38" t="s">
        <v>102</v>
      </c>
    </row>
    <row r="69" spans="2:115">
      <c r="B69" s="38" t="s">
        <v>103</v>
      </c>
    </row>
    <row r="70" spans="2:115">
      <c r="B70" s="38" t="s">
        <v>104</v>
      </c>
    </row>
    <row r="71" spans="2:115">
      <c r="B71" s="38" t="s">
        <v>105</v>
      </c>
    </row>
    <row r="72" spans="2:115">
      <c r="B72" s="38" t="s">
        <v>137</v>
      </c>
    </row>
    <row r="74" spans="2:115">
      <c r="B74" s="1" t="s">
        <v>106</v>
      </c>
      <c r="CI74" s="1">
        <f>F74</f>
        <v>0</v>
      </c>
      <c r="CJ74" s="1">
        <f>J74</f>
        <v>0</v>
      </c>
      <c r="CK74" s="1">
        <f>N74</f>
        <v>0</v>
      </c>
      <c r="CL74" s="1">
        <f>R74</f>
        <v>0</v>
      </c>
      <c r="CM74" s="1">
        <f>V74</f>
        <v>0</v>
      </c>
      <c r="CN74" s="1">
        <f>Z74</f>
        <v>0</v>
      </c>
      <c r="CO74" s="1">
        <f>AD74</f>
        <v>0</v>
      </c>
      <c r="CP74" s="1">
        <f>AH74</f>
        <v>0</v>
      </c>
      <c r="CQ74" s="1">
        <f>AL74</f>
        <v>0</v>
      </c>
      <c r="CR74" s="1">
        <f>AP74</f>
        <v>0</v>
      </c>
      <c r="CS74" s="1">
        <f>AT74</f>
        <v>0</v>
      </c>
      <c r="CT74" s="1">
        <f>AX74</f>
        <v>0</v>
      </c>
      <c r="CU74" s="1">
        <f>BB74</f>
        <v>0</v>
      </c>
      <c r="CV74" s="1">
        <f>BF74</f>
        <v>0</v>
      </c>
      <c r="CW74" s="1">
        <f>BJ74</f>
        <v>0</v>
      </c>
      <c r="CX74" s="1">
        <f>BN74</f>
        <v>0</v>
      </c>
      <c r="CY74" s="1">
        <f>BR74</f>
        <v>0</v>
      </c>
      <c r="CZ74" s="1">
        <f>BS74</f>
        <v>0</v>
      </c>
    </row>
    <row r="75" spans="2:115">
      <c r="B75" s="1" t="s">
        <v>107</v>
      </c>
    </row>
    <row r="76" spans="2:115">
      <c r="B76" s="1" t="s">
        <v>108</v>
      </c>
      <c r="DE76" s="49"/>
      <c r="DF76" s="50"/>
      <c r="DG76" s="49"/>
      <c r="DH76" s="50"/>
      <c r="DI76" s="51"/>
      <c r="DJ76" s="52"/>
      <c r="DK76" s="50"/>
    </row>
    <row r="77" spans="2:115" ht="13.5" customHeight="1">
      <c r="DB77" s="76" t="s">
        <v>167</v>
      </c>
      <c r="DE77" s="85" t="s">
        <v>193</v>
      </c>
      <c r="DF77" s="50"/>
      <c r="DG77" s="77" t="s">
        <v>166</v>
      </c>
      <c r="DH77" s="50"/>
      <c r="DI77" s="51" t="s">
        <v>168</v>
      </c>
      <c r="DJ77" s="52">
        <v>9.1999999999999998E-2</v>
      </c>
      <c r="DK77" s="50"/>
    </row>
    <row r="78" spans="2:115" ht="13.5" customHeight="1">
      <c r="DB78" s="50">
        <v>2024</v>
      </c>
      <c r="DC78" s="50">
        <v>2025</v>
      </c>
      <c r="DE78" s="49" t="s">
        <v>192</v>
      </c>
      <c r="DF78" s="50"/>
      <c r="DG78" s="50">
        <v>2025</v>
      </c>
      <c r="DH78" s="50"/>
      <c r="DI78" s="51" t="s">
        <v>169</v>
      </c>
      <c r="DJ78" s="52">
        <v>1.4999999999999999E-2</v>
      </c>
      <c r="DK78" s="50"/>
    </row>
    <row r="79" spans="2:115" ht="13.5" customHeight="1">
      <c r="DB79" s="54">
        <f>SUM(CY74:CY77)-CY88+CY80+CY82+CY81</f>
        <v>0</v>
      </c>
      <c r="DC79" s="54">
        <f>SUM(CZ74:CZ77)-CZ88+CZ80+CZ82+CZ81</f>
        <v>0</v>
      </c>
      <c r="DE79" s="54">
        <f>AVERAGE(DB79:DC79)</f>
        <v>0</v>
      </c>
      <c r="DF79" s="50"/>
      <c r="DG79" s="53" t="e">
        <f>AVERAGE(DA55)*(1-DA71)</f>
        <v>#DIV/0!</v>
      </c>
      <c r="DH79" s="50"/>
      <c r="DI79" s="51" t="s">
        <v>170</v>
      </c>
      <c r="DJ79" s="52">
        <f>DE88</f>
        <v>4.24E-2</v>
      </c>
      <c r="DK79" s="50"/>
    </row>
    <row r="80" spans="2:115" ht="13.5" customHeight="1">
      <c r="DC80" s="50"/>
      <c r="DD80" s="50"/>
      <c r="DE80" s="50"/>
      <c r="DF80" s="50"/>
      <c r="DG80" s="55" t="e">
        <f>DG79/DE79</f>
        <v>#DIV/0!</v>
      </c>
      <c r="DH80" s="50"/>
      <c r="DI80" s="51" t="s">
        <v>171</v>
      </c>
      <c r="DJ80" s="52">
        <f>8.69%-DJ79</f>
        <v>4.4499999999999991E-2</v>
      </c>
      <c r="DK80" s="50"/>
    </row>
    <row r="81" spans="2:166" ht="13.5" customHeight="1">
      <c r="DB81" s="56" t="s">
        <v>182</v>
      </c>
      <c r="DC81" s="50"/>
      <c r="DD81" s="50"/>
      <c r="DF81" s="50"/>
      <c r="DG81" s="50"/>
      <c r="DH81" s="50"/>
      <c r="DI81" s="51" t="s">
        <v>172</v>
      </c>
      <c r="DJ81" s="57" t="e">
        <f>'Notes | Quant Analysis'!S215</f>
        <v>#DIV/0!</v>
      </c>
      <c r="DK81" s="50"/>
    </row>
    <row r="82" spans="2:166" ht="13.5" customHeight="1">
      <c r="DB82" s="64" t="s">
        <v>183</v>
      </c>
      <c r="DE82" s="53">
        <f>Main!C5</f>
        <v>0</v>
      </c>
      <c r="DF82" s="50"/>
      <c r="DH82" s="50"/>
      <c r="DI82" s="51" t="s">
        <v>173</v>
      </c>
      <c r="DJ82" s="52" t="e">
        <f>+DJ79+(DJ80*DJ81)</f>
        <v>#DIV/0!</v>
      </c>
      <c r="DK82" s="50"/>
    </row>
    <row r="83" spans="2:166" ht="13.5" customHeight="1">
      <c r="B83" s="2" t="s">
        <v>194</v>
      </c>
      <c r="BV83" s="1">
        <f>SUM(BV74:BV82)</f>
        <v>0</v>
      </c>
      <c r="BW83" s="1">
        <f>SUM(BW74:BW82)</f>
        <v>0</v>
      </c>
      <c r="DB83" s="64" t="s">
        <v>184</v>
      </c>
      <c r="DE83" s="63" t="e">
        <f>Main!C7/(Main!C7+DE82)</f>
        <v>#DIV/0!</v>
      </c>
      <c r="DF83" s="56"/>
      <c r="DH83" s="50"/>
      <c r="DI83" s="51"/>
      <c r="DJ83" s="50"/>
      <c r="DK83" s="50"/>
    </row>
    <row r="84" spans="2:166" ht="13.5" customHeight="1">
      <c r="DB84" s="64" t="s">
        <v>185</v>
      </c>
      <c r="DE84" s="63" t="e">
        <f>DE82/(DE82+Main!C7)</f>
        <v>#DIV/0!</v>
      </c>
      <c r="DF84" s="50"/>
      <c r="DH84" s="50"/>
      <c r="DI84" s="51" t="s">
        <v>174</v>
      </c>
      <c r="DJ84" s="53" t="e">
        <f>NPV(DJ82,DA63:EX63)</f>
        <v>#DIV/0!</v>
      </c>
      <c r="DK84" s="50"/>
    </row>
    <row r="85" spans="2:166" ht="13.5" customHeight="1">
      <c r="DB85" s="65" t="s">
        <v>201</v>
      </c>
      <c r="DC85" s="35"/>
      <c r="DD85" s="35"/>
      <c r="DE85" s="66" t="e">
        <f>CZ95/CZ96</f>
        <v>#DIV/0!</v>
      </c>
      <c r="DF85" s="50"/>
      <c r="DG85" s="50"/>
      <c r="DH85" s="50"/>
      <c r="DI85" s="51" t="s">
        <v>119</v>
      </c>
      <c r="DJ85" s="54">
        <f>Main!C4</f>
        <v>0</v>
      </c>
      <c r="DK85" s="67"/>
    </row>
    <row r="86" spans="2:166" ht="13.5" customHeight="1">
      <c r="DF86" s="50"/>
      <c r="DG86" s="50"/>
      <c r="DH86" s="50"/>
      <c r="DI86" s="51" t="s">
        <v>175</v>
      </c>
      <c r="DJ86" s="57" t="e">
        <f>DJ84/DJ85</f>
        <v>#DIV/0!</v>
      </c>
      <c r="DK86" s="49"/>
    </row>
    <row r="87" spans="2:166" ht="13.5" customHeight="1">
      <c r="DB87" s="35" t="s">
        <v>181</v>
      </c>
      <c r="DE87" s="50"/>
      <c r="DF87" s="56"/>
      <c r="DG87" s="56"/>
      <c r="DH87" s="56"/>
      <c r="DI87" s="51" t="s">
        <v>176</v>
      </c>
      <c r="DJ87" s="57">
        <f>Main!C3</f>
        <v>0</v>
      </c>
      <c r="DK87" s="58"/>
    </row>
    <row r="88" spans="2:166" ht="13.5" customHeight="1">
      <c r="DB88" s="68" t="s">
        <v>170</v>
      </c>
      <c r="DE88" s="63">
        <v>4.24E-2</v>
      </c>
      <c r="DF88" s="50"/>
      <c r="DG88" s="50"/>
      <c r="DH88" s="50"/>
      <c r="DI88" s="51" t="s">
        <v>177</v>
      </c>
      <c r="DJ88" s="52" t="e">
        <f>DJ86/DJ87-1</f>
        <v>#DIV/0!</v>
      </c>
      <c r="DK88" s="49" t="e">
        <f>IF(DJ88&gt;0,"Upside","Downside")</f>
        <v>#DIV/0!</v>
      </c>
    </row>
    <row r="89" spans="2:166" ht="13.5" customHeight="1">
      <c r="DB89" s="68" t="s">
        <v>172</v>
      </c>
      <c r="DE89" s="57" t="e">
        <f>'Notes | Quant Analysis'!S215</f>
        <v>#DIV/0!</v>
      </c>
      <c r="DI89" s="87" t="e" cm="1">
        <f t="array" ref="DI89">_xlfn.IFS(DJ88&gt;=25%,"Strong Buy",DJ88&gt;=10.00001%,"Buy",AND(DJ88&lt;=10%,DJ88&gt;=-4.9999%),"Hold",AND(DJ88&lt;=-5%,DJ88&gt;=-14.999999%),"Sell",DJ88&lt;=-15%,"Strong Sell")</f>
        <v>#DIV/0!</v>
      </c>
      <c r="DJ89" s="87"/>
    </row>
    <row r="90" spans="2:166" ht="13.5" customHeight="1">
      <c r="DB90" s="64" t="s">
        <v>186</v>
      </c>
      <c r="DE90" s="63">
        <v>0.14330000000000001</v>
      </c>
    </row>
    <row r="91" spans="2:166" ht="13.5" customHeight="1">
      <c r="DB91" s="65" t="s">
        <v>187</v>
      </c>
      <c r="DC91" s="50"/>
      <c r="DD91" s="2"/>
      <c r="DE91" s="66" t="e">
        <f>(DE88+DE89)*(DE90-DE88)</f>
        <v>#DIV/0!</v>
      </c>
    </row>
    <row r="92" spans="2:166" ht="13.5" customHeight="1">
      <c r="DB92" s="70"/>
    </row>
    <row r="93" spans="2:166" ht="13.5" customHeight="1">
      <c r="DB93" s="35" t="s">
        <v>188</v>
      </c>
      <c r="DC93" s="71"/>
      <c r="DE93" s="62"/>
    </row>
    <row r="94" spans="2:166">
      <c r="DB94" s="72" t="s">
        <v>188</v>
      </c>
      <c r="DE94" s="73">
        <v>6.5000000000000002E-2</v>
      </c>
      <c r="DG94" s="69"/>
      <c r="DI94" s="51"/>
    </row>
    <row r="95" spans="2:166" s="2" customFormat="1" ht="15">
      <c r="B95" s="2" t="s">
        <v>195</v>
      </c>
      <c r="BV95" s="2">
        <f>SUM(BV85:BV94)</f>
        <v>0</v>
      </c>
      <c r="BW95" s="2">
        <f>SUM(BW85:BW94)</f>
        <v>0</v>
      </c>
      <c r="BX95" s="35"/>
      <c r="BY95" s="35"/>
      <c r="BZ95" s="35"/>
      <c r="DA95" s="35"/>
      <c r="DB95" s="64" t="s">
        <v>189</v>
      </c>
      <c r="DC95" s="36"/>
      <c r="DD95" s="36"/>
      <c r="DE95" s="63">
        <v>0.14599999999999999</v>
      </c>
      <c r="DF95" s="35"/>
      <c r="DG95" s="79"/>
      <c r="DH95" s="66"/>
      <c r="DI95" s="78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</row>
    <row r="96" spans="2:166" ht="15">
      <c r="B96" s="1" t="s">
        <v>196</v>
      </c>
      <c r="DB96" s="74" t="s">
        <v>190</v>
      </c>
      <c r="DE96" s="66">
        <f>DE94*(1-DE95)</f>
        <v>5.5510000000000004E-2</v>
      </c>
      <c r="DI96" s="51"/>
    </row>
    <row r="97" spans="2:166" s="2" customFormat="1" ht="15">
      <c r="B97" s="2" t="s">
        <v>197</v>
      </c>
      <c r="BV97" s="2">
        <f>BV95+BV96</f>
        <v>0</v>
      </c>
      <c r="BW97" s="2">
        <f>BW95+BW96</f>
        <v>0</v>
      </c>
      <c r="BX97" s="35"/>
      <c r="BY97" s="35"/>
      <c r="BZ97" s="35"/>
      <c r="DA97" s="35"/>
      <c r="DB97" s="35"/>
      <c r="DC97" s="35"/>
      <c r="DD97" s="35"/>
      <c r="DE97" s="35"/>
      <c r="DF97" s="35"/>
      <c r="DG97" s="35"/>
      <c r="DH97" s="35"/>
      <c r="DI97" s="78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</row>
    <row r="98" spans="2:166" ht="15">
      <c r="DB98" s="35" t="s">
        <v>191</v>
      </c>
      <c r="DE98" s="66" t="e">
        <f>(DE84*DE91)+(DE83*DE96*(1-DE95))</f>
        <v>#DIV/0!</v>
      </c>
      <c r="DI98" s="51"/>
      <c r="DJ98" s="75"/>
    </row>
    <row r="99" spans="2:166">
      <c r="DI99" s="51"/>
    </row>
    <row r="100" spans="2:166">
      <c r="DI100" s="51"/>
      <c r="DJ100" s="70"/>
    </row>
    <row r="101" spans="2:166">
      <c r="DI101" s="51"/>
      <c r="DJ101" s="70"/>
    </row>
    <row r="102" spans="2:166">
      <c r="DI102" s="51"/>
      <c r="DJ102" s="71"/>
    </row>
    <row r="103" spans="2:166">
      <c r="DI103" s="51"/>
      <c r="DJ103" s="71"/>
    </row>
    <row r="104" spans="2:166" ht="15">
      <c r="DB104" s="35"/>
      <c r="DC104" s="35"/>
      <c r="DD104" s="35"/>
      <c r="DE104" s="35"/>
      <c r="DF104" s="35"/>
      <c r="DG104" s="35"/>
      <c r="DH104" s="35"/>
      <c r="DI104" s="51"/>
      <c r="DJ104" s="75"/>
      <c r="DK104" s="61"/>
    </row>
    <row r="106" spans="2:166" ht="15">
      <c r="DB106" s="35"/>
      <c r="DE106" s="66"/>
      <c r="DH106" s="63"/>
      <c r="DJ106" s="63"/>
    </row>
    <row r="108" spans="2:166">
      <c r="B108" s="1" t="s">
        <v>109</v>
      </c>
      <c r="BV108" s="80" t="e">
        <f>SUM(BV84:BV88)/SUM(BV96:BV100)</f>
        <v>#DIV/0!</v>
      </c>
      <c r="BW108" s="80" t="e">
        <f>SUM(BW84:BW88)/SUM(BW96:BW100)</f>
        <v>#DIV/0!</v>
      </c>
      <c r="CZ108" s="80" t="e">
        <f t="shared" ref="CZ108" si="74">SUM(CZ84:CZ88)/SUM(CZ96:CZ100)</f>
        <v>#DIV/0!</v>
      </c>
    </row>
    <row r="109" spans="2:166">
      <c r="B109" s="1" t="s">
        <v>110</v>
      </c>
      <c r="BV109" s="80" t="e">
        <f>(SUM(BV84:BV88)-BV87)/SUM(BV96:BV100)</f>
        <v>#DIV/0!</v>
      </c>
      <c r="BW109" s="80" t="e">
        <f>(SUM(BW84:BW88)-BW87)/SUM(BW96:BW100)</f>
        <v>#DIV/0!</v>
      </c>
      <c r="CZ109" s="80" t="e">
        <f t="shared" ref="CZ109" si="75">(SUM(CZ84:CZ88)-CZ87)/SUM(CZ96:CZ100)</f>
        <v>#DIV/0!</v>
      </c>
    </row>
    <row r="110" spans="2:166">
      <c r="B110" s="1" t="s">
        <v>111</v>
      </c>
      <c r="BV110" s="80" t="e">
        <f>SUM(BV84:BV85)/SUM(BV96:BV100)</f>
        <v>#DIV/0!</v>
      </c>
      <c r="BW110" s="80" t="e">
        <f>SUM(BW84:BW85)/SUM(BW96:BW100)</f>
        <v>#DIV/0!</v>
      </c>
      <c r="CZ110" s="80" t="e">
        <f t="shared" ref="CZ110" si="76">SUM(CZ84:CZ85)/SUM(CZ96:CZ100)</f>
        <v>#DIV/0!</v>
      </c>
    </row>
    <row r="111" spans="2:166">
      <c r="B111" s="1" t="s">
        <v>199</v>
      </c>
      <c r="BV111" s="80" t="e">
        <f>BV59/SUM(BV90)</f>
        <v>#DIV/0!</v>
      </c>
      <c r="BW111" s="80" t="e">
        <f>BW59/SUM(BW90)</f>
        <v>#DIV/0!</v>
      </c>
      <c r="CZ111" s="80" t="e">
        <f t="shared" ref="CZ111" si="77">CZ59/SUM(CZ90)</f>
        <v>#DIV/0!</v>
      </c>
    </row>
    <row r="112" spans="2:166">
      <c r="B112" s="1" t="s">
        <v>200</v>
      </c>
      <c r="BV112" s="80" t="e">
        <f>BV59/BV94</f>
        <v>#DIV/0!</v>
      </c>
      <c r="BW112" s="80" t="e">
        <f>BW59/BW94</f>
        <v>#DIV/0!</v>
      </c>
      <c r="CZ112" s="80" t="e">
        <f t="shared" ref="CZ112" si="78">CZ59/CZ94</f>
        <v>#DIV/0!</v>
      </c>
    </row>
    <row r="113" spans="2:104">
      <c r="B113" s="1" t="s">
        <v>112</v>
      </c>
      <c r="BV113" s="80" t="e">
        <f>BV60/AVERAGE(BS87:BV87)</f>
        <v>#DIV/0!</v>
      </c>
      <c r="BW113" s="80" t="e">
        <f>BW60/AVERAGE(BT87:BW87)</f>
        <v>#DIV/0!</v>
      </c>
      <c r="CZ113" s="80" t="e">
        <f t="shared" ref="CZ113" si="79">CZ60/AVERAGE(CW87:CZ87)</f>
        <v>#DIV/0!</v>
      </c>
    </row>
    <row r="114" spans="2:104">
      <c r="B114" s="1" t="s">
        <v>113</v>
      </c>
      <c r="BV114" s="81" t="e">
        <f>BV73/BV94</f>
        <v>#DIV/0!</v>
      </c>
      <c r="BW114" s="81" t="e">
        <f>BW73/BW94</f>
        <v>#DIV/0!</v>
      </c>
      <c r="CZ114" s="81" t="e">
        <f t="shared" ref="CZ114" si="80">CZ73/CZ94</f>
        <v>#DIV/0!</v>
      </c>
    </row>
    <row r="115" spans="2:104">
      <c r="B115" s="1" t="s">
        <v>114</v>
      </c>
      <c r="BV115" s="81" t="e">
        <f>BV73/BV105</f>
        <v>#DIV/0!</v>
      </c>
      <c r="BW115" s="81" t="e">
        <f>BW73/BW105</f>
        <v>#DIV/0!</v>
      </c>
      <c r="CZ115" s="81" t="e">
        <f t="shared" ref="CZ115" si="81">CZ73/CZ105</f>
        <v>#DIV/0!</v>
      </c>
    </row>
    <row r="117" spans="2:104">
      <c r="B117" s="1" t="s">
        <v>115</v>
      </c>
    </row>
    <row r="118" spans="2:104">
      <c r="B118" s="1" t="s">
        <v>116</v>
      </c>
    </row>
    <row r="119" spans="2:104">
      <c r="B119" s="1" t="s">
        <v>117</v>
      </c>
    </row>
    <row r="120" spans="2:104">
      <c r="B120" s="1" t="s">
        <v>118</v>
      </c>
      <c r="C120" s="1">
        <f t="shared" ref="C120:BN120" si="82">C118+C119</f>
        <v>0</v>
      </c>
      <c r="D120" s="1">
        <f t="shared" si="82"/>
        <v>0</v>
      </c>
      <c r="E120" s="1">
        <f t="shared" si="82"/>
        <v>0</v>
      </c>
      <c r="F120" s="1">
        <f t="shared" si="82"/>
        <v>0</v>
      </c>
      <c r="G120" s="1">
        <f t="shared" si="82"/>
        <v>0</v>
      </c>
      <c r="H120" s="1">
        <f t="shared" si="82"/>
        <v>0</v>
      </c>
      <c r="I120" s="1">
        <f t="shared" si="82"/>
        <v>0</v>
      </c>
      <c r="J120" s="1">
        <f t="shared" si="82"/>
        <v>0</v>
      </c>
      <c r="K120" s="1">
        <f t="shared" si="82"/>
        <v>0</v>
      </c>
      <c r="L120" s="1">
        <f t="shared" si="82"/>
        <v>0</v>
      </c>
      <c r="M120" s="1">
        <f t="shared" si="82"/>
        <v>0</v>
      </c>
      <c r="N120" s="1">
        <f t="shared" si="82"/>
        <v>0</v>
      </c>
      <c r="O120" s="1">
        <f t="shared" si="82"/>
        <v>0</v>
      </c>
      <c r="P120" s="1">
        <f t="shared" si="82"/>
        <v>0</v>
      </c>
      <c r="Q120" s="1">
        <f t="shared" si="82"/>
        <v>0</v>
      </c>
      <c r="R120" s="1">
        <f t="shared" si="82"/>
        <v>0</v>
      </c>
      <c r="S120" s="1">
        <f t="shared" si="82"/>
        <v>0</v>
      </c>
      <c r="T120" s="1">
        <f t="shared" si="82"/>
        <v>0</v>
      </c>
      <c r="U120" s="1">
        <f t="shared" si="82"/>
        <v>0</v>
      </c>
      <c r="V120" s="1">
        <f t="shared" si="82"/>
        <v>0</v>
      </c>
      <c r="W120" s="1">
        <f t="shared" si="82"/>
        <v>0</v>
      </c>
      <c r="X120" s="1">
        <f t="shared" si="82"/>
        <v>0</v>
      </c>
      <c r="Y120" s="1">
        <f t="shared" si="82"/>
        <v>0</v>
      </c>
      <c r="Z120" s="1">
        <f t="shared" si="82"/>
        <v>0</v>
      </c>
      <c r="AA120" s="1">
        <f t="shared" si="82"/>
        <v>0</v>
      </c>
      <c r="AB120" s="1">
        <f t="shared" si="82"/>
        <v>0</v>
      </c>
      <c r="AC120" s="1">
        <f t="shared" si="82"/>
        <v>0</v>
      </c>
      <c r="AD120" s="1">
        <f t="shared" si="82"/>
        <v>0</v>
      </c>
      <c r="AE120" s="1">
        <f t="shared" si="82"/>
        <v>0</v>
      </c>
      <c r="AF120" s="1">
        <f t="shared" si="82"/>
        <v>0</v>
      </c>
      <c r="AG120" s="1">
        <f t="shared" si="82"/>
        <v>0</v>
      </c>
      <c r="AH120" s="1">
        <f t="shared" si="82"/>
        <v>0</v>
      </c>
      <c r="AI120" s="1">
        <f t="shared" si="82"/>
        <v>0</v>
      </c>
      <c r="AJ120" s="1">
        <f t="shared" si="82"/>
        <v>0</v>
      </c>
      <c r="AK120" s="1">
        <f t="shared" si="82"/>
        <v>0</v>
      </c>
      <c r="AL120" s="1">
        <f t="shared" si="82"/>
        <v>0</v>
      </c>
      <c r="AM120" s="1">
        <f t="shared" si="82"/>
        <v>0</v>
      </c>
      <c r="AN120" s="1">
        <f t="shared" si="82"/>
        <v>0</v>
      </c>
      <c r="AO120" s="1">
        <f t="shared" si="82"/>
        <v>0</v>
      </c>
      <c r="AP120" s="1">
        <f t="shared" si="82"/>
        <v>0</v>
      </c>
      <c r="AQ120" s="1">
        <f t="shared" si="82"/>
        <v>0</v>
      </c>
      <c r="AR120" s="1">
        <f t="shared" si="82"/>
        <v>0</v>
      </c>
      <c r="AS120" s="1">
        <f t="shared" si="82"/>
        <v>0</v>
      </c>
      <c r="AT120" s="1">
        <f t="shared" si="82"/>
        <v>0</v>
      </c>
      <c r="AU120" s="1">
        <f t="shared" si="82"/>
        <v>0</v>
      </c>
      <c r="AV120" s="1">
        <f t="shared" si="82"/>
        <v>0</v>
      </c>
      <c r="AW120" s="1">
        <f t="shared" si="82"/>
        <v>0</v>
      </c>
      <c r="AX120" s="1">
        <f t="shared" si="82"/>
        <v>0</v>
      </c>
      <c r="AY120" s="1">
        <f t="shared" si="82"/>
        <v>0</v>
      </c>
      <c r="AZ120" s="1">
        <f t="shared" si="82"/>
        <v>0</v>
      </c>
      <c r="BA120" s="1">
        <f t="shared" si="82"/>
        <v>0</v>
      </c>
      <c r="BB120" s="1">
        <f t="shared" si="82"/>
        <v>0</v>
      </c>
      <c r="BC120" s="1">
        <f t="shared" si="82"/>
        <v>0</v>
      </c>
      <c r="BD120" s="1">
        <f t="shared" si="82"/>
        <v>0</v>
      </c>
      <c r="BE120" s="1">
        <f t="shared" si="82"/>
        <v>0</v>
      </c>
      <c r="BF120" s="1">
        <f t="shared" si="82"/>
        <v>0</v>
      </c>
      <c r="BG120" s="1">
        <f t="shared" si="82"/>
        <v>0</v>
      </c>
      <c r="BH120" s="1">
        <f t="shared" si="82"/>
        <v>0</v>
      </c>
      <c r="BI120" s="1">
        <f t="shared" si="82"/>
        <v>0</v>
      </c>
      <c r="BJ120" s="1">
        <f t="shared" si="82"/>
        <v>0</v>
      </c>
      <c r="BK120" s="1">
        <f t="shared" si="82"/>
        <v>0</v>
      </c>
      <c r="BL120" s="1">
        <f t="shared" si="82"/>
        <v>0</v>
      </c>
      <c r="BM120" s="1">
        <f t="shared" si="82"/>
        <v>0</v>
      </c>
      <c r="BN120" s="1">
        <f t="shared" si="82"/>
        <v>0</v>
      </c>
      <c r="BO120" s="1">
        <f t="shared" ref="BO120:BU120" si="83">BO118+BO119</f>
        <v>0</v>
      </c>
      <c r="BP120" s="1">
        <f t="shared" si="83"/>
        <v>0</v>
      </c>
      <c r="BQ120" s="1">
        <f t="shared" si="83"/>
        <v>0</v>
      </c>
      <c r="BR120" s="1">
        <f t="shared" si="83"/>
        <v>0</v>
      </c>
      <c r="BS120" s="1">
        <f t="shared" si="83"/>
        <v>0</v>
      </c>
      <c r="BT120" s="1">
        <f t="shared" si="83"/>
        <v>0</v>
      </c>
      <c r="BU120" s="1">
        <f t="shared" si="83"/>
        <v>0</v>
      </c>
      <c r="BV120" s="1">
        <f>BV118+BV119</f>
        <v>0</v>
      </c>
      <c r="BW120" s="1">
        <f>BW118+BW119</f>
        <v>0</v>
      </c>
    </row>
    <row r="121" spans="2:104">
      <c r="B121" s="1" t="s">
        <v>119</v>
      </c>
    </row>
    <row r="122" spans="2:104">
      <c r="B122" s="1" t="s">
        <v>120</v>
      </c>
      <c r="C122" s="1" t="e">
        <f t="shared" ref="C122:BN122" si="84">C120/C121</f>
        <v>#DIV/0!</v>
      </c>
      <c r="D122" s="1" t="e">
        <f t="shared" si="84"/>
        <v>#DIV/0!</v>
      </c>
      <c r="E122" s="1" t="e">
        <f t="shared" si="84"/>
        <v>#DIV/0!</v>
      </c>
      <c r="F122" s="1" t="e">
        <f t="shared" si="84"/>
        <v>#DIV/0!</v>
      </c>
      <c r="G122" s="1" t="e">
        <f t="shared" si="84"/>
        <v>#DIV/0!</v>
      </c>
      <c r="H122" s="1" t="e">
        <f t="shared" si="84"/>
        <v>#DIV/0!</v>
      </c>
      <c r="I122" s="1" t="e">
        <f t="shared" si="84"/>
        <v>#DIV/0!</v>
      </c>
      <c r="J122" s="1" t="e">
        <f t="shared" si="84"/>
        <v>#DIV/0!</v>
      </c>
      <c r="K122" s="1" t="e">
        <f t="shared" si="84"/>
        <v>#DIV/0!</v>
      </c>
      <c r="L122" s="1" t="e">
        <f t="shared" si="84"/>
        <v>#DIV/0!</v>
      </c>
      <c r="M122" s="1" t="e">
        <f t="shared" si="84"/>
        <v>#DIV/0!</v>
      </c>
      <c r="N122" s="1" t="e">
        <f t="shared" si="84"/>
        <v>#DIV/0!</v>
      </c>
      <c r="O122" s="1" t="e">
        <f t="shared" si="84"/>
        <v>#DIV/0!</v>
      </c>
      <c r="P122" s="1" t="e">
        <f t="shared" si="84"/>
        <v>#DIV/0!</v>
      </c>
      <c r="Q122" s="1" t="e">
        <f t="shared" si="84"/>
        <v>#DIV/0!</v>
      </c>
      <c r="R122" s="1" t="e">
        <f t="shared" si="84"/>
        <v>#DIV/0!</v>
      </c>
      <c r="S122" s="1" t="e">
        <f t="shared" si="84"/>
        <v>#DIV/0!</v>
      </c>
      <c r="T122" s="1" t="e">
        <f t="shared" si="84"/>
        <v>#DIV/0!</v>
      </c>
      <c r="U122" s="1" t="e">
        <f t="shared" si="84"/>
        <v>#DIV/0!</v>
      </c>
      <c r="V122" s="1" t="e">
        <f t="shared" si="84"/>
        <v>#DIV/0!</v>
      </c>
      <c r="W122" s="1" t="e">
        <f t="shared" si="84"/>
        <v>#DIV/0!</v>
      </c>
      <c r="X122" s="1" t="e">
        <f t="shared" si="84"/>
        <v>#DIV/0!</v>
      </c>
      <c r="Y122" s="1" t="e">
        <f t="shared" si="84"/>
        <v>#DIV/0!</v>
      </c>
      <c r="Z122" s="1" t="e">
        <f t="shared" si="84"/>
        <v>#DIV/0!</v>
      </c>
      <c r="AA122" s="1" t="e">
        <f t="shared" si="84"/>
        <v>#DIV/0!</v>
      </c>
      <c r="AB122" s="1" t="e">
        <f t="shared" si="84"/>
        <v>#DIV/0!</v>
      </c>
      <c r="AC122" s="1" t="e">
        <f t="shared" si="84"/>
        <v>#DIV/0!</v>
      </c>
      <c r="AD122" s="1" t="e">
        <f t="shared" si="84"/>
        <v>#DIV/0!</v>
      </c>
      <c r="AE122" s="1" t="e">
        <f t="shared" si="84"/>
        <v>#DIV/0!</v>
      </c>
      <c r="AF122" s="1" t="e">
        <f t="shared" si="84"/>
        <v>#DIV/0!</v>
      </c>
      <c r="AG122" s="1" t="e">
        <f t="shared" si="84"/>
        <v>#DIV/0!</v>
      </c>
      <c r="AH122" s="1" t="e">
        <f t="shared" si="84"/>
        <v>#DIV/0!</v>
      </c>
      <c r="AI122" s="1" t="e">
        <f t="shared" si="84"/>
        <v>#DIV/0!</v>
      </c>
      <c r="AJ122" s="1" t="e">
        <f t="shared" si="84"/>
        <v>#DIV/0!</v>
      </c>
      <c r="AK122" s="1" t="e">
        <f t="shared" si="84"/>
        <v>#DIV/0!</v>
      </c>
      <c r="AL122" s="1" t="e">
        <f t="shared" si="84"/>
        <v>#DIV/0!</v>
      </c>
      <c r="AM122" s="1" t="e">
        <f t="shared" si="84"/>
        <v>#DIV/0!</v>
      </c>
      <c r="AN122" s="1" t="e">
        <f t="shared" si="84"/>
        <v>#DIV/0!</v>
      </c>
      <c r="AO122" s="1" t="e">
        <f t="shared" si="84"/>
        <v>#DIV/0!</v>
      </c>
      <c r="AP122" s="1" t="e">
        <f t="shared" si="84"/>
        <v>#DIV/0!</v>
      </c>
      <c r="AQ122" s="1" t="e">
        <f t="shared" si="84"/>
        <v>#DIV/0!</v>
      </c>
      <c r="AR122" s="1" t="e">
        <f t="shared" si="84"/>
        <v>#DIV/0!</v>
      </c>
      <c r="AS122" s="1" t="e">
        <f t="shared" si="84"/>
        <v>#DIV/0!</v>
      </c>
      <c r="AT122" s="1" t="e">
        <f t="shared" si="84"/>
        <v>#DIV/0!</v>
      </c>
      <c r="AU122" s="1" t="e">
        <f t="shared" si="84"/>
        <v>#DIV/0!</v>
      </c>
      <c r="AV122" s="1" t="e">
        <f t="shared" si="84"/>
        <v>#DIV/0!</v>
      </c>
      <c r="AW122" s="1" t="e">
        <f t="shared" si="84"/>
        <v>#DIV/0!</v>
      </c>
      <c r="AX122" s="1" t="e">
        <f t="shared" si="84"/>
        <v>#DIV/0!</v>
      </c>
      <c r="AY122" s="1" t="e">
        <f t="shared" si="84"/>
        <v>#DIV/0!</v>
      </c>
      <c r="AZ122" s="1" t="e">
        <f t="shared" si="84"/>
        <v>#DIV/0!</v>
      </c>
      <c r="BA122" s="1" t="e">
        <f t="shared" si="84"/>
        <v>#DIV/0!</v>
      </c>
      <c r="BB122" s="1" t="e">
        <f t="shared" si="84"/>
        <v>#DIV/0!</v>
      </c>
      <c r="BC122" s="1" t="e">
        <f t="shared" si="84"/>
        <v>#DIV/0!</v>
      </c>
      <c r="BD122" s="1" t="e">
        <f t="shared" si="84"/>
        <v>#DIV/0!</v>
      </c>
      <c r="BE122" s="1" t="e">
        <f t="shared" si="84"/>
        <v>#DIV/0!</v>
      </c>
      <c r="BF122" s="1" t="e">
        <f t="shared" si="84"/>
        <v>#DIV/0!</v>
      </c>
      <c r="BG122" s="1" t="e">
        <f t="shared" si="84"/>
        <v>#DIV/0!</v>
      </c>
      <c r="BH122" s="1" t="e">
        <f t="shared" si="84"/>
        <v>#DIV/0!</v>
      </c>
      <c r="BI122" s="1" t="e">
        <f t="shared" si="84"/>
        <v>#DIV/0!</v>
      </c>
      <c r="BJ122" s="1" t="e">
        <f t="shared" si="84"/>
        <v>#DIV/0!</v>
      </c>
      <c r="BK122" s="1" t="e">
        <f t="shared" si="84"/>
        <v>#DIV/0!</v>
      </c>
      <c r="BL122" s="1" t="e">
        <f t="shared" si="84"/>
        <v>#DIV/0!</v>
      </c>
      <c r="BM122" s="1" t="e">
        <f t="shared" si="84"/>
        <v>#DIV/0!</v>
      </c>
      <c r="BN122" s="1" t="e">
        <f t="shared" si="84"/>
        <v>#DIV/0!</v>
      </c>
      <c r="BO122" s="1" t="e">
        <f t="shared" ref="BO122:BU122" si="85">BO120/BO121</f>
        <v>#DIV/0!</v>
      </c>
      <c r="BP122" s="1" t="e">
        <f t="shared" si="85"/>
        <v>#DIV/0!</v>
      </c>
      <c r="BQ122" s="1" t="e">
        <f t="shared" si="85"/>
        <v>#DIV/0!</v>
      </c>
      <c r="BR122" s="1" t="e">
        <f t="shared" si="85"/>
        <v>#DIV/0!</v>
      </c>
      <c r="BS122" s="1" t="e">
        <f t="shared" si="85"/>
        <v>#DIV/0!</v>
      </c>
      <c r="BT122" s="1" t="e">
        <f t="shared" si="85"/>
        <v>#DIV/0!</v>
      </c>
      <c r="BU122" s="1" t="e">
        <f t="shared" si="85"/>
        <v>#DIV/0!</v>
      </c>
      <c r="BV122" s="1" t="e">
        <f>BV120/BV121</f>
        <v>#DIV/0!</v>
      </c>
      <c r="BW122" s="1" t="e">
        <f>BW120/BW121</f>
        <v>#DIV/0!</v>
      </c>
    </row>
    <row r="124" spans="2:104">
      <c r="B124" s="1" t="s">
        <v>205</v>
      </c>
      <c r="C124" s="86" t="e">
        <f t="shared" ref="C124:BN124" si="86">C118/C46</f>
        <v>#DIV/0!</v>
      </c>
      <c r="D124" s="86" t="e">
        <f t="shared" si="86"/>
        <v>#DIV/0!</v>
      </c>
      <c r="E124" s="86" t="e">
        <f t="shared" si="86"/>
        <v>#DIV/0!</v>
      </c>
      <c r="F124" s="86" t="e">
        <f t="shared" si="86"/>
        <v>#DIV/0!</v>
      </c>
      <c r="G124" s="86" t="e">
        <f t="shared" si="86"/>
        <v>#DIV/0!</v>
      </c>
      <c r="H124" s="86" t="e">
        <f t="shared" si="86"/>
        <v>#DIV/0!</v>
      </c>
      <c r="I124" s="86" t="e">
        <f t="shared" si="86"/>
        <v>#DIV/0!</v>
      </c>
      <c r="J124" s="86" t="e">
        <f t="shared" si="86"/>
        <v>#DIV/0!</v>
      </c>
      <c r="K124" s="86" t="e">
        <f t="shared" si="86"/>
        <v>#DIV/0!</v>
      </c>
      <c r="L124" s="86" t="e">
        <f t="shared" si="86"/>
        <v>#DIV/0!</v>
      </c>
      <c r="M124" s="86" t="e">
        <f t="shared" si="86"/>
        <v>#DIV/0!</v>
      </c>
      <c r="N124" s="86" t="e">
        <f t="shared" si="86"/>
        <v>#DIV/0!</v>
      </c>
      <c r="O124" s="86" t="e">
        <f t="shared" si="86"/>
        <v>#DIV/0!</v>
      </c>
      <c r="P124" s="86" t="e">
        <f t="shared" si="86"/>
        <v>#DIV/0!</v>
      </c>
      <c r="Q124" s="86" t="e">
        <f t="shared" si="86"/>
        <v>#DIV/0!</v>
      </c>
      <c r="R124" s="86" t="e">
        <f t="shared" si="86"/>
        <v>#DIV/0!</v>
      </c>
      <c r="S124" s="86" t="e">
        <f t="shared" si="86"/>
        <v>#DIV/0!</v>
      </c>
      <c r="T124" s="86" t="e">
        <f t="shared" si="86"/>
        <v>#DIV/0!</v>
      </c>
      <c r="U124" s="86" t="e">
        <f t="shared" si="86"/>
        <v>#DIV/0!</v>
      </c>
      <c r="V124" s="86" t="e">
        <f t="shared" si="86"/>
        <v>#DIV/0!</v>
      </c>
      <c r="W124" s="86" t="e">
        <f t="shared" si="86"/>
        <v>#DIV/0!</v>
      </c>
      <c r="X124" s="86" t="e">
        <f t="shared" si="86"/>
        <v>#DIV/0!</v>
      </c>
      <c r="Y124" s="86" t="e">
        <f t="shared" si="86"/>
        <v>#DIV/0!</v>
      </c>
      <c r="Z124" s="86" t="e">
        <f t="shared" si="86"/>
        <v>#DIV/0!</v>
      </c>
      <c r="AA124" s="86" t="e">
        <f t="shared" si="86"/>
        <v>#DIV/0!</v>
      </c>
      <c r="AB124" s="86" t="e">
        <f t="shared" si="86"/>
        <v>#DIV/0!</v>
      </c>
      <c r="AC124" s="86" t="e">
        <f t="shared" si="86"/>
        <v>#DIV/0!</v>
      </c>
      <c r="AD124" s="86" t="e">
        <f t="shared" si="86"/>
        <v>#DIV/0!</v>
      </c>
      <c r="AE124" s="86" t="e">
        <f t="shared" si="86"/>
        <v>#DIV/0!</v>
      </c>
      <c r="AF124" s="86" t="e">
        <f t="shared" si="86"/>
        <v>#DIV/0!</v>
      </c>
      <c r="AG124" s="86" t="e">
        <f t="shared" si="86"/>
        <v>#DIV/0!</v>
      </c>
      <c r="AH124" s="86" t="e">
        <f t="shared" si="86"/>
        <v>#DIV/0!</v>
      </c>
      <c r="AI124" s="86" t="e">
        <f t="shared" si="86"/>
        <v>#DIV/0!</v>
      </c>
      <c r="AJ124" s="86" t="e">
        <f t="shared" si="86"/>
        <v>#DIV/0!</v>
      </c>
      <c r="AK124" s="86" t="e">
        <f t="shared" si="86"/>
        <v>#DIV/0!</v>
      </c>
      <c r="AL124" s="86" t="e">
        <f t="shared" si="86"/>
        <v>#DIV/0!</v>
      </c>
      <c r="AM124" s="86" t="e">
        <f t="shared" si="86"/>
        <v>#DIV/0!</v>
      </c>
      <c r="AN124" s="86" t="e">
        <f t="shared" si="86"/>
        <v>#DIV/0!</v>
      </c>
      <c r="AO124" s="86" t="e">
        <f t="shared" si="86"/>
        <v>#DIV/0!</v>
      </c>
      <c r="AP124" s="86" t="e">
        <f t="shared" si="86"/>
        <v>#DIV/0!</v>
      </c>
      <c r="AQ124" s="86" t="e">
        <f t="shared" si="86"/>
        <v>#DIV/0!</v>
      </c>
      <c r="AR124" s="86" t="e">
        <f t="shared" si="86"/>
        <v>#DIV/0!</v>
      </c>
      <c r="AS124" s="86" t="e">
        <f t="shared" si="86"/>
        <v>#DIV/0!</v>
      </c>
      <c r="AT124" s="86" t="e">
        <f t="shared" si="86"/>
        <v>#DIV/0!</v>
      </c>
      <c r="AU124" s="86" t="e">
        <f t="shared" si="86"/>
        <v>#DIV/0!</v>
      </c>
      <c r="AV124" s="86" t="e">
        <f t="shared" si="86"/>
        <v>#DIV/0!</v>
      </c>
      <c r="AW124" s="86" t="e">
        <f t="shared" si="86"/>
        <v>#DIV/0!</v>
      </c>
      <c r="AX124" s="86" t="e">
        <f t="shared" si="86"/>
        <v>#DIV/0!</v>
      </c>
      <c r="AY124" s="86" t="e">
        <f t="shared" si="86"/>
        <v>#DIV/0!</v>
      </c>
      <c r="AZ124" s="86" t="e">
        <f t="shared" si="86"/>
        <v>#DIV/0!</v>
      </c>
      <c r="BA124" s="86" t="e">
        <f t="shared" si="86"/>
        <v>#DIV/0!</v>
      </c>
      <c r="BB124" s="86" t="e">
        <f t="shared" si="86"/>
        <v>#DIV/0!</v>
      </c>
      <c r="BC124" s="86" t="e">
        <f t="shared" si="86"/>
        <v>#DIV/0!</v>
      </c>
      <c r="BD124" s="86" t="e">
        <f t="shared" si="86"/>
        <v>#DIV/0!</v>
      </c>
      <c r="BE124" s="86" t="e">
        <f t="shared" si="86"/>
        <v>#DIV/0!</v>
      </c>
      <c r="BF124" s="86" t="e">
        <f t="shared" si="86"/>
        <v>#DIV/0!</v>
      </c>
      <c r="BG124" s="86" t="e">
        <f t="shared" si="86"/>
        <v>#DIV/0!</v>
      </c>
      <c r="BH124" s="86" t="e">
        <f t="shared" si="86"/>
        <v>#DIV/0!</v>
      </c>
      <c r="BI124" s="86" t="e">
        <f t="shared" si="86"/>
        <v>#DIV/0!</v>
      </c>
      <c r="BJ124" s="86" t="e">
        <f t="shared" si="86"/>
        <v>#DIV/0!</v>
      </c>
      <c r="BK124" s="86" t="e">
        <f t="shared" si="86"/>
        <v>#DIV/0!</v>
      </c>
      <c r="BL124" s="86" t="e">
        <f t="shared" si="86"/>
        <v>#DIV/0!</v>
      </c>
      <c r="BM124" s="86" t="e">
        <f t="shared" si="86"/>
        <v>#DIV/0!</v>
      </c>
      <c r="BN124" s="86" t="e">
        <f t="shared" si="86"/>
        <v>#DIV/0!</v>
      </c>
      <c r="BO124" s="86" t="e">
        <f t="shared" ref="BO124:BV124" si="87">BO118/BO46</f>
        <v>#DIV/0!</v>
      </c>
      <c r="BP124" s="86" t="e">
        <f t="shared" si="87"/>
        <v>#DIV/0!</v>
      </c>
      <c r="BQ124" s="86" t="e">
        <f t="shared" si="87"/>
        <v>#DIV/0!</v>
      </c>
      <c r="BR124" s="86" t="e">
        <f t="shared" si="87"/>
        <v>#DIV/0!</v>
      </c>
      <c r="BS124" s="86" t="e">
        <f t="shared" si="87"/>
        <v>#DIV/0!</v>
      </c>
      <c r="BT124" s="86" t="e">
        <f t="shared" si="87"/>
        <v>#DIV/0!</v>
      </c>
      <c r="BU124" s="86" t="e">
        <f t="shared" si="87"/>
        <v>#DIV/0!</v>
      </c>
      <c r="BV124" s="86" t="e">
        <f t="shared" si="87"/>
        <v>#DIV/0!</v>
      </c>
      <c r="BW124" s="86" t="e">
        <f>BW118/BW46</f>
        <v>#DIV/0!</v>
      </c>
    </row>
    <row r="125" spans="2:104">
      <c r="B125" s="1" t="s">
        <v>206</v>
      </c>
      <c r="C125" s="86" t="e">
        <f t="shared" ref="C125:BN125" si="88">C120/C46</f>
        <v>#DIV/0!</v>
      </c>
      <c r="D125" s="86" t="e">
        <f t="shared" si="88"/>
        <v>#DIV/0!</v>
      </c>
      <c r="E125" s="86" t="e">
        <f t="shared" si="88"/>
        <v>#DIV/0!</v>
      </c>
      <c r="F125" s="86" t="e">
        <f t="shared" si="88"/>
        <v>#DIV/0!</v>
      </c>
      <c r="G125" s="86" t="e">
        <f t="shared" si="88"/>
        <v>#DIV/0!</v>
      </c>
      <c r="H125" s="86" t="e">
        <f t="shared" si="88"/>
        <v>#DIV/0!</v>
      </c>
      <c r="I125" s="86" t="e">
        <f t="shared" si="88"/>
        <v>#DIV/0!</v>
      </c>
      <c r="J125" s="86" t="e">
        <f t="shared" si="88"/>
        <v>#DIV/0!</v>
      </c>
      <c r="K125" s="86" t="e">
        <f t="shared" si="88"/>
        <v>#DIV/0!</v>
      </c>
      <c r="L125" s="86" t="e">
        <f t="shared" si="88"/>
        <v>#DIV/0!</v>
      </c>
      <c r="M125" s="86" t="e">
        <f t="shared" si="88"/>
        <v>#DIV/0!</v>
      </c>
      <c r="N125" s="86" t="e">
        <f t="shared" si="88"/>
        <v>#DIV/0!</v>
      </c>
      <c r="O125" s="86" t="e">
        <f t="shared" si="88"/>
        <v>#DIV/0!</v>
      </c>
      <c r="P125" s="86" t="e">
        <f t="shared" si="88"/>
        <v>#DIV/0!</v>
      </c>
      <c r="Q125" s="86" t="e">
        <f t="shared" si="88"/>
        <v>#DIV/0!</v>
      </c>
      <c r="R125" s="86" t="e">
        <f t="shared" si="88"/>
        <v>#DIV/0!</v>
      </c>
      <c r="S125" s="86" t="e">
        <f t="shared" si="88"/>
        <v>#DIV/0!</v>
      </c>
      <c r="T125" s="86" t="e">
        <f t="shared" si="88"/>
        <v>#DIV/0!</v>
      </c>
      <c r="U125" s="86" t="e">
        <f t="shared" si="88"/>
        <v>#DIV/0!</v>
      </c>
      <c r="V125" s="86" t="e">
        <f t="shared" si="88"/>
        <v>#DIV/0!</v>
      </c>
      <c r="W125" s="86" t="e">
        <f t="shared" si="88"/>
        <v>#DIV/0!</v>
      </c>
      <c r="X125" s="86" t="e">
        <f t="shared" si="88"/>
        <v>#DIV/0!</v>
      </c>
      <c r="Y125" s="86" t="e">
        <f t="shared" si="88"/>
        <v>#DIV/0!</v>
      </c>
      <c r="Z125" s="86" t="e">
        <f t="shared" si="88"/>
        <v>#DIV/0!</v>
      </c>
      <c r="AA125" s="86" t="e">
        <f t="shared" si="88"/>
        <v>#DIV/0!</v>
      </c>
      <c r="AB125" s="86" t="e">
        <f t="shared" si="88"/>
        <v>#DIV/0!</v>
      </c>
      <c r="AC125" s="86" t="e">
        <f t="shared" si="88"/>
        <v>#DIV/0!</v>
      </c>
      <c r="AD125" s="86" t="e">
        <f t="shared" si="88"/>
        <v>#DIV/0!</v>
      </c>
      <c r="AE125" s="86" t="e">
        <f t="shared" si="88"/>
        <v>#DIV/0!</v>
      </c>
      <c r="AF125" s="86" t="e">
        <f t="shared" si="88"/>
        <v>#DIV/0!</v>
      </c>
      <c r="AG125" s="86" t="e">
        <f t="shared" si="88"/>
        <v>#DIV/0!</v>
      </c>
      <c r="AH125" s="86" t="e">
        <f t="shared" si="88"/>
        <v>#DIV/0!</v>
      </c>
      <c r="AI125" s="86" t="e">
        <f t="shared" si="88"/>
        <v>#DIV/0!</v>
      </c>
      <c r="AJ125" s="86" t="e">
        <f t="shared" si="88"/>
        <v>#DIV/0!</v>
      </c>
      <c r="AK125" s="86" t="e">
        <f t="shared" si="88"/>
        <v>#DIV/0!</v>
      </c>
      <c r="AL125" s="86" t="e">
        <f t="shared" si="88"/>
        <v>#DIV/0!</v>
      </c>
      <c r="AM125" s="86" t="e">
        <f t="shared" si="88"/>
        <v>#DIV/0!</v>
      </c>
      <c r="AN125" s="86" t="e">
        <f t="shared" si="88"/>
        <v>#DIV/0!</v>
      </c>
      <c r="AO125" s="86" t="e">
        <f t="shared" si="88"/>
        <v>#DIV/0!</v>
      </c>
      <c r="AP125" s="86" t="e">
        <f t="shared" si="88"/>
        <v>#DIV/0!</v>
      </c>
      <c r="AQ125" s="86" t="e">
        <f t="shared" si="88"/>
        <v>#DIV/0!</v>
      </c>
      <c r="AR125" s="86" t="e">
        <f t="shared" si="88"/>
        <v>#DIV/0!</v>
      </c>
      <c r="AS125" s="86" t="e">
        <f t="shared" si="88"/>
        <v>#DIV/0!</v>
      </c>
      <c r="AT125" s="86" t="e">
        <f t="shared" si="88"/>
        <v>#DIV/0!</v>
      </c>
      <c r="AU125" s="86" t="e">
        <f t="shared" si="88"/>
        <v>#DIV/0!</v>
      </c>
      <c r="AV125" s="86" t="e">
        <f t="shared" si="88"/>
        <v>#DIV/0!</v>
      </c>
      <c r="AW125" s="86" t="e">
        <f t="shared" si="88"/>
        <v>#DIV/0!</v>
      </c>
      <c r="AX125" s="86" t="e">
        <f t="shared" si="88"/>
        <v>#DIV/0!</v>
      </c>
      <c r="AY125" s="86" t="e">
        <f t="shared" si="88"/>
        <v>#DIV/0!</v>
      </c>
      <c r="AZ125" s="86" t="e">
        <f t="shared" si="88"/>
        <v>#DIV/0!</v>
      </c>
      <c r="BA125" s="86" t="e">
        <f t="shared" si="88"/>
        <v>#DIV/0!</v>
      </c>
      <c r="BB125" s="86" t="e">
        <f t="shared" si="88"/>
        <v>#DIV/0!</v>
      </c>
      <c r="BC125" s="86" t="e">
        <f t="shared" si="88"/>
        <v>#DIV/0!</v>
      </c>
      <c r="BD125" s="86" t="e">
        <f t="shared" si="88"/>
        <v>#DIV/0!</v>
      </c>
      <c r="BE125" s="86" t="e">
        <f t="shared" si="88"/>
        <v>#DIV/0!</v>
      </c>
      <c r="BF125" s="86" t="e">
        <f t="shared" si="88"/>
        <v>#DIV/0!</v>
      </c>
      <c r="BG125" s="86" t="e">
        <f t="shared" si="88"/>
        <v>#DIV/0!</v>
      </c>
      <c r="BH125" s="86" t="e">
        <f t="shared" si="88"/>
        <v>#DIV/0!</v>
      </c>
      <c r="BI125" s="86" t="e">
        <f t="shared" si="88"/>
        <v>#DIV/0!</v>
      </c>
      <c r="BJ125" s="86" t="e">
        <f t="shared" si="88"/>
        <v>#DIV/0!</v>
      </c>
      <c r="BK125" s="86" t="e">
        <f t="shared" si="88"/>
        <v>#DIV/0!</v>
      </c>
      <c r="BL125" s="86" t="e">
        <f t="shared" si="88"/>
        <v>#DIV/0!</v>
      </c>
      <c r="BM125" s="86" t="e">
        <f t="shared" si="88"/>
        <v>#DIV/0!</v>
      </c>
      <c r="BN125" s="86" t="e">
        <f t="shared" si="88"/>
        <v>#DIV/0!</v>
      </c>
      <c r="BO125" s="86" t="e">
        <f t="shared" ref="BO125:BV125" si="89">BO120/BO46</f>
        <v>#DIV/0!</v>
      </c>
      <c r="BP125" s="86" t="e">
        <f t="shared" si="89"/>
        <v>#DIV/0!</v>
      </c>
      <c r="BQ125" s="86" t="e">
        <f t="shared" si="89"/>
        <v>#DIV/0!</v>
      </c>
      <c r="BR125" s="86" t="e">
        <f t="shared" si="89"/>
        <v>#DIV/0!</v>
      </c>
      <c r="BS125" s="86" t="e">
        <f t="shared" si="89"/>
        <v>#DIV/0!</v>
      </c>
      <c r="BT125" s="86" t="e">
        <f t="shared" si="89"/>
        <v>#DIV/0!</v>
      </c>
      <c r="BU125" s="86" t="e">
        <f t="shared" si="89"/>
        <v>#DIV/0!</v>
      </c>
      <c r="BV125" s="86" t="e">
        <f t="shared" si="89"/>
        <v>#DIV/0!</v>
      </c>
      <c r="BW125" s="86" t="e">
        <f>BW120/BW46</f>
        <v>#DIV/0!</v>
      </c>
    </row>
    <row r="126" spans="2:104">
      <c r="B126" s="1" t="s">
        <v>207</v>
      </c>
      <c r="C126" s="86" t="e">
        <f t="shared" ref="C126:BN126" si="90">C119/C46</f>
        <v>#DIV/0!</v>
      </c>
      <c r="D126" s="86" t="e">
        <f t="shared" si="90"/>
        <v>#DIV/0!</v>
      </c>
      <c r="E126" s="86" t="e">
        <f t="shared" si="90"/>
        <v>#DIV/0!</v>
      </c>
      <c r="F126" s="86" t="e">
        <f t="shared" si="90"/>
        <v>#DIV/0!</v>
      </c>
      <c r="G126" s="86" t="e">
        <f t="shared" si="90"/>
        <v>#DIV/0!</v>
      </c>
      <c r="H126" s="86" t="e">
        <f t="shared" si="90"/>
        <v>#DIV/0!</v>
      </c>
      <c r="I126" s="86" t="e">
        <f t="shared" si="90"/>
        <v>#DIV/0!</v>
      </c>
      <c r="J126" s="86" t="e">
        <f t="shared" si="90"/>
        <v>#DIV/0!</v>
      </c>
      <c r="K126" s="86" t="e">
        <f t="shared" si="90"/>
        <v>#DIV/0!</v>
      </c>
      <c r="L126" s="86" t="e">
        <f t="shared" si="90"/>
        <v>#DIV/0!</v>
      </c>
      <c r="M126" s="86" t="e">
        <f t="shared" si="90"/>
        <v>#DIV/0!</v>
      </c>
      <c r="N126" s="86" t="e">
        <f t="shared" si="90"/>
        <v>#DIV/0!</v>
      </c>
      <c r="O126" s="86" t="e">
        <f t="shared" si="90"/>
        <v>#DIV/0!</v>
      </c>
      <c r="P126" s="86" t="e">
        <f t="shared" si="90"/>
        <v>#DIV/0!</v>
      </c>
      <c r="Q126" s="86" t="e">
        <f t="shared" si="90"/>
        <v>#DIV/0!</v>
      </c>
      <c r="R126" s="86" t="e">
        <f t="shared" si="90"/>
        <v>#DIV/0!</v>
      </c>
      <c r="S126" s="86" t="e">
        <f t="shared" si="90"/>
        <v>#DIV/0!</v>
      </c>
      <c r="T126" s="86" t="e">
        <f t="shared" si="90"/>
        <v>#DIV/0!</v>
      </c>
      <c r="U126" s="86" t="e">
        <f t="shared" si="90"/>
        <v>#DIV/0!</v>
      </c>
      <c r="V126" s="86" t="e">
        <f t="shared" si="90"/>
        <v>#DIV/0!</v>
      </c>
      <c r="W126" s="86" t="e">
        <f t="shared" si="90"/>
        <v>#DIV/0!</v>
      </c>
      <c r="X126" s="86" t="e">
        <f t="shared" si="90"/>
        <v>#DIV/0!</v>
      </c>
      <c r="Y126" s="86" t="e">
        <f t="shared" si="90"/>
        <v>#DIV/0!</v>
      </c>
      <c r="Z126" s="86" t="e">
        <f t="shared" si="90"/>
        <v>#DIV/0!</v>
      </c>
      <c r="AA126" s="86" t="e">
        <f t="shared" si="90"/>
        <v>#DIV/0!</v>
      </c>
      <c r="AB126" s="86" t="e">
        <f t="shared" si="90"/>
        <v>#DIV/0!</v>
      </c>
      <c r="AC126" s="86" t="e">
        <f t="shared" si="90"/>
        <v>#DIV/0!</v>
      </c>
      <c r="AD126" s="86" t="e">
        <f t="shared" si="90"/>
        <v>#DIV/0!</v>
      </c>
      <c r="AE126" s="86" t="e">
        <f t="shared" si="90"/>
        <v>#DIV/0!</v>
      </c>
      <c r="AF126" s="86" t="e">
        <f t="shared" si="90"/>
        <v>#DIV/0!</v>
      </c>
      <c r="AG126" s="86" t="e">
        <f t="shared" si="90"/>
        <v>#DIV/0!</v>
      </c>
      <c r="AH126" s="86" t="e">
        <f t="shared" si="90"/>
        <v>#DIV/0!</v>
      </c>
      <c r="AI126" s="86" t="e">
        <f t="shared" si="90"/>
        <v>#DIV/0!</v>
      </c>
      <c r="AJ126" s="86" t="e">
        <f t="shared" si="90"/>
        <v>#DIV/0!</v>
      </c>
      <c r="AK126" s="86" t="e">
        <f t="shared" si="90"/>
        <v>#DIV/0!</v>
      </c>
      <c r="AL126" s="86" t="e">
        <f t="shared" si="90"/>
        <v>#DIV/0!</v>
      </c>
      <c r="AM126" s="86" t="e">
        <f t="shared" si="90"/>
        <v>#DIV/0!</v>
      </c>
      <c r="AN126" s="86" t="e">
        <f t="shared" si="90"/>
        <v>#DIV/0!</v>
      </c>
      <c r="AO126" s="86" t="e">
        <f t="shared" si="90"/>
        <v>#DIV/0!</v>
      </c>
      <c r="AP126" s="86" t="e">
        <f t="shared" si="90"/>
        <v>#DIV/0!</v>
      </c>
      <c r="AQ126" s="86" t="e">
        <f t="shared" si="90"/>
        <v>#DIV/0!</v>
      </c>
      <c r="AR126" s="86" t="e">
        <f t="shared" si="90"/>
        <v>#DIV/0!</v>
      </c>
      <c r="AS126" s="86" t="e">
        <f t="shared" si="90"/>
        <v>#DIV/0!</v>
      </c>
      <c r="AT126" s="86" t="e">
        <f t="shared" si="90"/>
        <v>#DIV/0!</v>
      </c>
      <c r="AU126" s="86" t="e">
        <f t="shared" si="90"/>
        <v>#DIV/0!</v>
      </c>
      <c r="AV126" s="86" t="e">
        <f t="shared" si="90"/>
        <v>#DIV/0!</v>
      </c>
      <c r="AW126" s="86" t="e">
        <f t="shared" si="90"/>
        <v>#DIV/0!</v>
      </c>
      <c r="AX126" s="86" t="e">
        <f t="shared" si="90"/>
        <v>#DIV/0!</v>
      </c>
      <c r="AY126" s="86" t="e">
        <f t="shared" si="90"/>
        <v>#DIV/0!</v>
      </c>
      <c r="AZ126" s="86" t="e">
        <f t="shared" si="90"/>
        <v>#DIV/0!</v>
      </c>
      <c r="BA126" s="86" t="e">
        <f t="shared" si="90"/>
        <v>#DIV/0!</v>
      </c>
      <c r="BB126" s="86" t="e">
        <f t="shared" si="90"/>
        <v>#DIV/0!</v>
      </c>
      <c r="BC126" s="86" t="e">
        <f t="shared" si="90"/>
        <v>#DIV/0!</v>
      </c>
      <c r="BD126" s="86" t="e">
        <f t="shared" si="90"/>
        <v>#DIV/0!</v>
      </c>
      <c r="BE126" s="86" t="e">
        <f t="shared" si="90"/>
        <v>#DIV/0!</v>
      </c>
      <c r="BF126" s="86" t="e">
        <f t="shared" si="90"/>
        <v>#DIV/0!</v>
      </c>
      <c r="BG126" s="86" t="e">
        <f t="shared" si="90"/>
        <v>#DIV/0!</v>
      </c>
      <c r="BH126" s="86" t="e">
        <f t="shared" si="90"/>
        <v>#DIV/0!</v>
      </c>
      <c r="BI126" s="86" t="e">
        <f t="shared" si="90"/>
        <v>#DIV/0!</v>
      </c>
      <c r="BJ126" s="86" t="e">
        <f t="shared" si="90"/>
        <v>#DIV/0!</v>
      </c>
      <c r="BK126" s="86" t="e">
        <f t="shared" si="90"/>
        <v>#DIV/0!</v>
      </c>
      <c r="BL126" s="86" t="e">
        <f t="shared" si="90"/>
        <v>#DIV/0!</v>
      </c>
      <c r="BM126" s="86" t="e">
        <f t="shared" si="90"/>
        <v>#DIV/0!</v>
      </c>
      <c r="BN126" s="86" t="e">
        <f t="shared" si="90"/>
        <v>#DIV/0!</v>
      </c>
      <c r="BO126" s="86" t="e">
        <f t="shared" ref="BO126:BV126" si="91">BO119/BO46</f>
        <v>#DIV/0!</v>
      </c>
      <c r="BP126" s="86" t="e">
        <f t="shared" si="91"/>
        <v>#DIV/0!</v>
      </c>
      <c r="BQ126" s="86" t="e">
        <f t="shared" si="91"/>
        <v>#DIV/0!</v>
      </c>
      <c r="BR126" s="86" t="e">
        <f t="shared" si="91"/>
        <v>#DIV/0!</v>
      </c>
      <c r="BS126" s="86" t="e">
        <f t="shared" si="91"/>
        <v>#DIV/0!</v>
      </c>
      <c r="BT126" s="86" t="e">
        <f t="shared" si="91"/>
        <v>#DIV/0!</v>
      </c>
      <c r="BU126" s="86" t="e">
        <f t="shared" si="91"/>
        <v>#DIV/0!</v>
      </c>
      <c r="BV126" s="86" t="e">
        <f t="shared" si="91"/>
        <v>#DIV/0!</v>
      </c>
      <c r="BW126" s="86" t="e">
        <f>BW119/BW46</f>
        <v>#DIV/0!</v>
      </c>
    </row>
  </sheetData>
  <mergeCells count="1">
    <mergeCell ref="DI89:DJ89"/>
  </mergeCells>
  <conditionalFormatting sqref="DI8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Sell",DI89)))</formula>
    </cfRule>
    <cfRule type="containsText" dxfId="3" priority="3" operator="containsText" text="Sell">
      <formula>NOT(ISERROR(SEARCH("Sell",DI89)))</formula>
    </cfRule>
    <cfRule type="containsText" dxfId="2" priority="4" operator="containsText" text="Hold">
      <formula>NOT(ISERROR(SEARCH("Hold",DI89)))</formula>
    </cfRule>
    <cfRule type="beginsWith" dxfId="1" priority="5" operator="beginsWith" text="Buy">
      <formula>LEFT(DI89,LEN("Buy"))="Buy"</formula>
    </cfRule>
    <cfRule type="beginsWith" dxfId="0" priority="6" operator="beginsWith" text="Strong">
      <formula>LEFT(DI89,LEN("Strong"))="Strong"</formula>
    </cfRule>
  </conditionalFormatting>
  <pageMargins left="0.7" right="0.7" top="0.75" bottom="0.75" header="0.3" footer="0.3"/>
  <ignoredErrors>
    <ignoredError sqref="DB26:DJ26 CJ16:CY16 CJ17:CY28 BC16:BT26 DE83:DE85 DG79:DG80 DI81:DJ89 DK88 BC36:BT39 CZ108:CZ115 BV108:BV115 DE89:DE92 DE98 CZ16:CZ28 BU36:BV39 BU16:BV26 BU27:BW35 BW16:BW26 BW36:BW39" evalError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L1557"/>
  <sheetViews>
    <sheetView tabSelected="1" topLeftCell="L16" zoomScale="55" zoomScaleNormal="55" workbookViewId="0">
      <selection activeCell="L16" sqref="A1:XFD1048576"/>
    </sheetView>
  </sheetViews>
  <sheetFormatPr defaultColWidth="9.140625" defaultRowHeight="14.25"/>
  <cols>
    <col min="1" max="7" width="9.140625" style="1"/>
    <col min="8" max="8" width="3.140625" style="1" customWidth="1"/>
    <col min="9" max="15" width="9.140625" style="1"/>
    <col min="16" max="16" width="3.140625" style="1" customWidth="1"/>
    <col min="17" max="39" width="9.140625" style="1"/>
    <col min="40" max="40" width="2.85546875" style="1" customWidth="1"/>
    <col min="41" max="16384" width="9.140625" style="1"/>
  </cols>
  <sheetData>
    <row r="1" spans="16:90">
      <c r="CL1" s="1">
        <v>0</v>
      </c>
    </row>
    <row r="2" spans="16:90" ht="15">
      <c r="P2" s="2" t="s">
        <v>154</v>
      </c>
      <c r="AO2" s="2" t="s">
        <v>203</v>
      </c>
    </row>
    <row r="35" spans="16:41" ht="15">
      <c r="AO35" s="2" t="s">
        <v>204</v>
      </c>
    </row>
    <row r="36" spans="16:41" ht="15">
      <c r="P36" s="2" t="s">
        <v>202</v>
      </c>
      <c r="AO36" s="2" t="s">
        <v>121</v>
      </c>
    </row>
    <row r="37" spans="16:41">
      <c r="Q37" s="1" t="s">
        <v>22</v>
      </c>
      <c r="AO37" s="1" t="s">
        <v>122</v>
      </c>
    </row>
    <row r="69" spans="16:41" ht="15">
      <c r="P69" s="2" t="s">
        <v>23</v>
      </c>
      <c r="AO69" s="2" t="s">
        <v>123</v>
      </c>
    </row>
    <row r="70" spans="16:41">
      <c r="AO70" s="1" t="s">
        <v>179</v>
      </c>
    </row>
    <row r="101" spans="16:41">
      <c r="Q101" s="1" t="s">
        <v>24</v>
      </c>
      <c r="R101" s="1" t="s">
        <v>25</v>
      </c>
    </row>
    <row r="102" spans="16:41">
      <c r="R102" s="1" t="s">
        <v>26</v>
      </c>
    </row>
    <row r="103" spans="16:41">
      <c r="R103" s="1" t="s">
        <v>27</v>
      </c>
    </row>
    <row r="105" spans="16:41" ht="15">
      <c r="P105" s="2" t="s">
        <v>157</v>
      </c>
      <c r="AO105" s="2" t="s">
        <v>124</v>
      </c>
    </row>
    <row r="106" spans="16:41">
      <c r="AO106" s="1" t="s">
        <v>125</v>
      </c>
    </row>
    <row r="134" spans="16:41">
      <c r="Q134" s="1" t="s">
        <v>24</v>
      </c>
      <c r="R134" s="1" t="s">
        <v>25</v>
      </c>
    </row>
    <row r="135" spans="16:41">
      <c r="R135" s="1" t="s">
        <v>26</v>
      </c>
    </row>
    <row r="136" spans="16:41">
      <c r="R136" s="1" t="s">
        <v>27</v>
      </c>
    </row>
    <row r="138" spans="16:41" ht="15">
      <c r="P138" s="2" t="s">
        <v>156</v>
      </c>
      <c r="AO138" s="2" t="s">
        <v>126</v>
      </c>
    </row>
    <row r="139" spans="16:41">
      <c r="AO139" s="1" t="s">
        <v>127</v>
      </c>
    </row>
    <row r="154" s="1" customFormat="1" ht="15" customHeight="1"/>
    <row r="167" spans="17:18">
      <c r="Q167" s="1" t="s">
        <v>24</v>
      </c>
      <c r="R167" s="1" t="s">
        <v>25</v>
      </c>
    </row>
    <row r="168" spans="17:18">
      <c r="R168" s="1" t="s">
        <v>26</v>
      </c>
    </row>
    <row r="169" spans="17:18">
      <c r="R169" s="1" t="s">
        <v>27</v>
      </c>
    </row>
    <row r="184" spans="1:15">
      <c r="A184" s="1" t="s">
        <v>180</v>
      </c>
    </row>
    <row r="185" spans="1:15">
      <c r="A185" s="1" t="s">
        <v>35</v>
      </c>
      <c r="I185" s="1" t="s">
        <v>35</v>
      </c>
    </row>
    <row r="186" spans="1:15">
      <c r="A186" s="24" t="s">
        <v>28</v>
      </c>
      <c r="B186" s="24" t="s">
        <v>29</v>
      </c>
      <c r="C186" s="24" t="s">
        <v>30</v>
      </c>
      <c r="D186" s="24" t="s">
        <v>31</v>
      </c>
      <c r="E186" s="24" t="s">
        <v>32</v>
      </c>
      <c r="F186" s="24" t="s">
        <v>33</v>
      </c>
      <c r="G186" s="24" t="s">
        <v>34</v>
      </c>
      <c r="I186" s="24" t="s">
        <v>28</v>
      </c>
      <c r="J186" s="24" t="s">
        <v>29</v>
      </c>
      <c r="K186" s="24" t="s">
        <v>30</v>
      </c>
      <c r="L186" s="24" t="s">
        <v>31</v>
      </c>
      <c r="M186" s="24" t="s">
        <v>32</v>
      </c>
      <c r="N186" s="24" t="s">
        <v>33</v>
      </c>
      <c r="O186" s="24" t="s">
        <v>34</v>
      </c>
    </row>
    <row r="187" spans="1:15">
      <c r="G187" s="25" t="e">
        <f>A187/D187-1</f>
        <v>#DIV/0!</v>
      </c>
      <c r="O187" s="25" t="e">
        <f>I187/L187-1</f>
        <v>#DIV/0!</v>
      </c>
    </row>
    <row r="188" spans="1:15">
      <c r="G188" s="25"/>
      <c r="O188" s="25"/>
    </row>
    <row r="189" spans="1:15">
      <c r="G189" s="25"/>
      <c r="O189" s="25"/>
    </row>
    <row r="190" spans="1:15">
      <c r="G190" s="25"/>
      <c r="O190" s="25"/>
    </row>
    <row r="191" spans="1:15">
      <c r="G191" s="25"/>
      <c r="O191" s="25"/>
    </row>
    <row r="192" spans="1:15">
      <c r="G192" s="25"/>
      <c r="O192" s="25"/>
    </row>
    <row r="193" spans="7:15">
      <c r="G193" s="25"/>
      <c r="O193" s="25"/>
    </row>
    <row r="194" spans="7:15">
      <c r="G194" s="25"/>
      <c r="O194" s="25"/>
    </row>
    <row r="195" spans="7:15">
      <c r="G195" s="25"/>
      <c r="O195" s="25"/>
    </row>
    <row r="196" spans="7:15">
      <c r="G196" s="25"/>
      <c r="O196" s="25"/>
    </row>
    <row r="197" spans="7:15">
      <c r="G197" s="25"/>
      <c r="O197" s="25"/>
    </row>
    <row r="198" spans="7:15">
      <c r="G198" s="25"/>
      <c r="O198" s="25"/>
    </row>
    <row r="199" spans="7:15">
      <c r="G199" s="25"/>
      <c r="O199" s="25"/>
    </row>
    <row r="200" spans="7:15">
      <c r="G200" s="25"/>
      <c r="O200" s="25"/>
    </row>
    <row r="201" spans="7:15">
      <c r="G201" s="25"/>
      <c r="O201" s="25"/>
    </row>
    <row r="202" spans="7:15">
      <c r="G202" s="25"/>
      <c r="O202" s="25"/>
    </row>
    <row r="203" spans="7:15">
      <c r="G203" s="25"/>
      <c r="O203" s="25"/>
    </row>
    <row r="204" spans="7:15">
      <c r="G204" s="25"/>
      <c r="O204" s="25"/>
    </row>
    <row r="205" spans="7:15">
      <c r="G205" s="25"/>
      <c r="O205" s="25"/>
    </row>
    <row r="206" spans="7:15">
      <c r="G206" s="25"/>
      <c r="O206" s="25"/>
    </row>
    <row r="207" spans="7:15">
      <c r="G207" s="25"/>
      <c r="O207" s="25"/>
    </row>
    <row r="208" spans="7:15">
      <c r="G208" s="25"/>
      <c r="O208" s="25"/>
    </row>
    <row r="209" spans="7:28">
      <c r="G209" s="25"/>
      <c r="O209" s="25"/>
      <c r="Q209" s="26"/>
      <c r="R209" s="26" t="s">
        <v>36</v>
      </c>
      <c r="S209" s="27" t="e">
        <f>MIN(O181:O1143)</f>
        <v>#DIV/0!</v>
      </c>
    </row>
    <row r="210" spans="7:28">
      <c r="G210" s="25"/>
      <c r="O210" s="25"/>
      <c r="Q210" s="26"/>
      <c r="R210" s="26" t="s">
        <v>37</v>
      </c>
      <c r="S210" s="27" t="e">
        <f>MAX(O181:O1143)</f>
        <v>#DIV/0!</v>
      </c>
    </row>
    <row r="211" spans="7:28">
      <c r="G211" s="25"/>
      <c r="O211" s="25"/>
      <c r="Q211" s="26"/>
      <c r="R211" s="26" t="s">
        <v>38</v>
      </c>
      <c r="S211" s="27" t="e">
        <f>AVERAGE(O181:O1143)</f>
        <v>#DIV/0!</v>
      </c>
    </row>
    <row r="212" spans="7:28">
      <c r="G212" s="25"/>
      <c r="O212" s="25"/>
      <c r="Q212" s="26"/>
      <c r="R212" s="26" t="s">
        <v>39</v>
      </c>
      <c r="S212" s="27" t="e">
        <f>MEDIAN(O181:O1143)</f>
        <v>#DIV/0!</v>
      </c>
    </row>
    <row r="213" spans="7:28" ht="15">
      <c r="G213" s="25"/>
      <c r="O213" s="25"/>
      <c r="Q213" s="26"/>
      <c r="R213" s="26" t="s">
        <v>40</v>
      </c>
      <c r="S213" s="27" t="e">
        <f>_xlfn.STDEV.P(O181:O1143)</f>
        <v>#DIV/0!</v>
      </c>
      <c r="U213" s="2"/>
    </row>
    <row r="214" spans="7:28" ht="15">
      <c r="G214" s="25"/>
      <c r="O214" s="25"/>
      <c r="Q214" s="26"/>
      <c r="R214" s="28" t="s">
        <v>41</v>
      </c>
      <c r="S214" s="27" t="e">
        <f>3*S213</f>
        <v>#DIV/0!</v>
      </c>
      <c r="T214" s="26"/>
      <c r="U214" s="2" t="s">
        <v>138</v>
      </c>
    </row>
    <row r="215" spans="7:28" ht="15">
      <c r="G215" s="25"/>
      <c r="O215" s="25"/>
      <c r="Q215" s="26"/>
      <c r="R215" s="28" t="s">
        <v>42</v>
      </c>
      <c r="S215" s="60" t="e">
        <f>_xlfn.COVARIANCE.P(O132:O380,G132:G380)/_xlfn.VAR.P(G132:G380)</f>
        <v>#DIV/0!</v>
      </c>
      <c r="T215" s="26"/>
      <c r="U215" s="2" t="s">
        <v>43</v>
      </c>
    </row>
    <row r="216" spans="7:28">
      <c r="G216" s="25"/>
      <c r="O216" s="25"/>
    </row>
    <row r="217" spans="7:28">
      <c r="G217" s="25"/>
      <c r="O217" s="25"/>
    </row>
    <row r="218" spans="7:28">
      <c r="G218" s="25"/>
      <c r="O218" s="25"/>
      <c r="T218" s="29" t="s">
        <v>44</v>
      </c>
      <c r="U218" s="30">
        <v>1014</v>
      </c>
    </row>
    <row r="219" spans="7:28" ht="15" thickBot="1">
      <c r="G219" s="25"/>
      <c r="O219" s="25"/>
      <c r="T219" s="1" t="s">
        <v>45</v>
      </c>
      <c r="W219" s="1" t="s">
        <v>46</v>
      </c>
      <c r="AA219" s="1" t="s">
        <v>47</v>
      </c>
    </row>
    <row r="220" spans="7:28" ht="15" customHeight="1">
      <c r="G220" s="25"/>
      <c r="O220" s="25"/>
      <c r="T220" s="31" t="s">
        <v>48</v>
      </c>
      <c r="U220" s="31" t="s">
        <v>49</v>
      </c>
      <c r="W220" s="32" t="s">
        <v>50</v>
      </c>
      <c r="X220" s="33" t="s">
        <v>51</v>
      </c>
      <c r="AA220" s="32" t="s">
        <v>52</v>
      </c>
      <c r="AB220" s="33" t="s">
        <v>53</v>
      </c>
    </row>
    <row r="221" spans="7:28">
      <c r="G221" s="25"/>
      <c r="O221" s="25"/>
      <c r="R221" s="59">
        <f t="shared" ref="R221:R249" si="0">R222-0.001</f>
        <v>-3.1000000000000021E-2</v>
      </c>
      <c r="Z221" s="1" t="s">
        <v>128</v>
      </c>
      <c r="AA221" s="59" t="e">
        <f>S211</f>
        <v>#DIV/0!</v>
      </c>
    </row>
    <row r="222" spans="7:28">
      <c r="G222" s="25"/>
      <c r="O222" s="25"/>
      <c r="R222" s="59">
        <f t="shared" si="0"/>
        <v>-3.000000000000002E-2</v>
      </c>
      <c r="AA222" s="59" t="e">
        <f>S211</f>
        <v>#DIV/0!</v>
      </c>
    </row>
    <row r="223" spans="7:28">
      <c r="G223" s="25"/>
      <c r="O223" s="25"/>
      <c r="R223" s="59">
        <f t="shared" si="0"/>
        <v>-2.9000000000000019E-2</v>
      </c>
      <c r="Z223" s="40" t="s">
        <v>129</v>
      </c>
      <c r="AA223" s="59" t="e">
        <f>($S$213*-3)+$S$211</f>
        <v>#DIV/0!</v>
      </c>
    </row>
    <row r="224" spans="7:28">
      <c r="G224" s="25"/>
      <c r="O224" s="25"/>
      <c r="R224" s="59">
        <f t="shared" si="0"/>
        <v>-2.8000000000000018E-2</v>
      </c>
      <c r="Z224" s="41"/>
      <c r="AA224" s="59" t="e">
        <f>($S$213*-3)+$S$211</f>
        <v>#DIV/0!</v>
      </c>
    </row>
    <row r="225" spans="7:27">
      <c r="G225" s="25"/>
      <c r="O225" s="25"/>
      <c r="R225" s="59">
        <f t="shared" si="0"/>
        <v>-2.7000000000000017E-2</v>
      </c>
      <c r="Z225" s="40" t="s">
        <v>130</v>
      </c>
      <c r="AA225" s="59" t="e">
        <f>($S$213*-2)+$S$211</f>
        <v>#DIV/0!</v>
      </c>
    </row>
    <row r="226" spans="7:27">
      <c r="G226" s="25"/>
      <c r="O226" s="25"/>
      <c r="R226" s="59">
        <f t="shared" si="0"/>
        <v>-2.6000000000000016E-2</v>
      </c>
      <c r="Z226" s="41"/>
      <c r="AA226" s="59" t="e">
        <f>($S$213*-2)+$S$211</f>
        <v>#DIV/0!</v>
      </c>
    </row>
    <row r="227" spans="7:27">
      <c r="G227" s="25"/>
      <c r="O227" s="25"/>
      <c r="R227" s="59">
        <f t="shared" si="0"/>
        <v>-2.5000000000000015E-2</v>
      </c>
      <c r="Z227" s="42" t="s">
        <v>131</v>
      </c>
      <c r="AA227" s="59" t="e">
        <f>($S$213*-1)+$S$211</f>
        <v>#DIV/0!</v>
      </c>
    </row>
    <row r="228" spans="7:27">
      <c r="G228" s="25"/>
      <c r="O228" s="25"/>
      <c r="R228" s="59">
        <f t="shared" si="0"/>
        <v>-2.4000000000000014E-2</v>
      </c>
      <c r="AA228" s="59" t="e">
        <f>($S$213*-1)+$S$211</f>
        <v>#DIV/0!</v>
      </c>
    </row>
    <row r="229" spans="7:27">
      <c r="G229" s="25"/>
      <c r="O229" s="25"/>
      <c r="R229" s="59">
        <f t="shared" si="0"/>
        <v>-2.3000000000000013E-2</v>
      </c>
      <c r="Z229" s="1" t="s">
        <v>132</v>
      </c>
      <c r="AA229" s="59" t="e">
        <f>($S$213*1)+$S$211</f>
        <v>#DIV/0!</v>
      </c>
    </row>
    <row r="230" spans="7:27">
      <c r="G230" s="25"/>
      <c r="O230" s="25"/>
      <c r="R230" s="59">
        <f t="shared" si="0"/>
        <v>-2.2000000000000013E-2</v>
      </c>
      <c r="AA230" s="59" t="e">
        <f>($S$213*1)+$S$211</f>
        <v>#DIV/0!</v>
      </c>
    </row>
    <row r="231" spans="7:27">
      <c r="G231" s="25"/>
      <c r="O231" s="25"/>
      <c r="R231" s="59">
        <f t="shared" si="0"/>
        <v>-2.1000000000000012E-2</v>
      </c>
      <c r="Z231" s="43" t="s">
        <v>133</v>
      </c>
      <c r="AA231" s="59" t="e">
        <f>($S$213*2)+$S$211</f>
        <v>#DIV/0!</v>
      </c>
    </row>
    <row r="232" spans="7:27">
      <c r="G232" s="25"/>
      <c r="O232" s="25"/>
      <c r="R232" s="59">
        <f t="shared" si="0"/>
        <v>-2.0000000000000011E-2</v>
      </c>
      <c r="AA232" s="59" t="e">
        <f>($S$213*2)+$S$211</f>
        <v>#DIV/0!</v>
      </c>
    </row>
    <row r="233" spans="7:27">
      <c r="G233" s="25"/>
      <c r="O233" s="25"/>
      <c r="R233" s="59">
        <f t="shared" si="0"/>
        <v>-1.900000000000001E-2</v>
      </c>
      <c r="Z233" s="43" t="s">
        <v>134</v>
      </c>
      <c r="AA233" s="59" t="e">
        <f>($S$213*3)+$S$211</f>
        <v>#DIV/0!</v>
      </c>
    </row>
    <row r="234" spans="7:27">
      <c r="G234" s="25"/>
      <c r="O234" s="25"/>
      <c r="R234" s="59">
        <f t="shared" si="0"/>
        <v>-1.8000000000000009E-2</v>
      </c>
      <c r="Z234" s="43"/>
      <c r="AA234" s="59" t="e">
        <f>($S$213*3)+$S$211</f>
        <v>#DIV/0!</v>
      </c>
    </row>
    <row r="235" spans="7:27">
      <c r="G235" s="25"/>
      <c r="O235" s="25"/>
      <c r="R235" s="59">
        <f t="shared" si="0"/>
        <v>-1.7000000000000008E-2</v>
      </c>
    </row>
    <row r="236" spans="7:27">
      <c r="G236" s="25"/>
      <c r="O236" s="25"/>
      <c r="R236" s="59">
        <f t="shared" si="0"/>
        <v>-1.6000000000000007E-2</v>
      </c>
    </row>
    <row r="237" spans="7:27">
      <c r="G237" s="25"/>
      <c r="O237" s="25"/>
      <c r="R237" s="59">
        <f t="shared" si="0"/>
        <v>-1.5000000000000006E-2</v>
      </c>
    </row>
    <row r="238" spans="7:27">
      <c r="G238" s="25"/>
      <c r="O238" s="25"/>
      <c r="R238" s="59">
        <f t="shared" si="0"/>
        <v>-1.4000000000000005E-2</v>
      </c>
    </row>
    <row r="239" spans="7:27">
      <c r="G239" s="25"/>
      <c r="O239" s="25"/>
      <c r="R239" s="59">
        <f t="shared" si="0"/>
        <v>-1.3000000000000005E-2</v>
      </c>
    </row>
    <row r="240" spans="7:27">
      <c r="G240" s="25"/>
      <c r="O240" s="25"/>
      <c r="R240" s="59">
        <f t="shared" si="0"/>
        <v>-1.2000000000000004E-2</v>
      </c>
    </row>
    <row r="241" spans="7:18">
      <c r="G241" s="25"/>
      <c r="O241" s="25"/>
      <c r="R241" s="59">
        <f t="shared" si="0"/>
        <v>-1.1000000000000003E-2</v>
      </c>
    </row>
    <row r="242" spans="7:18">
      <c r="G242" s="25"/>
      <c r="O242" s="25"/>
      <c r="R242" s="59">
        <f t="shared" si="0"/>
        <v>-1.0000000000000002E-2</v>
      </c>
    </row>
    <row r="243" spans="7:18">
      <c r="G243" s="25"/>
      <c r="O243" s="25"/>
      <c r="R243" s="59">
        <f t="shared" si="0"/>
        <v>-9.0000000000000011E-3</v>
      </c>
    </row>
    <row r="244" spans="7:18">
      <c r="G244" s="25"/>
      <c r="O244" s="25"/>
      <c r="R244" s="59">
        <f t="shared" si="0"/>
        <v>-8.0000000000000002E-3</v>
      </c>
    </row>
    <row r="245" spans="7:18">
      <c r="G245" s="25"/>
      <c r="O245" s="25"/>
      <c r="R245" s="59">
        <f t="shared" si="0"/>
        <v>-7.0000000000000001E-3</v>
      </c>
    </row>
    <row r="246" spans="7:18">
      <c r="G246" s="25"/>
      <c r="O246" s="25"/>
      <c r="R246" s="59">
        <f t="shared" si="0"/>
        <v>-6.0000000000000001E-3</v>
      </c>
    </row>
    <row r="247" spans="7:18">
      <c r="G247" s="25"/>
      <c r="O247" s="25"/>
      <c r="R247" s="59">
        <f t="shared" si="0"/>
        <v>-5.0000000000000001E-3</v>
      </c>
    </row>
    <row r="248" spans="7:18">
      <c r="G248" s="25"/>
      <c r="O248" s="25"/>
      <c r="R248" s="59">
        <f t="shared" si="0"/>
        <v>-4.0000000000000001E-3</v>
      </c>
    </row>
    <row r="249" spans="7:18">
      <c r="G249" s="25"/>
      <c r="O249" s="25"/>
      <c r="R249" s="59">
        <f t="shared" si="0"/>
        <v>-3.0000000000000001E-3</v>
      </c>
    </row>
    <row r="250" spans="7:18">
      <c r="G250" s="25"/>
      <c r="O250" s="25"/>
      <c r="R250" s="59">
        <f>R251-0.001</f>
        <v>-2E-3</v>
      </c>
    </row>
    <row r="251" spans="7:18">
      <c r="G251" s="25"/>
      <c r="O251" s="25"/>
      <c r="R251" s="59">
        <f>R252-0.001</f>
        <v>-1E-3</v>
      </c>
    </row>
    <row r="252" spans="7:18">
      <c r="G252" s="25"/>
      <c r="O252" s="25"/>
      <c r="R252" s="59">
        <v>0</v>
      </c>
    </row>
    <row r="253" spans="7:18">
      <c r="G253" s="25"/>
      <c r="O253" s="25"/>
      <c r="R253" s="25">
        <f>R252+0.001</f>
        <v>1E-3</v>
      </c>
    </row>
    <row r="254" spans="7:18">
      <c r="G254" s="25"/>
      <c r="O254" s="25"/>
      <c r="R254" s="25">
        <f>R253+0.001</f>
        <v>2E-3</v>
      </c>
    </row>
    <row r="255" spans="7:18">
      <c r="G255" s="25"/>
      <c r="O255" s="25"/>
      <c r="R255" s="25">
        <f>R254+0.001</f>
        <v>3.0000000000000001E-3</v>
      </c>
    </row>
    <row r="256" spans="7:18">
      <c r="G256" s="25"/>
      <c r="O256" s="25"/>
      <c r="R256" s="25">
        <f t="shared" ref="R256:R283" si="1">R255+0.001</f>
        <v>4.0000000000000001E-3</v>
      </c>
    </row>
    <row r="257" spans="7:18">
      <c r="G257" s="25"/>
      <c r="O257" s="25"/>
      <c r="R257" s="25">
        <f t="shared" si="1"/>
        <v>5.0000000000000001E-3</v>
      </c>
    </row>
    <row r="258" spans="7:18">
      <c r="G258" s="25"/>
      <c r="O258" s="25"/>
      <c r="R258" s="25">
        <f t="shared" si="1"/>
        <v>6.0000000000000001E-3</v>
      </c>
    </row>
    <row r="259" spans="7:18">
      <c r="G259" s="25"/>
      <c r="O259" s="25"/>
      <c r="R259" s="25">
        <f t="shared" si="1"/>
        <v>7.0000000000000001E-3</v>
      </c>
    </row>
    <row r="260" spans="7:18">
      <c r="G260" s="25"/>
      <c r="O260" s="25"/>
      <c r="R260" s="25">
        <f t="shared" si="1"/>
        <v>8.0000000000000002E-3</v>
      </c>
    </row>
    <row r="261" spans="7:18">
      <c r="G261" s="25"/>
      <c r="O261" s="25"/>
      <c r="R261" s="25">
        <f t="shared" si="1"/>
        <v>9.0000000000000011E-3</v>
      </c>
    </row>
    <row r="262" spans="7:18">
      <c r="G262" s="25"/>
      <c r="O262" s="25"/>
      <c r="R262" s="25">
        <f t="shared" si="1"/>
        <v>1.0000000000000002E-2</v>
      </c>
    </row>
    <row r="263" spans="7:18">
      <c r="G263" s="25"/>
      <c r="O263" s="25"/>
      <c r="R263" s="25">
        <f t="shared" si="1"/>
        <v>1.1000000000000003E-2</v>
      </c>
    </row>
    <row r="264" spans="7:18">
      <c r="G264" s="25"/>
      <c r="O264" s="25"/>
      <c r="R264" s="25">
        <f t="shared" si="1"/>
        <v>1.2000000000000004E-2</v>
      </c>
    </row>
    <row r="265" spans="7:18">
      <c r="G265" s="25"/>
      <c r="O265" s="25"/>
      <c r="R265" s="25">
        <f t="shared" si="1"/>
        <v>1.3000000000000005E-2</v>
      </c>
    </row>
    <row r="266" spans="7:18">
      <c r="G266" s="25"/>
      <c r="O266" s="25"/>
      <c r="R266" s="25">
        <f t="shared" si="1"/>
        <v>1.4000000000000005E-2</v>
      </c>
    </row>
    <row r="267" spans="7:18">
      <c r="G267" s="25"/>
      <c r="O267" s="25"/>
      <c r="R267" s="25">
        <f t="shared" si="1"/>
        <v>1.5000000000000006E-2</v>
      </c>
    </row>
    <row r="268" spans="7:18">
      <c r="G268" s="25"/>
      <c r="O268" s="25"/>
      <c r="R268" s="25">
        <f t="shared" si="1"/>
        <v>1.6000000000000007E-2</v>
      </c>
    </row>
    <row r="269" spans="7:18">
      <c r="G269" s="25"/>
      <c r="O269" s="25"/>
      <c r="R269" s="25">
        <f t="shared" si="1"/>
        <v>1.7000000000000008E-2</v>
      </c>
    </row>
    <row r="270" spans="7:18">
      <c r="G270" s="25"/>
      <c r="O270" s="25"/>
      <c r="R270" s="25">
        <f t="shared" si="1"/>
        <v>1.8000000000000009E-2</v>
      </c>
    </row>
    <row r="271" spans="7:18">
      <c r="G271" s="25"/>
      <c r="O271" s="25"/>
      <c r="R271" s="25">
        <f t="shared" si="1"/>
        <v>1.900000000000001E-2</v>
      </c>
    </row>
    <row r="272" spans="7:18">
      <c r="G272" s="25"/>
      <c r="O272" s="25"/>
      <c r="R272" s="25">
        <f t="shared" si="1"/>
        <v>2.0000000000000011E-2</v>
      </c>
    </row>
    <row r="273" spans="7:18">
      <c r="G273" s="25"/>
      <c r="O273" s="25"/>
      <c r="R273" s="25">
        <f t="shared" si="1"/>
        <v>2.1000000000000012E-2</v>
      </c>
    </row>
    <row r="274" spans="7:18">
      <c r="G274" s="25"/>
      <c r="O274" s="25"/>
      <c r="R274" s="25">
        <f t="shared" si="1"/>
        <v>2.2000000000000013E-2</v>
      </c>
    </row>
    <row r="275" spans="7:18">
      <c r="G275" s="25"/>
      <c r="O275" s="25"/>
      <c r="R275" s="25">
        <f t="shared" si="1"/>
        <v>2.3000000000000013E-2</v>
      </c>
    </row>
    <row r="276" spans="7:18">
      <c r="G276" s="25"/>
      <c r="O276" s="25"/>
      <c r="R276" s="25">
        <f t="shared" si="1"/>
        <v>2.4000000000000014E-2</v>
      </c>
    </row>
    <row r="277" spans="7:18">
      <c r="G277" s="25"/>
      <c r="O277" s="25"/>
      <c r="R277" s="25">
        <f t="shared" si="1"/>
        <v>2.5000000000000015E-2</v>
      </c>
    </row>
    <row r="278" spans="7:18">
      <c r="G278" s="25"/>
      <c r="O278" s="25"/>
      <c r="R278" s="25">
        <f t="shared" si="1"/>
        <v>2.6000000000000016E-2</v>
      </c>
    </row>
    <row r="279" spans="7:18">
      <c r="G279" s="25"/>
      <c r="O279" s="25"/>
      <c r="R279" s="25">
        <f t="shared" si="1"/>
        <v>2.7000000000000017E-2</v>
      </c>
    </row>
    <row r="280" spans="7:18">
      <c r="G280" s="25"/>
      <c r="O280" s="25"/>
      <c r="R280" s="25">
        <f t="shared" si="1"/>
        <v>2.8000000000000018E-2</v>
      </c>
    </row>
    <row r="281" spans="7:18">
      <c r="G281" s="25"/>
      <c r="O281" s="25"/>
      <c r="R281" s="25">
        <f t="shared" si="1"/>
        <v>2.9000000000000019E-2</v>
      </c>
    </row>
    <row r="282" spans="7:18">
      <c r="G282" s="25"/>
      <c r="O282" s="25"/>
      <c r="R282" s="25">
        <f t="shared" si="1"/>
        <v>3.000000000000002E-2</v>
      </c>
    </row>
    <row r="283" spans="7:18">
      <c r="G283" s="25"/>
      <c r="O283" s="25"/>
      <c r="R283" s="25">
        <f t="shared" si="1"/>
        <v>3.1000000000000021E-2</v>
      </c>
    </row>
    <row r="284" spans="7:18">
      <c r="G284" s="25"/>
      <c r="O284" s="25"/>
    </row>
    <row r="285" spans="7:18">
      <c r="G285" s="25"/>
      <c r="O285" s="25"/>
    </row>
    <row r="286" spans="7:18">
      <c r="G286" s="25"/>
      <c r="O286" s="25"/>
    </row>
    <row r="287" spans="7:18">
      <c r="G287" s="25"/>
      <c r="O287" s="25"/>
    </row>
    <row r="288" spans="7:18">
      <c r="G288" s="25"/>
      <c r="O288" s="25"/>
    </row>
    <row r="289" spans="7:15">
      <c r="G289" s="25"/>
      <c r="O289" s="25"/>
    </row>
    <row r="290" spans="7:15">
      <c r="G290" s="25"/>
      <c r="O290" s="25"/>
    </row>
    <row r="291" spans="7:15">
      <c r="G291" s="25"/>
      <c r="O291" s="25"/>
    </row>
    <row r="292" spans="7:15">
      <c r="G292" s="25"/>
      <c r="O292" s="25"/>
    </row>
    <row r="293" spans="7:15">
      <c r="G293" s="25"/>
      <c r="O293" s="25"/>
    </row>
    <row r="294" spans="7:15">
      <c r="G294" s="25"/>
      <c r="O294" s="25"/>
    </row>
    <row r="295" spans="7:15">
      <c r="G295" s="25"/>
      <c r="O295" s="25"/>
    </row>
    <row r="296" spans="7:15">
      <c r="G296" s="25"/>
      <c r="O296" s="25"/>
    </row>
    <row r="297" spans="7:15">
      <c r="G297" s="25"/>
      <c r="O297" s="25"/>
    </row>
    <row r="298" spans="7:15">
      <c r="G298" s="25"/>
      <c r="O298" s="25"/>
    </row>
    <row r="299" spans="7:15">
      <c r="G299" s="25"/>
      <c r="O299" s="25"/>
    </row>
    <row r="300" spans="7:15">
      <c r="G300" s="25"/>
      <c r="O300" s="25"/>
    </row>
    <row r="301" spans="7:15">
      <c r="G301" s="25"/>
      <c r="O301" s="25"/>
    </row>
    <row r="302" spans="7:15">
      <c r="G302" s="25"/>
      <c r="O302" s="25"/>
    </row>
    <row r="303" spans="7:15">
      <c r="G303" s="25"/>
      <c r="O303" s="25"/>
    </row>
    <row r="304" spans="7:15">
      <c r="G304" s="25"/>
      <c r="O304" s="25"/>
    </row>
    <row r="305" spans="7:15">
      <c r="G305" s="25"/>
      <c r="O305" s="25"/>
    </row>
    <row r="306" spans="7:15">
      <c r="G306" s="25"/>
      <c r="O306" s="25"/>
    </row>
    <row r="307" spans="7:15">
      <c r="G307" s="25"/>
      <c r="O307" s="25"/>
    </row>
    <row r="308" spans="7:15">
      <c r="G308" s="25"/>
      <c r="O308" s="25"/>
    </row>
    <row r="309" spans="7:15">
      <c r="G309" s="25"/>
      <c r="O309" s="25"/>
    </row>
    <row r="310" spans="7:15">
      <c r="G310" s="25"/>
      <c r="O310" s="25"/>
    </row>
    <row r="311" spans="7:15">
      <c r="G311" s="25"/>
      <c r="O311" s="25"/>
    </row>
    <row r="312" spans="7:15">
      <c r="G312" s="25"/>
      <c r="O312" s="25"/>
    </row>
    <row r="313" spans="7:15">
      <c r="G313" s="25"/>
      <c r="O313" s="25"/>
    </row>
    <row r="314" spans="7:15">
      <c r="G314" s="25"/>
      <c r="O314" s="25"/>
    </row>
    <row r="315" spans="7:15">
      <c r="G315" s="25"/>
      <c r="O315" s="25"/>
    </row>
    <row r="316" spans="7:15">
      <c r="G316" s="25"/>
      <c r="O316" s="25"/>
    </row>
    <row r="317" spans="7:15">
      <c r="G317" s="25"/>
      <c r="O317" s="25"/>
    </row>
    <row r="318" spans="7:15">
      <c r="G318" s="25"/>
      <c r="O318" s="25"/>
    </row>
    <row r="319" spans="7:15">
      <c r="G319" s="25"/>
      <c r="O319" s="25"/>
    </row>
    <row r="320" spans="7:15">
      <c r="G320" s="25"/>
      <c r="O320" s="25"/>
    </row>
    <row r="321" spans="7:15">
      <c r="G321" s="25"/>
      <c r="O321" s="25"/>
    </row>
    <row r="322" spans="7:15">
      <c r="G322" s="25"/>
      <c r="O322" s="25"/>
    </row>
    <row r="323" spans="7:15">
      <c r="G323" s="25"/>
      <c r="O323" s="25"/>
    </row>
    <row r="324" spans="7:15">
      <c r="G324" s="25"/>
      <c r="O324" s="25"/>
    </row>
    <row r="325" spans="7:15">
      <c r="G325" s="25"/>
      <c r="O325" s="25"/>
    </row>
    <row r="326" spans="7:15">
      <c r="G326" s="25"/>
      <c r="O326" s="25"/>
    </row>
    <row r="327" spans="7:15">
      <c r="G327" s="25"/>
      <c r="O327" s="25"/>
    </row>
    <row r="328" spans="7:15">
      <c r="G328" s="25"/>
      <c r="O328" s="25"/>
    </row>
    <row r="329" spans="7:15">
      <c r="G329" s="25"/>
      <c r="O329" s="25"/>
    </row>
    <row r="330" spans="7:15">
      <c r="G330" s="25"/>
      <c r="O330" s="25"/>
    </row>
    <row r="331" spans="7:15">
      <c r="G331" s="25"/>
      <c r="O331" s="25"/>
    </row>
    <row r="332" spans="7:15">
      <c r="G332" s="25"/>
      <c r="O332" s="25"/>
    </row>
    <row r="333" spans="7:15">
      <c r="G333" s="25"/>
      <c r="O333" s="25"/>
    </row>
    <row r="334" spans="7:15">
      <c r="G334" s="25"/>
      <c r="O334" s="25"/>
    </row>
    <row r="335" spans="7:15">
      <c r="G335" s="25"/>
      <c r="O335" s="25"/>
    </row>
    <row r="336" spans="7:15">
      <c r="G336" s="25"/>
      <c r="O336" s="25"/>
    </row>
    <row r="337" spans="7:15">
      <c r="G337" s="25"/>
      <c r="O337" s="25"/>
    </row>
    <row r="338" spans="7:15">
      <c r="G338" s="25"/>
      <c r="O338" s="25"/>
    </row>
    <row r="339" spans="7:15">
      <c r="G339" s="25"/>
      <c r="O339" s="25"/>
    </row>
    <row r="340" spans="7:15">
      <c r="G340" s="25"/>
      <c r="O340" s="25"/>
    </row>
    <row r="341" spans="7:15">
      <c r="G341" s="25"/>
      <c r="O341" s="25"/>
    </row>
    <row r="342" spans="7:15">
      <c r="G342" s="25"/>
      <c r="O342" s="25"/>
    </row>
    <row r="343" spans="7:15">
      <c r="G343" s="25"/>
      <c r="O343" s="25"/>
    </row>
    <row r="344" spans="7:15">
      <c r="G344" s="25"/>
      <c r="O344" s="25"/>
    </row>
    <row r="345" spans="7:15">
      <c r="G345" s="25"/>
      <c r="O345" s="25"/>
    </row>
    <row r="346" spans="7:15">
      <c r="G346" s="25"/>
      <c r="O346" s="25"/>
    </row>
    <row r="347" spans="7:15">
      <c r="G347" s="25"/>
      <c r="O347" s="25"/>
    </row>
    <row r="348" spans="7:15">
      <c r="G348" s="25"/>
      <c r="O348" s="25"/>
    </row>
    <row r="349" spans="7:15">
      <c r="G349" s="25"/>
      <c r="O349" s="25"/>
    </row>
    <row r="350" spans="7:15">
      <c r="G350" s="25"/>
      <c r="O350" s="25"/>
    </row>
    <row r="351" spans="7:15">
      <c r="G351" s="25"/>
      <c r="O351" s="25"/>
    </row>
    <row r="352" spans="7:15">
      <c r="G352" s="25"/>
      <c r="O352" s="25"/>
    </row>
    <row r="353" spans="7:15">
      <c r="G353" s="25"/>
      <c r="O353" s="25"/>
    </row>
    <row r="354" spans="7:15">
      <c r="G354" s="25"/>
      <c r="O354" s="25"/>
    </row>
    <row r="355" spans="7:15">
      <c r="G355" s="25"/>
      <c r="O355" s="25"/>
    </row>
    <row r="356" spans="7:15">
      <c r="G356" s="25"/>
      <c r="O356" s="25"/>
    </row>
    <row r="357" spans="7:15">
      <c r="G357" s="25"/>
      <c r="O357" s="25"/>
    </row>
    <row r="358" spans="7:15">
      <c r="G358" s="25"/>
      <c r="O358" s="25"/>
    </row>
    <row r="359" spans="7:15">
      <c r="G359" s="25"/>
      <c r="O359" s="25"/>
    </row>
    <row r="360" spans="7:15">
      <c r="G360" s="25"/>
      <c r="O360" s="25"/>
    </row>
    <row r="361" spans="7:15">
      <c r="G361" s="25"/>
      <c r="O361" s="25"/>
    </row>
    <row r="362" spans="7:15">
      <c r="G362" s="25"/>
      <c r="O362" s="25"/>
    </row>
    <row r="363" spans="7:15">
      <c r="G363" s="25"/>
      <c r="O363" s="25"/>
    </row>
    <row r="364" spans="7:15">
      <c r="G364" s="25"/>
      <c r="O364" s="25"/>
    </row>
    <row r="365" spans="7:15">
      <c r="G365" s="25"/>
      <c r="O365" s="25"/>
    </row>
    <row r="366" spans="7:15">
      <c r="G366" s="25"/>
      <c r="O366" s="25"/>
    </row>
    <row r="367" spans="7:15">
      <c r="G367" s="25"/>
      <c r="O367" s="25"/>
    </row>
    <row r="368" spans="7:15">
      <c r="G368" s="25"/>
      <c r="O368" s="25"/>
    </row>
    <row r="369" spans="7:15">
      <c r="G369" s="25"/>
      <c r="O369" s="25"/>
    </row>
    <row r="370" spans="7:15">
      <c r="G370" s="25"/>
      <c r="O370" s="25"/>
    </row>
    <row r="371" spans="7:15">
      <c r="G371" s="25"/>
      <c r="O371" s="25"/>
    </row>
    <row r="372" spans="7:15">
      <c r="G372" s="25"/>
      <c r="O372" s="25"/>
    </row>
    <row r="373" spans="7:15">
      <c r="G373" s="25"/>
      <c r="O373" s="25"/>
    </row>
    <row r="374" spans="7:15">
      <c r="G374" s="25"/>
      <c r="O374" s="25"/>
    </row>
    <row r="375" spans="7:15">
      <c r="G375" s="25"/>
      <c r="O375" s="25"/>
    </row>
    <row r="376" spans="7:15">
      <c r="G376" s="25"/>
      <c r="O376" s="25"/>
    </row>
    <row r="377" spans="7:15">
      <c r="G377" s="25"/>
      <c r="O377" s="25"/>
    </row>
    <row r="378" spans="7:15">
      <c r="G378" s="25"/>
      <c r="O378" s="25"/>
    </row>
    <row r="379" spans="7:15">
      <c r="G379" s="25"/>
      <c r="O379" s="25"/>
    </row>
    <row r="380" spans="7:15">
      <c r="G380" s="25"/>
      <c r="O380" s="25"/>
    </row>
    <row r="381" spans="7:15">
      <c r="G381" s="25"/>
      <c r="O381" s="25"/>
    </row>
    <row r="382" spans="7:15">
      <c r="G382" s="25"/>
      <c r="O382" s="25"/>
    </row>
    <row r="383" spans="7:15">
      <c r="G383" s="25"/>
      <c r="O383" s="25"/>
    </row>
    <row r="384" spans="7:15">
      <c r="G384" s="25"/>
      <c r="O384" s="25"/>
    </row>
    <row r="385" spans="7:15">
      <c r="G385" s="25"/>
      <c r="O385" s="25"/>
    </row>
    <row r="386" spans="7:15">
      <c r="G386" s="25"/>
      <c r="O386" s="25"/>
    </row>
    <row r="387" spans="7:15">
      <c r="G387" s="25"/>
      <c r="O387" s="25"/>
    </row>
    <row r="388" spans="7:15">
      <c r="G388" s="25"/>
      <c r="O388" s="25"/>
    </row>
    <row r="389" spans="7:15">
      <c r="G389" s="25"/>
      <c r="O389" s="25"/>
    </row>
    <row r="390" spans="7:15">
      <c r="G390" s="25"/>
      <c r="O390" s="25"/>
    </row>
    <row r="391" spans="7:15">
      <c r="G391" s="25"/>
      <c r="O391" s="25"/>
    </row>
    <row r="392" spans="7:15">
      <c r="G392" s="25"/>
      <c r="O392" s="25"/>
    </row>
    <row r="393" spans="7:15">
      <c r="G393" s="25"/>
      <c r="O393" s="25"/>
    </row>
    <row r="394" spans="7:15">
      <c r="G394" s="25"/>
      <c r="O394" s="25"/>
    </row>
    <row r="395" spans="7:15">
      <c r="G395" s="25"/>
      <c r="O395" s="25"/>
    </row>
    <row r="396" spans="7:15">
      <c r="G396" s="25"/>
      <c r="O396" s="25"/>
    </row>
    <row r="397" spans="7:15">
      <c r="G397" s="25"/>
      <c r="O397" s="25"/>
    </row>
    <row r="398" spans="7:15">
      <c r="G398" s="25"/>
      <c r="O398" s="25"/>
    </row>
    <row r="399" spans="7:15">
      <c r="G399" s="25"/>
      <c r="O399" s="25"/>
    </row>
    <row r="400" spans="7:15">
      <c r="G400" s="25"/>
      <c r="O400" s="25"/>
    </row>
    <row r="401" spans="7:15">
      <c r="G401" s="25"/>
      <c r="O401" s="25"/>
    </row>
    <row r="402" spans="7:15">
      <c r="G402" s="25"/>
      <c r="O402" s="25"/>
    </row>
    <row r="403" spans="7:15">
      <c r="G403" s="25"/>
      <c r="O403" s="25"/>
    </row>
    <row r="404" spans="7:15">
      <c r="G404" s="25"/>
      <c r="O404" s="25"/>
    </row>
    <row r="405" spans="7:15">
      <c r="G405" s="25"/>
      <c r="O405" s="25"/>
    </row>
    <row r="406" spans="7:15">
      <c r="G406" s="25"/>
      <c r="O406" s="25"/>
    </row>
    <row r="407" spans="7:15">
      <c r="G407" s="25"/>
      <c r="O407" s="25"/>
    </row>
    <row r="408" spans="7:15">
      <c r="G408" s="25"/>
      <c r="O408" s="25"/>
    </row>
    <row r="409" spans="7:15">
      <c r="G409" s="25"/>
      <c r="O409" s="25"/>
    </row>
    <row r="410" spans="7:15">
      <c r="G410" s="25"/>
      <c r="O410" s="25"/>
    </row>
    <row r="411" spans="7:15">
      <c r="G411" s="25"/>
      <c r="O411" s="25"/>
    </row>
    <row r="412" spans="7:15">
      <c r="G412" s="25"/>
      <c r="O412" s="25"/>
    </row>
    <row r="413" spans="7:15">
      <c r="G413" s="25"/>
      <c r="O413" s="25"/>
    </row>
    <row r="414" spans="7:15">
      <c r="G414" s="25"/>
      <c r="O414" s="25"/>
    </row>
    <row r="415" spans="7:15">
      <c r="G415" s="25"/>
      <c r="O415" s="25"/>
    </row>
    <row r="416" spans="7:15">
      <c r="G416" s="25"/>
      <c r="O416" s="25"/>
    </row>
    <row r="417" spans="7:15">
      <c r="G417" s="25"/>
      <c r="O417" s="25"/>
    </row>
    <row r="418" spans="7:15">
      <c r="G418" s="25"/>
      <c r="O418" s="25"/>
    </row>
    <row r="419" spans="7:15">
      <c r="G419" s="25"/>
      <c r="O419" s="25"/>
    </row>
    <row r="420" spans="7:15">
      <c r="G420" s="25"/>
      <c r="O420" s="25"/>
    </row>
    <row r="421" spans="7:15">
      <c r="G421" s="25"/>
      <c r="O421" s="25"/>
    </row>
    <row r="422" spans="7:15">
      <c r="G422" s="25"/>
      <c r="O422" s="25"/>
    </row>
    <row r="423" spans="7:15">
      <c r="G423" s="25"/>
      <c r="O423" s="25"/>
    </row>
    <row r="424" spans="7:15">
      <c r="G424" s="25"/>
      <c r="O424" s="25"/>
    </row>
    <row r="425" spans="7:15">
      <c r="G425" s="25"/>
      <c r="O425" s="25"/>
    </row>
    <row r="426" spans="7:15">
      <c r="G426" s="25"/>
      <c r="O426" s="25"/>
    </row>
    <row r="427" spans="7:15">
      <c r="G427" s="25"/>
      <c r="O427" s="25"/>
    </row>
    <row r="428" spans="7:15">
      <c r="G428" s="25"/>
      <c r="O428" s="25"/>
    </row>
    <row r="429" spans="7:15">
      <c r="G429" s="25"/>
      <c r="O429" s="25"/>
    </row>
    <row r="430" spans="7:15">
      <c r="G430" s="25"/>
      <c r="O430" s="25"/>
    </row>
    <row r="431" spans="7:15">
      <c r="G431" s="25"/>
      <c r="O431" s="25"/>
    </row>
    <row r="432" spans="7:15">
      <c r="G432" s="25"/>
      <c r="O432" s="25"/>
    </row>
    <row r="433" spans="7:15">
      <c r="G433" s="25"/>
      <c r="O433" s="25"/>
    </row>
    <row r="434" spans="7:15">
      <c r="G434" s="25"/>
      <c r="O434" s="25"/>
    </row>
    <row r="435" spans="7:15">
      <c r="G435" s="25"/>
      <c r="O435" s="25"/>
    </row>
    <row r="436" spans="7:15">
      <c r="G436" s="25"/>
      <c r="O436" s="25"/>
    </row>
    <row r="437" spans="7:15">
      <c r="G437" s="25"/>
      <c r="O437" s="25"/>
    </row>
    <row r="438" spans="7:15">
      <c r="G438" s="25"/>
      <c r="O438" s="25"/>
    </row>
    <row r="439" spans="7:15">
      <c r="G439" s="25"/>
      <c r="O439" s="25"/>
    </row>
    <row r="440" spans="7:15">
      <c r="G440" s="25"/>
      <c r="O440" s="25"/>
    </row>
    <row r="441" spans="7:15">
      <c r="G441" s="25"/>
      <c r="O441" s="25"/>
    </row>
    <row r="442" spans="7:15">
      <c r="G442" s="25"/>
      <c r="O442" s="25"/>
    </row>
    <row r="443" spans="7:15">
      <c r="G443" s="25"/>
      <c r="O443" s="25"/>
    </row>
    <row r="444" spans="7:15">
      <c r="G444" s="25"/>
      <c r="O444" s="25"/>
    </row>
    <row r="445" spans="7:15">
      <c r="G445" s="25"/>
      <c r="O445" s="25"/>
    </row>
    <row r="446" spans="7:15">
      <c r="G446" s="25"/>
      <c r="O446" s="25"/>
    </row>
    <row r="447" spans="7:15">
      <c r="G447" s="25"/>
      <c r="O447" s="25"/>
    </row>
    <row r="448" spans="7:15">
      <c r="G448" s="25"/>
      <c r="O448" s="25"/>
    </row>
    <row r="449" spans="7:15">
      <c r="G449" s="25"/>
      <c r="O449" s="25"/>
    </row>
    <row r="450" spans="7:15">
      <c r="G450" s="25"/>
      <c r="O450" s="25"/>
    </row>
    <row r="451" spans="7:15">
      <c r="G451" s="25"/>
      <c r="O451" s="25"/>
    </row>
    <row r="452" spans="7:15">
      <c r="G452" s="25"/>
      <c r="O452" s="25"/>
    </row>
    <row r="453" spans="7:15">
      <c r="G453" s="25"/>
      <c r="O453" s="25"/>
    </row>
    <row r="454" spans="7:15">
      <c r="G454" s="25"/>
      <c r="O454" s="25"/>
    </row>
    <row r="455" spans="7:15">
      <c r="G455" s="25"/>
      <c r="O455" s="25"/>
    </row>
    <row r="456" spans="7:15">
      <c r="G456" s="25"/>
      <c r="O456" s="25"/>
    </row>
    <row r="457" spans="7:15">
      <c r="G457" s="25"/>
      <c r="O457" s="25"/>
    </row>
    <row r="458" spans="7:15">
      <c r="G458" s="25"/>
      <c r="O458" s="25"/>
    </row>
    <row r="459" spans="7:15">
      <c r="G459" s="25"/>
      <c r="O459" s="25"/>
    </row>
    <row r="460" spans="7:15">
      <c r="G460" s="25"/>
      <c r="O460" s="25"/>
    </row>
    <row r="461" spans="7:15">
      <c r="G461" s="25"/>
      <c r="O461" s="25"/>
    </row>
    <row r="462" spans="7:15">
      <c r="G462" s="25"/>
      <c r="O462" s="25"/>
    </row>
    <row r="463" spans="7:15">
      <c r="G463" s="25"/>
      <c r="O463" s="25"/>
    </row>
    <row r="464" spans="7:15">
      <c r="G464" s="25"/>
      <c r="O464" s="25"/>
    </row>
    <row r="465" spans="7:15">
      <c r="G465" s="25"/>
      <c r="O465" s="25"/>
    </row>
    <row r="466" spans="7:15">
      <c r="G466" s="25"/>
      <c r="O466" s="25"/>
    </row>
    <row r="467" spans="7:15">
      <c r="G467" s="25"/>
      <c r="O467" s="25"/>
    </row>
    <row r="468" spans="7:15">
      <c r="G468" s="25"/>
      <c r="O468" s="25"/>
    </row>
    <row r="469" spans="7:15">
      <c r="G469" s="25"/>
      <c r="O469" s="25"/>
    </row>
    <row r="470" spans="7:15">
      <c r="G470" s="25"/>
      <c r="O470" s="25"/>
    </row>
    <row r="471" spans="7:15">
      <c r="G471" s="25"/>
      <c r="O471" s="25"/>
    </row>
    <row r="472" spans="7:15">
      <c r="G472" s="25"/>
      <c r="O472" s="25"/>
    </row>
    <row r="473" spans="7:15">
      <c r="G473" s="25"/>
      <c r="O473" s="25"/>
    </row>
    <row r="474" spans="7:15">
      <c r="G474" s="25"/>
      <c r="O474" s="25"/>
    </row>
    <row r="475" spans="7:15">
      <c r="G475" s="25"/>
      <c r="O475" s="25"/>
    </row>
    <row r="476" spans="7:15">
      <c r="G476" s="25"/>
      <c r="O476" s="25"/>
    </row>
    <row r="477" spans="7:15">
      <c r="G477" s="25"/>
      <c r="O477" s="25"/>
    </row>
    <row r="478" spans="7:15">
      <c r="G478" s="25"/>
      <c r="O478" s="25"/>
    </row>
    <row r="479" spans="7:15">
      <c r="G479" s="25"/>
      <c r="O479" s="25"/>
    </row>
    <row r="480" spans="7:15">
      <c r="G480" s="25"/>
      <c r="O480" s="25"/>
    </row>
    <row r="481" spans="7:15">
      <c r="G481" s="25"/>
      <c r="O481" s="25"/>
    </row>
    <row r="482" spans="7:15">
      <c r="G482" s="25"/>
      <c r="O482" s="25"/>
    </row>
    <row r="483" spans="7:15">
      <c r="G483" s="25"/>
      <c r="O483" s="25"/>
    </row>
    <row r="484" spans="7:15">
      <c r="G484" s="25"/>
      <c r="O484" s="25"/>
    </row>
    <row r="485" spans="7:15">
      <c r="G485" s="25"/>
      <c r="O485" s="25"/>
    </row>
    <row r="486" spans="7:15">
      <c r="G486" s="25"/>
      <c r="O486" s="25"/>
    </row>
    <row r="487" spans="7:15">
      <c r="G487" s="25"/>
      <c r="O487" s="25"/>
    </row>
    <row r="488" spans="7:15">
      <c r="G488" s="25"/>
      <c r="O488" s="25"/>
    </row>
    <row r="489" spans="7:15">
      <c r="G489" s="25"/>
      <c r="O489" s="25"/>
    </row>
    <row r="490" spans="7:15">
      <c r="G490" s="25"/>
      <c r="O490" s="25"/>
    </row>
    <row r="491" spans="7:15">
      <c r="G491" s="25"/>
      <c r="O491" s="25"/>
    </row>
    <row r="492" spans="7:15">
      <c r="G492" s="25"/>
      <c r="O492" s="25"/>
    </row>
    <row r="493" spans="7:15">
      <c r="G493" s="25"/>
      <c r="O493" s="25"/>
    </row>
    <row r="494" spans="7:15">
      <c r="G494" s="25"/>
      <c r="O494" s="25"/>
    </row>
    <row r="495" spans="7:15">
      <c r="G495" s="25"/>
      <c r="O495" s="25"/>
    </row>
    <row r="496" spans="7:15">
      <c r="G496" s="25"/>
      <c r="O496" s="25"/>
    </row>
    <row r="497" spans="7:15">
      <c r="G497" s="25"/>
      <c r="O497" s="25"/>
    </row>
    <row r="498" spans="7:15">
      <c r="G498" s="25"/>
      <c r="O498" s="25"/>
    </row>
    <row r="499" spans="7:15">
      <c r="G499" s="25"/>
      <c r="O499" s="25"/>
    </row>
    <row r="500" spans="7:15">
      <c r="G500" s="25"/>
      <c r="O500" s="25"/>
    </row>
    <row r="501" spans="7:15">
      <c r="G501" s="25"/>
      <c r="O501" s="25"/>
    </row>
    <row r="502" spans="7:15">
      <c r="G502" s="25"/>
      <c r="O502" s="25"/>
    </row>
    <row r="503" spans="7:15">
      <c r="G503" s="25"/>
      <c r="O503" s="25"/>
    </row>
    <row r="504" spans="7:15">
      <c r="G504" s="25"/>
      <c r="O504" s="25"/>
    </row>
    <row r="505" spans="7:15">
      <c r="G505" s="25"/>
      <c r="O505" s="25"/>
    </row>
    <row r="506" spans="7:15">
      <c r="G506" s="25"/>
      <c r="O506" s="25"/>
    </row>
    <row r="507" spans="7:15">
      <c r="G507" s="25"/>
      <c r="O507" s="25"/>
    </row>
    <row r="508" spans="7:15">
      <c r="G508" s="25"/>
      <c r="O508" s="25"/>
    </row>
    <row r="509" spans="7:15">
      <c r="G509" s="25"/>
      <c r="O509" s="25"/>
    </row>
    <row r="510" spans="7:15">
      <c r="G510" s="25"/>
      <c r="O510" s="25"/>
    </row>
    <row r="511" spans="7:15">
      <c r="G511" s="25"/>
      <c r="O511" s="25"/>
    </row>
    <row r="512" spans="7:15">
      <c r="G512" s="25"/>
      <c r="O512" s="25"/>
    </row>
    <row r="513" spans="7:15">
      <c r="G513" s="25"/>
      <c r="O513" s="25"/>
    </row>
    <row r="514" spans="7:15">
      <c r="G514" s="25"/>
      <c r="O514" s="25"/>
    </row>
    <row r="515" spans="7:15">
      <c r="G515" s="25"/>
      <c r="O515" s="25"/>
    </row>
    <row r="516" spans="7:15">
      <c r="G516" s="25"/>
      <c r="O516" s="25"/>
    </row>
    <row r="517" spans="7:15">
      <c r="G517" s="25"/>
      <c r="O517" s="25"/>
    </row>
    <row r="518" spans="7:15">
      <c r="G518" s="25"/>
      <c r="O518" s="25"/>
    </row>
    <row r="519" spans="7:15">
      <c r="G519" s="25"/>
      <c r="O519" s="25"/>
    </row>
    <row r="520" spans="7:15">
      <c r="G520" s="25"/>
      <c r="O520" s="25"/>
    </row>
    <row r="521" spans="7:15">
      <c r="G521" s="25"/>
      <c r="O521" s="25"/>
    </row>
    <row r="522" spans="7:15">
      <c r="G522" s="25"/>
      <c r="O522" s="25"/>
    </row>
    <row r="523" spans="7:15">
      <c r="G523" s="25"/>
      <c r="O523" s="25"/>
    </row>
    <row r="524" spans="7:15">
      <c r="G524" s="25"/>
      <c r="O524" s="25"/>
    </row>
    <row r="525" spans="7:15">
      <c r="G525" s="25"/>
      <c r="O525" s="25"/>
    </row>
    <row r="526" spans="7:15">
      <c r="G526" s="25"/>
      <c r="O526" s="25"/>
    </row>
    <row r="527" spans="7:15">
      <c r="G527" s="25"/>
      <c r="O527" s="25"/>
    </row>
    <row r="528" spans="7:15">
      <c r="G528" s="25"/>
      <c r="O528" s="25"/>
    </row>
    <row r="529" spans="7:15">
      <c r="G529" s="25"/>
      <c r="O529" s="25"/>
    </row>
    <row r="530" spans="7:15">
      <c r="G530" s="25"/>
      <c r="O530" s="25"/>
    </row>
    <row r="531" spans="7:15">
      <c r="G531" s="25"/>
      <c r="O531" s="25"/>
    </row>
    <row r="532" spans="7:15">
      <c r="G532" s="25"/>
      <c r="O532" s="25"/>
    </row>
    <row r="533" spans="7:15">
      <c r="G533" s="25"/>
      <c r="O533" s="25"/>
    </row>
    <row r="534" spans="7:15">
      <c r="G534" s="25"/>
      <c r="O534" s="25"/>
    </row>
    <row r="535" spans="7:15">
      <c r="G535" s="25"/>
      <c r="O535" s="25"/>
    </row>
    <row r="536" spans="7:15">
      <c r="G536" s="25"/>
      <c r="O536" s="25"/>
    </row>
    <row r="537" spans="7:15">
      <c r="G537" s="25"/>
      <c r="O537" s="25"/>
    </row>
    <row r="538" spans="7:15">
      <c r="G538" s="25"/>
      <c r="O538" s="25"/>
    </row>
    <row r="539" spans="7:15">
      <c r="G539" s="25"/>
      <c r="O539" s="25"/>
    </row>
    <row r="540" spans="7:15">
      <c r="G540" s="25"/>
      <c r="O540" s="25"/>
    </row>
    <row r="541" spans="7:15">
      <c r="G541" s="25"/>
      <c r="O541" s="25"/>
    </row>
    <row r="542" spans="7:15">
      <c r="G542" s="25"/>
      <c r="O542" s="25"/>
    </row>
    <row r="543" spans="7:15">
      <c r="G543" s="25"/>
      <c r="O543" s="25"/>
    </row>
    <row r="544" spans="7:15">
      <c r="G544" s="25"/>
      <c r="O544" s="25"/>
    </row>
    <row r="545" spans="7:15">
      <c r="G545" s="25"/>
      <c r="O545" s="25"/>
    </row>
    <row r="546" spans="7:15">
      <c r="G546" s="25"/>
      <c r="O546" s="25"/>
    </row>
    <row r="547" spans="7:15">
      <c r="G547" s="25"/>
      <c r="O547" s="25"/>
    </row>
    <row r="548" spans="7:15">
      <c r="G548" s="25"/>
      <c r="O548" s="25"/>
    </row>
    <row r="549" spans="7:15">
      <c r="G549" s="25"/>
      <c r="O549" s="25"/>
    </row>
    <row r="550" spans="7:15">
      <c r="G550" s="25"/>
      <c r="O550" s="25"/>
    </row>
    <row r="551" spans="7:15">
      <c r="G551" s="25"/>
      <c r="O551" s="25"/>
    </row>
    <row r="552" spans="7:15">
      <c r="G552" s="25"/>
      <c r="O552" s="25"/>
    </row>
    <row r="553" spans="7:15">
      <c r="G553" s="25"/>
      <c r="O553" s="25"/>
    </row>
    <row r="554" spans="7:15">
      <c r="G554" s="25"/>
      <c r="O554" s="25"/>
    </row>
    <row r="555" spans="7:15">
      <c r="G555" s="25"/>
      <c r="O555" s="25"/>
    </row>
    <row r="556" spans="7:15">
      <c r="G556" s="25"/>
      <c r="O556" s="25"/>
    </row>
    <row r="557" spans="7:15">
      <c r="G557" s="25"/>
      <c r="O557" s="25"/>
    </row>
    <row r="558" spans="7:15">
      <c r="G558" s="25"/>
      <c r="O558" s="25"/>
    </row>
    <row r="559" spans="7:15">
      <c r="G559" s="25"/>
      <c r="O559" s="25"/>
    </row>
    <row r="560" spans="7:15">
      <c r="G560" s="25"/>
      <c r="O560" s="25"/>
    </row>
    <row r="561" spans="7:15">
      <c r="G561" s="25"/>
      <c r="O561" s="25"/>
    </row>
    <row r="562" spans="7:15">
      <c r="G562" s="25"/>
      <c r="O562" s="25"/>
    </row>
    <row r="563" spans="7:15">
      <c r="G563" s="25"/>
      <c r="O563" s="25"/>
    </row>
    <row r="564" spans="7:15">
      <c r="G564" s="25"/>
      <c r="O564" s="25"/>
    </row>
    <row r="565" spans="7:15">
      <c r="G565" s="25"/>
      <c r="O565" s="25"/>
    </row>
    <row r="566" spans="7:15">
      <c r="G566" s="25"/>
      <c r="O566" s="25"/>
    </row>
    <row r="567" spans="7:15">
      <c r="G567" s="25"/>
      <c r="O567" s="25"/>
    </row>
    <row r="568" spans="7:15">
      <c r="G568" s="25"/>
      <c r="O568" s="25"/>
    </row>
    <row r="569" spans="7:15">
      <c r="G569" s="25"/>
      <c r="O569" s="25"/>
    </row>
    <row r="570" spans="7:15">
      <c r="G570" s="25"/>
      <c r="O570" s="25"/>
    </row>
    <row r="571" spans="7:15">
      <c r="G571" s="25"/>
      <c r="O571" s="25"/>
    </row>
    <row r="572" spans="7:15">
      <c r="G572" s="25"/>
      <c r="O572" s="25"/>
    </row>
    <row r="573" spans="7:15">
      <c r="G573" s="25"/>
      <c r="O573" s="25"/>
    </row>
    <row r="574" spans="7:15">
      <c r="G574" s="25"/>
      <c r="O574" s="25"/>
    </row>
    <row r="575" spans="7:15">
      <c r="G575" s="25"/>
      <c r="O575" s="25"/>
    </row>
    <row r="576" spans="7:15">
      <c r="G576" s="25"/>
      <c r="O576" s="25"/>
    </row>
    <row r="577" spans="7:15">
      <c r="G577" s="25"/>
      <c r="O577" s="25"/>
    </row>
    <row r="578" spans="7:15">
      <c r="G578" s="25"/>
      <c r="O578" s="25"/>
    </row>
    <row r="579" spans="7:15">
      <c r="G579" s="25"/>
      <c r="O579" s="25"/>
    </row>
    <row r="580" spans="7:15">
      <c r="G580" s="25"/>
      <c r="O580" s="25"/>
    </row>
    <row r="581" spans="7:15">
      <c r="G581" s="25"/>
      <c r="O581" s="25"/>
    </row>
    <row r="582" spans="7:15">
      <c r="G582" s="25"/>
      <c r="O582" s="25"/>
    </row>
    <row r="583" spans="7:15">
      <c r="G583" s="25"/>
      <c r="O583" s="25"/>
    </row>
    <row r="584" spans="7:15">
      <c r="G584" s="25"/>
      <c r="O584" s="25"/>
    </row>
    <row r="585" spans="7:15">
      <c r="G585" s="25"/>
      <c r="O585" s="25"/>
    </row>
    <row r="586" spans="7:15">
      <c r="G586" s="25"/>
      <c r="O586" s="25"/>
    </row>
    <row r="587" spans="7:15">
      <c r="G587" s="25"/>
      <c r="O587" s="25"/>
    </row>
    <row r="588" spans="7:15">
      <c r="G588" s="25"/>
      <c r="O588" s="25"/>
    </row>
    <row r="589" spans="7:15">
      <c r="G589" s="25"/>
      <c r="O589" s="25"/>
    </row>
    <row r="590" spans="7:15">
      <c r="G590" s="25"/>
      <c r="O590" s="25"/>
    </row>
    <row r="591" spans="7:15">
      <c r="G591" s="25"/>
      <c r="O591" s="25"/>
    </row>
    <row r="592" spans="7:15">
      <c r="G592" s="25"/>
      <c r="O592" s="25"/>
    </row>
    <row r="593" spans="7:15">
      <c r="G593" s="25"/>
      <c r="O593" s="25"/>
    </row>
    <row r="594" spans="7:15">
      <c r="G594" s="25"/>
      <c r="O594" s="25"/>
    </row>
    <row r="595" spans="7:15">
      <c r="G595" s="25"/>
      <c r="O595" s="25"/>
    </row>
    <row r="596" spans="7:15">
      <c r="G596" s="25"/>
      <c r="O596" s="25"/>
    </row>
    <row r="597" spans="7:15">
      <c r="G597" s="25"/>
      <c r="O597" s="25"/>
    </row>
    <row r="598" spans="7:15">
      <c r="G598" s="25"/>
      <c r="O598" s="25"/>
    </row>
    <row r="599" spans="7:15">
      <c r="G599" s="25"/>
      <c r="O599" s="25"/>
    </row>
    <row r="600" spans="7:15">
      <c r="G600" s="25"/>
      <c r="O600" s="25"/>
    </row>
    <row r="601" spans="7:15">
      <c r="G601" s="25"/>
      <c r="O601" s="25"/>
    </row>
    <row r="602" spans="7:15">
      <c r="G602" s="25"/>
      <c r="O602" s="25"/>
    </row>
    <row r="603" spans="7:15">
      <c r="G603" s="25"/>
      <c r="O603" s="25"/>
    </row>
    <row r="604" spans="7:15">
      <c r="G604" s="25"/>
      <c r="O604" s="25"/>
    </row>
    <row r="605" spans="7:15">
      <c r="G605" s="25"/>
      <c r="O605" s="25"/>
    </row>
    <row r="606" spans="7:15">
      <c r="G606" s="25"/>
      <c r="O606" s="25"/>
    </row>
    <row r="607" spans="7:15">
      <c r="G607" s="25"/>
      <c r="O607" s="25"/>
    </row>
    <row r="608" spans="7:15">
      <c r="G608" s="25"/>
      <c r="O608" s="25"/>
    </row>
    <row r="609" spans="7:15">
      <c r="G609" s="25"/>
      <c r="O609" s="25"/>
    </row>
    <row r="610" spans="7:15">
      <c r="G610" s="25"/>
      <c r="O610" s="25"/>
    </row>
    <row r="611" spans="7:15">
      <c r="G611" s="25"/>
      <c r="O611" s="25"/>
    </row>
    <row r="612" spans="7:15">
      <c r="G612" s="25"/>
      <c r="O612" s="25"/>
    </row>
    <row r="613" spans="7:15">
      <c r="G613" s="25"/>
      <c r="O613" s="25"/>
    </row>
    <row r="614" spans="7:15">
      <c r="G614" s="25"/>
      <c r="O614" s="25"/>
    </row>
    <row r="615" spans="7:15">
      <c r="G615" s="25"/>
      <c r="O615" s="25"/>
    </row>
    <row r="616" spans="7:15">
      <c r="G616" s="25"/>
      <c r="O616" s="25"/>
    </row>
    <row r="617" spans="7:15">
      <c r="G617" s="25"/>
      <c r="O617" s="25"/>
    </row>
    <row r="618" spans="7:15">
      <c r="G618" s="25"/>
      <c r="O618" s="25"/>
    </row>
    <row r="619" spans="7:15">
      <c r="G619" s="25"/>
      <c r="O619" s="25"/>
    </row>
    <row r="620" spans="7:15">
      <c r="G620" s="25"/>
      <c r="O620" s="25"/>
    </row>
    <row r="621" spans="7:15">
      <c r="G621" s="25"/>
      <c r="O621" s="25"/>
    </row>
    <row r="622" spans="7:15">
      <c r="G622" s="25"/>
      <c r="O622" s="25"/>
    </row>
    <row r="623" spans="7:15">
      <c r="G623" s="25"/>
      <c r="O623" s="25"/>
    </row>
    <row r="624" spans="7:15">
      <c r="G624" s="25"/>
      <c r="O624" s="25"/>
    </row>
    <row r="625" spans="7:15">
      <c r="G625" s="25"/>
      <c r="O625" s="25"/>
    </row>
    <row r="626" spans="7:15">
      <c r="G626" s="25"/>
      <c r="O626" s="25"/>
    </row>
    <row r="627" spans="7:15">
      <c r="G627" s="25"/>
      <c r="O627" s="25"/>
    </row>
    <row r="628" spans="7:15">
      <c r="G628" s="25"/>
      <c r="O628" s="25"/>
    </row>
    <row r="629" spans="7:15">
      <c r="G629" s="25"/>
      <c r="O629" s="25"/>
    </row>
    <row r="630" spans="7:15">
      <c r="G630" s="25"/>
      <c r="O630" s="25"/>
    </row>
    <row r="631" spans="7:15">
      <c r="G631" s="25"/>
      <c r="O631" s="25"/>
    </row>
    <row r="632" spans="7:15">
      <c r="G632" s="25"/>
      <c r="O632" s="25"/>
    </row>
    <row r="633" spans="7:15">
      <c r="G633" s="25"/>
      <c r="O633" s="25"/>
    </row>
    <row r="634" spans="7:15">
      <c r="G634" s="25"/>
      <c r="O634" s="25"/>
    </row>
    <row r="635" spans="7:15">
      <c r="G635" s="25"/>
      <c r="O635" s="25"/>
    </row>
    <row r="636" spans="7:15">
      <c r="G636" s="25"/>
      <c r="O636" s="25"/>
    </row>
    <row r="637" spans="7:15">
      <c r="G637" s="25"/>
      <c r="O637" s="25"/>
    </row>
    <row r="638" spans="7:15">
      <c r="G638" s="25"/>
      <c r="O638" s="25"/>
    </row>
    <row r="639" spans="7:15">
      <c r="G639" s="25"/>
      <c r="O639" s="25"/>
    </row>
    <row r="640" spans="7:15">
      <c r="G640" s="25"/>
      <c r="O640" s="25"/>
    </row>
    <row r="641" spans="7:15">
      <c r="G641" s="25"/>
      <c r="O641" s="25"/>
    </row>
    <row r="642" spans="7:15">
      <c r="G642" s="25"/>
      <c r="O642" s="25"/>
    </row>
    <row r="643" spans="7:15">
      <c r="G643" s="25"/>
      <c r="O643" s="25"/>
    </row>
    <row r="644" spans="7:15">
      <c r="G644" s="25"/>
      <c r="O644" s="25"/>
    </row>
    <row r="645" spans="7:15">
      <c r="G645" s="25"/>
      <c r="O645" s="25"/>
    </row>
    <row r="646" spans="7:15">
      <c r="G646" s="25"/>
      <c r="O646" s="25"/>
    </row>
    <row r="647" spans="7:15">
      <c r="G647" s="25"/>
      <c r="O647" s="25"/>
    </row>
    <row r="648" spans="7:15">
      <c r="G648" s="25"/>
      <c r="O648" s="25"/>
    </row>
    <row r="649" spans="7:15">
      <c r="G649" s="25"/>
      <c r="O649" s="25"/>
    </row>
    <row r="650" spans="7:15">
      <c r="G650" s="25"/>
      <c r="O650" s="25"/>
    </row>
    <row r="651" spans="7:15">
      <c r="G651" s="25"/>
      <c r="O651" s="25"/>
    </row>
    <row r="652" spans="7:15">
      <c r="G652" s="25"/>
      <c r="O652" s="25"/>
    </row>
    <row r="653" spans="7:15">
      <c r="G653" s="25"/>
      <c r="O653" s="25"/>
    </row>
    <row r="654" spans="7:15">
      <c r="G654" s="25"/>
      <c r="O654" s="25"/>
    </row>
    <row r="655" spans="7:15">
      <c r="G655" s="25"/>
      <c r="O655" s="25"/>
    </row>
    <row r="656" spans="7:15">
      <c r="G656" s="25"/>
      <c r="O656" s="25"/>
    </row>
    <row r="657" spans="7:15">
      <c r="G657" s="25"/>
      <c r="O657" s="25"/>
    </row>
    <row r="658" spans="7:15">
      <c r="G658" s="25"/>
      <c r="O658" s="25"/>
    </row>
    <row r="659" spans="7:15">
      <c r="G659" s="25"/>
      <c r="O659" s="25"/>
    </row>
    <row r="660" spans="7:15">
      <c r="G660" s="25"/>
      <c r="O660" s="25"/>
    </row>
    <row r="661" spans="7:15">
      <c r="G661" s="25"/>
      <c r="O661" s="25"/>
    </row>
    <row r="662" spans="7:15">
      <c r="G662" s="25"/>
      <c r="O662" s="25"/>
    </row>
    <row r="663" spans="7:15">
      <c r="G663" s="25"/>
      <c r="O663" s="25"/>
    </row>
    <row r="664" spans="7:15">
      <c r="G664" s="25"/>
      <c r="O664" s="25"/>
    </row>
    <row r="665" spans="7:15">
      <c r="G665" s="25"/>
      <c r="O665" s="25"/>
    </row>
    <row r="666" spans="7:15">
      <c r="G666" s="25"/>
      <c r="O666" s="25"/>
    </row>
    <row r="667" spans="7:15">
      <c r="G667" s="25"/>
      <c r="O667" s="25"/>
    </row>
    <row r="668" spans="7:15">
      <c r="G668" s="25"/>
      <c r="O668" s="25"/>
    </row>
    <row r="669" spans="7:15">
      <c r="G669" s="25"/>
      <c r="O669" s="25"/>
    </row>
    <row r="670" spans="7:15">
      <c r="G670" s="25"/>
      <c r="O670" s="25"/>
    </row>
    <row r="671" spans="7:15">
      <c r="G671" s="25"/>
      <c r="O671" s="25"/>
    </row>
    <row r="672" spans="7:15">
      <c r="G672" s="25"/>
      <c r="O672" s="25"/>
    </row>
    <row r="673" spans="7:15">
      <c r="G673" s="25"/>
      <c r="O673" s="25"/>
    </row>
    <row r="674" spans="7:15">
      <c r="G674" s="25"/>
      <c r="O674" s="25"/>
    </row>
    <row r="675" spans="7:15">
      <c r="G675" s="25"/>
      <c r="O675" s="25"/>
    </row>
    <row r="676" spans="7:15">
      <c r="G676" s="25"/>
      <c r="O676" s="25"/>
    </row>
    <row r="677" spans="7:15">
      <c r="G677" s="25"/>
      <c r="O677" s="25"/>
    </row>
    <row r="678" spans="7:15">
      <c r="G678" s="25"/>
      <c r="O678" s="25"/>
    </row>
    <row r="679" spans="7:15">
      <c r="G679" s="25"/>
      <c r="O679" s="25"/>
    </row>
    <row r="680" spans="7:15">
      <c r="G680" s="25"/>
      <c r="O680" s="25"/>
    </row>
    <row r="681" spans="7:15">
      <c r="G681" s="25"/>
      <c r="O681" s="25"/>
    </row>
    <row r="682" spans="7:15">
      <c r="G682" s="25"/>
      <c r="O682" s="25"/>
    </row>
    <row r="683" spans="7:15">
      <c r="G683" s="25"/>
      <c r="O683" s="25"/>
    </row>
    <row r="684" spans="7:15">
      <c r="G684" s="25"/>
      <c r="O684" s="25"/>
    </row>
    <row r="685" spans="7:15">
      <c r="G685" s="25"/>
      <c r="O685" s="25"/>
    </row>
    <row r="686" spans="7:15">
      <c r="G686" s="25"/>
      <c r="O686" s="25"/>
    </row>
    <row r="687" spans="7:15">
      <c r="G687" s="25"/>
      <c r="O687" s="25"/>
    </row>
    <row r="688" spans="7:15">
      <c r="G688" s="25"/>
      <c r="O688" s="25"/>
    </row>
    <row r="689" spans="7:15">
      <c r="G689" s="25"/>
      <c r="O689" s="25"/>
    </row>
    <row r="690" spans="7:15">
      <c r="G690" s="25"/>
      <c r="O690" s="25"/>
    </row>
    <row r="691" spans="7:15">
      <c r="G691" s="25"/>
      <c r="O691" s="25"/>
    </row>
    <row r="692" spans="7:15">
      <c r="G692" s="25"/>
      <c r="O692" s="25"/>
    </row>
    <row r="693" spans="7:15">
      <c r="G693" s="25"/>
      <c r="O693" s="25"/>
    </row>
    <row r="694" spans="7:15">
      <c r="G694" s="25"/>
      <c r="O694" s="25"/>
    </row>
    <row r="695" spans="7:15">
      <c r="G695" s="25"/>
      <c r="O695" s="25"/>
    </row>
    <row r="696" spans="7:15">
      <c r="G696" s="25"/>
      <c r="O696" s="25"/>
    </row>
    <row r="697" spans="7:15">
      <c r="G697" s="25"/>
      <c r="O697" s="25"/>
    </row>
    <row r="698" spans="7:15">
      <c r="G698" s="25"/>
      <c r="O698" s="25"/>
    </row>
    <row r="699" spans="7:15">
      <c r="G699" s="25"/>
      <c r="O699" s="25"/>
    </row>
    <row r="700" spans="7:15">
      <c r="G700" s="25"/>
      <c r="O700" s="25"/>
    </row>
    <row r="701" spans="7:15">
      <c r="G701" s="25"/>
      <c r="O701" s="25"/>
    </row>
    <row r="702" spans="7:15">
      <c r="G702" s="25"/>
      <c r="O702" s="25"/>
    </row>
    <row r="703" spans="7:15">
      <c r="G703" s="25"/>
      <c r="O703" s="25"/>
    </row>
    <row r="704" spans="7:15">
      <c r="G704" s="25"/>
      <c r="O704" s="25"/>
    </row>
    <row r="705" spans="7:15">
      <c r="G705" s="25"/>
      <c r="O705" s="25"/>
    </row>
    <row r="706" spans="7:15">
      <c r="G706" s="25"/>
      <c r="O706" s="25"/>
    </row>
    <row r="707" spans="7:15">
      <c r="G707" s="25"/>
      <c r="O707" s="25"/>
    </row>
    <row r="708" spans="7:15">
      <c r="G708" s="25"/>
      <c r="O708" s="25"/>
    </row>
    <row r="709" spans="7:15">
      <c r="G709" s="25"/>
      <c r="O709" s="25"/>
    </row>
    <row r="710" spans="7:15">
      <c r="G710" s="25"/>
      <c r="O710" s="25"/>
    </row>
    <row r="711" spans="7:15">
      <c r="G711" s="25"/>
      <c r="O711" s="25"/>
    </row>
    <row r="712" spans="7:15">
      <c r="G712" s="25"/>
      <c r="O712" s="25"/>
    </row>
    <row r="713" spans="7:15">
      <c r="G713" s="25"/>
      <c r="O713" s="25"/>
    </row>
    <row r="714" spans="7:15">
      <c r="G714" s="25"/>
      <c r="O714" s="25"/>
    </row>
    <row r="715" spans="7:15">
      <c r="G715" s="25"/>
      <c r="O715" s="25"/>
    </row>
    <row r="716" spans="7:15">
      <c r="G716" s="25"/>
      <c r="O716" s="25"/>
    </row>
    <row r="717" spans="7:15">
      <c r="G717" s="25"/>
      <c r="O717" s="25"/>
    </row>
    <row r="718" spans="7:15">
      <c r="G718" s="25"/>
      <c r="O718" s="25"/>
    </row>
    <row r="719" spans="7:15">
      <c r="G719" s="25"/>
      <c r="O719" s="25"/>
    </row>
    <row r="720" spans="7:15">
      <c r="G720" s="25"/>
      <c r="O720" s="25"/>
    </row>
    <row r="721" spans="7:15">
      <c r="G721" s="25"/>
      <c r="O721" s="25"/>
    </row>
    <row r="722" spans="7:15">
      <c r="G722" s="25"/>
      <c r="O722" s="25"/>
    </row>
    <row r="723" spans="7:15">
      <c r="G723" s="25"/>
      <c r="O723" s="25"/>
    </row>
    <row r="724" spans="7:15">
      <c r="G724" s="25"/>
      <c r="O724" s="25"/>
    </row>
    <row r="725" spans="7:15">
      <c r="G725" s="25"/>
      <c r="O725" s="25"/>
    </row>
    <row r="726" spans="7:15">
      <c r="G726" s="25"/>
      <c r="O726" s="25"/>
    </row>
    <row r="727" spans="7:15">
      <c r="G727" s="25"/>
      <c r="O727" s="25"/>
    </row>
    <row r="728" spans="7:15">
      <c r="G728" s="25"/>
      <c r="O728" s="25"/>
    </row>
    <row r="729" spans="7:15">
      <c r="G729" s="25"/>
      <c r="O729" s="25"/>
    </row>
    <row r="730" spans="7:15">
      <c r="G730" s="25"/>
      <c r="O730" s="25"/>
    </row>
    <row r="731" spans="7:15">
      <c r="G731" s="25"/>
      <c r="O731" s="25"/>
    </row>
    <row r="732" spans="7:15">
      <c r="G732" s="25"/>
      <c r="O732" s="25"/>
    </row>
    <row r="733" spans="7:15">
      <c r="G733" s="25"/>
      <c r="O733" s="25"/>
    </row>
    <row r="734" spans="7:15">
      <c r="G734" s="25"/>
      <c r="O734" s="25"/>
    </row>
    <row r="735" spans="7:15">
      <c r="G735" s="25"/>
      <c r="O735" s="25"/>
    </row>
    <row r="736" spans="7:15">
      <c r="G736" s="25"/>
      <c r="O736" s="25"/>
    </row>
    <row r="737" spans="7:15">
      <c r="G737" s="25"/>
      <c r="O737" s="25"/>
    </row>
    <row r="738" spans="7:15">
      <c r="G738" s="25"/>
      <c r="O738" s="25"/>
    </row>
    <row r="739" spans="7:15">
      <c r="G739" s="25"/>
      <c r="O739" s="25"/>
    </row>
    <row r="740" spans="7:15">
      <c r="G740" s="25"/>
      <c r="O740" s="25"/>
    </row>
    <row r="741" spans="7:15">
      <c r="G741" s="25"/>
      <c r="O741" s="25"/>
    </row>
    <row r="742" spans="7:15">
      <c r="G742" s="25"/>
      <c r="O742" s="25"/>
    </row>
    <row r="743" spans="7:15">
      <c r="G743" s="25"/>
      <c r="O743" s="25"/>
    </row>
    <row r="744" spans="7:15">
      <c r="G744" s="25"/>
      <c r="O744" s="25"/>
    </row>
    <row r="745" spans="7:15">
      <c r="G745" s="25"/>
      <c r="O745" s="25"/>
    </row>
    <row r="746" spans="7:15">
      <c r="G746" s="25"/>
      <c r="O746" s="25"/>
    </row>
    <row r="747" spans="7:15">
      <c r="G747" s="25"/>
      <c r="O747" s="25"/>
    </row>
    <row r="748" spans="7:15">
      <c r="G748" s="25"/>
      <c r="O748" s="25"/>
    </row>
    <row r="749" spans="7:15">
      <c r="G749" s="25"/>
      <c r="O749" s="25"/>
    </row>
    <row r="750" spans="7:15">
      <c r="G750" s="25"/>
      <c r="O750" s="25"/>
    </row>
    <row r="751" spans="7:15">
      <c r="G751" s="25"/>
      <c r="O751" s="25"/>
    </row>
    <row r="752" spans="7:15">
      <c r="G752" s="25"/>
      <c r="O752" s="25"/>
    </row>
    <row r="753" spans="7:15">
      <c r="G753" s="25"/>
      <c r="O753" s="25"/>
    </row>
    <row r="754" spans="7:15">
      <c r="G754" s="25"/>
      <c r="O754" s="25"/>
    </row>
    <row r="755" spans="7:15">
      <c r="G755" s="25"/>
      <c r="O755" s="25"/>
    </row>
    <row r="756" spans="7:15">
      <c r="G756" s="25"/>
      <c r="O756" s="25"/>
    </row>
    <row r="757" spans="7:15">
      <c r="G757" s="25"/>
      <c r="O757" s="25"/>
    </row>
    <row r="758" spans="7:15">
      <c r="G758" s="25"/>
      <c r="O758" s="25"/>
    </row>
    <row r="759" spans="7:15">
      <c r="G759" s="25"/>
      <c r="O759" s="25"/>
    </row>
    <row r="760" spans="7:15">
      <c r="G760" s="25"/>
      <c r="O760" s="25"/>
    </row>
    <row r="761" spans="7:15">
      <c r="G761" s="25"/>
      <c r="O761" s="25"/>
    </row>
    <row r="762" spans="7:15">
      <c r="G762" s="25"/>
      <c r="O762" s="25"/>
    </row>
    <row r="763" spans="7:15">
      <c r="G763" s="25"/>
      <c r="O763" s="25"/>
    </row>
    <row r="764" spans="7:15">
      <c r="G764" s="25"/>
      <c r="O764" s="25"/>
    </row>
    <row r="765" spans="7:15">
      <c r="G765" s="25"/>
      <c r="O765" s="25"/>
    </row>
    <row r="766" spans="7:15">
      <c r="G766" s="25"/>
      <c r="O766" s="25"/>
    </row>
    <row r="767" spans="7:15">
      <c r="G767" s="25"/>
      <c r="O767" s="25"/>
    </row>
    <row r="768" spans="7:15">
      <c r="G768" s="25"/>
      <c r="O768" s="25"/>
    </row>
    <row r="769" spans="7:15">
      <c r="G769" s="25"/>
      <c r="O769" s="25"/>
    </row>
    <row r="770" spans="7:15">
      <c r="G770" s="25"/>
      <c r="O770" s="25"/>
    </row>
    <row r="771" spans="7:15">
      <c r="G771" s="25"/>
      <c r="O771" s="25"/>
    </row>
    <row r="772" spans="7:15">
      <c r="G772" s="25"/>
      <c r="O772" s="25"/>
    </row>
    <row r="773" spans="7:15">
      <c r="G773" s="25"/>
      <c r="O773" s="25"/>
    </row>
    <row r="774" spans="7:15">
      <c r="G774" s="25"/>
      <c r="O774" s="25"/>
    </row>
    <row r="775" spans="7:15">
      <c r="G775" s="25"/>
      <c r="O775" s="25"/>
    </row>
    <row r="776" spans="7:15">
      <c r="G776" s="25"/>
      <c r="O776" s="25"/>
    </row>
    <row r="777" spans="7:15">
      <c r="G777" s="25"/>
      <c r="O777" s="25"/>
    </row>
    <row r="778" spans="7:15">
      <c r="G778" s="25"/>
      <c r="O778" s="25"/>
    </row>
    <row r="779" spans="7:15">
      <c r="G779" s="25"/>
      <c r="O779" s="25"/>
    </row>
    <row r="780" spans="7:15">
      <c r="G780" s="25"/>
      <c r="O780" s="25"/>
    </row>
    <row r="781" spans="7:15">
      <c r="G781" s="25"/>
      <c r="O781" s="25"/>
    </row>
    <row r="782" spans="7:15">
      <c r="G782" s="25"/>
      <c r="O782" s="25"/>
    </row>
    <row r="783" spans="7:15">
      <c r="G783" s="25"/>
      <c r="O783" s="25"/>
    </row>
    <row r="784" spans="7:15">
      <c r="G784" s="25"/>
      <c r="O784" s="25"/>
    </row>
    <row r="785" spans="7:15">
      <c r="G785" s="25"/>
      <c r="O785" s="25"/>
    </row>
    <row r="786" spans="7:15">
      <c r="G786" s="25"/>
      <c r="O786" s="25"/>
    </row>
    <row r="787" spans="7:15">
      <c r="G787" s="25"/>
      <c r="O787" s="25"/>
    </row>
    <row r="788" spans="7:15">
      <c r="G788" s="25"/>
      <c r="O788" s="25"/>
    </row>
    <row r="789" spans="7:15">
      <c r="G789" s="25"/>
      <c r="O789" s="25"/>
    </row>
    <row r="790" spans="7:15">
      <c r="G790" s="25"/>
      <c r="O790" s="25"/>
    </row>
    <row r="791" spans="7:15">
      <c r="G791" s="25"/>
      <c r="O791" s="25"/>
    </row>
    <row r="792" spans="7:15">
      <c r="G792" s="25"/>
      <c r="O792" s="25"/>
    </row>
    <row r="793" spans="7:15">
      <c r="G793" s="25"/>
      <c r="O793" s="25"/>
    </row>
    <row r="794" spans="7:15">
      <c r="G794" s="25"/>
      <c r="O794" s="25"/>
    </row>
    <row r="795" spans="7:15">
      <c r="G795" s="25"/>
      <c r="O795" s="25"/>
    </row>
    <row r="796" spans="7:15">
      <c r="G796" s="25"/>
      <c r="O796" s="25"/>
    </row>
    <row r="797" spans="7:15">
      <c r="G797" s="25"/>
      <c r="O797" s="25"/>
    </row>
    <row r="798" spans="7:15">
      <c r="G798" s="25"/>
      <c r="O798" s="25"/>
    </row>
    <row r="799" spans="7:15">
      <c r="G799" s="25"/>
      <c r="O799" s="25"/>
    </row>
    <row r="800" spans="7:15">
      <c r="G800" s="25"/>
      <c r="O800" s="25"/>
    </row>
    <row r="801" spans="7:15">
      <c r="G801" s="25"/>
      <c r="O801" s="25"/>
    </row>
    <row r="802" spans="7:15">
      <c r="G802" s="25"/>
      <c r="O802" s="25"/>
    </row>
    <row r="803" spans="7:15">
      <c r="G803" s="25"/>
      <c r="O803" s="25"/>
    </row>
    <row r="804" spans="7:15">
      <c r="G804" s="25"/>
      <c r="O804" s="25"/>
    </row>
    <row r="805" spans="7:15">
      <c r="G805" s="25"/>
      <c r="O805" s="25"/>
    </row>
    <row r="806" spans="7:15">
      <c r="G806" s="25"/>
      <c r="O806" s="25"/>
    </row>
    <row r="807" spans="7:15">
      <c r="G807" s="25"/>
      <c r="O807" s="25"/>
    </row>
    <row r="808" spans="7:15">
      <c r="G808" s="25"/>
      <c r="O808" s="25"/>
    </row>
    <row r="809" spans="7:15">
      <c r="G809" s="25"/>
      <c r="O809" s="25"/>
    </row>
    <row r="810" spans="7:15">
      <c r="G810" s="25"/>
      <c r="O810" s="25"/>
    </row>
    <row r="811" spans="7:15">
      <c r="G811" s="25"/>
      <c r="O811" s="25"/>
    </row>
    <row r="812" spans="7:15">
      <c r="G812" s="25"/>
      <c r="O812" s="25"/>
    </row>
    <row r="813" spans="7:15">
      <c r="G813" s="25"/>
      <c r="O813" s="25"/>
    </row>
    <row r="814" spans="7:15">
      <c r="G814" s="25"/>
      <c r="O814" s="25"/>
    </row>
    <row r="815" spans="7:15">
      <c r="G815" s="25"/>
      <c r="O815" s="25"/>
    </row>
    <row r="816" spans="7:15">
      <c r="G816" s="25"/>
      <c r="O816" s="25"/>
    </row>
    <row r="817" spans="7:15">
      <c r="G817" s="25"/>
      <c r="O817" s="25"/>
    </row>
    <row r="818" spans="7:15">
      <c r="G818" s="25"/>
      <c r="O818" s="25"/>
    </row>
    <row r="819" spans="7:15">
      <c r="G819" s="25"/>
      <c r="O819" s="25"/>
    </row>
    <row r="820" spans="7:15">
      <c r="G820" s="25"/>
      <c r="O820" s="25"/>
    </row>
    <row r="821" spans="7:15">
      <c r="G821" s="25"/>
      <c r="O821" s="25"/>
    </row>
    <row r="822" spans="7:15">
      <c r="G822" s="25"/>
      <c r="O822" s="25"/>
    </row>
    <row r="823" spans="7:15">
      <c r="G823" s="25"/>
      <c r="O823" s="25"/>
    </row>
    <row r="824" spans="7:15">
      <c r="G824" s="25"/>
      <c r="O824" s="25"/>
    </row>
    <row r="825" spans="7:15">
      <c r="G825" s="25"/>
      <c r="O825" s="25"/>
    </row>
    <row r="826" spans="7:15">
      <c r="G826" s="25"/>
      <c r="O826" s="25"/>
    </row>
    <row r="827" spans="7:15">
      <c r="G827" s="25"/>
      <c r="O827" s="25"/>
    </row>
    <row r="828" spans="7:15">
      <c r="G828" s="25"/>
      <c r="O828" s="25"/>
    </row>
    <row r="829" spans="7:15">
      <c r="G829" s="25"/>
      <c r="O829" s="25"/>
    </row>
    <row r="830" spans="7:15">
      <c r="G830" s="25"/>
      <c r="O830" s="25"/>
    </row>
    <row r="831" spans="7:15">
      <c r="G831" s="25"/>
      <c r="O831" s="25"/>
    </row>
    <row r="832" spans="7:15">
      <c r="G832" s="25"/>
      <c r="O832" s="25"/>
    </row>
    <row r="833" spans="7:15">
      <c r="G833" s="25"/>
      <c r="O833" s="25"/>
    </row>
    <row r="834" spans="7:15">
      <c r="G834" s="25"/>
      <c r="O834" s="25"/>
    </row>
    <row r="835" spans="7:15">
      <c r="G835" s="25"/>
      <c r="O835" s="25"/>
    </row>
    <row r="836" spans="7:15">
      <c r="G836" s="25"/>
      <c r="O836" s="25"/>
    </row>
    <row r="837" spans="7:15">
      <c r="G837" s="25"/>
      <c r="O837" s="25"/>
    </row>
    <row r="838" spans="7:15">
      <c r="G838" s="25"/>
      <c r="O838" s="25"/>
    </row>
    <row r="839" spans="7:15">
      <c r="G839" s="25"/>
      <c r="O839" s="25"/>
    </row>
    <row r="840" spans="7:15">
      <c r="G840" s="25"/>
      <c r="O840" s="25"/>
    </row>
    <row r="841" spans="7:15">
      <c r="G841" s="25"/>
      <c r="O841" s="25"/>
    </row>
    <row r="842" spans="7:15">
      <c r="G842" s="25"/>
      <c r="O842" s="25"/>
    </row>
    <row r="843" spans="7:15">
      <c r="G843" s="25"/>
      <c r="O843" s="25"/>
    </row>
    <row r="844" spans="7:15">
      <c r="G844" s="25"/>
      <c r="O844" s="25"/>
    </row>
    <row r="845" spans="7:15">
      <c r="G845" s="25"/>
      <c r="O845" s="25"/>
    </row>
    <row r="846" spans="7:15">
      <c r="G846" s="25"/>
      <c r="O846" s="25"/>
    </row>
    <row r="847" spans="7:15">
      <c r="G847" s="25"/>
      <c r="O847" s="25"/>
    </row>
    <row r="848" spans="7:15">
      <c r="G848" s="25"/>
      <c r="O848" s="25"/>
    </row>
    <row r="849" spans="7:15">
      <c r="G849" s="25"/>
      <c r="O849" s="25"/>
    </row>
    <row r="850" spans="7:15">
      <c r="G850" s="25"/>
      <c r="O850" s="25"/>
    </row>
    <row r="851" spans="7:15">
      <c r="G851" s="25"/>
      <c r="O851" s="25"/>
    </row>
    <row r="852" spans="7:15">
      <c r="G852" s="25"/>
      <c r="O852" s="25"/>
    </row>
    <row r="853" spans="7:15">
      <c r="G853" s="25"/>
      <c r="O853" s="25"/>
    </row>
    <row r="854" spans="7:15">
      <c r="G854" s="25"/>
      <c r="O854" s="25"/>
    </row>
    <row r="855" spans="7:15">
      <c r="G855" s="25"/>
      <c r="O855" s="25"/>
    </row>
    <row r="856" spans="7:15">
      <c r="G856" s="25"/>
      <c r="O856" s="25"/>
    </row>
    <row r="857" spans="7:15">
      <c r="G857" s="25"/>
      <c r="O857" s="25"/>
    </row>
    <row r="858" spans="7:15">
      <c r="G858" s="25"/>
      <c r="O858" s="25"/>
    </row>
    <row r="859" spans="7:15">
      <c r="G859" s="25"/>
      <c r="O859" s="25"/>
    </row>
    <row r="860" spans="7:15">
      <c r="G860" s="25"/>
      <c r="O860" s="25"/>
    </row>
    <row r="861" spans="7:15">
      <c r="G861" s="25"/>
      <c r="O861" s="25"/>
    </row>
    <row r="862" spans="7:15">
      <c r="G862" s="25"/>
      <c r="O862" s="25"/>
    </row>
    <row r="863" spans="7:15">
      <c r="G863" s="25"/>
      <c r="O863" s="25"/>
    </row>
    <row r="864" spans="7:15">
      <c r="G864" s="25"/>
      <c r="O864" s="25"/>
    </row>
    <row r="865" spans="7:15">
      <c r="G865" s="25"/>
      <c r="O865" s="25"/>
    </row>
    <row r="866" spans="7:15">
      <c r="G866" s="25"/>
      <c r="O866" s="25"/>
    </row>
    <row r="867" spans="7:15">
      <c r="G867" s="25"/>
      <c r="O867" s="25"/>
    </row>
    <row r="868" spans="7:15">
      <c r="G868" s="25"/>
      <c r="O868" s="25"/>
    </row>
    <row r="869" spans="7:15">
      <c r="G869" s="25"/>
      <c r="O869" s="25"/>
    </row>
    <row r="870" spans="7:15">
      <c r="G870" s="25"/>
      <c r="O870" s="25"/>
    </row>
    <row r="871" spans="7:15">
      <c r="G871" s="25"/>
      <c r="O871" s="25"/>
    </row>
    <row r="872" spans="7:15">
      <c r="G872" s="25"/>
      <c r="O872" s="25"/>
    </row>
    <row r="873" spans="7:15">
      <c r="G873" s="25"/>
      <c r="O873" s="25"/>
    </row>
    <row r="874" spans="7:15">
      <c r="G874" s="25"/>
      <c r="O874" s="25"/>
    </row>
    <row r="875" spans="7:15">
      <c r="G875" s="25"/>
      <c r="O875" s="25"/>
    </row>
    <row r="876" spans="7:15">
      <c r="G876" s="25"/>
      <c r="O876" s="25"/>
    </row>
    <row r="877" spans="7:15">
      <c r="G877" s="25"/>
      <c r="O877" s="25"/>
    </row>
    <row r="878" spans="7:15">
      <c r="G878" s="25"/>
      <c r="O878" s="25"/>
    </row>
    <row r="879" spans="7:15">
      <c r="G879" s="25"/>
      <c r="O879" s="25"/>
    </row>
    <row r="880" spans="7:15">
      <c r="G880" s="25"/>
      <c r="O880" s="25"/>
    </row>
    <row r="881" spans="7:15">
      <c r="G881" s="25"/>
      <c r="O881" s="25"/>
    </row>
    <row r="882" spans="7:15">
      <c r="G882" s="25"/>
      <c r="O882" s="25"/>
    </row>
    <row r="883" spans="7:15">
      <c r="G883" s="25"/>
      <c r="O883" s="25"/>
    </row>
    <row r="884" spans="7:15">
      <c r="G884" s="25"/>
      <c r="O884" s="25"/>
    </row>
    <row r="885" spans="7:15">
      <c r="G885" s="25"/>
      <c r="O885" s="25"/>
    </row>
    <row r="886" spans="7:15">
      <c r="G886" s="25"/>
      <c r="O886" s="25"/>
    </row>
    <row r="887" spans="7:15">
      <c r="G887" s="25"/>
      <c r="O887" s="25"/>
    </row>
    <row r="888" spans="7:15">
      <c r="G888" s="25"/>
      <c r="O888" s="25"/>
    </row>
    <row r="889" spans="7:15">
      <c r="G889" s="25"/>
      <c r="O889" s="25"/>
    </row>
    <row r="890" spans="7:15">
      <c r="G890" s="25"/>
      <c r="O890" s="25"/>
    </row>
    <row r="891" spans="7:15">
      <c r="G891" s="25"/>
      <c r="O891" s="25"/>
    </row>
    <row r="892" spans="7:15">
      <c r="G892" s="25"/>
      <c r="O892" s="25"/>
    </row>
    <row r="893" spans="7:15">
      <c r="G893" s="25"/>
      <c r="O893" s="25"/>
    </row>
    <row r="894" spans="7:15">
      <c r="G894" s="25"/>
      <c r="O894" s="25"/>
    </row>
    <row r="895" spans="7:15">
      <c r="G895" s="25"/>
      <c r="O895" s="25"/>
    </row>
    <row r="896" spans="7:15">
      <c r="G896" s="25"/>
      <c r="O896" s="25"/>
    </row>
    <row r="897" spans="7:15">
      <c r="G897" s="25"/>
      <c r="O897" s="25"/>
    </row>
    <row r="898" spans="7:15">
      <c r="G898" s="25"/>
      <c r="O898" s="25"/>
    </row>
    <row r="899" spans="7:15">
      <c r="G899" s="25"/>
      <c r="O899" s="25"/>
    </row>
    <row r="900" spans="7:15">
      <c r="G900" s="25"/>
      <c r="O900" s="25"/>
    </row>
    <row r="901" spans="7:15">
      <c r="G901" s="25"/>
      <c r="O901" s="25"/>
    </row>
    <row r="902" spans="7:15">
      <c r="G902" s="25"/>
      <c r="O902" s="25"/>
    </row>
    <row r="903" spans="7:15">
      <c r="G903" s="25"/>
      <c r="O903" s="25"/>
    </row>
    <row r="904" spans="7:15">
      <c r="G904" s="25"/>
      <c r="O904" s="25"/>
    </row>
    <row r="905" spans="7:15">
      <c r="G905" s="25"/>
      <c r="O905" s="25"/>
    </row>
    <row r="906" spans="7:15">
      <c r="G906" s="25"/>
      <c r="O906" s="25"/>
    </row>
    <row r="907" spans="7:15">
      <c r="G907" s="25"/>
      <c r="O907" s="25"/>
    </row>
    <row r="908" spans="7:15">
      <c r="G908" s="25"/>
      <c r="O908" s="25"/>
    </row>
    <row r="909" spans="7:15">
      <c r="G909" s="25"/>
      <c r="O909" s="25"/>
    </row>
    <row r="910" spans="7:15">
      <c r="G910" s="25"/>
      <c r="O910" s="25"/>
    </row>
    <row r="911" spans="7:15">
      <c r="G911" s="25"/>
      <c r="O911" s="25"/>
    </row>
    <row r="912" spans="7:15">
      <c r="G912" s="25"/>
      <c r="O912" s="25"/>
    </row>
    <row r="913" spans="7:15">
      <c r="G913" s="25"/>
      <c r="O913" s="25"/>
    </row>
    <row r="914" spans="7:15">
      <c r="G914" s="25"/>
      <c r="O914" s="25"/>
    </row>
    <row r="915" spans="7:15">
      <c r="G915" s="25"/>
      <c r="O915" s="25"/>
    </row>
    <row r="916" spans="7:15">
      <c r="G916" s="25"/>
      <c r="O916" s="25"/>
    </row>
    <row r="917" spans="7:15">
      <c r="G917" s="25"/>
      <c r="O917" s="25"/>
    </row>
    <row r="918" spans="7:15">
      <c r="G918" s="25"/>
      <c r="O918" s="25"/>
    </row>
    <row r="919" spans="7:15">
      <c r="G919" s="25"/>
      <c r="O919" s="25"/>
    </row>
    <row r="920" spans="7:15">
      <c r="G920" s="25"/>
      <c r="O920" s="25"/>
    </row>
    <row r="921" spans="7:15">
      <c r="G921" s="25"/>
      <c r="O921" s="25"/>
    </row>
    <row r="922" spans="7:15">
      <c r="G922" s="25"/>
      <c r="O922" s="25"/>
    </row>
    <row r="923" spans="7:15">
      <c r="G923" s="25"/>
      <c r="O923" s="25"/>
    </row>
    <row r="924" spans="7:15">
      <c r="G924" s="25"/>
      <c r="O924" s="25"/>
    </row>
    <row r="925" spans="7:15">
      <c r="G925" s="25"/>
      <c r="O925" s="25"/>
    </row>
    <row r="926" spans="7:15">
      <c r="G926" s="25"/>
      <c r="O926" s="25"/>
    </row>
    <row r="927" spans="7:15">
      <c r="G927" s="25"/>
      <c r="O927" s="25"/>
    </row>
    <row r="928" spans="7:15">
      <c r="G928" s="25"/>
      <c r="O928" s="25"/>
    </row>
    <row r="929" spans="7:15">
      <c r="G929" s="25"/>
      <c r="O929" s="25"/>
    </row>
    <row r="930" spans="7:15">
      <c r="G930" s="25"/>
      <c r="O930" s="25"/>
    </row>
    <row r="931" spans="7:15">
      <c r="G931" s="25"/>
      <c r="O931" s="25"/>
    </row>
    <row r="932" spans="7:15">
      <c r="G932" s="25"/>
      <c r="O932" s="25"/>
    </row>
    <row r="933" spans="7:15">
      <c r="G933" s="25"/>
      <c r="O933" s="25"/>
    </row>
    <row r="934" spans="7:15">
      <c r="G934" s="25"/>
      <c r="O934" s="25"/>
    </row>
    <row r="935" spans="7:15">
      <c r="G935" s="25"/>
      <c r="O935" s="25"/>
    </row>
    <row r="936" spans="7:15">
      <c r="G936" s="25"/>
      <c r="O936" s="25"/>
    </row>
    <row r="937" spans="7:15">
      <c r="G937" s="25"/>
      <c r="O937" s="25"/>
    </row>
    <row r="938" spans="7:15">
      <c r="G938" s="25"/>
      <c r="O938" s="25"/>
    </row>
    <row r="939" spans="7:15">
      <c r="G939" s="25"/>
      <c r="O939" s="25"/>
    </row>
    <row r="940" spans="7:15">
      <c r="G940" s="25"/>
      <c r="O940" s="25"/>
    </row>
    <row r="941" spans="7:15">
      <c r="G941" s="25"/>
      <c r="O941" s="25"/>
    </row>
    <row r="942" spans="7:15">
      <c r="G942" s="25"/>
      <c r="O942" s="25"/>
    </row>
    <row r="943" spans="7:15">
      <c r="G943" s="25"/>
      <c r="O943" s="25"/>
    </row>
    <row r="944" spans="7:15">
      <c r="G944" s="25"/>
      <c r="O944" s="25"/>
    </row>
    <row r="945" spans="7:15">
      <c r="G945" s="25"/>
      <c r="O945" s="25"/>
    </row>
    <row r="946" spans="7:15">
      <c r="G946" s="25"/>
      <c r="O946" s="25"/>
    </row>
    <row r="947" spans="7:15">
      <c r="G947" s="25"/>
      <c r="O947" s="25"/>
    </row>
    <row r="948" spans="7:15">
      <c r="G948" s="25"/>
      <c r="O948" s="25"/>
    </row>
    <row r="949" spans="7:15">
      <c r="G949" s="25"/>
      <c r="O949" s="25"/>
    </row>
    <row r="950" spans="7:15">
      <c r="G950" s="25"/>
      <c r="O950" s="25"/>
    </row>
    <row r="951" spans="7:15">
      <c r="G951" s="25"/>
      <c r="O951" s="25"/>
    </row>
    <row r="952" spans="7:15">
      <c r="G952" s="25"/>
      <c r="O952" s="25"/>
    </row>
    <row r="953" spans="7:15">
      <c r="G953" s="25"/>
      <c r="O953" s="25"/>
    </row>
    <row r="954" spans="7:15">
      <c r="G954" s="25"/>
      <c r="O954" s="25"/>
    </row>
    <row r="955" spans="7:15">
      <c r="G955" s="25"/>
      <c r="O955" s="25"/>
    </row>
    <row r="956" spans="7:15">
      <c r="G956" s="25"/>
      <c r="O956" s="25"/>
    </row>
    <row r="957" spans="7:15">
      <c r="G957" s="25"/>
      <c r="O957" s="25"/>
    </row>
    <row r="958" spans="7:15">
      <c r="G958" s="25"/>
      <c r="O958" s="25"/>
    </row>
    <row r="959" spans="7:15">
      <c r="G959" s="25"/>
      <c r="O959" s="25"/>
    </row>
    <row r="960" spans="7:15">
      <c r="G960" s="25"/>
      <c r="O960" s="25"/>
    </row>
    <row r="961" spans="7:15">
      <c r="G961" s="25"/>
      <c r="O961" s="25"/>
    </row>
    <row r="962" spans="7:15">
      <c r="G962" s="25"/>
      <c r="O962" s="25"/>
    </row>
    <row r="963" spans="7:15">
      <c r="G963" s="25"/>
      <c r="O963" s="25"/>
    </row>
    <row r="964" spans="7:15">
      <c r="G964" s="25"/>
      <c r="O964" s="25"/>
    </row>
    <row r="965" spans="7:15">
      <c r="G965" s="25"/>
      <c r="O965" s="25"/>
    </row>
    <row r="966" spans="7:15">
      <c r="G966" s="25"/>
      <c r="O966" s="25"/>
    </row>
    <row r="967" spans="7:15">
      <c r="G967" s="25"/>
      <c r="O967" s="25"/>
    </row>
    <row r="968" spans="7:15">
      <c r="G968" s="25"/>
      <c r="O968" s="25"/>
    </row>
    <row r="969" spans="7:15">
      <c r="G969" s="25"/>
      <c r="O969" s="25"/>
    </row>
    <row r="970" spans="7:15">
      <c r="G970" s="25"/>
      <c r="O970" s="25"/>
    </row>
    <row r="971" spans="7:15">
      <c r="G971" s="25"/>
      <c r="O971" s="25"/>
    </row>
    <row r="972" spans="7:15">
      <c r="G972" s="25"/>
      <c r="O972" s="25"/>
    </row>
    <row r="973" spans="7:15">
      <c r="G973" s="25"/>
      <c r="O973" s="25"/>
    </row>
    <row r="974" spans="7:15">
      <c r="G974" s="25"/>
      <c r="O974" s="25"/>
    </row>
    <row r="975" spans="7:15">
      <c r="G975" s="25"/>
      <c r="O975" s="25"/>
    </row>
    <row r="976" spans="7:15">
      <c r="G976" s="25"/>
      <c r="O976" s="25"/>
    </row>
    <row r="977" spans="7:15">
      <c r="G977" s="25"/>
      <c r="O977" s="25"/>
    </row>
    <row r="978" spans="7:15">
      <c r="G978" s="25"/>
      <c r="O978" s="25"/>
    </row>
    <row r="979" spans="7:15">
      <c r="G979" s="25"/>
      <c r="O979" s="25"/>
    </row>
    <row r="980" spans="7:15">
      <c r="G980" s="25"/>
      <c r="O980" s="25"/>
    </row>
    <row r="981" spans="7:15">
      <c r="G981" s="25"/>
      <c r="O981" s="25"/>
    </row>
    <row r="982" spans="7:15">
      <c r="G982" s="25"/>
      <c r="O982" s="25"/>
    </row>
    <row r="983" spans="7:15">
      <c r="G983" s="25"/>
      <c r="O983" s="25"/>
    </row>
    <row r="984" spans="7:15">
      <c r="G984" s="25"/>
      <c r="O984" s="25"/>
    </row>
    <row r="985" spans="7:15">
      <c r="G985" s="25"/>
      <c r="O985" s="25"/>
    </row>
    <row r="986" spans="7:15">
      <c r="G986" s="25"/>
      <c r="O986" s="25"/>
    </row>
    <row r="987" spans="7:15">
      <c r="G987" s="25"/>
      <c r="O987" s="25"/>
    </row>
    <row r="988" spans="7:15">
      <c r="G988" s="25"/>
      <c r="O988" s="25"/>
    </row>
    <row r="989" spans="7:15">
      <c r="G989" s="25"/>
      <c r="O989" s="25"/>
    </row>
    <row r="990" spans="7:15">
      <c r="G990" s="25"/>
      <c r="O990" s="25"/>
    </row>
    <row r="991" spans="7:15">
      <c r="G991" s="25"/>
      <c r="O991" s="25"/>
    </row>
    <row r="992" spans="7:15">
      <c r="G992" s="25"/>
      <c r="O992" s="25"/>
    </row>
    <row r="993" spans="7:15">
      <c r="G993" s="25"/>
      <c r="O993" s="25"/>
    </row>
    <row r="994" spans="7:15">
      <c r="G994" s="25"/>
      <c r="O994" s="25"/>
    </row>
    <row r="995" spans="7:15">
      <c r="G995" s="25"/>
      <c r="O995" s="25"/>
    </row>
    <row r="996" spans="7:15">
      <c r="G996" s="25"/>
      <c r="O996" s="25"/>
    </row>
    <row r="997" spans="7:15">
      <c r="G997" s="25"/>
      <c r="O997" s="25"/>
    </row>
    <row r="998" spans="7:15">
      <c r="G998" s="25"/>
      <c r="O998" s="25"/>
    </row>
    <row r="999" spans="7:15">
      <c r="G999" s="25"/>
      <c r="O999" s="25"/>
    </row>
    <row r="1000" spans="7:15">
      <c r="G1000" s="25"/>
      <c r="O1000" s="25"/>
    </row>
    <row r="1001" spans="7:15">
      <c r="G1001" s="25"/>
      <c r="O1001" s="25"/>
    </row>
    <row r="1002" spans="7:15">
      <c r="G1002" s="25"/>
      <c r="O1002" s="25"/>
    </row>
    <row r="1003" spans="7:15">
      <c r="G1003" s="25"/>
      <c r="O1003" s="25"/>
    </row>
    <row r="1004" spans="7:15">
      <c r="G1004" s="25"/>
      <c r="O1004" s="25"/>
    </row>
    <row r="1005" spans="7:15">
      <c r="G1005" s="25"/>
      <c r="O1005" s="25"/>
    </row>
    <row r="1006" spans="7:15">
      <c r="G1006" s="25"/>
      <c r="O1006" s="25"/>
    </row>
    <row r="1007" spans="7:15">
      <c r="G1007" s="25"/>
      <c r="O1007" s="25"/>
    </row>
    <row r="1008" spans="7:15">
      <c r="G1008" s="25"/>
      <c r="O1008" s="25"/>
    </row>
    <row r="1009" spans="7:15">
      <c r="G1009" s="25"/>
      <c r="O1009" s="25"/>
    </row>
    <row r="1010" spans="7:15">
      <c r="G1010" s="25"/>
      <c r="O1010" s="25"/>
    </row>
    <row r="1011" spans="7:15">
      <c r="G1011" s="25"/>
      <c r="O1011" s="25"/>
    </row>
    <row r="1012" spans="7:15">
      <c r="G1012" s="25"/>
      <c r="O1012" s="25"/>
    </row>
    <row r="1013" spans="7:15">
      <c r="G1013" s="25"/>
      <c r="O1013" s="25"/>
    </row>
    <row r="1014" spans="7:15">
      <c r="G1014" s="25"/>
      <c r="O1014" s="25"/>
    </row>
    <row r="1015" spans="7:15">
      <c r="G1015" s="25"/>
      <c r="O1015" s="25"/>
    </row>
    <row r="1016" spans="7:15">
      <c r="G1016" s="25"/>
      <c r="O1016" s="25"/>
    </row>
    <row r="1017" spans="7:15">
      <c r="G1017" s="25"/>
      <c r="O1017" s="25"/>
    </row>
    <row r="1018" spans="7:15">
      <c r="G1018" s="25"/>
      <c r="O1018" s="25"/>
    </row>
    <row r="1019" spans="7:15">
      <c r="G1019" s="25"/>
      <c r="O1019" s="25"/>
    </row>
    <row r="1020" spans="7:15">
      <c r="G1020" s="25"/>
      <c r="O1020" s="25"/>
    </row>
    <row r="1021" spans="7:15">
      <c r="G1021" s="25"/>
      <c r="O1021" s="25"/>
    </row>
    <row r="1022" spans="7:15">
      <c r="G1022" s="25"/>
      <c r="O1022" s="25"/>
    </row>
    <row r="1023" spans="7:15">
      <c r="G1023" s="25"/>
      <c r="O1023" s="25"/>
    </row>
    <row r="1024" spans="7:15">
      <c r="G1024" s="25"/>
      <c r="O1024" s="25"/>
    </row>
    <row r="1025" spans="7:15">
      <c r="G1025" s="25"/>
      <c r="O1025" s="25"/>
    </row>
    <row r="1026" spans="7:15">
      <c r="G1026" s="25"/>
      <c r="O1026" s="25"/>
    </row>
    <row r="1027" spans="7:15">
      <c r="G1027" s="25"/>
      <c r="O1027" s="25"/>
    </row>
    <row r="1028" spans="7:15">
      <c r="G1028" s="25"/>
      <c r="O1028" s="25"/>
    </row>
    <row r="1029" spans="7:15">
      <c r="G1029" s="25"/>
      <c r="O1029" s="25"/>
    </row>
    <row r="1030" spans="7:15">
      <c r="G1030" s="25"/>
      <c r="O1030" s="25"/>
    </row>
    <row r="1031" spans="7:15">
      <c r="G1031" s="25"/>
      <c r="O1031" s="25"/>
    </row>
    <row r="1032" spans="7:15">
      <c r="G1032" s="25"/>
      <c r="O1032" s="25"/>
    </row>
    <row r="1033" spans="7:15">
      <c r="G1033" s="25"/>
      <c r="O1033" s="25"/>
    </row>
    <row r="1034" spans="7:15">
      <c r="G1034" s="25"/>
      <c r="O1034" s="25"/>
    </row>
    <row r="1035" spans="7:15">
      <c r="G1035" s="25"/>
      <c r="O1035" s="25"/>
    </row>
    <row r="1036" spans="7:15">
      <c r="G1036" s="25"/>
      <c r="O1036" s="25"/>
    </row>
    <row r="1037" spans="7:15">
      <c r="G1037" s="25"/>
      <c r="O1037" s="25"/>
    </row>
    <row r="1038" spans="7:15">
      <c r="G1038" s="25"/>
      <c r="O1038" s="25"/>
    </row>
    <row r="1039" spans="7:15">
      <c r="G1039" s="25"/>
      <c r="O1039" s="25"/>
    </row>
    <row r="1040" spans="7:15">
      <c r="G1040" s="25"/>
      <c r="O1040" s="25"/>
    </row>
    <row r="1041" spans="7:15">
      <c r="G1041" s="25"/>
      <c r="O1041" s="25"/>
    </row>
    <row r="1042" spans="7:15">
      <c r="G1042" s="25"/>
      <c r="O1042" s="25"/>
    </row>
    <row r="1043" spans="7:15">
      <c r="G1043" s="25"/>
      <c r="O1043" s="25"/>
    </row>
    <row r="1044" spans="7:15">
      <c r="G1044" s="25"/>
      <c r="O1044" s="25"/>
    </row>
    <row r="1045" spans="7:15">
      <c r="G1045" s="25"/>
      <c r="O1045" s="25"/>
    </row>
    <row r="1046" spans="7:15">
      <c r="G1046" s="25"/>
      <c r="O1046" s="25"/>
    </row>
    <row r="1047" spans="7:15">
      <c r="G1047" s="25"/>
      <c r="O1047" s="25"/>
    </row>
    <row r="1048" spans="7:15">
      <c r="G1048" s="25"/>
      <c r="O1048" s="25"/>
    </row>
    <row r="1049" spans="7:15">
      <c r="G1049" s="25"/>
      <c r="O1049" s="25"/>
    </row>
    <row r="1050" spans="7:15">
      <c r="G1050" s="25"/>
      <c r="O1050" s="25"/>
    </row>
    <row r="1051" spans="7:15">
      <c r="G1051" s="25"/>
      <c r="O1051" s="25"/>
    </row>
    <row r="1052" spans="7:15">
      <c r="G1052" s="25"/>
      <c r="O1052" s="25"/>
    </row>
    <row r="1053" spans="7:15">
      <c r="G1053" s="25"/>
      <c r="O1053" s="25"/>
    </row>
    <row r="1054" spans="7:15">
      <c r="G1054" s="25"/>
      <c r="O1054" s="25"/>
    </row>
    <row r="1055" spans="7:15">
      <c r="G1055" s="25"/>
      <c r="O1055" s="25"/>
    </row>
    <row r="1056" spans="7:15">
      <c r="G1056" s="25"/>
      <c r="O1056" s="25"/>
    </row>
    <row r="1057" spans="7:15">
      <c r="G1057" s="25"/>
      <c r="O1057" s="25"/>
    </row>
    <row r="1058" spans="7:15">
      <c r="G1058" s="25"/>
      <c r="O1058" s="25"/>
    </row>
    <row r="1059" spans="7:15">
      <c r="G1059" s="25"/>
      <c r="O1059" s="25"/>
    </row>
    <row r="1060" spans="7:15">
      <c r="G1060" s="25"/>
      <c r="O1060" s="25"/>
    </row>
    <row r="1061" spans="7:15">
      <c r="G1061" s="25"/>
      <c r="O1061" s="25"/>
    </row>
    <row r="1062" spans="7:15">
      <c r="G1062" s="25"/>
      <c r="O1062" s="25"/>
    </row>
    <row r="1063" spans="7:15">
      <c r="G1063" s="25"/>
      <c r="O1063" s="25"/>
    </row>
    <row r="1064" spans="7:15">
      <c r="G1064" s="25"/>
      <c r="O1064" s="25"/>
    </row>
    <row r="1065" spans="7:15">
      <c r="G1065" s="25"/>
      <c r="O1065" s="25"/>
    </row>
    <row r="1066" spans="7:15">
      <c r="G1066" s="25"/>
      <c r="O1066" s="25"/>
    </row>
    <row r="1067" spans="7:15">
      <c r="G1067" s="25"/>
      <c r="O1067" s="25"/>
    </row>
    <row r="1068" spans="7:15">
      <c r="G1068" s="25"/>
      <c r="O1068" s="25"/>
    </row>
    <row r="1069" spans="7:15">
      <c r="G1069" s="25"/>
      <c r="O1069" s="25"/>
    </row>
    <row r="1070" spans="7:15">
      <c r="G1070" s="25"/>
      <c r="O1070" s="25"/>
    </row>
    <row r="1071" spans="7:15">
      <c r="G1071" s="25"/>
      <c r="O1071" s="25"/>
    </row>
    <row r="1072" spans="7:15">
      <c r="G1072" s="25"/>
      <c r="O1072" s="25"/>
    </row>
    <row r="1073" spans="7:15">
      <c r="G1073" s="25"/>
      <c r="O1073" s="25"/>
    </row>
    <row r="1074" spans="7:15">
      <c r="G1074" s="25"/>
      <c r="O1074" s="25"/>
    </row>
    <row r="1075" spans="7:15">
      <c r="G1075" s="25"/>
      <c r="O1075" s="25"/>
    </row>
    <row r="1076" spans="7:15">
      <c r="G1076" s="25"/>
      <c r="O1076" s="25"/>
    </row>
    <row r="1077" spans="7:15">
      <c r="G1077" s="25"/>
      <c r="O1077" s="25"/>
    </row>
    <row r="1078" spans="7:15">
      <c r="G1078" s="25"/>
      <c r="O1078" s="25"/>
    </row>
    <row r="1079" spans="7:15">
      <c r="G1079" s="25"/>
      <c r="O1079" s="25"/>
    </row>
    <row r="1080" spans="7:15">
      <c r="G1080" s="25"/>
      <c r="O1080" s="25"/>
    </row>
    <row r="1081" spans="7:15">
      <c r="G1081" s="25"/>
      <c r="O1081" s="25"/>
    </row>
    <row r="1082" spans="7:15">
      <c r="G1082" s="25"/>
      <c r="O1082" s="25"/>
    </row>
    <row r="1083" spans="7:15">
      <c r="G1083" s="25"/>
      <c r="O1083" s="25"/>
    </row>
    <row r="1084" spans="7:15">
      <c r="G1084" s="25"/>
      <c r="O1084" s="25"/>
    </row>
    <row r="1085" spans="7:15">
      <c r="G1085" s="25"/>
      <c r="O1085" s="25"/>
    </row>
    <row r="1086" spans="7:15">
      <c r="G1086" s="25"/>
      <c r="O1086" s="25"/>
    </row>
    <row r="1087" spans="7:15">
      <c r="G1087" s="25"/>
      <c r="O1087" s="25"/>
    </row>
    <row r="1088" spans="7:15">
      <c r="G1088" s="25"/>
      <c r="O1088" s="25"/>
    </row>
    <row r="1089" spans="7:15">
      <c r="G1089" s="25"/>
      <c r="O1089" s="25"/>
    </row>
    <row r="1090" spans="7:15">
      <c r="G1090" s="25"/>
      <c r="O1090" s="25"/>
    </row>
    <row r="1091" spans="7:15">
      <c r="G1091" s="25"/>
      <c r="O1091" s="25"/>
    </row>
    <row r="1092" spans="7:15">
      <c r="G1092" s="25"/>
      <c r="O1092" s="25"/>
    </row>
    <row r="1093" spans="7:15">
      <c r="G1093" s="25"/>
      <c r="O1093" s="25"/>
    </row>
    <row r="1094" spans="7:15">
      <c r="G1094" s="25"/>
      <c r="O1094" s="25"/>
    </row>
    <row r="1095" spans="7:15">
      <c r="G1095" s="25"/>
      <c r="O1095" s="25"/>
    </row>
    <row r="1096" spans="7:15">
      <c r="G1096" s="25"/>
      <c r="O1096" s="25"/>
    </row>
    <row r="1097" spans="7:15">
      <c r="G1097" s="25"/>
      <c r="O1097" s="25"/>
    </row>
    <row r="1098" spans="7:15">
      <c r="G1098" s="25"/>
      <c r="O1098" s="25"/>
    </row>
    <row r="1099" spans="7:15">
      <c r="G1099" s="25"/>
      <c r="O1099" s="25"/>
    </row>
    <row r="1100" spans="7:15">
      <c r="G1100" s="25"/>
      <c r="O1100" s="25"/>
    </row>
    <row r="1101" spans="7:15">
      <c r="G1101" s="25"/>
      <c r="O1101" s="25"/>
    </row>
    <row r="1102" spans="7:15">
      <c r="G1102" s="25"/>
      <c r="O1102" s="25"/>
    </row>
    <row r="1103" spans="7:15">
      <c r="G1103" s="25"/>
      <c r="O1103" s="25"/>
    </row>
    <row r="1104" spans="7:15">
      <c r="G1104" s="25"/>
      <c r="O1104" s="25"/>
    </row>
    <row r="1105" spans="7:15">
      <c r="G1105" s="25"/>
      <c r="O1105" s="25"/>
    </row>
    <row r="1106" spans="7:15">
      <c r="G1106" s="25"/>
      <c r="O1106" s="25"/>
    </row>
    <row r="1107" spans="7:15">
      <c r="G1107" s="25"/>
      <c r="O1107" s="25"/>
    </row>
    <row r="1108" spans="7:15">
      <c r="G1108" s="25"/>
      <c r="O1108" s="25"/>
    </row>
    <row r="1109" spans="7:15">
      <c r="G1109" s="25"/>
      <c r="O1109" s="25"/>
    </row>
    <row r="1110" spans="7:15">
      <c r="G1110" s="25"/>
      <c r="O1110" s="25"/>
    </row>
    <row r="1111" spans="7:15">
      <c r="G1111" s="25"/>
      <c r="O1111" s="25"/>
    </row>
    <row r="1112" spans="7:15">
      <c r="G1112" s="25"/>
      <c r="O1112" s="25"/>
    </row>
    <row r="1113" spans="7:15">
      <c r="G1113" s="25"/>
      <c r="O1113" s="25"/>
    </row>
    <row r="1114" spans="7:15">
      <c r="G1114" s="25"/>
      <c r="O1114" s="25"/>
    </row>
    <row r="1115" spans="7:15">
      <c r="G1115" s="25"/>
      <c r="O1115" s="25"/>
    </row>
    <row r="1116" spans="7:15">
      <c r="G1116" s="25"/>
      <c r="O1116" s="25"/>
    </row>
    <row r="1117" spans="7:15">
      <c r="G1117" s="25"/>
      <c r="O1117" s="25"/>
    </row>
    <row r="1118" spans="7:15">
      <c r="G1118" s="25"/>
      <c r="O1118" s="25"/>
    </row>
    <row r="1119" spans="7:15">
      <c r="G1119" s="25"/>
      <c r="O1119" s="25"/>
    </row>
    <row r="1120" spans="7:15">
      <c r="G1120" s="25"/>
      <c r="O1120" s="25"/>
    </row>
    <row r="1121" spans="7:15">
      <c r="G1121" s="25"/>
      <c r="O1121" s="25"/>
    </row>
    <row r="1122" spans="7:15">
      <c r="G1122" s="25"/>
      <c r="O1122" s="25"/>
    </row>
    <row r="1123" spans="7:15">
      <c r="G1123" s="25"/>
      <c r="O1123" s="25"/>
    </row>
    <row r="1124" spans="7:15">
      <c r="G1124" s="25"/>
      <c r="O1124" s="25"/>
    </row>
    <row r="1125" spans="7:15">
      <c r="G1125" s="25"/>
      <c r="O1125" s="25"/>
    </row>
    <row r="1126" spans="7:15">
      <c r="G1126" s="25"/>
      <c r="O1126" s="25"/>
    </row>
    <row r="1127" spans="7:15">
      <c r="G1127" s="25"/>
      <c r="O1127" s="25"/>
    </row>
    <row r="1128" spans="7:15">
      <c r="G1128" s="25"/>
      <c r="O1128" s="25"/>
    </row>
    <row r="1129" spans="7:15">
      <c r="G1129" s="25"/>
      <c r="O1129" s="25"/>
    </row>
    <row r="1130" spans="7:15">
      <c r="G1130" s="25"/>
      <c r="O1130" s="25"/>
    </row>
    <row r="1131" spans="7:15">
      <c r="G1131" s="25"/>
      <c r="O1131" s="25"/>
    </row>
    <row r="1132" spans="7:15">
      <c r="G1132" s="25"/>
      <c r="O1132" s="25"/>
    </row>
    <row r="1133" spans="7:15">
      <c r="G1133" s="25"/>
      <c r="O1133" s="25"/>
    </row>
    <row r="1134" spans="7:15">
      <c r="G1134" s="25"/>
      <c r="O1134" s="25"/>
    </row>
    <row r="1135" spans="7:15">
      <c r="G1135" s="25"/>
      <c r="O1135" s="25"/>
    </row>
    <row r="1136" spans="7:15">
      <c r="G1136" s="25"/>
      <c r="O1136" s="25"/>
    </row>
    <row r="1137" spans="7:15">
      <c r="G1137" s="25"/>
      <c r="O1137" s="25"/>
    </row>
    <row r="1138" spans="7:15">
      <c r="G1138" s="25"/>
      <c r="O1138" s="25"/>
    </row>
    <row r="1139" spans="7:15">
      <c r="G1139" s="25"/>
      <c r="O1139" s="25"/>
    </row>
    <row r="1140" spans="7:15">
      <c r="G1140" s="25"/>
      <c r="O1140" s="25"/>
    </row>
    <row r="1141" spans="7:15">
      <c r="G1141" s="25"/>
      <c r="O1141" s="25"/>
    </row>
    <row r="1142" spans="7:15">
      <c r="G1142" s="25"/>
      <c r="O1142" s="25"/>
    </row>
    <row r="1143" spans="7:15">
      <c r="G1143" s="25"/>
      <c r="O1143" s="25"/>
    </row>
    <row r="1144" spans="7:15">
      <c r="G1144" s="25"/>
      <c r="O1144" s="25"/>
    </row>
    <row r="1145" spans="7:15">
      <c r="G1145" s="25"/>
      <c r="O1145" s="25"/>
    </row>
    <row r="1146" spans="7:15">
      <c r="G1146" s="25"/>
      <c r="O1146" s="25"/>
    </row>
    <row r="1147" spans="7:15">
      <c r="G1147" s="25"/>
      <c r="O1147" s="25"/>
    </row>
    <row r="1148" spans="7:15">
      <c r="G1148" s="25"/>
      <c r="O1148" s="25"/>
    </row>
    <row r="1149" spans="7:15">
      <c r="G1149" s="25"/>
      <c r="O1149" s="25"/>
    </row>
    <row r="1150" spans="7:15">
      <c r="G1150" s="25"/>
      <c r="O1150" s="25"/>
    </row>
    <row r="1151" spans="7:15">
      <c r="G1151" s="25"/>
      <c r="O1151" s="25"/>
    </row>
    <row r="1152" spans="7:15">
      <c r="G1152" s="25"/>
      <c r="O1152" s="25"/>
    </row>
    <row r="1153" spans="7:15">
      <c r="G1153" s="25"/>
      <c r="O1153" s="25"/>
    </row>
    <row r="1154" spans="7:15">
      <c r="G1154" s="25"/>
      <c r="O1154" s="25"/>
    </row>
    <row r="1155" spans="7:15">
      <c r="G1155" s="25"/>
      <c r="O1155" s="25"/>
    </row>
    <row r="1156" spans="7:15">
      <c r="G1156" s="25"/>
      <c r="O1156" s="25"/>
    </row>
    <row r="1157" spans="7:15">
      <c r="G1157" s="25"/>
      <c r="O1157" s="25"/>
    </row>
    <row r="1158" spans="7:15">
      <c r="G1158" s="25"/>
      <c r="O1158" s="25"/>
    </row>
    <row r="1159" spans="7:15">
      <c r="G1159" s="25"/>
      <c r="O1159" s="25"/>
    </row>
    <row r="1160" spans="7:15">
      <c r="G1160" s="25"/>
      <c r="O1160" s="25"/>
    </row>
    <row r="1161" spans="7:15">
      <c r="G1161" s="25"/>
      <c r="O1161" s="25"/>
    </row>
    <row r="1162" spans="7:15">
      <c r="G1162" s="25"/>
      <c r="O1162" s="25"/>
    </row>
    <row r="1163" spans="7:15">
      <c r="G1163" s="25"/>
      <c r="O1163" s="25"/>
    </row>
    <row r="1164" spans="7:15">
      <c r="G1164" s="25"/>
      <c r="O1164" s="25"/>
    </row>
    <row r="1165" spans="7:15">
      <c r="G1165" s="25"/>
      <c r="O1165" s="25"/>
    </row>
    <row r="1166" spans="7:15">
      <c r="G1166" s="25"/>
      <c r="O1166" s="25"/>
    </row>
    <row r="1167" spans="7:15">
      <c r="G1167" s="25"/>
      <c r="O1167" s="25"/>
    </row>
    <row r="1168" spans="7:15">
      <c r="G1168" s="25"/>
      <c r="O1168" s="25"/>
    </row>
    <row r="1169" spans="7:15">
      <c r="G1169" s="25"/>
      <c r="O1169" s="25"/>
    </row>
    <row r="1170" spans="7:15">
      <c r="G1170" s="25"/>
      <c r="O1170" s="25"/>
    </row>
    <row r="1171" spans="7:15">
      <c r="G1171" s="25"/>
      <c r="O1171" s="25"/>
    </row>
    <row r="1172" spans="7:15">
      <c r="G1172" s="25"/>
      <c r="O1172" s="25"/>
    </row>
    <row r="1173" spans="7:15">
      <c r="G1173" s="25"/>
      <c r="O1173" s="25"/>
    </row>
    <row r="1174" spans="7:15">
      <c r="G1174" s="25"/>
      <c r="O1174" s="25"/>
    </row>
    <row r="1175" spans="7:15">
      <c r="G1175" s="25"/>
      <c r="O1175" s="25"/>
    </row>
    <row r="1176" spans="7:15">
      <c r="G1176" s="25"/>
      <c r="O1176" s="25"/>
    </row>
    <row r="1177" spans="7:15">
      <c r="G1177" s="25"/>
      <c r="O1177" s="25"/>
    </row>
    <row r="1178" spans="7:15">
      <c r="G1178" s="25"/>
      <c r="O1178" s="25"/>
    </row>
    <row r="1179" spans="7:15">
      <c r="G1179" s="25"/>
      <c r="O1179" s="25"/>
    </row>
    <row r="1180" spans="7:15">
      <c r="G1180" s="25"/>
      <c r="O1180" s="25"/>
    </row>
    <row r="1181" spans="7:15">
      <c r="G1181" s="25"/>
      <c r="O1181" s="25"/>
    </row>
    <row r="1182" spans="7:15">
      <c r="G1182" s="25"/>
      <c r="O1182" s="25"/>
    </row>
    <row r="1183" spans="7:15">
      <c r="G1183" s="25"/>
      <c r="O1183" s="25"/>
    </row>
    <row r="1184" spans="7:15">
      <c r="G1184" s="25"/>
      <c r="O1184" s="25"/>
    </row>
    <row r="1185" spans="7:15">
      <c r="G1185" s="25"/>
      <c r="O1185" s="25"/>
    </row>
    <row r="1186" spans="7:15">
      <c r="G1186" s="25"/>
      <c r="O1186" s="25"/>
    </row>
    <row r="1187" spans="7:15">
      <c r="G1187" s="25"/>
      <c r="O1187" s="25"/>
    </row>
    <row r="1188" spans="7:15">
      <c r="G1188" s="25"/>
      <c r="O1188" s="25"/>
    </row>
    <row r="1189" spans="7:15">
      <c r="G1189" s="25"/>
      <c r="O1189" s="25"/>
    </row>
    <row r="1190" spans="7:15">
      <c r="G1190" s="25"/>
      <c r="O1190" s="25"/>
    </row>
    <row r="1191" spans="7:15">
      <c r="G1191" s="25"/>
      <c r="O1191" s="25"/>
    </row>
    <row r="1192" spans="7:15">
      <c r="G1192" s="25"/>
      <c r="O1192" s="25"/>
    </row>
    <row r="1193" spans="7:15">
      <c r="G1193" s="25"/>
      <c r="O1193" s="25"/>
    </row>
    <row r="1194" spans="7:15">
      <c r="G1194" s="25"/>
      <c r="O1194" s="25"/>
    </row>
    <row r="1195" spans="7:15">
      <c r="G1195" s="25"/>
      <c r="O1195" s="25"/>
    </row>
    <row r="1196" spans="7:15">
      <c r="G1196" s="25"/>
      <c r="O1196" s="25"/>
    </row>
    <row r="1197" spans="7:15">
      <c r="G1197" s="25"/>
      <c r="O1197" s="25"/>
    </row>
    <row r="1198" spans="7:15">
      <c r="G1198" s="25"/>
      <c r="O1198" s="25"/>
    </row>
    <row r="1199" spans="7:15">
      <c r="G1199" s="25"/>
      <c r="O1199" s="25"/>
    </row>
    <row r="1200" spans="7:15">
      <c r="G1200" s="25"/>
      <c r="O1200" s="25"/>
    </row>
    <row r="1201" spans="7:15">
      <c r="G1201" s="25"/>
      <c r="O1201" s="25"/>
    </row>
    <row r="1202" spans="7:15">
      <c r="G1202" s="25"/>
      <c r="O1202" s="25"/>
    </row>
    <row r="1203" spans="7:15">
      <c r="G1203" s="25"/>
      <c r="O1203" s="25"/>
    </row>
    <row r="1204" spans="7:15">
      <c r="G1204" s="25"/>
      <c r="O1204" s="25"/>
    </row>
    <row r="1205" spans="7:15">
      <c r="G1205" s="25"/>
      <c r="O1205" s="25"/>
    </row>
    <row r="1206" spans="7:15">
      <c r="G1206" s="25"/>
      <c r="O1206" s="25"/>
    </row>
    <row r="1207" spans="7:15">
      <c r="G1207" s="25"/>
      <c r="O1207" s="25"/>
    </row>
    <row r="1208" spans="7:15">
      <c r="G1208" s="25"/>
      <c r="O1208" s="25"/>
    </row>
    <row r="1209" spans="7:15">
      <c r="G1209" s="25"/>
      <c r="O1209" s="25"/>
    </row>
    <row r="1210" spans="7:15">
      <c r="G1210" s="25"/>
      <c r="O1210" s="25"/>
    </row>
    <row r="1211" spans="7:15">
      <c r="G1211" s="25"/>
      <c r="O1211" s="25"/>
    </row>
    <row r="1212" spans="7:15">
      <c r="G1212" s="25"/>
      <c r="O1212" s="25"/>
    </row>
    <row r="1213" spans="7:15">
      <c r="G1213" s="25"/>
      <c r="O1213" s="25"/>
    </row>
    <row r="1214" spans="7:15">
      <c r="G1214" s="25"/>
      <c r="O1214" s="25"/>
    </row>
    <row r="1215" spans="7:15">
      <c r="G1215" s="25"/>
      <c r="O1215" s="25"/>
    </row>
    <row r="1216" spans="7:15">
      <c r="G1216" s="25"/>
      <c r="O1216" s="25"/>
    </row>
    <row r="1217" spans="7:15">
      <c r="G1217" s="25"/>
      <c r="O1217" s="25"/>
    </row>
    <row r="1218" spans="7:15">
      <c r="G1218" s="25"/>
      <c r="O1218" s="25"/>
    </row>
    <row r="1219" spans="7:15">
      <c r="G1219" s="25"/>
      <c r="O1219" s="25"/>
    </row>
    <row r="1220" spans="7:15">
      <c r="G1220" s="25"/>
      <c r="O1220" s="25"/>
    </row>
    <row r="1221" spans="7:15">
      <c r="G1221" s="25"/>
      <c r="O1221" s="25"/>
    </row>
    <row r="1222" spans="7:15">
      <c r="G1222" s="25"/>
      <c r="O1222" s="25"/>
    </row>
    <row r="1223" spans="7:15">
      <c r="G1223" s="25"/>
      <c r="O1223" s="25"/>
    </row>
    <row r="1224" spans="7:15">
      <c r="G1224" s="25"/>
      <c r="O1224" s="25"/>
    </row>
    <row r="1225" spans="7:15">
      <c r="G1225" s="25"/>
      <c r="O1225" s="25"/>
    </row>
    <row r="1226" spans="7:15">
      <c r="G1226" s="25"/>
      <c r="O1226" s="25"/>
    </row>
    <row r="1227" spans="7:15">
      <c r="G1227" s="25"/>
      <c r="O1227" s="25"/>
    </row>
    <row r="1228" spans="7:15">
      <c r="G1228" s="25"/>
      <c r="O1228" s="25"/>
    </row>
    <row r="1229" spans="7:15">
      <c r="G1229" s="25"/>
      <c r="O1229" s="25"/>
    </row>
    <row r="1230" spans="7:15">
      <c r="G1230" s="25"/>
      <c r="O1230" s="25"/>
    </row>
    <row r="1231" spans="7:15">
      <c r="G1231" s="25"/>
      <c r="O1231" s="25"/>
    </row>
    <row r="1232" spans="7:15">
      <c r="G1232" s="25"/>
      <c r="O1232" s="25"/>
    </row>
    <row r="1233" spans="7:15">
      <c r="G1233" s="25"/>
      <c r="O1233" s="25"/>
    </row>
    <row r="1234" spans="7:15">
      <c r="G1234" s="25"/>
      <c r="O1234" s="25"/>
    </row>
    <row r="1235" spans="7:15">
      <c r="G1235" s="25"/>
      <c r="O1235" s="25"/>
    </row>
    <row r="1236" spans="7:15">
      <c r="G1236" s="25"/>
      <c r="O1236" s="25"/>
    </row>
    <row r="1237" spans="7:15">
      <c r="G1237" s="25"/>
      <c r="O1237" s="25"/>
    </row>
    <row r="1238" spans="7:15">
      <c r="G1238" s="25"/>
      <c r="O1238" s="25"/>
    </row>
    <row r="1239" spans="7:15">
      <c r="G1239" s="25"/>
      <c r="O1239" s="25"/>
    </row>
    <row r="1240" spans="7:15">
      <c r="G1240" s="25"/>
      <c r="O1240" s="25"/>
    </row>
    <row r="1241" spans="7:15">
      <c r="G1241" s="25"/>
      <c r="O1241" s="25"/>
    </row>
    <row r="1242" spans="7:15">
      <c r="G1242" s="25"/>
      <c r="O1242" s="25"/>
    </row>
    <row r="1243" spans="7:15">
      <c r="G1243" s="25"/>
      <c r="O1243" s="25"/>
    </row>
    <row r="1244" spans="7:15">
      <c r="G1244" s="25"/>
      <c r="O1244" s="25"/>
    </row>
    <row r="1245" spans="7:15">
      <c r="G1245" s="25"/>
      <c r="O1245" s="25"/>
    </row>
    <row r="1246" spans="7:15">
      <c r="G1246" s="25"/>
      <c r="O1246" s="25"/>
    </row>
    <row r="1247" spans="7:15">
      <c r="G1247" s="25"/>
      <c r="O1247" s="25"/>
    </row>
    <row r="1248" spans="7:15">
      <c r="G1248" s="25"/>
      <c r="O1248" s="25"/>
    </row>
    <row r="1249" spans="7:15">
      <c r="G1249" s="25"/>
      <c r="O1249" s="25"/>
    </row>
    <row r="1250" spans="7:15">
      <c r="G1250" s="25"/>
      <c r="O1250" s="25"/>
    </row>
    <row r="1251" spans="7:15">
      <c r="G1251" s="25"/>
      <c r="O1251" s="25"/>
    </row>
    <row r="1252" spans="7:15">
      <c r="G1252" s="25"/>
      <c r="O1252" s="25"/>
    </row>
    <row r="1253" spans="7:15">
      <c r="G1253" s="25"/>
      <c r="O1253" s="25"/>
    </row>
    <row r="1254" spans="7:15">
      <c r="G1254" s="25"/>
      <c r="O1254" s="25"/>
    </row>
    <row r="1255" spans="7:15">
      <c r="G1255" s="25"/>
      <c r="O1255" s="25"/>
    </row>
    <row r="1256" spans="7:15">
      <c r="G1256" s="25"/>
      <c r="O1256" s="25"/>
    </row>
    <row r="1257" spans="7:15">
      <c r="G1257" s="25"/>
      <c r="O1257" s="25"/>
    </row>
    <row r="1258" spans="7:15">
      <c r="G1258" s="25"/>
      <c r="O1258" s="25"/>
    </row>
    <row r="1259" spans="7:15">
      <c r="G1259" s="25"/>
      <c r="O1259" s="25"/>
    </row>
    <row r="1260" spans="7:15">
      <c r="G1260" s="25"/>
      <c r="O1260" s="25"/>
    </row>
    <row r="1261" spans="7:15">
      <c r="G1261" s="25"/>
      <c r="O1261" s="25"/>
    </row>
    <row r="1262" spans="7:15">
      <c r="G1262" s="25"/>
      <c r="O1262" s="25"/>
    </row>
    <row r="1263" spans="7:15">
      <c r="G1263" s="25"/>
      <c r="O1263" s="25"/>
    </row>
    <row r="1264" spans="7:15">
      <c r="G1264" s="25"/>
      <c r="O1264" s="25"/>
    </row>
    <row r="1265" spans="7:15">
      <c r="G1265" s="25"/>
      <c r="O1265" s="25"/>
    </row>
    <row r="1266" spans="7:15">
      <c r="G1266" s="25"/>
      <c r="O1266" s="25"/>
    </row>
    <row r="1267" spans="7:15">
      <c r="G1267" s="25"/>
      <c r="O1267" s="25"/>
    </row>
    <row r="1268" spans="7:15">
      <c r="G1268" s="25"/>
      <c r="O1268" s="25"/>
    </row>
    <row r="1269" spans="7:15">
      <c r="G1269" s="25"/>
      <c r="O1269" s="25"/>
    </row>
    <row r="1270" spans="7:15">
      <c r="G1270" s="25"/>
      <c r="O1270" s="25"/>
    </row>
    <row r="1271" spans="7:15">
      <c r="G1271" s="25"/>
      <c r="O1271" s="25"/>
    </row>
    <row r="1272" spans="7:15">
      <c r="G1272" s="25"/>
      <c r="O1272" s="25"/>
    </row>
    <row r="1273" spans="7:15">
      <c r="G1273" s="25"/>
      <c r="O1273" s="25"/>
    </row>
    <row r="1274" spans="7:15">
      <c r="G1274" s="25"/>
      <c r="O1274" s="25"/>
    </row>
    <row r="1275" spans="7:15">
      <c r="G1275" s="25"/>
      <c r="O1275" s="25"/>
    </row>
    <row r="1276" spans="7:15">
      <c r="G1276" s="25"/>
      <c r="O1276" s="25"/>
    </row>
    <row r="1277" spans="7:15">
      <c r="G1277" s="25"/>
      <c r="O1277" s="25"/>
    </row>
    <row r="1278" spans="7:15">
      <c r="G1278" s="25"/>
      <c r="O1278" s="25"/>
    </row>
    <row r="1279" spans="7:15">
      <c r="G1279" s="25"/>
      <c r="O1279" s="25"/>
    </row>
    <row r="1280" spans="7:15">
      <c r="G1280" s="25"/>
      <c r="O1280" s="25"/>
    </row>
    <row r="1281" spans="7:15">
      <c r="G1281" s="25"/>
      <c r="O1281" s="25"/>
    </row>
    <row r="1282" spans="7:15">
      <c r="G1282" s="25"/>
      <c r="O1282" s="25"/>
    </row>
    <row r="1283" spans="7:15">
      <c r="G1283" s="25"/>
      <c r="O1283" s="25"/>
    </row>
    <row r="1284" spans="7:15">
      <c r="G1284" s="25"/>
      <c r="O1284" s="25"/>
    </row>
    <row r="1285" spans="7:15">
      <c r="G1285" s="25"/>
      <c r="O1285" s="25"/>
    </row>
    <row r="1286" spans="7:15">
      <c r="G1286" s="25"/>
      <c r="O1286" s="25"/>
    </row>
    <row r="1287" spans="7:15">
      <c r="G1287" s="25"/>
      <c r="O1287" s="25"/>
    </row>
    <row r="1288" spans="7:15">
      <c r="G1288" s="25"/>
      <c r="O1288" s="25"/>
    </row>
    <row r="1289" spans="7:15">
      <c r="G1289" s="25"/>
      <c r="O1289" s="25"/>
    </row>
    <row r="1290" spans="7:15">
      <c r="G1290" s="25"/>
      <c r="O1290" s="25"/>
    </row>
    <row r="1291" spans="7:15">
      <c r="G1291" s="25"/>
      <c r="O1291" s="25"/>
    </row>
    <row r="1292" spans="7:15">
      <c r="G1292" s="25"/>
      <c r="O1292" s="25"/>
    </row>
    <row r="1293" spans="7:15">
      <c r="G1293" s="25"/>
      <c r="O1293" s="25"/>
    </row>
    <row r="1294" spans="7:15">
      <c r="G1294" s="25"/>
      <c r="O1294" s="25"/>
    </row>
    <row r="1295" spans="7:15">
      <c r="G1295" s="25"/>
      <c r="O1295" s="25"/>
    </row>
    <row r="1296" spans="7:15">
      <c r="G1296" s="25"/>
      <c r="O1296" s="25"/>
    </row>
    <row r="1297" spans="7:15">
      <c r="G1297" s="25"/>
      <c r="O1297" s="25"/>
    </row>
    <row r="1298" spans="7:15">
      <c r="G1298" s="25"/>
      <c r="O1298" s="25"/>
    </row>
    <row r="1299" spans="7:15">
      <c r="G1299" s="25"/>
      <c r="O1299" s="25"/>
    </row>
    <row r="1300" spans="7:15">
      <c r="G1300" s="25"/>
      <c r="O1300" s="25"/>
    </row>
    <row r="1301" spans="7:15">
      <c r="G1301" s="25"/>
      <c r="O1301" s="25"/>
    </row>
    <row r="1302" spans="7:15">
      <c r="G1302" s="25"/>
      <c r="O1302" s="25"/>
    </row>
    <row r="1303" spans="7:15">
      <c r="G1303" s="25"/>
      <c r="O1303" s="25"/>
    </row>
    <row r="1304" spans="7:15">
      <c r="G1304" s="25"/>
      <c r="O1304" s="25"/>
    </row>
    <row r="1305" spans="7:15">
      <c r="G1305" s="25"/>
      <c r="O1305" s="25"/>
    </row>
    <row r="1306" spans="7:15">
      <c r="G1306" s="25"/>
      <c r="O1306" s="25"/>
    </row>
    <row r="1307" spans="7:15">
      <c r="G1307" s="25"/>
      <c r="O1307" s="25"/>
    </row>
    <row r="1308" spans="7:15">
      <c r="G1308" s="25"/>
      <c r="O1308" s="25"/>
    </row>
    <row r="1309" spans="7:15">
      <c r="G1309" s="25"/>
      <c r="O1309" s="25"/>
    </row>
    <row r="1310" spans="7:15">
      <c r="G1310" s="25"/>
      <c r="O1310" s="25"/>
    </row>
    <row r="1311" spans="7:15">
      <c r="G1311" s="25"/>
      <c r="O1311" s="25"/>
    </row>
    <row r="1312" spans="7:15">
      <c r="G1312" s="25"/>
      <c r="O1312" s="25"/>
    </row>
    <row r="1313" spans="7:15">
      <c r="G1313" s="25"/>
      <c r="O1313" s="25"/>
    </row>
    <row r="1314" spans="7:15">
      <c r="G1314" s="25"/>
      <c r="O1314" s="25"/>
    </row>
    <row r="1315" spans="7:15">
      <c r="G1315" s="25"/>
      <c r="O1315" s="25"/>
    </row>
    <row r="1316" spans="7:15">
      <c r="G1316" s="25"/>
      <c r="O1316" s="25"/>
    </row>
    <row r="1317" spans="7:15">
      <c r="G1317" s="25"/>
      <c r="O1317" s="25"/>
    </row>
    <row r="1318" spans="7:15">
      <c r="G1318" s="25"/>
      <c r="O1318" s="25"/>
    </row>
    <row r="1319" spans="7:15">
      <c r="G1319" s="25"/>
      <c r="O1319" s="25"/>
    </row>
    <row r="1320" spans="7:15">
      <c r="G1320" s="25"/>
      <c r="O1320" s="25"/>
    </row>
    <row r="1321" spans="7:15">
      <c r="G1321" s="25"/>
      <c r="O1321" s="25"/>
    </row>
    <row r="1322" spans="7:15">
      <c r="G1322" s="25"/>
      <c r="O1322" s="25"/>
    </row>
    <row r="1323" spans="7:15">
      <c r="G1323" s="25"/>
      <c r="O1323" s="25"/>
    </row>
    <row r="1324" spans="7:15">
      <c r="G1324" s="25"/>
      <c r="O1324" s="25"/>
    </row>
    <row r="1325" spans="7:15">
      <c r="G1325" s="25"/>
      <c r="O1325" s="25"/>
    </row>
    <row r="1326" spans="7:15">
      <c r="G1326" s="25"/>
      <c r="O1326" s="25"/>
    </row>
    <row r="1327" spans="7:15">
      <c r="G1327" s="25"/>
      <c r="O1327" s="25"/>
    </row>
    <row r="1328" spans="7:15">
      <c r="G1328" s="25"/>
      <c r="O1328" s="25"/>
    </row>
    <row r="1329" spans="7:15">
      <c r="G1329" s="25"/>
      <c r="O1329" s="25"/>
    </row>
    <row r="1330" spans="7:15">
      <c r="G1330" s="25"/>
      <c r="O1330" s="25"/>
    </row>
    <row r="1331" spans="7:15">
      <c r="G1331" s="25"/>
      <c r="O1331" s="25"/>
    </row>
    <row r="1332" spans="7:15">
      <c r="G1332" s="25"/>
      <c r="O1332" s="25"/>
    </row>
    <row r="1333" spans="7:15">
      <c r="G1333" s="25"/>
      <c r="O1333" s="25"/>
    </row>
    <row r="1334" spans="7:15">
      <c r="G1334" s="25"/>
      <c r="O1334" s="25"/>
    </row>
    <row r="1335" spans="7:15">
      <c r="G1335" s="25"/>
      <c r="O1335" s="25"/>
    </row>
    <row r="1336" spans="7:15">
      <c r="G1336" s="25"/>
      <c r="O1336" s="25"/>
    </row>
    <row r="1337" spans="7:15">
      <c r="G1337" s="25"/>
      <c r="O1337" s="25"/>
    </row>
    <row r="1338" spans="7:15">
      <c r="G1338" s="25"/>
      <c r="O1338" s="25"/>
    </row>
    <row r="1339" spans="7:15">
      <c r="G1339" s="25"/>
      <c r="O1339" s="25"/>
    </row>
    <row r="1340" spans="7:15">
      <c r="G1340" s="25"/>
      <c r="O1340" s="25"/>
    </row>
    <row r="1341" spans="7:15">
      <c r="G1341" s="25"/>
      <c r="O1341" s="25"/>
    </row>
    <row r="1342" spans="7:15">
      <c r="G1342" s="25"/>
      <c r="O1342" s="25"/>
    </row>
    <row r="1343" spans="7:15">
      <c r="G1343" s="25"/>
      <c r="O1343" s="25"/>
    </row>
    <row r="1344" spans="7:15">
      <c r="G1344" s="25"/>
      <c r="O1344" s="25"/>
    </row>
    <row r="1345" spans="7:15">
      <c r="G1345" s="25"/>
      <c r="O1345" s="25"/>
    </row>
    <row r="1346" spans="7:15">
      <c r="G1346" s="25"/>
      <c r="O1346" s="25"/>
    </row>
    <row r="1347" spans="7:15">
      <c r="G1347" s="25"/>
      <c r="O1347" s="25"/>
    </row>
    <row r="1348" spans="7:15">
      <c r="G1348" s="25"/>
      <c r="O1348" s="25"/>
    </row>
    <row r="1349" spans="7:15">
      <c r="G1349" s="25"/>
      <c r="O1349" s="25"/>
    </row>
    <row r="1350" spans="7:15">
      <c r="G1350" s="25"/>
      <c r="O1350" s="25"/>
    </row>
    <row r="1351" spans="7:15">
      <c r="G1351" s="25"/>
      <c r="O1351" s="25"/>
    </row>
    <row r="1352" spans="7:15">
      <c r="G1352" s="25"/>
      <c r="O1352" s="25"/>
    </row>
    <row r="1353" spans="7:15">
      <c r="G1353" s="25"/>
      <c r="O1353" s="25"/>
    </row>
    <row r="1354" spans="7:15">
      <c r="G1354" s="25"/>
      <c r="O1354" s="25"/>
    </row>
    <row r="1355" spans="7:15">
      <c r="G1355" s="25"/>
      <c r="O1355" s="25"/>
    </row>
    <row r="1356" spans="7:15">
      <c r="G1356" s="25"/>
      <c r="O1356" s="25"/>
    </row>
    <row r="1357" spans="7:15">
      <c r="G1357" s="25"/>
      <c r="O1357" s="25"/>
    </row>
    <row r="1358" spans="7:15">
      <c r="G1358" s="25"/>
      <c r="O1358" s="25"/>
    </row>
    <row r="1359" spans="7:15">
      <c r="G1359" s="25"/>
      <c r="O1359" s="25"/>
    </row>
    <row r="1360" spans="7:15">
      <c r="G1360" s="25"/>
      <c r="O1360" s="25"/>
    </row>
    <row r="1361" spans="7:15">
      <c r="G1361" s="25"/>
      <c r="O1361" s="25"/>
    </row>
    <row r="1362" spans="7:15">
      <c r="G1362" s="25"/>
      <c r="O1362" s="25"/>
    </row>
    <row r="1363" spans="7:15">
      <c r="G1363" s="25"/>
      <c r="O1363" s="25"/>
    </row>
    <row r="1364" spans="7:15">
      <c r="G1364" s="25"/>
      <c r="O1364" s="25"/>
    </row>
    <row r="1365" spans="7:15">
      <c r="G1365" s="25"/>
      <c r="O1365" s="25"/>
    </row>
    <row r="1366" spans="7:15">
      <c r="G1366" s="25"/>
      <c r="O1366" s="25"/>
    </row>
    <row r="1367" spans="7:15">
      <c r="G1367" s="25"/>
      <c r="O1367" s="25"/>
    </row>
    <row r="1368" spans="7:15">
      <c r="G1368" s="25"/>
      <c r="O1368" s="25"/>
    </row>
    <row r="1369" spans="7:15">
      <c r="G1369" s="25"/>
      <c r="O1369" s="25"/>
    </row>
    <row r="1370" spans="7:15">
      <c r="G1370" s="25"/>
      <c r="O1370" s="25"/>
    </row>
    <row r="1371" spans="7:15">
      <c r="G1371" s="25"/>
      <c r="O1371" s="25"/>
    </row>
    <row r="1372" spans="7:15">
      <c r="G1372" s="25"/>
      <c r="O1372" s="25"/>
    </row>
    <row r="1373" spans="7:15">
      <c r="G1373" s="25"/>
      <c r="O1373" s="25"/>
    </row>
    <row r="1374" spans="7:15">
      <c r="G1374" s="25"/>
      <c r="O1374" s="25"/>
    </row>
    <row r="1375" spans="7:15">
      <c r="G1375" s="25"/>
      <c r="O1375" s="25"/>
    </row>
    <row r="1376" spans="7:15">
      <c r="G1376" s="25"/>
      <c r="O1376" s="25"/>
    </row>
    <row r="1377" spans="7:15">
      <c r="G1377" s="25"/>
      <c r="O1377" s="25"/>
    </row>
    <row r="1378" spans="7:15">
      <c r="G1378" s="25"/>
      <c r="O1378" s="25"/>
    </row>
    <row r="1379" spans="7:15">
      <c r="G1379" s="25"/>
      <c r="O1379" s="25"/>
    </row>
    <row r="1380" spans="7:15">
      <c r="G1380" s="25"/>
      <c r="O1380" s="25"/>
    </row>
    <row r="1381" spans="7:15">
      <c r="G1381" s="25"/>
      <c r="O1381" s="25"/>
    </row>
    <row r="1382" spans="7:15">
      <c r="G1382" s="25"/>
      <c r="O1382" s="25"/>
    </row>
    <row r="1383" spans="7:15">
      <c r="G1383" s="25"/>
      <c r="O1383" s="25"/>
    </row>
    <row r="1384" spans="7:15">
      <c r="G1384" s="25"/>
      <c r="O1384" s="25"/>
    </row>
    <row r="1385" spans="7:15">
      <c r="G1385" s="25"/>
      <c r="O1385" s="25"/>
    </row>
    <row r="1386" spans="7:15">
      <c r="G1386" s="25"/>
      <c r="O1386" s="25"/>
    </row>
    <row r="1387" spans="7:15">
      <c r="G1387" s="25"/>
      <c r="O1387" s="25"/>
    </row>
    <row r="1388" spans="7:15">
      <c r="G1388" s="25"/>
      <c r="O1388" s="25"/>
    </row>
    <row r="1389" spans="7:15">
      <c r="G1389" s="25"/>
      <c r="O1389" s="25"/>
    </row>
    <row r="1390" spans="7:15">
      <c r="G1390" s="25"/>
      <c r="O1390" s="25"/>
    </row>
    <row r="1391" spans="7:15">
      <c r="G1391" s="25"/>
      <c r="O1391" s="25"/>
    </row>
    <row r="1392" spans="7:15">
      <c r="G1392" s="25"/>
      <c r="O1392" s="25"/>
    </row>
    <row r="1393" spans="7:15">
      <c r="G1393" s="25"/>
      <c r="O1393" s="25"/>
    </row>
    <row r="1394" spans="7:15">
      <c r="G1394" s="25"/>
      <c r="O1394" s="25"/>
    </row>
    <row r="1395" spans="7:15">
      <c r="G1395" s="25"/>
      <c r="O1395" s="25"/>
    </row>
    <row r="1396" spans="7:15">
      <c r="G1396" s="25"/>
      <c r="O1396" s="25"/>
    </row>
    <row r="1397" spans="7:15">
      <c r="G1397" s="25"/>
      <c r="O1397" s="25"/>
    </row>
    <row r="1398" spans="7:15">
      <c r="G1398" s="25"/>
      <c r="O1398" s="25"/>
    </row>
    <row r="1399" spans="7:15">
      <c r="G1399" s="25"/>
      <c r="O1399" s="25"/>
    </row>
    <row r="1400" spans="7:15">
      <c r="G1400" s="25"/>
      <c r="O1400" s="25"/>
    </row>
    <row r="1401" spans="7:15">
      <c r="G1401" s="25"/>
      <c r="O1401" s="25"/>
    </row>
    <row r="1402" spans="7:15">
      <c r="G1402" s="25"/>
      <c r="O1402" s="25"/>
    </row>
    <row r="1403" spans="7:15">
      <c r="G1403" s="25"/>
      <c r="O1403" s="25"/>
    </row>
    <row r="1404" spans="7:15">
      <c r="G1404" s="25"/>
      <c r="O1404" s="25"/>
    </row>
    <row r="1405" spans="7:15">
      <c r="G1405" s="25"/>
      <c r="O1405" s="25"/>
    </row>
    <row r="1406" spans="7:15">
      <c r="G1406" s="25"/>
      <c r="O1406" s="25"/>
    </row>
    <row r="1407" spans="7:15">
      <c r="G1407" s="25"/>
      <c r="O1407" s="25"/>
    </row>
    <row r="1408" spans="7:15">
      <c r="G1408" s="25"/>
      <c r="O1408" s="25"/>
    </row>
    <row r="1409" spans="7:15">
      <c r="G1409" s="25"/>
      <c r="O1409" s="25"/>
    </row>
    <row r="1410" spans="7:15">
      <c r="G1410" s="25"/>
      <c r="O1410" s="25"/>
    </row>
    <row r="1411" spans="7:15">
      <c r="G1411" s="25"/>
      <c r="O1411" s="25"/>
    </row>
    <row r="1412" spans="7:15">
      <c r="G1412" s="25"/>
      <c r="O1412" s="25"/>
    </row>
    <row r="1413" spans="7:15">
      <c r="G1413" s="25"/>
      <c r="O1413" s="25"/>
    </row>
    <row r="1414" spans="7:15">
      <c r="G1414" s="25"/>
      <c r="O1414" s="25"/>
    </row>
    <row r="1415" spans="7:15">
      <c r="G1415" s="25"/>
      <c r="O1415" s="25"/>
    </row>
    <row r="1416" spans="7:15">
      <c r="G1416" s="25"/>
      <c r="O1416" s="25"/>
    </row>
    <row r="1417" spans="7:15">
      <c r="G1417" s="25"/>
      <c r="O1417" s="25"/>
    </row>
    <row r="1418" spans="7:15">
      <c r="G1418" s="25"/>
      <c r="O1418" s="25"/>
    </row>
    <row r="1419" spans="7:15">
      <c r="G1419" s="25"/>
      <c r="O1419" s="25"/>
    </row>
    <row r="1420" spans="7:15">
      <c r="G1420" s="25"/>
      <c r="O1420" s="25"/>
    </row>
    <row r="1421" spans="7:15">
      <c r="G1421" s="25"/>
      <c r="O1421" s="25"/>
    </row>
    <row r="1422" spans="7:15">
      <c r="G1422" s="25"/>
      <c r="O1422" s="25"/>
    </row>
    <row r="1423" spans="7:15">
      <c r="G1423" s="25"/>
      <c r="O1423" s="25"/>
    </row>
    <row r="1424" spans="7:15">
      <c r="G1424" s="25"/>
      <c r="O1424" s="25"/>
    </row>
    <row r="1425" spans="7:15">
      <c r="G1425" s="25"/>
      <c r="O1425" s="25"/>
    </row>
    <row r="1426" spans="7:15">
      <c r="G1426" s="25"/>
      <c r="O1426" s="25"/>
    </row>
    <row r="1427" spans="7:15">
      <c r="G1427" s="25"/>
      <c r="O1427" s="25"/>
    </row>
    <row r="1428" spans="7:15">
      <c r="G1428" s="25"/>
      <c r="O1428" s="25"/>
    </row>
    <row r="1429" spans="7:15">
      <c r="G1429" s="25"/>
      <c r="O1429" s="25"/>
    </row>
    <row r="1430" spans="7:15">
      <c r="G1430" s="25"/>
      <c r="O1430" s="25"/>
    </row>
    <row r="1431" spans="7:15">
      <c r="G1431" s="25"/>
      <c r="O1431" s="25"/>
    </row>
    <row r="1432" spans="7:15">
      <c r="G1432" s="25"/>
      <c r="O1432" s="25"/>
    </row>
    <row r="1433" spans="7:15">
      <c r="G1433" s="25"/>
      <c r="O1433" s="25"/>
    </row>
    <row r="1434" spans="7:15">
      <c r="G1434" s="25"/>
      <c r="O1434" s="25"/>
    </row>
    <row r="1435" spans="7:15">
      <c r="G1435" s="25"/>
      <c r="O1435" s="25"/>
    </row>
    <row r="1436" spans="7:15">
      <c r="G1436" s="25"/>
      <c r="O1436" s="25"/>
    </row>
    <row r="1437" spans="7:15">
      <c r="G1437" s="25"/>
      <c r="O1437" s="25"/>
    </row>
    <row r="1438" spans="7:15">
      <c r="G1438" s="25"/>
      <c r="O1438" s="25"/>
    </row>
    <row r="1439" spans="7:15">
      <c r="G1439" s="25"/>
      <c r="O1439" s="25"/>
    </row>
    <row r="1440" spans="7:15">
      <c r="G1440" s="25"/>
      <c r="O1440" s="25"/>
    </row>
    <row r="1441" spans="7:15">
      <c r="G1441" s="25"/>
      <c r="O1441" s="25"/>
    </row>
    <row r="1442" spans="7:15">
      <c r="G1442" s="25"/>
      <c r="O1442" s="25"/>
    </row>
    <row r="1443" spans="7:15">
      <c r="G1443" s="25"/>
      <c r="O1443" s="25"/>
    </row>
    <row r="1444" spans="7:15">
      <c r="G1444" s="25"/>
      <c r="O1444" s="25"/>
    </row>
    <row r="1445" spans="7:15">
      <c r="G1445" s="25"/>
      <c r="O1445" s="25"/>
    </row>
    <row r="1446" spans="7:15">
      <c r="G1446" s="25"/>
      <c r="O1446" s="25"/>
    </row>
    <row r="1447" spans="7:15">
      <c r="G1447" s="25"/>
      <c r="O1447" s="25"/>
    </row>
    <row r="1448" spans="7:15">
      <c r="G1448" s="25"/>
      <c r="O1448" s="25"/>
    </row>
    <row r="1449" spans="7:15">
      <c r="G1449" s="25"/>
      <c r="O1449" s="25"/>
    </row>
    <row r="1450" spans="7:15">
      <c r="G1450" s="25"/>
      <c r="O1450" s="25"/>
    </row>
    <row r="1451" spans="7:15">
      <c r="G1451" s="25"/>
      <c r="O1451" s="25"/>
    </row>
    <row r="1452" spans="7:15">
      <c r="G1452" s="25"/>
      <c r="O1452" s="25"/>
    </row>
    <row r="1453" spans="7:15">
      <c r="G1453" s="25"/>
      <c r="O1453" s="25"/>
    </row>
    <row r="1454" spans="7:15">
      <c r="G1454" s="25"/>
      <c r="O1454" s="25"/>
    </row>
    <row r="1455" spans="7:15">
      <c r="G1455" s="25"/>
      <c r="O1455" s="25"/>
    </row>
    <row r="1456" spans="7:15">
      <c r="G1456" s="25"/>
      <c r="O1456" s="25"/>
    </row>
    <row r="1457" spans="7:15">
      <c r="G1457" s="25"/>
      <c r="O1457" s="25"/>
    </row>
    <row r="1458" spans="7:15">
      <c r="G1458" s="25"/>
      <c r="O1458" s="25"/>
    </row>
    <row r="1459" spans="7:15">
      <c r="G1459" s="25"/>
      <c r="O1459" s="25"/>
    </row>
    <row r="1460" spans="7:15">
      <c r="G1460" s="25"/>
      <c r="O1460" s="25"/>
    </row>
    <row r="1461" spans="7:15">
      <c r="G1461" s="25"/>
      <c r="O1461" s="25"/>
    </row>
    <row r="1462" spans="7:15">
      <c r="G1462" s="25"/>
      <c r="O1462" s="25"/>
    </row>
    <row r="1463" spans="7:15">
      <c r="G1463" s="25"/>
      <c r="O1463" s="25"/>
    </row>
    <row r="1464" spans="7:15">
      <c r="G1464" s="25"/>
      <c r="O1464" s="25"/>
    </row>
    <row r="1465" spans="7:15">
      <c r="G1465" s="25"/>
      <c r="O1465" s="25"/>
    </row>
    <row r="1466" spans="7:15">
      <c r="G1466" s="25"/>
      <c r="O1466" s="25"/>
    </row>
    <row r="1467" spans="7:15">
      <c r="G1467" s="25"/>
      <c r="O1467" s="25"/>
    </row>
    <row r="1468" spans="7:15">
      <c r="G1468" s="25"/>
      <c r="O1468" s="25"/>
    </row>
    <row r="1469" spans="7:15">
      <c r="G1469" s="25"/>
      <c r="O1469" s="25"/>
    </row>
    <row r="1470" spans="7:15">
      <c r="G1470" s="25"/>
      <c r="O1470" s="25"/>
    </row>
    <row r="1471" spans="7:15">
      <c r="G1471" s="25"/>
      <c r="O1471" s="25"/>
    </row>
    <row r="1472" spans="7:15">
      <c r="G1472" s="25"/>
      <c r="O1472" s="25"/>
    </row>
    <row r="1473" spans="7:15">
      <c r="G1473" s="25"/>
      <c r="O1473" s="25"/>
    </row>
    <row r="1474" spans="7:15">
      <c r="G1474" s="25"/>
      <c r="O1474" s="25"/>
    </row>
    <row r="1475" spans="7:15">
      <c r="G1475" s="25"/>
      <c r="O1475" s="25"/>
    </row>
    <row r="1476" spans="7:15">
      <c r="G1476" s="25"/>
      <c r="O1476" s="25"/>
    </row>
    <row r="1477" spans="7:15">
      <c r="G1477" s="25"/>
      <c r="O1477" s="25"/>
    </row>
    <row r="1478" spans="7:15">
      <c r="G1478" s="25"/>
      <c r="O1478" s="25"/>
    </row>
    <row r="1479" spans="7:15">
      <c r="G1479" s="25"/>
      <c r="O1479" s="25"/>
    </row>
    <row r="1480" spans="7:15">
      <c r="G1480" s="25"/>
      <c r="O1480" s="25"/>
    </row>
    <row r="1481" spans="7:15">
      <c r="G1481" s="25"/>
      <c r="O1481" s="25"/>
    </row>
    <row r="1482" spans="7:15">
      <c r="G1482" s="25"/>
      <c r="O1482" s="25"/>
    </row>
    <row r="1483" spans="7:15">
      <c r="G1483" s="25"/>
      <c r="O1483" s="25"/>
    </row>
    <row r="1484" spans="7:15">
      <c r="G1484" s="25"/>
      <c r="O1484" s="25"/>
    </row>
    <row r="1485" spans="7:15">
      <c r="G1485" s="25"/>
      <c r="O1485" s="25"/>
    </row>
    <row r="1486" spans="7:15">
      <c r="G1486" s="25"/>
      <c r="O1486" s="25"/>
    </row>
    <row r="1487" spans="7:15">
      <c r="G1487" s="25"/>
      <c r="O1487" s="25"/>
    </row>
    <row r="1488" spans="7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799B-D8BD-49AE-8720-99247FC9BA3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sqref="A1:XFD1048576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18</v>
      </c>
      <c r="C2" s="4"/>
      <c r="D2" s="4"/>
      <c r="E2" s="4"/>
      <c r="F2" s="4"/>
      <c r="G2" s="3" t="s">
        <v>18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19</v>
      </c>
      <c r="C3" s="8"/>
      <c r="D3" s="8"/>
      <c r="E3" s="8"/>
      <c r="F3" s="9"/>
      <c r="G3" s="10" t="s">
        <v>20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19</v>
      </c>
      <c r="C4" s="13"/>
      <c r="D4" s="13"/>
      <c r="E4" s="13"/>
      <c r="F4" s="14"/>
      <c r="G4" s="15" t="s">
        <v>21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19</v>
      </c>
      <c r="C5" s="13"/>
      <c r="D5" s="13"/>
      <c r="E5" s="13"/>
      <c r="F5" s="14"/>
      <c r="G5" s="17" t="s">
        <v>20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19</v>
      </c>
      <c r="C6" s="13"/>
      <c r="D6" s="13"/>
      <c r="E6" s="13"/>
      <c r="F6" s="14"/>
      <c r="G6" s="15" t="s">
        <v>21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19</v>
      </c>
      <c r="C7" s="13"/>
      <c r="D7" s="13"/>
      <c r="E7" s="13"/>
      <c r="F7" s="14"/>
      <c r="G7" s="17" t="s">
        <v>20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19</v>
      </c>
      <c r="C8" s="20"/>
      <c r="D8" s="20"/>
      <c r="E8" s="20"/>
      <c r="F8" s="21"/>
      <c r="G8" s="22" t="s">
        <v>21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Model</vt:lpstr>
      <vt:lpstr>Notes | Quant Analysis</vt:lpstr>
      <vt:lpstr>Product Lines</vt:lpstr>
      <vt:lpstr>Economics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2026-10-11T08:07:03Z</dcterms:modified>
</cp:coreProperties>
</file>