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Health Care\MedTech\"/>
    </mc:Choice>
  </mc:AlternateContent>
  <xr:revisionPtr revIDLastSave="0" documentId="13_ncr:1_{6D78CCC7-E8A9-49CF-921E-FB777B41B1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Useful Resource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1" l="1"/>
  <c r="M56" i="1"/>
  <c r="H56" i="1"/>
  <c r="G56" i="1"/>
  <c r="E56" i="1"/>
  <c r="N46" i="1" l="1"/>
  <c r="M46" i="1"/>
  <c r="H46" i="1"/>
  <c r="G46" i="1"/>
  <c r="E46" i="1"/>
  <c r="L44" i="1" l="1"/>
  <c r="K44" i="1"/>
  <c r="J44" i="1"/>
  <c r="H35" i="1" l="1"/>
  <c r="G35" i="1"/>
  <c r="E35" i="1"/>
  <c r="N35" i="1"/>
  <c r="M35" i="1"/>
  <c r="H13" i="1" l="1"/>
  <c r="G13" i="1"/>
  <c r="M31" i="1" l="1"/>
  <c r="J31" i="1"/>
  <c r="L31" i="1" l="1"/>
  <c r="K31" i="1"/>
  <c r="N21" i="1"/>
  <c r="H18" i="1" l="1"/>
  <c r="G18" i="1"/>
  <c r="E18" i="1"/>
  <c r="N18" i="1"/>
  <c r="M18" i="1"/>
  <c r="N16" i="1"/>
  <c r="H16" i="1"/>
  <c r="G16" i="1"/>
  <c r="E16" i="1"/>
  <c r="H15" i="1" l="1"/>
  <c r="G15" i="1"/>
  <c r="E15" i="1"/>
  <c r="N15" i="1"/>
  <c r="N31" i="1" l="1"/>
  <c r="N12" i="1" l="1"/>
  <c r="H12" i="1"/>
  <c r="G12" i="1"/>
  <c r="E12" i="1"/>
  <c r="N11" i="1" l="1"/>
  <c r="J7" i="1" l="1"/>
  <c r="N4" i="1" l="1"/>
  <c r="F32" i="1" l="1"/>
  <c r="I32" i="1" s="1"/>
  <c r="N55" i="1"/>
  <c r="H55" i="1"/>
  <c r="G55" i="1"/>
  <c r="E55" i="1"/>
  <c r="K53" i="1"/>
  <c r="J53" i="1"/>
  <c r="H53" i="1"/>
  <c r="G53" i="1"/>
  <c r="E53" i="1"/>
  <c r="N44" i="1" l="1"/>
  <c r="G44" i="1"/>
  <c r="E44" i="1"/>
  <c r="N37" i="1"/>
  <c r="G31" i="1" l="1"/>
  <c r="E31" i="1"/>
  <c r="K37" i="1" l="1"/>
  <c r="L37" i="1" s="1"/>
  <c r="J37" i="1"/>
  <c r="H37" i="1"/>
  <c r="G37" i="1"/>
  <c r="E37" i="1"/>
  <c r="K13" i="1" l="1"/>
  <c r="J13" i="1"/>
  <c r="K7" i="1"/>
  <c r="N7" i="1" l="1"/>
  <c r="L7" i="1" l="1"/>
  <c r="G21" i="1" l="1"/>
  <c r="L13" i="1" l="1"/>
  <c r="R50" i="1"/>
  <c r="Q50" i="1"/>
  <c r="H50" i="1"/>
  <c r="F50" i="1"/>
  <c r="I50" i="1" l="1"/>
  <c r="H60" i="1"/>
  <c r="H51" i="1"/>
  <c r="G51" i="1"/>
  <c r="R11" i="1"/>
  <c r="Q11" i="1"/>
  <c r="F11" i="1"/>
  <c r="I11" i="1" l="1"/>
  <c r="R33" i="1" l="1"/>
  <c r="R4" i="1"/>
  <c r="R31" i="1"/>
  <c r="R56" i="1"/>
  <c r="R13" i="1"/>
  <c r="R17" i="1"/>
  <c r="R53" i="1"/>
  <c r="R37" i="1"/>
  <c r="R12" i="1"/>
  <c r="R5" i="1"/>
  <c r="R21" i="1"/>
  <c r="R27" i="1"/>
  <c r="R48" i="1"/>
  <c r="R23" i="1"/>
  <c r="R3" i="1"/>
  <c r="R18" i="1"/>
  <c r="R29" i="1"/>
  <c r="R51" i="1"/>
  <c r="R45" i="1"/>
  <c r="R39" i="1"/>
  <c r="R60" i="1"/>
  <c r="R46" i="1"/>
  <c r="R16" i="1"/>
  <c r="R58" i="1"/>
  <c r="R25" i="1"/>
  <c r="R6" i="1"/>
  <c r="R9" i="1"/>
  <c r="R24" i="1"/>
  <c r="R47" i="1"/>
  <c r="R36" i="1"/>
  <c r="R22" i="1"/>
  <c r="R26" i="1"/>
  <c r="R55" i="1"/>
  <c r="R40" i="1"/>
  <c r="R28" i="1"/>
  <c r="R10" i="1"/>
  <c r="R32" i="1"/>
  <c r="R59" i="1"/>
  <c r="R35" i="1"/>
  <c r="R41" i="1"/>
  <c r="R34" i="1"/>
  <c r="R8" i="1"/>
  <c r="R15" i="1"/>
  <c r="R49" i="1"/>
  <c r="R57" i="1"/>
  <c r="R38" i="1"/>
  <c r="R20" i="1"/>
  <c r="R19" i="1"/>
  <c r="R43" i="1"/>
  <c r="R42" i="1"/>
  <c r="R7" i="1"/>
  <c r="R54" i="1"/>
  <c r="R14" i="1"/>
  <c r="R52" i="1"/>
  <c r="Q33" i="1"/>
  <c r="Q4" i="1"/>
  <c r="Q31" i="1"/>
  <c r="Q56" i="1"/>
  <c r="Q13" i="1"/>
  <c r="Q17" i="1"/>
  <c r="Q53" i="1"/>
  <c r="Q37" i="1"/>
  <c r="Q12" i="1"/>
  <c r="Q5" i="1"/>
  <c r="Q21" i="1"/>
  <c r="Q27" i="1"/>
  <c r="Q48" i="1"/>
  <c r="Q23" i="1"/>
  <c r="Q3" i="1"/>
  <c r="Q18" i="1"/>
  <c r="Q29" i="1"/>
  <c r="Q51" i="1"/>
  <c r="Q45" i="1"/>
  <c r="Q39" i="1"/>
  <c r="Q60" i="1"/>
  <c r="Q46" i="1"/>
  <c r="Q16" i="1"/>
  <c r="Q58" i="1"/>
  <c r="Q25" i="1"/>
  <c r="Q6" i="1"/>
  <c r="Q9" i="1"/>
  <c r="Q24" i="1"/>
  <c r="Q47" i="1"/>
  <c r="Q36" i="1"/>
  <c r="Q22" i="1"/>
  <c r="Q26" i="1"/>
  <c r="Q55" i="1"/>
  <c r="Q40" i="1"/>
  <c r="Q28" i="1"/>
  <c r="Q10" i="1"/>
  <c r="Q32" i="1"/>
  <c r="Q59" i="1"/>
  <c r="Q35" i="1"/>
  <c r="Q41" i="1"/>
  <c r="Q34" i="1"/>
  <c r="Q8" i="1"/>
  <c r="Q15" i="1"/>
  <c r="Q49" i="1"/>
  <c r="Q57" i="1"/>
  <c r="Q38" i="1"/>
  <c r="Q20" i="1"/>
  <c r="Q19" i="1"/>
  <c r="Q43" i="1"/>
  <c r="Q42" i="1"/>
  <c r="Q7" i="1"/>
  <c r="Q54" i="1"/>
  <c r="Q14" i="1"/>
  <c r="Q52" i="1"/>
  <c r="Q44" i="1" l="1"/>
  <c r="R44" i="1"/>
  <c r="I35" i="1"/>
  <c r="F35" i="1"/>
  <c r="K24" i="1" l="1"/>
  <c r="L24" i="1" s="1"/>
  <c r="J24" i="1"/>
  <c r="G40" i="1"/>
  <c r="F49" i="1"/>
  <c r="F10" i="1"/>
  <c r="H44" i="1" l="1"/>
  <c r="F60" i="1"/>
  <c r="I60" i="1" s="1"/>
  <c r="F59" i="1"/>
  <c r="I59" i="1" s="1"/>
  <c r="F58" i="1"/>
  <c r="F57" i="1"/>
  <c r="F56" i="1"/>
  <c r="F55" i="1"/>
  <c r="F54" i="1"/>
  <c r="F53" i="1"/>
  <c r="I53" i="1" s="1"/>
  <c r="F52" i="1"/>
  <c r="I52" i="1" s="1"/>
  <c r="F51" i="1"/>
  <c r="F48" i="1"/>
  <c r="F47" i="1"/>
  <c r="F46" i="1"/>
  <c r="F45" i="1"/>
  <c r="I45" i="1" s="1"/>
  <c r="F44" i="1"/>
  <c r="F3" i="1"/>
  <c r="I3" i="1" s="1"/>
  <c r="F4" i="1"/>
  <c r="I4" i="1" s="1"/>
  <c r="F5" i="1"/>
  <c r="F6" i="1"/>
  <c r="F7" i="1"/>
  <c r="F8" i="1"/>
  <c r="F9" i="1"/>
  <c r="F12" i="1"/>
  <c r="I12" i="1" s="1"/>
  <c r="F13" i="1"/>
  <c r="F14" i="1"/>
  <c r="F15" i="1"/>
  <c r="F16" i="1"/>
  <c r="F17" i="1"/>
  <c r="F18" i="1"/>
  <c r="F19" i="1"/>
  <c r="F20" i="1"/>
  <c r="I20" i="1" s="1"/>
  <c r="F21" i="1"/>
  <c r="I21" i="1" s="1"/>
  <c r="F22" i="1"/>
  <c r="F23" i="1"/>
  <c r="F24" i="1"/>
  <c r="F25" i="1"/>
  <c r="F26" i="1"/>
  <c r="F27" i="1"/>
  <c r="F28" i="1"/>
  <c r="I28" i="1" s="1"/>
  <c r="F29" i="1"/>
  <c r="I29" i="1" s="1"/>
  <c r="F30" i="1"/>
  <c r="F31" i="1"/>
  <c r="F33" i="1"/>
  <c r="F34" i="1"/>
  <c r="F36" i="1"/>
  <c r="F37" i="1"/>
  <c r="I37" i="1" s="1"/>
  <c r="F38" i="1"/>
  <c r="F39" i="1"/>
  <c r="F40" i="1"/>
  <c r="F41" i="1"/>
  <c r="F42" i="1"/>
  <c r="F43" i="1"/>
  <c r="I58" i="1" l="1"/>
  <c r="I51" i="1"/>
  <c r="I43" i="1"/>
  <c r="I36" i="1"/>
  <c r="I27" i="1"/>
  <c r="I19" i="1"/>
  <c r="I9" i="1"/>
  <c r="I42" i="1"/>
  <c r="I34" i="1"/>
  <c r="I26" i="1"/>
  <c r="I18" i="1"/>
  <c r="I8" i="1"/>
  <c r="I57" i="1"/>
  <c r="I41" i="1"/>
  <c r="I25" i="1"/>
  <c r="I17" i="1"/>
  <c r="I56" i="1"/>
  <c r="I48" i="1"/>
  <c r="I40" i="1"/>
  <c r="I33" i="1"/>
  <c r="I24" i="1"/>
  <c r="I16" i="1"/>
  <c r="I7" i="1"/>
  <c r="I55" i="1"/>
  <c r="I47" i="1"/>
  <c r="I39" i="1"/>
  <c r="I31" i="1"/>
  <c r="I23" i="1"/>
  <c r="I15" i="1"/>
  <c r="I6" i="1"/>
  <c r="I54" i="1"/>
  <c r="I46" i="1"/>
  <c r="I38" i="1"/>
  <c r="I30" i="1"/>
  <c r="I22" i="1"/>
  <c r="I14" i="1"/>
  <c r="I5" i="1"/>
  <c r="I13" i="1" l="1"/>
  <c r="I44" i="1" l="1"/>
  <c r="L53" i="1" l="1"/>
  <c r="J55" i="1" l="1"/>
  <c r="K55" i="1" l="1"/>
  <c r="L55" i="1" s="1"/>
  <c r="J18" i="1" l="1"/>
  <c r="K18" i="1" l="1"/>
  <c r="L18" i="1" l="1"/>
</calcChain>
</file>

<file path=xl/sharedStrings.xml><?xml version="1.0" encoding="utf-8"?>
<sst xmlns="http://schemas.openxmlformats.org/spreadsheetml/2006/main" count="302" uniqueCount="223">
  <si>
    <t>Name</t>
  </si>
  <si>
    <t>Ticker</t>
  </si>
  <si>
    <t>Price</t>
  </si>
  <si>
    <t xml:space="preserve">Share Count </t>
  </si>
  <si>
    <t>MC ($M)</t>
  </si>
  <si>
    <t>Cash ($M)</t>
  </si>
  <si>
    <t>Debt ($M)</t>
  </si>
  <si>
    <t>EV ($M)</t>
  </si>
  <si>
    <t xml:space="preserve">Updated </t>
  </si>
  <si>
    <t>ABT</t>
  </si>
  <si>
    <t>ISRG</t>
  </si>
  <si>
    <t>SYK</t>
  </si>
  <si>
    <t>Medtronic</t>
  </si>
  <si>
    <t>MDT</t>
  </si>
  <si>
    <t>BDX</t>
  </si>
  <si>
    <t>EW</t>
  </si>
  <si>
    <t>BSX</t>
  </si>
  <si>
    <t>A</t>
  </si>
  <si>
    <t>RMD</t>
  </si>
  <si>
    <t>GEHC</t>
  </si>
  <si>
    <t>ALGN</t>
  </si>
  <si>
    <t>IDXX</t>
  </si>
  <si>
    <t>DXCM</t>
  </si>
  <si>
    <t>MTD</t>
  </si>
  <si>
    <t>WST</t>
  </si>
  <si>
    <t>ZBH</t>
  </si>
  <si>
    <t>Steris</t>
  </si>
  <si>
    <t>STE</t>
  </si>
  <si>
    <t>Avantor</t>
  </si>
  <si>
    <t>AVTR</t>
  </si>
  <si>
    <t>MDXG</t>
  </si>
  <si>
    <t>Hologic</t>
  </si>
  <si>
    <t>HOLX</t>
  </si>
  <si>
    <t>Insulet</t>
  </si>
  <si>
    <t>PODD</t>
  </si>
  <si>
    <t>COO</t>
  </si>
  <si>
    <t>EXAS</t>
  </si>
  <si>
    <t>Qiagen</t>
  </si>
  <si>
    <t>QGEN</t>
  </si>
  <si>
    <t>Henry Schein</t>
  </si>
  <si>
    <t>HSIC</t>
  </si>
  <si>
    <t>TFX</t>
  </si>
  <si>
    <t>NVCR</t>
  </si>
  <si>
    <t>MASI</t>
  </si>
  <si>
    <t>XRAY</t>
  </si>
  <si>
    <t>NARI</t>
  </si>
  <si>
    <t>ESTA</t>
  </si>
  <si>
    <t>EMBC</t>
  </si>
  <si>
    <t>GMED</t>
  </si>
  <si>
    <t>DHR</t>
  </si>
  <si>
    <t>ALC</t>
  </si>
  <si>
    <t>ANGO</t>
  </si>
  <si>
    <t>ATRC</t>
  </si>
  <si>
    <t>CERS</t>
  </si>
  <si>
    <t>CNMD</t>
  </si>
  <si>
    <t>INSP</t>
  </si>
  <si>
    <t>IQV</t>
  </si>
  <si>
    <t>IRTC</t>
  </si>
  <si>
    <t>JNJ</t>
  </si>
  <si>
    <t>LIVN</t>
  </si>
  <si>
    <t>OFIX</t>
  </si>
  <si>
    <t>OM</t>
  </si>
  <si>
    <t>PEN</t>
  </si>
  <si>
    <t>PHG</t>
  </si>
  <si>
    <t>STIM</t>
  </si>
  <si>
    <t>TCMD</t>
  </si>
  <si>
    <t>TMO</t>
  </si>
  <si>
    <t>TNDM</t>
  </si>
  <si>
    <t>SILK</t>
  </si>
  <si>
    <t>Abbott Laboratories</t>
  </si>
  <si>
    <t>Dental/Orthodontics</t>
  </si>
  <si>
    <t>Cardiac Monitoring</t>
  </si>
  <si>
    <t>Johnson &amp; Johnson</t>
  </si>
  <si>
    <t>Broadline Medical Devices</t>
  </si>
  <si>
    <t>Koninklijke Philips N.V. (Philips)</t>
  </si>
  <si>
    <t>Insulin Pumps</t>
  </si>
  <si>
    <t>Dental Equipment</t>
  </si>
  <si>
    <t>Agilent Technologies</t>
  </si>
  <si>
    <t xml:space="preserve">Alcon </t>
  </si>
  <si>
    <t>Align Technology</t>
  </si>
  <si>
    <t>AngioDynamics</t>
  </si>
  <si>
    <t>Life Sciences</t>
  </si>
  <si>
    <t>Analytical Instruments</t>
  </si>
  <si>
    <t>Healthcare Conglomerate</t>
  </si>
  <si>
    <t>Medical Devices/Diagnostics</t>
  </si>
  <si>
    <t>Medical Devices</t>
  </si>
  <si>
    <t>Ophthalmic Surgery</t>
  </si>
  <si>
    <t>Vascular Intervention</t>
  </si>
  <si>
    <t>Cardiac Ablation</t>
  </si>
  <si>
    <t>Laboratory Supplies</t>
  </si>
  <si>
    <t>Medical Technology</t>
  </si>
  <si>
    <t>Blood Transfusion</t>
  </si>
  <si>
    <t>Surgical Tools</t>
  </si>
  <si>
    <t>Contact Lenses/Fertility</t>
  </si>
  <si>
    <t>Diagnostics/Biotech</t>
  </si>
  <si>
    <t>Diabetes Monitoring</t>
  </si>
  <si>
    <t>Diabetes Care</t>
  </si>
  <si>
    <t>Aesthetic Implants</t>
  </si>
  <si>
    <t>Structural Heart</t>
  </si>
  <si>
    <t>Diagnostics</t>
  </si>
  <si>
    <t>Oncology Testing</t>
  </si>
  <si>
    <t>Imaging Equipment</t>
  </si>
  <si>
    <t>Spinal Implants</t>
  </si>
  <si>
    <t>Women's Health</t>
  </si>
  <si>
    <t>Healthcare Services</t>
  </si>
  <si>
    <t>Dental Distribution</t>
  </si>
  <si>
    <t>Veterinary Testing</t>
  </si>
  <si>
    <t>Sleep Apnea Therapy</t>
  </si>
  <si>
    <t>Clinical Research (CRO)</t>
  </si>
  <si>
    <t>Surgical Robotics</t>
  </si>
  <si>
    <t>Pharmaceuticals/Devices</t>
  </si>
  <si>
    <t>Neuromodulation</t>
  </si>
  <si>
    <t>Patient Monitoring</t>
  </si>
  <si>
    <t>Biologics</t>
  </si>
  <si>
    <t>Wound Care</t>
  </si>
  <si>
    <t>Precision Instruments</t>
  </si>
  <si>
    <t>Oncology Therapy</t>
  </si>
  <si>
    <t>Orthopedic Repair</t>
  </si>
  <si>
    <t>Dialysis Systems</t>
  </si>
  <si>
    <t>Imaging/HealthTech</t>
  </si>
  <si>
    <t>Insulin Delivery</t>
  </si>
  <si>
    <t>Molecular Testing</t>
  </si>
  <si>
    <t>Respiratory Therapy</t>
  </si>
  <si>
    <t>Sterilization</t>
  </si>
  <si>
    <t>Neurostimulation</t>
  </si>
  <si>
    <t>Orthopedics/Neurotech</t>
  </si>
  <si>
    <t>Compression Therapy</t>
  </si>
  <si>
    <t>Critical Care/Urology</t>
  </si>
  <si>
    <t>Healthcare Supplies</t>
  </si>
  <si>
    <t>Drug Packaging</t>
  </si>
  <si>
    <t>Joint Reconstruction</t>
  </si>
  <si>
    <t>&lt;- Acquired by Stryker (Feb. 20, 2025) for ~$4.9 billion (an incredible 60% premium on the trading market valuation)</t>
  </si>
  <si>
    <t>AtriCure</t>
  </si>
  <si>
    <t xml:space="preserve">Becton, Dickinson </t>
  </si>
  <si>
    <t xml:space="preserve">Boston Scientific </t>
  </si>
  <si>
    <t xml:space="preserve">Cerus </t>
  </si>
  <si>
    <t xml:space="preserve">CONMED </t>
  </si>
  <si>
    <t xml:space="preserve">Danaher </t>
  </si>
  <si>
    <t>The Cooper Co's</t>
  </si>
  <si>
    <t>DexCom</t>
  </si>
  <si>
    <t xml:space="preserve">Establishment Labs </t>
  </si>
  <si>
    <t xml:space="preserve">Edwards Lifesciences </t>
  </si>
  <si>
    <t xml:space="preserve">Exact Sciences </t>
  </si>
  <si>
    <t>Globus Medical</t>
  </si>
  <si>
    <t>IDEXX Laboratories</t>
  </si>
  <si>
    <t>Inspire Medical Systems</t>
  </si>
  <si>
    <t>IQVIA Holdings</t>
  </si>
  <si>
    <t>iRhythm Technologies</t>
  </si>
  <si>
    <t>Intuitive Surgical</t>
  </si>
  <si>
    <t>LivaNova</t>
  </si>
  <si>
    <t xml:space="preserve">Masimo </t>
  </si>
  <si>
    <t>MiMedx Group</t>
  </si>
  <si>
    <t xml:space="preserve">Mettler-Toledo </t>
  </si>
  <si>
    <t xml:space="preserve">NovoCure </t>
  </si>
  <si>
    <t xml:space="preserve">Orthofix Medical </t>
  </si>
  <si>
    <t>Outset Medical</t>
  </si>
  <si>
    <t>Penumbra</t>
  </si>
  <si>
    <t xml:space="preserve">ResMed </t>
  </si>
  <si>
    <t>Neuronetics</t>
  </si>
  <si>
    <t xml:space="preserve">Stryker </t>
  </si>
  <si>
    <t xml:space="preserve">Tactile Systems </t>
  </si>
  <si>
    <t xml:space="preserve">Teleflex </t>
  </si>
  <si>
    <t>Tandem Diabetes Care</t>
  </si>
  <si>
    <t xml:space="preserve">Dentsply Sirona </t>
  </si>
  <si>
    <t>Inari Medical</t>
  </si>
  <si>
    <t>Silk Medical</t>
  </si>
  <si>
    <t>NPV</t>
  </si>
  <si>
    <t>FV</t>
  </si>
  <si>
    <t>Upside</t>
  </si>
  <si>
    <t>Q4'24</t>
  </si>
  <si>
    <t>Category 13</t>
  </si>
  <si>
    <t>GE HealthCare</t>
  </si>
  <si>
    <t>West Pharmaceutical</t>
  </si>
  <si>
    <t xml:space="preserve">Zimmer Biomet </t>
  </si>
  <si>
    <t xml:space="preserve">Thermo Fisher  </t>
  </si>
  <si>
    <t>Axonics</t>
  </si>
  <si>
    <t>AXN</t>
  </si>
  <si>
    <t xml:space="preserve">&lt;- Acquired by Boston Scientific (Sep. 17, 2024) for ~$1.18 billion </t>
  </si>
  <si>
    <t>&lt;- Acquired by Boston Scientific (Nov. 15, 2024) for ~$3.7 billion (10 months after proposal)</t>
  </si>
  <si>
    <t>https://www.fda.gov/medical-devices</t>
  </si>
  <si>
    <t>https://pubmed.ncbi.nlm.nih.gov/37084878/</t>
  </si>
  <si>
    <t>MedTech Equity News</t>
  </si>
  <si>
    <t>https://www.medtechdive.com/</t>
  </si>
  <si>
    <t>https://www.nejm.org/</t>
  </si>
  <si>
    <t>New England Journal (Primarily Pharmacology)</t>
  </si>
  <si>
    <t>FDA Medical Devices Frontpage</t>
  </si>
  <si>
    <t>PubMed</t>
  </si>
  <si>
    <t>FY Earnings Estimates</t>
  </si>
  <si>
    <t>Main</t>
  </si>
  <si>
    <t>Thrombectomy</t>
  </si>
  <si>
    <t>Lemaitre Vascular</t>
  </si>
  <si>
    <t>LMAT</t>
  </si>
  <si>
    <t>Q1'25</t>
  </si>
  <si>
    <t>Direct Competitive Overlap w Penumbra</t>
  </si>
  <si>
    <t>Fwd. P/E</t>
  </si>
  <si>
    <t>Fwd. P/E (2-years)</t>
  </si>
  <si>
    <t>β (1-year avg.)</t>
  </si>
  <si>
    <t xml:space="preserve">1σ ± move </t>
  </si>
  <si>
    <t>FY Earnings Estimates (2-years)</t>
  </si>
  <si>
    <t># of Employees</t>
  </si>
  <si>
    <t>Baxter International</t>
  </si>
  <si>
    <t>BAX</t>
  </si>
  <si>
    <t>Solventum</t>
  </si>
  <si>
    <t>SOLV</t>
  </si>
  <si>
    <t>Spun off by 3M on April 1, 2024 (3M retains ~20% equity in Solventum)</t>
  </si>
  <si>
    <t>GICS Sector</t>
  </si>
  <si>
    <t>GICS Sub-Industry</t>
  </si>
  <si>
    <t>Diagnostics/Laboratory Equipment</t>
  </si>
  <si>
    <t>Endovascular Today (Vascular Market News)</t>
  </si>
  <si>
    <t>https://evtoday.com/</t>
  </si>
  <si>
    <t>Roche operates one of the worlds largest Life Science/Diagnostics business… Look into international players including</t>
  </si>
  <si>
    <t>International</t>
  </si>
  <si>
    <t>Healthcare Conglomerate
J&amp;J divested from their Diagnostics business a long time ago, but still operates a significant MedTech business</t>
  </si>
  <si>
    <t>Cardiovascular
Divested from Neurovascular business, selling it to SYK for $1.5B in 2011</t>
  </si>
  <si>
    <t>Medical Device / Life Science Company List</t>
  </si>
  <si>
    <t>https://www.medicaldevice-network.com/company-a-z/</t>
  </si>
  <si>
    <t>Embecta
(spun off from BDX)</t>
  </si>
  <si>
    <t>Direct Competitive Overlap w Penumbra -- This company is burning cash</t>
  </si>
  <si>
    <t>Q2'25</t>
  </si>
  <si>
    <t>Q2'24</t>
  </si>
  <si>
    <t>ITGR</t>
  </si>
  <si>
    <t>Integer Holdings</t>
  </si>
  <si>
    <t>Contract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</si>
</sst>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4">
    <font>
      <sz val="11"/>
      <color theme="1"/>
      <name val="Calibri"/>
      <family val="2"/>
      <scheme val="minor"/>
    </font>
    <font>
      <b/>
      <sz val="11"/>
      <color theme="0"/>
      <name val="Calibre"/>
    </font>
    <font>
      <sz val="11"/>
      <color theme="1"/>
      <name val="Calibre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e"/>
    </font>
    <font>
      <sz val="11"/>
      <color theme="1"/>
      <name val="Calibri"/>
      <family val="2"/>
      <scheme val="minor"/>
    </font>
    <font>
      <sz val="11"/>
      <color theme="0"/>
      <name val="Calibre"/>
    </font>
    <font>
      <u/>
      <sz val="11"/>
      <color rgb="FF00B0F0"/>
      <name val="Calibre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8.6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44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44" fontId="2" fillId="2" borderId="0" xfId="0" applyNumberFormat="1" applyFont="1" applyFill="1" applyAlignment="1">
      <alignment horizontal="left" vertical="top" wrapText="1"/>
    </xf>
    <xf numFmtId="10" fontId="2" fillId="0" borderId="0" xfId="0" applyNumberFormat="1" applyFont="1"/>
    <xf numFmtId="0" fontId="7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44" fontId="2" fillId="0" borderId="0" xfId="4" applyFont="1"/>
    <xf numFmtId="2" fontId="2" fillId="0" borderId="0" xfId="0" applyNumberFormat="1" applyFont="1"/>
    <xf numFmtId="44" fontId="2" fillId="0" borderId="0" xfId="0" applyNumberFormat="1" applyFont="1" applyAlignment="1">
      <alignment wrapText="1"/>
    </xf>
    <xf numFmtId="0" fontId="1" fillId="3" borderId="0" xfId="0" applyFont="1" applyFill="1"/>
    <xf numFmtId="44" fontId="1" fillId="3" borderId="0" xfId="0" applyNumberFormat="1" applyFont="1" applyFill="1"/>
    <xf numFmtId="0" fontId="9" fillId="3" borderId="0" xfId="0" applyFont="1" applyFill="1"/>
    <xf numFmtId="3" fontId="2" fillId="0" borderId="0" xfId="0" applyNumberFormat="1" applyFont="1"/>
    <xf numFmtId="0" fontId="5" fillId="0" borderId="0" xfId="3"/>
    <xf numFmtId="0" fontId="10" fillId="0" borderId="0" xfId="3" applyFont="1"/>
    <xf numFmtId="0" fontId="10" fillId="0" borderId="1" xfId="3" applyFont="1" applyFill="1" applyBorder="1"/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</cellXfs>
  <cellStyles count="5">
    <cellStyle name="Currency" xfId="4" builtinId="4"/>
    <cellStyle name="Hyperlink" xfId="3" builtinId="8"/>
    <cellStyle name="Hyperlink 2" xfId="2" xr:uid="{EA16B43E-A6A0-4CF5-8C0B-FD4E502DB7FC}"/>
    <cellStyle name="Normal" xfId="0" builtinId="0"/>
    <cellStyle name="Normal 2" xfId="1" xr:uid="{10241BC7-DF58-46C9-A84F-35B7B655C9B3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e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/>
        <name val="Calibre"/>
        <scheme val="none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/>
        <name val="Calibre"/>
        <scheme val="none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/>
        <name val="Calibre"/>
        <scheme val="none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/>
        <name val="Calibre"/>
        <scheme val="none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/>
        <name val="Calibre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e"/>
        <scheme val="none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/>
        <name val="Calibr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e"/>
        <scheme val="none"/>
      </font>
    </dxf>
    <dxf>
      <border diagonalUp="0" diagonalDown="0"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e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e"/>
        <scheme val="none"/>
      </font>
      <fill>
        <patternFill patternType="solid">
          <fgColor indexed="64"/>
          <bgColor rgb="FF002060"/>
        </patternFill>
      </fill>
    </dxf>
  </dxfs>
  <tableStyles count="1" defaultTableStyle="TableStyleMedium2" defaultPivotStyle="PivotStyleLight16">
    <tableStyle name="Invisible" pivot="0" table="0" count="0" xr9:uid="{C2741A59-6701-4298-9EC9-1F20087F54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64834</xdr:colOff>
      <xdr:row>48</xdr:row>
      <xdr:rowOff>100853</xdr:rowOff>
    </xdr:from>
    <xdr:to>
      <xdr:col>22</xdr:col>
      <xdr:colOff>132069</xdr:colOff>
      <xdr:row>48</xdr:row>
      <xdr:rowOff>106125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086AF2D-E67C-4021-96C3-CBEC794A641D}"/>
            </a:ext>
          </a:extLst>
        </xdr:cNvPr>
        <xdr:cNvCxnSpPr/>
      </xdr:nvCxnSpPr>
      <xdr:spPr>
        <a:xfrm>
          <a:off x="268941" y="8428424"/>
          <a:ext cx="17470771" cy="5272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67235</xdr:colOff>
      <xdr:row>9</xdr:row>
      <xdr:rowOff>100853</xdr:rowOff>
    </xdr:from>
    <xdr:to>
      <xdr:col>22</xdr:col>
      <xdr:colOff>128868</xdr:colOff>
      <xdr:row>9</xdr:row>
      <xdr:rowOff>103534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3F01CC2-CC0C-4876-BF24-63A20564B193}"/>
            </a:ext>
          </a:extLst>
        </xdr:cNvPr>
        <xdr:cNvCxnSpPr/>
      </xdr:nvCxnSpPr>
      <xdr:spPr>
        <a:xfrm>
          <a:off x="280147" y="7026088"/>
          <a:ext cx="19313339" cy="268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22412</xdr:colOff>
      <xdr:row>39</xdr:row>
      <xdr:rowOff>92800</xdr:rowOff>
    </xdr:from>
    <xdr:to>
      <xdr:col>22</xdr:col>
      <xdr:colOff>84045</xdr:colOff>
      <xdr:row>39</xdr:row>
      <xdr:rowOff>95481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07AD0F4-A73B-435B-8BB2-AFA860080F34}"/>
            </a:ext>
          </a:extLst>
        </xdr:cNvPr>
        <xdr:cNvCxnSpPr/>
      </xdr:nvCxnSpPr>
      <xdr:spPr>
        <a:xfrm>
          <a:off x="235324" y="6513771"/>
          <a:ext cx="17464368" cy="268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133350</xdr:rowOff>
    </xdr:to>
    <xdr:sp macro="" textlink="">
      <xdr:nvSpPr>
        <xdr:cNvPr id="1025" name="posweb-cell_earnings_icon_3" descr="Earnings information exists">
          <a:extLst>
            <a:ext uri="{FF2B5EF4-FFF2-40B4-BE49-F238E27FC236}">
              <a16:creationId xmlns:a16="http://schemas.microsoft.com/office/drawing/2014/main" id="{6C4FE2CE-39C5-F53F-EBBD-3CB3D3511550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304800</xdr:colOff>
      <xdr:row>18</xdr:row>
      <xdr:rowOff>133350</xdr:rowOff>
    </xdr:to>
    <xdr:sp macro="" textlink="">
      <xdr:nvSpPr>
        <xdr:cNvPr id="1026" name="posweb-cell_earnings_icon_11" descr="Earnings information exists">
          <a:extLst>
            <a:ext uri="{FF2B5EF4-FFF2-40B4-BE49-F238E27FC236}">
              <a16:creationId xmlns:a16="http://schemas.microsoft.com/office/drawing/2014/main" id="{03A5984E-2461-FDBA-91C7-7A513D994130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304800</xdr:colOff>
      <xdr:row>28</xdr:row>
      <xdr:rowOff>133350</xdr:rowOff>
    </xdr:to>
    <xdr:sp macro="" textlink="">
      <xdr:nvSpPr>
        <xdr:cNvPr id="1027" name="posweb-cell_earnings_icon_40" descr="Earnings information exists">
          <a:extLst>
            <a:ext uri="{FF2B5EF4-FFF2-40B4-BE49-F238E27FC236}">
              <a16:creationId xmlns:a16="http://schemas.microsoft.com/office/drawing/2014/main" id="{1E773D8B-8A6D-EE35-A457-0C6714B4883F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46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304800</xdr:colOff>
      <xdr:row>47</xdr:row>
      <xdr:rowOff>133350</xdr:rowOff>
    </xdr:to>
    <xdr:sp macro="" textlink="">
      <xdr:nvSpPr>
        <xdr:cNvPr id="1028" name="posweb-cell_earnings_icon_4" descr="Earnings information exists">
          <a:extLst>
            <a:ext uri="{FF2B5EF4-FFF2-40B4-BE49-F238E27FC236}">
              <a16:creationId xmlns:a16="http://schemas.microsoft.com/office/drawing/2014/main" id="{9E2815C4-4713-7789-CD87-CCEFF944AC21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79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56</xdr:row>
      <xdr:rowOff>0</xdr:rowOff>
    </xdr:from>
    <xdr:to>
      <xdr:col>24</xdr:col>
      <xdr:colOff>304800</xdr:colOff>
      <xdr:row>57</xdr:row>
      <xdr:rowOff>133350</xdr:rowOff>
    </xdr:to>
    <xdr:sp macro="" textlink="">
      <xdr:nvSpPr>
        <xdr:cNvPr id="1029" name="posweb-cell_distributions_icon_20" descr="Distribution information exists">
          <a:extLst>
            <a:ext uri="{FF2B5EF4-FFF2-40B4-BE49-F238E27FC236}">
              <a16:creationId xmlns:a16="http://schemas.microsoft.com/office/drawing/2014/main" id="{501F317B-1BBC-95FF-348C-A4FF78C462A9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962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60</xdr:row>
      <xdr:rowOff>0</xdr:rowOff>
    </xdr:from>
    <xdr:to>
      <xdr:col>24</xdr:col>
      <xdr:colOff>304800</xdr:colOff>
      <xdr:row>61</xdr:row>
      <xdr:rowOff>133350</xdr:rowOff>
    </xdr:to>
    <xdr:sp macro="" textlink="">
      <xdr:nvSpPr>
        <xdr:cNvPr id="1030" name="posweb-cell_earnings_icon_18" descr="Earnings information exists">
          <a:extLst>
            <a:ext uri="{FF2B5EF4-FFF2-40B4-BE49-F238E27FC236}">
              <a16:creationId xmlns:a16="http://schemas.microsoft.com/office/drawing/2014/main" id="{04A61AE5-CED6-ADA9-0A04-B009AA5AB06C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1031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64</xdr:row>
      <xdr:rowOff>0</xdr:rowOff>
    </xdr:from>
    <xdr:to>
      <xdr:col>24</xdr:col>
      <xdr:colOff>304800</xdr:colOff>
      <xdr:row>65</xdr:row>
      <xdr:rowOff>133350</xdr:rowOff>
    </xdr:to>
    <xdr:sp macro="" textlink="">
      <xdr:nvSpPr>
        <xdr:cNvPr id="1031" name="posweb-cell_earnings_icon_24" descr="Earnings information exists">
          <a:extLst>
            <a:ext uri="{FF2B5EF4-FFF2-40B4-BE49-F238E27FC236}">
              <a16:creationId xmlns:a16="http://schemas.microsoft.com/office/drawing/2014/main" id="{EE6F289A-5A3B-08C0-1830-A0A80DAD47BC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68</xdr:row>
      <xdr:rowOff>0</xdr:rowOff>
    </xdr:from>
    <xdr:to>
      <xdr:col>24</xdr:col>
      <xdr:colOff>304800</xdr:colOff>
      <xdr:row>69</xdr:row>
      <xdr:rowOff>133350</xdr:rowOff>
    </xdr:to>
    <xdr:sp macro="" textlink="">
      <xdr:nvSpPr>
        <xdr:cNvPr id="1032" name="posweb-cell_earnings_icon_22" descr="Earnings information exists">
          <a:extLst>
            <a:ext uri="{FF2B5EF4-FFF2-40B4-BE49-F238E27FC236}">
              <a16:creationId xmlns:a16="http://schemas.microsoft.com/office/drawing/2014/main" id="{B38D0788-D7AA-9C15-243F-ADFD36A8E2FF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81</xdr:row>
      <xdr:rowOff>0</xdr:rowOff>
    </xdr:from>
    <xdr:to>
      <xdr:col>24</xdr:col>
      <xdr:colOff>304800</xdr:colOff>
      <xdr:row>82</xdr:row>
      <xdr:rowOff>114300</xdr:rowOff>
    </xdr:to>
    <xdr:sp macro="" textlink="">
      <xdr:nvSpPr>
        <xdr:cNvPr id="1033" name="posweb-cell_earnings_icon_19" descr="Earnings information exists">
          <a:extLst>
            <a:ext uri="{FF2B5EF4-FFF2-40B4-BE49-F238E27FC236}">
              <a16:creationId xmlns:a16="http://schemas.microsoft.com/office/drawing/2014/main" id="{E2AB5993-9083-E3F9-7168-C8705573AB63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14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88</xdr:row>
      <xdr:rowOff>0</xdr:rowOff>
    </xdr:from>
    <xdr:to>
      <xdr:col>24</xdr:col>
      <xdr:colOff>304800</xdr:colOff>
      <xdr:row>89</xdr:row>
      <xdr:rowOff>114300</xdr:rowOff>
    </xdr:to>
    <xdr:sp macro="" textlink="">
      <xdr:nvSpPr>
        <xdr:cNvPr id="1034" name="posweb-cell_earnings_icon_9" descr="Earnings information exists">
          <a:extLst>
            <a:ext uri="{FF2B5EF4-FFF2-40B4-BE49-F238E27FC236}">
              <a16:creationId xmlns:a16="http://schemas.microsoft.com/office/drawing/2014/main" id="{F29A0A23-990D-ED19-3C2D-045D5E2EC742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1542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119</xdr:row>
      <xdr:rowOff>0</xdr:rowOff>
    </xdr:from>
    <xdr:to>
      <xdr:col>24</xdr:col>
      <xdr:colOff>304800</xdr:colOff>
      <xdr:row>120</xdr:row>
      <xdr:rowOff>114300</xdr:rowOff>
    </xdr:to>
    <xdr:sp macro="" textlink="">
      <xdr:nvSpPr>
        <xdr:cNvPr id="1035" name="posweb-cell_earnings_icon_26" descr="Earnings information exists">
          <a:extLst>
            <a:ext uri="{FF2B5EF4-FFF2-40B4-BE49-F238E27FC236}">
              <a16:creationId xmlns:a16="http://schemas.microsoft.com/office/drawing/2014/main" id="{65E587A7-497E-F354-137E-32F8DE15EFC9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123</xdr:row>
      <xdr:rowOff>0</xdr:rowOff>
    </xdr:from>
    <xdr:to>
      <xdr:col>24</xdr:col>
      <xdr:colOff>304800</xdr:colOff>
      <xdr:row>124</xdr:row>
      <xdr:rowOff>114300</xdr:rowOff>
    </xdr:to>
    <xdr:sp macro="" textlink="">
      <xdr:nvSpPr>
        <xdr:cNvPr id="1036" name="posweb-cell_earnings_icon_5" descr="Earnings information exists">
          <a:extLst>
            <a:ext uri="{FF2B5EF4-FFF2-40B4-BE49-F238E27FC236}">
              <a16:creationId xmlns:a16="http://schemas.microsoft.com/office/drawing/2014/main" id="{87409BBC-A5DE-0356-2451-31A6635FA65B}"/>
            </a:ext>
          </a:extLst>
        </xdr:cNvPr>
        <xdr:cNvSpPr>
          <a:spLocks noChangeAspect="1" noChangeArrowheads="1"/>
        </xdr:cNvSpPr>
      </xdr:nvSpPr>
      <xdr:spPr bwMode="auto">
        <a:xfrm>
          <a:off x="18421350" y="2208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ABT_Model.xlsx" TargetMode="External"/><Relationship Id="rId1" Type="http://schemas.openxmlformats.org/officeDocument/2006/relationships/externalLinkPath" Target="ABT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ANGO_Model.xlsx" TargetMode="External"/><Relationship Id="rId1" Type="http://schemas.openxmlformats.org/officeDocument/2006/relationships/externalLinkPath" Target="ANGO_Mod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BAX_Model.xlsx" TargetMode="External"/><Relationship Id="rId1" Type="http://schemas.openxmlformats.org/officeDocument/2006/relationships/externalLinkPath" Target="BAX_Mode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BDX_Model.xlsx" TargetMode="External"/><Relationship Id="rId1" Type="http://schemas.openxmlformats.org/officeDocument/2006/relationships/externalLinkPath" Target="BDX_Mode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BSX_Model.xlsx" TargetMode="External"/><Relationship Id="rId1" Type="http://schemas.openxmlformats.org/officeDocument/2006/relationships/externalLinkPath" Target="BSX_Mode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CNMD_Model.xlsx" TargetMode="External"/><Relationship Id="rId1" Type="http://schemas.openxmlformats.org/officeDocument/2006/relationships/externalLinkPath" Target="CNMD_Mode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COO_Model.xlsx" TargetMode="External"/><Relationship Id="rId1" Type="http://schemas.openxmlformats.org/officeDocument/2006/relationships/externalLinkPath" Target="COO_Model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DXCM_Model.xlsx" TargetMode="External"/><Relationship Id="rId1" Type="http://schemas.openxmlformats.org/officeDocument/2006/relationships/externalLinkPath" Target="DXCM_Mode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EW_Model.xlsx" TargetMode="External"/><Relationship Id="rId1" Type="http://schemas.openxmlformats.org/officeDocument/2006/relationships/externalLinkPath" Target="EW_Model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GMED_Model.xlsx" TargetMode="External"/><Relationship Id="rId1" Type="http://schemas.openxmlformats.org/officeDocument/2006/relationships/externalLinkPath" Target="GMED_Model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ISRG_Model.xlsx" TargetMode="External"/><Relationship Id="rId1" Type="http://schemas.openxmlformats.org/officeDocument/2006/relationships/externalLinkPath" Target="ISRG_Model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LMAT_Model.xlsx" TargetMode="External"/><Relationship Id="rId1" Type="http://schemas.openxmlformats.org/officeDocument/2006/relationships/externalLinkPath" Target="LMAT_Model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MDT_Model.xlsx" TargetMode="External"/><Relationship Id="rId1" Type="http://schemas.openxmlformats.org/officeDocument/2006/relationships/externalLinkPath" Target="MDT_Model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PEN_Model.xlsx" TargetMode="External"/><Relationship Id="rId1" Type="http://schemas.openxmlformats.org/officeDocument/2006/relationships/externalLinkPath" Target="PEN_Model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N_Model1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PODD_Model.xlsx" TargetMode="External"/><Relationship Id="rId1" Type="http://schemas.openxmlformats.org/officeDocument/2006/relationships/externalLinkPath" Target="PODD_Model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SYK_Model.xlsx" TargetMode="External"/><Relationship Id="rId1" Type="http://schemas.openxmlformats.org/officeDocument/2006/relationships/externalLinkPath" Target="SYK_Model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TFX_Model.xlsx" TargetMode="External"/><Relationship Id="rId1" Type="http://schemas.openxmlformats.org/officeDocument/2006/relationships/externalLinkPath" Target="TFX_Model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TMO_Model.xlsx" TargetMode="External"/><Relationship Id="rId1" Type="http://schemas.openxmlformats.org/officeDocument/2006/relationships/externalLinkPath" Target="TMO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anagement"/>
      <sheetName val="M&amp;A"/>
      <sheetName val="Med-Devices"/>
      <sheetName val="Diagnostics"/>
      <sheetName val="Table Format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 refreshError="1"/>
      <sheetData sheetId="1">
        <row r="61">
          <cell r="CG61">
            <v>224.84587729758218</v>
          </cell>
        </row>
        <row r="63">
          <cell r="CG63">
            <v>5.5335780596456612</v>
          </cell>
        </row>
      </sheetData>
      <sheetData sheetId="2">
        <row r="209">
          <cell r="K209">
            <v>2.6891646201858257E-2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 refreshError="1"/>
      <sheetData sheetId="1" refreshError="1"/>
      <sheetData sheetId="2">
        <row r="274">
          <cell r="K274">
            <v>1.5657946818978374E-2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4">
          <cell r="C4">
            <v>286.62</v>
          </cell>
        </row>
        <row r="6">
          <cell r="C6">
            <v>757</v>
          </cell>
        </row>
        <row r="7">
          <cell r="C7">
            <v>19341</v>
          </cell>
        </row>
      </sheetData>
      <sheetData sheetId="1" refreshError="1"/>
      <sheetData sheetId="2">
        <row r="199">
          <cell r="K199">
            <v>1.2048459317770927E-2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>
        <row r="6">
          <cell r="C6">
            <v>534</v>
          </cell>
        </row>
        <row r="7">
          <cell r="C7">
            <v>11587</v>
          </cell>
        </row>
      </sheetData>
      <sheetData sheetId="1">
        <row r="50">
          <cell r="AW50">
            <v>2543</v>
          </cell>
        </row>
        <row r="90">
          <cell r="DD90">
            <v>174974.16954239632</v>
          </cell>
        </row>
        <row r="92">
          <cell r="DD92">
            <v>118.08608163071685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4">
          <cell r="C4">
            <v>30.954000000000001</v>
          </cell>
        </row>
        <row r="6">
          <cell r="C6">
            <v>33.93</v>
          </cell>
        </row>
        <row r="7">
          <cell r="C7">
            <v>881</v>
          </cell>
        </row>
      </sheetData>
      <sheetData sheetId="1" refreshError="1"/>
      <sheetData sheetId="2">
        <row r="265">
          <cell r="K265">
            <v>2.1847838578123599E-2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4">
          <cell r="C4">
            <v>198.80799999999999</v>
          </cell>
        </row>
        <row r="6">
          <cell r="C6">
            <v>124.9</v>
          </cell>
        </row>
        <row r="7">
          <cell r="C7">
            <v>2459.9</v>
          </cell>
        </row>
      </sheetData>
      <sheetData sheetId="1" refreshError="1"/>
      <sheetData sheetId="2">
        <row r="265">
          <cell r="K265">
            <v>1.4488028373286351E-2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4">
          <cell r="C4">
            <v>392.15499999999997</v>
          </cell>
        </row>
        <row r="6">
          <cell r="C6">
            <v>0</v>
          </cell>
        </row>
        <row r="7">
          <cell r="C7">
            <v>0</v>
          </cell>
        </row>
      </sheetData>
      <sheetData sheetId="1">
        <row r="55">
          <cell r="CP55">
            <v>33128.80441728764</v>
          </cell>
        </row>
        <row r="57">
          <cell r="CP57">
            <v>84.478852538633049</v>
          </cell>
        </row>
        <row r="59">
          <cell r="CP59">
            <v>0.24876352606996366</v>
          </cell>
        </row>
      </sheetData>
      <sheetData sheetId="2">
        <row r="211">
          <cell r="K211">
            <v>2.3301289879581501E-2</v>
          </cell>
        </row>
        <row r="213">
          <cell r="K213">
            <v>1.49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 refreshError="1"/>
      <sheetData sheetId="1" refreshError="1"/>
      <sheetData sheetId="2">
        <row r="265">
          <cell r="K265">
            <v>1.5347304253278952E-2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</sheetNames>
    <sheetDataSet>
      <sheetData sheetId="0"/>
      <sheetData sheetId="1">
        <row r="53">
          <cell r="BZ53">
            <v>7824.088971661793</v>
          </cell>
        </row>
        <row r="55">
          <cell r="BZ55">
            <v>56.964608457675965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6">
          <cell r="C6">
            <v>358.5</v>
          </cell>
        </row>
        <row r="8">
          <cell r="C8">
            <v>9532.5</v>
          </cell>
        </row>
      </sheetData>
      <sheetData sheetId="1">
        <row r="49">
          <cell r="CV49">
            <v>166270.73316587909</v>
          </cell>
        </row>
        <row r="51">
          <cell r="CV51">
            <v>463.79562947246609</v>
          </cell>
        </row>
        <row r="53">
          <cell r="CV53">
            <v>5.5952892565152013E-2</v>
          </cell>
        </row>
      </sheetData>
      <sheetData sheetId="2">
        <row r="181">
          <cell r="K181">
            <v>1.7141639646643531E-2</v>
          </cell>
        </row>
        <row r="183">
          <cell r="K183">
            <v>1.68</v>
          </cell>
        </row>
      </sheetData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4">
          <cell r="C4">
            <v>22.637</v>
          </cell>
        </row>
        <row r="6">
          <cell r="C6">
            <v>319.40000000000003</v>
          </cell>
        </row>
        <row r="7">
          <cell r="C7">
            <v>168</v>
          </cell>
        </row>
      </sheetData>
      <sheetData sheetId="1" refreshError="1"/>
      <sheetData sheetId="2">
        <row r="265">
          <cell r="K265">
            <v>1.9636063763123747E-2</v>
          </cell>
        </row>
        <row r="267">
          <cell r="K267">
            <v>0.78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4">
          <cell r="C4">
            <v>1281.26</v>
          </cell>
        </row>
        <row r="6">
          <cell r="C6">
            <v>8965</v>
          </cell>
        </row>
        <row r="7">
          <cell r="C7">
            <v>28516</v>
          </cell>
        </row>
      </sheetData>
      <sheetData sheetId="1">
        <row r="78">
          <cell r="CC78">
            <v>112911.15142286106</v>
          </cell>
        </row>
        <row r="80">
          <cell r="CC80">
            <v>88.125088914709792</v>
          </cell>
        </row>
      </sheetData>
      <sheetData sheetId="2">
        <row r="207">
          <cell r="K207">
            <v>1.1871030936368737E-2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Bull Case (30%)"/>
      <sheetName val="Base Case (55%)"/>
      <sheetName val="Bear Case (15%)"/>
      <sheetName val="Notes | Analysis"/>
      <sheetName val="Portfolio | Product Lines"/>
      <sheetName val="IPO"/>
      <sheetName val="Management"/>
      <sheetName val="Clinical Trail Channel"/>
      <sheetName val="Peripheral Thrombectomy"/>
      <sheetName val="Neuro Thrombectomy"/>
      <sheetName val="Peripheral Embolization"/>
      <sheetName val="Neuro Embolization"/>
      <sheetName val="Access"/>
      <sheetName val="Neurosurgical Tools"/>
    </sheetNames>
    <sheetDataSet>
      <sheetData sheetId="0">
        <row r="6">
          <cell r="C6">
            <v>424.56299999999999</v>
          </cell>
        </row>
        <row r="8">
          <cell r="C8">
            <v>9836.8538800000006</v>
          </cell>
        </row>
      </sheetData>
      <sheetData sheetId="1" refreshError="1"/>
      <sheetData sheetId="2">
        <row r="59">
          <cell r="CA59">
            <v>12573.443632908808</v>
          </cell>
        </row>
        <row r="61">
          <cell r="CA61">
            <v>322.4042573632351</v>
          </cell>
        </row>
        <row r="63">
          <cell r="CA63">
            <v>0.22531262299800514</v>
          </cell>
        </row>
      </sheetData>
      <sheetData sheetId="3" refreshError="1"/>
      <sheetData sheetId="4">
        <row r="238">
          <cell r="K238">
            <v>2.4922310845394476E-2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| Overview"/>
      <sheetName val="Base Case (55%)"/>
      <sheetName val="Bull Case (30%)"/>
      <sheetName val="Bear Case (15%)"/>
      <sheetName val="Notes | Analysis"/>
      <sheetName val="Portfolio | Product Lines"/>
      <sheetName val="IPO"/>
      <sheetName val="Management"/>
      <sheetName val="Clinical Trail Channel"/>
      <sheetName val="Peripheral Thrombectomy"/>
      <sheetName val="Neuro Thrombectomy"/>
      <sheetName val="Peripheral Embolization"/>
      <sheetName val="Neuro Embolization"/>
      <sheetName val="Access"/>
      <sheetName val="Neurosurgical Tools"/>
    </sheetNames>
    <sheetDataSet>
      <sheetData sheetId="0">
        <row r="9">
          <cell r="C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4">
          <cell r="C4">
            <v>70.391999999999996</v>
          </cell>
        </row>
        <row r="6">
          <cell r="C6">
            <v>1121.5999999999999</v>
          </cell>
        </row>
        <row r="7">
          <cell r="C7">
            <v>1345.7</v>
          </cell>
        </row>
      </sheetData>
      <sheetData sheetId="1" refreshError="1"/>
      <sheetData sheetId="2">
        <row r="265">
          <cell r="K265">
            <v>2.2834608490444917E-2</v>
          </cell>
        </row>
        <row r="267">
          <cell r="K267">
            <v>1.37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NARI"/>
      <sheetName val="Debt Schedule"/>
    </sheetNames>
    <sheetDataSet>
      <sheetData sheetId="0">
        <row r="6">
          <cell r="C6">
            <v>382.16500000000002</v>
          </cell>
        </row>
        <row r="8">
          <cell r="C8">
            <v>3961</v>
          </cell>
        </row>
        <row r="9">
          <cell r="C9">
            <v>16781</v>
          </cell>
        </row>
      </sheetData>
      <sheetData sheetId="1">
        <row r="1">
          <cell r="AY1" t="str">
            <v>Q1 2021</v>
          </cell>
        </row>
        <row r="77">
          <cell r="DD77">
            <v>145921.13249473297</v>
          </cell>
        </row>
        <row r="79">
          <cell r="DD79">
            <v>381.82756792153378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6">
          <cell r="C6">
            <v>44.188000000000002</v>
          </cell>
        </row>
        <row r="8">
          <cell r="C8">
            <v>284</v>
          </cell>
        </row>
        <row r="9">
          <cell r="C9">
            <v>1924.02</v>
          </cell>
        </row>
      </sheetData>
      <sheetData sheetId="1">
        <row r="79">
          <cell r="CY79">
            <v>6830.2411472588892</v>
          </cell>
        </row>
        <row r="81">
          <cell r="CY81">
            <v>154.57230803066193</v>
          </cell>
        </row>
      </sheetData>
      <sheetData sheetId="2">
        <row r="202">
          <cell r="K202">
            <v>1.6628619941106478E-2</v>
          </cell>
        </row>
      </sheetData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4">
          <cell r="C4">
            <v>377.61</v>
          </cell>
        </row>
        <row r="6">
          <cell r="C6">
            <v>6390</v>
          </cell>
        </row>
        <row r="7">
          <cell r="C7">
            <v>35229</v>
          </cell>
        </row>
      </sheetData>
      <sheetData sheetId="1"/>
      <sheetData sheetId="2">
        <row r="199">
          <cell r="K199">
            <v>1.4357925397595657E-2</v>
          </cell>
        </row>
        <row r="201">
          <cell r="K201">
            <v>0.76</v>
          </cell>
        </row>
      </sheetData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29868-3893-402D-903A-49AEC2B1DF58}" name="Table4" displayName="Table4" ref="B2:W72" totalsRowShown="0" headerRowDxfId="24" dataDxfId="23" tableBorderDxfId="22">
  <autoFilter ref="B2:W72" xr:uid="{BD229868-3893-402D-903A-49AEC2B1DF58}"/>
  <sortState xmlns:xlrd2="http://schemas.microsoft.com/office/spreadsheetml/2017/richdata2" ref="B3:W72">
    <sortCondition ref="B2:B72"/>
  </sortState>
  <tableColumns count="22">
    <tableColumn id="23" xr3:uid="{E121D137-E273-4C3E-A084-0DEB9CFE7664}" name="Ticker" dataDxfId="21"/>
    <tableColumn id="1" xr3:uid="{4ADE19BB-14C4-42AC-B83A-E2835EC9AF59}" name="Name" dataDxfId="20"/>
    <tableColumn id="4" xr3:uid="{ED225D35-38EE-42A6-B4F6-EF96455DAEB6}" name="Price" dataDxfId="19"/>
    <tableColumn id="12" xr3:uid="{70716DE6-EACF-4F00-9618-CB8D3E83703D}" name="Share Count " dataDxfId="18"/>
    <tableColumn id="5" xr3:uid="{9EFD7146-D09D-4A25-8A95-41219DD01300}" name="MC ($M)" dataDxfId="17">
      <calculatedColumnFormula>Table4[[#This Row],[Price]]*Table4[[#This Row],[Share Count ]]</calculatedColumnFormula>
    </tableColumn>
    <tableColumn id="6" xr3:uid="{4AE80DC9-D77A-4BB9-9257-B12D5FD56AD8}" name="Cash ($M)" dataDxfId="16">
      <calculatedColumnFormula>'[15]Main | Overview'!$C$8</calculatedColumnFormula>
    </tableColumn>
    <tableColumn id="7" xr3:uid="{6E413DC7-C096-40D4-880F-FE61A084FF48}" name="Debt ($M)" dataDxfId="15">
      <calculatedColumnFormula>'[15]Main | Overview'!$C$9</calculatedColumnFormula>
    </tableColumn>
    <tableColumn id="8" xr3:uid="{2C2A1268-8397-4EDA-9878-D9F98F133978}" name="EV ($M)" dataDxfId="14">
      <calculatedColumnFormula>Table4[[#This Row],[MC ($M)]]-Table4[[#This Row],[Cash ($M)]]+Table4[[#This Row],[Debt ($M)]]</calculatedColumnFormula>
    </tableColumn>
    <tableColumn id="14" xr3:uid="{E93BEDB1-F272-47C9-9E50-19D60ABCF6E3}" name="NPV" dataDxfId="13">
      <calculatedColumnFormula>#REF!</calculatedColumnFormula>
    </tableColumn>
    <tableColumn id="13" xr3:uid="{4B18EB84-1D1D-418D-B73C-711F922F8784}" name="FV" dataDxfId="12">
      <calculatedColumnFormula>#REF!</calculatedColumnFormula>
    </tableColumn>
    <tableColumn id="11" xr3:uid="{9D67D94D-652A-4AFC-B773-D060115B3352}" name="Upside" dataDxfId="11">
      <calculatedColumnFormula>Table4[[#This Row],[FV]]/Table4[[#This Row],[Price]]-1</calculatedColumnFormula>
    </tableColumn>
    <tableColumn id="22" xr3:uid="{F4BFF5D9-C51C-4082-890D-D8F99490DC48}" name="β (1-year avg.)" dataDxfId="10"/>
    <tableColumn id="15" xr3:uid="{178F2948-D587-4C47-A023-2863147393BA}" name="1σ ± move " dataDxfId="9"/>
    <tableColumn id="18" xr3:uid="{2F630596-10BE-4A80-96EF-2952518D329E}" name="FY Earnings Estimates" dataDxfId="8"/>
    <tableColumn id="20" xr3:uid="{17689932-3FD9-4050-AFEC-CC24D9A23B91}" name="FY Earnings Estimates (2-years)" dataDxfId="7"/>
    <tableColumn id="19" xr3:uid="{AB973925-A952-4E9C-B161-E64F1513E8ED}" name="Fwd. P/E" dataDxfId="6">
      <calculatedColumnFormula>Table4[[#This Row],[Price]]/Table4[[#This Row],[FY Earnings Estimates]]</calculatedColumnFormula>
    </tableColumn>
    <tableColumn id="17" xr3:uid="{831F5B75-DC7A-432A-B407-C2C048ABBCEF}" name="Fwd. P/E (2-years)" dataDxfId="5">
      <calculatedColumnFormula>Table4[[#This Row],[Price]]/Table4[[#This Row],[FY Earnings Estimates (2-years)]]</calculatedColumnFormula>
    </tableColumn>
    <tableColumn id="21" xr3:uid="{D887EC50-85A5-45A9-9F01-59353ED69EB2}" name="# of Employees" dataDxfId="4"/>
    <tableColumn id="9" xr3:uid="{E85E09CB-6FE0-423B-89F7-C9D5B949589A}" name="Updated " dataDxfId="3"/>
    <tableColumn id="2" xr3:uid="{BB2AE59D-C90C-4401-8D15-02753853694C}" name="GICS Sector" dataDxfId="2"/>
    <tableColumn id="10" xr3:uid="{A650D578-4FE4-4503-BF1B-C0AA4BD9444E}" name="GICS Sub-Industry" dataDxfId="1"/>
    <tableColumn id="16" xr3:uid="{F4FAD2E0-4820-4CBD-8A31-D295F24769E4}" name="Category 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00%20Model%20Price%20Targets%2000.xlsx" TargetMode="External"/><Relationship Id="rId13" Type="http://schemas.openxmlformats.org/officeDocument/2006/relationships/hyperlink" Target="STE_Model.xlsx" TargetMode="External"/><Relationship Id="rId18" Type="http://schemas.openxmlformats.org/officeDocument/2006/relationships/hyperlink" Target="IDXX_Model.xlsx" TargetMode="External"/><Relationship Id="rId26" Type="http://schemas.openxmlformats.org/officeDocument/2006/relationships/hyperlink" Target="GEHC_Model.xlsx" TargetMode="External"/><Relationship Id="rId3" Type="http://schemas.openxmlformats.org/officeDocument/2006/relationships/hyperlink" Target="JNJ_Model.xlsx" TargetMode="External"/><Relationship Id="rId21" Type="http://schemas.openxmlformats.org/officeDocument/2006/relationships/hyperlink" Target="ISRG_Model.xlsx" TargetMode="External"/><Relationship Id="rId7" Type="http://schemas.openxmlformats.org/officeDocument/2006/relationships/hyperlink" Target="SYK_Model.xlsx" TargetMode="External"/><Relationship Id="rId12" Type="http://schemas.openxmlformats.org/officeDocument/2006/relationships/hyperlink" Target="ZBH_Model.xlsx" TargetMode="External"/><Relationship Id="rId17" Type="http://schemas.openxmlformats.org/officeDocument/2006/relationships/hyperlink" Target="COO_Model.xlsx" TargetMode="External"/><Relationship Id="rId25" Type="http://schemas.openxmlformats.org/officeDocument/2006/relationships/hyperlink" Target="ITGR_Model.xlsx" TargetMode="External"/><Relationship Id="rId2" Type="http://schemas.openxmlformats.org/officeDocument/2006/relationships/hyperlink" Target="GMED_Model.xlsx" TargetMode="External"/><Relationship Id="rId16" Type="http://schemas.openxmlformats.org/officeDocument/2006/relationships/hyperlink" Target="PODD_Model.xlsx" TargetMode="External"/><Relationship Id="rId20" Type="http://schemas.openxmlformats.org/officeDocument/2006/relationships/hyperlink" Target="ANGO_Model.xlsx" TargetMode="External"/><Relationship Id="rId29" Type="http://schemas.openxmlformats.org/officeDocument/2006/relationships/table" Target="../tables/table1.xml"/><Relationship Id="rId1" Type="http://schemas.openxmlformats.org/officeDocument/2006/relationships/hyperlink" Target="BSX_Model.xlsx" TargetMode="External"/><Relationship Id="rId6" Type="http://schemas.openxmlformats.org/officeDocument/2006/relationships/hyperlink" Target="PEN_Model.xlsx" TargetMode="External"/><Relationship Id="rId11" Type="http://schemas.openxmlformats.org/officeDocument/2006/relationships/hyperlink" Target="CNMD_Model.xlsx" TargetMode="External"/><Relationship Id="rId24" Type="http://schemas.openxmlformats.org/officeDocument/2006/relationships/hyperlink" Target="ABT_Model.xlsx" TargetMode="External"/><Relationship Id="rId5" Type="http://schemas.openxmlformats.org/officeDocument/2006/relationships/hyperlink" Target="NARI_Model.xlsx" TargetMode="External"/><Relationship Id="rId15" Type="http://schemas.openxmlformats.org/officeDocument/2006/relationships/hyperlink" Target="BDX_Model.xlsx" TargetMode="External"/><Relationship Id="rId23" Type="http://schemas.openxmlformats.org/officeDocument/2006/relationships/hyperlink" Target="DXCM_Model.xlsx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LMAT_Model.xlsx" TargetMode="External"/><Relationship Id="rId19" Type="http://schemas.openxmlformats.org/officeDocument/2006/relationships/hyperlink" Target="TMO_Model.xlsx" TargetMode="External"/><Relationship Id="rId4" Type="http://schemas.openxmlformats.org/officeDocument/2006/relationships/hyperlink" Target="MDT_Model.xlsx" TargetMode="External"/><Relationship Id="rId9" Type="http://schemas.openxmlformats.org/officeDocument/2006/relationships/hyperlink" Target="EW_Model.xlsx" TargetMode="External"/><Relationship Id="rId14" Type="http://schemas.openxmlformats.org/officeDocument/2006/relationships/hyperlink" Target="BAX_Model.xlsx" TargetMode="External"/><Relationship Id="rId22" Type="http://schemas.openxmlformats.org/officeDocument/2006/relationships/hyperlink" Target="TFX_Model.xlsx" TargetMode="External"/><Relationship Id="rId27" Type="http://schemas.openxmlformats.org/officeDocument/2006/relationships/hyperlink" Target="MASI_Model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techdive.com/" TargetMode="External"/><Relationship Id="rId2" Type="http://schemas.openxmlformats.org/officeDocument/2006/relationships/hyperlink" Target="https://www.nejm.org/" TargetMode="External"/><Relationship Id="rId1" Type="http://schemas.openxmlformats.org/officeDocument/2006/relationships/hyperlink" Target="https://evtoday.com/" TargetMode="External"/><Relationship Id="rId6" Type="http://schemas.openxmlformats.org/officeDocument/2006/relationships/hyperlink" Target="https://www.medicaldevice-network.com/company-a-z/" TargetMode="External"/><Relationship Id="rId5" Type="http://schemas.openxmlformats.org/officeDocument/2006/relationships/hyperlink" Target="https://www.fda.gov/medical-devices" TargetMode="External"/><Relationship Id="rId4" Type="http://schemas.openxmlformats.org/officeDocument/2006/relationships/hyperlink" Target="https://pubmed.ncbi.nlm.nih.gov/3708487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1"/>
  <sheetViews>
    <sheetView tabSelected="1" zoomScale="85" zoomScaleNormal="85" workbookViewId="0">
      <selection activeCell="B36" sqref="B36"/>
    </sheetView>
  </sheetViews>
  <sheetFormatPr defaultColWidth="9" defaultRowHeight="15"/>
  <cols>
    <col min="1" max="1" width="3.140625" style="1" customWidth="1"/>
    <col min="2" max="2" width="7.5703125" style="1" customWidth="1"/>
    <col min="3" max="3" width="24" style="1" customWidth="1"/>
    <col min="4" max="4" width="9.42578125" style="1" customWidth="1"/>
    <col min="5" max="5" width="9.42578125" style="2" customWidth="1"/>
    <col min="6" max="8" width="12.7109375" style="2" customWidth="1"/>
    <col min="9" max="9" width="12.7109375" style="1" customWidth="1"/>
    <col min="10" max="10" width="12.140625" style="1" customWidth="1"/>
    <col min="11" max="12" width="10.42578125" style="1" customWidth="1"/>
    <col min="13" max="13" width="5.7109375" style="1" customWidth="1"/>
    <col min="14" max="14" width="9.140625" customWidth="1"/>
    <col min="15" max="19" width="9.140625" style="1" customWidth="1"/>
    <col min="20" max="20" width="9" style="1" customWidth="1"/>
    <col min="21" max="21" width="28.28515625" style="1" customWidth="1"/>
    <col min="22" max="22" width="28.42578125" style="1" bestFit="1" customWidth="1"/>
    <col min="23" max="23" width="3" style="1" customWidth="1"/>
    <col min="24" max="24" width="9.5703125" style="1" customWidth="1"/>
    <col min="25" max="16384" width="9" style="1"/>
  </cols>
  <sheetData>
    <row r="1" spans="1:32" ht="14.25">
      <c r="A1" s="19" t="s">
        <v>188</v>
      </c>
      <c r="B1" s="2"/>
      <c r="N1" s="1"/>
    </row>
    <row r="2" spans="1:32">
      <c r="B2" s="13" t="s">
        <v>1</v>
      </c>
      <c r="C2" s="13" t="s">
        <v>0</v>
      </c>
      <c r="D2" s="14" t="s">
        <v>2</v>
      </c>
      <c r="E2" s="13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3" t="s">
        <v>166</v>
      </c>
      <c r="K2" s="13" t="s">
        <v>167</v>
      </c>
      <c r="L2" s="13" t="s">
        <v>168</v>
      </c>
      <c r="M2" s="15" t="s">
        <v>196</v>
      </c>
      <c r="N2" s="13" t="s">
        <v>197</v>
      </c>
      <c r="O2" s="13" t="s">
        <v>187</v>
      </c>
      <c r="P2" s="13" t="s">
        <v>198</v>
      </c>
      <c r="Q2" s="13" t="s">
        <v>194</v>
      </c>
      <c r="R2" s="13" t="s">
        <v>195</v>
      </c>
      <c r="S2" s="13" t="s">
        <v>199</v>
      </c>
      <c r="T2" s="13" t="s">
        <v>8</v>
      </c>
      <c r="U2" s="13" t="s">
        <v>205</v>
      </c>
      <c r="V2" s="13" t="s">
        <v>206</v>
      </c>
      <c r="W2" s="13" t="s">
        <v>170</v>
      </c>
      <c r="AF2" s="1" t="s">
        <v>211</v>
      </c>
    </row>
    <row r="3" spans="1:32" ht="13.9" customHeight="1">
      <c r="B3" s="1" t="s">
        <v>17</v>
      </c>
      <c r="C3" s="1" t="s">
        <v>77</v>
      </c>
      <c r="D3" s="11">
        <v>119.16</v>
      </c>
      <c r="E3" s="3">
        <v>285.2</v>
      </c>
      <c r="F3" s="4">
        <f>Table4[[#This Row],[Price]]*Table4[[#This Row],[Share Count ]]</f>
        <v>33984.432000000001</v>
      </c>
      <c r="G3" s="4"/>
      <c r="H3" s="4"/>
      <c r="I3" s="4">
        <f>Table4[[#This Row],[MC ($M)]]-Table4[[#This Row],[Cash ($M)]]+Table4[[#This Row],[Debt ($M)]]</f>
        <v>33984.432000000001</v>
      </c>
      <c r="J3" s="4"/>
      <c r="K3" s="2"/>
      <c r="L3" s="6"/>
      <c r="N3" s="6"/>
      <c r="O3" s="10"/>
      <c r="P3" s="10"/>
      <c r="Q3" s="11" t="e">
        <f>Table4[[#This Row],[Price]]/Table4[[#This Row],[FY Earnings Estimates]]</f>
        <v>#DIV/0!</v>
      </c>
      <c r="R3" s="11" t="e">
        <f>Table4[[#This Row],[Price]]/Table4[[#This Row],[FY Earnings Estimates (2-years)]]</f>
        <v>#DIV/0!</v>
      </c>
      <c r="T3" s="9"/>
      <c r="U3" s="1" t="s">
        <v>81</v>
      </c>
      <c r="V3" s="1" t="s">
        <v>82</v>
      </c>
      <c r="W3" s="2"/>
      <c r="Y3" s="20"/>
      <c r="AF3" s="1" t="s">
        <v>210</v>
      </c>
    </row>
    <row r="4" spans="1:32" ht="13.9" customHeight="1">
      <c r="B4" s="18" t="s">
        <v>9</v>
      </c>
      <c r="C4" s="1" t="s">
        <v>69</v>
      </c>
      <c r="D4" s="11">
        <v>133.85</v>
      </c>
      <c r="E4" s="3">
        <v>1740.5</v>
      </c>
      <c r="F4" s="4">
        <f>Table4[[#This Row],[Price]]*Table4[[#This Row],[Share Count ]]</f>
        <v>232965.92499999999</v>
      </c>
      <c r="G4" s="4">
        <v>7282</v>
      </c>
      <c r="H4" s="4">
        <v>13437</v>
      </c>
      <c r="I4" s="4">
        <f>Table4[[#This Row],[MC ($M)]]-Table4[[#This Row],[Cash ($M)]]+Table4[[#This Row],[Debt ($M)]]</f>
        <v>239120.92499999999</v>
      </c>
      <c r="J4" s="4"/>
      <c r="K4" s="2"/>
      <c r="L4" s="6"/>
      <c r="M4" s="11">
        <v>0.74</v>
      </c>
      <c r="N4" s="6">
        <f>'[1]Notes | Quant Analysis'!$K$205</f>
        <v>0</v>
      </c>
      <c r="O4" s="10">
        <v>5.16</v>
      </c>
      <c r="P4" s="10">
        <v>5.68</v>
      </c>
      <c r="Q4" s="11">
        <f>Table4[[#This Row],[Price]]/Table4[[#This Row],[FY Earnings Estimates]]</f>
        <v>25.939922480620154</v>
      </c>
      <c r="R4" s="11">
        <f>Table4[[#This Row],[Price]]/Table4[[#This Row],[FY Earnings Estimates (2-years)]]</f>
        <v>23.565140845070424</v>
      </c>
      <c r="S4" s="16">
        <v>114000</v>
      </c>
      <c r="T4" s="9" t="s">
        <v>218</v>
      </c>
      <c r="U4" s="1" t="s">
        <v>83</v>
      </c>
      <c r="V4" s="1" t="s">
        <v>84</v>
      </c>
      <c r="W4" s="5" t="s">
        <v>193</v>
      </c>
      <c r="Y4" s="21"/>
    </row>
    <row r="5" spans="1:32" ht="13.9" customHeight="1">
      <c r="B5" s="1" t="s">
        <v>50</v>
      </c>
      <c r="C5" s="1" t="s">
        <v>78</v>
      </c>
      <c r="D5" s="11">
        <v>77.25</v>
      </c>
      <c r="E5" s="3">
        <v>494.6</v>
      </c>
      <c r="F5" s="4">
        <f>Table4[[#This Row],[Price]]*Table4[[#This Row],[Share Count ]]</f>
        <v>38207.85</v>
      </c>
      <c r="G5" s="4"/>
      <c r="H5" s="4"/>
      <c r="I5" s="4">
        <f>Table4[[#This Row],[MC ($M)]]-Table4[[#This Row],[Cash ($M)]]+Table4[[#This Row],[Debt ($M)]]</f>
        <v>38207.85</v>
      </c>
      <c r="J5" s="4"/>
      <c r="K5" s="2"/>
      <c r="L5" s="6"/>
      <c r="N5" s="6"/>
      <c r="O5" s="10"/>
      <c r="P5" s="10"/>
      <c r="Q5" s="11" t="e">
        <f>Table4[[#This Row],[Price]]/Table4[[#This Row],[FY Earnings Estimates]]</f>
        <v>#DIV/0!</v>
      </c>
      <c r="R5" s="11" t="e">
        <f>Table4[[#This Row],[Price]]/Table4[[#This Row],[FY Earnings Estimates (2-years)]]</f>
        <v>#DIV/0!</v>
      </c>
      <c r="T5" s="9"/>
      <c r="U5" s="1" t="s">
        <v>85</v>
      </c>
      <c r="V5" s="1" t="s">
        <v>86</v>
      </c>
      <c r="W5" s="2"/>
      <c r="Y5" s="22"/>
    </row>
    <row r="6" spans="1:32" ht="13.9" customHeight="1">
      <c r="B6" s="1" t="s">
        <v>20</v>
      </c>
      <c r="C6" s="1" t="s">
        <v>79</v>
      </c>
      <c r="D6" s="11">
        <v>131.85</v>
      </c>
      <c r="E6" s="3">
        <v>73.8</v>
      </c>
      <c r="F6" s="4">
        <f>Table4[[#This Row],[Price]]*Table4[[#This Row],[Share Count ]]</f>
        <v>9730.5299999999988</v>
      </c>
      <c r="G6" s="4"/>
      <c r="H6" s="4"/>
      <c r="I6" s="4">
        <f>Table4[[#This Row],[MC ($M)]]-Table4[[#This Row],[Cash ($M)]]+Table4[[#This Row],[Debt ($M)]]</f>
        <v>9730.5299999999988</v>
      </c>
      <c r="J6" s="4"/>
      <c r="K6" s="2"/>
      <c r="L6" s="6"/>
      <c r="N6" s="6"/>
      <c r="O6" s="10"/>
      <c r="P6" s="10"/>
      <c r="Q6" s="11" t="e">
        <f>Table4[[#This Row],[Price]]/Table4[[#This Row],[FY Earnings Estimates]]</f>
        <v>#DIV/0!</v>
      </c>
      <c r="R6" s="11" t="e">
        <f>Table4[[#This Row],[Price]]/Table4[[#This Row],[FY Earnings Estimates (2-years)]]</f>
        <v>#DIV/0!</v>
      </c>
      <c r="T6" s="9"/>
      <c r="U6" s="1" t="s">
        <v>85</v>
      </c>
      <c r="V6" s="1" t="s">
        <v>70</v>
      </c>
      <c r="W6" s="2"/>
      <c r="Y6" s="20"/>
    </row>
    <row r="7" spans="1:32" ht="13.9" customHeight="1">
      <c r="B7" s="18" t="s">
        <v>51</v>
      </c>
      <c r="C7" s="1" t="s">
        <v>80</v>
      </c>
      <c r="D7" s="11">
        <v>11.1</v>
      </c>
      <c r="E7" s="3">
        <v>40.633000000000003</v>
      </c>
      <c r="F7" s="4">
        <f>Table4[[#This Row],[Price]]*Table4[[#This Row],[Share Count ]]</f>
        <v>451.02629999999999</v>
      </c>
      <c r="G7" s="4">
        <v>55.9</v>
      </c>
      <c r="H7" s="4">
        <v>0</v>
      </c>
      <c r="I7" s="4">
        <f>Table4[[#This Row],[MC ($M)]]-Table4[[#This Row],[Cash ($M)]]+Table4[[#This Row],[Debt ($M)]]</f>
        <v>395.12630000000001</v>
      </c>
      <c r="J7" s="4">
        <f>[2]Model!$CG$61</f>
        <v>224.84587729758218</v>
      </c>
      <c r="K7" s="2">
        <f>[2]Model!$CG$63</f>
        <v>5.5335780596456612</v>
      </c>
      <c r="L7" s="6">
        <f>Table4[[#This Row],[FV]]/Table4[[#This Row],[Price]]-1</f>
        <v>-0.50147945408597638</v>
      </c>
      <c r="M7" s="1">
        <v>0.62</v>
      </c>
      <c r="N7" s="6">
        <f>'[2]Notes | Quant Analysis'!$K$209</f>
        <v>2.6891646201858257E-2</v>
      </c>
      <c r="O7" s="10">
        <v>-0.28000000000000003</v>
      </c>
      <c r="P7" s="10">
        <v>-0.23</v>
      </c>
      <c r="Q7" s="11">
        <f>Table4[[#This Row],[Price]]/Table4[[#This Row],[FY Earnings Estimates]]</f>
        <v>-39.642857142857139</v>
      </c>
      <c r="R7" s="11">
        <f>Table4[[#This Row],[Price]]/Table4[[#This Row],[FY Earnings Estimates (2-years)]]</f>
        <v>-48.260869565217391</v>
      </c>
      <c r="S7" s="1">
        <v>748</v>
      </c>
      <c r="T7" s="1" t="s">
        <v>218</v>
      </c>
      <c r="U7" s="1" t="s">
        <v>85</v>
      </c>
      <c r="V7" s="1" t="s">
        <v>87</v>
      </c>
      <c r="W7" s="5" t="s">
        <v>217</v>
      </c>
      <c r="Y7" s="21"/>
    </row>
    <row r="8" spans="1:32" ht="13.9" customHeight="1">
      <c r="B8" s="1" t="s">
        <v>52</v>
      </c>
      <c r="C8" s="1" t="s">
        <v>132</v>
      </c>
      <c r="D8" s="11">
        <v>36.43</v>
      </c>
      <c r="E8" s="3">
        <v>48.9</v>
      </c>
      <c r="F8" s="4">
        <f>Table4[[#This Row],[Price]]*Table4[[#This Row],[Share Count ]]</f>
        <v>1781.4269999999999</v>
      </c>
      <c r="G8" s="4"/>
      <c r="H8" s="4"/>
      <c r="I8" s="4">
        <f>Table4[[#This Row],[MC ($M)]]-Table4[[#This Row],[Cash ($M)]]+Table4[[#This Row],[Debt ($M)]]</f>
        <v>1781.4269999999999</v>
      </c>
      <c r="J8" s="4"/>
      <c r="K8" s="2"/>
      <c r="L8" s="6"/>
      <c r="N8" s="6"/>
      <c r="O8" s="10"/>
      <c r="P8" s="10"/>
      <c r="Q8" s="11" t="e">
        <f>Table4[[#This Row],[Price]]/Table4[[#This Row],[FY Earnings Estimates]]</f>
        <v>#DIV/0!</v>
      </c>
      <c r="R8" s="11" t="e">
        <f>Table4[[#This Row],[Price]]/Table4[[#This Row],[FY Earnings Estimates (2-years)]]</f>
        <v>#DIV/0!</v>
      </c>
      <c r="T8" s="9"/>
      <c r="U8" s="1" t="s">
        <v>85</v>
      </c>
      <c r="V8" s="1" t="s">
        <v>88</v>
      </c>
      <c r="W8" s="2"/>
      <c r="Y8" s="22"/>
    </row>
    <row r="9" spans="1:32" ht="13.9" customHeight="1">
      <c r="B9" s="1" t="s">
        <v>29</v>
      </c>
      <c r="C9" s="1" t="s">
        <v>28</v>
      </c>
      <c r="D9" s="11">
        <v>12.42</v>
      </c>
      <c r="E9" s="3">
        <v>680.8</v>
      </c>
      <c r="F9" s="4">
        <f>Table4[[#This Row],[Price]]*Table4[[#This Row],[Share Count ]]</f>
        <v>8455.5360000000001</v>
      </c>
      <c r="G9" s="4"/>
      <c r="H9" s="4"/>
      <c r="I9" s="4">
        <f>Table4[[#This Row],[MC ($M)]]-Table4[[#This Row],[Cash ($M)]]+Table4[[#This Row],[Debt ($M)]]</f>
        <v>8455.5360000000001</v>
      </c>
      <c r="J9" s="4"/>
      <c r="K9" s="2"/>
      <c r="L9" s="6"/>
      <c r="N9" s="6"/>
      <c r="O9" s="10"/>
      <c r="P9" s="10"/>
      <c r="Q9" s="11" t="e">
        <f>Table4[[#This Row],[Price]]/Table4[[#This Row],[FY Earnings Estimates]]</f>
        <v>#DIV/0!</v>
      </c>
      <c r="R9" s="11" t="e">
        <f>Table4[[#This Row],[Price]]/Table4[[#This Row],[FY Earnings Estimates (2-years)]]</f>
        <v>#DIV/0!</v>
      </c>
      <c r="T9" s="9"/>
      <c r="U9" s="1" t="s">
        <v>81</v>
      </c>
      <c r="V9" s="1" t="s">
        <v>89</v>
      </c>
      <c r="W9" s="2"/>
      <c r="Y9" s="20"/>
    </row>
    <row r="10" spans="1:32" ht="13.9" customHeight="1">
      <c r="B10" s="1" t="s">
        <v>176</v>
      </c>
      <c r="C10" s="1" t="s">
        <v>175</v>
      </c>
      <c r="D10" s="11">
        <v>71</v>
      </c>
      <c r="E10" s="3">
        <v>52.11</v>
      </c>
      <c r="F10" s="4">
        <f>Table4[[#This Row],[Price]]*Table4[[#This Row],[Share Count ]]</f>
        <v>3699.81</v>
      </c>
      <c r="G10" s="2">
        <v>0</v>
      </c>
      <c r="H10" s="2">
        <v>0</v>
      </c>
      <c r="I10" s="4">
        <v>3300</v>
      </c>
      <c r="J10" s="4"/>
      <c r="K10" s="2"/>
      <c r="L10" s="6"/>
      <c r="N10" s="6"/>
      <c r="O10" s="10"/>
      <c r="P10" s="10"/>
      <c r="Q10" s="11" t="e">
        <f>Table4[[#This Row],[Price]]/Table4[[#This Row],[FY Earnings Estimates]]</f>
        <v>#DIV/0!</v>
      </c>
      <c r="R10" s="11" t="e">
        <f>Table4[[#This Row],[Price]]/Table4[[#This Row],[FY Earnings Estimates (2-years)]]</f>
        <v>#DIV/0!</v>
      </c>
      <c r="T10" s="9"/>
      <c r="U10" s="8" t="s">
        <v>178</v>
      </c>
      <c r="Y10" s="21"/>
    </row>
    <row r="11" spans="1:32" ht="13.9" customHeight="1">
      <c r="B11" s="18" t="s">
        <v>201</v>
      </c>
      <c r="C11" s="1" t="s">
        <v>200</v>
      </c>
      <c r="D11" s="11">
        <v>23.02</v>
      </c>
      <c r="E11" s="3">
        <v>513.62</v>
      </c>
      <c r="F11" s="4">
        <f>Table4[[#This Row],[Price]]*Table4[[#This Row],[Share Count ]]</f>
        <v>11823.5324</v>
      </c>
      <c r="G11" s="4">
        <v>1686</v>
      </c>
      <c r="H11" s="4">
        <v>9492</v>
      </c>
      <c r="I11" s="4">
        <f>Table4[[#This Row],[MC ($M)]]-Table4[[#This Row],[Cash ($M)]]+Table4[[#This Row],[Debt ($M)]]</f>
        <v>19629.5324</v>
      </c>
      <c r="J11" s="4"/>
      <c r="K11" s="2"/>
      <c r="L11" s="6"/>
      <c r="M11" s="11">
        <v>0.63</v>
      </c>
      <c r="N11" s="6">
        <f>'[3]Notes | Quant Analysis'!$K$274</f>
        <v>1.5657946818978374E-2</v>
      </c>
      <c r="O11" s="10">
        <v>2.5099999999999998</v>
      </c>
      <c r="P11" s="10">
        <v>2.72</v>
      </c>
      <c r="Q11" s="11">
        <f>Table4[[#This Row],[Price]]/Table4[[#This Row],[FY Earnings Estimates]]</f>
        <v>9.1713147410358573</v>
      </c>
      <c r="R11" s="11">
        <f>Table4[[#This Row],[Price]]/Table4[[#This Row],[FY Earnings Estimates (2-years)]]</f>
        <v>8.4632352941176467</v>
      </c>
      <c r="S11" s="16">
        <v>38000</v>
      </c>
      <c r="T11" s="9" t="s">
        <v>218</v>
      </c>
      <c r="U11" s="1" t="s">
        <v>128</v>
      </c>
      <c r="V11" s="1" t="s">
        <v>84</v>
      </c>
      <c r="W11" s="2"/>
      <c r="Y11" s="21"/>
    </row>
    <row r="12" spans="1:32" ht="13.9" customHeight="1">
      <c r="B12" s="18" t="s">
        <v>14</v>
      </c>
      <c r="C12" s="1" t="s">
        <v>133</v>
      </c>
      <c r="D12" s="11">
        <v>187.04</v>
      </c>
      <c r="E12" s="3">
        <f>[4]Main!$C$4</f>
        <v>286.62</v>
      </c>
      <c r="F12" s="4">
        <f>Table4[[#This Row],[Price]]*Table4[[#This Row],[Share Count ]]</f>
        <v>53609.404799999997</v>
      </c>
      <c r="G12" s="4">
        <f>[4]Main!$C$6</f>
        <v>757</v>
      </c>
      <c r="H12" s="4">
        <f>[4]Main!$C$7</f>
        <v>19341</v>
      </c>
      <c r="I12" s="4">
        <f>Table4[[#This Row],[MC ($M)]]-Table4[[#This Row],[Cash ($M)]]+Table4[[#This Row],[Debt ($M)]]</f>
        <v>72193.404799999989</v>
      </c>
      <c r="J12" s="4"/>
      <c r="K12" s="2"/>
      <c r="L12" s="6"/>
      <c r="M12" s="11">
        <v>0.34</v>
      </c>
      <c r="N12" s="6">
        <f>'[4]Notes | Quant Analysis'!$K$199</f>
        <v>1.2048459317770927E-2</v>
      </c>
      <c r="O12" s="10">
        <v>14.23</v>
      </c>
      <c r="P12" s="10">
        <v>14.93</v>
      </c>
      <c r="Q12" s="11">
        <f>Table4[[#This Row],[Price]]/Table4[[#This Row],[FY Earnings Estimates]]</f>
        <v>13.144061841180603</v>
      </c>
      <c r="R12" s="11">
        <f>Table4[[#This Row],[Price]]/Table4[[#This Row],[FY Earnings Estimates (2-years)]]</f>
        <v>12.527796383121233</v>
      </c>
      <c r="S12" s="16">
        <v>70000</v>
      </c>
      <c r="T12" s="9" t="s">
        <v>192</v>
      </c>
      <c r="U12" s="1" t="s">
        <v>85</v>
      </c>
      <c r="V12" s="1" t="s">
        <v>90</v>
      </c>
      <c r="W12" s="2"/>
      <c r="Y12" s="22"/>
    </row>
    <row r="13" spans="1:32" ht="13.9" customHeight="1">
      <c r="B13" s="18" t="s">
        <v>16</v>
      </c>
      <c r="C13" s="1" t="s">
        <v>134</v>
      </c>
      <c r="D13" s="11">
        <v>97.7</v>
      </c>
      <c r="E13" s="3">
        <v>1481.75</v>
      </c>
      <c r="F13" s="4">
        <f>Table4[[#This Row],[Price]]*Table4[[#This Row],[Share Count ]]</f>
        <v>144766.97500000001</v>
      </c>
      <c r="G13" s="4">
        <f>'[5]Main | Overview'!$C$6</f>
        <v>534</v>
      </c>
      <c r="H13" s="4">
        <f>'[5]Main | Overview'!$C$7</f>
        <v>11587</v>
      </c>
      <c r="I13" s="4">
        <f>Table4[[#This Row],[MC ($M)]]-Table4[[#This Row],[Cash ($M)]]+Table4[[#This Row],[Debt ($M)]]</f>
        <v>155819.97500000001</v>
      </c>
      <c r="J13" s="4">
        <f>[5]Model!$DD$90</f>
        <v>174974.16954239632</v>
      </c>
      <c r="K13" s="2">
        <f>[5]Model!$DD$92</f>
        <v>118.08608163071685</v>
      </c>
      <c r="L13" s="6">
        <f>Table4[[#This Row],[FV]]/Table4[[#This Row],[Price]]-1</f>
        <v>0.20865999622023379</v>
      </c>
      <c r="M13" s="11">
        <v>0.73</v>
      </c>
      <c r="N13" s="6">
        <v>1.38E-2</v>
      </c>
      <c r="O13" s="10">
        <v>3.44</v>
      </c>
      <c r="P13" s="10">
        <v>3.92</v>
      </c>
      <c r="Q13" s="11">
        <f>Table4[[#This Row],[Price]]/Table4[[#This Row],[FY Earnings Estimates]]</f>
        <v>28.401162790697676</v>
      </c>
      <c r="R13" s="11">
        <f>Table4[[#This Row],[Price]]/Table4[[#This Row],[FY Earnings Estimates (2-years)]]</f>
        <v>24.923469387755102</v>
      </c>
      <c r="S13" s="16">
        <v>53000</v>
      </c>
      <c r="T13" s="1" t="s">
        <v>218</v>
      </c>
      <c r="U13" s="1" t="s">
        <v>85</v>
      </c>
      <c r="V13" s="8" t="s">
        <v>213</v>
      </c>
      <c r="W13" s="5" t="s">
        <v>193</v>
      </c>
      <c r="Y13" s="20"/>
    </row>
    <row r="14" spans="1:32" ht="13.9" customHeight="1">
      <c r="B14" s="1" t="s">
        <v>53</v>
      </c>
      <c r="C14" s="1" t="s">
        <v>135</v>
      </c>
      <c r="D14" s="11">
        <v>1.46</v>
      </c>
      <c r="E14" s="3">
        <v>185.8</v>
      </c>
      <c r="F14" s="4">
        <f>Table4[[#This Row],[Price]]*Table4[[#This Row],[Share Count ]]</f>
        <v>271.26800000000003</v>
      </c>
      <c r="G14" s="4"/>
      <c r="H14" s="4"/>
      <c r="I14" s="4">
        <f>Table4[[#This Row],[MC ($M)]]-Table4[[#This Row],[Cash ($M)]]+Table4[[#This Row],[Debt ($M)]]</f>
        <v>271.26800000000003</v>
      </c>
      <c r="J14" s="4"/>
      <c r="K14" s="2"/>
      <c r="L14" s="6"/>
      <c r="N14" s="6"/>
      <c r="O14" s="10"/>
      <c r="P14" s="10"/>
      <c r="Q14" s="11" t="e">
        <f>Table4[[#This Row],[Price]]/Table4[[#This Row],[FY Earnings Estimates]]</f>
        <v>#DIV/0!</v>
      </c>
      <c r="R14" s="11" t="e">
        <f>Table4[[#This Row],[Price]]/Table4[[#This Row],[FY Earnings Estimates (2-years)]]</f>
        <v>#DIV/0!</v>
      </c>
      <c r="T14" s="9"/>
      <c r="U14" s="1" t="s">
        <v>85</v>
      </c>
      <c r="V14" s="1" t="s">
        <v>91</v>
      </c>
      <c r="Y14" s="21"/>
    </row>
    <row r="15" spans="1:32" ht="13.9" customHeight="1">
      <c r="B15" s="18" t="s">
        <v>54</v>
      </c>
      <c r="C15" s="1" t="s">
        <v>136</v>
      </c>
      <c r="D15" s="11">
        <v>50.01</v>
      </c>
      <c r="E15" s="3">
        <f>[6]Main!$C$4</f>
        <v>30.954000000000001</v>
      </c>
      <c r="F15" s="4">
        <f>Table4[[#This Row],[Price]]*Table4[[#This Row],[Share Count ]]</f>
        <v>1548.00954</v>
      </c>
      <c r="G15" s="4">
        <f>[6]Main!$C$6</f>
        <v>33.93</v>
      </c>
      <c r="H15" s="4">
        <f>[6]Main!$C$7</f>
        <v>881</v>
      </c>
      <c r="I15" s="4">
        <f>Table4[[#This Row],[MC ($M)]]-Table4[[#This Row],[Cash ($M)]]+Table4[[#This Row],[Debt ($M)]]</f>
        <v>2395.0795399999997</v>
      </c>
      <c r="J15" s="4"/>
      <c r="K15" s="2"/>
      <c r="L15" s="6"/>
      <c r="M15" s="1">
        <v>1.19</v>
      </c>
      <c r="N15" s="6">
        <f>'[6]Notes | Quant Analysis'!$K$265</f>
        <v>2.1847838578123599E-2</v>
      </c>
      <c r="O15" s="10">
        <v>4.3899999999999997</v>
      </c>
      <c r="P15" s="10">
        <v>4.7300000000000004</v>
      </c>
      <c r="Q15" s="11">
        <f>Table4[[#This Row],[Price]]/Table4[[#This Row],[FY Earnings Estimates]]</f>
        <v>11.391799544419134</v>
      </c>
      <c r="R15" s="11">
        <f>Table4[[#This Row],[Price]]/Table4[[#This Row],[FY Earnings Estimates (2-years)]]</f>
        <v>10.572938689217757</v>
      </c>
      <c r="S15" s="16">
        <v>3900</v>
      </c>
      <c r="T15" s="1" t="s">
        <v>218</v>
      </c>
      <c r="U15" s="1" t="s">
        <v>85</v>
      </c>
      <c r="V15" s="1" t="s">
        <v>92</v>
      </c>
      <c r="W15" s="2"/>
      <c r="Y15" s="22"/>
    </row>
    <row r="16" spans="1:32" ht="13.9" customHeight="1">
      <c r="B16" s="18" t="s">
        <v>35</v>
      </c>
      <c r="C16" s="1" t="s">
        <v>138</v>
      </c>
      <c r="D16" s="11">
        <v>68</v>
      </c>
      <c r="E16" s="3">
        <f>[7]Main!$C$4</f>
        <v>198.80799999999999</v>
      </c>
      <c r="F16" s="4">
        <f>Table4[[#This Row],[Price]]*Table4[[#This Row],[Share Count ]]</f>
        <v>13518.944</v>
      </c>
      <c r="G16" s="4">
        <f>[7]Main!$C$6</f>
        <v>124.9</v>
      </c>
      <c r="H16" s="4">
        <f>[7]Main!$C$7</f>
        <v>2459.9</v>
      </c>
      <c r="I16" s="4">
        <f>Table4[[#This Row],[MC ($M)]]-Table4[[#This Row],[Cash ($M)]]+Table4[[#This Row],[Debt ($M)]]</f>
        <v>15853.944</v>
      </c>
      <c r="J16" s="4"/>
      <c r="K16" s="2"/>
      <c r="L16" s="6"/>
      <c r="M16" s="1">
        <v>1.08</v>
      </c>
      <c r="N16" s="6">
        <f>'[7]Notes | Quant Analysis'!$K$265</f>
        <v>1.4488028373286351E-2</v>
      </c>
      <c r="O16" s="10">
        <v>3.99</v>
      </c>
      <c r="P16" s="10">
        <v>4.43</v>
      </c>
      <c r="Q16" s="11">
        <f>Table4[[#This Row],[Price]]/Table4[[#This Row],[FY Earnings Estimates]]</f>
        <v>17.042606516290725</v>
      </c>
      <c r="R16" s="11">
        <f>Table4[[#This Row],[Price]]/Table4[[#This Row],[FY Earnings Estimates (2-years)]]</f>
        <v>15.349887133182845</v>
      </c>
      <c r="S16" s="16">
        <v>16000</v>
      </c>
      <c r="T16" s="9" t="s">
        <v>218</v>
      </c>
      <c r="U16" s="1" t="s">
        <v>85</v>
      </c>
      <c r="V16" s="1" t="s">
        <v>93</v>
      </c>
      <c r="W16" s="2"/>
      <c r="Y16" s="20"/>
    </row>
    <row r="17" spans="2:25" ht="13.9" customHeight="1">
      <c r="B17" s="1" t="s">
        <v>49</v>
      </c>
      <c r="C17" s="1" t="s">
        <v>137</v>
      </c>
      <c r="D17" s="11">
        <v>192.68</v>
      </c>
      <c r="E17" s="3">
        <v>719.2</v>
      </c>
      <c r="F17" s="4">
        <f>Table4[[#This Row],[Price]]*Table4[[#This Row],[Share Count ]]</f>
        <v>138575.45600000001</v>
      </c>
      <c r="G17" s="4"/>
      <c r="H17" s="4"/>
      <c r="I17" s="4">
        <f>Table4[[#This Row],[MC ($M)]]-Table4[[#This Row],[Cash ($M)]]+Table4[[#This Row],[Debt ($M)]]</f>
        <v>138575.45600000001</v>
      </c>
      <c r="J17" s="4"/>
      <c r="K17" s="2"/>
      <c r="L17" s="6"/>
      <c r="N17" s="6"/>
      <c r="O17" s="10"/>
      <c r="P17" s="10"/>
      <c r="Q17" s="11" t="e">
        <f>Table4[[#This Row],[Price]]/Table4[[#This Row],[FY Earnings Estimates]]</f>
        <v>#DIV/0!</v>
      </c>
      <c r="R17" s="11" t="e">
        <f>Table4[[#This Row],[Price]]/Table4[[#This Row],[FY Earnings Estimates (2-years)]]</f>
        <v>#DIV/0!</v>
      </c>
      <c r="T17" s="9"/>
      <c r="U17" s="1" t="s">
        <v>81</v>
      </c>
      <c r="V17" s="1" t="s">
        <v>94</v>
      </c>
      <c r="W17" s="2"/>
      <c r="Y17" s="21"/>
    </row>
    <row r="18" spans="2:25" ht="13.9" customHeight="1">
      <c r="B18" s="18" t="s">
        <v>22</v>
      </c>
      <c r="C18" s="1" t="s">
        <v>139</v>
      </c>
      <c r="D18" s="11">
        <v>67.650000000000006</v>
      </c>
      <c r="E18" s="3">
        <f>[8]Main!$C$4</f>
        <v>392.15499999999997</v>
      </c>
      <c r="F18" s="4">
        <f>Table4[[#This Row],[Price]]*Table4[[#This Row],[Share Count ]]</f>
        <v>26529.285749999999</v>
      </c>
      <c r="G18" s="4">
        <f>[8]Main!$C$6</f>
        <v>0</v>
      </c>
      <c r="H18" s="4">
        <f>[8]Main!$C$7</f>
        <v>0</v>
      </c>
      <c r="I18" s="4">
        <f>Table4[[#This Row],[MC ($M)]]-Table4[[#This Row],[Cash ($M)]]+Table4[[#This Row],[Debt ($M)]]</f>
        <v>26529.285749999999</v>
      </c>
      <c r="J18" s="4">
        <f>[8]Model!$CP$55</f>
        <v>33128.80441728764</v>
      </c>
      <c r="K18" s="2">
        <f>[8]Model!$CP$57</f>
        <v>84.478852538633049</v>
      </c>
      <c r="L18" s="6">
        <f>[8]Model!$CP$59</f>
        <v>0.24876352606996366</v>
      </c>
      <c r="M18" s="1">
        <f>'[8]Notes | Quant Analysis'!$K$213</f>
        <v>1.49</v>
      </c>
      <c r="N18" s="6">
        <f>'[8]Notes | Quant Analysis'!$K$211</f>
        <v>2.3301289879581501E-2</v>
      </c>
      <c r="O18" s="10">
        <v>2.0499999999999998</v>
      </c>
      <c r="P18" s="10">
        <v>2.59</v>
      </c>
      <c r="Q18" s="11">
        <f>Table4[[#This Row],[Price]]/Table4[[#This Row],[FY Earnings Estimates]]</f>
        <v>33.000000000000007</v>
      </c>
      <c r="R18" s="11">
        <f>Table4[[#This Row],[Price]]/Table4[[#This Row],[FY Earnings Estimates (2-years)]]</f>
        <v>26.119691119691122</v>
      </c>
      <c r="S18" s="16">
        <v>10300</v>
      </c>
      <c r="T18" s="9" t="s">
        <v>218</v>
      </c>
      <c r="U18" s="1" t="s">
        <v>85</v>
      </c>
      <c r="V18" s="1" t="s">
        <v>95</v>
      </c>
      <c r="W18" s="2"/>
      <c r="Y18" s="21"/>
    </row>
    <row r="19" spans="2:25" ht="13.9" customHeight="1">
      <c r="B19" s="1" t="s">
        <v>47</v>
      </c>
      <c r="C19" s="8" t="s">
        <v>216</v>
      </c>
      <c r="D19" s="11">
        <v>14.34</v>
      </c>
      <c r="E19" s="3">
        <v>57.7</v>
      </c>
      <c r="F19" s="4">
        <f>Table4[[#This Row],[Price]]*Table4[[#This Row],[Share Count ]]</f>
        <v>827.41800000000001</v>
      </c>
      <c r="G19" s="4"/>
      <c r="H19" s="4"/>
      <c r="I19" s="4">
        <f>Table4[[#This Row],[MC ($M)]]-Table4[[#This Row],[Cash ($M)]]+Table4[[#This Row],[Debt ($M)]]</f>
        <v>827.41800000000001</v>
      </c>
      <c r="J19" s="4"/>
      <c r="K19" s="2"/>
      <c r="L19" s="6"/>
      <c r="N19" s="6"/>
      <c r="O19" s="10"/>
      <c r="P19" s="10"/>
      <c r="Q19" s="11" t="e">
        <f>Table4[[#This Row],[Price]]/Table4[[#This Row],[FY Earnings Estimates]]</f>
        <v>#DIV/0!</v>
      </c>
      <c r="R19" s="11" t="e">
        <f>Table4[[#This Row],[Price]]/Table4[[#This Row],[FY Earnings Estimates (2-years)]]</f>
        <v>#DIV/0!</v>
      </c>
      <c r="T19" s="9"/>
      <c r="U19" s="1" t="s">
        <v>85</v>
      </c>
      <c r="V19" s="1" t="s">
        <v>96</v>
      </c>
      <c r="W19" s="2"/>
      <c r="Y19" s="22"/>
    </row>
    <row r="20" spans="2:25" ht="13.9" customHeight="1">
      <c r="B20" s="1" t="s">
        <v>46</v>
      </c>
      <c r="C20" s="1" t="s">
        <v>140</v>
      </c>
      <c r="D20" s="11">
        <v>39.340000000000003</v>
      </c>
      <c r="E20" s="3">
        <v>28.8</v>
      </c>
      <c r="F20" s="4">
        <f>Table4[[#This Row],[Price]]*Table4[[#This Row],[Share Count ]]</f>
        <v>1132.9920000000002</v>
      </c>
      <c r="G20" s="4"/>
      <c r="H20" s="4"/>
      <c r="I20" s="4">
        <f>Table4[[#This Row],[MC ($M)]]-Table4[[#This Row],[Cash ($M)]]+Table4[[#This Row],[Debt ($M)]]</f>
        <v>1132.9920000000002</v>
      </c>
      <c r="J20" s="4"/>
      <c r="K20" s="2"/>
      <c r="L20" s="6"/>
      <c r="N20" s="6"/>
      <c r="O20" s="10"/>
      <c r="P20" s="10"/>
      <c r="Q20" s="11" t="e">
        <f>Table4[[#This Row],[Price]]/Table4[[#This Row],[FY Earnings Estimates]]</f>
        <v>#DIV/0!</v>
      </c>
      <c r="R20" s="11" t="e">
        <f>Table4[[#This Row],[Price]]/Table4[[#This Row],[FY Earnings Estimates (2-years)]]</f>
        <v>#DIV/0!</v>
      </c>
      <c r="T20" s="9"/>
      <c r="U20" s="1" t="s">
        <v>85</v>
      </c>
      <c r="V20" s="1" t="s">
        <v>97</v>
      </c>
      <c r="W20" s="2"/>
      <c r="Y20" s="20"/>
    </row>
    <row r="21" spans="2:25" ht="13.9" customHeight="1">
      <c r="B21" s="18" t="s">
        <v>15</v>
      </c>
      <c r="C21" s="1" t="s">
        <v>141</v>
      </c>
      <c r="D21" s="11">
        <v>74.39</v>
      </c>
      <c r="E21" s="3">
        <v>586.6</v>
      </c>
      <c r="F21" s="4">
        <f>Table4[[#This Row],[Price]]*Table4[[#This Row],[Share Count ]]</f>
        <v>43637.173999999999</v>
      </c>
      <c r="G21" s="4">
        <f>3141+757.9</f>
        <v>3898.9</v>
      </c>
      <c r="H21" s="4">
        <v>598</v>
      </c>
      <c r="I21" s="4">
        <f>Table4[[#This Row],[MC ($M)]]-Table4[[#This Row],[Cash ($M)]]+Table4[[#This Row],[Debt ($M)]]</f>
        <v>40336.273999999998</v>
      </c>
      <c r="J21" s="4"/>
      <c r="K21" s="2"/>
      <c r="L21" s="6"/>
      <c r="M21" s="1">
        <v>1.1499999999999999</v>
      </c>
      <c r="N21" s="6">
        <f>'[9]Notes | Quant Analysis'!$K$265</f>
        <v>1.5347304253278952E-2</v>
      </c>
      <c r="O21" s="10">
        <v>2.4700000000000002</v>
      </c>
      <c r="P21" s="10">
        <v>2.75</v>
      </c>
      <c r="Q21" s="11">
        <f>Table4[[#This Row],[Price]]/Table4[[#This Row],[FY Earnings Estimates]]</f>
        <v>30.117408906882588</v>
      </c>
      <c r="R21" s="11">
        <f>Table4[[#This Row],[Price]]/Table4[[#This Row],[FY Earnings Estimates (2-years)]]</f>
        <v>27.050909090909091</v>
      </c>
      <c r="S21" s="16">
        <v>15800</v>
      </c>
      <c r="T21" s="1" t="s">
        <v>218</v>
      </c>
      <c r="U21" s="1" t="s">
        <v>85</v>
      </c>
      <c r="V21" s="1" t="s">
        <v>98</v>
      </c>
      <c r="W21" s="5" t="s">
        <v>193</v>
      </c>
      <c r="Y21" s="21"/>
    </row>
    <row r="22" spans="2:25" ht="13.9" customHeight="1">
      <c r="B22" s="1" t="s">
        <v>36</v>
      </c>
      <c r="C22" s="1" t="s">
        <v>142</v>
      </c>
      <c r="D22" s="11">
        <v>53.1</v>
      </c>
      <c r="E22" s="3">
        <v>185.6</v>
      </c>
      <c r="F22" s="4">
        <f>Table4[[#This Row],[Price]]*Table4[[#This Row],[Share Count ]]</f>
        <v>9855.36</v>
      </c>
      <c r="G22" s="4"/>
      <c r="H22" s="4"/>
      <c r="I22" s="4">
        <f>Table4[[#This Row],[MC ($M)]]-Table4[[#This Row],[Cash ($M)]]+Table4[[#This Row],[Debt ($M)]]</f>
        <v>9855.36</v>
      </c>
      <c r="J22" s="4"/>
      <c r="K22" s="2"/>
      <c r="L22" s="6"/>
      <c r="N22" s="6"/>
      <c r="O22" s="10"/>
      <c r="P22" s="10"/>
      <c r="Q22" s="11" t="e">
        <f>Table4[[#This Row],[Price]]/Table4[[#This Row],[FY Earnings Estimates]]</f>
        <v>#DIV/0!</v>
      </c>
      <c r="R22" s="11" t="e">
        <f>Table4[[#This Row],[Price]]/Table4[[#This Row],[FY Earnings Estimates (2-years)]]</f>
        <v>#DIV/0!</v>
      </c>
      <c r="T22" s="9"/>
      <c r="U22" s="1" t="s">
        <v>99</v>
      </c>
      <c r="V22" s="1" t="s">
        <v>100</v>
      </c>
      <c r="Y22" s="22"/>
    </row>
    <row r="23" spans="2:25" ht="13.9" customHeight="1">
      <c r="B23" s="18" t="s">
        <v>19</v>
      </c>
      <c r="C23" s="1" t="s">
        <v>171</v>
      </c>
      <c r="D23" s="11">
        <v>74.98</v>
      </c>
      <c r="E23" s="3">
        <v>457</v>
      </c>
      <c r="F23" s="4">
        <f>Table4[[#This Row],[Price]]*Table4[[#This Row],[Share Count ]]</f>
        <v>34265.86</v>
      </c>
      <c r="G23" s="4"/>
      <c r="H23" s="4"/>
      <c r="I23" s="4">
        <f>Table4[[#This Row],[MC ($M)]]-Table4[[#This Row],[Cash ($M)]]+Table4[[#This Row],[Debt ($M)]]</f>
        <v>34265.86</v>
      </c>
      <c r="J23" s="4"/>
      <c r="K23" s="2"/>
      <c r="L23" s="6"/>
      <c r="N23" s="6"/>
      <c r="O23" s="10"/>
      <c r="P23" s="10"/>
      <c r="Q23" s="11" t="e">
        <f>Table4[[#This Row],[Price]]/Table4[[#This Row],[FY Earnings Estimates]]</f>
        <v>#DIV/0!</v>
      </c>
      <c r="R23" s="11" t="e">
        <f>Table4[[#This Row],[Price]]/Table4[[#This Row],[FY Earnings Estimates (2-years)]]</f>
        <v>#DIV/0!</v>
      </c>
      <c r="T23" s="9"/>
      <c r="U23" s="1" t="s">
        <v>85</v>
      </c>
      <c r="V23" s="1" t="s">
        <v>101</v>
      </c>
      <c r="W23" s="2"/>
      <c r="Y23" s="20"/>
    </row>
    <row r="24" spans="2:25" ht="13.9" customHeight="1">
      <c r="B24" s="18" t="s">
        <v>48</v>
      </c>
      <c r="C24" s="1" t="s">
        <v>143</v>
      </c>
      <c r="D24" s="11">
        <v>55.91</v>
      </c>
      <c r="E24" s="3">
        <v>135.38</v>
      </c>
      <c r="F24" s="4">
        <f>Table4[[#This Row],[Price]]*Table4[[#This Row],[Share Count ]]</f>
        <v>7569.0957999999991</v>
      </c>
      <c r="G24" s="4">
        <v>461</v>
      </c>
      <c r="H24" s="4">
        <v>0</v>
      </c>
      <c r="I24" s="4">
        <f>Table4[[#This Row],[MC ($M)]]-Table4[[#This Row],[Cash ($M)]]+Table4[[#This Row],[Debt ($M)]]</f>
        <v>7108.0957999999991</v>
      </c>
      <c r="J24" s="4">
        <f>[10]Model!$BZ$53</f>
        <v>7824.088971661793</v>
      </c>
      <c r="K24" s="2">
        <f>[10]Model!$BZ$55</f>
        <v>56.964608457675965</v>
      </c>
      <c r="L24" s="6">
        <f>Table4[[#This Row],[FV]]/Table4[[#This Row],[Price]]-1</f>
        <v>1.886260879406132E-2</v>
      </c>
      <c r="M24" s="1">
        <v>1.29</v>
      </c>
      <c r="N24" s="6"/>
      <c r="O24" s="10">
        <v>3.44</v>
      </c>
      <c r="P24" s="10">
        <v>3.92</v>
      </c>
      <c r="Q24" s="11">
        <f>Table4[[#This Row],[Price]]/Table4[[#This Row],[FY Earnings Estimates]]</f>
        <v>16.252906976744185</v>
      </c>
      <c r="R24" s="11">
        <f>Table4[[#This Row],[Price]]/Table4[[#This Row],[FY Earnings Estimates (2-years)]]</f>
        <v>14.262755102040815</v>
      </c>
      <c r="S24" s="16">
        <v>5300</v>
      </c>
      <c r="T24" s="9" t="s">
        <v>169</v>
      </c>
      <c r="U24" s="1" t="s">
        <v>85</v>
      </c>
      <c r="V24" s="1" t="s">
        <v>102</v>
      </c>
      <c r="W24" s="2"/>
      <c r="Y24" s="21"/>
    </row>
    <row r="25" spans="2:25" ht="13.9" customHeight="1">
      <c r="B25" s="1" t="s">
        <v>32</v>
      </c>
      <c r="C25" s="1" t="s">
        <v>31</v>
      </c>
      <c r="D25" s="11">
        <v>66.3</v>
      </c>
      <c r="E25" s="3">
        <v>231.7</v>
      </c>
      <c r="F25" s="4">
        <f>Table4[[#This Row],[Price]]*Table4[[#This Row],[Share Count ]]</f>
        <v>15361.71</v>
      </c>
      <c r="G25" s="4"/>
      <c r="H25" s="4"/>
      <c r="I25" s="4">
        <f>Table4[[#This Row],[MC ($M)]]-Table4[[#This Row],[Cash ($M)]]+Table4[[#This Row],[Debt ($M)]]</f>
        <v>15361.71</v>
      </c>
      <c r="J25" s="4"/>
      <c r="K25" s="2"/>
      <c r="L25" s="6"/>
      <c r="N25" s="6"/>
      <c r="O25" s="10"/>
      <c r="P25" s="10"/>
      <c r="Q25" s="11" t="e">
        <f>Table4[[#This Row],[Price]]/Table4[[#This Row],[FY Earnings Estimates]]</f>
        <v>#DIV/0!</v>
      </c>
      <c r="R25" s="11" t="e">
        <f>Table4[[#This Row],[Price]]/Table4[[#This Row],[FY Earnings Estimates (2-years)]]</f>
        <v>#DIV/0!</v>
      </c>
      <c r="T25" s="9"/>
      <c r="U25" s="1" t="s">
        <v>99</v>
      </c>
      <c r="V25" s="1" t="s">
        <v>103</v>
      </c>
      <c r="W25" s="2"/>
      <c r="Y25" s="22"/>
    </row>
    <row r="26" spans="2:25" ht="13.9" customHeight="1">
      <c r="B26" s="1" t="s">
        <v>40</v>
      </c>
      <c r="C26" s="1" t="s">
        <v>39</v>
      </c>
      <c r="D26" s="11">
        <v>67.86</v>
      </c>
      <c r="E26" s="3">
        <v>124.2</v>
      </c>
      <c r="F26" s="4">
        <f>Table4[[#This Row],[Price]]*Table4[[#This Row],[Share Count ]]</f>
        <v>8428.2119999999995</v>
      </c>
      <c r="G26" s="4"/>
      <c r="H26" s="4"/>
      <c r="I26" s="4">
        <f>Table4[[#This Row],[MC ($M)]]-Table4[[#This Row],[Cash ($M)]]+Table4[[#This Row],[Debt ($M)]]</f>
        <v>8428.2119999999995</v>
      </c>
      <c r="J26" s="4"/>
      <c r="K26" s="2"/>
      <c r="L26" s="6"/>
      <c r="N26" s="6"/>
      <c r="O26" s="10"/>
      <c r="P26" s="10"/>
      <c r="Q26" s="11" t="e">
        <f>Table4[[#This Row],[Price]]/Table4[[#This Row],[FY Earnings Estimates]]</f>
        <v>#DIV/0!</v>
      </c>
      <c r="R26" s="11" t="e">
        <f>Table4[[#This Row],[Price]]/Table4[[#This Row],[FY Earnings Estimates (2-years)]]</f>
        <v>#DIV/0!</v>
      </c>
      <c r="T26" s="9"/>
      <c r="U26" s="1" t="s">
        <v>104</v>
      </c>
      <c r="V26" s="1" t="s">
        <v>105</v>
      </c>
      <c r="W26" s="2"/>
      <c r="Y26" s="20"/>
    </row>
    <row r="27" spans="2:25" ht="13.9" customHeight="1">
      <c r="B27" s="18" t="s">
        <v>21</v>
      </c>
      <c r="C27" s="1" t="s">
        <v>144</v>
      </c>
      <c r="D27" s="11">
        <v>656.19</v>
      </c>
      <c r="E27" s="3">
        <v>81.599999999999994</v>
      </c>
      <c r="F27" s="4">
        <f>Table4[[#This Row],[Price]]*Table4[[#This Row],[Share Count ]]</f>
        <v>53545.103999999999</v>
      </c>
      <c r="G27" s="4">
        <v>163.97</v>
      </c>
      <c r="H27" s="4">
        <v>620.73</v>
      </c>
      <c r="I27" s="4">
        <f>Table4[[#This Row],[MC ($M)]]-Table4[[#This Row],[Cash ($M)]]+Table4[[#This Row],[Debt ($M)]]</f>
        <v>54001.864000000001</v>
      </c>
      <c r="J27" s="4"/>
      <c r="K27" s="2"/>
      <c r="L27" s="6"/>
      <c r="M27" s="1">
        <v>1.52</v>
      </c>
      <c r="N27" s="6"/>
      <c r="O27" s="10">
        <v>12.13</v>
      </c>
      <c r="P27" s="10">
        <v>13.62</v>
      </c>
      <c r="Q27" s="11">
        <f>Table4[[#This Row],[Price]]/Table4[[#This Row],[FY Earnings Estimates]]</f>
        <v>54.0964550700742</v>
      </c>
      <c r="R27" s="11">
        <f>Table4[[#This Row],[Price]]/Table4[[#This Row],[FY Earnings Estimates (2-years)]]</f>
        <v>48.178414096916306</v>
      </c>
      <c r="S27" s="16">
        <v>70000</v>
      </c>
      <c r="T27" s="9" t="s">
        <v>192</v>
      </c>
      <c r="U27" s="1" t="s">
        <v>99</v>
      </c>
      <c r="V27" s="1" t="s">
        <v>106</v>
      </c>
      <c r="W27" s="2"/>
      <c r="Y27" s="21"/>
    </row>
    <row r="28" spans="2:25" ht="13.9" customHeight="1">
      <c r="B28" s="1" t="s">
        <v>55</v>
      </c>
      <c r="C28" s="1" t="s">
        <v>145</v>
      </c>
      <c r="D28" s="11">
        <v>81.47</v>
      </c>
      <c r="E28" s="3">
        <v>29.7</v>
      </c>
      <c r="F28" s="4">
        <f>Table4[[#This Row],[Price]]*Table4[[#This Row],[Share Count ]]</f>
        <v>2419.6590000000001</v>
      </c>
      <c r="G28" s="4"/>
      <c r="H28" s="4"/>
      <c r="I28" s="4">
        <f>Table4[[#This Row],[MC ($M)]]-Table4[[#This Row],[Cash ($M)]]+Table4[[#This Row],[Debt ($M)]]</f>
        <v>2419.6590000000001</v>
      </c>
      <c r="J28" s="4"/>
      <c r="K28" s="2"/>
      <c r="L28" s="6"/>
      <c r="N28" s="6"/>
      <c r="O28" s="10"/>
      <c r="P28" s="10"/>
      <c r="Q28" s="11" t="e">
        <f>Table4[[#This Row],[Price]]/Table4[[#This Row],[FY Earnings Estimates]]</f>
        <v>#DIV/0!</v>
      </c>
      <c r="R28" s="11" t="e">
        <f>Table4[[#This Row],[Price]]/Table4[[#This Row],[FY Earnings Estimates (2-years)]]</f>
        <v>#DIV/0!</v>
      </c>
      <c r="T28" s="9"/>
      <c r="U28" s="1" t="s">
        <v>85</v>
      </c>
      <c r="V28" s="1" t="s">
        <v>107</v>
      </c>
      <c r="W28" s="2"/>
      <c r="Y28" s="21"/>
    </row>
    <row r="29" spans="2:25" ht="13.9" customHeight="1">
      <c r="B29" s="1" t="s">
        <v>56</v>
      </c>
      <c r="C29" s="1" t="s">
        <v>146</v>
      </c>
      <c r="D29" s="11">
        <v>187.22</v>
      </c>
      <c r="E29" s="3">
        <v>176.1</v>
      </c>
      <c r="F29" s="4">
        <f>Table4[[#This Row],[Price]]*Table4[[#This Row],[Share Count ]]</f>
        <v>32969.441999999995</v>
      </c>
      <c r="G29" s="4"/>
      <c r="H29" s="4"/>
      <c r="I29" s="4">
        <f>Table4[[#This Row],[MC ($M)]]-Table4[[#This Row],[Cash ($M)]]+Table4[[#This Row],[Debt ($M)]]</f>
        <v>32969.441999999995</v>
      </c>
      <c r="J29" s="4"/>
      <c r="K29" s="2"/>
      <c r="L29" s="6"/>
      <c r="N29" s="6"/>
      <c r="O29" s="10"/>
      <c r="P29" s="10"/>
      <c r="Q29" s="11" t="e">
        <f>Table4[[#This Row],[Price]]/Table4[[#This Row],[FY Earnings Estimates]]</f>
        <v>#DIV/0!</v>
      </c>
      <c r="R29" s="11" t="e">
        <f>Table4[[#This Row],[Price]]/Table4[[#This Row],[FY Earnings Estimates (2-years)]]</f>
        <v>#DIV/0!</v>
      </c>
      <c r="T29" s="9"/>
      <c r="U29" s="1" t="s">
        <v>104</v>
      </c>
      <c r="V29" s="1" t="s">
        <v>108</v>
      </c>
      <c r="W29" s="2"/>
      <c r="Y29" s="22"/>
    </row>
    <row r="30" spans="2:25" ht="13.9" customHeight="1">
      <c r="B30" s="1" t="s">
        <v>57</v>
      </c>
      <c r="C30" s="1" t="s">
        <v>147</v>
      </c>
      <c r="D30" s="11">
        <v>175.02</v>
      </c>
      <c r="E30" s="3">
        <v>31.4</v>
      </c>
      <c r="F30" s="4">
        <f>Table4[[#This Row],[Price]]*Table4[[#This Row],[Share Count ]]</f>
        <v>5495.6279999999997</v>
      </c>
      <c r="G30" s="4"/>
      <c r="H30" s="4"/>
      <c r="I30" s="4">
        <f>Table4[[#This Row],[MC ($M)]]-Table4[[#This Row],[Cash ($M)]]+Table4[[#This Row],[Debt ($M)]]</f>
        <v>5495.6279999999997</v>
      </c>
      <c r="J30" s="4"/>
      <c r="K30" s="2"/>
      <c r="L30" s="6"/>
      <c r="N30" s="6"/>
      <c r="O30" s="10"/>
      <c r="P30" s="10"/>
      <c r="T30" s="9"/>
      <c r="U30" s="1" t="s">
        <v>85</v>
      </c>
      <c r="V30" s="1" t="s">
        <v>71</v>
      </c>
      <c r="W30" s="2"/>
      <c r="Y30" s="20"/>
    </row>
    <row r="31" spans="2:25" ht="13.9" customHeight="1">
      <c r="B31" s="18" t="s">
        <v>10</v>
      </c>
      <c r="C31" s="1" t="s">
        <v>148</v>
      </c>
      <c r="D31" s="11">
        <v>439.22</v>
      </c>
      <c r="E31" s="3">
        <f>[11]Main!$C$6</f>
        <v>358.5</v>
      </c>
      <c r="F31" s="4">
        <f>Table4[[#This Row],[Price]]*Table4[[#This Row],[Share Count ]]</f>
        <v>157460.37</v>
      </c>
      <c r="G31" s="4">
        <f>[11]Main!$C$8</f>
        <v>9532.5</v>
      </c>
      <c r="H31" s="2">
        <v>0</v>
      </c>
      <c r="I31" s="4">
        <f>Table4[[#This Row],[MC ($M)]]-Table4[[#This Row],[Cash ($M)]]+Table4[[#This Row],[Debt ($M)]]</f>
        <v>147927.87</v>
      </c>
      <c r="J31" s="4">
        <f>[11]Model!$CV$49</f>
        <v>166270.73316587909</v>
      </c>
      <c r="K31" s="2">
        <f>[11]Model!$CV$51</f>
        <v>463.79562947246609</v>
      </c>
      <c r="L31" s="6">
        <f>[11]Model!$CV$53</f>
        <v>5.5952892565152013E-2</v>
      </c>
      <c r="M31" s="1">
        <f>'[11]Notes | Quant Analysis'!$K$183</f>
        <v>1.68</v>
      </c>
      <c r="N31" s="6">
        <f>'[11]Notes | Quant Analysis'!$K$181</f>
        <v>1.7141639646643531E-2</v>
      </c>
      <c r="O31" s="10">
        <v>7.83</v>
      </c>
      <c r="P31" s="10">
        <v>9.1</v>
      </c>
      <c r="Q31" s="11">
        <f>Table4[[#This Row],[Price]]/Table4[[#This Row],[FY Earnings Estimates]]</f>
        <v>56.094508301404858</v>
      </c>
      <c r="R31" s="11">
        <f>Table4[[#This Row],[Price]]/Table4[[#This Row],[FY Earnings Estimates (2-years)]]</f>
        <v>48.265934065934069</v>
      </c>
      <c r="S31" s="16">
        <v>15638</v>
      </c>
      <c r="T31" s="9" t="s">
        <v>218</v>
      </c>
      <c r="U31" s="1" t="s">
        <v>85</v>
      </c>
      <c r="V31" s="1" t="s">
        <v>109</v>
      </c>
      <c r="W31" s="2"/>
      <c r="Y31" s="21"/>
    </row>
    <row r="32" spans="2:25" ht="13.9" customHeight="1">
      <c r="B32" s="18" t="s">
        <v>220</v>
      </c>
      <c r="C32" s="1" t="s">
        <v>221</v>
      </c>
      <c r="D32" s="11">
        <v>103.31</v>
      </c>
      <c r="E32" s="3">
        <v>33.5</v>
      </c>
      <c r="F32" s="4">
        <f>Table4[[#This Row],[Price]]*Table4[[#This Row],[Share Count ]]</f>
        <v>3460.8850000000002</v>
      </c>
      <c r="G32" s="4"/>
      <c r="H32" s="4"/>
      <c r="I32" s="4">
        <f>Table4[[#This Row],[MC ($M)]]-Table4[[#This Row],[Cash ($M)]]+Table4[[#This Row],[Debt ($M)]]</f>
        <v>3460.8850000000002</v>
      </c>
      <c r="J32" s="4"/>
      <c r="K32" s="2"/>
      <c r="L32" s="6"/>
      <c r="N32" s="6"/>
      <c r="O32" s="10"/>
      <c r="P32" s="10"/>
      <c r="Q32" s="11" t="e">
        <f>Table4[[#This Row],[Price]]/Table4[[#This Row],[FY Earnings Estimates]]</f>
        <v>#DIV/0!</v>
      </c>
      <c r="R32" s="11" t="e">
        <f>Table4[[#This Row],[Price]]/Table4[[#This Row],[FY Earnings Estimates (2-years)]]</f>
        <v>#DIV/0!</v>
      </c>
      <c r="T32" s="9"/>
      <c r="U32" s="1" t="s">
        <v>85</v>
      </c>
      <c r="V32" s="1" t="s">
        <v>222</v>
      </c>
      <c r="W32" s="2"/>
      <c r="Y32" s="22"/>
    </row>
    <row r="33" spans="2:25" ht="13.9" customHeight="1">
      <c r="B33" s="18" t="s">
        <v>58</v>
      </c>
      <c r="C33" s="1" t="s">
        <v>72</v>
      </c>
      <c r="D33" s="11">
        <v>175.1</v>
      </c>
      <c r="E33" s="3">
        <v>2406</v>
      </c>
      <c r="F33" s="4">
        <f>Table4[[#This Row],[Price]]*Table4[[#This Row],[Share Count ]]</f>
        <v>421290.6</v>
      </c>
      <c r="G33" s="4">
        <v>38781</v>
      </c>
      <c r="H33" s="4">
        <v>47900</v>
      </c>
      <c r="I33" s="4">
        <f>Table4[[#This Row],[MC ($M)]]-Table4[[#This Row],[Cash ($M)]]+Table4[[#This Row],[Debt ($M)]]</f>
        <v>430409.6</v>
      </c>
      <c r="J33" s="4"/>
      <c r="K33" s="2"/>
      <c r="L33" s="6"/>
      <c r="M33" s="1">
        <v>0.48</v>
      </c>
      <c r="N33" s="6"/>
      <c r="O33" s="10">
        <v>10.61</v>
      </c>
      <c r="P33" s="10">
        <v>11.1</v>
      </c>
      <c r="Q33" s="11">
        <f>Table4[[#This Row],[Price]]/Table4[[#This Row],[FY Earnings Estimates]]</f>
        <v>16.503298774740809</v>
      </c>
      <c r="R33" s="11">
        <f>Table4[[#This Row],[Price]]/Table4[[#This Row],[FY Earnings Estimates (2-years)]]</f>
        <v>15.774774774774775</v>
      </c>
      <c r="S33" s="16">
        <v>138100</v>
      </c>
      <c r="T33" s="9" t="s">
        <v>192</v>
      </c>
      <c r="U33" s="8" t="s">
        <v>212</v>
      </c>
      <c r="V33" s="1" t="s">
        <v>110</v>
      </c>
      <c r="W33" s="5" t="s">
        <v>193</v>
      </c>
      <c r="Y33" s="20"/>
    </row>
    <row r="34" spans="2:25" ht="13.9" customHeight="1">
      <c r="B34" s="1" t="s">
        <v>59</v>
      </c>
      <c r="C34" s="1" t="s">
        <v>149</v>
      </c>
      <c r="D34" s="11">
        <v>55</v>
      </c>
      <c r="E34" s="3">
        <v>54.3</v>
      </c>
      <c r="F34" s="4">
        <f>Table4[[#This Row],[Price]]*Table4[[#This Row],[Share Count ]]</f>
        <v>2986.5</v>
      </c>
      <c r="G34" s="4"/>
      <c r="H34" s="4"/>
      <c r="I34" s="4">
        <f>Table4[[#This Row],[MC ($M)]]-Table4[[#This Row],[Cash ($M)]]+Table4[[#This Row],[Debt ($M)]]</f>
        <v>2986.5</v>
      </c>
      <c r="J34" s="4"/>
      <c r="K34" s="2"/>
      <c r="L34" s="6"/>
      <c r="N34" s="6"/>
      <c r="O34" s="10"/>
      <c r="P34" s="10"/>
      <c r="Q34" s="11" t="e">
        <f>Table4[[#This Row],[Price]]/Table4[[#This Row],[FY Earnings Estimates]]</f>
        <v>#DIV/0!</v>
      </c>
      <c r="R34" s="11" t="e">
        <f>Table4[[#This Row],[Price]]/Table4[[#This Row],[FY Earnings Estimates (2-years)]]</f>
        <v>#DIV/0!</v>
      </c>
      <c r="T34" s="9"/>
      <c r="U34" s="1" t="s">
        <v>85</v>
      </c>
      <c r="V34" s="1" t="s">
        <v>111</v>
      </c>
      <c r="W34" s="2"/>
      <c r="Y34" s="21"/>
    </row>
    <row r="35" spans="2:25" ht="13.9" customHeight="1">
      <c r="B35" s="18" t="s">
        <v>191</v>
      </c>
      <c r="C35" s="1" t="s">
        <v>190</v>
      </c>
      <c r="D35" s="11">
        <v>92.25</v>
      </c>
      <c r="E35" s="3">
        <f>[12]Main!$C$4</f>
        <v>22.637</v>
      </c>
      <c r="F35" s="4">
        <f>Table4[[#This Row],[Price]]*Table4[[#This Row],[Share Count ]]</f>
        <v>2088.26325</v>
      </c>
      <c r="G35" s="4">
        <f>[12]Main!$C$6</f>
        <v>319.40000000000003</v>
      </c>
      <c r="H35" s="4">
        <f>[12]Main!$C$7</f>
        <v>168</v>
      </c>
      <c r="I35" s="4">
        <f>Table4[[#This Row],[Price]]*Table4[[#This Row],[Share Count ]]</f>
        <v>2088.26325</v>
      </c>
      <c r="J35" s="4"/>
      <c r="K35" s="2"/>
      <c r="L35" s="6"/>
      <c r="M35" s="1">
        <f>'[12]Notes | Quant Analysis'!$K$267</f>
        <v>0.78</v>
      </c>
      <c r="N35" s="6">
        <f>'[12]Notes | Quant Analysis'!$K$265</f>
        <v>1.9636063763123747E-2</v>
      </c>
      <c r="O35" s="10">
        <v>2.15</v>
      </c>
      <c r="P35" s="10">
        <v>2.38</v>
      </c>
      <c r="Q35" s="11">
        <f>Table4[[#This Row],[Price]]/Table4[[#This Row],[FY Earnings Estimates]]</f>
        <v>42.906976744186046</v>
      </c>
      <c r="R35" s="11">
        <f>Table4[[#This Row],[Price]]/Table4[[#This Row],[FY Earnings Estimates (2-years)]]</f>
        <v>38.760504201680675</v>
      </c>
      <c r="S35" s="1">
        <v>651</v>
      </c>
      <c r="T35" s="9" t="s">
        <v>169</v>
      </c>
      <c r="U35" s="1" t="s">
        <v>85</v>
      </c>
      <c r="V35" s="1" t="s">
        <v>189</v>
      </c>
      <c r="W35" s="5" t="s">
        <v>193</v>
      </c>
      <c r="Y35" s="22"/>
    </row>
    <row r="36" spans="2:25" ht="13.9" customHeight="1">
      <c r="B36" s="18" t="s">
        <v>43</v>
      </c>
      <c r="C36" s="1" t="s">
        <v>150</v>
      </c>
      <c r="D36" s="11">
        <v>140.43</v>
      </c>
      <c r="E36" s="3">
        <v>53.6</v>
      </c>
      <c r="F36" s="4">
        <f>Table4[[#This Row],[Price]]*Table4[[#This Row],[Share Count ]]</f>
        <v>7527.0480000000007</v>
      </c>
      <c r="G36" s="4"/>
      <c r="H36" s="4"/>
      <c r="I36" s="4">
        <f>Table4[[#This Row],[MC ($M)]]-Table4[[#This Row],[Cash ($M)]]+Table4[[#This Row],[Debt ($M)]]</f>
        <v>7527.0480000000007</v>
      </c>
      <c r="J36" s="4"/>
      <c r="K36" s="2"/>
      <c r="L36" s="6"/>
      <c r="N36" s="6"/>
      <c r="O36" s="10"/>
      <c r="P36" s="10"/>
      <c r="Q36" s="11" t="e">
        <f>Table4[[#This Row],[Price]]/Table4[[#This Row],[FY Earnings Estimates]]</f>
        <v>#DIV/0!</v>
      </c>
      <c r="R36" s="11" t="e">
        <f>Table4[[#This Row],[Price]]/Table4[[#This Row],[FY Earnings Estimates (2-years)]]</f>
        <v>#DIV/0!</v>
      </c>
      <c r="T36" s="9"/>
      <c r="U36" s="1" t="s">
        <v>85</v>
      </c>
      <c r="V36" s="1" t="s">
        <v>112</v>
      </c>
      <c r="W36" s="2"/>
      <c r="Y36" s="20"/>
    </row>
    <row r="37" spans="2:25" ht="13.9" customHeight="1">
      <c r="B37" s="18" t="s">
        <v>13</v>
      </c>
      <c r="C37" s="1" t="s">
        <v>12</v>
      </c>
      <c r="D37" s="11">
        <v>95.65</v>
      </c>
      <c r="E37" s="3">
        <f>[13]Main!$C$4</f>
        <v>1281.26</v>
      </c>
      <c r="F37" s="4">
        <f>Table4[[#This Row],[Price]]*Table4[[#This Row],[Share Count ]]</f>
        <v>122552.519</v>
      </c>
      <c r="G37" s="4">
        <f>[13]Main!$C$6</f>
        <v>8965</v>
      </c>
      <c r="H37" s="4">
        <f>[13]Main!$C$7</f>
        <v>28516</v>
      </c>
      <c r="I37" s="4">
        <f>Table4[[#This Row],[MC ($M)]]-Table4[[#This Row],[Cash ($M)]]+Table4[[#This Row],[Debt ($M)]]</f>
        <v>142103.519</v>
      </c>
      <c r="J37" s="4">
        <f>[13]Model!$CC$78</f>
        <v>112911.15142286106</v>
      </c>
      <c r="K37" s="2">
        <f>[13]Model!$CC$80</f>
        <v>88.125088914709792</v>
      </c>
      <c r="L37" s="6">
        <f>Table4[[#This Row],[FV]]/Table4[[#This Row],[Price]]-1</f>
        <v>-7.8671312966965168E-2</v>
      </c>
      <c r="M37" s="1">
        <v>0.83</v>
      </c>
      <c r="N37" s="6">
        <f>'[13]Notes | Quant Analysis'!$K$207</f>
        <v>1.1871030936368737E-2</v>
      </c>
      <c r="O37" s="10">
        <v>5.46</v>
      </c>
      <c r="P37" s="10">
        <v>5.82</v>
      </c>
      <c r="Q37" s="11">
        <f>Table4[[#This Row],[Price]]/Table4[[#This Row],[FY Earnings Estimates]]</f>
        <v>17.518315018315018</v>
      </c>
      <c r="R37" s="11">
        <f>Table4[[#This Row],[Price]]/Table4[[#This Row],[FY Earnings Estimates (2-years)]]</f>
        <v>16.434707903780069</v>
      </c>
      <c r="S37" s="16">
        <v>95000</v>
      </c>
      <c r="T37" s="9" t="s">
        <v>219</v>
      </c>
      <c r="U37" s="1" t="s">
        <v>85</v>
      </c>
      <c r="V37" s="1" t="s">
        <v>73</v>
      </c>
      <c r="W37" s="5" t="s">
        <v>193</v>
      </c>
      <c r="Y37" s="21"/>
    </row>
    <row r="38" spans="2:25" ht="13.9" customHeight="1">
      <c r="B38" s="1" t="s">
        <v>30</v>
      </c>
      <c r="C38" s="1" t="s">
        <v>151</v>
      </c>
      <c r="D38" s="11">
        <v>7.03</v>
      </c>
      <c r="E38" s="3">
        <v>146.9</v>
      </c>
      <c r="F38" s="4">
        <f>Table4[[#This Row],[Price]]*Table4[[#This Row],[Share Count ]]</f>
        <v>1032.7070000000001</v>
      </c>
      <c r="G38" s="4"/>
      <c r="H38" s="4"/>
      <c r="I38" s="4">
        <f>Table4[[#This Row],[MC ($M)]]-Table4[[#This Row],[Cash ($M)]]+Table4[[#This Row],[Debt ($M)]]</f>
        <v>1032.7070000000001</v>
      </c>
      <c r="J38" s="4"/>
      <c r="K38" s="2"/>
      <c r="L38" s="6"/>
      <c r="N38" s="6"/>
      <c r="O38" s="10"/>
      <c r="P38" s="10"/>
      <c r="Q38" s="11" t="e">
        <f>Table4[[#This Row],[Price]]/Table4[[#This Row],[FY Earnings Estimates]]</f>
        <v>#DIV/0!</v>
      </c>
      <c r="R38" s="11" t="e">
        <f>Table4[[#This Row],[Price]]/Table4[[#This Row],[FY Earnings Estimates (2-years)]]</f>
        <v>#DIV/0!</v>
      </c>
      <c r="T38" s="9"/>
      <c r="U38" s="1" t="s">
        <v>113</v>
      </c>
      <c r="V38" s="1" t="s">
        <v>114</v>
      </c>
      <c r="W38" s="2"/>
      <c r="Y38" s="22"/>
    </row>
    <row r="39" spans="2:25" ht="13.9" customHeight="1">
      <c r="B39" s="1" t="s">
        <v>23</v>
      </c>
      <c r="C39" s="1" t="s">
        <v>152</v>
      </c>
      <c r="D39" s="11">
        <v>1265.5899999999999</v>
      </c>
      <c r="E39" s="3">
        <v>20.9</v>
      </c>
      <c r="F39" s="4">
        <f>Table4[[#This Row],[Price]]*Table4[[#This Row],[Share Count ]]</f>
        <v>26450.830999999995</v>
      </c>
      <c r="G39" s="4"/>
      <c r="H39" s="4"/>
      <c r="I39" s="4">
        <f>Table4[[#This Row],[MC ($M)]]-Table4[[#This Row],[Cash ($M)]]+Table4[[#This Row],[Debt ($M)]]</f>
        <v>26450.830999999995</v>
      </c>
      <c r="J39" s="4"/>
      <c r="K39" s="2"/>
      <c r="L39" s="6"/>
      <c r="N39" s="6"/>
      <c r="O39" s="10"/>
      <c r="P39" s="10"/>
      <c r="Q39" s="11" t="e">
        <f>Table4[[#This Row],[Price]]/Table4[[#This Row],[FY Earnings Estimates]]</f>
        <v>#DIV/0!</v>
      </c>
      <c r="R39" s="11" t="e">
        <f>Table4[[#This Row],[Price]]/Table4[[#This Row],[FY Earnings Estimates (2-years)]]</f>
        <v>#DIV/0!</v>
      </c>
      <c r="T39" s="9"/>
      <c r="U39" s="1" t="s">
        <v>81</v>
      </c>
      <c r="V39" s="1" t="s">
        <v>115</v>
      </c>
      <c r="W39" s="2"/>
      <c r="Y39" s="20"/>
    </row>
    <row r="40" spans="2:25" ht="13.9" customHeight="1">
      <c r="B40" s="18" t="s">
        <v>45</v>
      </c>
      <c r="C40" s="1" t="s">
        <v>164</v>
      </c>
      <c r="D40" s="11">
        <v>80</v>
      </c>
      <c r="E40" s="3">
        <v>59.3</v>
      </c>
      <c r="F40" s="4">
        <f>Table4[[#This Row],[Price]]*Table4[[#This Row],[Share Count ]]</f>
        <v>4744</v>
      </c>
      <c r="G40" s="4">
        <f>41.141+0.067+70.397</f>
        <v>111.605</v>
      </c>
      <c r="H40" s="4">
        <v>0</v>
      </c>
      <c r="I40" s="4">
        <f>Table4[[#This Row],[MC ($M)]]-Table4[[#This Row],[Cash ($M)]]+Table4[[#This Row],[Debt ($M)]]</f>
        <v>4632.3950000000004</v>
      </c>
      <c r="J40" s="4"/>
      <c r="K40" s="2"/>
      <c r="L40" s="6"/>
      <c r="N40" s="6"/>
      <c r="O40" s="10"/>
      <c r="P40" s="10"/>
      <c r="Q40" s="11" t="e">
        <f>Table4[[#This Row],[Price]]/Table4[[#This Row],[FY Earnings Estimates]]</f>
        <v>#DIV/0!</v>
      </c>
      <c r="R40" s="11" t="e">
        <f>Table4[[#This Row],[Price]]/Table4[[#This Row],[FY Earnings Estimates (2-years)]]</f>
        <v>#DIV/0!</v>
      </c>
      <c r="T40" s="9"/>
      <c r="U40" s="8" t="s">
        <v>131</v>
      </c>
      <c r="W40" s="5" t="s">
        <v>193</v>
      </c>
      <c r="Y40" s="21"/>
    </row>
    <row r="41" spans="2:25" ht="13.9" customHeight="1">
      <c r="B41" s="1" t="s">
        <v>42</v>
      </c>
      <c r="C41" s="1" t="s">
        <v>153</v>
      </c>
      <c r="D41" s="11">
        <v>12.69</v>
      </c>
      <c r="E41" s="3">
        <v>108.5</v>
      </c>
      <c r="F41" s="4">
        <f>Table4[[#This Row],[Price]]*Table4[[#This Row],[Share Count ]]</f>
        <v>1376.865</v>
      </c>
      <c r="G41" s="4"/>
      <c r="H41" s="4"/>
      <c r="I41" s="4">
        <f>Table4[[#This Row],[MC ($M)]]-Table4[[#This Row],[Cash ($M)]]+Table4[[#This Row],[Debt ($M)]]</f>
        <v>1376.865</v>
      </c>
      <c r="J41" s="4"/>
      <c r="K41" s="2"/>
      <c r="L41" s="6"/>
      <c r="N41" s="6"/>
      <c r="O41" s="10"/>
      <c r="P41" s="10"/>
      <c r="Q41" s="11" t="e">
        <f>Table4[[#This Row],[Price]]/Table4[[#This Row],[FY Earnings Estimates]]</f>
        <v>#DIV/0!</v>
      </c>
      <c r="R41" s="11" t="e">
        <f>Table4[[#This Row],[Price]]/Table4[[#This Row],[FY Earnings Estimates (2-years)]]</f>
        <v>#DIV/0!</v>
      </c>
      <c r="T41" s="9"/>
      <c r="U41" s="1" t="s">
        <v>85</v>
      </c>
      <c r="V41" s="1" t="s">
        <v>116</v>
      </c>
      <c r="W41" s="2"/>
      <c r="Y41" s="22"/>
    </row>
    <row r="42" spans="2:25" ht="13.9" customHeight="1">
      <c r="B42" s="1" t="s">
        <v>60</v>
      </c>
      <c r="C42" s="1" t="s">
        <v>154</v>
      </c>
      <c r="D42" s="11">
        <v>14.71</v>
      </c>
      <c r="E42" s="3">
        <v>38.5</v>
      </c>
      <c r="F42" s="4">
        <f>Table4[[#This Row],[Price]]*Table4[[#This Row],[Share Count ]]</f>
        <v>566.33500000000004</v>
      </c>
      <c r="G42" s="4"/>
      <c r="H42" s="4"/>
      <c r="I42" s="4">
        <f>Table4[[#This Row],[MC ($M)]]-Table4[[#This Row],[Cash ($M)]]+Table4[[#This Row],[Debt ($M)]]</f>
        <v>566.33500000000004</v>
      </c>
      <c r="J42" s="4"/>
      <c r="K42" s="2"/>
      <c r="L42" s="6"/>
      <c r="N42" s="6"/>
      <c r="O42" s="10"/>
      <c r="P42" s="10"/>
      <c r="Q42" s="11" t="e">
        <f>Table4[[#This Row],[Price]]/Table4[[#This Row],[FY Earnings Estimates]]</f>
        <v>#DIV/0!</v>
      </c>
      <c r="R42" s="11" t="e">
        <f>Table4[[#This Row],[Price]]/Table4[[#This Row],[FY Earnings Estimates (2-years)]]</f>
        <v>#DIV/0!</v>
      </c>
      <c r="T42" s="9"/>
      <c r="U42" s="1" t="s">
        <v>85</v>
      </c>
      <c r="V42" s="1" t="s">
        <v>117</v>
      </c>
      <c r="W42" s="2"/>
      <c r="Y42" s="20"/>
    </row>
    <row r="43" spans="2:25" ht="13.9" customHeight="1">
      <c r="B43" s="1" t="s">
        <v>61</v>
      </c>
      <c r="C43" s="1" t="s">
        <v>155</v>
      </c>
      <c r="D43" s="11">
        <v>14.3</v>
      </c>
      <c r="E43" s="3">
        <v>52.9</v>
      </c>
      <c r="F43" s="4">
        <f>Table4[[#This Row],[Price]]*Table4[[#This Row],[Share Count ]]</f>
        <v>756.47</v>
      </c>
      <c r="G43" s="4"/>
      <c r="H43" s="4"/>
      <c r="I43" s="4">
        <f>Table4[[#This Row],[MC ($M)]]-Table4[[#This Row],[Cash ($M)]]+Table4[[#This Row],[Debt ($M)]]</f>
        <v>756.47</v>
      </c>
      <c r="J43" s="4"/>
      <c r="K43" s="2"/>
      <c r="L43" s="6"/>
      <c r="N43" s="6"/>
      <c r="O43" s="10"/>
      <c r="P43" s="10"/>
      <c r="Q43" s="11" t="e">
        <f>Table4[[#This Row],[Price]]/Table4[[#This Row],[FY Earnings Estimates]]</f>
        <v>#DIV/0!</v>
      </c>
      <c r="R43" s="11" t="e">
        <f>Table4[[#This Row],[Price]]/Table4[[#This Row],[FY Earnings Estimates (2-years)]]</f>
        <v>#DIV/0!</v>
      </c>
      <c r="T43" s="9"/>
      <c r="U43" s="1" t="s">
        <v>85</v>
      </c>
      <c r="V43" s="1" t="s">
        <v>118</v>
      </c>
      <c r="W43" s="2"/>
      <c r="Y43" s="21"/>
    </row>
    <row r="44" spans="2:25" ht="13.9" customHeight="1">
      <c r="B44" s="18" t="s">
        <v>62</v>
      </c>
      <c r="C44" s="1" t="s">
        <v>156</v>
      </c>
      <c r="D44" s="11">
        <v>255</v>
      </c>
      <c r="E44" s="3">
        <f>'[14]Main | Overview'!$C$6</f>
        <v>424.56299999999999</v>
      </c>
      <c r="F44" s="4">
        <f>Table4[[#This Row],[Price]]*Table4[[#This Row],[Share Count ]]</f>
        <v>108263.565</v>
      </c>
      <c r="G44" s="4">
        <f>'[14]Main | Overview'!$C$8</f>
        <v>9836.8538800000006</v>
      </c>
      <c r="H44" s="4">
        <f>'[15]Main | Overview'!$C$9</f>
        <v>0</v>
      </c>
      <c r="I44" s="4">
        <f>Table4[[#This Row],[MC ($M)]]-Table4[[#This Row],[Cash ($M)]]+Table4[[#This Row],[Debt ($M)]]</f>
        <v>98426.711120000007</v>
      </c>
      <c r="J44" s="4">
        <f>'[14]Base Case (55%)'!$CA$59</f>
        <v>12573.443632908808</v>
      </c>
      <c r="K44" s="2">
        <f>'[14]Base Case (55%)'!$CA$61</f>
        <v>322.4042573632351</v>
      </c>
      <c r="L44" s="6">
        <f>'[14]Base Case (55%)'!$CA$63</f>
        <v>0.22531262299800514</v>
      </c>
      <c r="M44" s="1">
        <v>0.56000000000000005</v>
      </c>
      <c r="N44" s="6">
        <f>'[14]Notes | Analysis'!$K$238</f>
        <v>2.4922310845394476E-2</v>
      </c>
      <c r="O44" s="10">
        <v>3.8</v>
      </c>
      <c r="P44" s="10">
        <v>5.2</v>
      </c>
      <c r="Q44" s="11">
        <f>Table4[[#This Row],[Price]]/Table4[[#This Row],[FY Earnings Estimates]]</f>
        <v>67.10526315789474</v>
      </c>
      <c r="R44" s="11">
        <f>Table4[[#This Row],[Price]]/Table4[[#This Row],[FY Earnings Estimates (2-years)]]</f>
        <v>49.03846153846154</v>
      </c>
      <c r="S44" s="16">
        <v>4600</v>
      </c>
      <c r="T44" s="9" t="s">
        <v>218</v>
      </c>
      <c r="U44" s="1" t="s">
        <v>85</v>
      </c>
      <c r="V44" s="1" t="s">
        <v>189</v>
      </c>
      <c r="W44" s="2"/>
      <c r="Y44" s="22"/>
    </row>
    <row r="45" spans="2:25" ht="13.9" customHeight="1">
      <c r="B45" s="1" t="s">
        <v>63</v>
      </c>
      <c r="C45" s="1" t="s">
        <v>74</v>
      </c>
      <c r="D45" s="11">
        <v>28</v>
      </c>
      <c r="E45" s="3">
        <v>925</v>
      </c>
      <c r="F45" s="4">
        <f>Table4[[#This Row],[Price]]*Table4[[#This Row],[Share Count ]]</f>
        <v>25900</v>
      </c>
      <c r="G45" s="4"/>
      <c r="H45" s="4"/>
      <c r="I45" s="4">
        <f>Table4[[#This Row],[MC ($M)]]-Table4[[#This Row],[Cash ($M)]]+Table4[[#This Row],[Debt ($M)]]</f>
        <v>25900</v>
      </c>
      <c r="J45" s="4"/>
      <c r="K45" s="2"/>
      <c r="L45" s="6"/>
      <c r="N45" s="6"/>
      <c r="O45" s="10"/>
      <c r="P45" s="10"/>
      <c r="Q45" s="11" t="e">
        <f>Table4[[#This Row],[Price]]/Table4[[#This Row],[FY Earnings Estimates]]</f>
        <v>#DIV/0!</v>
      </c>
      <c r="R45" s="11" t="e">
        <f>Table4[[#This Row],[Price]]/Table4[[#This Row],[FY Earnings Estimates (2-years)]]</f>
        <v>#DIV/0!</v>
      </c>
      <c r="T45" s="9"/>
      <c r="U45" s="1" t="s">
        <v>85</v>
      </c>
      <c r="V45" s="1" t="s">
        <v>119</v>
      </c>
      <c r="W45" s="5" t="s">
        <v>193</v>
      </c>
      <c r="Y45" s="20"/>
    </row>
    <row r="46" spans="2:25" ht="13.9" customHeight="1">
      <c r="B46" s="18" t="s">
        <v>34</v>
      </c>
      <c r="C46" s="1" t="s">
        <v>33</v>
      </c>
      <c r="D46" s="11">
        <v>329.99</v>
      </c>
      <c r="E46" s="3">
        <f>[16]Main!$C$4</f>
        <v>70.391999999999996</v>
      </c>
      <c r="F46" s="4">
        <f>Table4[[#This Row],[Price]]*Table4[[#This Row],[Share Count ]]</f>
        <v>23228.656080000001</v>
      </c>
      <c r="G46" s="4">
        <f>[16]Main!$C$6</f>
        <v>1121.5999999999999</v>
      </c>
      <c r="H46" s="4">
        <f>[16]Main!$C$7</f>
        <v>1345.7</v>
      </c>
      <c r="I46" s="4">
        <f>Table4[[#This Row],[MC ($M)]]-Table4[[#This Row],[Cash ($M)]]+Table4[[#This Row],[Debt ($M)]]</f>
        <v>23452.756080000003</v>
      </c>
      <c r="J46" s="4"/>
      <c r="K46" s="2"/>
      <c r="L46" s="6"/>
      <c r="M46" s="1">
        <f>'[16]Notes | Quant Analysis'!$K$267</f>
        <v>1.37</v>
      </c>
      <c r="N46" s="6">
        <f>'[16]Notes | Quant Analysis'!$K$265</f>
        <v>2.2834608490444917E-2</v>
      </c>
      <c r="O46" s="10">
        <v>4.21</v>
      </c>
      <c r="P46" s="10">
        <v>5.23</v>
      </c>
      <c r="Q46" s="11">
        <f>Table4[[#This Row],[Price]]/Table4[[#This Row],[FY Earnings Estimates]]</f>
        <v>78.382422802850357</v>
      </c>
      <c r="R46" s="11">
        <f>Table4[[#This Row],[Price]]/Table4[[#This Row],[FY Earnings Estimates (2-years)]]</f>
        <v>63.095602294455063</v>
      </c>
      <c r="S46" s="16">
        <v>3900</v>
      </c>
      <c r="T46" s="9" t="s">
        <v>218</v>
      </c>
      <c r="U46" s="1" t="s">
        <v>85</v>
      </c>
      <c r="V46" s="1" t="s">
        <v>120</v>
      </c>
      <c r="W46" s="2"/>
      <c r="Y46" s="21"/>
    </row>
    <row r="47" spans="2:25" ht="13.9" customHeight="1">
      <c r="B47" s="1" t="s">
        <v>38</v>
      </c>
      <c r="C47" s="1" t="s">
        <v>37</v>
      </c>
      <c r="D47" s="11">
        <v>45.94</v>
      </c>
      <c r="E47" s="3">
        <v>216.1</v>
      </c>
      <c r="F47" s="4">
        <f>Table4[[#This Row],[Price]]*Table4[[#This Row],[Share Count ]]</f>
        <v>9927.634</v>
      </c>
      <c r="G47" s="4"/>
      <c r="H47" s="4"/>
      <c r="I47" s="4">
        <f>Table4[[#This Row],[MC ($M)]]-Table4[[#This Row],[Cash ($M)]]+Table4[[#This Row],[Debt ($M)]]</f>
        <v>9927.634</v>
      </c>
      <c r="J47" s="4"/>
      <c r="K47" s="2"/>
      <c r="L47" s="6"/>
      <c r="N47" s="6"/>
      <c r="O47" s="10"/>
      <c r="P47" s="10"/>
      <c r="Q47" s="11" t="e">
        <f>Table4[[#This Row],[Price]]/Table4[[#This Row],[FY Earnings Estimates]]</f>
        <v>#DIV/0!</v>
      </c>
      <c r="R47" s="11" t="e">
        <f>Table4[[#This Row],[Price]]/Table4[[#This Row],[FY Earnings Estimates (2-years)]]</f>
        <v>#DIV/0!</v>
      </c>
      <c r="T47" s="9"/>
      <c r="U47" s="1" t="s">
        <v>99</v>
      </c>
      <c r="V47" s="1" t="s">
        <v>121</v>
      </c>
      <c r="W47" s="2"/>
      <c r="Y47" s="21"/>
    </row>
    <row r="48" spans="2:25" ht="13.9" customHeight="1">
      <c r="B48" s="1" t="s">
        <v>18</v>
      </c>
      <c r="C48" s="1" t="s">
        <v>157</v>
      </c>
      <c r="D48" s="11">
        <v>273.19</v>
      </c>
      <c r="E48" s="3">
        <v>146.9</v>
      </c>
      <c r="F48" s="4">
        <f>Table4[[#This Row],[Price]]*Table4[[#This Row],[Share Count ]]</f>
        <v>40131.611000000004</v>
      </c>
      <c r="G48" s="4"/>
      <c r="H48" s="4"/>
      <c r="I48" s="4">
        <f>Table4[[#This Row],[MC ($M)]]-Table4[[#This Row],[Cash ($M)]]+Table4[[#This Row],[Debt ($M)]]</f>
        <v>40131.611000000004</v>
      </c>
      <c r="J48" s="4"/>
      <c r="K48" s="2"/>
      <c r="L48" s="6"/>
      <c r="N48" s="6"/>
      <c r="O48" s="10"/>
      <c r="P48" s="10"/>
      <c r="Q48" s="11" t="e">
        <f>Table4[[#This Row],[Price]]/Table4[[#This Row],[FY Earnings Estimates]]</f>
        <v>#DIV/0!</v>
      </c>
      <c r="R48" s="11" t="e">
        <f>Table4[[#This Row],[Price]]/Table4[[#This Row],[FY Earnings Estimates (2-years)]]</f>
        <v>#DIV/0!</v>
      </c>
      <c r="T48" s="9"/>
      <c r="U48" s="1" t="s">
        <v>85</v>
      </c>
      <c r="V48" s="1" t="s">
        <v>122</v>
      </c>
      <c r="W48" s="2"/>
      <c r="Y48" s="22"/>
    </row>
    <row r="49" spans="2:25" ht="13.9" customHeight="1">
      <c r="B49" s="1" t="s">
        <v>68</v>
      </c>
      <c r="C49" s="1" t="s">
        <v>165</v>
      </c>
      <c r="D49" s="11">
        <v>27.5</v>
      </c>
      <c r="E49" s="3">
        <v>46.55</v>
      </c>
      <c r="F49" s="4">
        <f>Table4[[#This Row],[Price]]*Table4[[#This Row],[Share Count ]]</f>
        <v>1280.125</v>
      </c>
      <c r="G49" s="4">
        <v>0</v>
      </c>
      <c r="H49" s="4">
        <v>0</v>
      </c>
      <c r="I49" s="4">
        <v>1180</v>
      </c>
      <c r="J49" s="4"/>
      <c r="K49" s="2"/>
      <c r="L49" s="6"/>
      <c r="N49" s="6"/>
      <c r="O49" s="10"/>
      <c r="P49" s="10"/>
      <c r="Q49" s="11" t="e">
        <f>Table4[[#This Row],[Price]]/Table4[[#This Row],[FY Earnings Estimates]]</f>
        <v>#DIV/0!</v>
      </c>
      <c r="R49" s="11" t="e">
        <f>Table4[[#This Row],[Price]]/Table4[[#This Row],[FY Earnings Estimates (2-years)]]</f>
        <v>#DIV/0!</v>
      </c>
      <c r="T49" s="9"/>
      <c r="U49" s="8" t="s">
        <v>177</v>
      </c>
      <c r="W49" s="5" t="s">
        <v>193</v>
      </c>
      <c r="Y49" s="20"/>
    </row>
    <row r="50" spans="2:25" ht="13.9" customHeight="1">
      <c r="B50" s="1" t="s">
        <v>203</v>
      </c>
      <c r="C50" s="1" t="s">
        <v>202</v>
      </c>
      <c r="D50" s="11">
        <v>73.989999999999995</v>
      </c>
      <c r="E50" s="3">
        <v>172.8</v>
      </c>
      <c r="F50" s="4">
        <f>Table4[[#This Row],[Price]]*Table4[[#This Row],[Share Count ]]</f>
        <v>12785.472</v>
      </c>
      <c r="G50" s="4">
        <v>762</v>
      </c>
      <c r="H50" s="4">
        <f>200+7810</f>
        <v>8010</v>
      </c>
      <c r="I50" s="4">
        <f>Table4[[#This Row],[MC ($M)]]-Table4[[#This Row],[Cash ($M)]]+Table4[[#This Row],[Debt ($M)]]</f>
        <v>20033.472000000002</v>
      </c>
      <c r="J50" s="4"/>
      <c r="K50" s="2"/>
      <c r="L50" s="6"/>
      <c r="M50" s="1">
        <v>0.79</v>
      </c>
      <c r="N50" s="6"/>
      <c r="O50" s="10">
        <v>5.54</v>
      </c>
      <c r="P50" s="10">
        <v>6.02</v>
      </c>
      <c r="Q50" s="11">
        <f>Table4[[#This Row],[Price]]/Table4[[#This Row],[FY Earnings Estimates]]</f>
        <v>13.355595667870036</v>
      </c>
      <c r="R50" s="11">
        <f>Table4[[#This Row],[Price]]/Table4[[#This Row],[FY Earnings Estimates (2-years)]]</f>
        <v>12.290697674418604</v>
      </c>
      <c r="S50" s="16">
        <v>22000</v>
      </c>
      <c r="T50" s="9" t="s">
        <v>169</v>
      </c>
      <c r="U50" s="1" t="s">
        <v>76</v>
      </c>
      <c r="V50" s="1" t="s">
        <v>85</v>
      </c>
      <c r="W50" s="12" t="s">
        <v>204</v>
      </c>
      <c r="Y50" s="21"/>
    </row>
    <row r="51" spans="2:25" ht="13.9" customHeight="1">
      <c r="B51" s="18" t="s">
        <v>27</v>
      </c>
      <c r="C51" s="1" t="s">
        <v>26</v>
      </c>
      <c r="D51" s="11">
        <v>248.78</v>
      </c>
      <c r="E51" s="3">
        <v>98.9</v>
      </c>
      <c r="F51" s="4">
        <f>Table4[[#This Row],[Price]]*Table4[[#This Row],[Share Count ]]</f>
        <v>24604.342000000001</v>
      </c>
      <c r="G51" s="4">
        <f>1937.9+172.2</f>
        <v>2110.1</v>
      </c>
      <c r="H51" s="4">
        <f>80+2156.2</f>
        <v>2236.1999999999998</v>
      </c>
      <c r="I51" s="4">
        <f>Table4[[#This Row],[MC ($M)]]-Table4[[#This Row],[Cash ($M)]]+Table4[[#This Row],[Debt ($M)]]</f>
        <v>24730.442000000003</v>
      </c>
      <c r="J51" s="4"/>
      <c r="K51" s="2"/>
      <c r="L51" s="6"/>
      <c r="M51" s="1">
        <v>0.96</v>
      </c>
      <c r="N51" s="6"/>
      <c r="O51" s="10">
        <v>9.1</v>
      </c>
      <c r="P51" s="10">
        <v>9.99</v>
      </c>
      <c r="Q51" s="11">
        <f>Table4[[#This Row],[Price]]/Table4[[#This Row],[FY Earnings Estimates]]</f>
        <v>27.338461538461541</v>
      </c>
      <c r="R51" s="11">
        <f>Table4[[#This Row],[Price]]/Table4[[#This Row],[FY Earnings Estimates (2-years)]]</f>
        <v>24.902902902902902</v>
      </c>
      <c r="S51" s="16">
        <v>18000</v>
      </c>
      <c r="T51" s="9" t="s">
        <v>192</v>
      </c>
      <c r="U51" s="1" t="s">
        <v>104</v>
      </c>
      <c r="V51" s="1" t="s">
        <v>123</v>
      </c>
      <c r="W51" s="2"/>
      <c r="Y51" s="22"/>
    </row>
    <row r="52" spans="2:25" ht="13.9" customHeight="1">
      <c r="B52" s="1" t="s">
        <v>64</v>
      </c>
      <c r="C52" s="1" t="s">
        <v>158</v>
      </c>
      <c r="D52" s="11">
        <v>2.7</v>
      </c>
      <c r="E52" s="3">
        <v>55.7</v>
      </c>
      <c r="F52" s="4">
        <f>Table4[[#This Row],[Price]]*Table4[[#This Row],[Share Count ]]</f>
        <v>150.39000000000001</v>
      </c>
      <c r="G52" s="4"/>
      <c r="H52" s="4"/>
      <c r="I52" s="4">
        <f>Table4[[#This Row],[MC ($M)]]-Table4[[#This Row],[Cash ($M)]]+Table4[[#This Row],[Debt ($M)]]</f>
        <v>150.39000000000001</v>
      </c>
      <c r="J52" s="4"/>
      <c r="K52" s="2"/>
      <c r="L52" s="6"/>
      <c r="N52" s="6"/>
      <c r="O52" s="10"/>
      <c r="P52" s="10"/>
      <c r="Q52" s="11" t="e">
        <f>Table4[[#This Row],[Price]]/Table4[[#This Row],[FY Earnings Estimates]]</f>
        <v>#DIV/0!</v>
      </c>
      <c r="R52" s="11" t="e">
        <f>Table4[[#This Row],[Price]]/Table4[[#This Row],[FY Earnings Estimates (2-years)]]</f>
        <v>#DIV/0!</v>
      </c>
      <c r="T52" s="9"/>
      <c r="U52" s="1" t="s">
        <v>85</v>
      </c>
      <c r="V52" s="1" t="s">
        <v>124</v>
      </c>
      <c r="W52" s="2"/>
      <c r="Y52" s="20"/>
    </row>
    <row r="53" spans="2:25" ht="13.9" customHeight="1">
      <c r="B53" s="18" t="s">
        <v>11</v>
      </c>
      <c r="C53" s="1" t="s">
        <v>159</v>
      </c>
      <c r="D53" s="11">
        <v>377.1</v>
      </c>
      <c r="E53" s="3">
        <f>[17]Main!$C$6</f>
        <v>382.16500000000002</v>
      </c>
      <c r="F53" s="4">
        <f>Table4[[#This Row],[Price]]*Table4[[#This Row],[Share Count ]]</f>
        <v>144114.42150000003</v>
      </c>
      <c r="G53" s="4">
        <f>[17]Main!$C$8</f>
        <v>3961</v>
      </c>
      <c r="H53" s="4">
        <f>[17]Main!$C$9</f>
        <v>16781</v>
      </c>
      <c r="I53" s="4">
        <f>Table4[[#This Row],[MC ($M)]]-Table4[[#This Row],[Cash ($M)]]+Table4[[#This Row],[Debt ($M)]]</f>
        <v>156934.42150000003</v>
      </c>
      <c r="J53" s="4">
        <f>[17]Model!$DD$77</f>
        <v>145921.13249473297</v>
      </c>
      <c r="K53" s="2">
        <f>[17]Model!$DD$79</f>
        <v>381.82756792153378</v>
      </c>
      <c r="L53" s="6">
        <f>Table4[[#This Row],[FV]]/Table4[[#This Row],[Price]]-1</f>
        <v>1.2536642592240188E-2</v>
      </c>
      <c r="M53" s="1">
        <v>0.94</v>
      </c>
      <c r="N53" s="6">
        <v>1.3299999999999999E-2</v>
      </c>
      <c r="O53" s="10">
        <v>13.44</v>
      </c>
      <c r="P53" s="10">
        <v>14.87</v>
      </c>
      <c r="Q53" s="11">
        <f>Table4[[#This Row],[Price]]/Table4[[#This Row],[FY Earnings Estimates]]</f>
        <v>28.058035714285715</v>
      </c>
      <c r="R53" s="11">
        <f>Table4[[#This Row],[Price]]/Table4[[#This Row],[FY Earnings Estimates (2-years)]]</f>
        <v>25.359784801613991</v>
      </c>
      <c r="S53" s="16">
        <v>53000</v>
      </c>
      <c r="T53" s="9" t="s">
        <v>218</v>
      </c>
      <c r="U53" s="1" t="s">
        <v>85</v>
      </c>
      <c r="V53" s="1" t="s">
        <v>125</v>
      </c>
      <c r="W53" s="5" t="s">
        <v>193</v>
      </c>
      <c r="Y53" s="21"/>
    </row>
    <row r="54" spans="2:25" ht="13.9" customHeight="1">
      <c r="B54" s="1" t="s">
        <v>65</v>
      </c>
      <c r="C54" s="1" t="s">
        <v>160</v>
      </c>
      <c r="D54" s="11">
        <v>13.9</v>
      </c>
      <c r="E54" s="3">
        <v>23.9</v>
      </c>
      <c r="F54" s="4">
        <f>Table4[[#This Row],[Price]]*Table4[[#This Row],[Share Count ]]</f>
        <v>332.21</v>
      </c>
      <c r="G54" s="4"/>
      <c r="H54" s="4"/>
      <c r="I54" s="4">
        <f>Table4[[#This Row],[MC ($M)]]-Table4[[#This Row],[Cash ($M)]]+Table4[[#This Row],[Debt ($M)]]</f>
        <v>332.21</v>
      </c>
      <c r="J54" s="4"/>
      <c r="K54" s="2"/>
      <c r="L54" s="6"/>
      <c r="N54" s="6"/>
      <c r="O54" s="10"/>
      <c r="P54" s="10"/>
      <c r="Q54" s="11" t="e">
        <f>Table4[[#This Row],[Price]]/Table4[[#This Row],[FY Earnings Estimates]]</f>
        <v>#DIV/0!</v>
      </c>
      <c r="R54" s="11" t="e">
        <f>Table4[[#This Row],[Price]]/Table4[[#This Row],[FY Earnings Estimates (2-years)]]</f>
        <v>#DIV/0!</v>
      </c>
      <c r="T54" s="9"/>
      <c r="U54" s="1" t="s">
        <v>85</v>
      </c>
      <c r="V54" s="1" t="s">
        <v>126</v>
      </c>
      <c r="W54" s="2"/>
      <c r="Y54" s="22"/>
    </row>
    <row r="55" spans="2:25" ht="13.9" customHeight="1">
      <c r="B55" s="18" t="s">
        <v>41</v>
      </c>
      <c r="C55" s="1" t="s">
        <v>161</v>
      </c>
      <c r="D55" s="11">
        <v>122.63</v>
      </c>
      <c r="E55" s="3">
        <f>[18]Main!$C$6</f>
        <v>44.188000000000002</v>
      </c>
      <c r="F55" s="4">
        <f>Table4[[#This Row],[Price]]*Table4[[#This Row],[Share Count ]]</f>
        <v>5418.7744400000001</v>
      </c>
      <c r="G55" s="4">
        <f>[18]Main!$C$8</f>
        <v>284</v>
      </c>
      <c r="H55" s="4">
        <f>[18]Main!$C$9</f>
        <v>1924.02</v>
      </c>
      <c r="I55" s="4">
        <f>Table4[[#This Row],[MC ($M)]]-Table4[[#This Row],[Cash ($M)]]+Table4[[#This Row],[Debt ($M)]]</f>
        <v>7058.7944399999997</v>
      </c>
      <c r="J55" s="4">
        <f>[18]Model!$CY$79</f>
        <v>6830.2411472588892</v>
      </c>
      <c r="K55" s="2">
        <f>[18]Model!$CY$81</f>
        <v>154.57230803066193</v>
      </c>
      <c r="L55" s="6">
        <f>Table4[[#This Row],[FV]]/Table4[[#This Row],[Price]]-1</f>
        <v>0.26047711025574438</v>
      </c>
      <c r="M55" s="1">
        <v>1.19</v>
      </c>
      <c r="N55" s="6">
        <f>'[18]Notes | Quant Analysis'!$K$202</f>
        <v>1.6628619941106478E-2</v>
      </c>
      <c r="O55" s="10">
        <v>13.37</v>
      </c>
      <c r="P55" s="10">
        <v>14.02</v>
      </c>
      <c r="Q55" s="11">
        <f>Table4[[#This Row],[Price]]/Table4[[#This Row],[FY Earnings Estimates]]</f>
        <v>9.1720269259536273</v>
      </c>
      <c r="R55" s="11">
        <f>Table4[[#This Row],[Price]]/Table4[[#This Row],[FY Earnings Estimates (2-years)]]</f>
        <v>8.746790299572039</v>
      </c>
      <c r="S55" s="16">
        <v>14100</v>
      </c>
      <c r="T55" s="9" t="s">
        <v>218</v>
      </c>
      <c r="U55" s="1" t="s">
        <v>85</v>
      </c>
      <c r="V55" s="1" t="s">
        <v>127</v>
      </c>
      <c r="W55" s="5" t="s">
        <v>193</v>
      </c>
      <c r="Y55" s="20"/>
    </row>
    <row r="56" spans="2:25" ht="13.9" customHeight="1">
      <c r="B56" s="18" t="s">
        <v>66</v>
      </c>
      <c r="C56" s="1" t="s">
        <v>174</v>
      </c>
      <c r="D56" s="11">
        <v>479.58</v>
      </c>
      <c r="E56" s="3">
        <f>[19]Main!$C$4</f>
        <v>377.61</v>
      </c>
      <c r="F56" s="4">
        <f>Table4[[#This Row],[Price]]*Table4[[#This Row],[Share Count ]]</f>
        <v>181094.20379999999</v>
      </c>
      <c r="G56" s="4">
        <f>[19]Main!$C$6</f>
        <v>6390</v>
      </c>
      <c r="H56" s="4">
        <f>[19]Main!$C$7</f>
        <v>35229</v>
      </c>
      <c r="I56" s="4">
        <f>Table4[[#This Row],[MC ($M)]]-Table4[[#This Row],[Cash ($M)]]+Table4[[#This Row],[Debt ($M)]]</f>
        <v>209933.20379999999</v>
      </c>
      <c r="J56" s="4"/>
      <c r="K56" s="2"/>
      <c r="L56" s="6"/>
      <c r="M56" s="1">
        <f>'[19]Notes | Quant Analysis'!$K$201</f>
        <v>0.76</v>
      </c>
      <c r="N56" s="6">
        <f>'[19]Notes | Quant Analysis'!$K$199</f>
        <v>1.4357925397595657E-2</v>
      </c>
      <c r="O56" s="10">
        <v>22.51</v>
      </c>
      <c r="P56" s="10">
        <v>24.36</v>
      </c>
      <c r="Q56" s="11">
        <f>Table4[[#This Row],[Price]]/Table4[[#This Row],[FY Earnings Estimates]]</f>
        <v>21.305197689915591</v>
      </c>
      <c r="R56" s="11">
        <f>Table4[[#This Row],[Price]]/Table4[[#This Row],[FY Earnings Estimates (2-years)]]</f>
        <v>19.687192118226601</v>
      </c>
      <c r="S56" s="16">
        <v>125000</v>
      </c>
      <c r="T56" s="9" t="s">
        <v>218</v>
      </c>
      <c r="U56" s="1" t="s">
        <v>81</v>
      </c>
      <c r="V56" s="8" t="s">
        <v>207</v>
      </c>
      <c r="W56" s="2"/>
      <c r="Y56" s="21"/>
    </row>
    <row r="57" spans="2:25" ht="13.9" customHeight="1">
      <c r="B57" s="1" t="s">
        <v>67</v>
      </c>
      <c r="C57" s="1" t="s">
        <v>162</v>
      </c>
      <c r="D57" s="11">
        <v>12.6</v>
      </c>
      <c r="E57" s="3">
        <v>66.3</v>
      </c>
      <c r="F57" s="4">
        <f>Table4[[#This Row],[Price]]*Table4[[#This Row],[Share Count ]]</f>
        <v>835.38</v>
      </c>
      <c r="G57" s="4"/>
      <c r="H57" s="4"/>
      <c r="I57" s="4">
        <f>Table4[[#This Row],[MC ($M)]]-Table4[[#This Row],[Cash ($M)]]+Table4[[#This Row],[Debt ($M)]]</f>
        <v>835.38</v>
      </c>
      <c r="J57" s="4"/>
      <c r="K57" s="2"/>
      <c r="L57" s="6"/>
      <c r="N57" s="6"/>
      <c r="O57" s="10"/>
      <c r="P57" s="10"/>
      <c r="Q57" s="11" t="e">
        <f>Table4[[#This Row],[Price]]/Table4[[#This Row],[FY Earnings Estimates]]</f>
        <v>#DIV/0!</v>
      </c>
      <c r="R57" s="11" t="e">
        <f>Table4[[#This Row],[Price]]/Table4[[#This Row],[FY Earnings Estimates (2-years)]]</f>
        <v>#DIV/0!</v>
      </c>
      <c r="T57" s="9"/>
      <c r="U57" s="1" t="s">
        <v>85</v>
      </c>
      <c r="V57" s="1" t="s">
        <v>75</v>
      </c>
      <c r="W57" s="2"/>
      <c r="Y57" s="21"/>
    </row>
    <row r="58" spans="2:25" ht="13.9" customHeight="1">
      <c r="B58" s="1" t="s">
        <v>24</v>
      </c>
      <c r="C58" s="1" t="s">
        <v>172</v>
      </c>
      <c r="D58" s="11">
        <v>260</v>
      </c>
      <c r="E58" s="3">
        <v>72.3</v>
      </c>
      <c r="F58" s="4">
        <f>Table4[[#This Row],[Price]]*Table4[[#This Row],[Share Count ]]</f>
        <v>18798</v>
      </c>
      <c r="G58" s="4"/>
      <c r="H58" s="4"/>
      <c r="I58" s="4">
        <f>Table4[[#This Row],[MC ($M)]]-Table4[[#This Row],[Cash ($M)]]+Table4[[#This Row],[Debt ($M)]]</f>
        <v>18798</v>
      </c>
      <c r="J58" s="4"/>
      <c r="K58" s="2"/>
      <c r="L58" s="6"/>
      <c r="N58" s="6"/>
      <c r="O58" s="10"/>
      <c r="P58" s="10"/>
      <c r="Q58" s="11" t="e">
        <f>Table4[[#This Row],[Price]]/Table4[[#This Row],[FY Earnings Estimates]]</f>
        <v>#DIV/0!</v>
      </c>
      <c r="R58" s="11" t="e">
        <f>Table4[[#This Row],[Price]]/Table4[[#This Row],[FY Earnings Estimates (2-years)]]</f>
        <v>#DIV/0!</v>
      </c>
      <c r="T58" s="9"/>
      <c r="U58" s="1" t="s">
        <v>128</v>
      </c>
      <c r="V58" s="1" t="s">
        <v>129</v>
      </c>
      <c r="W58" s="2"/>
      <c r="Y58" s="22"/>
    </row>
    <row r="59" spans="2:25" ht="13.9" customHeight="1">
      <c r="B59" s="1" t="s">
        <v>44</v>
      </c>
      <c r="C59" s="1" t="s">
        <v>163</v>
      </c>
      <c r="D59" s="11">
        <v>13.11</v>
      </c>
      <c r="E59" s="3">
        <v>198.8</v>
      </c>
      <c r="F59" s="4">
        <f>Table4[[#This Row],[Price]]*Table4[[#This Row],[Share Count ]]</f>
        <v>2606.268</v>
      </c>
      <c r="G59" s="4"/>
      <c r="H59" s="4"/>
      <c r="I59" s="4">
        <f>Table4[[#This Row],[MC ($M)]]-Table4[[#This Row],[Cash ($M)]]+Table4[[#This Row],[Debt ($M)]]</f>
        <v>2606.268</v>
      </c>
      <c r="J59" s="4"/>
      <c r="K59" s="2"/>
      <c r="L59" s="6"/>
      <c r="N59" s="6"/>
      <c r="O59" s="10"/>
      <c r="P59" s="10"/>
      <c r="Q59" s="11" t="e">
        <f>Table4[[#This Row],[Price]]/Table4[[#This Row],[FY Earnings Estimates]]</f>
        <v>#DIV/0!</v>
      </c>
      <c r="R59" s="11" t="e">
        <f>Table4[[#This Row],[Price]]/Table4[[#This Row],[FY Earnings Estimates (2-years)]]</f>
        <v>#DIV/0!</v>
      </c>
      <c r="T59" s="9"/>
      <c r="U59" s="1" t="s">
        <v>85</v>
      </c>
      <c r="V59" s="1" t="s">
        <v>76</v>
      </c>
      <c r="W59" s="2"/>
      <c r="Y59" s="20"/>
    </row>
    <row r="60" spans="2:25" ht="13.9" customHeight="1">
      <c r="B60" s="18" t="s">
        <v>25</v>
      </c>
      <c r="C60" s="1" t="s">
        <v>173</v>
      </c>
      <c r="D60" s="11">
        <v>100.18</v>
      </c>
      <c r="E60" s="3">
        <v>199.1</v>
      </c>
      <c r="F60" s="4">
        <f>Table4[[#This Row],[Price]]*Table4[[#This Row],[Share Count ]]</f>
        <v>19945.838</v>
      </c>
      <c r="G60" s="4">
        <v>1384.5</v>
      </c>
      <c r="H60" s="4">
        <f>600+6576.3</f>
        <v>7176.3</v>
      </c>
      <c r="I60" s="4">
        <f>Table4[[#This Row],[MC ($M)]]-Table4[[#This Row],[Cash ($M)]]+Table4[[#This Row],[Debt ($M)]]</f>
        <v>25737.637999999999</v>
      </c>
      <c r="J60" s="4"/>
      <c r="K60" s="2"/>
      <c r="L60" s="6"/>
      <c r="M60" s="1">
        <v>0.78</v>
      </c>
      <c r="N60" s="6"/>
      <c r="O60" s="10">
        <v>8.09</v>
      </c>
      <c r="P60" s="10">
        <v>8.56</v>
      </c>
      <c r="Q60" s="11">
        <f>Table4[[#This Row],[Price]]/Table4[[#This Row],[FY Earnings Estimates]]</f>
        <v>12.383189122373301</v>
      </c>
      <c r="R60" s="11">
        <f>Table4[[#This Row],[Price]]/Table4[[#This Row],[FY Earnings Estimates (2-years)]]</f>
        <v>11.703271028037383</v>
      </c>
      <c r="S60" s="16">
        <v>17000</v>
      </c>
      <c r="T60" s="9" t="s">
        <v>192</v>
      </c>
      <c r="U60" s="1" t="s">
        <v>85</v>
      </c>
      <c r="V60" s="1" t="s">
        <v>130</v>
      </c>
      <c r="W60" s="2"/>
      <c r="Y60" s="21"/>
    </row>
    <row r="61" spans="2:25" ht="13.9" customHeight="1">
      <c r="E61" s="3"/>
      <c r="F61" s="4"/>
      <c r="G61" s="4"/>
      <c r="H61" s="4"/>
      <c r="I61" s="4"/>
      <c r="J61" s="2"/>
      <c r="K61" s="2"/>
      <c r="L61" s="6"/>
      <c r="N61" s="6"/>
      <c r="O61" s="10"/>
      <c r="P61" s="10"/>
      <c r="T61" s="9"/>
      <c r="W61" s="2"/>
      <c r="Y61" s="21"/>
    </row>
    <row r="62" spans="2:25" ht="13.9" customHeight="1">
      <c r="D62" s="2"/>
      <c r="E62" s="3"/>
      <c r="F62" s="4"/>
      <c r="G62" s="4"/>
      <c r="H62" s="4"/>
      <c r="I62" s="4"/>
      <c r="J62" s="2"/>
      <c r="K62" s="2"/>
      <c r="L62" s="6"/>
      <c r="N62" s="6"/>
      <c r="T62" s="9"/>
      <c r="Y62" s="22"/>
    </row>
    <row r="63" spans="2:25" ht="13.9" customHeight="1">
      <c r="D63" s="2"/>
      <c r="E63" s="1"/>
      <c r="I63" s="2"/>
      <c r="J63" s="2"/>
      <c r="K63" s="2"/>
      <c r="L63" s="6"/>
      <c r="N63" s="6"/>
      <c r="T63" s="9"/>
      <c r="Y63" s="20"/>
    </row>
    <row r="64" spans="2:25" ht="13.9" customHeight="1">
      <c r="D64" s="2"/>
      <c r="E64" s="1"/>
      <c r="I64" s="2"/>
      <c r="J64" s="2"/>
      <c r="K64" s="2"/>
      <c r="L64" s="6"/>
      <c r="N64" s="6"/>
      <c r="T64" s="9"/>
      <c r="Y64" s="21"/>
    </row>
    <row r="65" spans="4:25" ht="13.9" customHeight="1">
      <c r="D65" s="2"/>
      <c r="E65" s="1"/>
      <c r="I65" s="2"/>
      <c r="J65" s="2"/>
      <c r="K65" s="2"/>
      <c r="L65" s="6"/>
      <c r="N65" s="6"/>
      <c r="T65" s="9"/>
      <c r="Y65" s="21"/>
    </row>
    <row r="66" spans="4:25" ht="13.9" customHeight="1">
      <c r="D66" s="2"/>
      <c r="E66" s="1"/>
      <c r="I66" s="2"/>
      <c r="J66" s="2"/>
      <c r="K66" s="2"/>
      <c r="L66" s="6"/>
      <c r="N66" s="6"/>
      <c r="T66" s="9"/>
      <c r="Y66" s="22"/>
    </row>
    <row r="67" spans="4:25" ht="13.9" customHeight="1">
      <c r="D67" s="2"/>
      <c r="E67" s="1"/>
      <c r="I67" s="2"/>
      <c r="J67" s="2"/>
      <c r="K67" s="2"/>
      <c r="L67" s="6"/>
      <c r="N67" s="6"/>
      <c r="T67" s="9"/>
      <c r="Y67" s="20"/>
    </row>
    <row r="68" spans="4:25" ht="13.9" customHeight="1">
      <c r="D68" s="2"/>
      <c r="E68" s="1"/>
      <c r="I68" s="2"/>
      <c r="J68" s="2"/>
      <c r="K68" s="2"/>
      <c r="L68" s="6"/>
      <c r="N68" s="6"/>
      <c r="T68" s="9"/>
      <c r="Y68" s="21"/>
    </row>
    <row r="69" spans="4:25" ht="13.9" customHeight="1">
      <c r="D69" s="2"/>
      <c r="E69" s="1"/>
      <c r="I69" s="2"/>
      <c r="J69" s="2"/>
      <c r="K69" s="2"/>
      <c r="L69" s="6"/>
      <c r="N69" s="6"/>
      <c r="T69" s="9"/>
      <c r="Y69" s="21"/>
    </row>
    <row r="70" spans="4:25" ht="13.9" customHeight="1">
      <c r="D70" s="2"/>
      <c r="E70" s="1"/>
      <c r="I70" s="2"/>
      <c r="J70" s="2"/>
      <c r="K70" s="2"/>
      <c r="L70" s="6"/>
      <c r="N70" s="6"/>
      <c r="T70" s="9"/>
      <c r="Y70" s="22"/>
    </row>
    <row r="71" spans="4:25" ht="13.9" customHeight="1">
      <c r="D71" s="2"/>
      <c r="E71" s="1"/>
      <c r="I71" s="2"/>
      <c r="J71" s="2"/>
      <c r="K71" s="2"/>
      <c r="L71" s="6"/>
      <c r="N71" s="6"/>
      <c r="T71" s="9"/>
      <c r="Y71" s="20"/>
    </row>
    <row r="72" spans="4:25" ht="13.9" customHeight="1">
      <c r="D72" s="2"/>
      <c r="E72" s="1"/>
      <c r="I72" s="2"/>
      <c r="J72" s="2"/>
      <c r="K72" s="2"/>
      <c r="L72" s="6"/>
      <c r="N72" s="6"/>
      <c r="T72" s="9"/>
      <c r="Y72" s="21"/>
    </row>
    <row r="73" spans="4:25">
      <c r="Y73" s="22"/>
    </row>
    <row r="74" spans="4:25">
      <c r="Y74" s="20"/>
    </row>
    <row r="75" spans="4:25">
      <c r="Y75" s="21"/>
    </row>
    <row r="76" spans="4:25">
      <c r="Y76" s="22"/>
    </row>
    <row r="77" spans="4:25">
      <c r="Y77" s="20"/>
    </row>
    <row r="78" spans="4:25">
      <c r="Y78" s="21"/>
    </row>
    <row r="79" spans="4:25">
      <c r="Y79" s="22"/>
    </row>
    <row r="80" spans="4:25">
      <c r="Y80" s="20"/>
    </row>
    <row r="81" spans="25:25">
      <c r="Y81" s="21"/>
    </row>
    <row r="82" spans="25:25">
      <c r="Y82" s="21"/>
    </row>
    <row r="83" spans="25:25">
      <c r="Y83" s="22"/>
    </row>
    <row r="84" spans="25:25">
      <c r="Y84" s="20"/>
    </row>
    <row r="85" spans="25:25">
      <c r="Y85" s="21"/>
    </row>
    <row r="86" spans="25:25">
      <c r="Y86" s="22"/>
    </row>
    <row r="87" spans="25:25">
      <c r="Y87" s="20"/>
    </row>
    <row r="88" spans="25:25">
      <c r="Y88" s="21"/>
    </row>
    <row r="89" spans="25:25">
      <c r="Y89" s="21"/>
    </row>
    <row r="90" spans="25:25">
      <c r="Y90" s="22"/>
    </row>
    <row r="91" spans="25:25">
      <c r="Y91" s="20"/>
    </row>
    <row r="92" spans="25:25">
      <c r="Y92" s="21"/>
    </row>
    <row r="93" spans="25:25">
      <c r="Y93" s="22"/>
    </row>
    <row r="94" spans="25:25">
      <c r="Y94" s="20"/>
    </row>
    <row r="95" spans="25:25">
      <c r="Y95" s="21"/>
    </row>
    <row r="96" spans="25:25">
      <c r="Y96" s="22"/>
    </row>
    <row r="97" spans="25:25">
      <c r="Y97" s="20"/>
    </row>
    <row r="98" spans="25:25">
      <c r="Y98" s="21"/>
    </row>
    <row r="99" spans="25:25">
      <c r="Y99" s="22"/>
    </row>
    <row r="100" spans="25:25">
      <c r="Y100" s="20"/>
    </row>
    <row r="101" spans="25:25">
      <c r="Y101" s="21"/>
    </row>
    <row r="102" spans="25:25">
      <c r="Y102" s="22"/>
    </row>
    <row r="103" spans="25:25">
      <c r="Y103" s="20"/>
    </row>
    <row r="104" spans="25:25">
      <c r="Y104" s="21"/>
    </row>
    <row r="105" spans="25:25">
      <c r="Y105" s="22"/>
    </row>
    <row r="106" spans="25:25">
      <c r="Y106" s="20"/>
    </row>
    <row r="107" spans="25:25">
      <c r="Y107" s="21"/>
    </row>
    <row r="108" spans="25:25">
      <c r="Y108" s="22"/>
    </row>
    <row r="109" spans="25:25">
      <c r="Y109" s="20"/>
    </row>
    <row r="110" spans="25:25">
      <c r="Y110" s="21"/>
    </row>
    <row r="111" spans="25:25">
      <c r="Y111" s="22"/>
    </row>
    <row r="112" spans="25:25">
      <c r="Y112" s="20"/>
    </row>
    <row r="113" spans="25:25">
      <c r="Y113" s="21"/>
    </row>
    <row r="114" spans="25:25">
      <c r="Y114" s="22"/>
    </row>
    <row r="115" spans="25:25">
      <c r="Y115" s="20"/>
    </row>
    <row r="116" spans="25:25">
      <c r="Y116" s="21"/>
    </row>
    <row r="117" spans="25:25">
      <c r="Y117" s="22"/>
    </row>
    <row r="118" spans="25:25">
      <c r="Y118" s="20"/>
    </row>
    <row r="119" spans="25:25">
      <c r="Y119" s="21"/>
    </row>
    <row r="120" spans="25:25">
      <c r="Y120" s="21"/>
    </row>
    <row r="121" spans="25:25">
      <c r="Y121" s="22"/>
    </row>
    <row r="122" spans="25:25">
      <c r="Y122" s="20"/>
    </row>
    <row r="123" spans="25:25">
      <c r="Y123" s="21"/>
    </row>
    <row r="124" spans="25:25">
      <c r="Y124" s="21"/>
    </row>
    <row r="125" spans="25:25">
      <c r="Y125" s="22"/>
    </row>
    <row r="126" spans="25:25">
      <c r="Y126" s="20"/>
    </row>
    <row r="127" spans="25:25">
      <c r="Y127" s="21"/>
    </row>
    <row r="128" spans="25:25">
      <c r="Y128" s="22"/>
    </row>
    <row r="129" spans="25:25">
      <c r="Y129" s="20"/>
    </row>
    <row r="130" spans="25:25">
      <c r="Y130" s="21"/>
    </row>
    <row r="131" spans="25:25">
      <c r="Y131" s="22"/>
    </row>
  </sheetData>
  <phoneticPr fontId="6" type="noConversion"/>
  <hyperlinks>
    <hyperlink ref="B13" r:id="rId1" xr:uid="{426F8A59-D0D3-4B06-A2F3-2FB148EA51C0}"/>
    <hyperlink ref="B24" r:id="rId2" xr:uid="{2D379C01-EB9C-4FC6-AE11-39C65785E045}"/>
    <hyperlink ref="B33" r:id="rId3" xr:uid="{BD385BD7-588E-48EF-B301-D5FB5D51DCEB}"/>
    <hyperlink ref="B37" r:id="rId4" xr:uid="{D832F864-5E10-448D-B5E6-A41747F24422}"/>
    <hyperlink ref="B40" r:id="rId5" xr:uid="{00568186-9937-41F0-A573-81F07A883F35}"/>
    <hyperlink ref="B44" r:id="rId6" xr:uid="{005180B3-25D4-4F2E-A649-03376394116A}"/>
    <hyperlink ref="B53" r:id="rId7" xr:uid="{B49CD5A4-3D0B-4623-BA9B-93008A472BB3}"/>
    <hyperlink ref="A1" r:id="rId8" xr:uid="{14843B6A-D4ED-40CD-92DC-B778E9D772AF}"/>
    <hyperlink ref="B21" r:id="rId9" xr:uid="{38E70E01-0597-4952-9867-18D192DA9C54}"/>
    <hyperlink ref="B35" r:id="rId10" xr:uid="{9C77A58C-9158-42FD-B668-10E6EF96443A}"/>
    <hyperlink ref="B15" r:id="rId11" xr:uid="{1F425790-89FE-4AA0-AB7A-5EFD8C3CED33}"/>
    <hyperlink ref="B60" r:id="rId12" xr:uid="{BF852F1D-304C-4230-82DC-C6786B6DA415}"/>
    <hyperlink ref="B51" r:id="rId13" xr:uid="{010BEE70-37BC-42D7-9E9B-4E02BCD3B475}"/>
    <hyperlink ref="B11" r:id="rId14" xr:uid="{439B3A6C-7B0C-4471-8D6A-FDA8B07D1783}"/>
    <hyperlink ref="B12" r:id="rId15" xr:uid="{D8AA4EA0-DDCB-4730-8E82-0963ABB4BEE7}"/>
    <hyperlink ref="B46" r:id="rId16" xr:uid="{FAD18B57-5BC9-4E9F-825B-5996C227DF7F}"/>
    <hyperlink ref="B16" r:id="rId17" xr:uid="{CA84541E-7421-47DE-B081-587FF4477B48}"/>
    <hyperlink ref="B27" r:id="rId18" xr:uid="{A0E07B2D-8641-47EF-A293-8759FE82D9C5}"/>
    <hyperlink ref="B56" r:id="rId19" xr:uid="{BEEC5C98-5FDE-4FC8-965F-3E188368E7A1}"/>
    <hyperlink ref="B7" r:id="rId20" xr:uid="{41017462-3B67-4E01-A5A6-AF56FB5D6F63}"/>
    <hyperlink ref="B31" r:id="rId21" xr:uid="{71E84E7E-F221-466B-AD83-21D315048427}"/>
    <hyperlink ref="B55" r:id="rId22" xr:uid="{DFA01884-EC00-4B16-AEE1-6F8F37BF651D}"/>
    <hyperlink ref="B18" r:id="rId23" xr:uid="{FE825A0C-610A-4FC5-A7FE-39EED2EAEE7F}"/>
    <hyperlink ref="B4" r:id="rId24" xr:uid="{36453494-0B9E-45AC-9093-46A3D4E9BD4D}"/>
    <hyperlink ref="B32" r:id="rId25" xr:uid="{997D18A5-CA7D-491A-8F70-3181CD8FFC45}"/>
    <hyperlink ref="B23" r:id="rId26" xr:uid="{DA3D00E7-6BC1-4A45-B04E-0D78BAA2431A}"/>
    <hyperlink ref="B36" r:id="rId27" xr:uid="{A2638EBB-E776-4980-A09D-B04E77C92AE8}"/>
  </hyperlinks>
  <pageMargins left="0.7" right="0.7" top="0.75" bottom="0.75" header="0.3" footer="0.3"/>
  <ignoredErrors>
    <ignoredError sqref="G4:V4 G5:P12 T5:V20 G19:P20 I18:P18 G22:P30 G21:M21 O21:P21 T22:V45 U21:V21 G32:P34 G31:I31 J31 K31:L31 N31:P31 G14:P17 I13:P13 G36:P43 I35:L35 O35:P35 G35:H35 G45:P45 G44:I44 L44:P44 G47:P55 I46:L46 O46:P46 T47:V55 U46:V46 G57:P66 I56:L56 T57:V66 U56:V56" calculatedColumn="1"/>
    <ignoredError sqref="Q5:S66" evalError="1" calculatedColumn="1"/>
    <ignoredError sqref="Q3:R3 Q67:S68" evalError="1"/>
  </ignoredErrors>
  <drawing r:id="rId28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335E-5AF5-4EBA-8439-3724F125383B}">
  <dimension ref="B2:C18"/>
  <sheetViews>
    <sheetView workbookViewId="0">
      <selection activeCell="C19" sqref="C19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3" ht="15">
      <c r="B2" s="7" t="s">
        <v>185</v>
      </c>
    </row>
    <row r="3" spans="2:3" ht="15">
      <c r="C3" s="17" t="s">
        <v>179</v>
      </c>
    </row>
    <row r="5" spans="2:3" ht="15">
      <c r="B5" s="7" t="s">
        <v>186</v>
      </c>
    </row>
    <row r="6" spans="2:3" ht="15">
      <c r="C6" s="17" t="s">
        <v>180</v>
      </c>
    </row>
    <row r="8" spans="2:3" ht="15">
      <c r="B8" s="7" t="s">
        <v>184</v>
      </c>
    </row>
    <row r="9" spans="2:3" ht="15">
      <c r="C9" s="17" t="s">
        <v>183</v>
      </c>
    </row>
    <row r="11" spans="2:3" ht="15">
      <c r="B11" s="7" t="s">
        <v>181</v>
      </c>
    </row>
    <row r="12" spans="2:3" ht="15">
      <c r="C12" s="17" t="s">
        <v>182</v>
      </c>
    </row>
    <row r="14" spans="2:3" ht="15">
      <c r="B14" s="7" t="s">
        <v>208</v>
      </c>
    </row>
    <row r="15" spans="2:3" ht="15">
      <c r="C15" s="17" t="s">
        <v>209</v>
      </c>
    </row>
    <row r="17" spans="2:3" ht="15">
      <c r="B17" s="7" t="s">
        <v>214</v>
      </c>
    </row>
    <row r="18" spans="2:3" ht="15">
      <c r="C18" s="17" t="s">
        <v>215</v>
      </c>
    </row>
  </sheetData>
  <hyperlinks>
    <hyperlink ref="C15" r:id="rId1" xr:uid="{046ED9C3-873B-4AED-AE52-047C1304B4DD}"/>
    <hyperlink ref="C9" r:id="rId2" xr:uid="{D2FD62B7-4573-4442-9977-2BD24CFF6B7E}"/>
    <hyperlink ref="C12" r:id="rId3" xr:uid="{563CD342-7D9D-4EB2-9431-8AC68DDC8416}"/>
    <hyperlink ref="C6" r:id="rId4" xr:uid="{C72D53E4-C0D1-4C0C-A3F9-EEBBAF97E75C}"/>
    <hyperlink ref="C3" r:id="rId5" xr:uid="{F176ED36-3845-4CB0-812A-445F5B28AB77}"/>
    <hyperlink ref="C18" r:id="rId6" xr:uid="{F1F77E08-9E30-4775-A957-D5EC664FDF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Useful 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2025-12-09T10:43:59Z</dcterms:modified>
</cp:coreProperties>
</file>